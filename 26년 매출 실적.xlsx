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전사 폴더\전사 폴더\영업팀\⑤월마감현황(송나래)_대외비\2026년 마감현황\"/>
    </mc:Choice>
  </mc:AlternateContent>
  <xr:revisionPtr revIDLastSave="0" documentId="13_ncr:1_{05911A77-D9E7-4CF3-8839-8C822C6CA4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6년(세부_실적)" sheetId="1" r:id="rId1"/>
    <sheet name="매출내역" sheetId="4" r:id="rId2"/>
    <sheet name="기본" sheetId="5" r:id="rId3"/>
  </sheets>
  <definedNames>
    <definedName name="_xlnm._FilterDatabase" localSheetId="0" hidden="1">'26년(세부_실적)'!$A$7:$BG$1347</definedName>
    <definedName name="_xlnm._FilterDatabase" localSheetId="2" hidden="1">기본!$B$2:$G$68</definedName>
    <definedName name="_xlnm._FilterDatabase" localSheetId="1" hidden="1">매출내역!$B$2:$L$4579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98" i="1" l="1"/>
  <c r="BA398" i="1" s="1"/>
  <c r="AX398" i="1"/>
  <c r="AV398" i="1"/>
  <c r="AT398" i="1"/>
  <c r="AZ398" i="1" s="1"/>
  <c r="AQ398" i="1"/>
  <c r="AP398" i="1"/>
  <c r="AN398" i="1"/>
  <c r="AL398" i="1"/>
  <c r="AR398" i="1" s="1"/>
  <c r="AG398" i="1"/>
  <c r="AI398" i="1" s="1"/>
  <c r="Q398" i="1" s="1"/>
  <c r="AF398" i="1"/>
  <c r="AD398" i="1"/>
  <c r="AB398" i="1"/>
  <c r="AH398" i="1" s="1"/>
  <c r="Y398" i="1"/>
  <c r="X398" i="1"/>
  <c r="V398" i="1"/>
  <c r="T398" i="1"/>
  <c r="U1346" i="1"/>
  <c r="W1346" i="1"/>
  <c r="AA1346" i="1"/>
  <c r="AC1346" i="1"/>
  <c r="AE1346" i="1"/>
  <c r="AK1346" i="1"/>
  <c r="AM1346" i="1"/>
  <c r="AO1346" i="1"/>
  <c r="AS1346" i="1"/>
  <c r="AU1346" i="1"/>
  <c r="AW1346" i="1"/>
  <c r="S1346" i="1"/>
  <c r="AY1345" i="1"/>
  <c r="AX1345" i="1"/>
  <c r="AV1345" i="1"/>
  <c r="AT1345" i="1"/>
  <c r="AZ1345" i="1" s="1"/>
  <c r="AQ1345" i="1"/>
  <c r="BA1345" i="1" s="1"/>
  <c r="AP1345" i="1"/>
  <c r="AN1345" i="1"/>
  <c r="AL1345" i="1"/>
  <c r="AR1345" i="1" s="1"/>
  <c r="BB1345" i="1" s="1"/>
  <c r="AG1345" i="1"/>
  <c r="AF1345" i="1"/>
  <c r="AD1345" i="1"/>
  <c r="AB1345" i="1"/>
  <c r="Y1345" i="1"/>
  <c r="AI1345" i="1" s="1"/>
  <c r="Q1345" i="1" s="1"/>
  <c r="X1345" i="1"/>
  <c r="V1345" i="1"/>
  <c r="T1345" i="1"/>
  <c r="AY701" i="1"/>
  <c r="AX701" i="1"/>
  <c r="AV701" i="1"/>
  <c r="AT701" i="1"/>
  <c r="AQ701" i="1"/>
  <c r="AP701" i="1"/>
  <c r="AN701" i="1"/>
  <c r="AL701" i="1"/>
  <c r="AG701" i="1"/>
  <c r="AF701" i="1"/>
  <c r="AD701" i="1"/>
  <c r="AB701" i="1"/>
  <c r="Y701" i="1"/>
  <c r="AI701" i="1" s="1"/>
  <c r="X701" i="1"/>
  <c r="V701" i="1"/>
  <c r="T701" i="1"/>
  <c r="AY1205" i="1"/>
  <c r="AX1205" i="1"/>
  <c r="AV1205" i="1"/>
  <c r="AT1205" i="1"/>
  <c r="AQ1205" i="1"/>
  <c r="BA1205" i="1" s="1"/>
  <c r="AP1205" i="1"/>
  <c r="AN1205" i="1"/>
  <c r="AL1205" i="1"/>
  <c r="AG1205" i="1"/>
  <c r="AF1205" i="1"/>
  <c r="AD1205" i="1"/>
  <c r="AB1205" i="1"/>
  <c r="Y1205" i="1"/>
  <c r="X1205" i="1"/>
  <c r="V1205" i="1"/>
  <c r="T1205" i="1"/>
  <c r="Z398" i="1" l="1"/>
  <c r="AJ398" i="1" s="1"/>
  <c r="BB398" i="1"/>
  <c r="AH1345" i="1"/>
  <c r="Z1345" i="1"/>
  <c r="BA701" i="1"/>
  <c r="Q701" i="1" s="1"/>
  <c r="AH1205" i="1"/>
  <c r="AR1205" i="1"/>
  <c r="AZ1205" i="1"/>
  <c r="AH701" i="1"/>
  <c r="AR701" i="1"/>
  <c r="AZ701" i="1"/>
  <c r="Z701" i="1"/>
  <c r="AJ701" i="1" s="1"/>
  <c r="AI1205" i="1"/>
  <c r="Q1205" i="1" s="1"/>
  <c r="Z1205" i="1"/>
  <c r="AY196" i="1"/>
  <c r="AX196" i="1"/>
  <c r="AV196" i="1"/>
  <c r="AT196" i="1"/>
  <c r="AQ196" i="1"/>
  <c r="BA196" i="1" s="1"/>
  <c r="AP196" i="1"/>
  <c r="AN196" i="1"/>
  <c r="AL196" i="1"/>
  <c r="AG196" i="1"/>
  <c r="AF196" i="1"/>
  <c r="AD196" i="1"/>
  <c r="AB196" i="1"/>
  <c r="Y196" i="1"/>
  <c r="X196" i="1"/>
  <c r="V196" i="1"/>
  <c r="T196" i="1"/>
  <c r="AY197" i="1"/>
  <c r="AX197" i="1"/>
  <c r="AV197" i="1"/>
  <c r="AT197" i="1"/>
  <c r="AQ197" i="1"/>
  <c r="BA197" i="1" s="1"/>
  <c r="AP197" i="1"/>
  <c r="AN197" i="1"/>
  <c r="AL197" i="1"/>
  <c r="AG197" i="1"/>
  <c r="AF197" i="1"/>
  <c r="AD197" i="1"/>
  <c r="AB197" i="1"/>
  <c r="Y197" i="1"/>
  <c r="AI197" i="1" s="1"/>
  <c r="Q197" i="1" s="1"/>
  <c r="X197" i="1"/>
  <c r="V197" i="1"/>
  <c r="T197" i="1"/>
  <c r="AY198" i="1"/>
  <c r="AX198" i="1"/>
  <c r="AV198" i="1"/>
  <c r="AT198" i="1"/>
  <c r="AQ198" i="1"/>
  <c r="BA198" i="1" s="1"/>
  <c r="AP198" i="1"/>
  <c r="AN198" i="1"/>
  <c r="AL198" i="1"/>
  <c r="AG198" i="1"/>
  <c r="AF198" i="1"/>
  <c r="AD198" i="1"/>
  <c r="AB198" i="1"/>
  <c r="Y198" i="1"/>
  <c r="AI198" i="1" s="1"/>
  <c r="Q198" i="1" s="1"/>
  <c r="X198" i="1"/>
  <c r="V198" i="1"/>
  <c r="T198" i="1"/>
  <c r="AY1319" i="1"/>
  <c r="AX1319" i="1"/>
  <c r="AV1319" i="1"/>
  <c r="AT1319" i="1"/>
  <c r="AQ1319" i="1"/>
  <c r="AP1319" i="1"/>
  <c r="AN1319" i="1"/>
  <c r="AL1319" i="1"/>
  <c r="AG1319" i="1"/>
  <c r="AF1319" i="1"/>
  <c r="AD1319" i="1"/>
  <c r="AB1319" i="1"/>
  <c r="Y1319" i="1"/>
  <c r="AI1319" i="1" s="1"/>
  <c r="X1319" i="1"/>
  <c r="V1319" i="1"/>
  <c r="T1319" i="1"/>
  <c r="AY1320" i="1"/>
  <c r="AX1320" i="1"/>
  <c r="AV1320" i="1"/>
  <c r="AT1320" i="1"/>
  <c r="AQ1320" i="1"/>
  <c r="BA1320" i="1" s="1"/>
  <c r="AP1320" i="1"/>
  <c r="AN1320" i="1"/>
  <c r="AL1320" i="1"/>
  <c r="AG1320" i="1"/>
  <c r="AF1320" i="1"/>
  <c r="AD1320" i="1"/>
  <c r="AB1320" i="1"/>
  <c r="Y1320" i="1"/>
  <c r="AI1320" i="1" s="1"/>
  <c r="X1320" i="1"/>
  <c r="V1320" i="1"/>
  <c r="T1320" i="1"/>
  <c r="R398" i="1" l="1"/>
  <c r="AJ1345" i="1"/>
  <c r="BB1205" i="1"/>
  <c r="BB701" i="1"/>
  <c r="R701" i="1" s="1"/>
  <c r="BA1319" i="1"/>
  <c r="Q1319" i="1" s="1"/>
  <c r="Z198" i="1"/>
  <c r="AH198" i="1"/>
  <c r="Z196" i="1"/>
  <c r="AH196" i="1"/>
  <c r="AR196" i="1"/>
  <c r="AZ196" i="1"/>
  <c r="AJ1205" i="1"/>
  <c r="R1205" i="1" s="1"/>
  <c r="AI196" i="1"/>
  <c r="Q196" i="1" s="1"/>
  <c r="AR198" i="1"/>
  <c r="AZ198" i="1"/>
  <c r="Z197" i="1"/>
  <c r="AH197" i="1"/>
  <c r="AR197" i="1"/>
  <c r="AZ197" i="1"/>
  <c r="AH1320" i="1"/>
  <c r="AR1320" i="1"/>
  <c r="AZ1320" i="1"/>
  <c r="Z1319" i="1"/>
  <c r="AH1319" i="1"/>
  <c r="AR1319" i="1"/>
  <c r="AZ1319" i="1"/>
  <c r="Q1320" i="1"/>
  <c r="Z1320" i="1"/>
  <c r="AY438" i="1"/>
  <c r="AX438" i="1"/>
  <c r="AV438" i="1"/>
  <c r="AT438" i="1"/>
  <c r="AQ438" i="1"/>
  <c r="AP438" i="1"/>
  <c r="AN438" i="1"/>
  <c r="AL438" i="1"/>
  <c r="AG438" i="1"/>
  <c r="AF438" i="1"/>
  <c r="AD438" i="1"/>
  <c r="AB438" i="1"/>
  <c r="Y438" i="1"/>
  <c r="AI438" i="1" s="1"/>
  <c r="X438" i="1"/>
  <c r="V438" i="1"/>
  <c r="T438" i="1"/>
  <c r="AY431" i="1"/>
  <c r="AX431" i="1"/>
  <c r="AV431" i="1"/>
  <c r="AT431" i="1"/>
  <c r="AQ431" i="1"/>
  <c r="BA431" i="1" s="1"/>
  <c r="AP431" i="1"/>
  <c r="AN431" i="1"/>
  <c r="AL431" i="1"/>
  <c r="AG431" i="1"/>
  <c r="AF431" i="1"/>
  <c r="AD431" i="1"/>
  <c r="AB431" i="1"/>
  <c r="Y431" i="1"/>
  <c r="AI431" i="1" s="1"/>
  <c r="Q431" i="1" s="1"/>
  <c r="X431" i="1"/>
  <c r="V431" i="1"/>
  <c r="T431" i="1"/>
  <c r="AY325" i="1"/>
  <c r="AX325" i="1"/>
  <c r="AV325" i="1"/>
  <c r="AT325" i="1"/>
  <c r="AQ325" i="1"/>
  <c r="BA325" i="1" s="1"/>
  <c r="AP325" i="1"/>
  <c r="AN325" i="1"/>
  <c r="AL325" i="1"/>
  <c r="AG325" i="1"/>
  <c r="AF325" i="1"/>
  <c r="AD325" i="1"/>
  <c r="AB325" i="1"/>
  <c r="Y325" i="1"/>
  <c r="AI325" i="1" s="1"/>
  <c r="Q325" i="1" s="1"/>
  <c r="X325" i="1"/>
  <c r="V325" i="1"/>
  <c r="T325" i="1"/>
  <c r="AY311" i="1"/>
  <c r="AX311" i="1"/>
  <c r="AV311" i="1"/>
  <c r="AT311" i="1"/>
  <c r="AQ311" i="1"/>
  <c r="AP311" i="1"/>
  <c r="AN311" i="1"/>
  <c r="AL311" i="1"/>
  <c r="AG311" i="1"/>
  <c r="AF311" i="1"/>
  <c r="AD311" i="1"/>
  <c r="AB311" i="1"/>
  <c r="Y311" i="1"/>
  <c r="AI311" i="1" s="1"/>
  <c r="X311" i="1"/>
  <c r="V311" i="1"/>
  <c r="T311" i="1"/>
  <c r="AY312" i="1"/>
  <c r="AX312" i="1"/>
  <c r="AV312" i="1"/>
  <c r="AT312" i="1"/>
  <c r="AQ312" i="1"/>
  <c r="BA312" i="1" s="1"/>
  <c r="AP312" i="1"/>
  <c r="AN312" i="1"/>
  <c r="AL312" i="1"/>
  <c r="AG312" i="1"/>
  <c r="AF312" i="1"/>
  <c r="AD312" i="1"/>
  <c r="AB312" i="1"/>
  <c r="Y312" i="1"/>
  <c r="X312" i="1"/>
  <c r="V312" i="1"/>
  <c r="T312" i="1"/>
  <c r="AY54" i="1"/>
  <c r="AX54" i="1"/>
  <c r="AV54" i="1"/>
  <c r="AT54" i="1"/>
  <c r="AQ54" i="1"/>
  <c r="BA54" i="1" s="1"/>
  <c r="AP54" i="1"/>
  <c r="AN54" i="1"/>
  <c r="AL54" i="1"/>
  <c r="AG54" i="1"/>
  <c r="AF54" i="1"/>
  <c r="AD54" i="1"/>
  <c r="AB54" i="1"/>
  <c r="Y54" i="1"/>
  <c r="AI54" i="1" s="1"/>
  <c r="X54" i="1"/>
  <c r="V54" i="1"/>
  <c r="T54" i="1"/>
  <c r="AY107" i="1"/>
  <c r="AX107" i="1"/>
  <c r="AV107" i="1"/>
  <c r="AT107" i="1"/>
  <c r="AQ107" i="1"/>
  <c r="BA107" i="1" s="1"/>
  <c r="AP107" i="1"/>
  <c r="AN107" i="1"/>
  <c r="AL107" i="1"/>
  <c r="AG107" i="1"/>
  <c r="AF107" i="1"/>
  <c r="AD107" i="1"/>
  <c r="AB107" i="1"/>
  <c r="Y107" i="1"/>
  <c r="AI107" i="1" s="1"/>
  <c r="Q107" i="1" s="1"/>
  <c r="X107" i="1"/>
  <c r="V107" i="1"/>
  <c r="T107" i="1"/>
  <c r="AY108" i="1"/>
  <c r="AX108" i="1"/>
  <c r="AV108" i="1"/>
  <c r="AT108" i="1"/>
  <c r="AQ108" i="1"/>
  <c r="AP108" i="1"/>
  <c r="AN108" i="1"/>
  <c r="AL108" i="1"/>
  <c r="AG108" i="1"/>
  <c r="AF108" i="1"/>
  <c r="AD108" i="1"/>
  <c r="AB108" i="1"/>
  <c r="Y108" i="1"/>
  <c r="AI108" i="1" s="1"/>
  <c r="X108" i="1"/>
  <c r="V108" i="1"/>
  <c r="T108" i="1"/>
  <c r="AY439" i="1"/>
  <c r="AX439" i="1"/>
  <c r="AV439" i="1"/>
  <c r="AT439" i="1"/>
  <c r="AQ439" i="1"/>
  <c r="AP439" i="1"/>
  <c r="AN439" i="1"/>
  <c r="AL439" i="1"/>
  <c r="AG439" i="1"/>
  <c r="AF439" i="1"/>
  <c r="AD439" i="1"/>
  <c r="AB439" i="1"/>
  <c r="Y439" i="1"/>
  <c r="X439" i="1"/>
  <c r="V439" i="1"/>
  <c r="T439" i="1"/>
  <c r="AY440" i="1"/>
  <c r="AX440" i="1"/>
  <c r="AV440" i="1"/>
  <c r="AT440" i="1"/>
  <c r="AQ440" i="1"/>
  <c r="BA440" i="1" s="1"/>
  <c r="AP440" i="1"/>
  <c r="AN440" i="1"/>
  <c r="AL440" i="1"/>
  <c r="AG440" i="1"/>
  <c r="AF440" i="1"/>
  <c r="AD440" i="1"/>
  <c r="AB440" i="1"/>
  <c r="Y440" i="1"/>
  <c r="AI440" i="1" s="1"/>
  <c r="X440" i="1"/>
  <c r="V440" i="1"/>
  <c r="T440" i="1"/>
  <c r="BB196" i="1" l="1"/>
  <c r="AJ198" i="1"/>
  <c r="Q440" i="1"/>
  <c r="R1345" i="1"/>
  <c r="AJ196" i="1"/>
  <c r="R196" i="1" s="1"/>
  <c r="AJ197" i="1"/>
  <c r="BB197" i="1"/>
  <c r="BB198" i="1"/>
  <c r="AJ1320" i="1"/>
  <c r="BB1319" i="1"/>
  <c r="BB1320" i="1"/>
  <c r="AJ1319" i="1"/>
  <c r="R1319" i="1" s="1"/>
  <c r="BA438" i="1"/>
  <c r="Q438" i="1" s="1"/>
  <c r="AZ438" i="1"/>
  <c r="Z438" i="1"/>
  <c r="AH438" i="1"/>
  <c r="AR438" i="1"/>
  <c r="Z431" i="1"/>
  <c r="AH431" i="1"/>
  <c r="AR431" i="1"/>
  <c r="AZ431" i="1"/>
  <c r="Z325" i="1"/>
  <c r="AH325" i="1"/>
  <c r="AR325" i="1"/>
  <c r="AZ325" i="1"/>
  <c r="Z107" i="1"/>
  <c r="AH107" i="1"/>
  <c r="AR107" i="1"/>
  <c r="AZ107" i="1"/>
  <c r="Z54" i="1"/>
  <c r="AH54" i="1"/>
  <c r="AR54" i="1"/>
  <c r="AZ54" i="1"/>
  <c r="AR312" i="1"/>
  <c r="AZ312" i="1"/>
  <c r="Z311" i="1"/>
  <c r="AH311" i="1"/>
  <c r="AR311" i="1"/>
  <c r="AZ311" i="1"/>
  <c r="BA311" i="1"/>
  <c r="Q311" i="1" s="1"/>
  <c r="AH312" i="1"/>
  <c r="Z312" i="1"/>
  <c r="AI312" i="1"/>
  <c r="Q312" i="1" s="1"/>
  <c r="BA108" i="1"/>
  <c r="Q108" i="1" s="1"/>
  <c r="Q54" i="1"/>
  <c r="Z108" i="1"/>
  <c r="AH108" i="1"/>
  <c r="AR108" i="1"/>
  <c r="AZ108" i="1"/>
  <c r="AH439" i="1"/>
  <c r="AR439" i="1"/>
  <c r="AZ439" i="1"/>
  <c r="BA439" i="1"/>
  <c r="Z439" i="1"/>
  <c r="AJ439" i="1" s="1"/>
  <c r="AI439" i="1"/>
  <c r="Z440" i="1"/>
  <c r="AH440" i="1"/>
  <c r="AR440" i="1"/>
  <c r="AZ440" i="1"/>
  <c r="AY892" i="1"/>
  <c r="AX892" i="1"/>
  <c r="AV892" i="1"/>
  <c r="AT892" i="1"/>
  <c r="AQ892" i="1"/>
  <c r="BA892" i="1" s="1"/>
  <c r="AP892" i="1"/>
  <c r="AN892" i="1"/>
  <c r="AL892" i="1"/>
  <c r="AG892" i="1"/>
  <c r="AF892" i="1"/>
  <c r="AD892" i="1"/>
  <c r="AB892" i="1"/>
  <c r="Y892" i="1"/>
  <c r="AI892" i="1" s="1"/>
  <c r="X892" i="1"/>
  <c r="V892" i="1"/>
  <c r="T892" i="1"/>
  <c r="R198" i="1" l="1"/>
  <c r="R1320" i="1"/>
  <c r="R197" i="1"/>
  <c r="Q892" i="1"/>
  <c r="BB54" i="1"/>
  <c r="AJ311" i="1"/>
  <c r="BB107" i="1"/>
  <c r="BB438" i="1"/>
  <c r="AJ54" i="1"/>
  <c r="R54" i="1" s="1"/>
  <c r="AJ325" i="1"/>
  <c r="BB325" i="1"/>
  <c r="BB431" i="1"/>
  <c r="AJ438" i="1"/>
  <c r="AJ431" i="1"/>
  <c r="BB312" i="1"/>
  <c r="BB311" i="1"/>
  <c r="AJ107" i="1"/>
  <c r="AJ312" i="1"/>
  <c r="BB108" i="1"/>
  <c r="AJ108" i="1"/>
  <c r="Z892" i="1"/>
  <c r="AH892" i="1"/>
  <c r="AR892" i="1"/>
  <c r="AZ892" i="1"/>
  <c r="Q439" i="1"/>
  <c r="BB439" i="1"/>
  <c r="R439" i="1" s="1"/>
  <c r="BB440" i="1"/>
  <c r="AJ440" i="1"/>
  <c r="AY905" i="1"/>
  <c r="AX905" i="1"/>
  <c r="AV905" i="1"/>
  <c r="AT905" i="1"/>
  <c r="AQ905" i="1"/>
  <c r="BA905" i="1" s="1"/>
  <c r="AP905" i="1"/>
  <c r="AN905" i="1"/>
  <c r="AL905" i="1"/>
  <c r="AG905" i="1"/>
  <c r="AF905" i="1"/>
  <c r="AD905" i="1"/>
  <c r="AB905" i="1"/>
  <c r="Y905" i="1"/>
  <c r="X905" i="1"/>
  <c r="V905" i="1"/>
  <c r="T905" i="1"/>
  <c r="AI905" i="1" l="1"/>
  <c r="R325" i="1"/>
  <c r="R311" i="1"/>
  <c r="R438" i="1"/>
  <c r="R312" i="1"/>
  <c r="R107" i="1"/>
  <c r="Q905" i="1"/>
  <c r="R431" i="1"/>
  <c r="R108" i="1"/>
  <c r="BB892" i="1"/>
  <c r="R440" i="1"/>
  <c r="AJ892" i="1"/>
  <c r="AH905" i="1"/>
  <c r="AR905" i="1"/>
  <c r="AZ905" i="1"/>
  <c r="Z905" i="1"/>
  <c r="AY483" i="1"/>
  <c r="AX483" i="1"/>
  <c r="AV483" i="1"/>
  <c r="AT483" i="1"/>
  <c r="AQ483" i="1"/>
  <c r="BA483" i="1" s="1"/>
  <c r="AP483" i="1"/>
  <c r="AN483" i="1"/>
  <c r="AL483" i="1"/>
  <c r="AG483" i="1"/>
  <c r="AF483" i="1"/>
  <c r="AD483" i="1"/>
  <c r="AB483" i="1"/>
  <c r="Y483" i="1"/>
  <c r="AI483" i="1" s="1"/>
  <c r="Q483" i="1" s="1"/>
  <c r="X483" i="1"/>
  <c r="V483" i="1"/>
  <c r="T483" i="1"/>
  <c r="AY846" i="1"/>
  <c r="AX846" i="1"/>
  <c r="AV846" i="1"/>
  <c r="AT846" i="1"/>
  <c r="AQ846" i="1"/>
  <c r="BA846" i="1" s="1"/>
  <c r="AP846" i="1"/>
  <c r="AN846" i="1"/>
  <c r="AL846" i="1"/>
  <c r="AG846" i="1"/>
  <c r="AF846" i="1"/>
  <c r="AD846" i="1"/>
  <c r="AB846" i="1"/>
  <c r="Y846" i="1"/>
  <c r="AI846" i="1" s="1"/>
  <c r="Q846" i="1" s="1"/>
  <c r="X846" i="1"/>
  <c r="V846" i="1"/>
  <c r="T846" i="1"/>
  <c r="Z483" i="1" l="1"/>
  <c r="AH483" i="1"/>
  <c r="AR483" i="1"/>
  <c r="R892" i="1"/>
  <c r="AZ483" i="1"/>
  <c r="AJ905" i="1"/>
  <c r="BB905" i="1"/>
  <c r="Z846" i="1"/>
  <c r="AR846" i="1"/>
  <c r="AZ846" i="1"/>
  <c r="AH846" i="1"/>
  <c r="AY1273" i="1"/>
  <c r="AX1273" i="1"/>
  <c r="AV1273" i="1"/>
  <c r="AT1273" i="1"/>
  <c r="AQ1273" i="1"/>
  <c r="BA1273" i="1" s="1"/>
  <c r="AP1273" i="1"/>
  <c r="AN1273" i="1"/>
  <c r="AL1273" i="1"/>
  <c r="AG1273" i="1"/>
  <c r="AF1273" i="1"/>
  <c r="AD1273" i="1"/>
  <c r="AB1273" i="1"/>
  <c r="Y1273" i="1"/>
  <c r="AI1273" i="1" s="1"/>
  <c r="Q1273" i="1" s="1"/>
  <c r="X1273" i="1"/>
  <c r="V1273" i="1"/>
  <c r="T1273" i="1"/>
  <c r="AY1064" i="1"/>
  <c r="AX1064" i="1"/>
  <c r="AV1064" i="1"/>
  <c r="AT1064" i="1"/>
  <c r="AQ1064" i="1"/>
  <c r="BA1064" i="1" s="1"/>
  <c r="AP1064" i="1"/>
  <c r="AN1064" i="1"/>
  <c r="AL1064" i="1"/>
  <c r="AG1064" i="1"/>
  <c r="AF1064" i="1"/>
  <c r="AD1064" i="1"/>
  <c r="AB1064" i="1"/>
  <c r="Y1064" i="1"/>
  <c r="AI1064" i="1" s="1"/>
  <c r="Q1064" i="1" s="1"/>
  <c r="X1064" i="1"/>
  <c r="V1064" i="1"/>
  <c r="T1064" i="1"/>
  <c r="AY1180" i="1"/>
  <c r="AX1180" i="1"/>
  <c r="AV1180" i="1"/>
  <c r="AT1180" i="1"/>
  <c r="AQ1180" i="1"/>
  <c r="AP1180" i="1"/>
  <c r="AN1180" i="1"/>
  <c r="AL1180" i="1"/>
  <c r="AG1180" i="1"/>
  <c r="AF1180" i="1"/>
  <c r="AD1180" i="1"/>
  <c r="AB1180" i="1"/>
  <c r="Y1180" i="1"/>
  <c r="AI1180" i="1" s="1"/>
  <c r="X1180" i="1"/>
  <c r="V1180" i="1"/>
  <c r="T1180" i="1"/>
  <c r="AY1173" i="1"/>
  <c r="AX1173" i="1"/>
  <c r="AV1173" i="1"/>
  <c r="AT1173" i="1"/>
  <c r="AQ1173" i="1"/>
  <c r="BA1173" i="1" s="1"/>
  <c r="AP1173" i="1"/>
  <c r="AN1173" i="1"/>
  <c r="AL1173" i="1"/>
  <c r="AG1173" i="1"/>
  <c r="AF1173" i="1"/>
  <c r="AD1173" i="1"/>
  <c r="AB1173" i="1"/>
  <c r="Y1173" i="1"/>
  <c r="AI1173" i="1" s="1"/>
  <c r="Q1173" i="1" s="1"/>
  <c r="X1173" i="1"/>
  <c r="V1173" i="1"/>
  <c r="T1173" i="1"/>
  <c r="AY1046" i="1"/>
  <c r="AX1046" i="1"/>
  <c r="AV1046" i="1"/>
  <c r="AT1046" i="1"/>
  <c r="AQ1046" i="1"/>
  <c r="AP1046" i="1"/>
  <c r="AN1046" i="1"/>
  <c r="AL1046" i="1"/>
  <c r="AG1046" i="1"/>
  <c r="AF1046" i="1"/>
  <c r="AD1046" i="1"/>
  <c r="AB1046" i="1"/>
  <c r="Y1046" i="1"/>
  <c r="AI1046" i="1" s="1"/>
  <c r="X1046" i="1"/>
  <c r="V1046" i="1"/>
  <c r="T1046" i="1"/>
  <c r="AJ483" i="1" l="1"/>
  <c r="BB483" i="1"/>
  <c r="R905" i="1"/>
  <c r="BA1046" i="1"/>
  <c r="Q1046" i="1" s="1"/>
  <c r="AH1273" i="1"/>
  <c r="BB846" i="1"/>
  <c r="AJ846" i="1"/>
  <c r="AR1273" i="1"/>
  <c r="AZ1273" i="1"/>
  <c r="Z1273" i="1"/>
  <c r="AH1064" i="1"/>
  <c r="AR1064" i="1"/>
  <c r="AZ1064" i="1"/>
  <c r="Z1064" i="1"/>
  <c r="Z1180" i="1"/>
  <c r="AH1180" i="1"/>
  <c r="AR1180" i="1"/>
  <c r="AZ1180" i="1"/>
  <c r="BA1180" i="1"/>
  <c r="Q1180" i="1" s="1"/>
  <c r="AH1173" i="1"/>
  <c r="AR1173" i="1"/>
  <c r="AZ1173" i="1"/>
  <c r="Z1173" i="1"/>
  <c r="AH1046" i="1"/>
  <c r="AR1046" i="1"/>
  <c r="AZ1046" i="1"/>
  <c r="Z1046" i="1"/>
  <c r="R483" i="1" l="1"/>
  <c r="R846" i="1"/>
  <c r="AJ1273" i="1"/>
  <c r="BB1273" i="1"/>
  <c r="R1273" i="1" s="1"/>
  <c r="BB1064" i="1"/>
  <c r="AJ1064" i="1"/>
  <c r="BB1180" i="1"/>
  <c r="AJ1046" i="1"/>
  <c r="AJ1173" i="1"/>
  <c r="AJ1180" i="1"/>
  <c r="BB1173" i="1"/>
  <c r="BB1046" i="1"/>
  <c r="U397" i="1"/>
  <c r="AY200" i="1"/>
  <c r="AX200" i="1"/>
  <c r="AV200" i="1"/>
  <c r="AT200" i="1"/>
  <c r="AQ200" i="1"/>
  <c r="AP200" i="1"/>
  <c r="AN200" i="1"/>
  <c r="AL200" i="1"/>
  <c r="AG200" i="1"/>
  <c r="AF200" i="1"/>
  <c r="AD200" i="1"/>
  <c r="AB200" i="1"/>
  <c r="Y200" i="1"/>
  <c r="X200" i="1"/>
  <c r="V200" i="1"/>
  <c r="T200" i="1"/>
  <c r="AY201" i="1"/>
  <c r="AX201" i="1"/>
  <c r="AV201" i="1"/>
  <c r="AT201" i="1"/>
  <c r="AQ201" i="1"/>
  <c r="BA201" i="1" s="1"/>
  <c r="AP201" i="1"/>
  <c r="AN201" i="1"/>
  <c r="AL201" i="1"/>
  <c r="AG201" i="1"/>
  <c r="AF201" i="1"/>
  <c r="AD201" i="1"/>
  <c r="AB201" i="1"/>
  <c r="Y201" i="1"/>
  <c r="AI201" i="1" s="1"/>
  <c r="Q201" i="1" s="1"/>
  <c r="X201" i="1"/>
  <c r="V201" i="1"/>
  <c r="T201" i="1"/>
  <c r="V662" i="1"/>
  <c r="AP662" i="1"/>
  <c r="AG662" i="1"/>
  <c r="X662" i="1"/>
  <c r="Y662" i="1"/>
  <c r="T662" i="1"/>
  <c r="AY1197" i="1"/>
  <c r="AX1197" i="1"/>
  <c r="AV1197" i="1"/>
  <c r="AT1197" i="1"/>
  <c r="AQ1197" i="1"/>
  <c r="BA1197" i="1" s="1"/>
  <c r="AP1197" i="1"/>
  <c r="AN1197" i="1"/>
  <c r="AL1197" i="1"/>
  <c r="AG1197" i="1"/>
  <c r="AF1197" i="1"/>
  <c r="AD1197" i="1"/>
  <c r="AB1197" i="1"/>
  <c r="Y1197" i="1"/>
  <c r="AI1197" i="1" s="1"/>
  <c r="Q1197" i="1" s="1"/>
  <c r="X1197" i="1"/>
  <c r="V1197" i="1"/>
  <c r="T1197" i="1"/>
  <c r="AY437" i="1"/>
  <c r="AX437" i="1"/>
  <c r="AV437" i="1"/>
  <c r="AT437" i="1"/>
  <c r="AQ437" i="1"/>
  <c r="AP437" i="1"/>
  <c r="AN437" i="1"/>
  <c r="AL437" i="1"/>
  <c r="AG437" i="1"/>
  <c r="AF437" i="1"/>
  <c r="AD437" i="1"/>
  <c r="AB437" i="1"/>
  <c r="Y437" i="1"/>
  <c r="AI437" i="1" s="1"/>
  <c r="X437" i="1"/>
  <c r="V437" i="1"/>
  <c r="T437" i="1"/>
  <c r="AY434" i="1"/>
  <c r="AX434" i="1"/>
  <c r="AV434" i="1"/>
  <c r="AT434" i="1"/>
  <c r="AQ434" i="1"/>
  <c r="BA434" i="1" s="1"/>
  <c r="AP434" i="1"/>
  <c r="AN434" i="1"/>
  <c r="AL434" i="1"/>
  <c r="AG434" i="1"/>
  <c r="AF434" i="1"/>
  <c r="AD434" i="1"/>
  <c r="AB434" i="1"/>
  <c r="Y434" i="1"/>
  <c r="AI434" i="1" s="1"/>
  <c r="Q434" i="1" s="1"/>
  <c r="X434" i="1"/>
  <c r="V434" i="1"/>
  <c r="T434" i="1"/>
  <c r="AG35" i="1"/>
  <c r="Y35" i="1"/>
  <c r="AY361" i="1"/>
  <c r="AX361" i="1"/>
  <c r="AV361" i="1"/>
  <c r="AT361" i="1"/>
  <c r="AQ361" i="1"/>
  <c r="BA361" i="1" s="1"/>
  <c r="AP361" i="1"/>
  <c r="AN361" i="1"/>
  <c r="AL361" i="1"/>
  <c r="AG361" i="1"/>
  <c r="AF361" i="1"/>
  <c r="AD361" i="1"/>
  <c r="AB361" i="1"/>
  <c r="Y361" i="1"/>
  <c r="AI361" i="1" s="1"/>
  <c r="Q361" i="1" s="1"/>
  <c r="X361" i="1"/>
  <c r="V361" i="1"/>
  <c r="T361" i="1"/>
  <c r="AY362" i="1"/>
  <c r="AX362" i="1"/>
  <c r="AV362" i="1"/>
  <c r="AT362" i="1"/>
  <c r="AQ362" i="1"/>
  <c r="BA362" i="1" s="1"/>
  <c r="AP362" i="1"/>
  <c r="AN362" i="1"/>
  <c r="AL362" i="1"/>
  <c r="AG362" i="1"/>
  <c r="AF362" i="1"/>
  <c r="AD362" i="1"/>
  <c r="AB362" i="1"/>
  <c r="Y362" i="1"/>
  <c r="X362" i="1"/>
  <c r="V362" i="1"/>
  <c r="T362" i="1"/>
  <c r="AY697" i="1"/>
  <c r="AX697" i="1"/>
  <c r="AV697" i="1"/>
  <c r="AT697" i="1"/>
  <c r="AQ697" i="1"/>
  <c r="BA697" i="1" s="1"/>
  <c r="AP697" i="1"/>
  <c r="AN697" i="1"/>
  <c r="AL697" i="1"/>
  <c r="AG697" i="1"/>
  <c r="AF697" i="1"/>
  <c r="AD697" i="1"/>
  <c r="AB697" i="1"/>
  <c r="Y697" i="1"/>
  <c r="AI697" i="1" s="1"/>
  <c r="Q697" i="1" s="1"/>
  <c r="X697" i="1"/>
  <c r="V697" i="1"/>
  <c r="T697" i="1"/>
  <c r="AY466" i="1"/>
  <c r="AX466" i="1"/>
  <c r="AV466" i="1"/>
  <c r="AT466" i="1"/>
  <c r="AQ466" i="1"/>
  <c r="BA466" i="1" s="1"/>
  <c r="AP466" i="1"/>
  <c r="AN466" i="1"/>
  <c r="AL466" i="1"/>
  <c r="AG466" i="1"/>
  <c r="AF466" i="1"/>
  <c r="AD466" i="1"/>
  <c r="AB466" i="1"/>
  <c r="Y466" i="1"/>
  <c r="X466" i="1"/>
  <c r="V466" i="1"/>
  <c r="T466" i="1"/>
  <c r="AY1227" i="1"/>
  <c r="AX1227" i="1"/>
  <c r="AV1227" i="1"/>
  <c r="AT1227" i="1"/>
  <c r="AQ1227" i="1"/>
  <c r="BA1227" i="1" s="1"/>
  <c r="AP1227" i="1"/>
  <c r="AN1227" i="1"/>
  <c r="AL1227" i="1"/>
  <c r="AG1227" i="1"/>
  <c r="AF1227" i="1"/>
  <c r="AD1227" i="1"/>
  <c r="AB1227" i="1"/>
  <c r="Y1227" i="1"/>
  <c r="AI1227" i="1" s="1"/>
  <c r="Q1227" i="1" s="1"/>
  <c r="X1227" i="1"/>
  <c r="V1227" i="1"/>
  <c r="T1227" i="1"/>
  <c r="AY1224" i="1"/>
  <c r="AX1224" i="1"/>
  <c r="AV1224" i="1"/>
  <c r="AT1224" i="1"/>
  <c r="AQ1224" i="1"/>
  <c r="BA1224" i="1" s="1"/>
  <c r="AP1224" i="1"/>
  <c r="AN1224" i="1"/>
  <c r="AL1224" i="1"/>
  <c r="AG1224" i="1"/>
  <c r="AF1224" i="1"/>
  <c r="AD1224" i="1"/>
  <c r="AB1224" i="1"/>
  <c r="Y1224" i="1"/>
  <c r="AI1224" i="1" s="1"/>
  <c r="Q1224" i="1" s="1"/>
  <c r="X1224" i="1"/>
  <c r="V1224" i="1"/>
  <c r="T1224" i="1"/>
  <c r="AY1191" i="1"/>
  <c r="AX1191" i="1"/>
  <c r="AV1191" i="1"/>
  <c r="AT1191" i="1"/>
  <c r="AQ1191" i="1"/>
  <c r="BA1191" i="1" s="1"/>
  <c r="AP1191" i="1"/>
  <c r="AN1191" i="1"/>
  <c r="AL1191" i="1"/>
  <c r="AG1191" i="1"/>
  <c r="AF1191" i="1"/>
  <c r="AD1191" i="1"/>
  <c r="AB1191" i="1"/>
  <c r="Y1191" i="1"/>
  <c r="X1191" i="1"/>
  <c r="V1191" i="1"/>
  <c r="T1191" i="1"/>
  <c r="AY1183" i="1"/>
  <c r="AX1183" i="1"/>
  <c r="AV1183" i="1"/>
  <c r="AT1183" i="1"/>
  <c r="AQ1183" i="1"/>
  <c r="BA1183" i="1" s="1"/>
  <c r="AP1183" i="1"/>
  <c r="AN1183" i="1"/>
  <c r="AL1183" i="1"/>
  <c r="AG1183" i="1"/>
  <c r="AF1183" i="1"/>
  <c r="AD1183" i="1"/>
  <c r="AB1183" i="1"/>
  <c r="Y1183" i="1"/>
  <c r="AI1183" i="1" s="1"/>
  <c r="Q1183" i="1" s="1"/>
  <c r="X1183" i="1"/>
  <c r="V1183" i="1"/>
  <c r="T1183" i="1"/>
  <c r="AY964" i="1"/>
  <c r="AX964" i="1"/>
  <c r="AV964" i="1"/>
  <c r="AT964" i="1"/>
  <c r="AQ964" i="1"/>
  <c r="BA964" i="1" s="1"/>
  <c r="AP964" i="1"/>
  <c r="AN964" i="1"/>
  <c r="AL964" i="1"/>
  <c r="AG964" i="1"/>
  <c r="AF964" i="1"/>
  <c r="AD964" i="1"/>
  <c r="AB964" i="1"/>
  <c r="Y964" i="1"/>
  <c r="AI964" i="1" s="1"/>
  <c r="Q964" i="1" s="1"/>
  <c r="X964" i="1"/>
  <c r="V964" i="1"/>
  <c r="T964" i="1"/>
  <c r="AY406" i="1"/>
  <c r="AX406" i="1"/>
  <c r="AV406" i="1"/>
  <c r="AT406" i="1"/>
  <c r="AQ406" i="1"/>
  <c r="AP406" i="1"/>
  <c r="AN406" i="1"/>
  <c r="AL406" i="1"/>
  <c r="AG406" i="1"/>
  <c r="AF406" i="1"/>
  <c r="AD406" i="1"/>
  <c r="AB406" i="1"/>
  <c r="Y406" i="1"/>
  <c r="AI406" i="1" s="1"/>
  <c r="X406" i="1"/>
  <c r="V406" i="1"/>
  <c r="T406" i="1"/>
  <c r="AY50" i="1"/>
  <c r="AX50" i="1"/>
  <c r="AV50" i="1"/>
  <c r="AT50" i="1"/>
  <c r="AQ50" i="1"/>
  <c r="BA50" i="1" s="1"/>
  <c r="AP50" i="1"/>
  <c r="AN50" i="1"/>
  <c r="AL50" i="1"/>
  <c r="AG50" i="1"/>
  <c r="AF50" i="1"/>
  <c r="AD50" i="1"/>
  <c r="AB50" i="1"/>
  <c r="Y50" i="1"/>
  <c r="X50" i="1"/>
  <c r="V50" i="1"/>
  <c r="T50" i="1"/>
  <c r="AY51" i="1"/>
  <c r="AX51" i="1"/>
  <c r="AV51" i="1"/>
  <c r="AT51" i="1"/>
  <c r="AQ51" i="1"/>
  <c r="AP51" i="1"/>
  <c r="AN51" i="1"/>
  <c r="AL51" i="1"/>
  <c r="AG51" i="1"/>
  <c r="AF51" i="1"/>
  <c r="AD51" i="1"/>
  <c r="AB51" i="1"/>
  <c r="Y51" i="1"/>
  <c r="AI51" i="1" s="1"/>
  <c r="X51" i="1"/>
  <c r="V51" i="1"/>
  <c r="T51" i="1"/>
  <c r="AY52" i="1"/>
  <c r="AX52" i="1"/>
  <c r="AV52" i="1"/>
  <c r="AT52" i="1"/>
  <c r="AQ52" i="1"/>
  <c r="BA52" i="1" s="1"/>
  <c r="AP52" i="1"/>
  <c r="AN52" i="1"/>
  <c r="AL52" i="1"/>
  <c r="AG52" i="1"/>
  <c r="AF52" i="1"/>
  <c r="AD52" i="1"/>
  <c r="AB52" i="1"/>
  <c r="Y52" i="1"/>
  <c r="X52" i="1"/>
  <c r="V52" i="1"/>
  <c r="T52" i="1"/>
  <c r="BA51" i="1" l="1"/>
  <c r="Q51" i="1" s="1"/>
  <c r="BA406" i="1"/>
  <c r="Q406" i="1" s="1"/>
  <c r="AI466" i="1"/>
  <c r="Q466" i="1" s="1"/>
  <c r="AI52" i="1"/>
  <c r="Q52" i="1" s="1"/>
  <c r="R1064" i="1"/>
  <c r="AI362" i="1"/>
  <c r="Q362" i="1" s="1"/>
  <c r="R1046" i="1"/>
  <c r="R1180" i="1"/>
  <c r="R1173" i="1"/>
  <c r="AH434" i="1"/>
  <c r="AZ434" i="1"/>
  <c r="AH437" i="1"/>
  <c r="AZ437" i="1"/>
  <c r="AH1197" i="1"/>
  <c r="AZ1197" i="1"/>
  <c r="AR434" i="1"/>
  <c r="AR437" i="1"/>
  <c r="BB437" i="1" s="1"/>
  <c r="Z1197" i="1"/>
  <c r="AJ1197" i="1" s="1"/>
  <c r="AR1197" i="1"/>
  <c r="BA200" i="1"/>
  <c r="AH200" i="1"/>
  <c r="AR200" i="1"/>
  <c r="AZ200" i="1"/>
  <c r="Z200" i="1"/>
  <c r="AI200" i="1"/>
  <c r="Z201" i="1"/>
  <c r="AH201" i="1"/>
  <c r="AR201" i="1"/>
  <c r="AZ201" i="1"/>
  <c r="BA437" i="1"/>
  <c r="Q437" i="1" s="1"/>
  <c r="Z437" i="1"/>
  <c r="Z434" i="1"/>
  <c r="AH1227" i="1"/>
  <c r="AR1227" i="1"/>
  <c r="Z466" i="1"/>
  <c r="AH466" i="1"/>
  <c r="AR466" i="1"/>
  <c r="AZ466" i="1"/>
  <c r="Z697" i="1"/>
  <c r="AH697" i="1"/>
  <c r="AR697" i="1"/>
  <c r="AZ697" i="1"/>
  <c r="AH362" i="1"/>
  <c r="AR362" i="1"/>
  <c r="AZ362" i="1"/>
  <c r="AH361" i="1"/>
  <c r="AR361" i="1"/>
  <c r="AZ361" i="1"/>
  <c r="Z362" i="1"/>
  <c r="Z361" i="1"/>
  <c r="AJ361" i="1" s="1"/>
  <c r="AH406" i="1"/>
  <c r="AI1191" i="1"/>
  <c r="Q1191" i="1" s="1"/>
  <c r="AZ1227" i="1"/>
  <c r="Z1227" i="1"/>
  <c r="Z1191" i="1"/>
  <c r="AH1191" i="1"/>
  <c r="AR1191" i="1"/>
  <c r="AZ1191" i="1"/>
  <c r="Z1224" i="1"/>
  <c r="AH1224" i="1"/>
  <c r="AR1224" i="1"/>
  <c r="AZ1224" i="1"/>
  <c r="Z1183" i="1"/>
  <c r="AH1183" i="1"/>
  <c r="AR1183" i="1"/>
  <c r="AZ1183" i="1"/>
  <c r="AI50" i="1"/>
  <c r="Q50" i="1" s="1"/>
  <c r="Z964" i="1"/>
  <c r="AH964" i="1"/>
  <c r="AR964" i="1"/>
  <c r="AZ964" i="1"/>
  <c r="AR406" i="1"/>
  <c r="AZ406" i="1"/>
  <c r="Z406" i="1"/>
  <c r="Z50" i="1"/>
  <c r="AH50" i="1"/>
  <c r="AR50" i="1"/>
  <c r="AZ50" i="1"/>
  <c r="Z52" i="1"/>
  <c r="AH52" i="1"/>
  <c r="AR52" i="1"/>
  <c r="AZ52" i="1"/>
  <c r="Z51" i="1"/>
  <c r="AH51" i="1"/>
  <c r="AR51" i="1"/>
  <c r="AZ51" i="1"/>
  <c r="BB434" i="1" l="1"/>
  <c r="AJ434" i="1"/>
  <c r="BB1197" i="1"/>
  <c r="R1197" i="1" s="1"/>
  <c r="AJ437" i="1"/>
  <c r="R437" i="1" s="1"/>
  <c r="AJ200" i="1"/>
  <c r="Q200" i="1"/>
  <c r="BB1227" i="1"/>
  <c r="BB200" i="1"/>
  <c r="R200" i="1" s="1"/>
  <c r="BB201" i="1"/>
  <c r="AJ201" i="1"/>
  <c r="BB362" i="1"/>
  <c r="AJ362" i="1"/>
  <c r="BB697" i="1"/>
  <c r="BB466" i="1"/>
  <c r="AJ1227" i="1"/>
  <c r="BB361" i="1"/>
  <c r="R361" i="1" s="1"/>
  <c r="AJ697" i="1"/>
  <c r="R697" i="1" s="1"/>
  <c r="AJ466" i="1"/>
  <c r="R466" i="1" s="1"/>
  <c r="AJ406" i="1"/>
  <c r="BB1191" i="1"/>
  <c r="AJ1224" i="1"/>
  <c r="AJ1191" i="1"/>
  <c r="BB1224" i="1"/>
  <c r="BB964" i="1"/>
  <c r="BB1183" i="1"/>
  <c r="AJ1183" i="1"/>
  <c r="BB406" i="1"/>
  <c r="AJ964" i="1"/>
  <c r="R964" i="1" s="1"/>
  <c r="BB50" i="1"/>
  <c r="AJ50" i="1"/>
  <c r="BB52" i="1"/>
  <c r="BB51" i="1"/>
  <c r="AJ51" i="1"/>
  <c r="AJ52" i="1"/>
  <c r="R434" i="1" l="1"/>
  <c r="R1227" i="1"/>
  <c r="R406" i="1"/>
  <c r="R201" i="1"/>
  <c r="R362" i="1"/>
  <c r="R50" i="1"/>
  <c r="R52" i="1"/>
  <c r="R1191" i="1"/>
  <c r="R1224" i="1"/>
  <c r="R1183" i="1"/>
  <c r="R51" i="1"/>
  <c r="AQ947" i="1" l="1"/>
  <c r="AG947" i="1"/>
  <c r="Y947" i="1"/>
  <c r="Y945" i="1"/>
  <c r="AG936" i="1"/>
  <c r="Y850" i="1"/>
  <c r="Y845" i="1"/>
  <c r="Y843" i="1"/>
  <c r="Y863" i="1"/>
  <c r="AT662" i="1"/>
  <c r="AN662" i="1"/>
  <c r="AL662" i="1"/>
  <c r="AM149" i="1"/>
  <c r="AY64" i="1"/>
  <c r="AQ64" i="1"/>
  <c r="AQ47" i="1"/>
  <c r="AG64" i="1"/>
  <c r="Y64" i="1"/>
  <c r="AG47" i="1"/>
  <c r="Y47" i="1"/>
  <c r="AX64" i="1"/>
  <c r="AV64" i="1"/>
  <c r="AT64" i="1"/>
  <c r="AP64" i="1"/>
  <c r="AN64" i="1"/>
  <c r="AL64" i="1"/>
  <c r="AF64" i="1"/>
  <c r="AD64" i="1"/>
  <c r="AB64" i="1"/>
  <c r="X64" i="1"/>
  <c r="V64" i="1"/>
  <c r="T64" i="1"/>
  <c r="AY173" i="1"/>
  <c r="AX173" i="1"/>
  <c r="AV173" i="1"/>
  <c r="AT173" i="1"/>
  <c r="AQ173" i="1"/>
  <c r="AP173" i="1"/>
  <c r="AN173" i="1"/>
  <c r="AL173" i="1"/>
  <c r="AG173" i="1"/>
  <c r="AF173" i="1"/>
  <c r="AD173" i="1"/>
  <c r="AB173" i="1"/>
  <c r="Y173" i="1"/>
  <c r="X173" i="1"/>
  <c r="V173" i="1"/>
  <c r="T173" i="1"/>
  <c r="AX401" i="1"/>
  <c r="AY850" i="1"/>
  <c r="AX850" i="1"/>
  <c r="AV850" i="1"/>
  <c r="AT850" i="1"/>
  <c r="AQ850" i="1"/>
  <c r="AP850" i="1"/>
  <c r="AN850" i="1"/>
  <c r="AL850" i="1"/>
  <c r="AG850" i="1"/>
  <c r="AF850" i="1"/>
  <c r="AD850" i="1"/>
  <c r="AB850" i="1"/>
  <c r="X850" i="1"/>
  <c r="V850" i="1"/>
  <c r="T850" i="1"/>
  <c r="BA850" i="1" l="1"/>
  <c r="AI850" i="1"/>
  <c r="AI64" i="1"/>
  <c r="AR64" i="1"/>
  <c r="AH64" i="1"/>
  <c r="Z64" i="1"/>
  <c r="AI47" i="1"/>
  <c r="BA64" i="1"/>
  <c r="AZ64" i="1"/>
  <c r="Z850" i="1"/>
  <c r="AH850" i="1"/>
  <c r="AR850" i="1"/>
  <c r="AZ850" i="1"/>
  <c r="AI173" i="1"/>
  <c r="BA173" i="1"/>
  <c r="AZ173" i="1"/>
  <c r="Z173" i="1"/>
  <c r="AH173" i="1"/>
  <c r="AR173" i="1"/>
  <c r="Q850" i="1" l="1"/>
  <c r="Q64" i="1"/>
  <c r="BB64" i="1"/>
  <c r="AJ64" i="1"/>
  <c r="BB850" i="1"/>
  <c r="AJ850" i="1"/>
  <c r="Q173" i="1"/>
  <c r="BB173" i="1"/>
  <c r="AJ173" i="1"/>
  <c r="R850" i="1" l="1"/>
  <c r="R64" i="1"/>
  <c r="R173" i="1"/>
  <c r="AY53" i="1" l="1"/>
  <c r="AX53" i="1"/>
  <c r="AV53" i="1"/>
  <c r="AT53" i="1"/>
  <c r="AQ53" i="1"/>
  <c r="AP53" i="1"/>
  <c r="AN53" i="1"/>
  <c r="AL53" i="1"/>
  <c r="AG53" i="1"/>
  <c r="AF53" i="1"/>
  <c r="AD53" i="1"/>
  <c r="AB53" i="1"/>
  <c r="Y53" i="1"/>
  <c r="X53" i="1"/>
  <c r="V53" i="1"/>
  <c r="T53" i="1"/>
  <c r="AY436" i="1"/>
  <c r="AX436" i="1"/>
  <c r="AV436" i="1"/>
  <c r="AT436" i="1"/>
  <c r="AQ436" i="1"/>
  <c r="BA436" i="1" s="1"/>
  <c r="AP436" i="1"/>
  <c r="AN436" i="1"/>
  <c r="AL436" i="1"/>
  <c r="AG436" i="1"/>
  <c r="AF436" i="1"/>
  <c r="AD436" i="1"/>
  <c r="AB436" i="1"/>
  <c r="Y436" i="1"/>
  <c r="AI436" i="1" s="1"/>
  <c r="Q436" i="1" s="1"/>
  <c r="X436" i="1"/>
  <c r="V436" i="1"/>
  <c r="T436" i="1"/>
  <c r="AY435" i="1"/>
  <c r="AX435" i="1"/>
  <c r="AV435" i="1"/>
  <c r="AT435" i="1"/>
  <c r="AQ435" i="1"/>
  <c r="AP435" i="1"/>
  <c r="AN435" i="1"/>
  <c r="AL435" i="1"/>
  <c r="AG435" i="1"/>
  <c r="AF435" i="1"/>
  <c r="AD435" i="1"/>
  <c r="AB435" i="1"/>
  <c r="Y435" i="1"/>
  <c r="AI435" i="1" s="1"/>
  <c r="X435" i="1"/>
  <c r="V435" i="1"/>
  <c r="T435" i="1"/>
  <c r="AY195" i="1"/>
  <c r="AX195" i="1"/>
  <c r="AV195" i="1"/>
  <c r="AT195" i="1"/>
  <c r="AQ195" i="1"/>
  <c r="BA195" i="1" s="1"/>
  <c r="AP195" i="1"/>
  <c r="AN195" i="1"/>
  <c r="AL195" i="1"/>
  <c r="AG195" i="1"/>
  <c r="AF195" i="1"/>
  <c r="AD195" i="1"/>
  <c r="AB195" i="1"/>
  <c r="Y195" i="1"/>
  <c r="AI195" i="1" s="1"/>
  <c r="X195" i="1"/>
  <c r="V195" i="1"/>
  <c r="T195" i="1"/>
  <c r="AY194" i="1"/>
  <c r="AX194" i="1"/>
  <c r="AV194" i="1"/>
  <c r="AT194" i="1"/>
  <c r="AQ194" i="1"/>
  <c r="AP194" i="1"/>
  <c r="AN194" i="1"/>
  <c r="AL194" i="1"/>
  <c r="AG194" i="1"/>
  <c r="AF194" i="1"/>
  <c r="AD194" i="1"/>
  <c r="AB194" i="1"/>
  <c r="Y194" i="1"/>
  <c r="AI194" i="1" s="1"/>
  <c r="X194" i="1"/>
  <c r="V194" i="1"/>
  <c r="T194" i="1"/>
  <c r="AY517" i="1"/>
  <c r="AX517" i="1"/>
  <c r="AV517" i="1"/>
  <c r="AT517" i="1"/>
  <c r="AQ517" i="1"/>
  <c r="BA517" i="1" s="1"/>
  <c r="AP517" i="1"/>
  <c r="AN517" i="1"/>
  <c r="AL517" i="1"/>
  <c r="AG517" i="1"/>
  <c r="AF517" i="1"/>
  <c r="AD517" i="1"/>
  <c r="AB517" i="1"/>
  <c r="Y517" i="1"/>
  <c r="X517" i="1"/>
  <c r="V517" i="1"/>
  <c r="T517" i="1"/>
  <c r="C4579" i="4"/>
  <c r="C4578" i="4"/>
  <c r="C4577" i="4"/>
  <c r="C4576" i="4"/>
  <c r="C4575" i="4"/>
  <c r="C4574" i="4"/>
  <c r="C4573" i="4"/>
  <c r="C4572" i="4"/>
  <c r="C4571" i="4"/>
  <c r="C4570" i="4"/>
  <c r="C4569" i="4"/>
  <c r="C4568" i="4"/>
  <c r="C4567" i="4"/>
  <c r="C4566" i="4"/>
  <c r="C4565" i="4"/>
  <c r="C4564" i="4"/>
  <c r="C4563" i="4"/>
  <c r="C4562" i="4"/>
  <c r="C4561" i="4"/>
  <c r="C4560" i="4"/>
  <c r="C4559" i="4"/>
  <c r="C4558" i="4"/>
  <c r="C4557" i="4"/>
  <c r="C4556" i="4"/>
  <c r="C4555" i="4"/>
  <c r="C4554" i="4"/>
  <c r="C4553" i="4"/>
  <c r="C4552" i="4"/>
  <c r="C4551" i="4"/>
  <c r="C4550" i="4"/>
  <c r="C4549" i="4"/>
  <c r="C4548" i="4"/>
  <c r="C4547" i="4"/>
  <c r="C4546" i="4"/>
  <c r="C4545" i="4"/>
  <c r="C4544" i="4"/>
  <c r="C4543" i="4"/>
  <c r="C4542" i="4"/>
  <c r="C4541" i="4"/>
  <c r="C4540" i="4"/>
  <c r="C4539" i="4"/>
  <c r="C4538" i="4"/>
  <c r="C4537" i="4"/>
  <c r="C4536" i="4"/>
  <c r="C4535" i="4"/>
  <c r="C4534" i="4"/>
  <c r="C4533" i="4"/>
  <c r="C4532" i="4"/>
  <c r="C4531" i="4"/>
  <c r="C4530" i="4"/>
  <c r="C4529" i="4"/>
  <c r="C4528" i="4"/>
  <c r="C4527" i="4"/>
  <c r="C4526" i="4"/>
  <c r="C4525" i="4"/>
  <c r="C4524" i="4"/>
  <c r="C4523" i="4"/>
  <c r="C4522" i="4"/>
  <c r="C4521" i="4"/>
  <c r="C4520" i="4"/>
  <c r="C4519" i="4"/>
  <c r="C4518" i="4"/>
  <c r="C4517" i="4"/>
  <c r="C4516" i="4"/>
  <c r="C4515" i="4"/>
  <c r="C4514" i="4"/>
  <c r="C4513" i="4"/>
  <c r="C4512" i="4"/>
  <c r="C4511" i="4"/>
  <c r="C4510" i="4"/>
  <c r="C4509" i="4"/>
  <c r="C4508" i="4"/>
  <c r="C4507" i="4"/>
  <c r="C4506" i="4"/>
  <c r="C4505" i="4"/>
  <c r="C4504" i="4"/>
  <c r="C4503" i="4"/>
  <c r="C4502" i="4"/>
  <c r="C4501" i="4"/>
  <c r="C4500" i="4"/>
  <c r="C4499" i="4"/>
  <c r="C4498" i="4"/>
  <c r="C4497" i="4"/>
  <c r="C4496" i="4"/>
  <c r="C4495" i="4"/>
  <c r="C4494" i="4"/>
  <c r="C4493" i="4"/>
  <c r="C4492" i="4"/>
  <c r="C4491" i="4"/>
  <c r="C4490" i="4"/>
  <c r="C4489" i="4"/>
  <c r="C4488" i="4"/>
  <c r="C4487" i="4"/>
  <c r="C4486" i="4"/>
  <c r="C4485" i="4"/>
  <c r="C4484" i="4"/>
  <c r="C4483" i="4"/>
  <c r="C4482" i="4"/>
  <c r="C4481" i="4"/>
  <c r="C4480" i="4"/>
  <c r="C4479" i="4"/>
  <c r="C4478" i="4"/>
  <c r="C4477" i="4"/>
  <c r="C4476" i="4"/>
  <c r="C4475" i="4"/>
  <c r="C4474" i="4"/>
  <c r="C4473" i="4"/>
  <c r="C4472" i="4"/>
  <c r="C4471" i="4"/>
  <c r="C4470" i="4"/>
  <c r="C4469" i="4"/>
  <c r="C4468" i="4"/>
  <c r="C4467" i="4"/>
  <c r="C4466" i="4"/>
  <c r="C4465" i="4"/>
  <c r="C4464" i="4"/>
  <c r="C4463" i="4"/>
  <c r="C4462" i="4"/>
  <c r="C4461" i="4"/>
  <c r="C4460" i="4"/>
  <c r="C4459" i="4"/>
  <c r="C4458" i="4"/>
  <c r="C4457" i="4"/>
  <c r="C4456" i="4"/>
  <c r="C4455" i="4"/>
  <c r="C4454" i="4"/>
  <c r="C4453" i="4"/>
  <c r="C4452" i="4"/>
  <c r="C4451" i="4"/>
  <c r="C4450" i="4"/>
  <c r="C4449" i="4"/>
  <c r="C4448" i="4"/>
  <c r="C4447" i="4"/>
  <c r="C4446" i="4"/>
  <c r="C4445" i="4"/>
  <c r="C4444" i="4"/>
  <c r="C4443" i="4"/>
  <c r="C4442" i="4"/>
  <c r="C4441" i="4"/>
  <c r="C4440" i="4"/>
  <c r="C4439" i="4"/>
  <c r="C4438" i="4"/>
  <c r="C4437" i="4"/>
  <c r="C4436" i="4"/>
  <c r="C4435" i="4"/>
  <c r="C4434" i="4"/>
  <c r="C4433" i="4"/>
  <c r="C4432" i="4"/>
  <c r="C4431" i="4"/>
  <c r="C4430" i="4"/>
  <c r="C4429" i="4"/>
  <c r="C4428" i="4"/>
  <c r="C4427" i="4"/>
  <c r="C4426" i="4"/>
  <c r="C4425" i="4"/>
  <c r="C4424" i="4"/>
  <c r="C4423" i="4"/>
  <c r="C4422" i="4"/>
  <c r="C4421" i="4"/>
  <c r="C4420" i="4"/>
  <c r="C4419" i="4"/>
  <c r="C4418" i="4"/>
  <c r="C4417" i="4"/>
  <c r="C4416" i="4"/>
  <c r="C4415" i="4"/>
  <c r="C4414" i="4"/>
  <c r="C4413" i="4"/>
  <c r="C4412" i="4"/>
  <c r="C4411" i="4"/>
  <c r="C4410" i="4"/>
  <c r="C4409" i="4"/>
  <c r="C4408" i="4"/>
  <c r="C4407" i="4"/>
  <c r="C4406" i="4"/>
  <c r="C4405" i="4"/>
  <c r="C4404" i="4"/>
  <c r="C4403" i="4"/>
  <c r="C4402" i="4"/>
  <c r="C4401" i="4"/>
  <c r="C4400" i="4"/>
  <c r="C4399" i="4"/>
  <c r="C4398" i="4"/>
  <c r="C4397" i="4"/>
  <c r="C4396" i="4"/>
  <c r="C4395" i="4"/>
  <c r="C4394" i="4"/>
  <c r="C4393" i="4"/>
  <c r="C4392" i="4"/>
  <c r="C4391" i="4"/>
  <c r="C4390" i="4"/>
  <c r="C4389" i="4"/>
  <c r="C4388" i="4"/>
  <c r="C4387" i="4"/>
  <c r="C4386" i="4"/>
  <c r="C4385" i="4"/>
  <c r="C4384" i="4"/>
  <c r="C4383" i="4"/>
  <c r="C4382" i="4"/>
  <c r="C4381" i="4"/>
  <c r="C4380" i="4"/>
  <c r="C4379" i="4"/>
  <c r="C4378" i="4"/>
  <c r="C4377" i="4"/>
  <c r="C4376" i="4"/>
  <c r="C4375" i="4"/>
  <c r="C4374" i="4"/>
  <c r="C4373" i="4"/>
  <c r="C4372" i="4"/>
  <c r="C4371" i="4"/>
  <c r="C4370" i="4"/>
  <c r="C4369" i="4"/>
  <c r="C4368" i="4"/>
  <c r="C4367" i="4"/>
  <c r="C4366" i="4"/>
  <c r="C4365" i="4"/>
  <c r="C4364" i="4"/>
  <c r="C4363" i="4"/>
  <c r="C4362" i="4"/>
  <c r="C4361" i="4"/>
  <c r="C4360" i="4"/>
  <c r="C4359" i="4"/>
  <c r="C4358" i="4"/>
  <c r="C4357" i="4"/>
  <c r="C4356" i="4"/>
  <c r="C4355" i="4"/>
  <c r="C4354" i="4"/>
  <c r="C4353" i="4"/>
  <c r="C4352" i="4"/>
  <c r="C4351" i="4"/>
  <c r="C4350" i="4"/>
  <c r="C4349" i="4"/>
  <c r="C4348" i="4"/>
  <c r="C4347" i="4"/>
  <c r="C4346" i="4"/>
  <c r="C4345" i="4"/>
  <c r="C4344" i="4"/>
  <c r="C4343" i="4"/>
  <c r="C4342" i="4"/>
  <c r="C4341" i="4"/>
  <c r="C4340" i="4"/>
  <c r="C4339" i="4"/>
  <c r="C4338" i="4"/>
  <c r="C4337" i="4"/>
  <c r="C4336" i="4"/>
  <c r="C4335" i="4"/>
  <c r="C4334" i="4"/>
  <c r="C4333" i="4"/>
  <c r="C4332" i="4"/>
  <c r="C4331" i="4"/>
  <c r="C4330" i="4"/>
  <c r="C4329" i="4"/>
  <c r="C4328" i="4"/>
  <c r="C4327" i="4"/>
  <c r="C4326" i="4"/>
  <c r="C4325" i="4"/>
  <c r="C4324" i="4"/>
  <c r="C4323" i="4"/>
  <c r="C4322" i="4"/>
  <c r="C4321" i="4"/>
  <c r="C4320" i="4"/>
  <c r="C4319" i="4"/>
  <c r="C4318" i="4"/>
  <c r="C4317" i="4"/>
  <c r="C4316" i="4"/>
  <c r="C4315" i="4"/>
  <c r="C4314" i="4"/>
  <c r="C4313" i="4"/>
  <c r="C4312" i="4"/>
  <c r="C4311" i="4"/>
  <c r="C4310" i="4"/>
  <c r="C4309" i="4"/>
  <c r="C4308" i="4"/>
  <c r="C4307" i="4"/>
  <c r="C4306" i="4"/>
  <c r="C4305" i="4"/>
  <c r="C4304" i="4"/>
  <c r="C4303" i="4"/>
  <c r="C4302" i="4"/>
  <c r="C4301" i="4"/>
  <c r="C4300" i="4"/>
  <c r="C4299" i="4"/>
  <c r="C4298" i="4"/>
  <c r="C4297" i="4"/>
  <c r="C4296" i="4"/>
  <c r="C4295" i="4"/>
  <c r="C4294" i="4"/>
  <c r="C4293" i="4"/>
  <c r="C4292" i="4"/>
  <c r="C4291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AI517" i="1" l="1"/>
  <c r="Q517" i="1" s="1"/>
  <c r="AI53" i="1"/>
  <c r="BA53" i="1"/>
  <c r="Z53" i="1"/>
  <c r="AR53" i="1"/>
  <c r="AZ53" i="1"/>
  <c r="AH53" i="1"/>
  <c r="Z436" i="1"/>
  <c r="AH436" i="1"/>
  <c r="AR436" i="1"/>
  <c r="AZ436" i="1"/>
  <c r="Q195" i="1"/>
  <c r="Z517" i="1"/>
  <c r="AR517" i="1"/>
  <c r="Z435" i="1"/>
  <c r="AH435" i="1"/>
  <c r="AR435" i="1"/>
  <c r="AZ435" i="1"/>
  <c r="BA435" i="1"/>
  <c r="Q435" i="1" s="1"/>
  <c r="AR194" i="1"/>
  <c r="Z195" i="1"/>
  <c r="AH195" i="1"/>
  <c r="AR195" i="1"/>
  <c r="BA194" i="1"/>
  <c r="Q194" i="1" s="1"/>
  <c r="AZ195" i="1"/>
  <c r="AZ194" i="1"/>
  <c r="AH194" i="1"/>
  <c r="Z194" i="1"/>
  <c r="AZ517" i="1"/>
  <c r="AH517" i="1"/>
  <c r="I1" i="4"/>
  <c r="C4206" i="4"/>
  <c r="C4205" i="4"/>
  <c r="C4204" i="4"/>
  <c r="C4203" i="4"/>
  <c r="C4202" i="4"/>
  <c r="C4201" i="4"/>
  <c r="C4200" i="4"/>
  <c r="C4199" i="4"/>
  <c r="C4198" i="4"/>
  <c r="C4197" i="4"/>
  <c r="C4196" i="4"/>
  <c r="C4195" i="4"/>
  <c r="C4194" i="4"/>
  <c r="C4193" i="4"/>
  <c r="C4192" i="4"/>
  <c r="C4191" i="4"/>
  <c r="C4190" i="4"/>
  <c r="C4189" i="4"/>
  <c r="C4188" i="4"/>
  <c r="C4187" i="4"/>
  <c r="C4186" i="4"/>
  <c r="C4185" i="4"/>
  <c r="C4184" i="4"/>
  <c r="C4183" i="4"/>
  <c r="C4182" i="4"/>
  <c r="C4181" i="4"/>
  <c r="C4180" i="4"/>
  <c r="C4179" i="4"/>
  <c r="C4178" i="4"/>
  <c r="C4177" i="4"/>
  <c r="C4176" i="4"/>
  <c r="C4175" i="4"/>
  <c r="C4174" i="4"/>
  <c r="C4173" i="4"/>
  <c r="C4172" i="4"/>
  <c r="C4171" i="4"/>
  <c r="C4170" i="4"/>
  <c r="C4169" i="4"/>
  <c r="C4168" i="4"/>
  <c r="C4167" i="4"/>
  <c r="C4166" i="4"/>
  <c r="C4165" i="4"/>
  <c r="C4164" i="4"/>
  <c r="C4163" i="4"/>
  <c r="C4162" i="4"/>
  <c r="C4161" i="4"/>
  <c r="C4160" i="4"/>
  <c r="C4159" i="4"/>
  <c r="C4158" i="4"/>
  <c r="C4157" i="4"/>
  <c r="C4156" i="4"/>
  <c r="C4155" i="4"/>
  <c r="C4154" i="4"/>
  <c r="C4153" i="4"/>
  <c r="C4152" i="4"/>
  <c r="C4151" i="4"/>
  <c r="C4150" i="4"/>
  <c r="C4149" i="4"/>
  <c r="C4148" i="4"/>
  <c r="C4147" i="4"/>
  <c r="C4146" i="4"/>
  <c r="C4145" i="4"/>
  <c r="C4144" i="4"/>
  <c r="C4143" i="4"/>
  <c r="C4142" i="4"/>
  <c r="C4141" i="4"/>
  <c r="C4140" i="4"/>
  <c r="C4139" i="4"/>
  <c r="C4138" i="4"/>
  <c r="C4137" i="4"/>
  <c r="C4136" i="4"/>
  <c r="C4135" i="4"/>
  <c r="C4134" i="4"/>
  <c r="C4133" i="4"/>
  <c r="C4132" i="4"/>
  <c r="C4131" i="4"/>
  <c r="C4130" i="4"/>
  <c r="C4129" i="4"/>
  <c r="C4128" i="4"/>
  <c r="C4127" i="4"/>
  <c r="C4126" i="4"/>
  <c r="C4125" i="4"/>
  <c r="C4124" i="4"/>
  <c r="C4123" i="4"/>
  <c r="C4122" i="4"/>
  <c r="C4121" i="4"/>
  <c r="C4120" i="4"/>
  <c r="C4119" i="4"/>
  <c r="C4118" i="4"/>
  <c r="C4117" i="4"/>
  <c r="C4116" i="4"/>
  <c r="C4115" i="4"/>
  <c r="C4114" i="4"/>
  <c r="C4113" i="4"/>
  <c r="C4112" i="4"/>
  <c r="C4111" i="4"/>
  <c r="C4110" i="4"/>
  <c r="C4109" i="4"/>
  <c r="C4108" i="4"/>
  <c r="C4107" i="4"/>
  <c r="C4106" i="4"/>
  <c r="C4105" i="4"/>
  <c r="C4104" i="4"/>
  <c r="C4103" i="4"/>
  <c r="C4102" i="4"/>
  <c r="C4101" i="4"/>
  <c r="C4100" i="4"/>
  <c r="C4099" i="4"/>
  <c r="C4098" i="4"/>
  <c r="C4097" i="4"/>
  <c r="C4096" i="4"/>
  <c r="C4095" i="4"/>
  <c r="C4094" i="4"/>
  <c r="C4093" i="4"/>
  <c r="C4092" i="4"/>
  <c r="C4091" i="4"/>
  <c r="C4090" i="4"/>
  <c r="C4089" i="4"/>
  <c r="C4088" i="4"/>
  <c r="C4087" i="4"/>
  <c r="C4086" i="4"/>
  <c r="C4085" i="4"/>
  <c r="C4084" i="4"/>
  <c r="C4083" i="4"/>
  <c r="C4082" i="4"/>
  <c r="C4081" i="4"/>
  <c r="C4080" i="4"/>
  <c r="C4079" i="4"/>
  <c r="C4078" i="4"/>
  <c r="C4077" i="4"/>
  <c r="C4076" i="4"/>
  <c r="C4075" i="4"/>
  <c r="C4074" i="4"/>
  <c r="C4073" i="4"/>
  <c r="C4072" i="4"/>
  <c r="C4071" i="4"/>
  <c r="C4070" i="4"/>
  <c r="C4069" i="4"/>
  <c r="C4068" i="4"/>
  <c r="C4067" i="4"/>
  <c r="C4066" i="4"/>
  <c r="C4065" i="4"/>
  <c r="C4064" i="4"/>
  <c r="C4063" i="4"/>
  <c r="C4062" i="4"/>
  <c r="C4061" i="4"/>
  <c r="C4060" i="4"/>
  <c r="C4059" i="4"/>
  <c r="C4058" i="4"/>
  <c r="C4057" i="4"/>
  <c r="C4056" i="4"/>
  <c r="C4055" i="4"/>
  <c r="C4054" i="4"/>
  <c r="C4053" i="4"/>
  <c r="C4052" i="4"/>
  <c r="C4051" i="4"/>
  <c r="C4050" i="4"/>
  <c r="C4049" i="4"/>
  <c r="C4048" i="4"/>
  <c r="C4047" i="4"/>
  <c r="C4046" i="4"/>
  <c r="C4045" i="4"/>
  <c r="C4044" i="4"/>
  <c r="C4043" i="4"/>
  <c r="C4042" i="4"/>
  <c r="C4041" i="4"/>
  <c r="C4040" i="4"/>
  <c r="C4039" i="4"/>
  <c r="C4038" i="4"/>
  <c r="C4037" i="4"/>
  <c r="C4036" i="4"/>
  <c r="C4035" i="4"/>
  <c r="C4034" i="4"/>
  <c r="C4033" i="4"/>
  <c r="C4032" i="4"/>
  <c r="C4031" i="4"/>
  <c r="C4030" i="4"/>
  <c r="C4029" i="4"/>
  <c r="C4028" i="4"/>
  <c r="C4027" i="4"/>
  <c r="C4026" i="4"/>
  <c r="C4025" i="4"/>
  <c r="C4024" i="4"/>
  <c r="C4023" i="4"/>
  <c r="C4022" i="4"/>
  <c r="C4021" i="4"/>
  <c r="C4020" i="4"/>
  <c r="C4019" i="4"/>
  <c r="C4018" i="4"/>
  <c r="C4017" i="4"/>
  <c r="C4016" i="4"/>
  <c r="C4015" i="4"/>
  <c r="C4014" i="4"/>
  <c r="C4013" i="4"/>
  <c r="C4012" i="4"/>
  <c r="C4011" i="4"/>
  <c r="C4010" i="4"/>
  <c r="C4009" i="4"/>
  <c r="C4008" i="4"/>
  <c r="C4007" i="4"/>
  <c r="C4006" i="4"/>
  <c r="C4005" i="4"/>
  <c r="C4004" i="4"/>
  <c r="C4003" i="4"/>
  <c r="C4002" i="4"/>
  <c r="C4001" i="4"/>
  <c r="C4000" i="4"/>
  <c r="C3999" i="4"/>
  <c r="C3998" i="4"/>
  <c r="C3997" i="4"/>
  <c r="C3996" i="4"/>
  <c r="C3995" i="4"/>
  <c r="C3994" i="4"/>
  <c r="C3993" i="4"/>
  <c r="C3992" i="4"/>
  <c r="C3991" i="4"/>
  <c r="C3990" i="4"/>
  <c r="C3989" i="4"/>
  <c r="C3988" i="4"/>
  <c r="C3987" i="4"/>
  <c r="C3986" i="4"/>
  <c r="C3985" i="4"/>
  <c r="C3984" i="4"/>
  <c r="C3983" i="4"/>
  <c r="C3982" i="4"/>
  <c r="C3981" i="4"/>
  <c r="C3980" i="4"/>
  <c r="C3979" i="4"/>
  <c r="C3978" i="4"/>
  <c r="C3977" i="4"/>
  <c r="C3976" i="4"/>
  <c r="C3975" i="4"/>
  <c r="C3974" i="4"/>
  <c r="C3973" i="4"/>
  <c r="C3972" i="4"/>
  <c r="C3971" i="4"/>
  <c r="C3970" i="4"/>
  <c r="C3969" i="4"/>
  <c r="C3968" i="4"/>
  <c r="C3967" i="4"/>
  <c r="C3966" i="4"/>
  <c r="C3965" i="4"/>
  <c r="C3964" i="4"/>
  <c r="C3963" i="4"/>
  <c r="C3962" i="4"/>
  <c r="C3961" i="4"/>
  <c r="C3960" i="4"/>
  <c r="C3959" i="4"/>
  <c r="C3958" i="4"/>
  <c r="C3957" i="4"/>
  <c r="C3956" i="4"/>
  <c r="C3955" i="4"/>
  <c r="C3954" i="4"/>
  <c r="C3953" i="4"/>
  <c r="C3952" i="4"/>
  <c r="C3951" i="4"/>
  <c r="C3950" i="4"/>
  <c r="C3949" i="4"/>
  <c r="C3948" i="4"/>
  <c r="C3947" i="4"/>
  <c r="C3946" i="4"/>
  <c r="C3945" i="4"/>
  <c r="C3944" i="4"/>
  <c r="C3943" i="4"/>
  <c r="C3942" i="4"/>
  <c r="C3941" i="4"/>
  <c r="C3940" i="4"/>
  <c r="C3939" i="4"/>
  <c r="C3938" i="4"/>
  <c r="C3937" i="4"/>
  <c r="C3936" i="4"/>
  <c r="C3935" i="4"/>
  <c r="C3934" i="4"/>
  <c r="C3933" i="4"/>
  <c r="C3932" i="4"/>
  <c r="C3931" i="4"/>
  <c r="C3930" i="4"/>
  <c r="C3929" i="4"/>
  <c r="C3928" i="4"/>
  <c r="C3927" i="4"/>
  <c r="C3926" i="4"/>
  <c r="C3925" i="4"/>
  <c r="C3924" i="4"/>
  <c r="C3923" i="4"/>
  <c r="C3922" i="4"/>
  <c r="C3921" i="4"/>
  <c r="C3920" i="4"/>
  <c r="C3919" i="4"/>
  <c r="C3918" i="4"/>
  <c r="C3917" i="4"/>
  <c r="C3916" i="4"/>
  <c r="C3915" i="4"/>
  <c r="C3914" i="4"/>
  <c r="C3913" i="4"/>
  <c r="C3912" i="4"/>
  <c r="C3911" i="4"/>
  <c r="C3910" i="4"/>
  <c r="C3909" i="4"/>
  <c r="C3908" i="4"/>
  <c r="C3907" i="4"/>
  <c r="C3906" i="4"/>
  <c r="C3905" i="4"/>
  <c r="C3904" i="4"/>
  <c r="C3903" i="4"/>
  <c r="C3902" i="4"/>
  <c r="C3901" i="4"/>
  <c r="C3900" i="4"/>
  <c r="C3899" i="4"/>
  <c r="C3898" i="4"/>
  <c r="C3897" i="4"/>
  <c r="C3896" i="4"/>
  <c r="C3895" i="4"/>
  <c r="C3894" i="4"/>
  <c r="C3893" i="4"/>
  <c r="C3892" i="4"/>
  <c r="C3891" i="4"/>
  <c r="C3890" i="4"/>
  <c r="C3889" i="4"/>
  <c r="C3888" i="4"/>
  <c r="C3887" i="4"/>
  <c r="C3886" i="4"/>
  <c r="C3885" i="4"/>
  <c r="C3884" i="4"/>
  <c r="C3883" i="4"/>
  <c r="C3882" i="4"/>
  <c r="C3881" i="4"/>
  <c r="C3880" i="4"/>
  <c r="C3879" i="4"/>
  <c r="C3878" i="4"/>
  <c r="C3877" i="4"/>
  <c r="C3876" i="4"/>
  <c r="C3875" i="4"/>
  <c r="C3874" i="4"/>
  <c r="C3873" i="4"/>
  <c r="C3872" i="4"/>
  <c r="C3871" i="4"/>
  <c r="C3870" i="4"/>
  <c r="C3869" i="4"/>
  <c r="C3868" i="4"/>
  <c r="C3867" i="4"/>
  <c r="C3866" i="4"/>
  <c r="C3865" i="4"/>
  <c r="C3864" i="4"/>
  <c r="C3863" i="4"/>
  <c r="C3862" i="4"/>
  <c r="C3861" i="4"/>
  <c r="C3860" i="4"/>
  <c r="C3859" i="4"/>
  <c r="C3858" i="4"/>
  <c r="C3857" i="4"/>
  <c r="C3856" i="4"/>
  <c r="C3855" i="4"/>
  <c r="C3854" i="4"/>
  <c r="C3853" i="4"/>
  <c r="C3852" i="4"/>
  <c r="C3851" i="4"/>
  <c r="C3850" i="4"/>
  <c r="C3849" i="4"/>
  <c r="C3848" i="4"/>
  <c r="C3847" i="4"/>
  <c r="C3846" i="4"/>
  <c r="C3845" i="4"/>
  <c r="C3844" i="4"/>
  <c r="C3843" i="4"/>
  <c r="C3842" i="4"/>
  <c r="C3841" i="4"/>
  <c r="C3840" i="4"/>
  <c r="C3839" i="4"/>
  <c r="C3838" i="4"/>
  <c r="C3837" i="4"/>
  <c r="C3836" i="4"/>
  <c r="C3835" i="4"/>
  <c r="C3834" i="4"/>
  <c r="C3833" i="4"/>
  <c r="C3832" i="4"/>
  <c r="C3831" i="4"/>
  <c r="C3830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AY925" i="1"/>
  <c r="AX925" i="1"/>
  <c r="AV925" i="1"/>
  <c r="AT925" i="1"/>
  <c r="AQ925" i="1"/>
  <c r="AP925" i="1"/>
  <c r="AN925" i="1"/>
  <c r="AL925" i="1"/>
  <c r="AG925" i="1"/>
  <c r="AF925" i="1"/>
  <c r="AD925" i="1"/>
  <c r="AB925" i="1"/>
  <c r="Y925" i="1"/>
  <c r="AI925" i="1" s="1"/>
  <c r="X925" i="1"/>
  <c r="V925" i="1"/>
  <c r="T925" i="1"/>
  <c r="AY926" i="1"/>
  <c r="AX926" i="1"/>
  <c r="AV926" i="1"/>
  <c r="AT926" i="1"/>
  <c r="AQ926" i="1"/>
  <c r="AP926" i="1"/>
  <c r="AN926" i="1"/>
  <c r="AL926" i="1"/>
  <c r="AG926" i="1"/>
  <c r="AF926" i="1"/>
  <c r="AD926" i="1"/>
  <c r="AB926" i="1"/>
  <c r="Y926" i="1"/>
  <c r="AI926" i="1" s="1"/>
  <c r="X926" i="1"/>
  <c r="V926" i="1"/>
  <c r="T926" i="1"/>
  <c r="AY923" i="1"/>
  <c r="AX923" i="1"/>
  <c r="AV923" i="1"/>
  <c r="AT923" i="1"/>
  <c r="AQ923" i="1"/>
  <c r="AP923" i="1"/>
  <c r="AN923" i="1"/>
  <c r="AL923" i="1"/>
  <c r="AG923" i="1"/>
  <c r="AF923" i="1"/>
  <c r="AD923" i="1"/>
  <c r="AB923" i="1"/>
  <c r="Y923" i="1"/>
  <c r="AI923" i="1" s="1"/>
  <c r="X923" i="1"/>
  <c r="V923" i="1"/>
  <c r="T923" i="1"/>
  <c r="AY924" i="1"/>
  <c r="AX924" i="1"/>
  <c r="AV924" i="1"/>
  <c r="AT924" i="1"/>
  <c r="AQ924" i="1"/>
  <c r="AP924" i="1"/>
  <c r="AN924" i="1"/>
  <c r="AL924" i="1"/>
  <c r="AG924" i="1"/>
  <c r="AF924" i="1"/>
  <c r="AD924" i="1"/>
  <c r="AB924" i="1"/>
  <c r="Y924" i="1"/>
  <c r="X924" i="1"/>
  <c r="V924" i="1"/>
  <c r="T924" i="1"/>
  <c r="AY927" i="1"/>
  <c r="AX927" i="1"/>
  <c r="AV927" i="1"/>
  <c r="AT927" i="1"/>
  <c r="AQ927" i="1"/>
  <c r="BA927" i="1" s="1"/>
  <c r="AP927" i="1"/>
  <c r="AN927" i="1"/>
  <c r="AL927" i="1"/>
  <c r="AG927" i="1"/>
  <c r="AF927" i="1"/>
  <c r="AD927" i="1"/>
  <c r="AB927" i="1"/>
  <c r="Y927" i="1"/>
  <c r="AI927" i="1" s="1"/>
  <c r="X927" i="1"/>
  <c r="V927" i="1"/>
  <c r="T927" i="1"/>
  <c r="AY928" i="1"/>
  <c r="AX928" i="1"/>
  <c r="AV928" i="1"/>
  <c r="AT928" i="1"/>
  <c r="AQ928" i="1"/>
  <c r="AP928" i="1"/>
  <c r="AN928" i="1"/>
  <c r="AL928" i="1"/>
  <c r="AG928" i="1"/>
  <c r="AF928" i="1"/>
  <c r="AD928" i="1"/>
  <c r="AB928" i="1"/>
  <c r="Y928" i="1"/>
  <c r="AI928" i="1" s="1"/>
  <c r="X928" i="1"/>
  <c r="V928" i="1"/>
  <c r="T928" i="1"/>
  <c r="AY400" i="1"/>
  <c r="AX400" i="1"/>
  <c r="AV400" i="1"/>
  <c r="AT400" i="1"/>
  <c r="AQ400" i="1"/>
  <c r="AP400" i="1"/>
  <c r="AN400" i="1"/>
  <c r="AL400" i="1"/>
  <c r="AG400" i="1"/>
  <c r="AF400" i="1"/>
  <c r="AD400" i="1"/>
  <c r="AB400" i="1"/>
  <c r="Y400" i="1"/>
  <c r="AI400" i="1" s="1"/>
  <c r="X400" i="1"/>
  <c r="V400" i="1"/>
  <c r="T400" i="1"/>
  <c r="AY397" i="1"/>
  <c r="AX397" i="1"/>
  <c r="AV397" i="1"/>
  <c r="AT397" i="1"/>
  <c r="AQ397" i="1"/>
  <c r="AP397" i="1"/>
  <c r="AN397" i="1"/>
  <c r="AL397" i="1"/>
  <c r="AG397" i="1"/>
  <c r="AF397" i="1"/>
  <c r="AD397" i="1"/>
  <c r="AB397" i="1"/>
  <c r="Y397" i="1"/>
  <c r="X397" i="1"/>
  <c r="V397" i="1"/>
  <c r="T397" i="1"/>
  <c r="AY399" i="1"/>
  <c r="AX399" i="1"/>
  <c r="AV399" i="1"/>
  <c r="AT399" i="1"/>
  <c r="AQ399" i="1"/>
  <c r="AP399" i="1"/>
  <c r="AN399" i="1"/>
  <c r="AL399" i="1"/>
  <c r="AG399" i="1"/>
  <c r="AF399" i="1"/>
  <c r="AD399" i="1"/>
  <c r="AB399" i="1"/>
  <c r="Y399" i="1"/>
  <c r="AI399" i="1" s="1"/>
  <c r="X399" i="1"/>
  <c r="V399" i="1"/>
  <c r="T399" i="1"/>
  <c r="AY722" i="1"/>
  <c r="AX722" i="1"/>
  <c r="AV722" i="1"/>
  <c r="AT722" i="1"/>
  <c r="AQ722" i="1"/>
  <c r="AP722" i="1"/>
  <c r="AN722" i="1"/>
  <c r="AL722" i="1"/>
  <c r="AG722" i="1"/>
  <c r="AF722" i="1"/>
  <c r="AD722" i="1"/>
  <c r="AB722" i="1"/>
  <c r="Y722" i="1"/>
  <c r="X722" i="1"/>
  <c r="V722" i="1"/>
  <c r="T722" i="1"/>
  <c r="AZ927" i="1" l="1"/>
  <c r="Z927" i="1"/>
  <c r="AH927" i="1"/>
  <c r="AR927" i="1"/>
  <c r="BA923" i="1"/>
  <c r="Q923" i="1" s="1"/>
  <c r="AI397" i="1"/>
  <c r="BB53" i="1"/>
  <c r="BA400" i="1"/>
  <c r="Q400" i="1" s="1"/>
  <c r="AJ53" i="1"/>
  <c r="Q53" i="1"/>
  <c r="BA399" i="1"/>
  <c r="Q399" i="1" s="1"/>
  <c r="BA397" i="1"/>
  <c r="BB436" i="1"/>
  <c r="BB517" i="1"/>
  <c r="AJ436" i="1"/>
  <c r="BB435" i="1"/>
  <c r="AJ435" i="1"/>
  <c r="AJ517" i="1"/>
  <c r="BB194" i="1"/>
  <c r="BB195" i="1"/>
  <c r="AJ195" i="1"/>
  <c r="AJ194" i="1"/>
  <c r="BA722" i="1"/>
  <c r="AI722" i="1"/>
  <c r="AR925" i="1"/>
  <c r="BA928" i="1"/>
  <c r="Q928" i="1" s="1"/>
  <c r="Q927" i="1"/>
  <c r="BA926" i="1"/>
  <c r="Q926" i="1" s="1"/>
  <c r="BA925" i="1"/>
  <c r="Q925" i="1" s="1"/>
  <c r="AZ925" i="1"/>
  <c r="BA924" i="1"/>
  <c r="Z926" i="1"/>
  <c r="AH926" i="1"/>
  <c r="Z925" i="1"/>
  <c r="AH925" i="1"/>
  <c r="AR926" i="1"/>
  <c r="AZ926" i="1"/>
  <c r="Z923" i="1"/>
  <c r="AH923" i="1"/>
  <c r="AR923" i="1"/>
  <c r="AZ923" i="1"/>
  <c r="AI924" i="1"/>
  <c r="Z924" i="1"/>
  <c r="AH924" i="1"/>
  <c r="AR924" i="1"/>
  <c r="AZ924" i="1"/>
  <c r="Z400" i="1"/>
  <c r="AH400" i="1"/>
  <c r="Z928" i="1"/>
  <c r="AH928" i="1"/>
  <c r="AR928" i="1"/>
  <c r="AZ928" i="1"/>
  <c r="AR400" i="1"/>
  <c r="AZ400" i="1"/>
  <c r="Z722" i="1"/>
  <c r="AH722" i="1"/>
  <c r="AZ722" i="1"/>
  <c r="Z397" i="1"/>
  <c r="AH397" i="1"/>
  <c r="AR397" i="1"/>
  <c r="AZ397" i="1"/>
  <c r="Z399" i="1"/>
  <c r="AH399" i="1"/>
  <c r="AZ399" i="1"/>
  <c r="AR399" i="1"/>
  <c r="AR722" i="1"/>
  <c r="Q397" i="1" l="1"/>
  <c r="R53" i="1"/>
  <c r="R517" i="1"/>
  <c r="R436" i="1"/>
  <c r="R194" i="1"/>
  <c r="R435" i="1"/>
  <c r="R195" i="1"/>
  <c r="BB925" i="1"/>
  <c r="AJ400" i="1"/>
  <c r="AJ926" i="1"/>
  <c r="Q722" i="1"/>
  <c r="Q924" i="1"/>
  <c r="AJ925" i="1"/>
  <c r="BB926" i="1"/>
  <c r="BB923" i="1"/>
  <c r="AJ923" i="1"/>
  <c r="BB924" i="1"/>
  <c r="AJ927" i="1"/>
  <c r="AJ924" i="1"/>
  <c r="BB927" i="1"/>
  <c r="BB722" i="1"/>
  <c r="AJ928" i="1"/>
  <c r="BB400" i="1"/>
  <c r="AJ722" i="1"/>
  <c r="BB397" i="1"/>
  <c r="BB928" i="1"/>
  <c r="AJ397" i="1"/>
  <c r="BB399" i="1"/>
  <c r="AJ399" i="1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R926" i="1" l="1"/>
  <c r="R928" i="1"/>
  <c r="R925" i="1"/>
  <c r="R400" i="1"/>
  <c r="R923" i="1"/>
  <c r="R924" i="1"/>
  <c r="R927" i="1"/>
  <c r="R722" i="1"/>
  <c r="R397" i="1"/>
  <c r="R399" i="1"/>
  <c r="AY843" i="1"/>
  <c r="AX843" i="1"/>
  <c r="AV843" i="1"/>
  <c r="AT843" i="1"/>
  <c r="AQ843" i="1"/>
  <c r="BA843" i="1" s="1"/>
  <c r="AP843" i="1"/>
  <c r="AN843" i="1"/>
  <c r="AL843" i="1"/>
  <c r="AG843" i="1"/>
  <c r="AF843" i="1"/>
  <c r="AD843" i="1"/>
  <c r="AB843" i="1"/>
  <c r="X843" i="1"/>
  <c r="V843" i="1"/>
  <c r="T843" i="1"/>
  <c r="AI843" i="1" l="1"/>
  <c r="Q843" i="1" s="1"/>
  <c r="Z843" i="1"/>
  <c r="AH843" i="1"/>
  <c r="AR843" i="1"/>
  <c r="AZ843" i="1"/>
  <c r="AY1210" i="1"/>
  <c r="AX1210" i="1"/>
  <c r="AV1210" i="1"/>
  <c r="AT1210" i="1"/>
  <c r="AQ1210" i="1"/>
  <c r="AP1210" i="1"/>
  <c r="AN1210" i="1"/>
  <c r="AL1210" i="1"/>
  <c r="AG1210" i="1"/>
  <c r="AF1210" i="1"/>
  <c r="AD1210" i="1"/>
  <c r="AB1210" i="1"/>
  <c r="Y1210" i="1"/>
  <c r="AI1210" i="1" s="1"/>
  <c r="X1210" i="1"/>
  <c r="V1210" i="1"/>
  <c r="T1210" i="1"/>
  <c r="AT47" i="1"/>
  <c r="AY47" i="1"/>
  <c r="AY947" i="1"/>
  <c r="AY901" i="1"/>
  <c r="AX901" i="1"/>
  <c r="AV901" i="1"/>
  <c r="AT901" i="1"/>
  <c r="AQ901" i="1"/>
  <c r="AP901" i="1"/>
  <c r="AN901" i="1"/>
  <c r="AL901" i="1"/>
  <c r="AG901" i="1"/>
  <c r="AF901" i="1"/>
  <c r="AD901" i="1"/>
  <c r="AB901" i="1"/>
  <c r="Y901" i="1"/>
  <c r="X901" i="1"/>
  <c r="V901" i="1"/>
  <c r="T901" i="1"/>
  <c r="AY900" i="1"/>
  <c r="AX900" i="1"/>
  <c r="AV900" i="1"/>
  <c r="AT900" i="1"/>
  <c r="AQ900" i="1"/>
  <c r="AP900" i="1"/>
  <c r="AN900" i="1"/>
  <c r="AL900" i="1"/>
  <c r="AG900" i="1"/>
  <c r="AF900" i="1"/>
  <c r="AD900" i="1"/>
  <c r="AB900" i="1"/>
  <c r="Y900" i="1"/>
  <c r="AI900" i="1" s="1"/>
  <c r="X900" i="1"/>
  <c r="V900" i="1"/>
  <c r="T900" i="1"/>
  <c r="AY910" i="1"/>
  <c r="AX910" i="1"/>
  <c r="AV910" i="1"/>
  <c r="AT910" i="1"/>
  <c r="AQ910" i="1"/>
  <c r="AP910" i="1"/>
  <c r="AN910" i="1"/>
  <c r="AL910" i="1"/>
  <c r="AG910" i="1"/>
  <c r="AF910" i="1"/>
  <c r="AD910" i="1"/>
  <c r="AB910" i="1"/>
  <c r="Y910" i="1"/>
  <c r="X910" i="1"/>
  <c r="V910" i="1"/>
  <c r="T910" i="1"/>
  <c r="AY909" i="1"/>
  <c r="AX909" i="1"/>
  <c r="AV909" i="1"/>
  <c r="AT909" i="1"/>
  <c r="AQ909" i="1"/>
  <c r="AP909" i="1"/>
  <c r="AN909" i="1"/>
  <c r="AL909" i="1"/>
  <c r="AG909" i="1"/>
  <c r="AF909" i="1"/>
  <c r="AD909" i="1"/>
  <c r="AB909" i="1"/>
  <c r="Y909" i="1"/>
  <c r="X909" i="1"/>
  <c r="V909" i="1"/>
  <c r="T909" i="1"/>
  <c r="AY908" i="1"/>
  <c r="AX908" i="1"/>
  <c r="AV908" i="1"/>
  <c r="AT908" i="1"/>
  <c r="AQ908" i="1"/>
  <c r="AP908" i="1"/>
  <c r="AN908" i="1"/>
  <c r="AL908" i="1"/>
  <c r="AG908" i="1"/>
  <c r="AF908" i="1"/>
  <c r="AD908" i="1"/>
  <c r="AB908" i="1"/>
  <c r="Y908" i="1"/>
  <c r="X908" i="1"/>
  <c r="V908" i="1"/>
  <c r="T908" i="1"/>
  <c r="AY907" i="1"/>
  <c r="AX907" i="1"/>
  <c r="AV907" i="1"/>
  <c r="AT907" i="1"/>
  <c r="AQ907" i="1"/>
  <c r="BA907" i="1" s="1"/>
  <c r="AP907" i="1"/>
  <c r="AN907" i="1"/>
  <c r="AL907" i="1"/>
  <c r="AG907" i="1"/>
  <c r="AF907" i="1"/>
  <c r="AD907" i="1"/>
  <c r="AB907" i="1"/>
  <c r="Y907" i="1"/>
  <c r="AI907" i="1" s="1"/>
  <c r="X907" i="1"/>
  <c r="V907" i="1"/>
  <c r="T907" i="1"/>
  <c r="AY906" i="1"/>
  <c r="AX906" i="1"/>
  <c r="AV906" i="1"/>
  <c r="AT906" i="1"/>
  <c r="AQ906" i="1"/>
  <c r="BA906" i="1" s="1"/>
  <c r="AP906" i="1"/>
  <c r="AN906" i="1"/>
  <c r="AL906" i="1"/>
  <c r="AG906" i="1"/>
  <c r="AF906" i="1"/>
  <c r="AD906" i="1"/>
  <c r="AB906" i="1"/>
  <c r="Y906" i="1"/>
  <c r="X906" i="1"/>
  <c r="V906" i="1"/>
  <c r="T906" i="1"/>
  <c r="AY898" i="1"/>
  <c r="AX898" i="1"/>
  <c r="AV898" i="1"/>
  <c r="AT898" i="1"/>
  <c r="AQ898" i="1"/>
  <c r="AP898" i="1"/>
  <c r="AN898" i="1"/>
  <c r="AL898" i="1"/>
  <c r="AG898" i="1"/>
  <c r="AF898" i="1"/>
  <c r="AD898" i="1"/>
  <c r="AB898" i="1"/>
  <c r="Y898" i="1"/>
  <c r="AI898" i="1" s="1"/>
  <c r="X898" i="1"/>
  <c r="V898" i="1"/>
  <c r="T898" i="1"/>
  <c r="AY899" i="1"/>
  <c r="AX899" i="1"/>
  <c r="AV899" i="1"/>
  <c r="AT899" i="1"/>
  <c r="AQ899" i="1"/>
  <c r="BA899" i="1" s="1"/>
  <c r="AP899" i="1"/>
  <c r="AN899" i="1"/>
  <c r="AL899" i="1"/>
  <c r="AG899" i="1"/>
  <c r="AF899" i="1"/>
  <c r="AD899" i="1"/>
  <c r="AB899" i="1"/>
  <c r="Y899" i="1"/>
  <c r="X899" i="1"/>
  <c r="V899" i="1"/>
  <c r="T899" i="1"/>
  <c r="AY902" i="1"/>
  <c r="AX902" i="1"/>
  <c r="AV902" i="1"/>
  <c r="AT902" i="1"/>
  <c r="AQ902" i="1"/>
  <c r="AP902" i="1"/>
  <c r="AN902" i="1"/>
  <c r="AL902" i="1"/>
  <c r="AG902" i="1"/>
  <c r="AF902" i="1"/>
  <c r="AD902" i="1"/>
  <c r="AB902" i="1"/>
  <c r="Y902" i="1"/>
  <c r="AI902" i="1" s="1"/>
  <c r="X902" i="1"/>
  <c r="V902" i="1"/>
  <c r="T902" i="1"/>
  <c r="AY903" i="1"/>
  <c r="AX903" i="1"/>
  <c r="AV903" i="1"/>
  <c r="AT903" i="1"/>
  <c r="AQ903" i="1"/>
  <c r="AP903" i="1"/>
  <c r="AN903" i="1"/>
  <c r="AL903" i="1"/>
  <c r="AG903" i="1"/>
  <c r="AF903" i="1"/>
  <c r="AD903" i="1"/>
  <c r="AB903" i="1"/>
  <c r="Y903" i="1"/>
  <c r="X903" i="1"/>
  <c r="V903" i="1"/>
  <c r="T903" i="1"/>
  <c r="AY904" i="1"/>
  <c r="AX904" i="1"/>
  <c r="AV904" i="1"/>
  <c r="AT904" i="1"/>
  <c r="AQ904" i="1"/>
  <c r="BA904" i="1" s="1"/>
  <c r="AP904" i="1"/>
  <c r="AN904" i="1"/>
  <c r="AL904" i="1"/>
  <c r="AG904" i="1"/>
  <c r="AF904" i="1"/>
  <c r="AD904" i="1"/>
  <c r="AB904" i="1"/>
  <c r="Y904" i="1"/>
  <c r="X904" i="1"/>
  <c r="V904" i="1"/>
  <c r="T904" i="1"/>
  <c r="AT895" i="1"/>
  <c r="AY921" i="1"/>
  <c r="AX921" i="1"/>
  <c r="AV921" i="1"/>
  <c r="AT921" i="1"/>
  <c r="AQ921" i="1"/>
  <c r="BA921" i="1" s="1"/>
  <c r="AP921" i="1"/>
  <c r="AN921" i="1"/>
  <c r="AL921" i="1"/>
  <c r="AG921" i="1"/>
  <c r="AF921" i="1"/>
  <c r="AD921" i="1"/>
  <c r="AB921" i="1"/>
  <c r="Y921" i="1"/>
  <c r="X921" i="1"/>
  <c r="V921" i="1"/>
  <c r="T921" i="1"/>
  <c r="AY920" i="1"/>
  <c r="AX920" i="1"/>
  <c r="AV920" i="1"/>
  <c r="AT920" i="1"/>
  <c r="AQ920" i="1"/>
  <c r="BA920" i="1" s="1"/>
  <c r="AP920" i="1"/>
  <c r="AN920" i="1"/>
  <c r="AL920" i="1"/>
  <c r="AG920" i="1"/>
  <c r="AF920" i="1"/>
  <c r="AD920" i="1"/>
  <c r="AB920" i="1"/>
  <c r="Y920" i="1"/>
  <c r="AI920" i="1" s="1"/>
  <c r="Q920" i="1" s="1"/>
  <c r="X920" i="1"/>
  <c r="V920" i="1"/>
  <c r="T920" i="1"/>
  <c r="AY919" i="1"/>
  <c r="AX919" i="1"/>
  <c r="AV919" i="1"/>
  <c r="AT919" i="1"/>
  <c r="AQ919" i="1"/>
  <c r="BA919" i="1" s="1"/>
  <c r="AP919" i="1"/>
  <c r="AN919" i="1"/>
  <c r="AL919" i="1"/>
  <c r="AG919" i="1"/>
  <c r="AF919" i="1"/>
  <c r="AD919" i="1"/>
  <c r="AB919" i="1"/>
  <c r="Y919" i="1"/>
  <c r="AI919" i="1" s="1"/>
  <c r="X919" i="1"/>
  <c r="V919" i="1"/>
  <c r="T919" i="1"/>
  <c r="AY918" i="1"/>
  <c r="AX918" i="1"/>
  <c r="AV918" i="1"/>
  <c r="AT918" i="1"/>
  <c r="AQ918" i="1"/>
  <c r="AP918" i="1"/>
  <c r="AN918" i="1"/>
  <c r="AL918" i="1"/>
  <c r="AG918" i="1"/>
  <c r="AF918" i="1"/>
  <c r="AD918" i="1"/>
  <c r="AB918" i="1"/>
  <c r="Y918" i="1"/>
  <c r="AI918" i="1" s="1"/>
  <c r="X918" i="1"/>
  <c r="V918" i="1"/>
  <c r="T918" i="1"/>
  <c r="AY913" i="1"/>
  <c r="AX913" i="1"/>
  <c r="AV913" i="1"/>
  <c r="AT913" i="1"/>
  <c r="AQ913" i="1"/>
  <c r="BA913" i="1" s="1"/>
  <c r="AP913" i="1"/>
  <c r="AN913" i="1"/>
  <c r="AL913" i="1"/>
  <c r="AG913" i="1"/>
  <c r="AF913" i="1"/>
  <c r="AD913" i="1"/>
  <c r="AB913" i="1"/>
  <c r="Y913" i="1"/>
  <c r="AI913" i="1" s="1"/>
  <c r="Q913" i="1" s="1"/>
  <c r="X913" i="1"/>
  <c r="V913" i="1"/>
  <c r="T913" i="1"/>
  <c r="AY914" i="1"/>
  <c r="AX914" i="1"/>
  <c r="AV914" i="1"/>
  <c r="AT914" i="1"/>
  <c r="AQ914" i="1"/>
  <c r="AP914" i="1"/>
  <c r="AN914" i="1"/>
  <c r="AL914" i="1"/>
  <c r="AG914" i="1"/>
  <c r="AF914" i="1"/>
  <c r="AD914" i="1"/>
  <c r="AB914" i="1"/>
  <c r="Y914" i="1"/>
  <c r="X914" i="1"/>
  <c r="V914" i="1"/>
  <c r="T914" i="1"/>
  <c r="AY915" i="1"/>
  <c r="AX915" i="1"/>
  <c r="AV915" i="1"/>
  <c r="AT915" i="1"/>
  <c r="AQ915" i="1"/>
  <c r="AP915" i="1"/>
  <c r="AN915" i="1"/>
  <c r="AL915" i="1"/>
  <c r="AG915" i="1"/>
  <c r="AF915" i="1"/>
  <c r="AD915" i="1"/>
  <c r="AB915" i="1"/>
  <c r="Y915" i="1"/>
  <c r="AI915" i="1" s="1"/>
  <c r="X915" i="1"/>
  <c r="V915" i="1"/>
  <c r="T915" i="1"/>
  <c r="AY916" i="1"/>
  <c r="AX916" i="1"/>
  <c r="AV916" i="1"/>
  <c r="AT916" i="1"/>
  <c r="AQ916" i="1"/>
  <c r="AP916" i="1"/>
  <c r="AN916" i="1"/>
  <c r="AL916" i="1"/>
  <c r="AG916" i="1"/>
  <c r="AF916" i="1"/>
  <c r="AD916" i="1"/>
  <c r="AB916" i="1"/>
  <c r="Y916" i="1"/>
  <c r="X916" i="1"/>
  <c r="V916" i="1"/>
  <c r="T916" i="1"/>
  <c r="AY917" i="1"/>
  <c r="AX917" i="1"/>
  <c r="AV917" i="1"/>
  <c r="AT917" i="1"/>
  <c r="AQ917" i="1"/>
  <c r="AP917" i="1"/>
  <c r="AN917" i="1"/>
  <c r="AL917" i="1"/>
  <c r="AG917" i="1"/>
  <c r="AF917" i="1"/>
  <c r="AD917" i="1"/>
  <c r="AB917" i="1"/>
  <c r="Y917" i="1"/>
  <c r="X917" i="1"/>
  <c r="V917" i="1"/>
  <c r="T917" i="1"/>
  <c r="AY895" i="1"/>
  <c r="AX895" i="1"/>
  <c r="AV895" i="1"/>
  <c r="AQ895" i="1"/>
  <c r="AP895" i="1"/>
  <c r="AN895" i="1"/>
  <c r="AL895" i="1"/>
  <c r="AG895" i="1"/>
  <c r="AF895" i="1"/>
  <c r="AD895" i="1"/>
  <c r="AB895" i="1"/>
  <c r="Y895" i="1"/>
  <c r="AI895" i="1" s="1"/>
  <c r="X895" i="1"/>
  <c r="V895" i="1"/>
  <c r="T895" i="1"/>
  <c r="AY893" i="1"/>
  <c r="AX893" i="1"/>
  <c r="AV893" i="1"/>
  <c r="AT893" i="1"/>
  <c r="AQ893" i="1"/>
  <c r="AP893" i="1"/>
  <c r="AN893" i="1"/>
  <c r="AL893" i="1"/>
  <c r="AG893" i="1"/>
  <c r="AF893" i="1"/>
  <c r="AD893" i="1"/>
  <c r="AB893" i="1"/>
  <c r="Y893" i="1"/>
  <c r="AI893" i="1" s="1"/>
  <c r="X893" i="1"/>
  <c r="V893" i="1"/>
  <c r="T893" i="1"/>
  <c r="Y936" i="1"/>
  <c r="AY1341" i="1"/>
  <c r="AX1341" i="1"/>
  <c r="AV1341" i="1"/>
  <c r="AT1341" i="1"/>
  <c r="AQ1341" i="1"/>
  <c r="AP1341" i="1"/>
  <c r="AN1341" i="1"/>
  <c r="AL1341" i="1"/>
  <c r="AG1341" i="1"/>
  <c r="AF1341" i="1"/>
  <c r="AD1341" i="1"/>
  <c r="AB1341" i="1"/>
  <c r="Y1341" i="1"/>
  <c r="AI1341" i="1" s="1"/>
  <c r="X1341" i="1"/>
  <c r="V1341" i="1"/>
  <c r="T1341" i="1"/>
  <c r="AY1343" i="1"/>
  <c r="AX1343" i="1"/>
  <c r="AV1343" i="1"/>
  <c r="AT1343" i="1"/>
  <c r="AQ1343" i="1"/>
  <c r="BA1343" i="1" s="1"/>
  <c r="AP1343" i="1"/>
  <c r="AN1343" i="1"/>
  <c r="AL1343" i="1"/>
  <c r="AG1343" i="1"/>
  <c r="AF1343" i="1"/>
  <c r="AD1343" i="1"/>
  <c r="AB1343" i="1"/>
  <c r="Y1343" i="1"/>
  <c r="X1343" i="1"/>
  <c r="V1343" i="1"/>
  <c r="T1343" i="1"/>
  <c r="AY1342" i="1"/>
  <c r="AX1342" i="1"/>
  <c r="AV1342" i="1"/>
  <c r="AT1342" i="1"/>
  <c r="AQ1342" i="1"/>
  <c r="AP1342" i="1"/>
  <c r="AN1342" i="1"/>
  <c r="AL1342" i="1"/>
  <c r="AG1342" i="1"/>
  <c r="AF1342" i="1"/>
  <c r="AD1342" i="1"/>
  <c r="AB1342" i="1"/>
  <c r="Y1342" i="1"/>
  <c r="AI1342" i="1" s="1"/>
  <c r="X1342" i="1"/>
  <c r="V1342" i="1"/>
  <c r="T1342" i="1"/>
  <c r="AY1340" i="1"/>
  <c r="AX1340" i="1"/>
  <c r="AV1340" i="1"/>
  <c r="AT1340" i="1"/>
  <c r="AQ1340" i="1"/>
  <c r="BA1340" i="1" s="1"/>
  <c r="AP1340" i="1"/>
  <c r="AN1340" i="1"/>
  <c r="AL1340" i="1"/>
  <c r="AG1340" i="1"/>
  <c r="AF1340" i="1"/>
  <c r="AD1340" i="1"/>
  <c r="AB1340" i="1"/>
  <c r="Y1340" i="1"/>
  <c r="AI1340" i="1" s="1"/>
  <c r="Q1340" i="1" s="1"/>
  <c r="X1340" i="1"/>
  <c r="V1340" i="1"/>
  <c r="T1340" i="1"/>
  <c r="AY1339" i="1"/>
  <c r="AX1339" i="1"/>
  <c r="AV1339" i="1"/>
  <c r="AT1339" i="1"/>
  <c r="AQ1339" i="1"/>
  <c r="BA1339" i="1" s="1"/>
  <c r="AP1339" i="1"/>
  <c r="AN1339" i="1"/>
  <c r="AL1339" i="1"/>
  <c r="AG1339" i="1"/>
  <c r="AF1339" i="1"/>
  <c r="AD1339" i="1"/>
  <c r="AB1339" i="1"/>
  <c r="Y1339" i="1"/>
  <c r="X1339" i="1"/>
  <c r="V1339" i="1"/>
  <c r="T1339" i="1"/>
  <c r="AY1338" i="1"/>
  <c r="AX1338" i="1"/>
  <c r="AV1338" i="1"/>
  <c r="AT1338" i="1"/>
  <c r="AQ1338" i="1"/>
  <c r="AP1338" i="1"/>
  <c r="AN1338" i="1"/>
  <c r="AL1338" i="1"/>
  <c r="AG1338" i="1"/>
  <c r="AF1338" i="1"/>
  <c r="AD1338" i="1"/>
  <c r="AB1338" i="1"/>
  <c r="Y1338" i="1"/>
  <c r="X1338" i="1"/>
  <c r="V1338" i="1"/>
  <c r="T1338" i="1"/>
  <c r="AY1337" i="1"/>
  <c r="AX1337" i="1"/>
  <c r="AV1337" i="1"/>
  <c r="AT1337" i="1"/>
  <c r="AQ1337" i="1"/>
  <c r="AP1337" i="1"/>
  <c r="AN1337" i="1"/>
  <c r="AL1337" i="1"/>
  <c r="AG1337" i="1"/>
  <c r="AF1337" i="1"/>
  <c r="AD1337" i="1"/>
  <c r="AB1337" i="1"/>
  <c r="Y1337" i="1"/>
  <c r="AI1337" i="1" s="1"/>
  <c r="X1337" i="1"/>
  <c r="V1337" i="1"/>
  <c r="T1337" i="1"/>
  <c r="AY1344" i="1"/>
  <c r="AX1344" i="1"/>
  <c r="AV1344" i="1"/>
  <c r="AT1344" i="1"/>
  <c r="AQ1344" i="1"/>
  <c r="BA1344" i="1" s="1"/>
  <c r="AP1344" i="1"/>
  <c r="AN1344" i="1"/>
  <c r="AL1344" i="1"/>
  <c r="AG1344" i="1"/>
  <c r="AF1344" i="1"/>
  <c r="AD1344" i="1"/>
  <c r="AB1344" i="1"/>
  <c r="Y1344" i="1"/>
  <c r="X1344" i="1"/>
  <c r="V1344" i="1"/>
  <c r="T1344" i="1"/>
  <c r="AY1336" i="1"/>
  <c r="AX1336" i="1"/>
  <c r="AV1336" i="1"/>
  <c r="AT1336" i="1"/>
  <c r="AQ1336" i="1"/>
  <c r="BA1336" i="1" s="1"/>
  <c r="AP1336" i="1"/>
  <c r="AN1336" i="1"/>
  <c r="AL1336" i="1"/>
  <c r="AG1336" i="1"/>
  <c r="AF1336" i="1"/>
  <c r="AD1336" i="1"/>
  <c r="AB1336" i="1"/>
  <c r="Y1336" i="1"/>
  <c r="AI1336" i="1" s="1"/>
  <c r="Q1336" i="1" s="1"/>
  <c r="X1336" i="1"/>
  <c r="V1336" i="1"/>
  <c r="T1336" i="1"/>
  <c r="AY1335" i="1"/>
  <c r="AX1335" i="1"/>
  <c r="AV1335" i="1"/>
  <c r="AT1335" i="1"/>
  <c r="AQ1335" i="1"/>
  <c r="BA1335" i="1" s="1"/>
  <c r="AP1335" i="1"/>
  <c r="AN1335" i="1"/>
  <c r="AL1335" i="1"/>
  <c r="AG1335" i="1"/>
  <c r="AF1335" i="1"/>
  <c r="AD1335" i="1"/>
  <c r="AB1335" i="1"/>
  <c r="Y1335" i="1"/>
  <c r="AI1335" i="1" s="1"/>
  <c r="Q1335" i="1" s="1"/>
  <c r="X1335" i="1"/>
  <c r="V1335" i="1"/>
  <c r="T1335" i="1"/>
  <c r="AY1334" i="1"/>
  <c r="AY1346" i="1" s="1"/>
  <c r="AX1334" i="1"/>
  <c r="AX1346" i="1" s="1"/>
  <c r="AV1334" i="1"/>
  <c r="AV1346" i="1" s="1"/>
  <c r="AT1334" i="1"/>
  <c r="AT1346" i="1" s="1"/>
  <c r="AQ1334" i="1"/>
  <c r="AQ1346" i="1" s="1"/>
  <c r="AP1334" i="1"/>
  <c r="AP1346" i="1" s="1"/>
  <c r="AN1334" i="1"/>
  <c r="AN1346" i="1" s="1"/>
  <c r="AL1334" i="1"/>
  <c r="AL1346" i="1" s="1"/>
  <c r="AG1334" i="1"/>
  <c r="AF1334" i="1"/>
  <c r="AF1346" i="1" s="1"/>
  <c r="AD1334" i="1"/>
  <c r="AD1346" i="1" s="1"/>
  <c r="AB1334" i="1"/>
  <c r="Y1334" i="1"/>
  <c r="Y1346" i="1" s="1"/>
  <c r="X1334" i="1"/>
  <c r="X1346" i="1" s="1"/>
  <c r="V1334" i="1"/>
  <c r="V1346" i="1" s="1"/>
  <c r="T1334" i="1"/>
  <c r="T1346" i="1" s="1"/>
  <c r="T1313" i="1"/>
  <c r="Y1318" i="1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AG1346" i="1" l="1"/>
  <c r="AB1346" i="1"/>
  <c r="AI899" i="1"/>
  <c r="Q899" i="1" s="1"/>
  <c r="BA1334" i="1"/>
  <c r="AI921" i="1"/>
  <c r="Q921" i="1" s="1"/>
  <c r="AR903" i="1"/>
  <c r="AR898" i="1"/>
  <c r="AR915" i="1"/>
  <c r="AR913" i="1"/>
  <c r="BA900" i="1"/>
  <c r="Q900" i="1" s="1"/>
  <c r="AI909" i="1"/>
  <c r="BA902" i="1"/>
  <c r="Q902" i="1" s="1"/>
  <c r="AI901" i="1"/>
  <c r="AI904" i="1"/>
  <c r="Q904" i="1" s="1"/>
  <c r="AZ893" i="1"/>
  <c r="BA903" i="1"/>
  <c r="BA901" i="1"/>
  <c r="BA898" i="1"/>
  <c r="Q898" i="1" s="1"/>
  <c r="AI903" i="1"/>
  <c r="BA893" i="1"/>
  <c r="Q893" i="1" s="1"/>
  <c r="BA909" i="1"/>
  <c r="BA910" i="1"/>
  <c r="AI1344" i="1"/>
  <c r="Q1344" i="1" s="1"/>
  <c r="AI916" i="1"/>
  <c r="BA915" i="1"/>
  <c r="Q915" i="1" s="1"/>
  <c r="BB843" i="1"/>
  <c r="AJ843" i="1"/>
  <c r="BA1210" i="1"/>
  <c r="Q1210" i="1" s="1"/>
  <c r="BA1337" i="1"/>
  <c r="Q1337" i="1" s="1"/>
  <c r="Z915" i="1"/>
  <c r="AH915" i="1"/>
  <c r="AZ915" i="1"/>
  <c r="Z913" i="1"/>
  <c r="AH913" i="1"/>
  <c r="AZ913" i="1"/>
  <c r="Z903" i="1"/>
  <c r="AH903" i="1"/>
  <c r="Z898" i="1"/>
  <c r="AH898" i="1"/>
  <c r="Z901" i="1"/>
  <c r="AH901" i="1"/>
  <c r="AR901" i="1"/>
  <c r="AZ901" i="1"/>
  <c r="BA1342" i="1"/>
  <c r="Q1342" i="1" s="1"/>
  <c r="BA1341" i="1"/>
  <c r="Q1341" i="1" s="1"/>
  <c r="BA918" i="1"/>
  <c r="Q918" i="1" s="1"/>
  <c r="AZ903" i="1"/>
  <c r="AZ898" i="1"/>
  <c r="AI908" i="1"/>
  <c r="AI910" i="1"/>
  <c r="Z1210" i="1"/>
  <c r="AH1210" i="1"/>
  <c r="AR1210" i="1"/>
  <c r="AZ1210" i="1"/>
  <c r="BA908" i="1"/>
  <c r="Z908" i="1"/>
  <c r="AH908" i="1"/>
  <c r="AR908" i="1"/>
  <c r="AZ908" i="1"/>
  <c r="AZ910" i="1"/>
  <c r="Z900" i="1"/>
  <c r="AH900" i="1"/>
  <c r="Z919" i="1"/>
  <c r="AH919" i="1"/>
  <c r="AR919" i="1"/>
  <c r="AZ919" i="1"/>
  <c r="AR921" i="1"/>
  <c r="AZ921" i="1"/>
  <c r="Q907" i="1"/>
  <c r="AR900" i="1"/>
  <c r="AZ900" i="1"/>
  <c r="Z906" i="1"/>
  <c r="AH906" i="1"/>
  <c r="AR906" i="1"/>
  <c r="AZ906" i="1"/>
  <c r="Z909" i="1"/>
  <c r="AH909" i="1"/>
  <c r="Z907" i="1"/>
  <c r="AH907" i="1"/>
  <c r="AR909" i="1"/>
  <c r="AZ909" i="1"/>
  <c r="AI906" i="1"/>
  <c r="Q906" i="1" s="1"/>
  <c r="AR907" i="1"/>
  <c r="AZ907" i="1"/>
  <c r="Z910" i="1"/>
  <c r="AH910" i="1"/>
  <c r="AR910" i="1"/>
  <c r="Z899" i="1"/>
  <c r="AH899" i="1"/>
  <c r="AR899" i="1"/>
  <c r="AZ899" i="1"/>
  <c r="Z902" i="1"/>
  <c r="AH902" i="1"/>
  <c r="AR902" i="1"/>
  <c r="AZ902" i="1"/>
  <c r="Z904" i="1"/>
  <c r="AH904" i="1"/>
  <c r="AR904" i="1"/>
  <c r="AZ904" i="1"/>
  <c r="AZ918" i="1"/>
  <c r="Q919" i="1"/>
  <c r="BA895" i="1"/>
  <c r="Q895" i="1" s="1"/>
  <c r="Z920" i="1"/>
  <c r="AH920" i="1"/>
  <c r="AZ920" i="1"/>
  <c r="Z918" i="1"/>
  <c r="AH918" i="1"/>
  <c r="AR920" i="1"/>
  <c r="AR918" i="1"/>
  <c r="Z921" i="1"/>
  <c r="AH921" i="1"/>
  <c r="BA914" i="1"/>
  <c r="AI1343" i="1"/>
  <c r="Q1343" i="1" s="1"/>
  <c r="Z916" i="1"/>
  <c r="AH916" i="1"/>
  <c r="AR916" i="1"/>
  <c r="Z914" i="1"/>
  <c r="AH914" i="1"/>
  <c r="AR914" i="1"/>
  <c r="AZ914" i="1"/>
  <c r="AI914" i="1"/>
  <c r="AR1342" i="1"/>
  <c r="AZ1342" i="1"/>
  <c r="Z1341" i="1"/>
  <c r="AH1341" i="1"/>
  <c r="AR1341" i="1"/>
  <c r="AZ1341" i="1"/>
  <c r="BA916" i="1"/>
  <c r="AZ916" i="1"/>
  <c r="AI1339" i="1"/>
  <c r="Q1339" i="1" s="1"/>
  <c r="AI917" i="1"/>
  <c r="Z895" i="1"/>
  <c r="AH895" i="1"/>
  <c r="AR895" i="1"/>
  <c r="AZ895" i="1"/>
  <c r="Z917" i="1"/>
  <c r="AH917" i="1"/>
  <c r="AR917" i="1"/>
  <c r="AZ917" i="1"/>
  <c r="BA917" i="1"/>
  <c r="Z893" i="1"/>
  <c r="AH893" i="1"/>
  <c r="AR893" i="1"/>
  <c r="Z1338" i="1"/>
  <c r="AH1338" i="1"/>
  <c r="AR1338" i="1"/>
  <c r="Z1339" i="1"/>
  <c r="AH1339" i="1"/>
  <c r="Z1342" i="1"/>
  <c r="AH1342" i="1"/>
  <c r="AZ1338" i="1"/>
  <c r="AR1339" i="1"/>
  <c r="AZ1339" i="1"/>
  <c r="Z1343" i="1"/>
  <c r="AH1343" i="1"/>
  <c r="AR1343" i="1"/>
  <c r="AZ1343" i="1"/>
  <c r="Z1340" i="1"/>
  <c r="AH1340" i="1"/>
  <c r="AR1340" i="1"/>
  <c r="AZ1340" i="1"/>
  <c r="Z1337" i="1"/>
  <c r="AH1337" i="1"/>
  <c r="AR1337" i="1"/>
  <c r="AZ1337" i="1"/>
  <c r="AI1338" i="1"/>
  <c r="BA1338" i="1"/>
  <c r="AH1334" i="1"/>
  <c r="Z1335" i="1"/>
  <c r="AH1335" i="1"/>
  <c r="AR1335" i="1"/>
  <c r="AZ1335" i="1"/>
  <c r="Z1336" i="1"/>
  <c r="AH1336" i="1"/>
  <c r="AR1336" i="1"/>
  <c r="AZ1336" i="1"/>
  <c r="Z1344" i="1"/>
  <c r="AH1344" i="1"/>
  <c r="AR1344" i="1"/>
  <c r="AZ1344" i="1"/>
  <c r="Z1334" i="1"/>
  <c r="AR1334" i="1"/>
  <c r="AI1334" i="1"/>
  <c r="AZ1334" i="1"/>
  <c r="AZ1346" i="1" s="1"/>
  <c r="AY49" i="1"/>
  <c r="AX49" i="1"/>
  <c r="AV49" i="1"/>
  <c r="AT49" i="1"/>
  <c r="AQ49" i="1"/>
  <c r="AP49" i="1"/>
  <c r="AN49" i="1"/>
  <c r="AL49" i="1"/>
  <c r="AG49" i="1"/>
  <c r="AF49" i="1"/>
  <c r="AD49" i="1"/>
  <c r="AB49" i="1"/>
  <c r="Y49" i="1"/>
  <c r="X49" i="1"/>
  <c r="V49" i="1"/>
  <c r="T49" i="1"/>
  <c r="AY48" i="1"/>
  <c r="AX48" i="1"/>
  <c r="AV48" i="1"/>
  <c r="AT48" i="1"/>
  <c r="AQ48" i="1"/>
  <c r="AP48" i="1"/>
  <c r="AN48" i="1"/>
  <c r="AL48" i="1"/>
  <c r="AG48" i="1"/>
  <c r="AF48" i="1"/>
  <c r="AD48" i="1"/>
  <c r="AB48" i="1"/>
  <c r="Y48" i="1"/>
  <c r="X48" i="1"/>
  <c r="V48" i="1"/>
  <c r="T48" i="1"/>
  <c r="AY36" i="1"/>
  <c r="AX36" i="1"/>
  <c r="AV36" i="1"/>
  <c r="AT36" i="1"/>
  <c r="AQ36" i="1"/>
  <c r="AP36" i="1"/>
  <c r="AN36" i="1"/>
  <c r="AL36" i="1"/>
  <c r="AG36" i="1"/>
  <c r="AF36" i="1"/>
  <c r="AD36" i="1"/>
  <c r="AB36" i="1"/>
  <c r="Y36" i="1"/>
  <c r="AI36" i="1" s="1"/>
  <c r="X36" i="1"/>
  <c r="V36" i="1"/>
  <c r="T36" i="1"/>
  <c r="AX47" i="1"/>
  <c r="AV47" i="1"/>
  <c r="BA47" i="1"/>
  <c r="AP47" i="1"/>
  <c r="AN47" i="1"/>
  <c r="AL47" i="1"/>
  <c r="AF47" i="1"/>
  <c r="AD47" i="1"/>
  <c r="AB47" i="1"/>
  <c r="X47" i="1"/>
  <c r="V47" i="1"/>
  <c r="T47" i="1"/>
  <c r="BA1346" i="1" l="1"/>
  <c r="AR1346" i="1"/>
  <c r="Z1346" i="1"/>
  <c r="AH1346" i="1"/>
  <c r="AI1346" i="1"/>
  <c r="Q909" i="1"/>
  <c r="BA48" i="1"/>
  <c r="Q901" i="1"/>
  <c r="BB893" i="1"/>
  <c r="Q910" i="1"/>
  <c r="Q903" i="1"/>
  <c r="Q916" i="1"/>
  <c r="AI48" i="1"/>
  <c r="BB910" i="1"/>
  <c r="BB901" i="1"/>
  <c r="R843" i="1"/>
  <c r="BB921" i="1"/>
  <c r="AJ919" i="1"/>
  <c r="BB919" i="1"/>
  <c r="AJ898" i="1"/>
  <c r="BB913" i="1"/>
  <c r="BB920" i="1"/>
  <c r="AJ901" i="1"/>
  <c r="BB1210" i="1"/>
  <c r="Q908" i="1"/>
  <c r="AJ1210" i="1"/>
  <c r="Q47" i="1"/>
  <c r="BB908" i="1"/>
  <c r="AJ907" i="1"/>
  <c r="BB900" i="1"/>
  <c r="AJ900" i="1"/>
  <c r="AJ910" i="1"/>
  <c r="AJ908" i="1"/>
  <c r="BB906" i="1"/>
  <c r="BB907" i="1"/>
  <c r="BB909" i="1"/>
  <c r="AJ909" i="1"/>
  <c r="AJ906" i="1"/>
  <c r="BB899" i="1"/>
  <c r="BB898" i="1"/>
  <c r="BB904" i="1"/>
  <c r="AJ899" i="1"/>
  <c r="AJ902" i="1"/>
  <c r="BB903" i="1"/>
  <c r="BB902" i="1"/>
  <c r="AJ913" i="1"/>
  <c r="AJ903" i="1"/>
  <c r="AJ904" i="1"/>
  <c r="BB918" i="1"/>
  <c r="AJ920" i="1"/>
  <c r="BB916" i="1"/>
  <c r="BB1341" i="1"/>
  <c r="BB915" i="1"/>
  <c r="AJ921" i="1"/>
  <c r="AJ918" i="1"/>
  <c r="BB1342" i="1"/>
  <c r="BB914" i="1"/>
  <c r="Q914" i="1"/>
  <c r="BB917" i="1"/>
  <c r="BB895" i="1"/>
  <c r="Q917" i="1"/>
  <c r="AJ916" i="1"/>
  <c r="AJ914" i="1"/>
  <c r="AJ915" i="1"/>
  <c r="AJ1341" i="1"/>
  <c r="AJ917" i="1"/>
  <c r="AJ895" i="1"/>
  <c r="AJ1339" i="1"/>
  <c r="AJ1340" i="1"/>
  <c r="AJ1343" i="1"/>
  <c r="AJ893" i="1"/>
  <c r="BB1338" i="1"/>
  <c r="AJ1342" i="1"/>
  <c r="AJ1338" i="1"/>
  <c r="BB1339" i="1"/>
  <c r="BB1340" i="1"/>
  <c r="BB1343" i="1"/>
  <c r="BB1337" i="1"/>
  <c r="AJ1337" i="1"/>
  <c r="Q1338" i="1"/>
  <c r="BB1344" i="1"/>
  <c r="BB1336" i="1"/>
  <c r="BB1335" i="1"/>
  <c r="AJ1344" i="1"/>
  <c r="AJ1336" i="1"/>
  <c r="AJ1335" i="1"/>
  <c r="BB1334" i="1"/>
  <c r="Q1334" i="1"/>
  <c r="AJ1334" i="1"/>
  <c r="AI49" i="1"/>
  <c r="AZ47" i="1"/>
  <c r="AH36" i="1"/>
  <c r="AZ36" i="1"/>
  <c r="Z48" i="1"/>
  <c r="AH48" i="1"/>
  <c r="AZ48" i="1"/>
  <c r="Z49" i="1"/>
  <c r="AH49" i="1"/>
  <c r="AR49" i="1"/>
  <c r="AZ49" i="1"/>
  <c r="BA49" i="1"/>
  <c r="AR48" i="1"/>
  <c r="BA36" i="1"/>
  <c r="Q36" i="1" s="1"/>
  <c r="Z36" i="1"/>
  <c r="AR36" i="1"/>
  <c r="AH47" i="1"/>
  <c r="AR47" i="1"/>
  <c r="Z47" i="1"/>
  <c r="Q1346" i="1" l="1"/>
  <c r="BB1346" i="1"/>
  <c r="AJ1346" i="1"/>
  <c r="Q49" i="1"/>
  <c r="R893" i="1"/>
  <c r="Q48" i="1"/>
  <c r="R910" i="1"/>
  <c r="R921" i="1"/>
  <c r="R898" i="1"/>
  <c r="R901" i="1"/>
  <c r="R920" i="1"/>
  <c r="R919" i="1"/>
  <c r="R913" i="1"/>
  <c r="R1210" i="1"/>
  <c r="R906" i="1"/>
  <c r="R908" i="1"/>
  <c r="R907" i="1"/>
  <c r="R900" i="1"/>
  <c r="R909" i="1"/>
  <c r="R904" i="1"/>
  <c r="R902" i="1"/>
  <c r="R903" i="1"/>
  <c r="R899" i="1"/>
  <c r="R1341" i="1"/>
  <c r="R895" i="1"/>
  <c r="R918" i="1"/>
  <c r="R917" i="1"/>
  <c r="R1342" i="1"/>
  <c r="R916" i="1"/>
  <c r="R914" i="1"/>
  <c r="R915" i="1"/>
  <c r="R1339" i="1"/>
  <c r="R1343" i="1"/>
  <c r="R1340" i="1"/>
  <c r="R1335" i="1"/>
  <c r="R1338" i="1"/>
  <c r="R1337" i="1"/>
  <c r="R1336" i="1"/>
  <c r="BB48" i="1"/>
  <c r="R1344" i="1"/>
  <c r="AJ47" i="1"/>
  <c r="BB47" i="1"/>
  <c r="R1334" i="1"/>
  <c r="AJ48" i="1"/>
  <c r="AJ36" i="1"/>
  <c r="AJ49" i="1"/>
  <c r="BB36" i="1"/>
  <c r="BB49" i="1"/>
  <c r="R1346" i="1" l="1"/>
  <c r="R36" i="1"/>
  <c r="R49" i="1"/>
  <c r="R47" i="1"/>
  <c r="R48" i="1"/>
  <c r="AY894" i="1"/>
  <c r="AX894" i="1"/>
  <c r="AV894" i="1"/>
  <c r="AT894" i="1"/>
  <c r="AQ894" i="1"/>
  <c r="AP894" i="1"/>
  <c r="AN894" i="1"/>
  <c r="AL894" i="1"/>
  <c r="AG894" i="1"/>
  <c r="AF894" i="1"/>
  <c r="AD894" i="1"/>
  <c r="AB894" i="1"/>
  <c r="Y894" i="1"/>
  <c r="X894" i="1"/>
  <c r="V894" i="1"/>
  <c r="T894" i="1"/>
  <c r="AI894" i="1" l="1"/>
  <c r="AZ894" i="1"/>
  <c r="Z894" i="1"/>
  <c r="AH894" i="1"/>
  <c r="BA894" i="1"/>
  <c r="Q894" i="1" s="1"/>
  <c r="AR894" i="1"/>
  <c r="AY662" i="1"/>
  <c r="AV662" i="1"/>
  <c r="AQ662" i="1"/>
  <c r="AX662" i="1"/>
  <c r="AF662" i="1"/>
  <c r="AD662" i="1"/>
  <c r="AB662" i="1"/>
  <c r="BA662" i="1" l="1"/>
  <c r="AI662" i="1"/>
  <c r="AJ894" i="1"/>
  <c r="BB894" i="1"/>
  <c r="AZ662" i="1"/>
  <c r="Z662" i="1"/>
  <c r="AH662" i="1"/>
  <c r="AR662" i="1"/>
  <c r="AY1277" i="1"/>
  <c r="AX1277" i="1"/>
  <c r="AV1277" i="1"/>
  <c r="AT1277" i="1"/>
  <c r="AQ1277" i="1"/>
  <c r="BA1277" i="1" s="1"/>
  <c r="AP1277" i="1"/>
  <c r="AN1277" i="1"/>
  <c r="AL1277" i="1"/>
  <c r="AG1277" i="1"/>
  <c r="AF1277" i="1"/>
  <c r="AD1277" i="1"/>
  <c r="AB1277" i="1"/>
  <c r="Y1277" i="1"/>
  <c r="X1277" i="1"/>
  <c r="V1277" i="1"/>
  <c r="T1277" i="1"/>
  <c r="AY1060" i="1"/>
  <c r="AX1060" i="1"/>
  <c r="AV1060" i="1"/>
  <c r="AT1060" i="1"/>
  <c r="AQ1060" i="1"/>
  <c r="AP1060" i="1"/>
  <c r="AN1060" i="1"/>
  <c r="AL1060" i="1"/>
  <c r="AG1060" i="1"/>
  <c r="AF1060" i="1"/>
  <c r="AD1060" i="1"/>
  <c r="AB1060" i="1"/>
  <c r="Y1060" i="1"/>
  <c r="AI1060" i="1" s="1"/>
  <c r="X1060" i="1"/>
  <c r="V1060" i="1"/>
  <c r="T1060" i="1"/>
  <c r="AX947" i="1"/>
  <c r="AV947" i="1"/>
  <c r="AT947" i="1"/>
  <c r="BA947" i="1"/>
  <c r="AP947" i="1"/>
  <c r="AN947" i="1"/>
  <c r="AL947" i="1"/>
  <c r="AI947" i="1"/>
  <c r="AF947" i="1"/>
  <c r="AD947" i="1"/>
  <c r="AB947" i="1"/>
  <c r="X947" i="1"/>
  <c r="V947" i="1"/>
  <c r="T947" i="1"/>
  <c r="BA1060" i="1" l="1"/>
  <c r="Q1060" i="1" s="1"/>
  <c r="AI1277" i="1"/>
  <c r="Q1277" i="1" s="1"/>
  <c r="R894" i="1"/>
  <c r="Q947" i="1"/>
  <c r="Q662" i="1"/>
  <c r="BB662" i="1"/>
  <c r="AJ662" i="1"/>
  <c r="Z1277" i="1"/>
  <c r="AR1277" i="1"/>
  <c r="AZ1277" i="1"/>
  <c r="AH1277" i="1"/>
  <c r="Z1060" i="1"/>
  <c r="AH1060" i="1"/>
  <c r="AR1060" i="1"/>
  <c r="AZ1060" i="1"/>
  <c r="Z947" i="1"/>
  <c r="AH947" i="1"/>
  <c r="AR947" i="1"/>
  <c r="AZ947" i="1"/>
  <c r="R662" i="1" l="1"/>
  <c r="BB1277" i="1"/>
  <c r="AJ1060" i="1"/>
  <c r="AJ1277" i="1"/>
  <c r="BB1060" i="1"/>
  <c r="AJ947" i="1"/>
  <c r="BB947" i="1"/>
  <c r="R947" i="1" l="1"/>
  <c r="R1277" i="1"/>
  <c r="R1060" i="1"/>
  <c r="AY211" i="1"/>
  <c r="AX211" i="1"/>
  <c r="AV211" i="1"/>
  <c r="AT211" i="1"/>
  <c r="AQ211" i="1"/>
  <c r="AP211" i="1"/>
  <c r="AN211" i="1"/>
  <c r="AL211" i="1"/>
  <c r="AG211" i="1"/>
  <c r="AF211" i="1"/>
  <c r="AD211" i="1"/>
  <c r="AB211" i="1"/>
  <c r="Y211" i="1"/>
  <c r="X211" i="1"/>
  <c r="V211" i="1"/>
  <c r="T211" i="1"/>
  <c r="AI211" i="1" l="1"/>
  <c r="BA211" i="1"/>
  <c r="AZ211" i="1"/>
  <c r="AH211" i="1"/>
  <c r="AR211" i="1"/>
  <c r="Z211" i="1"/>
  <c r="C3089" i="4"/>
  <c r="C3088" i="4"/>
  <c r="C3087" i="4"/>
  <c r="C3086" i="4"/>
  <c r="C3085" i="4"/>
  <c r="C3084" i="4"/>
  <c r="C3083" i="4"/>
  <c r="C3082" i="4"/>
  <c r="C3081" i="4"/>
  <c r="C3080" i="4"/>
  <c r="C3079" i="4"/>
  <c r="C3078" i="4"/>
  <c r="C3077" i="4"/>
  <c r="C3076" i="4"/>
  <c r="Q211" i="1" l="1"/>
  <c r="BB211" i="1"/>
  <c r="AJ211" i="1"/>
  <c r="AY759" i="1"/>
  <c r="AX759" i="1"/>
  <c r="AV759" i="1"/>
  <c r="AT759" i="1"/>
  <c r="AQ759" i="1"/>
  <c r="AP759" i="1"/>
  <c r="AN759" i="1"/>
  <c r="AL759" i="1"/>
  <c r="AG759" i="1"/>
  <c r="AF759" i="1"/>
  <c r="AD759" i="1"/>
  <c r="AB759" i="1"/>
  <c r="Y759" i="1"/>
  <c r="X759" i="1"/>
  <c r="V759" i="1"/>
  <c r="T759" i="1"/>
  <c r="AY845" i="1"/>
  <c r="AX845" i="1"/>
  <c r="AV845" i="1"/>
  <c r="AT845" i="1"/>
  <c r="AQ845" i="1"/>
  <c r="AP845" i="1"/>
  <c r="AN845" i="1"/>
  <c r="AL845" i="1"/>
  <c r="AG845" i="1"/>
  <c r="AF845" i="1"/>
  <c r="AD845" i="1"/>
  <c r="AB845" i="1"/>
  <c r="X845" i="1"/>
  <c r="V845" i="1"/>
  <c r="T845" i="1"/>
  <c r="AI759" i="1" l="1"/>
  <c r="R211" i="1"/>
  <c r="BA759" i="1"/>
  <c r="Z845" i="1"/>
  <c r="AH845" i="1"/>
  <c r="AZ845" i="1"/>
  <c r="AH759" i="1"/>
  <c r="AR759" i="1"/>
  <c r="AZ759" i="1"/>
  <c r="Z759" i="1"/>
  <c r="AI845" i="1"/>
  <c r="BA845" i="1"/>
  <c r="AR845" i="1"/>
  <c r="AY1095" i="1"/>
  <c r="AX1095" i="1"/>
  <c r="AV1095" i="1"/>
  <c r="AT1095" i="1"/>
  <c r="AQ1095" i="1"/>
  <c r="BA1095" i="1" s="1"/>
  <c r="AP1095" i="1"/>
  <c r="AN1095" i="1"/>
  <c r="AL1095" i="1"/>
  <c r="AG1095" i="1"/>
  <c r="AF1095" i="1"/>
  <c r="AD1095" i="1"/>
  <c r="AB1095" i="1"/>
  <c r="Y1095" i="1"/>
  <c r="AI1095" i="1" s="1"/>
  <c r="X1095" i="1"/>
  <c r="V1095" i="1"/>
  <c r="T1095" i="1"/>
  <c r="AY1096" i="1"/>
  <c r="AX1096" i="1"/>
  <c r="AV1096" i="1"/>
  <c r="AT1096" i="1"/>
  <c r="AQ1096" i="1"/>
  <c r="AP1096" i="1"/>
  <c r="AN1096" i="1"/>
  <c r="AL1096" i="1"/>
  <c r="AG1096" i="1"/>
  <c r="AF1096" i="1"/>
  <c r="AD1096" i="1"/>
  <c r="AB1096" i="1"/>
  <c r="Y1096" i="1"/>
  <c r="X1096" i="1"/>
  <c r="V1096" i="1"/>
  <c r="T1096" i="1"/>
  <c r="AY231" i="1"/>
  <c r="AX231" i="1"/>
  <c r="AV231" i="1"/>
  <c r="AT231" i="1"/>
  <c r="AQ231" i="1"/>
  <c r="AP231" i="1"/>
  <c r="AN231" i="1"/>
  <c r="AL231" i="1"/>
  <c r="AG231" i="1"/>
  <c r="AF231" i="1"/>
  <c r="AD231" i="1"/>
  <c r="AB231" i="1"/>
  <c r="Y231" i="1"/>
  <c r="X231" i="1"/>
  <c r="V231" i="1"/>
  <c r="T231" i="1"/>
  <c r="AY240" i="1"/>
  <c r="AX240" i="1"/>
  <c r="AV240" i="1"/>
  <c r="AT240" i="1"/>
  <c r="AQ240" i="1"/>
  <c r="BA240" i="1" s="1"/>
  <c r="AP240" i="1"/>
  <c r="AN240" i="1"/>
  <c r="AL240" i="1"/>
  <c r="AG240" i="1"/>
  <c r="AF240" i="1"/>
  <c r="AD240" i="1"/>
  <c r="AB240" i="1"/>
  <c r="Y240" i="1"/>
  <c r="AI240" i="1" s="1"/>
  <c r="X240" i="1"/>
  <c r="V240" i="1"/>
  <c r="T240" i="1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Q759" i="1" l="1"/>
  <c r="BA1096" i="1"/>
  <c r="Q240" i="1"/>
  <c r="Q845" i="1"/>
  <c r="AI1096" i="1"/>
  <c r="AJ759" i="1"/>
  <c r="Z1095" i="1"/>
  <c r="AH1095" i="1"/>
  <c r="AR1095" i="1"/>
  <c r="AZ1095" i="1"/>
  <c r="BB845" i="1"/>
  <c r="BB759" i="1"/>
  <c r="AJ845" i="1"/>
  <c r="Q1095" i="1"/>
  <c r="Z231" i="1"/>
  <c r="AH231" i="1"/>
  <c r="AR231" i="1"/>
  <c r="AZ231" i="1"/>
  <c r="Z1096" i="1"/>
  <c r="AH1096" i="1"/>
  <c r="AR1096" i="1"/>
  <c r="AZ1096" i="1"/>
  <c r="AI231" i="1"/>
  <c r="BA231" i="1"/>
  <c r="Z240" i="1"/>
  <c r="AH240" i="1"/>
  <c r="AR240" i="1"/>
  <c r="AZ240" i="1"/>
  <c r="AL243" i="1"/>
  <c r="AL355" i="1"/>
  <c r="Q1096" i="1" l="1"/>
  <c r="AJ1095" i="1"/>
  <c r="AJ240" i="1"/>
  <c r="R845" i="1"/>
  <c r="AJ1096" i="1"/>
  <c r="BB1095" i="1"/>
  <c r="AJ231" i="1"/>
  <c r="R759" i="1"/>
  <c r="Q231" i="1"/>
  <c r="BB231" i="1"/>
  <c r="BB1096" i="1"/>
  <c r="BB240" i="1"/>
  <c r="AL891" i="1"/>
  <c r="AY891" i="1"/>
  <c r="AX891" i="1"/>
  <c r="AV891" i="1"/>
  <c r="AT891" i="1"/>
  <c r="AQ891" i="1"/>
  <c r="AP891" i="1"/>
  <c r="AN891" i="1"/>
  <c r="AG891" i="1"/>
  <c r="AF891" i="1"/>
  <c r="AD891" i="1"/>
  <c r="AB891" i="1"/>
  <c r="Y891" i="1"/>
  <c r="X891" i="1"/>
  <c r="V891" i="1"/>
  <c r="T891" i="1"/>
  <c r="BA891" i="1" l="1"/>
  <c r="AI891" i="1"/>
  <c r="R240" i="1"/>
  <c r="R1095" i="1"/>
  <c r="R1096" i="1"/>
  <c r="R231" i="1"/>
  <c r="AR891" i="1"/>
  <c r="AZ891" i="1"/>
  <c r="Z891" i="1"/>
  <c r="AH891" i="1"/>
  <c r="AY582" i="1"/>
  <c r="AX582" i="1"/>
  <c r="AV582" i="1"/>
  <c r="AT582" i="1"/>
  <c r="AQ582" i="1"/>
  <c r="AP582" i="1"/>
  <c r="AN582" i="1"/>
  <c r="AL582" i="1"/>
  <c r="AG582" i="1"/>
  <c r="AF582" i="1"/>
  <c r="AD582" i="1"/>
  <c r="AB582" i="1"/>
  <c r="Y582" i="1"/>
  <c r="X582" i="1"/>
  <c r="V582" i="1"/>
  <c r="T582" i="1"/>
  <c r="AY583" i="1"/>
  <c r="AX583" i="1"/>
  <c r="AV583" i="1"/>
  <c r="AT583" i="1"/>
  <c r="AQ583" i="1"/>
  <c r="AP583" i="1"/>
  <c r="AN583" i="1"/>
  <c r="AL583" i="1"/>
  <c r="AG583" i="1"/>
  <c r="AF583" i="1"/>
  <c r="AD583" i="1"/>
  <c r="AB583" i="1"/>
  <c r="Y583" i="1"/>
  <c r="X583" i="1"/>
  <c r="V583" i="1"/>
  <c r="T583" i="1"/>
  <c r="BA583" i="1" l="1"/>
  <c r="Q891" i="1"/>
  <c r="AI583" i="1"/>
  <c r="AJ891" i="1"/>
  <c r="BB891" i="1"/>
  <c r="Z582" i="1"/>
  <c r="AH582" i="1"/>
  <c r="AR582" i="1"/>
  <c r="AZ582" i="1"/>
  <c r="AI582" i="1"/>
  <c r="BA582" i="1"/>
  <c r="Z583" i="1"/>
  <c r="AH583" i="1"/>
  <c r="AR583" i="1"/>
  <c r="AZ583" i="1"/>
  <c r="Q583" i="1" l="1"/>
  <c r="R891" i="1"/>
  <c r="Q582" i="1"/>
  <c r="AJ582" i="1"/>
  <c r="BB582" i="1"/>
  <c r="BB583" i="1"/>
  <c r="AJ583" i="1"/>
  <c r="R582" i="1" l="1"/>
  <c r="R583" i="1"/>
  <c r="AY862" i="1" l="1"/>
  <c r="AX862" i="1"/>
  <c r="AV862" i="1"/>
  <c r="AT862" i="1"/>
  <c r="AQ862" i="1"/>
  <c r="AP862" i="1"/>
  <c r="AN862" i="1"/>
  <c r="AL862" i="1"/>
  <c r="AG862" i="1"/>
  <c r="AF862" i="1"/>
  <c r="AD862" i="1"/>
  <c r="AB862" i="1"/>
  <c r="Y862" i="1"/>
  <c r="X862" i="1"/>
  <c r="V862" i="1"/>
  <c r="T862" i="1"/>
  <c r="AY863" i="1"/>
  <c r="AX863" i="1"/>
  <c r="AV863" i="1"/>
  <c r="AT863" i="1"/>
  <c r="AQ863" i="1"/>
  <c r="AP863" i="1"/>
  <c r="AN863" i="1"/>
  <c r="AL863" i="1"/>
  <c r="AG863" i="1"/>
  <c r="AF863" i="1"/>
  <c r="AD863" i="1"/>
  <c r="AB863" i="1"/>
  <c r="AI863" i="1"/>
  <c r="X863" i="1"/>
  <c r="V863" i="1"/>
  <c r="T863" i="1"/>
  <c r="AL537" i="1"/>
  <c r="AY537" i="1"/>
  <c r="AX537" i="1"/>
  <c r="AV537" i="1"/>
  <c r="AT537" i="1"/>
  <c r="AQ537" i="1"/>
  <c r="AP537" i="1"/>
  <c r="AN537" i="1"/>
  <c r="AG537" i="1"/>
  <c r="AF537" i="1"/>
  <c r="AD537" i="1"/>
  <c r="AB537" i="1"/>
  <c r="Y537" i="1"/>
  <c r="AI537" i="1" s="1"/>
  <c r="X537" i="1"/>
  <c r="V537" i="1"/>
  <c r="T537" i="1"/>
  <c r="AY945" i="1"/>
  <c r="AY936" i="1"/>
  <c r="AQ945" i="1"/>
  <c r="AQ936" i="1"/>
  <c r="AI862" i="1" l="1"/>
  <c r="BA862" i="1"/>
  <c r="BA537" i="1"/>
  <c r="Q537" i="1" s="1"/>
  <c r="BA863" i="1"/>
  <c r="Q863" i="1" s="1"/>
  <c r="Z537" i="1"/>
  <c r="AH537" i="1"/>
  <c r="AZ863" i="1"/>
  <c r="Z862" i="1"/>
  <c r="AH862" i="1"/>
  <c r="AZ862" i="1"/>
  <c r="AR537" i="1"/>
  <c r="AR862" i="1"/>
  <c r="Z863" i="1"/>
  <c r="AH863" i="1"/>
  <c r="AR863" i="1"/>
  <c r="AZ537" i="1"/>
  <c r="Q862" i="1" l="1"/>
  <c r="BB863" i="1"/>
  <c r="AJ862" i="1"/>
  <c r="BB862" i="1"/>
  <c r="AJ537" i="1"/>
  <c r="BB537" i="1"/>
  <c r="AJ863" i="1"/>
  <c r="AG945" i="1"/>
  <c r="AY192" i="1"/>
  <c r="AX192" i="1"/>
  <c r="AV192" i="1"/>
  <c r="AT192" i="1"/>
  <c r="AQ192" i="1"/>
  <c r="AP192" i="1"/>
  <c r="AN192" i="1"/>
  <c r="AL192" i="1"/>
  <c r="AG192" i="1"/>
  <c r="AF192" i="1"/>
  <c r="AD192" i="1"/>
  <c r="AB192" i="1"/>
  <c r="Y192" i="1"/>
  <c r="X192" i="1"/>
  <c r="V192" i="1"/>
  <c r="T192" i="1"/>
  <c r="AE28" i="1"/>
  <c r="AY890" i="1"/>
  <c r="AX890" i="1"/>
  <c r="AV890" i="1"/>
  <c r="AT890" i="1"/>
  <c r="AQ890" i="1"/>
  <c r="AP890" i="1"/>
  <c r="AN890" i="1"/>
  <c r="AL890" i="1"/>
  <c r="AG890" i="1"/>
  <c r="AF890" i="1"/>
  <c r="AD890" i="1"/>
  <c r="AB890" i="1"/>
  <c r="Y890" i="1"/>
  <c r="X890" i="1"/>
  <c r="V890" i="1"/>
  <c r="T890" i="1"/>
  <c r="Z890" i="1" l="1"/>
  <c r="BA192" i="1"/>
  <c r="BA890" i="1"/>
  <c r="R863" i="1"/>
  <c r="AI192" i="1"/>
  <c r="AI890" i="1"/>
  <c r="R862" i="1"/>
  <c r="R537" i="1"/>
  <c r="AR890" i="1"/>
  <c r="AZ890" i="1"/>
  <c r="Z192" i="1"/>
  <c r="AR192" i="1"/>
  <c r="AZ192" i="1"/>
  <c r="AH192" i="1"/>
  <c r="AH890" i="1"/>
  <c r="Q192" i="1" l="1"/>
  <c r="Q890" i="1"/>
  <c r="AJ192" i="1"/>
  <c r="BB192" i="1"/>
  <c r="BB890" i="1"/>
  <c r="AJ890" i="1"/>
  <c r="AY1077" i="1"/>
  <c r="AX1077" i="1"/>
  <c r="AV1077" i="1"/>
  <c r="AT1077" i="1"/>
  <c r="AQ1077" i="1"/>
  <c r="AP1077" i="1"/>
  <c r="AN1077" i="1"/>
  <c r="AL1077" i="1"/>
  <c r="AG1077" i="1"/>
  <c r="AF1077" i="1"/>
  <c r="AD1077" i="1"/>
  <c r="AB1077" i="1"/>
  <c r="Y1077" i="1"/>
  <c r="X1077" i="1"/>
  <c r="V1077" i="1"/>
  <c r="T1077" i="1"/>
  <c r="AY1078" i="1"/>
  <c r="AX1078" i="1"/>
  <c r="AV1078" i="1"/>
  <c r="AT1078" i="1"/>
  <c r="AQ1078" i="1"/>
  <c r="BA1078" i="1" s="1"/>
  <c r="AP1078" i="1"/>
  <c r="AN1078" i="1"/>
  <c r="AL1078" i="1"/>
  <c r="AG1078" i="1"/>
  <c r="AF1078" i="1"/>
  <c r="AD1078" i="1"/>
  <c r="AB1078" i="1"/>
  <c r="Y1078" i="1"/>
  <c r="X1078" i="1"/>
  <c r="V1078" i="1"/>
  <c r="T1078" i="1"/>
  <c r="AX945" i="1"/>
  <c r="AV945" i="1"/>
  <c r="AT945" i="1"/>
  <c r="AP945" i="1"/>
  <c r="AN945" i="1"/>
  <c r="AL945" i="1"/>
  <c r="AF945" i="1"/>
  <c r="AD945" i="1"/>
  <c r="AB945" i="1"/>
  <c r="AI945" i="1"/>
  <c r="X945" i="1"/>
  <c r="V945" i="1"/>
  <c r="T945" i="1"/>
  <c r="AX936" i="1"/>
  <c r="AV936" i="1"/>
  <c r="AT936" i="1"/>
  <c r="BA936" i="1"/>
  <c r="AP936" i="1"/>
  <c r="AN936" i="1"/>
  <c r="AL936" i="1"/>
  <c r="AF936" i="1"/>
  <c r="AD936" i="1"/>
  <c r="AB936" i="1"/>
  <c r="X936" i="1"/>
  <c r="V936" i="1"/>
  <c r="T936" i="1"/>
  <c r="AY193" i="1"/>
  <c r="AX193" i="1"/>
  <c r="AV193" i="1"/>
  <c r="AT193" i="1"/>
  <c r="AQ193" i="1"/>
  <c r="AP193" i="1"/>
  <c r="AN193" i="1"/>
  <c r="AL193" i="1"/>
  <c r="AG193" i="1"/>
  <c r="AF193" i="1"/>
  <c r="AD193" i="1"/>
  <c r="AB193" i="1"/>
  <c r="Y193" i="1"/>
  <c r="X193" i="1"/>
  <c r="V193" i="1"/>
  <c r="T193" i="1"/>
  <c r="AY187" i="1"/>
  <c r="AX187" i="1"/>
  <c r="AV187" i="1"/>
  <c r="AT187" i="1"/>
  <c r="AQ187" i="1"/>
  <c r="BA187" i="1" s="1"/>
  <c r="AP187" i="1"/>
  <c r="AN187" i="1"/>
  <c r="AL187" i="1"/>
  <c r="AG187" i="1"/>
  <c r="AF187" i="1"/>
  <c r="AD187" i="1"/>
  <c r="AB187" i="1"/>
  <c r="Y187" i="1"/>
  <c r="X187" i="1"/>
  <c r="V187" i="1"/>
  <c r="T187" i="1"/>
  <c r="AY417" i="1"/>
  <c r="AX417" i="1"/>
  <c r="AV417" i="1"/>
  <c r="AT417" i="1"/>
  <c r="AQ417" i="1"/>
  <c r="AP417" i="1"/>
  <c r="AN417" i="1"/>
  <c r="AL417" i="1"/>
  <c r="AG417" i="1"/>
  <c r="AF417" i="1"/>
  <c r="AD417" i="1"/>
  <c r="AB417" i="1"/>
  <c r="Y417" i="1"/>
  <c r="X417" i="1"/>
  <c r="V417" i="1"/>
  <c r="T417" i="1"/>
  <c r="AI1077" i="1" l="1"/>
  <c r="BA417" i="1"/>
  <c r="BA193" i="1"/>
  <c r="AI1078" i="1"/>
  <c r="Q1078" i="1" s="1"/>
  <c r="BA1077" i="1"/>
  <c r="Q1077" i="1" s="1"/>
  <c r="AI187" i="1"/>
  <c r="Q187" i="1" s="1"/>
  <c r="AI193" i="1"/>
  <c r="R192" i="1"/>
  <c r="AI936" i="1"/>
  <c r="Q936" i="1" s="1"/>
  <c r="R890" i="1"/>
  <c r="AR945" i="1"/>
  <c r="AZ945" i="1"/>
  <c r="Z1077" i="1"/>
  <c r="AH1077" i="1"/>
  <c r="AR1077" i="1"/>
  <c r="AZ1077" i="1"/>
  <c r="Z1078" i="1"/>
  <c r="AH1078" i="1"/>
  <c r="AR1078" i="1"/>
  <c r="AZ1078" i="1"/>
  <c r="BA945" i="1"/>
  <c r="Q945" i="1" s="1"/>
  <c r="AH945" i="1"/>
  <c r="Z945" i="1"/>
  <c r="Z936" i="1"/>
  <c r="AH936" i="1"/>
  <c r="AR936" i="1"/>
  <c r="AZ936" i="1"/>
  <c r="Z193" i="1"/>
  <c r="AH193" i="1"/>
  <c r="AR193" i="1"/>
  <c r="AZ193" i="1"/>
  <c r="Z187" i="1"/>
  <c r="AH187" i="1"/>
  <c r="AR187" i="1"/>
  <c r="AZ187" i="1"/>
  <c r="Z417" i="1"/>
  <c r="AR417" i="1"/>
  <c r="AZ417" i="1"/>
  <c r="AI417" i="1"/>
  <c r="Q417" i="1" s="1"/>
  <c r="AH417" i="1"/>
  <c r="AJ417" i="1" s="1"/>
  <c r="Q193" i="1" l="1"/>
  <c r="BB1077" i="1"/>
  <c r="BB945" i="1"/>
  <c r="AJ1077" i="1"/>
  <c r="AJ945" i="1"/>
  <c r="BB187" i="1"/>
  <c r="AJ1078" i="1"/>
  <c r="BB1078" i="1"/>
  <c r="BB936" i="1"/>
  <c r="AJ193" i="1"/>
  <c r="AJ936" i="1"/>
  <c r="BB193" i="1"/>
  <c r="AJ187" i="1"/>
  <c r="BB417" i="1"/>
  <c r="R417" i="1" s="1"/>
  <c r="R945" i="1" l="1"/>
  <c r="R936" i="1"/>
  <c r="R187" i="1"/>
  <c r="R1077" i="1"/>
  <c r="R1078" i="1"/>
  <c r="R193" i="1"/>
  <c r="AY171" i="1"/>
  <c r="AX171" i="1"/>
  <c r="AV171" i="1"/>
  <c r="AT171" i="1"/>
  <c r="AQ171" i="1"/>
  <c r="AP171" i="1"/>
  <c r="AN171" i="1"/>
  <c r="AL171" i="1"/>
  <c r="AG171" i="1"/>
  <c r="AF171" i="1"/>
  <c r="AD171" i="1"/>
  <c r="AB171" i="1"/>
  <c r="Y171" i="1"/>
  <c r="X171" i="1"/>
  <c r="V171" i="1"/>
  <c r="T171" i="1"/>
  <c r="AY157" i="1"/>
  <c r="AX157" i="1"/>
  <c r="AV157" i="1"/>
  <c r="AT157" i="1"/>
  <c r="AQ157" i="1"/>
  <c r="AP157" i="1"/>
  <c r="AN157" i="1"/>
  <c r="AL157" i="1"/>
  <c r="AG157" i="1"/>
  <c r="AF157" i="1"/>
  <c r="AD157" i="1"/>
  <c r="AB157" i="1"/>
  <c r="Y157" i="1"/>
  <c r="X157" i="1"/>
  <c r="V157" i="1"/>
  <c r="T157" i="1"/>
  <c r="AY241" i="1"/>
  <c r="AX241" i="1"/>
  <c r="AV241" i="1"/>
  <c r="AT241" i="1"/>
  <c r="AQ241" i="1"/>
  <c r="AP241" i="1"/>
  <c r="AN241" i="1"/>
  <c r="AL241" i="1"/>
  <c r="AG241" i="1"/>
  <c r="AF241" i="1"/>
  <c r="AD241" i="1"/>
  <c r="AB241" i="1"/>
  <c r="Y241" i="1"/>
  <c r="X241" i="1"/>
  <c r="V241" i="1"/>
  <c r="T241" i="1"/>
  <c r="BA241" i="1" l="1"/>
  <c r="BA157" i="1"/>
  <c r="AI241" i="1"/>
  <c r="AI171" i="1"/>
  <c r="BA171" i="1"/>
  <c r="Z171" i="1"/>
  <c r="AH171" i="1"/>
  <c r="AR171" i="1"/>
  <c r="AZ171" i="1"/>
  <c r="AI157" i="1"/>
  <c r="Q157" i="1" s="1"/>
  <c r="AR241" i="1"/>
  <c r="Z157" i="1"/>
  <c r="AH157" i="1"/>
  <c r="AR157" i="1"/>
  <c r="AZ157" i="1"/>
  <c r="Z241" i="1"/>
  <c r="AH241" i="1"/>
  <c r="AZ241" i="1"/>
  <c r="Q241" i="1" l="1"/>
  <c r="BB171" i="1"/>
  <c r="Q171" i="1"/>
  <c r="AJ171" i="1"/>
  <c r="BB241" i="1"/>
  <c r="BB157" i="1"/>
  <c r="AJ157" i="1"/>
  <c r="AJ241" i="1"/>
  <c r="AY696" i="1"/>
  <c r="AX696" i="1"/>
  <c r="AV696" i="1"/>
  <c r="AT696" i="1"/>
  <c r="AQ696" i="1"/>
  <c r="AP696" i="1"/>
  <c r="AN696" i="1"/>
  <c r="AL696" i="1"/>
  <c r="AG696" i="1"/>
  <c r="AF696" i="1"/>
  <c r="AD696" i="1"/>
  <c r="AB696" i="1"/>
  <c r="Y696" i="1"/>
  <c r="X696" i="1"/>
  <c r="V696" i="1"/>
  <c r="T696" i="1"/>
  <c r="AY698" i="1"/>
  <c r="AX698" i="1"/>
  <c r="AV698" i="1"/>
  <c r="AT698" i="1"/>
  <c r="AQ698" i="1"/>
  <c r="AP698" i="1"/>
  <c r="AN698" i="1"/>
  <c r="AL698" i="1"/>
  <c r="AG698" i="1"/>
  <c r="AF698" i="1"/>
  <c r="AD698" i="1"/>
  <c r="AB698" i="1"/>
  <c r="Y698" i="1"/>
  <c r="X698" i="1"/>
  <c r="V698" i="1"/>
  <c r="T698" i="1"/>
  <c r="AY1098" i="1"/>
  <c r="AX1098" i="1"/>
  <c r="AV1098" i="1"/>
  <c r="AT1098" i="1"/>
  <c r="AQ1098" i="1"/>
  <c r="AP1098" i="1"/>
  <c r="AN1098" i="1"/>
  <c r="AL1098" i="1"/>
  <c r="AG1098" i="1"/>
  <c r="AF1098" i="1"/>
  <c r="AD1098" i="1"/>
  <c r="AB1098" i="1"/>
  <c r="Y1098" i="1"/>
  <c r="X1098" i="1"/>
  <c r="V1098" i="1"/>
  <c r="T1098" i="1"/>
  <c r="AY1093" i="1"/>
  <c r="AX1093" i="1"/>
  <c r="AV1093" i="1"/>
  <c r="AT1093" i="1"/>
  <c r="AQ1093" i="1"/>
  <c r="AP1093" i="1"/>
  <c r="AN1093" i="1"/>
  <c r="AL1093" i="1"/>
  <c r="AG1093" i="1"/>
  <c r="AF1093" i="1"/>
  <c r="AD1093" i="1"/>
  <c r="AB1093" i="1"/>
  <c r="Y1093" i="1"/>
  <c r="X1093" i="1"/>
  <c r="V1093" i="1"/>
  <c r="T1093" i="1"/>
  <c r="AY1089" i="1"/>
  <c r="AX1089" i="1"/>
  <c r="AV1089" i="1"/>
  <c r="AT1089" i="1"/>
  <c r="AQ1089" i="1"/>
  <c r="AP1089" i="1"/>
  <c r="AN1089" i="1"/>
  <c r="AL1089" i="1"/>
  <c r="AG1089" i="1"/>
  <c r="AF1089" i="1"/>
  <c r="AD1089" i="1"/>
  <c r="AB1089" i="1"/>
  <c r="Y1089" i="1"/>
  <c r="X1089" i="1"/>
  <c r="V1089" i="1"/>
  <c r="T1089" i="1"/>
  <c r="AY1090" i="1"/>
  <c r="AX1090" i="1"/>
  <c r="AV1090" i="1"/>
  <c r="AT1090" i="1"/>
  <c r="AQ1090" i="1"/>
  <c r="AP1090" i="1"/>
  <c r="AN1090" i="1"/>
  <c r="AL1090" i="1"/>
  <c r="AG1090" i="1"/>
  <c r="AF1090" i="1"/>
  <c r="AD1090" i="1"/>
  <c r="AB1090" i="1"/>
  <c r="Y1090" i="1"/>
  <c r="X1090" i="1"/>
  <c r="V1090" i="1"/>
  <c r="T1090" i="1"/>
  <c r="AY1216" i="1"/>
  <c r="AX1216" i="1"/>
  <c r="AV1216" i="1"/>
  <c r="AT1216" i="1"/>
  <c r="AQ1216" i="1"/>
  <c r="BA1216" i="1" s="1"/>
  <c r="AP1216" i="1"/>
  <c r="AN1216" i="1"/>
  <c r="AL1216" i="1"/>
  <c r="AG1216" i="1"/>
  <c r="AF1216" i="1"/>
  <c r="AD1216" i="1"/>
  <c r="AB1216" i="1"/>
  <c r="Y1216" i="1"/>
  <c r="X1216" i="1"/>
  <c r="V1216" i="1"/>
  <c r="T1216" i="1"/>
  <c r="AY1190" i="1"/>
  <c r="AX1190" i="1"/>
  <c r="AV1190" i="1"/>
  <c r="AT1190" i="1"/>
  <c r="AQ1190" i="1"/>
  <c r="AP1190" i="1"/>
  <c r="AN1190" i="1"/>
  <c r="AL1190" i="1"/>
  <c r="AG1190" i="1"/>
  <c r="AF1190" i="1"/>
  <c r="AD1190" i="1"/>
  <c r="AB1190" i="1"/>
  <c r="Y1190" i="1"/>
  <c r="X1190" i="1"/>
  <c r="V1190" i="1"/>
  <c r="T1190" i="1"/>
  <c r="AY1186" i="1"/>
  <c r="AX1186" i="1"/>
  <c r="AV1186" i="1"/>
  <c r="AT1186" i="1"/>
  <c r="AQ1186" i="1"/>
  <c r="AP1186" i="1"/>
  <c r="AN1186" i="1"/>
  <c r="AL1186" i="1"/>
  <c r="AG1186" i="1"/>
  <c r="AF1186" i="1"/>
  <c r="AD1186" i="1"/>
  <c r="AB1186" i="1"/>
  <c r="Y1186" i="1"/>
  <c r="X1186" i="1"/>
  <c r="V1186" i="1"/>
  <c r="T1186" i="1"/>
  <c r="BA696" i="1" l="1"/>
  <c r="AI1190" i="1"/>
  <c r="AI1090" i="1"/>
  <c r="AI1093" i="1"/>
  <c r="AI1216" i="1"/>
  <c r="Q1216" i="1" s="1"/>
  <c r="BA1098" i="1"/>
  <c r="BA1089" i="1"/>
  <c r="BA1090" i="1"/>
  <c r="BA1186" i="1"/>
  <c r="AI1186" i="1"/>
  <c r="R171" i="1"/>
  <c r="BA1093" i="1"/>
  <c r="R241" i="1"/>
  <c r="R157" i="1"/>
  <c r="BA1190" i="1"/>
  <c r="AI1089" i="1"/>
  <c r="AI696" i="1"/>
  <c r="Q696" i="1" s="1"/>
  <c r="Z696" i="1"/>
  <c r="AH696" i="1"/>
  <c r="AR696" i="1"/>
  <c r="AZ696" i="1"/>
  <c r="AI698" i="1"/>
  <c r="BA698" i="1"/>
  <c r="Z698" i="1"/>
  <c r="AH698" i="1"/>
  <c r="AR698" i="1"/>
  <c r="AZ698" i="1"/>
  <c r="Z1093" i="1"/>
  <c r="AH1093" i="1"/>
  <c r="AR1093" i="1"/>
  <c r="Z1098" i="1"/>
  <c r="AH1098" i="1"/>
  <c r="AR1098" i="1"/>
  <c r="AZ1098" i="1"/>
  <c r="AI1098" i="1"/>
  <c r="AZ1093" i="1"/>
  <c r="Z1089" i="1"/>
  <c r="AH1089" i="1"/>
  <c r="AR1089" i="1"/>
  <c r="AZ1089" i="1"/>
  <c r="Z1090" i="1"/>
  <c r="AH1090" i="1"/>
  <c r="AR1090" i="1"/>
  <c r="AZ1090" i="1"/>
  <c r="Z1216" i="1"/>
  <c r="AH1216" i="1"/>
  <c r="AR1216" i="1"/>
  <c r="AZ1216" i="1"/>
  <c r="Z1190" i="1"/>
  <c r="AR1190" i="1"/>
  <c r="AZ1190" i="1"/>
  <c r="AH1190" i="1"/>
  <c r="AH1186" i="1"/>
  <c r="AR1186" i="1"/>
  <c r="AZ1186" i="1"/>
  <c r="Z1186" i="1"/>
  <c r="AY214" i="1"/>
  <c r="AX214" i="1"/>
  <c r="AV214" i="1"/>
  <c r="AT214" i="1"/>
  <c r="AQ214" i="1"/>
  <c r="AP214" i="1"/>
  <c r="AN214" i="1"/>
  <c r="AL214" i="1"/>
  <c r="AG214" i="1"/>
  <c r="AF214" i="1"/>
  <c r="AD214" i="1"/>
  <c r="AB214" i="1"/>
  <c r="Y214" i="1"/>
  <c r="X214" i="1"/>
  <c r="V214" i="1"/>
  <c r="T214" i="1"/>
  <c r="AY348" i="1"/>
  <c r="AX348" i="1"/>
  <c r="AV348" i="1"/>
  <c r="AT348" i="1"/>
  <c r="AQ348" i="1"/>
  <c r="AP348" i="1"/>
  <c r="AN348" i="1"/>
  <c r="AL348" i="1"/>
  <c r="AG348" i="1"/>
  <c r="AF348" i="1"/>
  <c r="AD348" i="1"/>
  <c r="AB348" i="1"/>
  <c r="Y348" i="1"/>
  <c r="X348" i="1"/>
  <c r="V348" i="1"/>
  <c r="T348" i="1"/>
  <c r="AY347" i="1"/>
  <c r="AX347" i="1"/>
  <c r="AV347" i="1"/>
  <c r="AT347" i="1"/>
  <c r="AQ347" i="1"/>
  <c r="BA347" i="1" s="1"/>
  <c r="AP347" i="1"/>
  <c r="AN347" i="1"/>
  <c r="AL347" i="1"/>
  <c r="AG347" i="1"/>
  <c r="AF347" i="1"/>
  <c r="AD347" i="1"/>
  <c r="AB347" i="1"/>
  <c r="Y347" i="1"/>
  <c r="X347" i="1"/>
  <c r="V347" i="1"/>
  <c r="T347" i="1"/>
  <c r="AY346" i="1"/>
  <c r="AX346" i="1"/>
  <c r="AV346" i="1"/>
  <c r="AT346" i="1"/>
  <c r="AQ346" i="1"/>
  <c r="AP346" i="1"/>
  <c r="AN346" i="1"/>
  <c r="AL346" i="1"/>
  <c r="AG346" i="1"/>
  <c r="AF346" i="1"/>
  <c r="AD346" i="1"/>
  <c r="AB346" i="1"/>
  <c r="Y346" i="1"/>
  <c r="X346" i="1"/>
  <c r="V346" i="1"/>
  <c r="T346" i="1"/>
  <c r="AY345" i="1"/>
  <c r="AX345" i="1"/>
  <c r="AV345" i="1"/>
  <c r="AT345" i="1"/>
  <c r="AQ345" i="1"/>
  <c r="BA345" i="1" s="1"/>
  <c r="AP345" i="1"/>
  <c r="AN345" i="1"/>
  <c r="AL345" i="1"/>
  <c r="AG345" i="1"/>
  <c r="AF345" i="1"/>
  <c r="AD345" i="1"/>
  <c r="AB345" i="1"/>
  <c r="Y345" i="1"/>
  <c r="X345" i="1"/>
  <c r="V345" i="1"/>
  <c r="T345" i="1"/>
  <c r="AY344" i="1"/>
  <c r="AX344" i="1"/>
  <c r="AV344" i="1"/>
  <c r="AT344" i="1"/>
  <c r="AQ344" i="1"/>
  <c r="BA344" i="1" s="1"/>
  <c r="AP344" i="1"/>
  <c r="AN344" i="1"/>
  <c r="AL344" i="1"/>
  <c r="AG344" i="1"/>
  <c r="AF344" i="1"/>
  <c r="AD344" i="1"/>
  <c r="AB344" i="1"/>
  <c r="Y344" i="1"/>
  <c r="X344" i="1"/>
  <c r="V344" i="1"/>
  <c r="T344" i="1"/>
  <c r="AY343" i="1"/>
  <c r="AX343" i="1"/>
  <c r="AV343" i="1"/>
  <c r="AT343" i="1"/>
  <c r="AQ343" i="1"/>
  <c r="AP343" i="1"/>
  <c r="AN343" i="1"/>
  <c r="AL343" i="1"/>
  <c r="AG343" i="1"/>
  <c r="AF343" i="1"/>
  <c r="AD343" i="1"/>
  <c r="AB343" i="1"/>
  <c r="Y343" i="1"/>
  <c r="X343" i="1"/>
  <c r="V343" i="1"/>
  <c r="T343" i="1"/>
  <c r="AY351" i="1"/>
  <c r="AX351" i="1"/>
  <c r="AV351" i="1"/>
  <c r="AT351" i="1"/>
  <c r="AQ351" i="1"/>
  <c r="BA351" i="1" s="1"/>
  <c r="AP351" i="1"/>
  <c r="AN351" i="1"/>
  <c r="AL351" i="1"/>
  <c r="AG351" i="1"/>
  <c r="AF351" i="1"/>
  <c r="AD351" i="1"/>
  <c r="AB351" i="1"/>
  <c r="Y351" i="1"/>
  <c r="X351" i="1"/>
  <c r="V351" i="1"/>
  <c r="T351" i="1"/>
  <c r="AY350" i="1"/>
  <c r="AX350" i="1"/>
  <c r="AV350" i="1"/>
  <c r="AT350" i="1"/>
  <c r="AQ350" i="1"/>
  <c r="AP350" i="1"/>
  <c r="AN350" i="1"/>
  <c r="AL350" i="1"/>
  <c r="AG350" i="1"/>
  <c r="AF350" i="1"/>
  <c r="AD350" i="1"/>
  <c r="AB350" i="1"/>
  <c r="Y350" i="1"/>
  <c r="X350" i="1"/>
  <c r="V350" i="1"/>
  <c r="T350" i="1"/>
  <c r="AY349" i="1"/>
  <c r="AX349" i="1"/>
  <c r="AV349" i="1"/>
  <c r="AT349" i="1"/>
  <c r="AQ349" i="1"/>
  <c r="AP349" i="1"/>
  <c r="AN349" i="1"/>
  <c r="AL349" i="1"/>
  <c r="AG349" i="1"/>
  <c r="AF349" i="1"/>
  <c r="AD349" i="1"/>
  <c r="AB349" i="1"/>
  <c r="Y349" i="1"/>
  <c r="X349" i="1"/>
  <c r="V349" i="1"/>
  <c r="T349" i="1"/>
  <c r="AY342" i="1"/>
  <c r="AX342" i="1"/>
  <c r="AV342" i="1"/>
  <c r="AT342" i="1"/>
  <c r="AQ342" i="1"/>
  <c r="AP342" i="1"/>
  <c r="AN342" i="1"/>
  <c r="AL342" i="1"/>
  <c r="AG342" i="1"/>
  <c r="AF342" i="1"/>
  <c r="AD342" i="1"/>
  <c r="AB342" i="1"/>
  <c r="Y342" i="1"/>
  <c r="X342" i="1"/>
  <c r="V342" i="1"/>
  <c r="T342" i="1"/>
  <c r="BA343" i="1" l="1"/>
  <c r="Q1190" i="1"/>
  <c r="Q1093" i="1"/>
  <c r="AI347" i="1"/>
  <c r="Q347" i="1" s="1"/>
  <c r="AI351" i="1"/>
  <c r="Q351" i="1" s="1"/>
  <c r="AI345" i="1"/>
  <c r="Q345" i="1" s="1"/>
  <c r="AI350" i="1"/>
  <c r="AI344" i="1"/>
  <c r="Q344" i="1" s="1"/>
  <c r="Q1090" i="1"/>
  <c r="Q1098" i="1"/>
  <c r="Q1186" i="1"/>
  <c r="Q1089" i="1"/>
  <c r="AI349" i="1"/>
  <c r="BA346" i="1"/>
  <c r="AI343" i="1"/>
  <c r="BA214" i="1"/>
  <c r="BA349" i="1"/>
  <c r="BA350" i="1"/>
  <c r="AI214" i="1"/>
  <c r="BB696" i="1"/>
  <c r="AJ696" i="1"/>
  <c r="AJ698" i="1"/>
  <c r="AJ1098" i="1"/>
  <c r="BB1093" i="1"/>
  <c r="BB698" i="1"/>
  <c r="Q698" i="1"/>
  <c r="BA342" i="1"/>
  <c r="BB1098" i="1"/>
  <c r="AJ1093" i="1"/>
  <c r="AJ1089" i="1"/>
  <c r="AH348" i="1"/>
  <c r="AR348" i="1"/>
  <c r="Z214" i="1"/>
  <c r="AH214" i="1"/>
  <c r="AR214" i="1"/>
  <c r="AZ214" i="1"/>
  <c r="AJ1186" i="1"/>
  <c r="AJ1190" i="1"/>
  <c r="BB1089" i="1"/>
  <c r="BB1090" i="1"/>
  <c r="AJ1090" i="1"/>
  <c r="BB1216" i="1"/>
  <c r="AJ1216" i="1"/>
  <c r="BB1190" i="1"/>
  <c r="BB1186" i="1"/>
  <c r="AH345" i="1"/>
  <c r="AR347" i="1"/>
  <c r="AZ347" i="1"/>
  <c r="AR345" i="1"/>
  <c r="AZ345" i="1"/>
  <c r="AR346" i="1"/>
  <c r="AZ346" i="1"/>
  <c r="AZ348" i="1"/>
  <c r="AI348" i="1"/>
  <c r="BA348" i="1"/>
  <c r="AI346" i="1"/>
  <c r="AI342" i="1"/>
  <c r="AH347" i="1"/>
  <c r="Z347" i="1"/>
  <c r="Z345" i="1"/>
  <c r="Z348" i="1"/>
  <c r="Z346" i="1"/>
  <c r="AH346" i="1"/>
  <c r="Z349" i="1"/>
  <c r="AH349" i="1"/>
  <c r="AR349" i="1"/>
  <c r="AZ349" i="1"/>
  <c r="Z350" i="1"/>
  <c r="AH350" i="1"/>
  <c r="AR351" i="1"/>
  <c r="AZ351" i="1"/>
  <c r="Z344" i="1"/>
  <c r="AH344" i="1"/>
  <c r="AR344" i="1"/>
  <c r="AZ344" i="1"/>
  <c r="Z343" i="1"/>
  <c r="AH343" i="1"/>
  <c r="AR343" i="1"/>
  <c r="AZ343" i="1"/>
  <c r="Z342" i="1"/>
  <c r="AH342" i="1"/>
  <c r="AR350" i="1"/>
  <c r="AZ350" i="1"/>
  <c r="AR342" i="1"/>
  <c r="AZ342" i="1"/>
  <c r="Z351" i="1"/>
  <c r="AH351" i="1"/>
  <c r="R1186" i="1" l="1"/>
  <c r="Q343" i="1"/>
  <c r="Q350" i="1"/>
  <c r="AJ348" i="1"/>
  <c r="Q342" i="1"/>
  <c r="Q346" i="1"/>
  <c r="Q214" i="1"/>
  <c r="Q349" i="1"/>
  <c r="R1216" i="1"/>
  <c r="R1093" i="1"/>
  <c r="R696" i="1"/>
  <c r="R1190" i="1"/>
  <c r="R1098" i="1"/>
  <c r="R698" i="1"/>
  <c r="R1090" i="1"/>
  <c r="AJ214" i="1"/>
  <c r="BB348" i="1"/>
  <c r="BB214" i="1"/>
  <c r="R1089" i="1"/>
  <c r="BB347" i="1"/>
  <c r="AJ345" i="1"/>
  <c r="BB351" i="1"/>
  <c r="BB346" i="1"/>
  <c r="Q348" i="1"/>
  <c r="BB345" i="1"/>
  <c r="AJ347" i="1"/>
  <c r="BB344" i="1"/>
  <c r="BB349" i="1"/>
  <c r="AJ346" i="1"/>
  <c r="AJ344" i="1"/>
  <c r="AJ350" i="1"/>
  <c r="AJ349" i="1"/>
  <c r="BB343" i="1"/>
  <c r="AJ343" i="1"/>
  <c r="BB342" i="1"/>
  <c r="BB350" i="1"/>
  <c r="AJ351" i="1"/>
  <c r="AJ342" i="1"/>
  <c r="G3" i="4"/>
  <c r="R348" i="1" l="1"/>
  <c r="R349" i="1"/>
  <c r="R343" i="1"/>
  <c r="R214" i="1"/>
  <c r="R345" i="1"/>
  <c r="R347" i="1"/>
  <c r="R344" i="1"/>
  <c r="R351" i="1"/>
  <c r="R346" i="1"/>
  <c r="R350" i="1"/>
  <c r="R342" i="1"/>
  <c r="AY369" i="1"/>
  <c r="AX369" i="1"/>
  <c r="AV369" i="1"/>
  <c r="AT369" i="1"/>
  <c r="AQ369" i="1"/>
  <c r="AP369" i="1"/>
  <c r="AN369" i="1"/>
  <c r="AL369" i="1"/>
  <c r="AG369" i="1"/>
  <c r="AF369" i="1"/>
  <c r="AD369" i="1"/>
  <c r="AB369" i="1"/>
  <c r="Y369" i="1"/>
  <c r="X369" i="1"/>
  <c r="V369" i="1"/>
  <c r="T369" i="1"/>
  <c r="AY700" i="1"/>
  <c r="AX700" i="1"/>
  <c r="AV700" i="1"/>
  <c r="AT700" i="1"/>
  <c r="AQ700" i="1"/>
  <c r="AP700" i="1"/>
  <c r="AN700" i="1"/>
  <c r="AL700" i="1"/>
  <c r="AG700" i="1"/>
  <c r="AF700" i="1"/>
  <c r="AD700" i="1"/>
  <c r="AB700" i="1"/>
  <c r="Y700" i="1"/>
  <c r="X700" i="1"/>
  <c r="V700" i="1"/>
  <c r="T700" i="1"/>
  <c r="BA369" i="1" l="1"/>
  <c r="AI369" i="1"/>
  <c r="Z369" i="1"/>
  <c r="AR369" i="1"/>
  <c r="AZ369" i="1"/>
  <c r="AH369" i="1"/>
  <c r="AI700" i="1"/>
  <c r="BA700" i="1"/>
  <c r="Z700" i="1"/>
  <c r="AH700" i="1"/>
  <c r="AR700" i="1"/>
  <c r="AZ700" i="1"/>
  <c r="Q369" i="1" l="1"/>
  <c r="AJ369" i="1"/>
  <c r="BB369" i="1"/>
  <c r="AJ700" i="1"/>
  <c r="BB700" i="1"/>
  <c r="Q700" i="1"/>
  <c r="R369" i="1" l="1"/>
  <c r="R700" i="1"/>
  <c r="AY1091" i="1" l="1"/>
  <c r="AX1091" i="1"/>
  <c r="AV1091" i="1"/>
  <c r="AT1091" i="1"/>
  <c r="AQ1091" i="1"/>
  <c r="AP1091" i="1"/>
  <c r="AN1091" i="1"/>
  <c r="AL1091" i="1"/>
  <c r="AG1091" i="1"/>
  <c r="AF1091" i="1"/>
  <c r="AD1091" i="1"/>
  <c r="AB1091" i="1"/>
  <c r="Y1091" i="1"/>
  <c r="X1091" i="1"/>
  <c r="V1091" i="1"/>
  <c r="T1091" i="1"/>
  <c r="AY1092" i="1"/>
  <c r="AX1092" i="1"/>
  <c r="AV1092" i="1"/>
  <c r="AT1092" i="1"/>
  <c r="AQ1092" i="1"/>
  <c r="AP1092" i="1"/>
  <c r="AN1092" i="1"/>
  <c r="AL1092" i="1"/>
  <c r="AG1092" i="1"/>
  <c r="AF1092" i="1"/>
  <c r="AD1092" i="1"/>
  <c r="AB1092" i="1"/>
  <c r="Y1092" i="1"/>
  <c r="X1092" i="1"/>
  <c r="V1092" i="1"/>
  <c r="T1092" i="1"/>
  <c r="AY1062" i="1"/>
  <c r="AX1062" i="1"/>
  <c r="AV1062" i="1"/>
  <c r="AT1062" i="1"/>
  <c r="AQ1062" i="1"/>
  <c r="AP1062" i="1"/>
  <c r="AN1062" i="1"/>
  <c r="AL1062" i="1"/>
  <c r="AG1062" i="1"/>
  <c r="AF1062" i="1"/>
  <c r="AD1062" i="1"/>
  <c r="AB1062" i="1"/>
  <c r="Y1062" i="1"/>
  <c r="AI1062" i="1" s="1"/>
  <c r="X1062" i="1"/>
  <c r="V1062" i="1"/>
  <c r="T1062" i="1"/>
  <c r="AB174" i="1"/>
  <c r="AY1318" i="1"/>
  <c r="AX1318" i="1"/>
  <c r="AV1318" i="1"/>
  <c r="AT1318" i="1"/>
  <c r="AQ1318" i="1"/>
  <c r="AP1318" i="1"/>
  <c r="AN1318" i="1"/>
  <c r="AL1318" i="1"/>
  <c r="AG1318" i="1"/>
  <c r="AI1318" i="1" s="1"/>
  <c r="AF1318" i="1"/>
  <c r="AD1318" i="1"/>
  <c r="AB1318" i="1"/>
  <c r="X1318" i="1"/>
  <c r="V1318" i="1"/>
  <c r="T1318" i="1"/>
  <c r="BA1092" i="1" l="1"/>
  <c r="Z1318" i="1"/>
  <c r="AI1091" i="1"/>
  <c r="BA1062" i="1"/>
  <c r="Q1062" i="1" s="1"/>
  <c r="Z1091" i="1"/>
  <c r="AH1091" i="1"/>
  <c r="AR1091" i="1"/>
  <c r="AZ1091" i="1"/>
  <c r="AI1092" i="1"/>
  <c r="BA1318" i="1"/>
  <c r="Q1318" i="1" s="1"/>
  <c r="BA1091" i="1"/>
  <c r="AH1318" i="1"/>
  <c r="AR1318" i="1"/>
  <c r="AZ1318" i="1"/>
  <c r="Z1092" i="1"/>
  <c r="AH1092" i="1"/>
  <c r="AR1092" i="1"/>
  <c r="AZ1092" i="1"/>
  <c r="Z1062" i="1"/>
  <c r="AH1062" i="1"/>
  <c r="AR1062" i="1"/>
  <c r="AZ1062" i="1"/>
  <c r="Q1092" i="1" l="1"/>
  <c r="Q1091" i="1"/>
  <c r="AJ1091" i="1"/>
  <c r="BB1091" i="1"/>
  <c r="AJ1318" i="1"/>
  <c r="BB1318" i="1"/>
  <c r="BB1092" i="1"/>
  <c r="AJ1092" i="1"/>
  <c r="BB1062" i="1"/>
  <c r="AJ1062" i="1"/>
  <c r="R1091" i="1" l="1"/>
  <c r="R1092" i="1"/>
  <c r="R1062" i="1"/>
  <c r="R1318" i="1"/>
  <c r="AY408" i="1" l="1"/>
  <c r="AX408" i="1"/>
  <c r="AV408" i="1"/>
  <c r="AT408" i="1"/>
  <c r="AQ408" i="1"/>
  <c r="BA408" i="1" s="1"/>
  <c r="AP408" i="1"/>
  <c r="AN408" i="1"/>
  <c r="AL408" i="1"/>
  <c r="AG408" i="1"/>
  <c r="AF408" i="1"/>
  <c r="AD408" i="1"/>
  <c r="AB408" i="1"/>
  <c r="Y408" i="1"/>
  <c r="AI408" i="1" s="1"/>
  <c r="X408" i="1"/>
  <c r="V408" i="1"/>
  <c r="T408" i="1"/>
  <c r="AY364" i="1"/>
  <c r="AX364" i="1"/>
  <c r="AV364" i="1"/>
  <c r="AT364" i="1"/>
  <c r="AQ364" i="1"/>
  <c r="BA364" i="1" s="1"/>
  <c r="AP364" i="1"/>
  <c r="AN364" i="1"/>
  <c r="AL364" i="1"/>
  <c r="AG364" i="1"/>
  <c r="AF364" i="1"/>
  <c r="AD364" i="1"/>
  <c r="AB364" i="1"/>
  <c r="Y364" i="1"/>
  <c r="X364" i="1"/>
  <c r="V364" i="1"/>
  <c r="T364" i="1"/>
  <c r="T365" i="1"/>
  <c r="V365" i="1"/>
  <c r="X365" i="1"/>
  <c r="Y365" i="1"/>
  <c r="AB365" i="1"/>
  <c r="AD365" i="1"/>
  <c r="AF365" i="1"/>
  <c r="AG365" i="1"/>
  <c r="AL365" i="1"/>
  <c r="AN365" i="1"/>
  <c r="AP365" i="1"/>
  <c r="AQ365" i="1"/>
  <c r="AT365" i="1"/>
  <c r="AV365" i="1"/>
  <c r="AX365" i="1"/>
  <c r="AY365" i="1"/>
  <c r="AY396" i="1"/>
  <c r="AX396" i="1"/>
  <c r="AV396" i="1"/>
  <c r="AT396" i="1"/>
  <c r="AQ396" i="1"/>
  <c r="BA396" i="1" s="1"/>
  <c r="AP396" i="1"/>
  <c r="AN396" i="1"/>
  <c r="AL396" i="1"/>
  <c r="AG396" i="1"/>
  <c r="AF396" i="1"/>
  <c r="AD396" i="1"/>
  <c r="AB396" i="1"/>
  <c r="Y396" i="1"/>
  <c r="AI396" i="1" s="1"/>
  <c r="Q396" i="1" s="1"/>
  <c r="X396" i="1"/>
  <c r="V396" i="1"/>
  <c r="T396" i="1"/>
  <c r="AY405" i="1"/>
  <c r="AX405" i="1"/>
  <c r="AV405" i="1"/>
  <c r="AT405" i="1"/>
  <c r="AQ405" i="1"/>
  <c r="BA405" i="1" s="1"/>
  <c r="AP405" i="1"/>
  <c r="AN405" i="1"/>
  <c r="AL405" i="1"/>
  <c r="AG405" i="1"/>
  <c r="AF405" i="1"/>
  <c r="AD405" i="1"/>
  <c r="AB405" i="1"/>
  <c r="Y405" i="1"/>
  <c r="AI405" i="1" s="1"/>
  <c r="Q405" i="1" s="1"/>
  <c r="X405" i="1"/>
  <c r="V405" i="1"/>
  <c r="T405" i="1"/>
  <c r="AY403" i="1"/>
  <c r="AX403" i="1"/>
  <c r="AV403" i="1"/>
  <c r="AT403" i="1"/>
  <c r="AQ403" i="1"/>
  <c r="AP403" i="1"/>
  <c r="AN403" i="1"/>
  <c r="AL403" i="1"/>
  <c r="AG403" i="1"/>
  <c r="AF403" i="1"/>
  <c r="AD403" i="1"/>
  <c r="AB403" i="1"/>
  <c r="Y403" i="1"/>
  <c r="AI403" i="1" s="1"/>
  <c r="X403" i="1"/>
  <c r="V403" i="1"/>
  <c r="T403" i="1"/>
  <c r="AY1094" i="1"/>
  <c r="AX1094" i="1"/>
  <c r="AV1094" i="1"/>
  <c r="AT1094" i="1"/>
  <c r="AQ1094" i="1"/>
  <c r="AP1094" i="1"/>
  <c r="AN1094" i="1"/>
  <c r="AL1094" i="1"/>
  <c r="AG1094" i="1"/>
  <c r="AF1094" i="1"/>
  <c r="AD1094" i="1"/>
  <c r="AB1094" i="1"/>
  <c r="Y1094" i="1"/>
  <c r="X1094" i="1"/>
  <c r="V1094" i="1"/>
  <c r="T1094" i="1"/>
  <c r="AY1097" i="1"/>
  <c r="AX1097" i="1"/>
  <c r="AV1097" i="1"/>
  <c r="AT1097" i="1"/>
  <c r="AQ1097" i="1"/>
  <c r="AP1097" i="1"/>
  <c r="AN1097" i="1"/>
  <c r="AL1097" i="1"/>
  <c r="AG1097" i="1"/>
  <c r="AF1097" i="1"/>
  <c r="AD1097" i="1"/>
  <c r="AB1097" i="1"/>
  <c r="Y1097" i="1"/>
  <c r="X1097" i="1"/>
  <c r="V1097" i="1"/>
  <c r="T1097" i="1"/>
  <c r="AY1065" i="1"/>
  <c r="AX1065" i="1"/>
  <c r="AV1065" i="1"/>
  <c r="AT1065" i="1"/>
  <c r="AQ1065" i="1"/>
  <c r="AP1065" i="1"/>
  <c r="AN1065" i="1"/>
  <c r="AL1065" i="1"/>
  <c r="AG1065" i="1"/>
  <c r="AF1065" i="1"/>
  <c r="AD1065" i="1"/>
  <c r="AB1065" i="1"/>
  <c r="Y1065" i="1"/>
  <c r="X1065" i="1"/>
  <c r="V1065" i="1"/>
  <c r="T1065" i="1"/>
  <c r="AY1176" i="1"/>
  <c r="AX1176" i="1"/>
  <c r="AV1176" i="1"/>
  <c r="AT1176" i="1"/>
  <c r="AQ1176" i="1"/>
  <c r="BA1176" i="1" s="1"/>
  <c r="AP1176" i="1"/>
  <c r="AN1176" i="1"/>
  <c r="AL1176" i="1"/>
  <c r="AG1176" i="1"/>
  <c r="AF1176" i="1"/>
  <c r="AD1176" i="1"/>
  <c r="AB1176" i="1"/>
  <c r="Y1176" i="1"/>
  <c r="X1176" i="1"/>
  <c r="V1176" i="1"/>
  <c r="T1176" i="1"/>
  <c r="AY1036" i="1"/>
  <c r="AX1036" i="1"/>
  <c r="AV1036" i="1"/>
  <c r="AT1036" i="1"/>
  <c r="AQ1036" i="1"/>
  <c r="BA1036" i="1" s="1"/>
  <c r="AP1036" i="1"/>
  <c r="AN1036" i="1"/>
  <c r="AL1036" i="1"/>
  <c r="AG1036" i="1"/>
  <c r="AF1036" i="1"/>
  <c r="AD1036" i="1"/>
  <c r="AB1036" i="1"/>
  <c r="Y1036" i="1"/>
  <c r="AI1036" i="1" s="1"/>
  <c r="Q1036" i="1" s="1"/>
  <c r="X1036" i="1"/>
  <c r="V1036" i="1"/>
  <c r="T1036" i="1"/>
  <c r="U442" i="1"/>
  <c r="W442" i="1"/>
  <c r="AA442" i="1"/>
  <c r="AC442" i="1"/>
  <c r="AE442" i="1"/>
  <c r="AK442" i="1"/>
  <c r="AM442" i="1"/>
  <c r="AO442" i="1"/>
  <c r="AS442" i="1"/>
  <c r="AU442" i="1"/>
  <c r="AW442" i="1"/>
  <c r="S442" i="1"/>
  <c r="AY441" i="1"/>
  <c r="AX441" i="1"/>
  <c r="AV441" i="1"/>
  <c r="AT441" i="1"/>
  <c r="AQ441" i="1"/>
  <c r="AP441" i="1"/>
  <c r="AN441" i="1"/>
  <c r="AL441" i="1"/>
  <c r="AG441" i="1"/>
  <c r="AF441" i="1"/>
  <c r="AD441" i="1"/>
  <c r="AB441" i="1"/>
  <c r="Y441" i="1"/>
  <c r="AI441" i="1" s="1"/>
  <c r="X441" i="1"/>
  <c r="V441" i="1"/>
  <c r="T441" i="1"/>
  <c r="AY433" i="1"/>
  <c r="AX433" i="1"/>
  <c r="AV433" i="1"/>
  <c r="AT433" i="1"/>
  <c r="AQ433" i="1"/>
  <c r="AP433" i="1"/>
  <c r="AN433" i="1"/>
  <c r="AL433" i="1"/>
  <c r="AG433" i="1"/>
  <c r="AF433" i="1"/>
  <c r="AD433" i="1"/>
  <c r="AB433" i="1"/>
  <c r="Y433" i="1"/>
  <c r="AI433" i="1" s="1"/>
  <c r="X433" i="1"/>
  <c r="V433" i="1"/>
  <c r="T433" i="1"/>
  <c r="C3" i="4"/>
  <c r="Q408" i="1" l="1"/>
  <c r="AI1094" i="1"/>
  <c r="AI1176" i="1"/>
  <c r="Q1176" i="1" s="1"/>
  <c r="BA1094" i="1"/>
  <c r="BA403" i="1"/>
  <c r="Q403" i="1" s="1"/>
  <c r="BA433" i="1"/>
  <c r="Q433" i="1" s="1"/>
  <c r="BA441" i="1"/>
  <c r="Q441" i="1" s="1"/>
  <c r="AZ408" i="1"/>
  <c r="Z408" i="1"/>
  <c r="AH408" i="1"/>
  <c r="AR408" i="1"/>
  <c r="AZ365" i="1"/>
  <c r="AR365" i="1"/>
  <c r="AH365" i="1"/>
  <c r="Z365" i="1"/>
  <c r="Z396" i="1"/>
  <c r="AH396" i="1"/>
  <c r="AR396" i="1"/>
  <c r="AZ396" i="1"/>
  <c r="BA365" i="1"/>
  <c r="AI365" i="1"/>
  <c r="Z364" i="1"/>
  <c r="AH364" i="1"/>
  <c r="AR364" i="1"/>
  <c r="AZ364" i="1"/>
  <c r="AI364" i="1"/>
  <c r="Q364" i="1" s="1"/>
  <c r="Z405" i="1"/>
  <c r="AH405" i="1"/>
  <c r="AR405" i="1"/>
  <c r="AZ405" i="1"/>
  <c r="Z403" i="1"/>
  <c r="AH403" i="1"/>
  <c r="AR403" i="1"/>
  <c r="AZ403" i="1"/>
  <c r="BA1097" i="1"/>
  <c r="Z1094" i="1"/>
  <c r="AH1094" i="1"/>
  <c r="AR1094" i="1"/>
  <c r="AZ1094" i="1"/>
  <c r="AI1097" i="1"/>
  <c r="Z1097" i="1"/>
  <c r="AH1097" i="1"/>
  <c r="AR1097" i="1"/>
  <c r="AZ1097" i="1"/>
  <c r="BA1065" i="1"/>
  <c r="Z1065" i="1"/>
  <c r="AH1065" i="1"/>
  <c r="AR1065" i="1"/>
  <c r="AZ1065" i="1"/>
  <c r="AI1065" i="1"/>
  <c r="Z1176" i="1"/>
  <c r="AH1176" i="1"/>
  <c r="AR1176" i="1"/>
  <c r="AZ1176" i="1"/>
  <c r="AH433" i="1"/>
  <c r="Z1036" i="1"/>
  <c r="AH1036" i="1"/>
  <c r="AR1036" i="1"/>
  <c r="AZ1036" i="1"/>
  <c r="AR433" i="1"/>
  <c r="AZ433" i="1"/>
  <c r="AH441" i="1"/>
  <c r="AR441" i="1"/>
  <c r="AZ441" i="1"/>
  <c r="Z441" i="1"/>
  <c r="Z433" i="1"/>
  <c r="C4290" i="4"/>
  <c r="C4289" i="4"/>
  <c r="C4288" i="4"/>
  <c r="C4287" i="4"/>
  <c r="C4286" i="4"/>
  <c r="C4285" i="4"/>
  <c r="C4284" i="4"/>
  <c r="C4283" i="4"/>
  <c r="C4282" i="4"/>
  <c r="C4281" i="4"/>
  <c r="C4280" i="4"/>
  <c r="C4279" i="4"/>
  <c r="C4278" i="4"/>
  <c r="C4277" i="4"/>
  <c r="C4276" i="4"/>
  <c r="C4275" i="4"/>
  <c r="C4274" i="4"/>
  <c r="C4273" i="4"/>
  <c r="C4272" i="4"/>
  <c r="C4271" i="4"/>
  <c r="C4270" i="4"/>
  <c r="C4269" i="4"/>
  <c r="C4268" i="4"/>
  <c r="C4267" i="4"/>
  <c r="C4266" i="4"/>
  <c r="C4265" i="4"/>
  <c r="C4264" i="4"/>
  <c r="C4263" i="4"/>
  <c r="C4262" i="4"/>
  <c r="C4261" i="4"/>
  <c r="C4260" i="4"/>
  <c r="C4259" i="4"/>
  <c r="C4258" i="4"/>
  <c r="C4257" i="4"/>
  <c r="C4256" i="4"/>
  <c r="C4255" i="4"/>
  <c r="C4254" i="4"/>
  <c r="C4253" i="4"/>
  <c r="C4252" i="4"/>
  <c r="C4251" i="4"/>
  <c r="C4250" i="4"/>
  <c r="C4249" i="4"/>
  <c r="C4248" i="4"/>
  <c r="C4247" i="4"/>
  <c r="C4246" i="4"/>
  <c r="C4245" i="4"/>
  <c r="C4244" i="4"/>
  <c r="C4243" i="4"/>
  <c r="C4242" i="4"/>
  <c r="C4241" i="4"/>
  <c r="C4240" i="4"/>
  <c r="C4239" i="4"/>
  <c r="C4238" i="4"/>
  <c r="C4237" i="4"/>
  <c r="C4236" i="4"/>
  <c r="C4235" i="4"/>
  <c r="C4234" i="4"/>
  <c r="C4233" i="4"/>
  <c r="C4232" i="4"/>
  <c r="C4231" i="4"/>
  <c r="C4230" i="4"/>
  <c r="C4229" i="4"/>
  <c r="C4228" i="4"/>
  <c r="C4227" i="4"/>
  <c r="C4226" i="4"/>
  <c r="C4225" i="4"/>
  <c r="C4224" i="4"/>
  <c r="C4223" i="4"/>
  <c r="C4222" i="4"/>
  <c r="C4221" i="4"/>
  <c r="C4220" i="4"/>
  <c r="C4219" i="4"/>
  <c r="C4218" i="4"/>
  <c r="C4217" i="4"/>
  <c r="C4216" i="4"/>
  <c r="C4215" i="4"/>
  <c r="C4214" i="4"/>
  <c r="C4213" i="4"/>
  <c r="C4212" i="4"/>
  <c r="C4211" i="4"/>
  <c r="C4210" i="4"/>
  <c r="C4209" i="4"/>
  <c r="C4208" i="4"/>
  <c r="C4207" i="4"/>
  <c r="C3829" i="4"/>
  <c r="C3828" i="4"/>
  <c r="C3827" i="4"/>
  <c r="C3826" i="4"/>
  <c r="C3825" i="4"/>
  <c r="C3824" i="4"/>
  <c r="C3823" i="4"/>
  <c r="C3822" i="4"/>
  <c r="C3821" i="4"/>
  <c r="C3820" i="4"/>
  <c r="C3819" i="4"/>
  <c r="C3818" i="4"/>
  <c r="C3817" i="4"/>
  <c r="C3816" i="4"/>
  <c r="C3815" i="4"/>
  <c r="C3814" i="4"/>
  <c r="C3813" i="4"/>
  <c r="C3812" i="4"/>
  <c r="C3811" i="4"/>
  <c r="C3810" i="4"/>
  <c r="C3809" i="4"/>
  <c r="C3808" i="4"/>
  <c r="C3807" i="4"/>
  <c r="C3806" i="4"/>
  <c r="C3805" i="4"/>
  <c r="C3804" i="4"/>
  <c r="C3803" i="4"/>
  <c r="C3802" i="4"/>
  <c r="C3801" i="4"/>
  <c r="C3800" i="4"/>
  <c r="C3799" i="4"/>
  <c r="C3798" i="4"/>
  <c r="C3797" i="4"/>
  <c r="C3796" i="4"/>
  <c r="C3795" i="4"/>
  <c r="C3794" i="4"/>
  <c r="C3793" i="4"/>
  <c r="C3792" i="4"/>
  <c r="C3791" i="4"/>
  <c r="C3790" i="4"/>
  <c r="C3789" i="4"/>
  <c r="C3788" i="4"/>
  <c r="C3787" i="4"/>
  <c r="C3786" i="4"/>
  <c r="C3785" i="4"/>
  <c r="C3784" i="4"/>
  <c r="C3783" i="4"/>
  <c r="C3782" i="4"/>
  <c r="C3781" i="4"/>
  <c r="C3780" i="4"/>
  <c r="C3779" i="4"/>
  <c r="C3778" i="4"/>
  <c r="C3777" i="4"/>
  <c r="C3776" i="4"/>
  <c r="C3775" i="4"/>
  <c r="C3774" i="4"/>
  <c r="C3773" i="4"/>
  <c r="C3772" i="4"/>
  <c r="C3771" i="4"/>
  <c r="C3770" i="4"/>
  <c r="C3769" i="4"/>
  <c r="C3768" i="4"/>
  <c r="C3767" i="4"/>
  <c r="C3766" i="4"/>
  <c r="C3765" i="4"/>
  <c r="C3764" i="4"/>
  <c r="C3763" i="4"/>
  <c r="C3762" i="4"/>
  <c r="C3761" i="4"/>
  <c r="C3760" i="4"/>
  <c r="C3759" i="4"/>
  <c r="C3758" i="4"/>
  <c r="C3757" i="4"/>
  <c r="C3756" i="4"/>
  <c r="C3755" i="4"/>
  <c r="C3754" i="4"/>
  <c r="C3753" i="4"/>
  <c r="C3752" i="4"/>
  <c r="C3751" i="4"/>
  <c r="C3750" i="4"/>
  <c r="C3749" i="4"/>
  <c r="C3748" i="4"/>
  <c r="C3747" i="4"/>
  <c r="C3746" i="4"/>
  <c r="C3745" i="4"/>
  <c r="C3744" i="4"/>
  <c r="C3743" i="4"/>
  <c r="C3742" i="4"/>
  <c r="C3741" i="4"/>
  <c r="C3740" i="4"/>
  <c r="C3739" i="4"/>
  <c r="C3738" i="4"/>
  <c r="C3737" i="4"/>
  <c r="C3736" i="4"/>
  <c r="C3735" i="4"/>
  <c r="C3734" i="4"/>
  <c r="C3733" i="4"/>
  <c r="C3732" i="4"/>
  <c r="C3731" i="4"/>
  <c r="C3730" i="4"/>
  <c r="C3729" i="4"/>
  <c r="C3728" i="4"/>
  <c r="C3727" i="4"/>
  <c r="C3726" i="4"/>
  <c r="C3725" i="4"/>
  <c r="C3724" i="4"/>
  <c r="C3723" i="4"/>
  <c r="C3722" i="4"/>
  <c r="C3721" i="4"/>
  <c r="C3720" i="4"/>
  <c r="C3719" i="4"/>
  <c r="C3718" i="4"/>
  <c r="C3717" i="4"/>
  <c r="C3716" i="4"/>
  <c r="C3715" i="4"/>
  <c r="C3714" i="4"/>
  <c r="C3713" i="4"/>
  <c r="C3712" i="4"/>
  <c r="C3711" i="4"/>
  <c r="C3710" i="4"/>
  <c r="C3709" i="4"/>
  <c r="C3708" i="4"/>
  <c r="C3707" i="4"/>
  <c r="C3706" i="4"/>
  <c r="C3705" i="4"/>
  <c r="C3704" i="4"/>
  <c r="C3703" i="4"/>
  <c r="C3702" i="4"/>
  <c r="C3701" i="4"/>
  <c r="C3700" i="4"/>
  <c r="C3699" i="4"/>
  <c r="C3698" i="4"/>
  <c r="C3697" i="4"/>
  <c r="C3696" i="4"/>
  <c r="C3695" i="4"/>
  <c r="C3694" i="4"/>
  <c r="C3693" i="4"/>
  <c r="C3692" i="4"/>
  <c r="C3691" i="4"/>
  <c r="C3690" i="4"/>
  <c r="C3689" i="4"/>
  <c r="C3688" i="4"/>
  <c r="C3687" i="4"/>
  <c r="C3686" i="4"/>
  <c r="C3685" i="4"/>
  <c r="C3684" i="4"/>
  <c r="C3683" i="4"/>
  <c r="C3682" i="4"/>
  <c r="C3681" i="4"/>
  <c r="C3680" i="4"/>
  <c r="C3679" i="4"/>
  <c r="C3678" i="4"/>
  <c r="C3677" i="4"/>
  <c r="C3676" i="4"/>
  <c r="C3675" i="4"/>
  <c r="C3674" i="4"/>
  <c r="C3673" i="4"/>
  <c r="C3672" i="4"/>
  <c r="C3671" i="4"/>
  <c r="C3670" i="4"/>
  <c r="C3669" i="4"/>
  <c r="C3668" i="4"/>
  <c r="C3667" i="4"/>
  <c r="C3666" i="4"/>
  <c r="C3665" i="4"/>
  <c r="C3664" i="4"/>
  <c r="C3663" i="4"/>
  <c r="C3662" i="4"/>
  <c r="C3661" i="4"/>
  <c r="C3660" i="4"/>
  <c r="C3659" i="4"/>
  <c r="C3658" i="4"/>
  <c r="C3657" i="4"/>
  <c r="C3656" i="4"/>
  <c r="C3655" i="4"/>
  <c r="C3654" i="4"/>
  <c r="C3653" i="4"/>
  <c r="C3652" i="4"/>
  <c r="C3651" i="4"/>
  <c r="C3650" i="4"/>
  <c r="C3649" i="4"/>
  <c r="C3648" i="4"/>
  <c r="C3647" i="4"/>
  <c r="C3646" i="4"/>
  <c r="C3645" i="4"/>
  <c r="C3644" i="4"/>
  <c r="C3643" i="4"/>
  <c r="C3642" i="4"/>
  <c r="C3641" i="4"/>
  <c r="C3640" i="4"/>
  <c r="C3639" i="4"/>
  <c r="C3638" i="4"/>
  <c r="C3637" i="4"/>
  <c r="C3636" i="4"/>
  <c r="C3635" i="4"/>
  <c r="C3634" i="4"/>
  <c r="C3633" i="4"/>
  <c r="C3632" i="4"/>
  <c r="C3631" i="4"/>
  <c r="C3630" i="4"/>
  <c r="C3629" i="4"/>
  <c r="C3628" i="4"/>
  <c r="C3627" i="4"/>
  <c r="C3626" i="4"/>
  <c r="C3625" i="4"/>
  <c r="C3624" i="4"/>
  <c r="C3623" i="4"/>
  <c r="C3622" i="4"/>
  <c r="C3621" i="4"/>
  <c r="C3620" i="4"/>
  <c r="C3619" i="4"/>
  <c r="C3618" i="4"/>
  <c r="C3617" i="4"/>
  <c r="C3616" i="4"/>
  <c r="C3615" i="4"/>
  <c r="C3614" i="4"/>
  <c r="C3613" i="4"/>
  <c r="C3612" i="4"/>
  <c r="C3611" i="4"/>
  <c r="C3610" i="4"/>
  <c r="C3609" i="4"/>
  <c r="C3608" i="4"/>
  <c r="C3607" i="4"/>
  <c r="C3606" i="4"/>
  <c r="C3605" i="4"/>
  <c r="C3604" i="4"/>
  <c r="C3603" i="4"/>
  <c r="C3602" i="4"/>
  <c r="C3601" i="4"/>
  <c r="C3600" i="4"/>
  <c r="C3599" i="4"/>
  <c r="C3598" i="4"/>
  <c r="C3597" i="4"/>
  <c r="C3596" i="4"/>
  <c r="C3595" i="4"/>
  <c r="C3594" i="4"/>
  <c r="C3593" i="4"/>
  <c r="C3592" i="4"/>
  <c r="C3591" i="4"/>
  <c r="C3590" i="4"/>
  <c r="C3589" i="4"/>
  <c r="C3588" i="4"/>
  <c r="C3587" i="4"/>
  <c r="C3586" i="4"/>
  <c r="C3585" i="4"/>
  <c r="C3584" i="4"/>
  <c r="C3583" i="4"/>
  <c r="C3582" i="4"/>
  <c r="C3581" i="4"/>
  <c r="C3580" i="4"/>
  <c r="C3579" i="4"/>
  <c r="C3578" i="4"/>
  <c r="C3577" i="4"/>
  <c r="C3576" i="4"/>
  <c r="C3575" i="4"/>
  <c r="C3574" i="4"/>
  <c r="C3573" i="4"/>
  <c r="C3572" i="4"/>
  <c r="C3571" i="4"/>
  <c r="C3570" i="4"/>
  <c r="C3569" i="4"/>
  <c r="C3568" i="4"/>
  <c r="C3567" i="4"/>
  <c r="C3566" i="4"/>
  <c r="C3565" i="4"/>
  <c r="C3564" i="4"/>
  <c r="C3563" i="4"/>
  <c r="C3562" i="4"/>
  <c r="C3561" i="4"/>
  <c r="C3560" i="4"/>
  <c r="C3559" i="4"/>
  <c r="C3558" i="4"/>
  <c r="C3557" i="4"/>
  <c r="C3556" i="4"/>
  <c r="C3555" i="4"/>
  <c r="C3554" i="4"/>
  <c r="C3553" i="4"/>
  <c r="C3552" i="4"/>
  <c r="C3551" i="4"/>
  <c r="C3550" i="4"/>
  <c r="C3549" i="4"/>
  <c r="C3548" i="4"/>
  <c r="C3547" i="4"/>
  <c r="C3546" i="4"/>
  <c r="C3545" i="4"/>
  <c r="C3544" i="4"/>
  <c r="C3543" i="4"/>
  <c r="C3542" i="4"/>
  <c r="C3541" i="4"/>
  <c r="C3540" i="4"/>
  <c r="C3539" i="4"/>
  <c r="C3538" i="4"/>
  <c r="C3537" i="4"/>
  <c r="C3536" i="4"/>
  <c r="C3535" i="4"/>
  <c r="C3534" i="4"/>
  <c r="C3533" i="4"/>
  <c r="C3532" i="4"/>
  <c r="C3531" i="4"/>
  <c r="C3530" i="4"/>
  <c r="C3529" i="4"/>
  <c r="C3528" i="4"/>
  <c r="C3527" i="4"/>
  <c r="C3526" i="4"/>
  <c r="C3525" i="4"/>
  <c r="C3524" i="4"/>
  <c r="C3523" i="4"/>
  <c r="C3522" i="4"/>
  <c r="C3521" i="4"/>
  <c r="C3520" i="4"/>
  <c r="C3519" i="4"/>
  <c r="C3518" i="4"/>
  <c r="C3517" i="4"/>
  <c r="C3516" i="4"/>
  <c r="C3515" i="4"/>
  <c r="C3514" i="4"/>
  <c r="C3513" i="4"/>
  <c r="C3512" i="4"/>
  <c r="C3511" i="4"/>
  <c r="C3510" i="4"/>
  <c r="C3509" i="4"/>
  <c r="C3508" i="4"/>
  <c r="C3507" i="4"/>
  <c r="C3506" i="4"/>
  <c r="C3505" i="4"/>
  <c r="C3504" i="4"/>
  <c r="C3503" i="4"/>
  <c r="C3502" i="4"/>
  <c r="C3501" i="4"/>
  <c r="C3500" i="4"/>
  <c r="C3499" i="4"/>
  <c r="C3498" i="4"/>
  <c r="C3497" i="4"/>
  <c r="C3496" i="4"/>
  <c r="C3495" i="4"/>
  <c r="C3494" i="4"/>
  <c r="C3493" i="4"/>
  <c r="C3492" i="4"/>
  <c r="C3491" i="4"/>
  <c r="C3490" i="4"/>
  <c r="C3489" i="4"/>
  <c r="C3488" i="4"/>
  <c r="C3487" i="4"/>
  <c r="C3486" i="4"/>
  <c r="C3485" i="4"/>
  <c r="C3484" i="4"/>
  <c r="C3483" i="4"/>
  <c r="C3482" i="4"/>
  <c r="C3481" i="4"/>
  <c r="C3480" i="4"/>
  <c r="C3479" i="4"/>
  <c r="C3478" i="4"/>
  <c r="C3477" i="4"/>
  <c r="C3476" i="4"/>
  <c r="C3475" i="4"/>
  <c r="C3474" i="4"/>
  <c r="C3473" i="4"/>
  <c r="C3472" i="4"/>
  <c r="C3471" i="4"/>
  <c r="C3470" i="4"/>
  <c r="C3469" i="4"/>
  <c r="C3468" i="4"/>
  <c r="C3467" i="4"/>
  <c r="C3466" i="4"/>
  <c r="C3465" i="4"/>
  <c r="C3464" i="4"/>
  <c r="C3463" i="4"/>
  <c r="C3462" i="4"/>
  <c r="C3461" i="4"/>
  <c r="C3460" i="4"/>
  <c r="C3459" i="4"/>
  <c r="C3458" i="4"/>
  <c r="C3457" i="4"/>
  <c r="C3456" i="4"/>
  <c r="C3455" i="4"/>
  <c r="C3454" i="4"/>
  <c r="C3453" i="4"/>
  <c r="C3452" i="4"/>
  <c r="C3451" i="4"/>
  <c r="C3450" i="4"/>
  <c r="C3449" i="4"/>
  <c r="C3448" i="4"/>
  <c r="C3447" i="4"/>
  <c r="C3446" i="4"/>
  <c r="C3445" i="4"/>
  <c r="C3444" i="4"/>
  <c r="C3443" i="4"/>
  <c r="C3442" i="4"/>
  <c r="C3441" i="4"/>
  <c r="C3440" i="4"/>
  <c r="C3439" i="4"/>
  <c r="C3438" i="4"/>
  <c r="C3437" i="4"/>
  <c r="C3436" i="4"/>
  <c r="C3435" i="4"/>
  <c r="C3434" i="4"/>
  <c r="C3433" i="4"/>
  <c r="C3432" i="4"/>
  <c r="C3431" i="4"/>
  <c r="C3430" i="4"/>
  <c r="C3429" i="4"/>
  <c r="C3428" i="4"/>
  <c r="C3427" i="4"/>
  <c r="C3426" i="4"/>
  <c r="C3425" i="4"/>
  <c r="C3424" i="4"/>
  <c r="C3423" i="4"/>
  <c r="C3422" i="4"/>
  <c r="C3421" i="4"/>
  <c r="C3420" i="4"/>
  <c r="C3419" i="4"/>
  <c r="C3418" i="4"/>
  <c r="C3417" i="4"/>
  <c r="C3416" i="4"/>
  <c r="C3415" i="4"/>
  <c r="C3414" i="4"/>
  <c r="C3413" i="4"/>
  <c r="C3412" i="4"/>
  <c r="C3411" i="4"/>
  <c r="C3410" i="4"/>
  <c r="C3409" i="4"/>
  <c r="C3408" i="4"/>
  <c r="C3407" i="4"/>
  <c r="C3406" i="4"/>
  <c r="C3405" i="4"/>
  <c r="C3404" i="4"/>
  <c r="C3403" i="4"/>
  <c r="C3402" i="4"/>
  <c r="C3401" i="4"/>
  <c r="C3400" i="4"/>
  <c r="C3399" i="4"/>
  <c r="C3398" i="4"/>
  <c r="C3397" i="4"/>
  <c r="C3396" i="4"/>
  <c r="C3395" i="4"/>
  <c r="C3394" i="4"/>
  <c r="C3393" i="4"/>
  <c r="C3392" i="4"/>
  <c r="C3391" i="4"/>
  <c r="C3390" i="4"/>
  <c r="C3389" i="4"/>
  <c r="C3388" i="4"/>
  <c r="C3387" i="4"/>
  <c r="C3386" i="4"/>
  <c r="C3385" i="4"/>
  <c r="C3384" i="4"/>
  <c r="C3383" i="4"/>
  <c r="C3382" i="4"/>
  <c r="C3381" i="4"/>
  <c r="C3380" i="4"/>
  <c r="C3379" i="4"/>
  <c r="C3378" i="4"/>
  <c r="C3377" i="4"/>
  <c r="C3376" i="4"/>
  <c r="C3375" i="4"/>
  <c r="C3374" i="4"/>
  <c r="C3373" i="4"/>
  <c r="C3372" i="4"/>
  <c r="C3371" i="4"/>
  <c r="C3370" i="4"/>
  <c r="C3369" i="4"/>
  <c r="C3368" i="4"/>
  <c r="C3367" i="4"/>
  <c r="C3366" i="4"/>
  <c r="C3365" i="4"/>
  <c r="C3364" i="4"/>
  <c r="C3363" i="4"/>
  <c r="C3362" i="4"/>
  <c r="C3361" i="4"/>
  <c r="C3360" i="4"/>
  <c r="C3359" i="4"/>
  <c r="C3358" i="4"/>
  <c r="C3357" i="4"/>
  <c r="C3356" i="4"/>
  <c r="C3355" i="4"/>
  <c r="C3354" i="4"/>
  <c r="C3353" i="4"/>
  <c r="C3352" i="4"/>
  <c r="C3351" i="4"/>
  <c r="C3350" i="4"/>
  <c r="C3349" i="4"/>
  <c r="C3348" i="4"/>
  <c r="C3347" i="4"/>
  <c r="C3346" i="4"/>
  <c r="C3345" i="4"/>
  <c r="C3344" i="4"/>
  <c r="C3343" i="4"/>
  <c r="C3342" i="4"/>
  <c r="C3341" i="4"/>
  <c r="C3340" i="4"/>
  <c r="C3339" i="4"/>
  <c r="C3338" i="4"/>
  <c r="C3337" i="4"/>
  <c r="C3336" i="4"/>
  <c r="C3335" i="4"/>
  <c r="C3334" i="4"/>
  <c r="C3333" i="4"/>
  <c r="C3332" i="4"/>
  <c r="C3331" i="4"/>
  <c r="C3330" i="4"/>
  <c r="C3329" i="4"/>
  <c r="C3328" i="4"/>
  <c r="C3327" i="4"/>
  <c r="C3326" i="4"/>
  <c r="C3325" i="4"/>
  <c r="C3324" i="4"/>
  <c r="C3323" i="4"/>
  <c r="C3322" i="4"/>
  <c r="C3321" i="4"/>
  <c r="C3320" i="4"/>
  <c r="C3319" i="4"/>
  <c r="C3318" i="4"/>
  <c r="C3317" i="4"/>
  <c r="C3316" i="4"/>
  <c r="C3315" i="4"/>
  <c r="C3314" i="4"/>
  <c r="C3313" i="4"/>
  <c r="C3312" i="4"/>
  <c r="C3311" i="4"/>
  <c r="C3310" i="4"/>
  <c r="C3309" i="4"/>
  <c r="C3308" i="4"/>
  <c r="C3307" i="4"/>
  <c r="C3306" i="4"/>
  <c r="C3305" i="4"/>
  <c r="C3304" i="4"/>
  <c r="C3303" i="4"/>
  <c r="C3302" i="4"/>
  <c r="C3301" i="4"/>
  <c r="C3300" i="4"/>
  <c r="C3299" i="4"/>
  <c r="C3298" i="4"/>
  <c r="C3297" i="4"/>
  <c r="C3296" i="4"/>
  <c r="C3295" i="4"/>
  <c r="C3294" i="4"/>
  <c r="C3293" i="4"/>
  <c r="C3292" i="4"/>
  <c r="C3291" i="4"/>
  <c r="C3290" i="4"/>
  <c r="C3289" i="4"/>
  <c r="C3288" i="4"/>
  <c r="C3287" i="4"/>
  <c r="C3286" i="4"/>
  <c r="C3285" i="4"/>
  <c r="C3284" i="4"/>
  <c r="C3283" i="4"/>
  <c r="C3282" i="4"/>
  <c r="C3281" i="4"/>
  <c r="C3280" i="4"/>
  <c r="C3279" i="4"/>
  <c r="C3278" i="4"/>
  <c r="C3277" i="4"/>
  <c r="C3276" i="4"/>
  <c r="C3275" i="4"/>
  <c r="C3274" i="4"/>
  <c r="C3273" i="4"/>
  <c r="C3272" i="4"/>
  <c r="C3271" i="4"/>
  <c r="C3270" i="4"/>
  <c r="C3269" i="4"/>
  <c r="C3268" i="4"/>
  <c r="C3267" i="4"/>
  <c r="C3266" i="4"/>
  <c r="C3265" i="4"/>
  <c r="C3264" i="4"/>
  <c r="C3263" i="4"/>
  <c r="C3262" i="4"/>
  <c r="C3261" i="4"/>
  <c r="C3260" i="4"/>
  <c r="C3259" i="4"/>
  <c r="C3258" i="4"/>
  <c r="C3257" i="4"/>
  <c r="C3256" i="4"/>
  <c r="C3255" i="4"/>
  <c r="C3254" i="4"/>
  <c r="C3253" i="4"/>
  <c r="C3252" i="4"/>
  <c r="C3251" i="4"/>
  <c r="C3250" i="4"/>
  <c r="C3249" i="4"/>
  <c r="C3248" i="4"/>
  <c r="C3247" i="4"/>
  <c r="C3246" i="4"/>
  <c r="C3245" i="4"/>
  <c r="C3244" i="4"/>
  <c r="C3243" i="4"/>
  <c r="C3242" i="4"/>
  <c r="C3241" i="4"/>
  <c r="C3240" i="4"/>
  <c r="C3239" i="4"/>
  <c r="C3238" i="4"/>
  <c r="C3237" i="4"/>
  <c r="C3236" i="4"/>
  <c r="C3235" i="4"/>
  <c r="C3234" i="4"/>
  <c r="C3233" i="4"/>
  <c r="C3232" i="4"/>
  <c r="C3231" i="4"/>
  <c r="C3230" i="4"/>
  <c r="C3229" i="4"/>
  <c r="C3228" i="4"/>
  <c r="C3227" i="4"/>
  <c r="C3226" i="4"/>
  <c r="C3225" i="4"/>
  <c r="C3224" i="4"/>
  <c r="C3223" i="4"/>
  <c r="C3222" i="4"/>
  <c r="C3221" i="4"/>
  <c r="C3220" i="4"/>
  <c r="C3219" i="4"/>
  <c r="C3218" i="4"/>
  <c r="C3217" i="4"/>
  <c r="C3216" i="4"/>
  <c r="C3215" i="4"/>
  <c r="C3214" i="4"/>
  <c r="C3213" i="4"/>
  <c r="C3212" i="4"/>
  <c r="C3211" i="4"/>
  <c r="C3210" i="4"/>
  <c r="C3209" i="4"/>
  <c r="C3208" i="4"/>
  <c r="C3207" i="4"/>
  <c r="C3206" i="4"/>
  <c r="C3205" i="4"/>
  <c r="C3204" i="4"/>
  <c r="C3203" i="4"/>
  <c r="C3202" i="4"/>
  <c r="C3201" i="4"/>
  <c r="C3200" i="4"/>
  <c r="C3199" i="4"/>
  <c r="C3198" i="4"/>
  <c r="C3197" i="4"/>
  <c r="C3196" i="4"/>
  <c r="C3195" i="4"/>
  <c r="C3194" i="4"/>
  <c r="C3193" i="4"/>
  <c r="C3192" i="4"/>
  <c r="C3191" i="4"/>
  <c r="C3190" i="4"/>
  <c r="C3189" i="4"/>
  <c r="C3188" i="4"/>
  <c r="C3187" i="4"/>
  <c r="C3186" i="4"/>
  <c r="C3185" i="4"/>
  <c r="C3184" i="4"/>
  <c r="C3183" i="4"/>
  <c r="C3182" i="4"/>
  <c r="C3181" i="4"/>
  <c r="C3180" i="4"/>
  <c r="C3179" i="4"/>
  <c r="C3178" i="4"/>
  <c r="C3177" i="4"/>
  <c r="C3176" i="4"/>
  <c r="C3175" i="4"/>
  <c r="C3174" i="4"/>
  <c r="C3173" i="4"/>
  <c r="C3172" i="4"/>
  <c r="C3171" i="4"/>
  <c r="C3170" i="4"/>
  <c r="C3169" i="4"/>
  <c r="C3168" i="4"/>
  <c r="C3167" i="4"/>
  <c r="C3166" i="4"/>
  <c r="C3165" i="4"/>
  <c r="C3164" i="4"/>
  <c r="C3163" i="4"/>
  <c r="C3162" i="4"/>
  <c r="C3161" i="4"/>
  <c r="C3160" i="4"/>
  <c r="C3159" i="4"/>
  <c r="C3158" i="4"/>
  <c r="C3157" i="4"/>
  <c r="C3156" i="4"/>
  <c r="C3155" i="4"/>
  <c r="C3154" i="4"/>
  <c r="C3153" i="4"/>
  <c r="C3152" i="4"/>
  <c r="C3151" i="4"/>
  <c r="C3150" i="4"/>
  <c r="C3149" i="4"/>
  <c r="C3148" i="4"/>
  <c r="C3147" i="4"/>
  <c r="C3146" i="4"/>
  <c r="C3145" i="4"/>
  <c r="C3144" i="4"/>
  <c r="C3143" i="4"/>
  <c r="C3142" i="4"/>
  <c r="C3141" i="4"/>
  <c r="C3140" i="4"/>
  <c r="C3139" i="4"/>
  <c r="C3138" i="4"/>
  <c r="C3137" i="4"/>
  <c r="C3136" i="4"/>
  <c r="C3135" i="4"/>
  <c r="C3134" i="4"/>
  <c r="C3133" i="4"/>
  <c r="C3132" i="4"/>
  <c r="C3131" i="4"/>
  <c r="C3130" i="4"/>
  <c r="C3129" i="4"/>
  <c r="C3128" i="4"/>
  <c r="C3127" i="4"/>
  <c r="C3126" i="4"/>
  <c r="C3125" i="4"/>
  <c r="C3124" i="4"/>
  <c r="C3123" i="4"/>
  <c r="C3122" i="4"/>
  <c r="C3121" i="4"/>
  <c r="C3120" i="4"/>
  <c r="C3119" i="4"/>
  <c r="C3118" i="4"/>
  <c r="C3117" i="4"/>
  <c r="C3116" i="4"/>
  <c r="C3115" i="4"/>
  <c r="C3114" i="4"/>
  <c r="C3113" i="4"/>
  <c r="C3112" i="4"/>
  <c r="C3111" i="4"/>
  <c r="C3110" i="4"/>
  <c r="C3109" i="4"/>
  <c r="C3108" i="4"/>
  <c r="C3107" i="4"/>
  <c r="C3106" i="4"/>
  <c r="C3105" i="4"/>
  <c r="C3104" i="4"/>
  <c r="C3103" i="4"/>
  <c r="C3102" i="4"/>
  <c r="C3101" i="4"/>
  <c r="C3100" i="4"/>
  <c r="C3099" i="4"/>
  <c r="C3098" i="4"/>
  <c r="C3097" i="4"/>
  <c r="C3096" i="4"/>
  <c r="C3095" i="4"/>
  <c r="C3094" i="4"/>
  <c r="C3093" i="4"/>
  <c r="C3092" i="4"/>
  <c r="C3091" i="4"/>
  <c r="C3090" i="4"/>
  <c r="C3075" i="4"/>
  <c r="C3074" i="4"/>
  <c r="C3073" i="4"/>
  <c r="C3072" i="4"/>
  <c r="C3071" i="4"/>
  <c r="C3070" i="4"/>
  <c r="C3069" i="4"/>
  <c r="C3068" i="4"/>
  <c r="C3067" i="4"/>
  <c r="C3066" i="4"/>
  <c r="C3065" i="4"/>
  <c r="C3064" i="4"/>
  <c r="C3063" i="4"/>
  <c r="C3062" i="4"/>
  <c r="C3061" i="4"/>
  <c r="C3060" i="4"/>
  <c r="C3059" i="4"/>
  <c r="C3058" i="4"/>
  <c r="C3057" i="4"/>
  <c r="C3056" i="4"/>
  <c r="C3055" i="4"/>
  <c r="C3054" i="4"/>
  <c r="C3053" i="4"/>
  <c r="C3052" i="4"/>
  <c r="C3051" i="4"/>
  <c r="C3050" i="4"/>
  <c r="C3049" i="4"/>
  <c r="C3048" i="4"/>
  <c r="C3047" i="4"/>
  <c r="C3046" i="4"/>
  <c r="C3045" i="4"/>
  <c r="C3044" i="4"/>
  <c r="C3043" i="4"/>
  <c r="C3042" i="4"/>
  <c r="C3041" i="4"/>
  <c r="C3040" i="4"/>
  <c r="C3039" i="4"/>
  <c r="C3038" i="4"/>
  <c r="C3037" i="4"/>
  <c r="C3036" i="4"/>
  <c r="C3035" i="4"/>
  <c r="C3034" i="4"/>
  <c r="C3033" i="4"/>
  <c r="C3032" i="4"/>
  <c r="C3031" i="4"/>
  <c r="C3030" i="4"/>
  <c r="C3029" i="4"/>
  <c r="C3028" i="4"/>
  <c r="C3027" i="4"/>
  <c r="C3026" i="4"/>
  <c r="C3025" i="4"/>
  <c r="C3024" i="4"/>
  <c r="C3023" i="4"/>
  <c r="C3022" i="4"/>
  <c r="C3021" i="4"/>
  <c r="C3020" i="4"/>
  <c r="C3019" i="4"/>
  <c r="C3018" i="4"/>
  <c r="C3017" i="4"/>
  <c r="C3016" i="4"/>
  <c r="C3015" i="4"/>
  <c r="C3014" i="4"/>
  <c r="C3013" i="4"/>
  <c r="C3012" i="4"/>
  <c r="C3011" i="4"/>
  <c r="C3010" i="4"/>
  <c r="C3009" i="4"/>
  <c r="C3008" i="4"/>
  <c r="C3007" i="4"/>
  <c r="C3006" i="4"/>
  <c r="C3005" i="4"/>
  <c r="C3004" i="4"/>
  <c r="C3003" i="4"/>
  <c r="C3002" i="4"/>
  <c r="C3001" i="4"/>
  <c r="C3000" i="4"/>
  <c r="C2999" i="4"/>
  <c r="C2998" i="4"/>
  <c r="C2997" i="4"/>
  <c r="C2996" i="4"/>
  <c r="C2995" i="4"/>
  <c r="C2994" i="4"/>
  <c r="C2993" i="4"/>
  <c r="C2992" i="4"/>
  <c r="C2991" i="4"/>
  <c r="C2990" i="4"/>
  <c r="C2989" i="4"/>
  <c r="C2988" i="4"/>
  <c r="C2987" i="4"/>
  <c r="C2986" i="4"/>
  <c r="C2985" i="4"/>
  <c r="C2984" i="4"/>
  <c r="C2983" i="4"/>
  <c r="C2982" i="4"/>
  <c r="C2981" i="4"/>
  <c r="C2980" i="4"/>
  <c r="C2979" i="4"/>
  <c r="C2978" i="4"/>
  <c r="C2977" i="4"/>
  <c r="C2976" i="4"/>
  <c r="C2975" i="4"/>
  <c r="C2974" i="4"/>
  <c r="C2973" i="4"/>
  <c r="C2972" i="4"/>
  <c r="C2971" i="4"/>
  <c r="C2970" i="4"/>
  <c r="C2969" i="4"/>
  <c r="C2968" i="4"/>
  <c r="C2967" i="4"/>
  <c r="C2966" i="4"/>
  <c r="C2965" i="4"/>
  <c r="C2964" i="4"/>
  <c r="C2963" i="4"/>
  <c r="C2962" i="4"/>
  <c r="C2961" i="4"/>
  <c r="C2960" i="4"/>
  <c r="C2959" i="4"/>
  <c r="C2958" i="4"/>
  <c r="C2957" i="4"/>
  <c r="C2956" i="4"/>
  <c r="C2955" i="4"/>
  <c r="C2954" i="4"/>
  <c r="C2953" i="4"/>
  <c r="C2952" i="4"/>
  <c r="C2951" i="4"/>
  <c r="C2950" i="4"/>
  <c r="C2949" i="4"/>
  <c r="C2948" i="4"/>
  <c r="C2947" i="4"/>
  <c r="C2946" i="4"/>
  <c r="C2945" i="4"/>
  <c r="C2944" i="4"/>
  <c r="C2943" i="4"/>
  <c r="C2942" i="4"/>
  <c r="C2941" i="4"/>
  <c r="C2940" i="4"/>
  <c r="C2939" i="4"/>
  <c r="C2938" i="4"/>
  <c r="C2937" i="4"/>
  <c r="C2936" i="4"/>
  <c r="C2935" i="4"/>
  <c r="C2934" i="4"/>
  <c r="C2933" i="4"/>
  <c r="C2932" i="4"/>
  <c r="C2931" i="4"/>
  <c r="C2930" i="4"/>
  <c r="C2929" i="4"/>
  <c r="C2928" i="4"/>
  <c r="C2927" i="4"/>
  <c r="C2926" i="4"/>
  <c r="C2925" i="4"/>
  <c r="C2924" i="4"/>
  <c r="C2923" i="4"/>
  <c r="C2922" i="4"/>
  <c r="C2921" i="4"/>
  <c r="C2920" i="4"/>
  <c r="C2919" i="4"/>
  <c r="C2918" i="4"/>
  <c r="C2917" i="4"/>
  <c r="C2916" i="4"/>
  <c r="C2915" i="4"/>
  <c r="C2914" i="4"/>
  <c r="C2913" i="4"/>
  <c r="C2912" i="4"/>
  <c r="C2911" i="4"/>
  <c r="C2910" i="4"/>
  <c r="C2909" i="4"/>
  <c r="C2908" i="4"/>
  <c r="C2907" i="4"/>
  <c r="C2906" i="4"/>
  <c r="C2905" i="4"/>
  <c r="C2904" i="4"/>
  <c r="C2903" i="4"/>
  <c r="C2902" i="4"/>
  <c r="C2901" i="4"/>
  <c r="C2900" i="4"/>
  <c r="C2899" i="4"/>
  <c r="C2898" i="4"/>
  <c r="C2897" i="4"/>
  <c r="C2896" i="4"/>
  <c r="C2895" i="4"/>
  <c r="C2894" i="4"/>
  <c r="C2893" i="4"/>
  <c r="C2892" i="4"/>
  <c r="C2891" i="4"/>
  <c r="C2890" i="4"/>
  <c r="C2889" i="4"/>
  <c r="C2888" i="4"/>
  <c r="C2887" i="4"/>
  <c r="C2886" i="4"/>
  <c r="C2885" i="4"/>
  <c r="C2884" i="4"/>
  <c r="C2883" i="4"/>
  <c r="C2882" i="4"/>
  <c r="C2881" i="4"/>
  <c r="C2880" i="4"/>
  <c r="C2879" i="4"/>
  <c r="C2878" i="4"/>
  <c r="C2877" i="4"/>
  <c r="C2876" i="4"/>
  <c r="C2875" i="4"/>
  <c r="C2874" i="4"/>
  <c r="C2873" i="4"/>
  <c r="C2872" i="4"/>
  <c r="C2871" i="4"/>
  <c r="C2870" i="4"/>
  <c r="C2869" i="4"/>
  <c r="C2868" i="4"/>
  <c r="C2867" i="4"/>
  <c r="C2866" i="4"/>
  <c r="C2865" i="4"/>
  <c r="C2864" i="4"/>
  <c r="C2863" i="4"/>
  <c r="C2862" i="4"/>
  <c r="C2861" i="4"/>
  <c r="C2860" i="4"/>
  <c r="C2859" i="4"/>
  <c r="C2858" i="4"/>
  <c r="C2857" i="4"/>
  <c r="C2856" i="4"/>
  <c r="C2855" i="4"/>
  <c r="C2854" i="4"/>
  <c r="C2853" i="4"/>
  <c r="C2852" i="4"/>
  <c r="C2851" i="4"/>
  <c r="C2850" i="4"/>
  <c r="C2849" i="4"/>
  <c r="C2848" i="4"/>
  <c r="C2847" i="4"/>
  <c r="C2846" i="4"/>
  <c r="C2845" i="4"/>
  <c r="C2844" i="4"/>
  <c r="C2843" i="4"/>
  <c r="C2842" i="4"/>
  <c r="C2841" i="4"/>
  <c r="C2840" i="4"/>
  <c r="C2839" i="4"/>
  <c r="C2838" i="4"/>
  <c r="C2837" i="4"/>
  <c r="C2836" i="4"/>
  <c r="C2835" i="4"/>
  <c r="C2834" i="4"/>
  <c r="C2833" i="4"/>
  <c r="C2832" i="4"/>
  <c r="C2831" i="4"/>
  <c r="C2830" i="4"/>
  <c r="C2829" i="4"/>
  <c r="C2828" i="4"/>
  <c r="C2827" i="4"/>
  <c r="C2826" i="4"/>
  <c r="C2825" i="4"/>
  <c r="C2824" i="4"/>
  <c r="C2823" i="4"/>
  <c r="C2822" i="4"/>
  <c r="C2821" i="4"/>
  <c r="C2820" i="4"/>
  <c r="C2819" i="4"/>
  <c r="C2818" i="4"/>
  <c r="C2817" i="4"/>
  <c r="C2816" i="4"/>
  <c r="C2815" i="4"/>
  <c r="C2814" i="4"/>
  <c r="C2813" i="4"/>
  <c r="C2812" i="4"/>
  <c r="C2811" i="4"/>
  <c r="C2810" i="4"/>
  <c r="C2809" i="4"/>
  <c r="C2808" i="4"/>
  <c r="C2807" i="4"/>
  <c r="C2806" i="4"/>
  <c r="C2805" i="4"/>
  <c r="C2804" i="4"/>
  <c r="C2803" i="4"/>
  <c r="C2802" i="4"/>
  <c r="C2801" i="4"/>
  <c r="C2800" i="4"/>
  <c r="C2799" i="4"/>
  <c r="C2798" i="4"/>
  <c r="C2797" i="4"/>
  <c r="C2796" i="4"/>
  <c r="C2795" i="4"/>
  <c r="C2794" i="4"/>
  <c r="C2793" i="4"/>
  <c r="C2792" i="4"/>
  <c r="C2791" i="4"/>
  <c r="C2790" i="4"/>
  <c r="C2789" i="4"/>
  <c r="C2788" i="4"/>
  <c r="C2787" i="4"/>
  <c r="C2786" i="4"/>
  <c r="C2785" i="4"/>
  <c r="C2784" i="4"/>
  <c r="C2783" i="4"/>
  <c r="C2782" i="4"/>
  <c r="C2781" i="4"/>
  <c r="C2780" i="4"/>
  <c r="C2779" i="4"/>
  <c r="C2778" i="4"/>
  <c r="C2777" i="4"/>
  <c r="C2776" i="4"/>
  <c r="C2775" i="4"/>
  <c r="C2774" i="4"/>
  <c r="C2773" i="4"/>
  <c r="C2772" i="4"/>
  <c r="C2771" i="4"/>
  <c r="C2770" i="4"/>
  <c r="C2769" i="4"/>
  <c r="C2768" i="4"/>
  <c r="C2767" i="4"/>
  <c r="C2766" i="4"/>
  <c r="C2765" i="4"/>
  <c r="C2764" i="4"/>
  <c r="C2763" i="4"/>
  <c r="C2762" i="4"/>
  <c r="C2761" i="4"/>
  <c r="C2760" i="4"/>
  <c r="C2759" i="4"/>
  <c r="C2758" i="4"/>
  <c r="C2757" i="4"/>
  <c r="C2756" i="4"/>
  <c r="C2755" i="4"/>
  <c r="C2754" i="4"/>
  <c r="C2753" i="4"/>
  <c r="C2752" i="4"/>
  <c r="C2751" i="4"/>
  <c r="C2750" i="4"/>
  <c r="C2749" i="4"/>
  <c r="C2748" i="4"/>
  <c r="C2747" i="4"/>
  <c r="C2746" i="4"/>
  <c r="C2745" i="4"/>
  <c r="C2744" i="4"/>
  <c r="C2743" i="4"/>
  <c r="C2742" i="4"/>
  <c r="C2741" i="4"/>
  <c r="C2740" i="4"/>
  <c r="C2739" i="4"/>
  <c r="C2738" i="4"/>
  <c r="C2737" i="4"/>
  <c r="C2736" i="4"/>
  <c r="C2735" i="4"/>
  <c r="C2734" i="4"/>
  <c r="C2733" i="4"/>
  <c r="C2732" i="4"/>
  <c r="C2731" i="4"/>
  <c r="C2730" i="4"/>
  <c r="C2729" i="4"/>
  <c r="C2728" i="4"/>
  <c r="C2727" i="4"/>
  <c r="C2726" i="4"/>
  <c r="C2725" i="4"/>
  <c r="C2724" i="4"/>
  <c r="C2723" i="4"/>
  <c r="C2722" i="4"/>
  <c r="C2721" i="4"/>
  <c r="C2720" i="4"/>
  <c r="C2719" i="4"/>
  <c r="C2718" i="4"/>
  <c r="C2717" i="4"/>
  <c r="C2716" i="4"/>
  <c r="C2715" i="4"/>
  <c r="C2714" i="4"/>
  <c r="C2713" i="4"/>
  <c r="C2712" i="4"/>
  <c r="C2711" i="4"/>
  <c r="C2710" i="4"/>
  <c r="C2709" i="4"/>
  <c r="C2708" i="4"/>
  <c r="C2707" i="4"/>
  <c r="C2706" i="4"/>
  <c r="C2705" i="4"/>
  <c r="C2704" i="4"/>
  <c r="C2703" i="4"/>
  <c r="C2702" i="4"/>
  <c r="C2701" i="4"/>
  <c r="C2700" i="4"/>
  <c r="C2699" i="4"/>
  <c r="C2698" i="4"/>
  <c r="C2697" i="4"/>
  <c r="C2696" i="4"/>
  <c r="C2695" i="4"/>
  <c r="C2694" i="4"/>
  <c r="C2693" i="4"/>
  <c r="C2692" i="4"/>
  <c r="C2691" i="4"/>
  <c r="C2690" i="4"/>
  <c r="C2689" i="4"/>
  <c r="C2688" i="4"/>
  <c r="C2687" i="4"/>
  <c r="C2686" i="4"/>
  <c r="C2685" i="4"/>
  <c r="C2684" i="4"/>
  <c r="C2683" i="4"/>
  <c r="C2682" i="4"/>
  <c r="C2681" i="4"/>
  <c r="C2680" i="4"/>
  <c r="C2679" i="4"/>
  <c r="C2678" i="4"/>
  <c r="C2677" i="4"/>
  <c r="C2676" i="4"/>
  <c r="C2675" i="4"/>
  <c r="C2674" i="4"/>
  <c r="C2673" i="4"/>
  <c r="C2672" i="4"/>
  <c r="C2671" i="4"/>
  <c r="C2670" i="4"/>
  <c r="C2669" i="4"/>
  <c r="C2668" i="4"/>
  <c r="C2667" i="4"/>
  <c r="C2666" i="4"/>
  <c r="C2665" i="4"/>
  <c r="C2664" i="4"/>
  <c r="C2663" i="4"/>
  <c r="C2662" i="4"/>
  <c r="C2661" i="4"/>
  <c r="C2660" i="4"/>
  <c r="C2659" i="4"/>
  <c r="C2658" i="4"/>
  <c r="C2657" i="4"/>
  <c r="C2656" i="4"/>
  <c r="C2655" i="4"/>
  <c r="C2654" i="4"/>
  <c r="C2653" i="4"/>
  <c r="C2652" i="4"/>
  <c r="C2651" i="4"/>
  <c r="C2650" i="4"/>
  <c r="C2649" i="4"/>
  <c r="C2648" i="4"/>
  <c r="C2647" i="4"/>
  <c r="C2646" i="4"/>
  <c r="C2645" i="4"/>
  <c r="C2644" i="4"/>
  <c r="C2643" i="4"/>
  <c r="C2642" i="4"/>
  <c r="C2641" i="4"/>
  <c r="C2640" i="4"/>
  <c r="C2639" i="4"/>
  <c r="C2638" i="4"/>
  <c r="C2637" i="4"/>
  <c r="C2636" i="4"/>
  <c r="C2635" i="4"/>
  <c r="C2634" i="4"/>
  <c r="C2633" i="4"/>
  <c r="C2632" i="4"/>
  <c r="C2631" i="4"/>
  <c r="C2630" i="4"/>
  <c r="C2629" i="4"/>
  <c r="C2628" i="4"/>
  <c r="C2627" i="4"/>
  <c r="C2626" i="4"/>
  <c r="C2625" i="4"/>
  <c r="C2624" i="4"/>
  <c r="C2623" i="4"/>
  <c r="C2622" i="4"/>
  <c r="C2621" i="4"/>
  <c r="C2620" i="4"/>
  <c r="C2619" i="4"/>
  <c r="C2618" i="4"/>
  <c r="C2617" i="4"/>
  <c r="C2616" i="4"/>
  <c r="C2615" i="4"/>
  <c r="C2614" i="4"/>
  <c r="C2613" i="4"/>
  <c r="C2612" i="4"/>
  <c r="C2611" i="4"/>
  <c r="C2610" i="4"/>
  <c r="C2609" i="4"/>
  <c r="C2608" i="4"/>
  <c r="C2607" i="4"/>
  <c r="C2606" i="4"/>
  <c r="C2605" i="4"/>
  <c r="C2604" i="4"/>
  <c r="C2603" i="4"/>
  <c r="C2602" i="4"/>
  <c r="C2601" i="4"/>
  <c r="C2600" i="4"/>
  <c r="C2599" i="4"/>
  <c r="C2598" i="4"/>
  <c r="C2597" i="4"/>
  <c r="C2596" i="4"/>
  <c r="C2595" i="4"/>
  <c r="C2594" i="4"/>
  <c r="C2593" i="4"/>
  <c r="C2592" i="4"/>
  <c r="C2591" i="4"/>
  <c r="C2590" i="4"/>
  <c r="C2589" i="4"/>
  <c r="C2588" i="4"/>
  <c r="C2587" i="4"/>
  <c r="C2586" i="4"/>
  <c r="C2585" i="4"/>
  <c r="C2584" i="4"/>
  <c r="C2583" i="4"/>
  <c r="C2582" i="4"/>
  <c r="C2581" i="4"/>
  <c r="C2580" i="4"/>
  <c r="C2579" i="4"/>
  <c r="C2578" i="4"/>
  <c r="C2577" i="4"/>
  <c r="C2576" i="4"/>
  <c r="C2575" i="4"/>
  <c r="C2574" i="4"/>
  <c r="C2573" i="4"/>
  <c r="C2572" i="4"/>
  <c r="C2571" i="4"/>
  <c r="C2570" i="4"/>
  <c r="C2569" i="4"/>
  <c r="C2568" i="4"/>
  <c r="C2567" i="4"/>
  <c r="C2566" i="4"/>
  <c r="C2565" i="4"/>
  <c r="C2564" i="4"/>
  <c r="C2563" i="4"/>
  <c r="C2562" i="4"/>
  <c r="C2561" i="4"/>
  <c r="C2560" i="4"/>
  <c r="C2559" i="4"/>
  <c r="C2558" i="4"/>
  <c r="C2557" i="4"/>
  <c r="C2556" i="4"/>
  <c r="C2555" i="4"/>
  <c r="C2554" i="4"/>
  <c r="C2553" i="4"/>
  <c r="C2552" i="4"/>
  <c r="C2551" i="4"/>
  <c r="C2550" i="4"/>
  <c r="C2549" i="4"/>
  <c r="C2548" i="4"/>
  <c r="C2547" i="4"/>
  <c r="C2546" i="4"/>
  <c r="C2545" i="4"/>
  <c r="C2544" i="4"/>
  <c r="C2543" i="4"/>
  <c r="C2542" i="4"/>
  <c r="C2541" i="4"/>
  <c r="C2540" i="4"/>
  <c r="C2539" i="4"/>
  <c r="C2538" i="4"/>
  <c r="C2537" i="4"/>
  <c r="C2536" i="4"/>
  <c r="C2535" i="4"/>
  <c r="C2534" i="4"/>
  <c r="C2533" i="4"/>
  <c r="C2532" i="4"/>
  <c r="C2531" i="4"/>
  <c r="C2530" i="4"/>
  <c r="C2529" i="4"/>
  <c r="C2528" i="4"/>
  <c r="C2527" i="4"/>
  <c r="C2526" i="4"/>
  <c r="C2525" i="4"/>
  <c r="C2524" i="4"/>
  <c r="C2523" i="4"/>
  <c r="C2522" i="4"/>
  <c r="C2521" i="4"/>
  <c r="C2520" i="4"/>
  <c r="C2519" i="4"/>
  <c r="C2518" i="4"/>
  <c r="C2517" i="4"/>
  <c r="C2516" i="4"/>
  <c r="C2515" i="4"/>
  <c r="C2514" i="4"/>
  <c r="C2513" i="4"/>
  <c r="C2512" i="4"/>
  <c r="C2511" i="4"/>
  <c r="C2510" i="4"/>
  <c r="C2509" i="4"/>
  <c r="C2508" i="4"/>
  <c r="C2507" i="4"/>
  <c r="C2506" i="4"/>
  <c r="C2505" i="4"/>
  <c r="C2504" i="4"/>
  <c r="C2503" i="4"/>
  <c r="C2502" i="4"/>
  <c r="C2501" i="4"/>
  <c r="C2500" i="4"/>
  <c r="C2499" i="4"/>
  <c r="C2498" i="4"/>
  <c r="C2497" i="4"/>
  <c r="C2496" i="4"/>
  <c r="C2495" i="4"/>
  <c r="C2494" i="4"/>
  <c r="C2493" i="4"/>
  <c r="C2492" i="4"/>
  <c r="C2491" i="4"/>
  <c r="C2490" i="4"/>
  <c r="C2489" i="4"/>
  <c r="C2488" i="4"/>
  <c r="C2487" i="4"/>
  <c r="C2486" i="4"/>
  <c r="C2485" i="4"/>
  <c r="C2484" i="4"/>
  <c r="C2483" i="4"/>
  <c r="C2482" i="4"/>
  <c r="C2481" i="4"/>
  <c r="C2480" i="4"/>
  <c r="C2479" i="4"/>
  <c r="C2478" i="4"/>
  <c r="C2477" i="4"/>
  <c r="C2476" i="4"/>
  <c r="C2475" i="4"/>
  <c r="C2474" i="4"/>
  <c r="C2473" i="4"/>
  <c r="C2472" i="4"/>
  <c r="C2471" i="4"/>
  <c r="C2470" i="4"/>
  <c r="C2469" i="4"/>
  <c r="C2468" i="4"/>
  <c r="C2467" i="4"/>
  <c r="C2466" i="4"/>
  <c r="C2465" i="4"/>
  <c r="C2464" i="4"/>
  <c r="C2463" i="4"/>
  <c r="C2462" i="4"/>
  <c r="C2461" i="4"/>
  <c r="C2460" i="4"/>
  <c r="C2459" i="4"/>
  <c r="C2458" i="4"/>
  <c r="C2457" i="4"/>
  <c r="C2456" i="4"/>
  <c r="C2455" i="4"/>
  <c r="C2454" i="4"/>
  <c r="C2453" i="4"/>
  <c r="C2452" i="4"/>
  <c r="C2451" i="4"/>
  <c r="C2450" i="4"/>
  <c r="C2449" i="4"/>
  <c r="C2448" i="4"/>
  <c r="C2447" i="4"/>
  <c r="C2446" i="4"/>
  <c r="C2445" i="4"/>
  <c r="C2444" i="4"/>
  <c r="C2443" i="4"/>
  <c r="C2442" i="4"/>
  <c r="C2441" i="4"/>
  <c r="C2440" i="4"/>
  <c r="C2439" i="4"/>
  <c r="C2438" i="4"/>
  <c r="C2437" i="4"/>
  <c r="C2436" i="4"/>
  <c r="C2435" i="4"/>
  <c r="C2434" i="4"/>
  <c r="C2433" i="4"/>
  <c r="C2432" i="4"/>
  <c r="C2431" i="4"/>
  <c r="C2430" i="4"/>
  <c r="C2429" i="4"/>
  <c r="C2428" i="4"/>
  <c r="C2427" i="4"/>
  <c r="C2426" i="4"/>
  <c r="C2425" i="4"/>
  <c r="C2424" i="4"/>
  <c r="C2423" i="4"/>
  <c r="C2422" i="4"/>
  <c r="C2421" i="4"/>
  <c r="C2420" i="4"/>
  <c r="C2419" i="4"/>
  <c r="C2418" i="4"/>
  <c r="C2417" i="4"/>
  <c r="C2416" i="4"/>
  <c r="C2415" i="4"/>
  <c r="C2414" i="4"/>
  <c r="C2413" i="4"/>
  <c r="C2412" i="4"/>
  <c r="C2411" i="4"/>
  <c r="C2410" i="4"/>
  <c r="C2409" i="4"/>
  <c r="C2408" i="4"/>
  <c r="C2407" i="4"/>
  <c r="C2406" i="4"/>
  <c r="C2405" i="4"/>
  <c r="C2404" i="4"/>
  <c r="C2403" i="4"/>
  <c r="C2402" i="4"/>
  <c r="C2401" i="4"/>
  <c r="C2400" i="4"/>
  <c r="C2399" i="4"/>
  <c r="C2398" i="4"/>
  <c r="C2397" i="4"/>
  <c r="C2396" i="4"/>
  <c r="C2395" i="4"/>
  <c r="C2394" i="4"/>
  <c r="C2393" i="4"/>
  <c r="C2392" i="4"/>
  <c r="C2391" i="4"/>
  <c r="C2390" i="4"/>
  <c r="C2389" i="4"/>
  <c r="C2388" i="4"/>
  <c r="C2387" i="4"/>
  <c r="C2386" i="4"/>
  <c r="C2385" i="4"/>
  <c r="C2384" i="4"/>
  <c r="C2383" i="4"/>
  <c r="C2382" i="4"/>
  <c r="C2381" i="4"/>
  <c r="C2380" i="4"/>
  <c r="C2379" i="4"/>
  <c r="C2378" i="4"/>
  <c r="C2377" i="4"/>
  <c r="C2376" i="4"/>
  <c r="C2375" i="4"/>
  <c r="C2374" i="4"/>
  <c r="C2373" i="4"/>
  <c r="C2372" i="4"/>
  <c r="C2371" i="4"/>
  <c r="C2370" i="4"/>
  <c r="C2369" i="4"/>
  <c r="C2368" i="4"/>
  <c r="C2367" i="4"/>
  <c r="C2366" i="4"/>
  <c r="C2365" i="4"/>
  <c r="C2364" i="4"/>
  <c r="C2363" i="4"/>
  <c r="C2362" i="4"/>
  <c r="C2361" i="4"/>
  <c r="C2360" i="4"/>
  <c r="C2359" i="4"/>
  <c r="C2358" i="4"/>
  <c r="C2357" i="4"/>
  <c r="C2356" i="4"/>
  <c r="C2355" i="4"/>
  <c r="C2354" i="4"/>
  <c r="C2353" i="4"/>
  <c r="C2352" i="4"/>
  <c r="C2351" i="4"/>
  <c r="C2350" i="4"/>
  <c r="C2349" i="4"/>
  <c r="C2348" i="4"/>
  <c r="C2347" i="4"/>
  <c r="C2346" i="4"/>
  <c r="C2345" i="4"/>
  <c r="C2344" i="4"/>
  <c r="C2343" i="4"/>
  <c r="C2342" i="4"/>
  <c r="C2341" i="4"/>
  <c r="C2340" i="4"/>
  <c r="C2339" i="4"/>
  <c r="C2338" i="4"/>
  <c r="C2337" i="4"/>
  <c r="C2336" i="4"/>
  <c r="C2335" i="4"/>
  <c r="C2334" i="4"/>
  <c r="C2333" i="4"/>
  <c r="C2332" i="4"/>
  <c r="C2331" i="4"/>
  <c r="C2330" i="4"/>
  <c r="C2329" i="4"/>
  <c r="C2328" i="4"/>
  <c r="C2327" i="4"/>
  <c r="C2326" i="4"/>
  <c r="C2325" i="4"/>
  <c r="C2324" i="4"/>
  <c r="C2323" i="4"/>
  <c r="C2322" i="4"/>
  <c r="C2321" i="4"/>
  <c r="C2320" i="4"/>
  <c r="C2319" i="4"/>
  <c r="C2318" i="4"/>
  <c r="C2317" i="4"/>
  <c r="C2316" i="4"/>
  <c r="C2315" i="4"/>
  <c r="C2314" i="4"/>
  <c r="C2313" i="4"/>
  <c r="C2312" i="4"/>
  <c r="C2311" i="4"/>
  <c r="C2310" i="4"/>
  <c r="C2309" i="4"/>
  <c r="C2308" i="4"/>
  <c r="C2307" i="4"/>
  <c r="C2306" i="4"/>
  <c r="C2305" i="4"/>
  <c r="C2304" i="4"/>
  <c r="C2303" i="4"/>
  <c r="C2302" i="4"/>
  <c r="C2301" i="4"/>
  <c r="C2300" i="4"/>
  <c r="C2299" i="4"/>
  <c r="C2298" i="4"/>
  <c r="C2297" i="4"/>
  <c r="C2296" i="4"/>
  <c r="C2295" i="4"/>
  <c r="C2294" i="4"/>
  <c r="C2293" i="4"/>
  <c r="C2292" i="4"/>
  <c r="C2291" i="4"/>
  <c r="C2290" i="4"/>
  <c r="C2289" i="4"/>
  <c r="C2288" i="4"/>
  <c r="C2287" i="4"/>
  <c r="C2286" i="4"/>
  <c r="C2285" i="4"/>
  <c r="C2284" i="4"/>
  <c r="C2283" i="4"/>
  <c r="C2282" i="4"/>
  <c r="C2281" i="4"/>
  <c r="C2280" i="4"/>
  <c r="C2279" i="4"/>
  <c r="C2278" i="4"/>
  <c r="C2277" i="4"/>
  <c r="C2276" i="4"/>
  <c r="C2275" i="4"/>
  <c r="C2274" i="4"/>
  <c r="C2273" i="4"/>
  <c r="C2272" i="4"/>
  <c r="C2271" i="4"/>
  <c r="C2270" i="4"/>
  <c r="C2269" i="4"/>
  <c r="C2268" i="4"/>
  <c r="C2267" i="4"/>
  <c r="C2266" i="4"/>
  <c r="C2265" i="4"/>
  <c r="C2264" i="4"/>
  <c r="C2263" i="4"/>
  <c r="C2262" i="4"/>
  <c r="C2261" i="4"/>
  <c r="C2260" i="4"/>
  <c r="C2259" i="4"/>
  <c r="C2258" i="4"/>
  <c r="C2257" i="4"/>
  <c r="C2256" i="4"/>
  <c r="C2255" i="4"/>
  <c r="C2254" i="4"/>
  <c r="C2253" i="4"/>
  <c r="C2252" i="4"/>
  <c r="C2251" i="4"/>
  <c r="C2250" i="4"/>
  <c r="C2249" i="4"/>
  <c r="C2248" i="4"/>
  <c r="C2247" i="4"/>
  <c r="C2246" i="4"/>
  <c r="C2245" i="4"/>
  <c r="C2244" i="4"/>
  <c r="C2243" i="4"/>
  <c r="C2242" i="4"/>
  <c r="C2241" i="4"/>
  <c r="C2240" i="4"/>
  <c r="C2239" i="4"/>
  <c r="C2238" i="4"/>
  <c r="C2237" i="4"/>
  <c r="C2236" i="4"/>
  <c r="C2235" i="4"/>
  <c r="C2234" i="4"/>
  <c r="C2233" i="4"/>
  <c r="C2232" i="4"/>
  <c r="C2231" i="4"/>
  <c r="C2230" i="4"/>
  <c r="C2229" i="4"/>
  <c r="C2228" i="4"/>
  <c r="C2227" i="4"/>
  <c r="C2226" i="4"/>
  <c r="C2225" i="4"/>
  <c r="C2224" i="4"/>
  <c r="C2223" i="4"/>
  <c r="C2222" i="4"/>
  <c r="C2221" i="4"/>
  <c r="C2220" i="4"/>
  <c r="C2219" i="4"/>
  <c r="C2218" i="4"/>
  <c r="C2217" i="4"/>
  <c r="C2216" i="4"/>
  <c r="C2215" i="4"/>
  <c r="C2214" i="4"/>
  <c r="C2213" i="4"/>
  <c r="C2212" i="4"/>
  <c r="C2211" i="4"/>
  <c r="C2210" i="4"/>
  <c r="C2209" i="4"/>
  <c r="C2208" i="4"/>
  <c r="C2207" i="4"/>
  <c r="C2206" i="4"/>
  <c r="C2205" i="4"/>
  <c r="C2204" i="4"/>
  <c r="C2203" i="4"/>
  <c r="C2202" i="4"/>
  <c r="C2201" i="4"/>
  <c r="C2200" i="4"/>
  <c r="C2199" i="4"/>
  <c r="C2198" i="4"/>
  <c r="C2197" i="4"/>
  <c r="C2196" i="4"/>
  <c r="C2195" i="4"/>
  <c r="C2194" i="4"/>
  <c r="C2193" i="4"/>
  <c r="C2192" i="4"/>
  <c r="C2191" i="4"/>
  <c r="C2190" i="4"/>
  <c r="C2189" i="4"/>
  <c r="C2188" i="4"/>
  <c r="C2187" i="4"/>
  <c r="C2186" i="4"/>
  <c r="C2185" i="4"/>
  <c r="C2184" i="4"/>
  <c r="C2183" i="4"/>
  <c r="C2182" i="4"/>
  <c r="C2181" i="4"/>
  <c r="C2180" i="4"/>
  <c r="C2179" i="4"/>
  <c r="C2178" i="4"/>
  <c r="C2177" i="4"/>
  <c r="C2176" i="4"/>
  <c r="C2175" i="4"/>
  <c r="C2174" i="4"/>
  <c r="C2173" i="4"/>
  <c r="C2172" i="4"/>
  <c r="C2171" i="4"/>
  <c r="C2170" i="4"/>
  <c r="C2169" i="4"/>
  <c r="C2168" i="4"/>
  <c r="C2167" i="4"/>
  <c r="C2166" i="4"/>
  <c r="C2165" i="4"/>
  <c r="C2164" i="4"/>
  <c r="C2163" i="4"/>
  <c r="C2162" i="4"/>
  <c r="C2161" i="4"/>
  <c r="C2160" i="4"/>
  <c r="C2159" i="4"/>
  <c r="C2158" i="4"/>
  <c r="C2157" i="4"/>
  <c r="C2156" i="4"/>
  <c r="C2155" i="4"/>
  <c r="C2154" i="4"/>
  <c r="C2153" i="4"/>
  <c r="C2152" i="4"/>
  <c r="C2151" i="4"/>
  <c r="C2150" i="4"/>
  <c r="C2149" i="4"/>
  <c r="C2148" i="4"/>
  <c r="C2147" i="4"/>
  <c r="C2146" i="4"/>
  <c r="C2145" i="4"/>
  <c r="C2144" i="4"/>
  <c r="C2143" i="4"/>
  <c r="C2142" i="4"/>
  <c r="C2141" i="4"/>
  <c r="C2140" i="4"/>
  <c r="C2139" i="4"/>
  <c r="C2138" i="4"/>
  <c r="C2137" i="4"/>
  <c r="C2136" i="4"/>
  <c r="C2135" i="4"/>
  <c r="C2134" i="4"/>
  <c r="C2133" i="4"/>
  <c r="C2132" i="4"/>
  <c r="C2131" i="4"/>
  <c r="C2130" i="4"/>
  <c r="C2129" i="4"/>
  <c r="C2128" i="4"/>
  <c r="C2127" i="4"/>
  <c r="C2126" i="4"/>
  <c r="C2125" i="4"/>
  <c r="C2124" i="4"/>
  <c r="C2123" i="4"/>
  <c r="C2122" i="4"/>
  <c r="C2121" i="4"/>
  <c r="C2120" i="4"/>
  <c r="C2119" i="4"/>
  <c r="C2118" i="4"/>
  <c r="C2117" i="4"/>
  <c r="C2116" i="4"/>
  <c r="C2115" i="4"/>
  <c r="C2114" i="4"/>
  <c r="C2113" i="4"/>
  <c r="C2112" i="4"/>
  <c r="C2111" i="4"/>
  <c r="C2110" i="4"/>
  <c r="C2109" i="4"/>
  <c r="C2108" i="4"/>
  <c r="C2107" i="4"/>
  <c r="C2106" i="4"/>
  <c r="C2105" i="4"/>
  <c r="C2104" i="4"/>
  <c r="C2103" i="4"/>
  <c r="C2102" i="4"/>
  <c r="C2101" i="4"/>
  <c r="C2100" i="4"/>
  <c r="C2099" i="4"/>
  <c r="C2098" i="4"/>
  <c r="C2097" i="4"/>
  <c r="C2096" i="4"/>
  <c r="C2095" i="4"/>
  <c r="C2094" i="4"/>
  <c r="C2093" i="4"/>
  <c r="C2092" i="4"/>
  <c r="C2091" i="4"/>
  <c r="C2090" i="4"/>
  <c r="C2089" i="4"/>
  <c r="C2088" i="4"/>
  <c r="C2087" i="4"/>
  <c r="C2086" i="4"/>
  <c r="C2085" i="4"/>
  <c r="C2084" i="4"/>
  <c r="C2083" i="4"/>
  <c r="C2082" i="4"/>
  <c r="C2081" i="4"/>
  <c r="C2080" i="4"/>
  <c r="C2079" i="4"/>
  <c r="C2078" i="4"/>
  <c r="C2077" i="4"/>
  <c r="C2076" i="4"/>
  <c r="C2075" i="4"/>
  <c r="C2074" i="4"/>
  <c r="C2073" i="4"/>
  <c r="C2072" i="4"/>
  <c r="C2071" i="4"/>
  <c r="C2070" i="4"/>
  <c r="C2069" i="4"/>
  <c r="C2068" i="4"/>
  <c r="C2067" i="4"/>
  <c r="C2066" i="4"/>
  <c r="C2065" i="4"/>
  <c r="C2064" i="4"/>
  <c r="C2063" i="4"/>
  <c r="C2062" i="4"/>
  <c r="C2061" i="4"/>
  <c r="C2060" i="4"/>
  <c r="C2059" i="4"/>
  <c r="C2058" i="4"/>
  <c r="C2057" i="4"/>
  <c r="C2056" i="4"/>
  <c r="C2055" i="4"/>
  <c r="C2054" i="4"/>
  <c r="C2053" i="4"/>
  <c r="C2052" i="4"/>
  <c r="C2051" i="4"/>
  <c r="C2050" i="4"/>
  <c r="C2049" i="4"/>
  <c r="C2048" i="4"/>
  <c r="C2047" i="4"/>
  <c r="C2046" i="4"/>
  <c r="C2045" i="4"/>
  <c r="C2044" i="4"/>
  <c r="C2043" i="4"/>
  <c r="C2042" i="4"/>
  <c r="C2041" i="4"/>
  <c r="C2040" i="4"/>
  <c r="C2039" i="4"/>
  <c r="C2038" i="4"/>
  <c r="C2037" i="4"/>
  <c r="C2036" i="4"/>
  <c r="C2035" i="4"/>
  <c r="C2034" i="4"/>
  <c r="C2033" i="4"/>
  <c r="C2032" i="4"/>
  <c r="C2031" i="4"/>
  <c r="C2030" i="4"/>
  <c r="C2029" i="4"/>
  <c r="C2028" i="4"/>
  <c r="C2027" i="4"/>
  <c r="C2026" i="4"/>
  <c r="C2025" i="4"/>
  <c r="C2024" i="4"/>
  <c r="C2023" i="4"/>
  <c r="C2022" i="4"/>
  <c r="C2021" i="4"/>
  <c r="C2020" i="4"/>
  <c r="C2019" i="4"/>
  <c r="C2018" i="4"/>
  <c r="C2017" i="4"/>
  <c r="C2016" i="4"/>
  <c r="C2015" i="4"/>
  <c r="C2014" i="4"/>
  <c r="C2013" i="4"/>
  <c r="C2012" i="4"/>
  <c r="C2011" i="4"/>
  <c r="C2010" i="4"/>
  <c r="C2009" i="4"/>
  <c r="C2008" i="4"/>
  <c r="C2007" i="4"/>
  <c r="C2006" i="4"/>
  <c r="C2005" i="4"/>
  <c r="C2004" i="4"/>
  <c r="C2003" i="4"/>
  <c r="C2002" i="4"/>
  <c r="C2001" i="4"/>
  <c r="C2000" i="4"/>
  <c r="C1999" i="4"/>
  <c r="C1998" i="4"/>
  <c r="C1997" i="4"/>
  <c r="C1996" i="4"/>
  <c r="C1995" i="4"/>
  <c r="C1994" i="4"/>
  <c r="C1993" i="4"/>
  <c r="C1992" i="4"/>
  <c r="C1991" i="4"/>
  <c r="C1990" i="4"/>
  <c r="C1989" i="4"/>
  <c r="C1988" i="4"/>
  <c r="C1987" i="4"/>
  <c r="C1986" i="4"/>
  <c r="C1985" i="4"/>
  <c r="C1984" i="4"/>
  <c r="C1983" i="4"/>
  <c r="C1982" i="4"/>
  <c r="C1981" i="4"/>
  <c r="C1980" i="4"/>
  <c r="C1979" i="4"/>
  <c r="C1978" i="4"/>
  <c r="C1977" i="4"/>
  <c r="C1976" i="4"/>
  <c r="C1975" i="4"/>
  <c r="C1974" i="4"/>
  <c r="C1973" i="4"/>
  <c r="C1972" i="4"/>
  <c r="C1971" i="4"/>
  <c r="C1970" i="4"/>
  <c r="C1969" i="4"/>
  <c r="C1968" i="4"/>
  <c r="C1967" i="4"/>
  <c r="C1966" i="4"/>
  <c r="C1965" i="4"/>
  <c r="C1964" i="4"/>
  <c r="C1963" i="4"/>
  <c r="C1962" i="4"/>
  <c r="C1961" i="4"/>
  <c r="C1960" i="4"/>
  <c r="C1959" i="4"/>
  <c r="C1958" i="4"/>
  <c r="C1957" i="4"/>
  <c r="C1956" i="4"/>
  <c r="C1955" i="4"/>
  <c r="C1954" i="4"/>
  <c r="C1953" i="4"/>
  <c r="C1952" i="4"/>
  <c r="C1951" i="4"/>
  <c r="C1950" i="4"/>
  <c r="C1949" i="4"/>
  <c r="C1948" i="4"/>
  <c r="C1947" i="4"/>
  <c r="C1946" i="4"/>
  <c r="C1945" i="4"/>
  <c r="C1944" i="4"/>
  <c r="C1943" i="4"/>
  <c r="C1942" i="4"/>
  <c r="C1941" i="4"/>
  <c r="C1940" i="4"/>
  <c r="C1939" i="4"/>
  <c r="C1938" i="4"/>
  <c r="C1937" i="4"/>
  <c r="C1936" i="4"/>
  <c r="C1935" i="4"/>
  <c r="C1934" i="4"/>
  <c r="C1933" i="4"/>
  <c r="C1932" i="4"/>
  <c r="C1931" i="4"/>
  <c r="C1930" i="4"/>
  <c r="C1929" i="4"/>
  <c r="C1928" i="4"/>
  <c r="C1927" i="4"/>
  <c r="C1926" i="4"/>
  <c r="C1925" i="4"/>
  <c r="C1924" i="4"/>
  <c r="C1923" i="4"/>
  <c r="C1922" i="4"/>
  <c r="C1921" i="4"/>
  <c r="C1920" i="4"/>
  <c r="C1919" i="4"/>
  <c r="C1918" i="4"/>
  <c r="C1917" i="4"/>
  <c r="C1916" i="4"/>
  <c r="C1915" i="4"/>
  <c r="C1914" i="4"/>
  <c r="C1913" i="4"/>
  <c r="C1912" i="4"/>
  <c r="C1911" i="4"/>
  <c r="C1910" i="4"/>
  <c r="C1909" i="4"/>
  <c r="C1908" i="4"/>
  <c r="C1907" i="4"/>
  <c r="C1906" i="4"/>
  <c r="C1905" i="4"/>
  <c r="C1904" i="4"/>
  <c r="C1903" i="4"/>
  <c r="C1902" i="4"/>
  <c r="C1901" i="4"/>
  <c r="C1900" i="4"/>
  <c r="C1899" i="4"/>
  <c r="C1898" i="4"/>
  <c r="C1897" i="4"/>
  <c r="C1896" i="4"/>
  <c r="C1895" i="4"/>
  <c r="C1894" i="4"/>
  <c r="C1893" i="4"/>
  <c r="C1892" i="4"/>
  <c r="C1891" i="4"/>
  <c r="C1890" i="4"/>
  <c r="C1889" i="4"/>
  <c r="C1888" i="4"/>
  <c r="C1887" i="4"/>
  <c r="C1886" i="4"/>
  <c r="C1885" i="4"/>
  <c r="C1884" i="4"/>
  <c r="C1883" i="4"/>
  <c r="C1882" i="4"/>
  <c r="C1881" i="4"/>
  <c r="C1880" i="4"/>
  <c r="C1879" i="4"/>
  <c r="C1878" i="4"/>
  <c r="C1877" i="4"/>
  <c r="C1876" i="4"/>
  <c r="C1875" i="4"/>
  <c r="C1874" i="4"/>
  <c r="C1873" i="4"/>
  <c r="C1872" i="4"/>
  <c r="C1871" i="4"/>
  <c r="C1870" i="4"/>
  <c r="C1869" i="4"/>
  <c r="C1868" i="4"/>
  <c r="C1867" i="4"/>
  <c r="C1866" i="4"/>
  <c r="C1865" i="4"/>
  <c r="C1864" i="4"/>
  <c r="C1863" i="4"/>
  <c r="C1862" i="4"/>
  <c r="C1861" i="4"/>
  <c r="C1860" i="4"/>
  <c r="C1859" i="4"/>
  <c r="C1858" i="4"/>
  <c r="C1857" i="4"/>
  <c r="C1856" i="4"/>
  <c r="C1855" i="4"/>
  <c r="C1854" i="4"/>
  <c r="C1853" i="4"/>
  <c r="C1852" i="4"/>
  <c r="C1851" i="4"/>
  <c r="C1850" i="4"/>
  <c r="C1849" i="4"/>
  <c r="C1848" i="4"/>
  <c r="C1847" i="4"/>
  <c r="C1846" i="4"/>
  <c r="C1845" i="4"/>
  <c r="C1844" i="4"/>
  <c r="C1843" i="4"/>
  <c r="C1842" i="4"/>
  <c r="C1841" i="4"/>
  <c r="C1840" i="4"/>
  <c r="C1839" i="4"/>
  <c r="C1838" i="4"/>
  <c r="C1837" i="4"/>
  <c r="C1836" i="4"/>
  <c r="C1835" i="4"/>
  <c r="C1834" i="4"/>
  <c r="C1833" i="4"/>
  <c r="C1832" i="4"/>
  <c r="C1831" i="4"/>
  <c r="C1830" i="4"/>
  <c r="C1829" i="4"/>
  <c r="C1828" i="4"/>
  <c r="C1827" i="4"/>
  <c r="C1826" i="4"/>
  <c r="C1825" i="4"/>
  <c r="C1824" i="4"/>
  <c r="C1823" i="4"/>
  <c r="C1822" i="4"/>
  <c r="C1821" i="4"/>
  <c r="C1820" i="4"/>
  <c r="C1819" i="4"/>
  <c r="C1818" i="4"/>
  <c r="C1817" i="4"/>
  <c r="C1816" i="4"/>
  <c r="C1815" i="4"/>
  <c r="C1814" i="4"/>
  <c r="C1813" i="4"/>
  <c r="C1812" i="4"/>
  <c r="C1811" i="4"/>
  <c r="C1810" i="4"/>
  <c r="C1809" i="4"/>
  <c r="C1808" i="4"/>
  <c r="C1807" i="4"/>
  <c r="C1806" i="4"/>
  <c r="C1805" i="4"/>
  <c r="C1804" i="4"/>
  <c r="C1803" i="4"/>
  <c r="C1802" i="4"/>
  <c r="C1801" i="4"/>
  <c r="C1800" i="4"/>
  <c r="C1799" i="4"/>
  <c r="C1798" i="4"/>
  <c r="C1797" i="4"/>
  <c r="C1796" i="4"/>
  <c r="C1795" i="4"/>
  <c r="C1794" i="4"/>
  <c r="C1793" i="4"/>
  <c r="C1792" i="4"/>
  <c r="C1791" i="4"/>
  <c r="C1790" i="4"/>
  <c r="C1789" i="4"/>
  <c r="C1788" i="4"/>
  <c r="C1787" i="4"/>
  <c r="C1786" i="4"/>
  <c r="C1785" i="4"/>
  <c r="C1784" i="4"/>
  <c r="C1783" i="4"/>
  <c r="C1782" i="4"/>
  <c r="C1781" i="4"/>
  <c r="C1780" i="4"/>
  <c r="C1779" i="4"/>
  <c r="C1778" i="4"/>
  <c r="C1777" i="4"/>
  <c r="C1776" i="4"/>
  <c r="C1775" i="4"/>
  <c r="C1774" i="4"/>
  <c r="C1773" i="4"/>
  <c r="C1772" i="4"/>
  <c r="C1771" i="4"/>
  <c r="C1770" i="4"/>
  <c r="C1769" i="4"/>
  <c r="C1768" i="4"/>
  <c r="C1767" i="4"/>
  <c r="C1766" i="4"/>
  <c r="C1765" i="4"/>
  <c r="C1764" i="4"/>
  <c r="C1763" i="4"/>
  <c r="C1762" i="4"/>
  <c r="C1761" i="4"/>
  <c r="C1760" i="4"/>
  <c r="C1759" i="4"/>
  <c r="C1758" i="4"/>
  <c r="C1757" i="4"/>
  <c r="C1756" i="4"/>
  <c r="C1755" i="4"/>
  <c r="C1754" i="4"/>
  <c r="C1753" i="4"/>
  <c r="C1752" i="4"/>
  <c r="C1751" i="4"/>
  <c r="C1750" i="4"/>
  <c r="C1749" i="4"/>
  <c r="C1748" i="4"/>
  <c r="C1747" i="4"/>
  <c r="C1746" i="4"/>
  <c r="C1745" i="4"/>
  <c r="C1744" i="4"/>
  <c r="C1743" i="4"/>
  <c r="C1742" i="4"/>
  <c r="C1741" i="4"/>
  <c r="C1740" i="4"/>
  <c r="C1739" i="4"/>
  <c r="C1738" i="4"/>
  <c r="C1737" i="4"/>
  <c r="C1736" i="4"/>
  <c r="C1735" i="4"/>
  <c r="C1734" i="4"/>
  <c r="C1733" i="4"/>
  <c r="C1732" i="4"/>
  <c r="C1731" i="4"/>
  <c r="C1730" i="4"/>
  <c r="C1729" i="4"/>
  <c r="C1728" i="4"/>
  <c r="C1727" i="4"/>
  <c r="C1726" i="4"/>
  <c r="C1725" i="4"/>
  <c r="C1724" i="4"/>
  <c r="C1723" i="4"/>
  <c r="C1722" i="4"/>
  <c r="C1721" i="4"/>
  <c r="C1720" i="4"/>
  <c r="C1719" i="4"/>
  <c r="C1718" i="4"/>
  <c r="C1717" i="4"/>
  <c r="C1716" i="4"/>
  <c r="C1715" i="4"/>
  <c r="C1714" i="4"/>
  <c r="C1713" i="4"/>
  <c r="C1712" i="4"/>
  <c r="C1711" i="4"/>
  <c r="C1710" i="4"/>
  <c r="C1709" i="4"/>
  <c r="C1708" i="4"/>
  <c r="C1707" i="4"/>
  <c r="C1706" i="4"/>
  <c r="C1705" i="4"/>
  <c r="C1704" i="4"/>
  <c r="C1703" i="4"/>
  <c r="C1702" i="4"/>
  <c r="C1701" i="4"/>
  <c r="C1700" i="4"/>
  <c r="C1699" i="4"/>
  <c r="C1698" i="4"/>
  <c r="C1697" i="4"/>
  <c r="C1696" i="4"/>
  <c r="C1695" i="4"/>
  <c r="C1694" i="4"/>
  <c r="C1693" i="4"/>
  <c r="C1692" i="4"/>
  <c r="C1691" i="4"/>
  <c r="C1690" i="4"/>
  <c r="C1689" i="4"/>
  <c r="C1688" i="4"/>
  <c r="C1687" i="4"/>
  <c r="C1686" i="4"/>
  <c r="C1685" i="4"/>
  <c r="C1684" i="4"/>
  <c r="C1683" i="4"/>
  <c r="C1682" i="4"/>
  <c r="C1681" i="4"/>
  <c r="C1680" i="4"/>
  <c r="C1679" i="4"/>
  <c r="C1678" i="4"/>
  <c r="C1677" i="4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95" i="4"/>
  <c r="C1394" i="4"/>
  <c r="C1393" i="4"/>
  <c r="C1392" i="4"/>
  <c r="C1391" i="4"/>
  <c r="C1390" i="4"/>
  <c r="C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300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Q1094" i="1" l="1"/>
  <c r="BB408" i="1"/>
  <c r="BB365" i="1"/>
  <c r="AJ365" i="1"/>
  <c r="AJ408" i="1"/>
  <c r="Q365" i="1"/>
  <c r="AJ364" i="1"/>
  <c r="BB396" i="1"/>
  <c r="BB364" i="1"/>
  <c r="AJ396" i="1"/>
  <c r="AJ405" i="1"/>
  <c r="BB405" i="1"/>
  <c r="Q1097" i="1"/>
  <c r="BB403" i="1"/>
  <c r="AJ1094" i="1"/>
  <c r="BB1097" i="1"/>
  <c r="AJ403" i="1"/>
  <c r="BB1094" i="1"/>
  <c r="AJ1097" i="1"/>
  <c r="Q1065" i="1"/>
  <c r="BB1065" i="1"/>
  <c r="AJ433" i="1"/>
  <c r="BB1176" i="1"/>
  <c r="AJ1065" i="1"/>
  <c r="AJ1176" i="1"/>
  <c r="BB1036" i="1"/>
  <c r="AJ1036" i="1"/>
  <c r="BB441" i="1"/>
  <c r="AJ441" i="1"/>
  <c r="BB433" i="1"/>
  <c r="R408" i="1" l="1"/>
  <c r="R365" i="1"/>
  <c r="R405" i="1"/>
  <c r="R396" i="1"/>
  <c r="R433" i="1"/>
  <c r="R364" i="1"/>
  <c r="R1094" i="1"/>
  <c r="R403" i="1"/>
  <c r="R1065" i="1"/>
  <c r="R1097" i="1"/>
  <c r="R1176" i="1"/>
  <c r="R1036" i="1"/>
  <c r="R441" i="1"/>
  <c r="AY1270" i="1"/>
  <c r="AX1270" i="1"/>
  <c r="AV1270" i="1"/>
  <c r="AT1270" i="1"/>
  <c r="AQ1270" i="1"/>
  <c r="AP1270" i="1"/>
  <c r="AN1270" i="1"/>
  <c r="AL1270" i="1"/>
  <c r="AG1270" i="1"/>
  <c r="AF1270" i="1"/>
  <c r="AD1270" i="1"/>
  <c r="AB1270" i="1"/>
  <c r="Y1270" i="1"/>
  <c r="AI1270" i="1" s="1"/>
  <c r="X1270" i="1"/>
  <c r="V1270" i="1"/>
  <c r="T1270" i="1"/>
  <c r="AY1086" i="1"/>
  <c r="AX1086" i="1"/>
  <c r="AV1086" i="1"/>
  <c r="AT1086" i="1"/>
  <c r="AQ1086" i="1"/>
  <c r="AP1086" i="1"/>
  <c r="AN1086" i="1"/>
  <c r="AL1086" i="1"/>
  <c r="AG1086" i="1"/>
  <c r="AF1086" i="1"/>
  <c r="AD1086" i="1"/>
  <c r="AB1086" i="1"/>
  <c r="Y1086" i="1"/>
  <c r="AI1086" i="1" s="1"/>
  <c r="X1086" i="1"/>
  <c r="V1086" i="1"/>
  <c r="T1086" i="1"/>
  <c r="AY1079" i="1"/>
  <c r="AX1079" i="1"/>
  <c r="AV1079" i="1"/>
  <c r="AT1079" i="1"/>
  <c r="AQ1079" i="1"/>
  <c r="AP1079" i="1"/>
  <c r="AN1079" i="1"/>
  <c r="AL1079" i="1"/>
  <c r="AG1079" i="1"/>
  <c r="AF1079" i="1"/>
  <c r="AD1079" i="1"/>
  <c r="AB1079" i="1"/>
  <c r="Y1079" i="1"/>
  <c r="X1079" i="1"/>
  <c r="V1079" i="1"/>
  <c r="T1079" i="1"/>
  <c r="AY1207" i="1"/>
  <c r="AX1207" i="1"/>
  <c r="AV1207" i="1"/>
  <c r="AT1207" i="1"/>
  <c r="AQ1207" i="1"/>
  <c r="AP1207" i="1"/>
  <c r="AN1207" i="1"/>
  <c r="AL1207" i="1"/>
  <c r="AG1207" i="1"/>
  <c r="AF1207" i="1"/>
  <c r="AD1207" i="1"/>
  <c r="AB1207" i="1"/>
  <c r="Y1207" i="1"/>
  <c r="X1207" i="1"/>
  <c r="V1207" i="1"/>
  <c r="T1207" i="1"/>
  <c r="AY1203" i="1"/>
  <c r="AX1203" i="1"/>
  <c r="AV1203" i="1"/>
  <c r="AT1203" i="1"/>
  <c r="AQ1203" i="1"/>
  <c r="AP1203" i="1"/>
  <c r="AN1203" i="1"/>
  <c r="AL1203" i="1"/>
  <c r="AG1203" i="1"/>
  <c r="AF1203" i="1"/>
  <c r="AD1203" i="1"/>
  <c r="AB1203" i="1"/>
  <c r="Y1203" i="1"/>
  <c r="X1203" i="1"/>
  <c r="V1203" i="1"/>
  <c r="T1203" i="1"/>
  <c r="AY1200" i="1"/>
  <c r="AX1200" i="1"/>
  <c r="AV1200" i="1"/>
  <c r="AT1200" i="1"/>
  <c r="AQ1200" i="1"/>
  <c r="AP1200" i="1"/>
  <c r="AN1200" i="1"/>
  <c r="AL1200" i="1"/>
  <c r="AG1200" i="1"/>
  <c r="AF1200" i="1"/>
  <c r="AD1200" i="1"/>
  <c r="AB1200" i="1"/>
  <c r="Y1200" i="1"/>
  <c r="X1200" i="1"/>
  <c r="V1200" i="1"/>
  <c r="T1200" i="1"/>
  <c r="AY1171" i="1"/>
  <c r="AX1171" i="1"/>
  <c r="AV1171" i="1"/>
  <c r="AT1171" i="1"/>
  <c r="AQ1171" i="1"/>
  <c r="AP1171" i="1"/>
  <c r="AN1171" i="1"/>
  <c r="AL1171" i="1"/>
  <c r="AG1171" i="1"/>
  <c r="AF1171" i="1"/>
  <c r="AD1171" i="1"/>
  <c r="AB1171" i="1"/>
  <c r="Y1171" i="1"/>
  <c r="X1171" i="1"/>
  <c r="V1171" i="1"/>
  <c r="T1171" i="1"/>
  <c r="AI1203" i="1" l="1"/>
  <c r="BA1079" i="1"/>
  <c r="BA1086" i="1"/>
  <c r="Q1086" i="1" s="1"/>
  <c r="BA1270" i="1"/>
  <c r="Q1270" i="1" s="1"/>
  <c r="BA1171" i="1"/>
  <c r="BA1203" i="1"/>
  <c r="AI1171" i="1"/>
  <c r="AI1079" i="1"/>
  <c r="Z1079" i="1"/>
  <c r="AH1079" i="1"/>
  <c r="AH1270" i="1"/>
  <c r="AR1270" i="1"/>
  <c r="AZ1270" i="1"/>
  <c r="Z1270" i="1"/>
  <c r="AR1079" i="1"/>
  <c r="AZ1079" i="1"/>
  <c r="Z1086" i="1"/>
  <c r="AH1086" i="1"/>
  <c r="AR1086" i="1"/>
  <c r="AZ1086" i="1"/>
  <c r="Z1207" i="1"/>
  <c r="AH1207" i="1"/>
  <c r="AR1207" i="1"/>
  <c r="AZ1207" i="1"/>
  <c r="AI1207" i="1"/>
  <c r="BA1207" i="1"/>
  <c r="BA1200" i="1"/>
  <c r="AR1203" i="1"/>
  <c r="AH1203" i="1"/>
  <c r="AZ1203" i="1"/>
  <c r="Z1203" i="1"/>
  <c r="AH1200" i="1"/>
  <c r="AR1200" i="1"/>
  <c r="AZ1200" i="1"/>
  <c r="AI1200" i="1"/>
  <c r="Z1200" i="1"/>
  <c r="AJ1200" i="1" s="1"/>
  <c r="Z1171" i="1"/>
  <c r="AH1171" i="1"/>
  <c r="AR1171" i="1"/>
  <c r="AZ1171" i="1"/>
  <c r="T1314" i="1"/>
  <c r="T1312" i="1"/>
  <c r="T1311" i="1"/>
  <c r="T1309" i="1"/>
  <c r="AY757" i="1"/>
  <c r="AX757" i="1"/>
  <c r="AV757" i="1"/>
  <c r="AT757" i="1"/>
  <c r="AQ757" i="1"/>
  <c r="AP757" i="1"/>
  <c r="AN757" i="1"/>
  <c r="AL757" i="1"/>
  <c r="AG757" i="1"/>
  <c r="AF757" i="1"/>
  <c r="AD757" i="1"/>
  <c r="AB757" i="1"/>
  <c r="Y757" i="1"/>
  <c r="X757" i="1"/>
  <c r="V757" i="1"/>
  <c r="T757" i="1"/>
  <c r="AY819" i="1"/>
  <c r="AX819" i="1"/>
  <c r="AV819" i="1"/>
  <c r="AT819" i="1"/>
  <c r="AQ819" i="1"/>
  <c r="AP819" i="1"/>
  <c r="AN819" i="1"/>
  <c r="AL819" i="1"/>
  <c r="AG819" i="1"/>
  <c r="AF819" i="1"/>
  <c r="AD819" i="1"/>
  <c r="AB819" i="1"/>
  <c r="Y819" i="1"/>
  <c r="X819" i="1"/>
  <c r="V819" i="1"/>
  <c r="T819" i="1"/>
  <c r="Q1203" i="1" l="1"/>
  <c r="Q1079" i="1"/>
  <c r="Q1171" i="1"/>
  <c r="Q1200" i="1"/>
  <c r="AJ1079" i="1"/>
  <c r="BB1270" i="1"/>
  <c r="AJ1270" i="1"/>
  <c r="AJ1207" i="1"/>
  <c r="AJ1086" i="1"/>
  <c r="BB1086" i="1"/>
  <c r="BB1079" i="1"/>
  <c r="BB1207" i="1"/>
  <c r="Q1207" i="1"/>
  <c r="BB1203" i="1"/>
  <c r="AJ1203" i="1"/>
  <c r="BB1200" i="1"/>
  <c r="R1200" i="1" s="1"/>
  <c r="T1315" i="1"/>
  <c r="BB1171" i="1"/>
  <c r="AJ1171" i="1"/>
  <c r="Z757" i="1"/>
  <c r="AR757" i="1"/>
  <c r="AZ757" i="1"/>
  <c r="BA819" i="1"/>
  <c r="BA757" i="1"/>
  <c r="AI757" i="1"/>
  <c r="AH757" i="1"/>
  <c r="Z819" i="1"/>
  <c r="AH819" i="1"/>
  <c r="AR819" i="1"/>
  <c r="AZ819" i="1"/>
  <c r="AI819" i="1"/>
  <c r="R1270" i="1" l="1"/>
  <c r="R1207" i="1"/>
  <c r="R1079" i="1"/>
  <c r="R1086" i="1"/>
  <c r="R1203" i="1"/>
  <c r="Q757" i="1"/>
  <c r="R1171" i="1"/>
  <c r="AJ757" i="1"/>
  <c r="BB757" i="1"/>
  <c r="Q819" i="1"/>
  <c r="BB819" i="1"/>
  <c r="AJ819" i="1"/>
  <c r="R757" i="1" l="1"/>
  <c r="R819" i="1"/>
  <c r="AY465" i="1"/>
  <c r="AX465" i="1"/>
  <c r="AV465" i="1"/>
  <c r="AT465" i="1"/>
  <c r="AQ465" i="1"/>
  <c r="AP465" i="1"/>
  <c r="AN465" i="1"/>
  <c r="AL465" i="1"/>
  <c r="AG465" i="1"/>
  <c r="AF465" i="1"/>
  <c r="AD465" i="1"/>
  <c r="AB465" i="1"/>
  <c r="Y465" i="1"/>
  <c r="X465" i="1"/>
  <c r="V465" i="1"/>
  <c r="T465" i="1"/>
  <c r="AY425" i="1"/>
  <c r="AX425" i="1"/>
  <c r="AV425" i="1"/>
  <c r="AT425" i="1"/>
  <c r="AQ425" i="1"/>
  <c r="AP425" i="1"/>
  <c r="AN425" i="1"/>
  <c r="AL425" i="1"/>
  <c r="AG425" i="1"/>
  <c r="AF425" i="1"/>
  <c r="AD425" i="1"/>
  <c r="AB425" i="1"/>
  <c r="Y425" i="1"/>
  <c r="X425" i="1"/>
  <c r="V425" i="1"/>
  <c r="T425" i="1"/>
  <c r="AY242" i="1"/>
  <c r="AX242" i="1"/>
  <c r="AV242" i="1"/>
  <c r="AT242" i="1"/>
  <c r="AQ242" i="1"/>
  <c r="AP242" i="1"/>
  <c r="AN242" i="1"/>
  <c r="AL242" i="1"/>
  <c r="AG242" i="1"/>
  <c r="AF242" i="1"/>
  <c r="AD242" i="1"/>
  <c r="AB242" i="1"/>
  <c r="Y242" i="1"/>
  <c r="X242" i="1"/>
  <c r="V242" i="1"/>
  <c r="T242" i="1"/>
  <c r="AY239" i="1"/>
  <c r="AX239" i="1"/>
  <c r="AV239" i="1"/>
  <c r="AT239" i="1"/>
  <c r="AQ239" i="1"/>
  <c r="AP239" i="1"/>
  <c r="AN239" i="1"/>
  <c r="AL239" i="1"/>
  <c r="AG239" i="1"/>
  <c r="AF239" i="1"/>
  <c r="AD239" i="1"/>
  <c r="AB239" i="1"/>
  <c r="Y239" i="1"/>
  <c r="X239" i="1"/>
  <c r="V239" i="1"/>
  <c r="T239" i="1"/>
  <c r="AY238" i="1"/>
  <c r="AX238" i="1"/>
  <c r="AV238" i="1"/>
  <c r="AT238" i="1"/>
  <c r="AQ238" i="1"/>
  <c r="BA238" i="1" s="1"/>
  <c r="AP238" i="1"/>
  <c r="AN238" i="1"/>
  <c r="AL238" i="1"/>
  <c r="AG238" i="1"/>
  <c r="AF238" i="1"/>
  <c r="AD238" i="1"/>
  <c r="AB238" i="1"/>
  <c r="Y238" i="1"/>
  <c r="X238" i="1"/>
  <c r="V238" i="1"/>
  <c r="T238" i="1"/>
  <c r="AY237" i="1"/>
  <c r="AX237" i="1"/>
  <c r="AV237" i="1"/>
  <c r="AT237" i="1"/>
  <c r="AQ237" i="1"/>
  <c r="AP237" i="1"/>
  <c r="AN237" i="1"/>
  <c r="AL237" i="1"/>
  <c r="AG237" i="1"/>
  <c r="AF237" i="1"/>
  <c r="AD237" i="1"/>
  <c r="AB237" i="1"/>
  <c r="Y237" i="1"/>
  <c r="X237" i="1"/>
  <c r="V237" i="1"/>
  <c r="T237" i="1"/>
  <c r="AY236" i="1"/>
  <c r="AX236" i="1"/>
  <c r="AV236" i="1"/>
  <c r="AT236" i="1"/>
  <c r="AQ236" i="1"/>
  <c r="AP236" i="1"/>
  <c r="AN236" i="1"/>
  <c r="AL236" i="1"/>
  <c r="AG236" i="1"/>
  <c r="AF236" i="1"/>
  <c r="AD236" i="1"/>
  <c r="AB236" i="1"/>
  <c r="Y236" i="1"/>
  <c r="X236" i="1"/>
  <c r="V236" i="1"/>
  <c r="T236" i="1"/>
  <c r="AY235" i="1"/>
  <c r="AX235" i="1"/>
  <c r="AV235" i="1"/>
  <c r="AT235" i="1"/>
  <c r="AQ235" i="1"/>
  <c r="AP235" i="1"/>
  <c r="AN235" i="1"/>
  <c r="AL235" i="1"/>
  <c r="AG235" i="1"/>
  <c r="AF235" i="1"/>
  <c r="AD235" i="1"/>
  <c r="AB235" i="1"/>
  <c r="Y235" i="1"/>
  <c r="X235" i="1"/>
  <c r="V235" i="1"/>
  <c r="T235" i="1"/>
  <c r="AY232" i="1"/>
  <c r="AX232" i="1"/>
  <c r="AV232" i="1"/>
  <c r="AT232" i="1"/>
  <c r="AQ232" i="1"/>
  <c r="AP232" i="1"/>
  <c r="AN232" i="1"/>
  <c r="AL232" i="1"/>
  <c r="AG232" i="1"/>
  <c r="AF232" i="1"/>
  <c r="AD232" i="1"/>
  <c r="AB232" i="1"/>
  <c r="Y232" i="1"/>
  <c r="AI232" i="1" s="1"/>
  <c r="X232" i="1"/>
  <c r="V232" i="1"/>
  <c r="T232" i="1"/>
  <c r="AY233" i="1"/>
  <c r="AX233" i="1"/>
  <c r="AV233" i="1"/>
  <c r="AT233" i="1"/>
  <c r="AQ233" i="1"/>
  <c r="AP233" i="1"/>
  <c r="AN233" i="1"/>
  <c r="AL233" i="1"/>
  <c r="AG233" i="1"/>
  <c r="AF233" i="1"/>
  <c r="AD233" i="1"/>
  <c r="AB233" i="1"/>
  <c r="Y233" i="1"/>
  <c r="X233" i="1"/>
  <c r="V233" i="1"/>
  <c r="T233" i="1"/>
  <c r="AY230" i="1"/>
  <c r="AX230" i="1"/>
  <c r="AV230" i="1"/>
  <c r="AT230" i="1"/>
  <c r="AQ230" i="1"/>
  <c r="BA230" i="1" s="1"/>
  <c r="AP230" i="1"/>
  <c r="AN230" i="1"/>
  <c r="AL230" i="1"/>
  <c r="AG230" i="1"/>
  <c r="AF230" i="1"/>
  <c r="AD230" i="1"/>
  <c r="AB230" i="1"/>
  <c r="Y230" i="1"/>
  <c r="X230" i="1"/>
  <c r="V230" i="1"/>
  <c r="T230" i="1"/>
  <c r="AY229" i="1"/>
  <c r="AX229" i="1"/>
  <c r="AV229" i="1"/>
  <c r="AT229" i="1"/>
  <c r="AQ229" i="1"/>
  <c r="AP229" i="1"/>
  <c r="AN229" i="1"/>
  <c r="AL229" i="1"/>
  <c r="AG229" i="1"/>
  <c r="AF229" i="1"/>
  <c r="AD229" i="1"/>
  <c r="AB229" i="1"/>
  <c r="Y229" i="1"/>
  <c r="X229" i="1"/>
  <c r="V229" i="1"/>
  <c r="T229" i="1"/>
  <c r="AY228" i="1"/>
  <c r="AX228" i="1"/>
  <c r="AV228" i="1"/>
  <c r="AT228" i="1"/>
  <c r="AQ228" i="1"/>
  <c r="AP228" i="1"/>
  <c r="AN228" i="1"/>
  <c r="AL228" i="1"/>
  <c r="AG228" i="1"/>
  <c r="AF228" i="1"/>
  <c r="AD228" i="1"/>
  <c r="AB228" i="1"/>
  <c r="Y228" i="1"/>
  <c r="X228" i="1"/>
  <c r="V228" i="1"/>
  <c r="T228" i="1"/>
  <c r="AY227" i="1"/>
  <c r="AX227" i="1"/>
  <c r="AV227" i="1"/>
  <c r="AT227" i="1"/>
  <c r="AQ227" i="1"/>
  <c r="AP227" i="1"/>
  <c r="AN227" i="1"/>
  <c r="AL227" i="1"/>
  <c r="AG227" i="1"/>
  <c r="AF227" i="1"/>
  <c r="AD227" i="1"/>
  <c r="AB227" i="1"/>
  <c r="Y227" i="1"/>
  <c r="X227" i="1"/>
  <c r="V227" i="1"/>
  <c r="T227" i="1"/>
  <c r="AY226" i="1"/>
  <c r="AX226" i="1"/>
  <c r="AV226" i="1"/>
  <c r="AT226" i="1"/>
  <c r="AQ226" i="1"/>
  <c r="AP226" i="1"/>
  <c r="AN226" i="1"/>
  <c r="AL226" i="1"/>
  <c r="AG226" i="1"/>
  <c r="AF226" i="1"/>
  <c r="AD226" i="1"/>
  <c r="AB226" i="1"/>
  <c r="Y226" i="1"/>
  <c r="X226" i="1"/>
  <c r="V226" i="1"/>
  <c r="T226" i="1"/>
  <c r="AY225" i="1"/>
  <c r="AX225" i="1"/>
  <c r="AV225" i="1"/>
  <c r="AT225" i="1"/>
  <c r="AQ225" i="1"/>
  <c r="AP225" i="1"/>
  <c r="AN225" i="1"/>
  <c r="AL225" i="1"/>
  <c r="AG225" i="1"/>
  <c r="AF225" i="1"/>
  <c r="AD225" i="1"/>
  <c r="AB225" i="1"/>
  <c r="Y225" i="1"/>
  <c r="X225" i="1"/>
  <c r="V225" i="1"/>
  <c r="T225" i="1"/>
  <c r="AY222" i="1"/>
  <c r="AX222" i="1"/>
  <c r="AV222" i="1"/>
  <c r="AT222" i="1"/>
  <c r="AQ222" i="1"/>
  <c r="AP222" i="1"/>
  <c r="AN222" i="1"/>
  <c r="AL222" i="1"/>
  <c r="AG222" i="1"/>
  <c r="AF222" i="1"/>
  <c r="AD222" i="1"/>
  <c r="AB222" i="1"/>
  <c r="Y222" i="1"/>
  <c r="X222" i="1"/>
  <c r="V222" i="1"/>
  <c r="T222" i="1"/>
  <c r="AY223" i="1"/>
  <c r="AX223" i="1"/>
  <c r="AV223" i="1"/>
  <c r="AT223" i="1"/>
  <c r="AQ223" i="1"/>
  <c r="AP223" i="1"/>
  <c r="AN223" i="1"/>
  <c r="AL223" i="1"/>
  <c r="AG223" i="1"/>
  <c r="AF223" i="1"/>
  <c r="AD223" i="1"/>
  <c r="AB223" i="1"/>
  <c r="Y223" i="1"/>
  <c r="X223" i="1"/>
  <c r="V223" i="1"/>
  <c r="T223" i="1"/>
  <c r="AY221" i="1"/>
  <c r="AX221" i="1"/>
  <c r="AV221" i="1"/>
  <c r="AT221" i="1"/>
  <c r="AQ221" i="1"/>
  <c r="AP221" i="1"/>
  <c r="AN221" i="1"/>
  <c r="AL221" i="1"/>
  <c r="AG221" i="1"/>
  <c r="AF221" i="1"/>
  <c r="AD221" i="1"/>
  <c r="AB221" i="1"/>
  <c r="Y221" i="1"/>
  <c r="X221" i="1"/>
  <c r="V221" i="1"/>
  <c r="T221" i="1"/>
  <c r="AY220" i="1"/>
  <c r="AX220" i="1"/>
  <c r="AV220" i="1"/>
  <c r="AT220" i="1"/>
  <c r="AQ220" i="1"/>
  <c r="AP220" i="1"/>
  <c r="AN220" i="1"/>
  <c r="AL220" i="1"/>
  <c r="AG220" i="1"/>
  <c r="AF220" i="1"/>
  <c r="AD220" i="1"/>
  <c r="AB220" i="1"/>
  <c r="Y220" i="1"/>
  <c r="X220" i="1"/>
  <c r="V220" i="1"/>
  <c r="T220" i="1"/>
  <c r="AY219" i="1"/>
  <c r="AX219" i="1"/>
  <c r="AV219" i="1"/>
  <c r="AT219" i="1"/>
  <c r="AQ219" i="1"/>
  <c r="AP219" i="1"/>
  <c r="AN219" i="1"/>
  <c r="AL219" i="1"/>
  <c r="AG219" i="1"/>
  <c r="AF219" i="1"/>
  <c r="AD219" i="1"/>
  <c r="AB219" i="1"/>
  <c r="Y219" i="1"/>
  <c r="X219" i="1"/>
  <c r="V219" i="1"/>
  <c r="T219" i="1"/>
  <c r="AY218" i="1"/>
  <c r="AX218" i="1"/>
  <c r="AV218" i="1"/>
  <c r="AT218" i="1"/>
  <c r="AQ218" i="1"/>
  <c r="AP218" i="1"/>
  <c r="AN218" i="1"/>
  <c r="AL218" i="1"/>
  <c r="AG218" i="1"/>
  <c r="AF218" i="1"/>
  <c r="AD218" i="1"/>
  <c r="AB218" i="1"/>
  <c r="Y218" i="1"/>
  <c r="X218" i="1"/>
  <c r="V218" i="1"/>
  <c r="T218" i="1"/>
  <c r="AY217" i="1"/>
  <c r="AX217" i="1"/>
  <c r="AV217" i="1"/>
  <c r="AT217" i="1"/>
  <c r="AQ217" i="1"/>
  <c r="AP217" i="1"/>
  <c r="AN217" i="1"/>
  <c r="AL217" i="1"/>
  <c r="AG217" i="1"/>
  <c r="AF217" i="1"/>
  <c r="AD217" i="1"/>
  <c r="AB217" i="1"/>
  <c r="Y217" i="1"/>
  <c r="X217" i="1"/>
  <c r="V217" i="1"/>
  <c r="T217" i="1"/>
  <c r="AY216" i="1"/>
  <c r="AX216" i="1"/>
  <c r="AV216" i="1"/>
  <c r="AT216" i="1"/>
  <c r="AQ216" i="1"/>
  <c r="AP216" i="1"/>
  <c r="AN216" i="1"/>
  <c r="AL216" i="1"/>
  <c r="AG216" i="1"/>
  <c r="AF216" i="1"/>
  <c r="AD216" i="1"/>
  <c r="AB216" i="1"/>
  <c r="Y216" i="1"/>
  <c r="X216" i="1"/>
  <c r="V216" i="1"/>
  <c r="T216" i="1"/>
  <c r="AY212" i="1"/>
  <c r="AX212" i="1"/>
  <c r="AV212" i="1"/>
  <c r="AT212" i="1"/>
  <c r="AQ212" i="1"/>
  <c r="AP212" i="1"/>
  <c r="AN212" i="1"/>
  <c r="AL212" i="1"/>
  <c r="AG212" i="1"/>
  <c r="AF212" i="1"/>
  <c r="AD212" i="1"/>
  <c r="AB212" i="1"/>
  <c r="Y212" i="1"/>
  <c r="X212" i="1"/>
  <c r="V212" i="1"/>
  <c r="T212" i="1"/>
  <c r="AY213" i="1"/>
  <c r="AX213" i="1"/>
  <c r="AV213" i="1"/>
  <c r="AT213" i="1"/>
  <c r="AQ213" i="1"/>
  <c r="AP213" i="1"/>
  <c r="AN213" i="1"/>
  <c r="AL213" i="1"/>
  <c r="AG213" i="1"/>
  <c r="AF213" i="1"/>
  <c r="AD213" i="1"/>
  <c r="AB213" i="1"/>
  <c r="Y213" i="1"/>
  <c r="X213" i="1"/>
  <c r="V213" i="1"/>
  <c r="T213" i="1"/>
  <c r="AY202" i="1"/>
  <c r="AX202" i="1"/>
  <c r="AV202" i="1"/>
  <c r="AT202" i="1"/>
  <c r="AQ202" i="1"/>
  <c r="AP202" i="1"/>
  <c r="AN202" i="1"/>
  <c r="AL202" i="1"/>
  <c r="AG202" i="1"/>
  <c r="AF202" i="1"/>
  <c r="AD202" i="1"/>
  <c r="AB202" i="1"/>
  <c r="Y202" i="1"/>
  <c r="X202" i="1"/>
  <c r="V202" i="1"/>
  <c r="T202" i="1"/>
  <c r="AY210" i="1"/>
  <c r="AX210" i="1"/>
  <c r="AV210" i="1"/>
  <c r="AT210" i="1"/>
  <c r="AQ210" i="1"/>
  <c r="AP210" i="1"/>
  <c r="AN210" i="1"/>
  <c r="AL210" i="1"/>
  <c r="AG210" i="1"/>
  <c r="AF210" i="1"/>
  <c r="AD210" i="1"/>
  <c r="AB210" i="1"/>
  <c r="Y210" i="1"/>
  <c r="X210" i="1"/>
  <c r="V210" i="1"/>
  <c r="T210" i="1"/>
  <c r="AY209" i="1"/>
  <c r="AX209" i="1"/>
  <c r="AV209" i="1"/>
  <c r="AT209" i="1"/>
  <c r="AQ209" i="1"/>
  <c r="AP209" i="1"/>
  <c r="AN209" i="1"/>
  <c r="AL209" i="1"/>
  <c r="AG209" i="1"/>
  <c r="AF209" i="1"/>
  <c r="AD209" i="1"/>
  <c r="AB209" i="1"/>
  <c r="Y209" i="1"/>
  <c r="X209" i="1"/>
  <c r="V209" i="1"/>
  <c r="T209" i="1"/>
  <c r="AY208" i="1"/>
  <c r="AX208" i="1"/>
  <c r="AV208" i="1"/>
  <c r="AT208" i="1"/>
  <c r="AQ208" i="1"/>
  <c r="AP208" i="1"/>
  <c r="AN208" i="1"/>
  <c r="AL208" i="1"/>
  <c r="AG208" i="1"/>
  <c r="AF208" i="1"/>
  <c r="AD208" i="1"/>
  <c r="AB208" i="1"/>
  <c r="Y208" i="1"/>
  <c r="X208" i="1"/>
  <c r="V208" i="1"/>
  <c r="T208" i="1"/>
  <c r="AY207" i="1"/>
  <c r="AX207" i="1"/>
  <c r="AV207" i="1"/>
  <c r="AT207" i="1"/>
  <c r="AQ207" i="1"/>
  <c r="AP207" i="1"/>
  <c r="AN207" i="1"/>
  <c r="AL207" i="1"/>
  <c r="AG207" i="1"/>
  <c r="AF207" i="1"/>
  <c r="AD207" i="1"/>
  <c r="AB207" i="1"/>
  <c r="Y207" i="1"/>
  <c r="X207" i="1"/>
  <c r="V207" i="1"/>
  <c r="T207" i="1"/>
  <c r="AY203" i="1"/>
  <c r="AX203" i="1"/>
  <c r="AV203" i="1"/>
  <c r="AT203" i="1"/>
  <c r="AQ203" i="1"/>
  <c r="AP203" i="1"/>
  <c r="AN203" i="1"/>
  <c r="AL203" i="1"/>
  <c r="AG203" i="1"/>
  <c r="AF203" i="1"/>
  <c r="AD203" i="1"/>
  <c r="AB203" i="1"/>
  <c r="Y203" i="1"/>
  <c r="X203" i="1"/>
  <c r="V203" i="1"/>
  <c r="T203" i="1"/>
  <c r="AY204" i="1"/>
  <c r="AX204" i="1"/>
  <c r="AV204" i="1"/>
  <c r="AT204" i="1"/>
  <c r="AQ204" i="1"/>
  <c r="AP204" i="1"/>
  <c r="AN204" i="1"/>
  <c r="AL204" i="1"/>
  <c r="AG204" i="1"/>
  <c r="AF204" i="1"/>
  <c r="AD204" i="1"/>
  <c r="AB204" i="1"/>
  <c r="Y204" i="1"/>
  <c r="X204" i="1"/>
  <c r="V204" i="1"/>
  <c r="T204" i="1"/>
  <c r="AY205" i="1"/>
  <c r="AX205" i="1"/>
  <c r="AV205" i="1"/>
  <c r="AT205" i="1"/>
  <c r="AQ205" i="1"/>
  <c r="AP205" i="1"/>
  <c r="AN205" i="1"/>
  <c r="AL205" i="1"/>
  <c r="AG205" i="1"/>
  <c r="AF205" i="1"/>
  <c r="AD205" i="1"/>
  <c r="AB205" i="1"/>
  <c r="Y205" i="1"/>
  <c r="X205" i="1"/>
  <c r="V205" i="1"/>
  <c r="T205" i="1"/>
  <c r="BA425" i="1" l="1"/>
  <c r="AI219" i="1"/>
  <c r="BA222" i="1"/>
  <c r="AI226" i="1"/>
  <c r="BA209" i="1"/>
  <c r="AI242" i="1"/>
  <c r="BA213" i="1"/>
  <c r="AI208" i="1"/>
  <c r="AI202" i="1"/>
  <c r="AI223" i="1"/>
  <c r="BA235" i="1"/>
  <c r="BA217" i="1"/>
  <c r="AI237" i="1"/>
  <c r="AI229" i="1"/>
  <c r="AI216" i="1"/>
  <c r="AI204" i="1"/>
  <c r="BA205" i="1"/>
  <c r="BA207" i="1"/>
  <c r="AI209" i="1"/>
  <c r="AI213" i="1"/>
  <c r="BA212" i="1"/>
  <c r="AI217" i="1"/>
  <c r="BA218" i="1"/>
  <c r="AI220" i="1"/>
  <c r="AI222" i="1"/>
  <c r="BA228" i="1"/>
  <c r="AI230" i="1"/>
  <c r="Q230" i="1" s="1"/>
  <c r="BA233" i="1"/>
  <c r="AI235" i="1"/>
  <c r="BA236" i="1"/>
  <c r="BA239" i="1"/>
  <c r="AI425" i="1"/>
  <c r="BA465" i="1"/>
  <c r="AI205" i="1"/>
  <c r="BA220" i="1"/>
  <c r="BA221" i="1"/>
  <c r="BA204" i="1"/>
  <c r="AI207" i="1"/>
  <c r="BA208" i="1"/>
  <c r="AI210" i="1"/>
  <c r="BA202" i="1"/>
  <c r="AI212" i="1"/>
  <c r="BA216" i="1"/>
  <c r="AI218" i="1"/>
  <c r="BA219" i="1"/>
  <c r="AI221" i="1"/>
  <c r="BA223" i="1"/>
  <c r="BA226" i="1"/>
  <c r="AI228" i="1"/>
  <c r="BA229" i="1"/>
  <c r="AI233" i="1"/>
  <c r="BA232" i="1"/>
  <c r="Q232" i="1" s="1"/>
  <c r="AI236" i="1"/>
  <c r="BA237" i="1"/>
  <c r="AI239" i="1"/>
  <c r="BA242" i="1"/>
  <c r="AI465" i="1"/>
  <c r="BA210" i="1"/>
  <c r="Z465" i="1"/>
  <c r="AH465" i="1"/>
  <c r="AR465" i="1"/>
  <c r="AZ465" i="1"/>
  <c r="AH236" i="1"/>
  <c r="AR236" i="1"/>
  <c r="Z425" i="1"/>
  <c r="AH425" i="1"/>
  <c r="AR425" i="1"/>
  <c r="AZ425" i="1"/>
  <c r="AH242" i="1"/>
  <c r="AR242" i="1"/>
  <c r="AZ242" i="1"/>
  <c r="AI238" i="1"/>
  <c r="Q238" i="1" s="1"/>
  <c r="AZ236" i="1"/>
  <c r="AH238" i="1"/>
  <c r="AR238" i="1"/>
  <c r="AZ238" i="1"/>
  <c r="AH239" i="1"/>
  <c r="AR239" i="1"/>
  <c r="AZ239" i="1"/>
  <c r="Z236" i="1"/>
  <c r="Z242" i="1"/>
  <c r="AJ242" i="1" s="1"/>
  <c r="Z238" i="1"/>
  <c r="Z239" i="1"/>
  <c r="Z237" i="1"/>
  <c r="AH237" i="1"/>
  <c r="AR237" i="1"/>
  <c r="AZ237" i="1"/>
  <c r="Z229" i="1"/>
  <c r="AH229" i="1"/>
  <c r="Z232" i="1"/>
  <c r="AH232" i="1"/>
  <c r="AR232" i="1"/>
  <c r="Z235" i="1"/>
  <c r="AH235" i="1"/>
  <c r="AR235" i="1"/>
  <c r="AZ235" i="1"/>
  <c r="AZ232" i="1"/>
  <c r="AR229" i="1"/>
  <c r="AZ229" i="1"/>
  <c r="Z233" i="1"/>
  <c r="AH233" i="1"/>
  <c r="AR233" i="1"/>
  <c r="AZ233" i="1"/>
  <c r="AI203" i="1"/>
  <c r="Z226" i="1"/>
  <c r="AH226" i="1"/>
  <c r="Z230" i="1"/>
  <c r="AH230" i="1"/>
  <c r="AR230" i="1"/>
  <c r="AZ230" i="1"/>
  <c r="AR226" i="1"/>
  <c r="AZ226" i="1"/>
  <c r="Z228" i="1"/>
  <c r="AH228" i="1"/>
  <c r="AR228" i="1"/>
  <c r="AZ228" i="1"/>
  <c r="AI227" i="1"/>
  <c r="BA227" i="1"/>
  <c r="AI225" i="1"/>
  <c r="BA225" i="1"/>
  <c r="Z227" i="1"/>
  <c r="AH227" i="1"/>
  <c r="AR227" i="1"/>
  <c r="AZ227" i="1"/>
  <c r="AH220" i="1"/>
  <c r="Z222" i="1"/>
  <c r="AH222" i="1"/>
  <c r="AR222" i="1"/>
  <c r="Z225" i="1"/>
  <c r="AH225" i="1"/>
  <c r="AR225" i="1"/>
  <c r="AZ225" i="1"/>
  <c r="AZ222" i="1"/>
  <c r="Z223" i="1"/>
  <c r="AH223" i="1"/>
  <c r="AR223" i="1"/>
  <c r="AZ223" i="1"/>
  <c r="BA203" i="1"/>
  <c r="AR220" i="1"/>
  <c r="AZ220" i="1"/>
  <c r="Z217" i="1"/>
  <c r="AH217" i="1"/>
  <c r="Z221" i="1"/>
  <c r="AH221" i="1"/>
  <c r="AR221" i="1"/>
  <c r="AZ221" i="1"/>
  <c r="AR217" i="1"/>
  <c r="AZ217" i="1"/>
  <c r="Z219" i="1"/>
  <c r="AH219" i="1"/>
  <c r="AR219" i="1"/>
  <c r="AZ219" i="1"/>
  <c r="Z220" i="1"/>
  <c r="Z218" i="1"/>
  <c r="AH218" i="1"/>
  <c r="AR218" i="1"/>
  <c r="AZ218" i="1"/>
  <c r="Z216" i="1"/>
  <c r="AH216" i="1"/>
  <c r="AR216" i="1"/>
  <c r="AZ216" i="1"/>
  <c r="Z212" i="1"/>
  <c r="AH212" i="1"/>
  <c r="AR212" i="1"/>
  <c r="AZ212" i="1"/>
  <c r="Z203" i="1"/>
  <c r="AH203" i="1"/>
  <c r="AR203" i="1"/>
  <c r="AZ203" i="1"/>
  <c r="Z207" i="1"/>
  <c r="Z209" i="1"/>
  <c r="AH209" i="1"/>
  <c r="Z213" i="1"/>
  <c r="AH213" i="1"/>
  <c r="AR213" i="1"/>
  <c r="AZ213" i="1"/>
  <c r="AR209" i="1"/>
  <c r="AZ209" i="1"/>
  <c r="Z202" i="1"/>
  <c r="AH202" i="1"/>
  <c r="AR202" i="1"/>
  <c r="AZ202" i="1"/>
  <c r="AH207" i="1"/>
  <c r="AR207" i="1"/>
  <c r="AZ207" i="1"/>
  <c r="Z210" i="1"/>
  <c r="AH210" i="1"/>
  <c r="AR210" i="1"/>
  <c r="AZ210" i="1"/>
  <c r="Z208" i="1"/>
  <c r="AH208" i="1"/>
  <c r="AR208" i="1"/>
  <c r="AZ208" i="1"/>
  <c r="Z204" i="1"/>
  <c r="AH204" i="1"/>
  <c r="AR204" i="1"/>
  <c r="AZ204" i="1"/>
  <c r="Z205" i="1"/>
  <c r="AH205" i="1"/>
  <c r="AR205" i="1"/>
  <c r="AZ205" i="1"/>
  <c r="Q425" i="1" l="1"/>
  <c r="Q226" i="1"/>
  <c r="Q219" i="1"/>
  <c r="Q222" i="1"/>
  <c r="Q209" i="1"/>
  <c r="Q242" i="1"/>
  <c r="Q208" i="1"/>
  <c r="Q202" i="1"/>
  <c r="Q213" i="1"/>
  <c r="Q235" i="1"/>
  <c r="Q223" i="1"/>
  <c r="Q237" i="1"/>
  <c r="Q216" i="1"/>
  <c r="Q217" i="1"/>
  <c r="Q220" i="1"/>
  <c r="Q204" i="1"/>
  <c r="Q229" i="1"/>
  <c r="Q212" i="1"/>
  <c r="Q233" i="1"/>
  <c r="Q218" i="1"/>
  <c r="Q205" i="1"/>
  <c r="Q239" i="1"/>
  <c r="Q207" i="1"/>
  <c r="Q236" i="1"/>
  <c r="Q228" i="1"/>
  <c r="Q221" i="1"/>
  <c r="Q465" i="1"/>
  <c r="BB465" i="1"/>
  <c r="AJ238" i="1"/>
  <c r="Q210" i="1"/>
  <c r="AJ465" i="1"/>
  <c r="BB232" i="1"/>
  <c r="AJ236" i="1"/>
  <c r="BB228" i="1"/>
  <c r="BB239" i="1"/>
  <c r="BB425" i="1"/>
  <c r="BB236" i="1"/>
  <c r="AJ425" i="1"/>
  <c r="BB242" i="1"/>
  <c r="R242" i="1" s="1"/>
  <c r="AJ239" i="1"/>
  <c r="BB235" i="1"/>
  <c r="BB238" i="1"/>
  <c r="AJ232" i="1"/>
  <c r="BB237" i="1"/>
  <c r="AJ235" i="1"/>
  <c r="AJ229" i="1"/>
  <c r="AJ237" i="1"/>
  <c r="AJ228" i="1"/>
  <c r="BB230" i="1"/>
  <c r="BB222" i="1"/>
  <c r="AJ226" i="1"/>
  <c r="AJ233" i="1"/>
  <c r="Q203" i="1"/>
  <c r="BB233" i="1"/>
  <c r="BB229" i="1"/>
  <c r="AJ222" i="1"/>
  <c r="BB226" i="1"/>
  <c r="AJ230" i="1"/>
  <c r="AJ225" i="1"/>
  <c r="AJ227" i="1"/>
  <c r="Q227" i="1"/>
  <c r="AJ220" i="1"/>
  <c r="BB225" i="1"/>
  <c r="BB227" i="1"/>
  <c r="Q225" i="1"/>
  <c r="AJ223" i="1"/>
  <c r="AJ207" i="1"/>
  <c r="BB223" i="1"/>
  <c r="BB219" i="1"/>
  <c r="BB217" i="1"/>
  <c r="AJ221" i="1"/>
  <c r="BB220" i="1"/>
  <c r="AJ213" i="1"/>
  <c r="AJ219" i="1"/>
  <c r="BB221" i="1"/>
  <c r="AJ217" i="1"/>
  <c r="BB216" i="1"/>
  <c r="BB218" i="1"/>
  <c r="AJ216" i="1"/>
  <c r="AJ218" i="1"/>
  <c r="BB212" i="1"/>
  <c r="AJ208" i="1"/>
  <c r="AJ210" i="1"/>
  <c r="AJ203" i="1"/>
  <c r="AJ212" i="1"/>
  <c r="BB203" i="1"/>
  <c r="BB213" i="1"/>
  <c r="AJ209" i="1"/>
  <c r="BB202" i="1"/>
  <c r="BB209" i="1"/>
  <c r="AJ202" i="1"/>
  <c r="BB210" i="1"/>
  <c r="BB207" i="1"/>
  <c r="BB208" i="1"/>
  <c r="AJ205" i="1"/>
  <c r="AJ204" i="1"/>
  <c r="BB204" i="1"/>
  <c r="BB205" i="1"/>
  <c r="R238" i="1" l="1"/>
  <c r="R465" i="1"/>
  <c r="R212" i="1"/>
  <c r="R236" i="1"/>
  <c r="R208" i="1"/>
  <c r="R239" i="1"/>
  <c r="R235" i="1"/>
  <c r="R228" i="1"/>
  <c r="R232" i="1"/>
  <c r="R425" i="1"/>
  <c r="R229" i="1"/>
  <c r="R230" i="1"/>
  <c r="R237" i="1"/>
  <c r="R226" i="1"/>
  <c r="R222" i="1"/>
  <c r="R207" i="1"/>
  <c r="R233" i="1"/>
  <c r="R220" i="1"/>
  <c r="R227" i="1"/>
  <c r="R225" i="1"/>
  <c r="R202" i="1"/>
  <c r="R213" i="1"/>
  <c r="R216" i="1"/>
  <c r="R219" i="1"/>
  <c r="R223" i="1"/>
  <c r="R221" i="1"/>
  <c r="R203" i="1"/>
  <c r="R218" i="1"/>
  <c r="R217" i="1"/>
  <c r="R210" i="1"/>
  <c r="R209" i="1"/>
  <c r="R204" i="1"/>
  <c r="R205" i="1"/>
  <c r="AG1081" i="1" l="1"/>
  <c r="AG1071" i="1"/>
  <c r="Y1104" i="1"/>
  <c r="S869" i="1"/>
  <c r="AY87" i="1"/>
  <c r="AX87" i="1"/>
  <c r="AV87" i="1"/>
  <c r="AT87" i="1"/>
  <c r="AQ87" i="1"/>
  <c r="AP87" i="1"/>
  <c r="AN87" i="1"/>
  <c r="AL87" i="1"/>
  <c r="AG87" i="1"/>
  <c r="AF87" i="1"/>
  <c r="AD87" i="1"/>
  <c r="AB87" i="1"/>
  <c r="Y87" i="1"/>
  <c r="X87" i="1"/>
  <c r="V87" i="1"/>
  <c r="T87" i="1"/>
  <c r="BA87" i="1" l="1"/>
  <c r="AI87" i="1"/>
  <c r="Z87" i="1"/>
  <c r="AH87" i="1"/>
  <c r="AR87" i="1"/>
  <c r="AZ87" i="1"/>
  <c r="Q87" i="1" l="1"/>
  <c r="AJ87" i="1"/>
  <c r="BB87" i="1"/>
  <c r="AY912" i="1"/>
  <c r="AX912" i="1"/>
  <c r="AV912" i="1"/>
  <c r="AT912" i="1"/>
  <c r="AQ912" i="1"/>
  <c r="AP912" i="1"/>
  <c r="AN912" i="1"/>
  <c r="AL912" i="1"/>
  <c r="AG912" i="1"/>
  <c r="AF912" i="1"/>
  <c r="AD912" i="1"/>
  <c r="AB912" i="1"/>
  <c r="Y912" i="1"/>
  <c r="X912" i="1"/>
  <c r="V912" i="1"/>
  <c r="T912" i="1"/>
  <c r="AY911" i="1"/>
  <c r="AX911" i="1"/>
  <c r="AV911" i="1"/>
  <c r="AT911" i="1"/>
  <c r="AQ911" i="1"/>
  <c r="AP911" i="1"/>
  <c r="AN911" i="1"/>
  <c r="AL911" i="1"/>
  <c r="AG911" i="1"/>
  <c r="AF911" i="1"/>
  <c r="AD911" i="1"/>
  <c r="AB911" i="1"/>
  <c r="Y911" i="1"/>
  <c r="X911" i="1"/>
  <c r="V911" i="1"/>
  <c r="T911" i="1"/>
  <c r="AY940" i="1"/>
  <c r="AX940" i="1"/>
  <c r="AV940" i="1"/>
  <c r="AT940" i="1"/>
  <c r="AQ940" i="1"/>
  <c r="AP940" i="1"/>
  <c r="AN940" i="1"/>
  <c r="AL940" i="1"/>
  <c r="AG940" i="1"/>
  <c r="AF940" i="1"/>
  <c r="AD940" i="1"/>
  <c r="AB940" i="1"/>
  <c r="Y940" i="1"/>
  <c r="X940" i="1"/>
  <c r="V940" i="1"/>
  <c r="T940" i="1"/>
  <c r="AQ939" i="1"/>
  <c r="AI940" i="1" l="1"/>
  <c r="AI911" i="1"/>
  <c r="BA940" i="1"/>
  <c r="AI912" i="1"/>
  <c r="BA912" i="1"/>
  <c r="BA911" i="1"/>
  <c r="R87" i="1"/>
  <c r="AZ912" i="1"/>
  <c r="Z912" i="1"/>
  <c r="AH912" i="1"/>
  <c r="AR912" i="1"/>
  <c r="Z911" i="1"/>
  <c r="AH911" i="1"/>
  <c r="AR911" i="1"/>
  <c r="AZ911" i="1"/>
  <c r="Z940" i="1"/>
  <c r="AH940" i="1"/>
  <c r="AZ940" i="1"/>
  <c r="AR940" i="1"/>
  <c r="Q940" i="1" l="1"/>
  <c r="Q911" i="1"/>
  <c r="Q912" i="1"/>
  <c r="BB912" i="1"/>
  <c r="AJ912" i="1"/>
  <c r="BB911" i="1"/>
  <c r="AJ911" i="1"/>
  <c r="AJ940" i="1"/>
  <c r="BB940" i="1"/>
  <c r="AY407" i="1"/>
  <c r="AX407" i="1"/>
  <c r="AV407" i="1"/>
  <c r="AT407" i="1"/>
  <c r="AQ407" i="1"/>
  <c r="AP407" i="1"/>
  <c r="AN407" i="1"/>
  <c r="AL407" i="1"/>
  <c r="AG407" i="1"/>
  <c r="AF407" i="1"/>
  <c r="AD407" i="1"/>
  <c r="AB407" i="1"/>
  <c r="Y407" i="1"/>
  <c r="X407" i="1"/>
  <c r="V407" i="1"/>
  <c r="T407" i="1"/>
  <c r="AY856" i="1"/>
  <c r="AX856" i="1"/>
  <c r="AV856" i="1"/>
  <c r="AT856" i="1"/>
  <c r="AQ856" i="1"/>
  <c r="AP856" i="1"/>
  <c r="AN856" i="1"/>
  <c r="AL856" i="1"/>
  <c r="AG856" i="1"/>
  <c r="AF856" i="1"/>
  <c r="AD856" i="1"/>
  <c r="AB856" i="1"/>
  <c r="Y856" i="1"/>
  <c r="X856" i="1"/>
  <c r="V856" i="1"/>
  <c r="T856" i="1"/>
  <c r="R912" i="1" l="1"/>
  <c r="BA856" i="1"/>
  <c r="R911" i="1"/>
  <c r="R940" i="1"/>
  <c r="Z856" i="1"/>
  <c r="AH856" i="1"/>
  <c r="AR856" i="1"/>
  <c r="AI407" i="1"/>
  <c r="BA407" i="1"/>
  <c r="AZ407" i="1"/>
  <c r="Z407" i="1"/>
  <c r="AH407" i="1"/>
  <c r="AR407" i="1"/>
  <c r="AI856" i="1"/>
  <c r="AZ856" i="1"/>
  <c r="AY404" i="1"/>
  <c r="AX404" i="1"/>
  <c r="AV404" i="1"/>
  <c r="AT404" i="1"/>
  <c r="AQ404" i="1"/>
  <c r="AP404" i="1"/>
  <c r="AN404" i="1"/>
  <c r="AL404" i="1"/>
  <c r="AG404" i="1"/>
  <c r="AF404" i="1"/>
  <c r="AD404" i="1"/>
  <c r="AB404" i="1"/>
  <c r="Y404" i="1"/>
  <c r="X404" i="1"/>
  <c r="V404" i="1"/>
  <c r="T404" i="1"/>
  <c r="AY402" i="1"/>
  <c r="AX402" i="1"/>
  <c r="AV402" i="1"/>
  <c r="AT402" i="1"/>
  <c r="AQ402" i="1"/>
  <c r="AP402" i="1"/>
  <c r="AN402" i="1"/>
  <c r="AL402" i="1"/>
  <c r="AG402" i="1"/>
  <c r="AF402" i="1"/>
  <c r="AD402" i="1"/>
  <c r="AB402" i="1"/>
  <c r="Y402" i="1"/>
  <c r="X402" i="1"/>
  <c r="V402" i="1"/>
  <c r="T402" i="1"/>
  <c r="AY798" i="1"/>
  <c r="AY720" i="1"/>
  <c r="AX720" i="1"/>
  <c r="AV720" i="1"/>
  <c r="AT720" i="1"/>
  <c r="AQ720" i="1"/>
  <c r="AP720" i="1"/>
  <c r="AN720" i="1"/>
  <c r="AL720" i="1"/>
  <c r="AG720" i="1"/>
  <c r="AF720" i="1"/>
  <c r="AD720" i="1"/>
  <c r="AB720" i="1"/>
  <c r="Y720" i="1"/>
  <c r="X720" i="1"/>
  <c r="V720" i="1"/>
  <c r="T720" i="1"/>
  <c r="BA404" i="1" l="1"/>
  <c r="Q856" i="1"/>
  <c r="BA720" i="1"/>
  <c r="AI720" i="1"/>
  <c r="AI402" i="1"/>
  <c r="AI404" i="1"/>
  <c r="Q407" i="1"/>
  <c r="BB856" i="1"/>
  <c r="AJ407" i="1"/>
  <c r="AJ856" i="1"/>
  <c r="BB407" i="1"/>
  <c r="Z404" i="1"/>
  <c r="AH404" i="1"/>
  <c r="AR404" i="1"/>
  <c r="AZ404" i="1"/>
  <c r="BA402" i="1"/>
  <c r="AZ402" i="1"/>
  <c r="Z402" i="1"/>
  <c r="AH402" i="1"/>
  <c r="AR402" i="1"/>
  <c r="Z720" i="1"/>
  <c r="AH720" i="1"/>
  <c r="AR720" i="1"/>
  <c r="AZ720" i="1"/>
  <c r="Q404" i="1" l="1"/>
  <c r="Q720" i="1"/>
  <c r="Q402" i="1"/>
  <c r="R856" i="1"/>
  <c r="R407" i="1"/>
  <c r="BB404" i="1"/>
  <c r="AJ404" i="1"/>
  <c r="BB402" i="1"/>
  <c r="AJ402" i="1"/>
  <c r="BB720" i="1"/>
  <c r="AJ720" i="1"/>
  <c r="R720" i="1" l="1"/>
  <c r="R404" i="1"/>
  <c r="R402" i="1"/>
  <c r="H1" i="4" l="1"/>
  <c r="AY68" i="1" l="1"/>
  <c r="AX68" i="1"/>
  <c r="AV68" i="1"/>
  <c r="AT68" i="1"/>
  <c r="AQ68" i="1"/>
  <c r="AP68" i="1"/>
  <c r="AN68" i="1"/>
  <c r="AL68" i="1"/>
  <c r="AG68" i="1"/>
  <c r="AF68" i="1"/>
  <c r="AD68" i="1"/>
  <c r="AB68" i="1"/>
  <c r="Y68" i="1"/>
  <c r="X68" i="1"/>
  <c r="V68" i="1"/>
  <c r="T68" i="1"/>
  <c r="AH68" i="1" l="1"/>
  <c r="AR68" i="1"/>
  <c r="AZ68" i="1"/>
  <c r="Z68" i="1"/>
  <c r="BA68" i="1"/>
  <c r="AI68" i="1"/>
  <c r="AJ68" i="1" l="1"/>
  <c r="BB68" i="1"/>
  <c r="Q68" i="1"/>
  <c r="R68" i="1" l="1"/>
  <c r="AY1331" i="1"/>
  <c r="AX1331" i="1"/>
  <c r="AV1331" i="1"/>
  <c r="AT1331" i="1"/>
  <c r="AQ1331" i="1"/>
  <c r="AP1331" i="1"/>
  <c r="AN1331" i="1"/>
  <c r="AL1331" i="1"/>
  <c r="AG1331" i="1"/>
  <c r="AF1331" i="1"/>
  <c r="AD1331" i="1"/>
  <c r="AB1331" i="1"/>
  <c r="Y1331" i="1"/>
  <c r="X1331" i="1"/>
  <c r="V1331" i="1"/>
  <c r="T1331" i="1"/>
  <c r="S930" i="1"/>
  <c r="AW930" i="1"/>
  <c r="AU930" i="1"/>
  <c r="AS930" i="1"/>
  <c r="AO930" i="1"/>
  <c r="AM930" i="1"/>
  <c r="AK930" i="1"/>
  <c r="AE930" i="1"/>
  <c r="AC930" i="1"/>
  <c r="AA930" i="1"/>
  <c r="W930" i="1"/>
  <c r="U930" i="1"/>
  <c r="AY929" i="1"/>
  <c r="AX929" i="1"/>
  <c r="AV929" i="1"/>
  <c r="AT929" i="1"/>
  <c r="AQ929" i="1"/>
  <c r="AP929" i="1"/>
  <c r="AN929" i="1"/>
  <c r="AL929" i="1"/>
  <c r="AG929" i="1"/>
  <c r="AF929" i="1"/>
  <c r="AD929" i="1"/>
  <c r="AB929" i="1"/>
  <c r="Y929" i="1"/>
  <c r="X929" i="1"/>
  <c r="V929" i="1"/>
  <c r="T929" i="1"/>
  <c r="AY922" i="1"/>
  <c r="AX922" i="1"/>
  <c r="AV922" i="1"/>
  <c r="AT922" i="1"/>
  <c r="AQ922" i="1"/>
  <c r="AP922" i="1"/>
  <c r="AN922" i="1"/>
  <c r="AL922" i="1"/>
  <c r="AG922" i="1"/>
  <c r="AF922" i="1"/>
  <c r="AD922" i="1"/>
  <c r="AB922" i="1"/>
  <c r="Y922" i="1"/>
  <c r="X922" i="1"/>
  <c r="V922" i="1"/>
  <c r="T922" i="1"/>
  <c r="AY897" i="1"/>
  <c r="AX897" i="1"/>
  <c r="AV897" i="1"/>
  <c r="AT897" i="1"/>
  <c r="AQ897" i="1"/>
  <c r="AP897" i="1"/>
  <c r="AN897" i="1"/>
  <c r="AL897" i="1"/>
  <c r="AG897" i="1"/>
  <c r="AF897" i="1"/>
  <c r="AD897" i="1"/>
  <c r="AB897" i="1"/>
  <c r="Y897" i="1"/>
  <c r="X897" i="1"/>
  <c r="V897" i="1"/>
  <c r="T897" i="1"/>
  <c r="AY896" i="1"/>
  <c r="AX896" i="1"/>
  <c r="AV896" i="1"/>
  <c r="AT896" i="1"/>
  <c r="AQ896" i="1"/>
  <c r="AP896" i="1"/>
  <c r="AN896" i="1"/>
  <c r="AL896" i="1"/>
  <c r="AG896" i="1"/>
  <c r="AF896" i="1"/>
  <c r="AD896" i="1"/>
  <c r="AB896" i="1"/>
  <c r="Y896" i="1"/>
  <c r="X896" i="1"/>
  <c r="V896" i="1"/>
  <c r="T896" i="1"/>
  <c r="AG930" i="1" l="1"/>
  <c r="AI929" i="1"/>
  <c r="AI1331" i="1"/>
  <c r="Y930" i="1"/>
  <c r="BA929" i="1"/>
  <c r="BA897" i="1"/>
  <c r="Z922" i="1"/>
  <c r="AR922" i="1"/>
  <c r="Z1331" i="1"/>
  <c r="AZ922" i="1"/>
  <c r="AH1331" i="1"/>
  <c r="AH922" i="1"/>
  <c r="BA1331" i="1"/>
  <c r="AZ1331" i="1"/>
  <c r="AQ930" i="1"/>
  <c r="AR1331" i="1"/>
  <c r="Z896" i="1"/>
  <c r="AH896" i="1"/>
  <c r="AR896" i="1"/>
  <c r="AZ896" i="1"/>
  <c r="Z897" i="1"/>
  <c r="AH897" i="1"/>
  <c r="AR897" i="1"/>
  <c r="AZ897" i="1"/>
  <c r="AI922" i="1"/>
  <c r="AB930" i="1"/>
  <c r="AL930" i="1"/>
  <c r="V930" i="1"/>
  <c r="AD930" i="1"/>
  <c r="AN930" i="1"/>
  <c r="AV930" i="1"/>
  <c r="Z929" i="1"/>
  <c r="AH929" i="1"/>
  <c r="AT930" i="1"/>
  <c r="X930" i="1"/>
  <c r="AF930" i="1"/>
  <c r="AP930" i="1"/>
  <c r="AX930" i="1"/>
  <c r="AI896" i="1"/>
  <c r="BA896" i="1"/>
  <c r="AI897" i="1"/>
  <c r="AR929" i="1"/>
  <c r="AZ929" i="1"/>
  <c r="BA922" i="1"/>
  <c r="AY930" i="1"/>
  <c r="T930" i="1"/>
  <c r="Q1331" i="1" l="1"/>
  <c r="Q929" i="1"/>
  <c r="Q897" i="1"/>
  <c r="BB922" i="1"/>
  <c r="AJ1331" i="1"/>
  <c r="AJ922" i="1"/>
  <c r="Q922" i="1"/>
  <c r="BB1331" i="1"/>
  <c r="AJ929" i="1"/>
  <c r="BB897" i="1"/>
  <c r="BB896" i="1"/>
  <c r="BA930" i="1"/>
  <c r="Q896" i="1"/>
  <c r="AJ897" i="1"/>
  <c r="AJ896" i="1"/>
  <c r="BB929" i="1"/>
  <c r="AH930" i="1"/>
  <c r="Z930" i="1"/>
  <c r="AZ930" i="1"/>
  <c r="AR930" i="1"/>
  <c r="AI930" i="1"/>
  <c r="R922" i="1" l="1"/>
  <c r="R1331" i="1"/>
  <c r="Q930" i="1"/>
  <c r="R929" i="1"/>
  <c r="R896" i="1"/>
  <c r="R897" i="1"/>
  <c r="BB930" i="1"/>
  <c r="AJ930" i="1"/>
  <c r="R930" i="1" l="1"/>
  <c r="AY1332" i="1"/>
  <c r="AX1332" i="1"/>
  <c r="AV1332" i="1"/>
  <c r="AT1332" i="1"/>
  <c r="AQ1332" i="1"/>
  <c r="AP1332" i="1"/>
  <c r="AN1332" i="1"/>
  <c r="AL1332" i="1"/>
  <c r="AG1332" i="1"/>
  <c r="AF1332" i="1"/>
  <c r="AD1332" i="1"/>
  <c r="AB1332" i="1"/>
  <c r="Y1332" i="1"/>
  <c r="X1332" i="1"/>
  <c r="V1332" i="1"/>
  <c r="T1332" i="1"/>
  <c r="AY1330" i="1"/>
  <c r="AX1330" i="1"/>
  <c r="AV1330" i="1"/>
  <c r="AT1330" i="1"/>
  <c r="AQ1330" i="1"/>
  <c r="AP1330" i="1"/>
  <c r="AN1330" i="1"/>
  <c r="AL1330" i="1"/>
  <c r="AG1330" i="1"/>
  <c r="AF1330" i="1"/>
  <c r="AD1330" i="1"/>
  <c r="AB1330" i="1"/>
  <c r="Y1330" i="1"/>
  <c r="X1330" i="1"/>
  <c r="V1330" i="1"/>
  <c r="T1330" i="1"/>
  <c r="AY538" i="1"/>
  <c r="AX538" i="1"/>
  <c r="AV538" i="1"/>
  <c r="AT538" i="1"/>
  <c r="AQ538" i="1"/>
  <c r="AP538" i="1"/>
  <c r="AN538" i="1"/>
  <c r="AL538" i="1"/>
  <c r="AG538" i="1"/>
  <c r="AF538" i="1"/>
  <c r="AD538" i="1"/>
  <c r="AB538" i="1"/>
  <c r="Y538" i="1"/>
  <c r="X538" i="1"/>
  <c r="V538" i="1"/>
  <c r="T538" i="1"/>
  <c r="AY690" i="1"/>
  <c r="AX690" i="1"/>
  <c r="AV690" i="1"/>
  <c r="AT690" i="1"/>
  <c r="AQ690" i="1"/>
  <c r="AP690" i="1"/>
  <c r="AN690" i="1"/>
  <c r="AL690" i="1"/>
  <c r="AG690" i="1"/>
  <c r="AF690" i="1"/>
  <c r="AD690" i="1"/>
  <c r="AB690" i="1"/>
  <c r="Y690" i="1"/>
  <c r="X690" i="1"/>
  <c r="V690" i="1"/>
  <c r="T690" i="1"/>
  <c r="BA1332" i="1" l="1"/>
  <c r="AI1332" i="1"/>
  <c r="AI538" i="1"/>
  <c r="BA538" i="1"/>
  <c r="BA1330" i="1"/>
  <c r="AR1332" i="1"/>
  <c r="AZ1332" i="1"/>
  <c r="Z1332" i="1"/>
  <c r="AH1332" i="1"/>
  <c r="AR1330" i="1"/>
  <c r="AH1330" i="1"/>
  <c r="AZ1330" i="1"/>
  <c r="AI1330" i="1"/>
  <c r="Z1330" i="1"/>
  <c r="Z538" i="1"/>
  <c r="AH538" i="1"/>
  <c r="AZ538" i="1"/>
  <c r="AR538" i="1"/>
  <c r="Z690" i="1"/>
  <c r="AH690" i="1"/>
  <c r="AR690" i="1"/>
  <c r="AZ690" i="1"/>
  <c r="AI690" i="1"/>
  <c r="BA690" i="1"/>
  <c r="Q1332" i="1" l="1"/>
  <c r="Q538" i="1"/>
  <c r="BB1332" i="1"/>
  <c r="AJ1332" i="1"/>
  <c r="Q1330" i="1"/>
  <c r="AJ1330" i="1"/>
  <c r="BB1330" i="1"/>
  <c r="Q690" i="1"/>
  <c r="BB538" i="1"/>
  <c r="AJ538" i="1"/>
  <c r="BB690" i="1"/>
  <c r="AJ690" i="1"/>
  <c r="R1332" i="1" l="1"/>
  <c r="R1330" i="1"/>
  <c r="R690" i="1"/>
  <c r="R538" i="1"/>
  <c r="T829" i="1" l="1"/>
  <c r="V829" i="1"/>
  <c r="X829" i="1"/>
  <c r="Y829" i="1"/>
  <c r="AB829" i="1"/>
  <c r="AD829" i="1"/>
  <c r="AF829" i="1"/>
  <c r="AG829" i="1"/>
  <c r="AL829" i="1"/>
  <c r="AN829" i="1"/>
  <c r="AP829" i="1"/>
  <c r="AQ829" i="1"/>
  <c r="AY86" i="1"/>
  <c r="AX86" i="1"/>
  <c r="AV86" i="1"/>
  <c r="AT86" i="1"/>
  <c r="AQ86" i="1"/>
  <c r="AP86" i="1"/>
  <c r="AN86" i="1"/>
  <c r="AL86" i="1"/>
  <c r="AG86" i="1"/>
  <c r="AF86" i="1"/>
  <c r="AD86" i="1"/>
  <c r="AB86" i="1"/>
  <c r="Y86" i="1"/>
  <c r="X86" i="1"/>
  <c r="V86" i="1"/>
  <c r="T86" i="1"/>
  <c r="AY85" i="1"/>
  <c r="AX85" i="1"/>
  <c r="AV85" i="1"/>
  <c r="AT85" i="1"/>
  <c r="AQ85" i="1"/>
  <c r="AP85" i="1"/>
  <c r="AN85" i="1"/>
  <c r="AL85" i="1"/>
  <c r="AG85" i="1"/>
  <c r="AF85" i="1"/>
  <c r="AD85" i="1"/>
  <c r="AB85" i="1"/>
  <c r="Y85" i="1"/>
  <c r="X85" i="1"/>
  <c r="V85" i="1"/>
  <c r="T85" i="1"/>
  <c r="AI85" i="1" l="1"/>
  <c r="AI86" i="1"/>
  <c r="BA86" i="1"/>
  <c r="BA85" i="1"/>
  <c r="Z829" i="1"/>
  <c r="Z86" i="1"/>
  <c r="AH86" i="1"/>
  <c r="AZ86" i="1"/>
  <c r="AZ85" i="1"/>
  <c r="AH829" i="1"/>
  <c r="AI829" i="1"/>
  <c r="AR829" i="1"/>
  <c r="AR86" i="1"/>
  <c r="AR85" i="1"/>
  <c r="AH85" i="1"/>
  <c r="Z85" i="1"/>
  <c r="Q85" i="1" l="1"/>
  <c r="Q86" i="1"/>
  <c r="AJ829" i="1"/>
  <c r="AJ86" i="1"/>
  <c r="BB85" i="1"/>
  <c r="BB86" i="1"/>
  <c r="AJ85" i="1"/>
  <c r="AQ84" i="1"/>
  <c r="AY234" i="1"/>
  <c r="AX234" i="1"/>
  <c r="AV234" i="1"/>
  <c r="AT234" i="1"/>
  <c r="AQ234" i="1"/>
  <c r="AP234" i="1"/>
  <c r="AN234" i="1"/>
  <c r="AL234" i="1"/>
  <c r="AG234" i="1"/>
  <c r="AF234" i="1"/>
  <c r="AD234" i="1"/>
  <c r="AB234" i="1"/>
  <c r="Y234" i="1"/>
  <c r="X234" i="1"/>
  <c r="V234" i="1"/>
  <c r="T234" i="1"/>
  <c r="AY224" i="1"/>
  <c r="AX224" i="1"/>
  <c r="AV224" i="1"/>
  <c r="AT224" i="1"/>
  <c r="AQ224" i="1"/>
  <c r="AP224" i="1"/>
  <c r="AN224" i="1"/>
  <c r="AL224" i="1"/>
  <c r="AG224" i="1"/>
  <c r="AF224" i="1"/>
  <c r="AD224" i="1"/>
  <c r="AB224" i="1"/>
  <c r="Y224" i="1"/>
  <c r="X224" i="1"/>
  <c r="V224" i="1"/>
  <c r="T224" i="1"/>
  <c r="AI224" i="1" l="1"/>
  <c r="AI234" i="1"/>
  <c r="BA224" i="1"/>
  <c r="R85" i="1"/>
  <c r="R86" i="1"/>
  <c r="BA234" i="1"/>
  <c r="Z224" i="1"/>
  <c r="AH224" i="1"/>
  <c r="AZ224" i="1"/>
  <c r="Z234" i="1"/>
  <c r="AH234" i="1"/>
  <c r="AZ234" i="1"/>
  <c r="AR234" i="1"/>
  <c r="AR224" i="1"/>
  <c r="AY333" i="1"/>
  <c r="AX333" i="1"/>
  <c r="AV333" i="1"/>
  <c r="AT333" i="1"/>
  <c r="AQ333" i="1"/>
  <c r="AP333" i="1"/>
  <c r="AN333" i="1"/>
  <c r="AL333" i="1"/>
  <c r="AG333" i="1"/>
  <c r="AF333" i="1"/>
  <c r="AD333" i="1"/>
  <c r="AB333" i="1"/>
  <c r="Y333" i="1"/>
  <c r="X333" i="1"/>
  <c r="V333" i="1"/>
  <c r="T333" i="1"/>
  <c r="AY334" i="1"/>
  <c r="AX334" i="1"/>
  <c r="AV334" i="1"/>
  <c r="AT334" i="1"/>
  <c r="AQ334" i="1"/>
  <c r="AP334" i="1"/>
  <c r="AN334" i="1"/>
  <c r="AL334" i="1"/>
  <c r="AG334" i="1"/>
  <c r="AF334" i="1"/>
  <c r="AD334" i="1"/>
  <c r="AB334" i="1"/>
  <c r="Y334" i="1"/>
  <c r="X334" i="1"/>
  <c r="V334" i="1"/>
  <c r="T334" i="1"/>
  <c r="AY335" i="1"/>
  <c r="AX335" i="1"/>
  <c r="AV335" i="1"/>
  <c r="AT335" i="1"/>
  <c r="AQ335" i="1"/>
  <c r="AP335" i="1"/>
  <c r="AN335" i="1"/>
  <c r="AL335" i="1"/>
  <c r="AG335" i="1"/>
  <c r="AF335" i="1"/>
  <c r="AD335" i="1"/>
  <c r="AB335" i="1"/>
  <c r="Y335" i="1"/>
  <c r="X335" i="1"/>
  <c r="V335" i="1"/>
  <c r="T335" i="1"/>
  <c r="AY336" i="1"/>
  <c r="AX336" i="1"/>
  <c r="AV336" i="1"/>
  <c r="AT336" i="1"/>
  <c r="AQ336" i="1"/>
  <c r="AP336" i="1"/>
  <c r="AN336" i="1"/>
  <c r="AL336" i="1"/>
  <c r="AG336" i="1"/>
  <c r="AF336" i="1"/>
  <c r="AD336" i="1"/>
  <c r="AB336" i="1"/>
  <c r="Y336" i="1"/>
  <c r="X336" i="1"/>
  <c r="V336" i="1"/>
  <c r="T336" i="1"/>
  <c r="AY337" i="1"/>
  <c r="AX337" i="1"/>
  <c r="AV337" i="1"/>
  <c r="AT337" i="1"/>
  <c r="AQ337" i="1"/>
  <c r="AP337" i="1"/>
  <c r="AN337" i="1"/>
  <c r="AL337" i="1"/>
  <c r="AG337" i="1"/>
  <c r="AF337" i="1"/>
  <c r="AD337" i="1"/>
  <c r="AB337" i="1"/>
  <c r="Y337" i="1"/>
  <c r="X337" i="1"/>
  <c r="V337" i="1"/>
  <c r="T337" i="1"/>
  <c r="AY338" i="1"/>
  <c r="AX338" i="1"/>
  <c r="AV338" i="1"/>
  <c r="AT338" i="1"/>
  <c r="AQ338" i="1"/>
  <c r="AP338" i="1"/>
  <c r="AN338" i="1"/>
  <c r="AL338" i="1"/>
  <c r="AG338" i="1"/>
  <c r="AF338" i="1"/>
  <c r="AD338" i="1"/>
  <c r="AB338" i="1"/>
  <c r="Y338" i="1"/>
  <c r="X338" i="1"/>
  <c r="V338" i="1"/>
  <c r="T338" i="1"/>
  <c r="AY339" i="1"/>
  <c r="AX339" i="1"/>
  <c r="AV339" i="1"/>
  <c r="AT339" i="1"/>
  <c r="AQ339" i="1"/>
  <c r="AP339" i="1"/>
  <c r="AN339" i="1"/>
  <c r="AL339" i="1"/>
  <c r="AG339" i="1"/>
  <c r="AF339" i="1"/>
  <c r="AD339" i="1"/>
  <c r="AB339" i="1"/>
  <c r="Y339" i="1"/>
  <c r="X339" i="1"/>
  <c r="V339" i="1"/>
  <c r="T339" i="1"/>
  <c r="AY340" i="1"/>
  <c r="AX340" i="1"/>
  <c r="AV340" i="1"/>
  <c r="AT340" i="1"/>
  <c r="AQ340" i="1"/>
  <c r="AP340" i="1"/>
  <c r="AN340" i="1"/>
  <c r="AL340" i="1"/>
  <c r="AG340" i="1"/>
  <c r="AF340" i="1"/>
  <c r="AD340" i="1"/>
  <c r="AB340" i="1"/>
  <c r="Y340" i="1"/>
  <c r="AI340" i="1" s="1"/>
  <c r="X340" i="1"/>
  <c r="V340" i="1"/>
  <c r="T340" i="1"/>
  <c r="AY341" i="1"/>
  <c r="AX341" i="1"/>
  <c r="AV341" i="1"/>
  <c r="AT341" i="1"/>
  <c r="AQ341" i="1"/>
  <c r="AP341" i="1"/>
  <c r="AN341" i="1"/>
  <c r="AL341" i="1"/>
  <c r="AG341" i="1"/>
  <c r="AF341" i="1"/>
  <c r="AD341" i="1"/>
  <c r="AB341" i="1"/>
  <c r="Y341" i="1"/>
  <c r="X341" i="1"/>
  <c r="V341" i="1"/>
  <c r="T341" i="1"/>
  <c r="AY681" i="1"/>
  <c r="AX681" i="1"/>
  <c r="AV681" i="1"/>
  <c r="AT681" i="1"/>
  <c r="AQ681" i="1"/>
  <c r="AP681" i="1"/>
  <c r="AN681" i="1"/>
  <c r="AL681" i="1"/>
  <c r="AG681" i="1"/>
  <c r="AF681" i="1"/>
  <c r="AD681" i="1"/>
  <c r="AB681" i="1"/>
  <c r="Y681" i="1"/>
  <c r="X681" i="1"/>
  <c r="V681" i="1"/>
  <c r="T681" i="1"/>
  <c r="BA334" i="1" l="1"/>
  <c r="AI337" i="1"/>
  <c r="BA337" i="1"/>
  <c r="AI341" i="1"/>
  <c r="AI338" i="1"/>
  <c r="BA340" i="1"/>
  <c r="AI335" i="1"/>
  <c r="Q224" i="1"/>
  <c r="BA336" i="1"/>
  <c r="AI339" i="1"/>
  <c r="BA341" i="1"/>
  <c r="AI333" i="1"/>
  <c r="BA681" i="1"/>
  <c r="BA339" i="1"/>
  <c r="AI336" i="1"/>
  <c r="Q234" i="1"/>
  <c r="BA333" i="1"/>
  <c r="BA338" i="1"/>
  <c r="AI334" i="1"/>
  <c r="AJ224" i="1"/>
  <c r="AJ234" i="1"/>
  <c r="BB224" i="1"/>
  <c r="AR333" i="1"/>
  <c r="AZ333" i="1"/>
  <c r="BB234" i="1"/>
  <c r="Q340" i="1"/>
  <c r="Z333" i="1"/>
  <c r="AH333" i="1"/>
  <c r="Z335" i="1"/>
  <c r="AH335" i="1"/>
  <c r="AR335" i="1"/>
  <c r="AZ335" i="1"/>
  <c r="Z334" i="1"/>
  <c r="AH334" i="1"/>
  <c r="AR334" i="1"/>
  <c r="AZ334" i="1"/>
  <c r="Z681" i="1"/>
  <c r="AR681" i="1"/>
  <c r="AZ681" i="1"/>
  <c r="BA335" i="1"/>
  <c r="Z336" i="1"/>
  <c r="AH336" i="1"/>
  <c r="AR336" i="1"/>
  <c r="AZ336" i="1"/>
  <c r="Z338" i="1"/>
  <c r="AH338" i="1"/>
  <c r="AR338" i="1"/>
  <c r="Z337" i="1"/>
  <c r="AH337" i="1"/>
  <c r="AR337" i="1"/>
  <c r="AZ337" i="1"/>
  <c r="AZ338" i="1"/>
  <c r="Z339" i="1"/>
  <c r="AH339" i="1"/>
  <c r="AR339" i="1"/>
  <c r="AZ339" i="1"/>
  <c r="Z341" i="1"/>
  <c r="AH341" i="1"/>
  <c r="AR341" i="1"/>
  <c r="Z340" i="1"/>
  <c r="AH340" i="1"/>
  <c r="AR340" i="1"/>
  <c r="AZ340" i="1"/>
  <c r="AZ341" i="1"/>
  <c r="AI681" i="1"/>
  <c r="AH681" i="1"/>
  <c r="Q334" i="1" l="1"/>
  <c r="Q337" i="1"/>
  <c r="Q341" i="1"/>
  <c r="Q338" i="1"/>
  <c r="Q335" i="1"/>
  <c r="Q336" i="1"/>
  <c r="Q339" i="1"/>
  <c r="Q333" i="1"/>
  <c r="Q681" i="1"/>
  <c r="R234" i="1"/>
  <c r="R224" i="1"/>
  <c r="BB333" i="1"/>
  <c r="AJ333" i="1"/>
  <c r="AJ334" i="1"/>
  <c r="AJ335" i="1"/>
  <c r="BB334" i="1"/>
  <c r="BB335" i="1"/>
  <c r="BB681" i="1"/>
  <c r="AJ337" i="1"/>
  <c r="AJ681" i="1"/>
  <c r="BB338" i="1"/>
  <c r="BB336" i="1"/>
  <c r="AJ336" i="1"/>
  <c r="BB337" i="1"/>
  <c r="AJ338" i="1"/>
  <c r="AJ339" i="1"/>
  <c r="AJ340" i="1"/>
  <c r="BB341" i="1"/>
  <c r="BB339" i="1"/>
  <c r="BB340" i="1"/>
  <c r="AJ341" i="1"/>
  <c r="AY1081" i="1"/>
  <c r="AX1081" i="1"/>
  <c r="AV1081" i="1"/>
  <c r="AT1081" i="1"/>
  <c r="AQ1081" i="1"/>
  <c r="AP1081" i="1"/>
  <c r="AN1081" i="1"/>
  <c r="AL1081" i="1"/>
  <c r="AF1081" i="1"/>
  <c r="AD1081" i="1"/>
  <c r="AB1081" i="1"/>
  <c r="Y1081" i="1"/>
  <c r="X1081" i="1"/>
  <c r="V1081" i="1"/>
  <c r="T1081" i="1"/>
  <c r="AY1071" i="1"/>
  <c r="AX1071" i="1"/>
  <c r="AV1071" i="1"/>
  <c r="AT1071" i="1"/>
  <c r="AQ1071" i="1"/>
  <c r="AP1071" i="1"/>
  <c r="AN1071" i="1"/>
  <c r="AL1071" i="1"/>
  <c r="AF1071" i="1"/>
  <c r="AD1071" i="1"/>
  <c r="AB1071" i="1"/>
  <c r="Y1071" i="1"/>
  <c r="X1071" i="1"/>
  <c r="V1071" i="1"/>
  <c r="T1071" i="1"/>
  <c r="AQ379" i="1"/>
  <c r="AQ377" i="1"/>
  <c r="AY379" i="1"/>
  <c r="AY377" i="1"/>
  <c r="AY59" i="1"/>
  <c r="AX59" i="1"/>
  <c r="AV59" i="1"/>
  <c r="AT59" i="1"/>
  <c r="AQ59" i="1"/>
  <c r="AP59" i="1"/>
  <c r="AN59" i="1"/>
  <c r="AL59" i="1"/>
  <c r="AG59" i="1"/>
  <c r="AF59" i="1"/>
  <c r="AD59" i="1"/>
  <c r="AB59" i="1"/>
  <c r="Y59" i="1"/>
  <c r="AI59" i="1" s="1"/>
  <c r="X59" i="1"/>
  <c r="V59" i="1"/>
  <c r="T59" i="1"/>
  <c r="AY61" i="1"/>
  <c r="AX61" i="1"/>
  <c r="AV61" i="1"/>
  <c r="AT61" i="1"/>
  <c r="AQ61" i="1"/>
  <c r="AP61" i="1"/>
  <c r="AN61" i="1"/>
  <c r="AL61" i="1"/>
  <c r="AG61" i="1"/>
  <c r="AF61" i="1"/>
  <c r="AD61" i="1"/>
  <c r="AB61" i="1"/>
  <c r="Y61" i="1"/>
  <c r="X61" i="1"/>
  <c r="V61" i="1"/>
  <c r="T61" i="1"/>
  <c r="AY60" i="1"/>
  <c r="AX60" i="1"/>
  <c r="AV60" i="1"/>
  <c r="AT60" i="1"/>
  <c r="AQ60" i="1"/>
  <c r="AP60" i="1"/>
  <c r="AN60" i="1"/>
  <c r="AL60" i="1"/>
  <c r="AG60" i="1"/>
  <c r="AF60" i="1"/>
  <c r="AD60" i="1"/>
  <c r="AB60" i="1"/>
  <c r="Y60" i="1"/>
  <c r="X60" i="1"/>
  <c r="V60" i="1"/>
  <c r="T60" i="1"/>
  <c r="AY58" i="1"/>
  <c r="AX58" i="1"/>
  <c r="AV58" i="1"/>
  <c r="AT58" i="1"/>
  <c r="AQ58" i="1"/>
  <c r="AP58" i="1"/>
  <c r="AN58" i="1"/>
  <c r="AL58" i="1"/>
  <c r="AG58" i="1"/>
  <c r="AF58" i="1"/>
  <c r="AD58" i="1"/>
  <c r="AB58" i="1"/>
  <c r="Y58" i="1"/>
  <c r="X58" i="1"/>
  <c r="V58" i="1"/>
  <c r="T58" i="1"/>
  <c r="AQ43" i="1"/>
  <c r="BA60" i="1" l="1"/>
  <c r="BA1081" i="1"/>
  <c r="AI1081" i="1"/>
  <c r="BA61" i="1"/>
  <c r="BA59" i="1"/>
  <c r="Q59" i="1" s="1"/>
  <c r="R338" i="1"/>
  <c r="BA58" i="1"/>
  <c r="R333" i="1"/>
  <c r="AI60" i="1"/>
  <c r="AI61" i="1"/>
  <c r="R681" i="1"/>
  <c r="R336" i="1"/>
  <c r="R337" i="1"/>
  <c r="R335" i="1"/>
  <c r="R334" i="1"/>
  <c r="R341" i="1"/>
  <c r="R340" i="1"/>
  <c r="R339" i="1"/>
  <c r="BA1071" i="1"/>
  <c r="AI58" i="1"/>
  <c r="Z1081" i="1"/>
  <c r="AH1081" i="1"/>
  <c r="AR1081" i="1"/>
  <c r="AZ1081" i="1"/>
  <c r="AZ58" i="1"/>
  <c r="AH61" i="1"/>
  <c r="AZ61" i="1"/>
  <c r="Z59" i="1"/>
  <c r="AH59" i="1"/>
  <c r="AR59" i="1"/>
  <c r="AZ59" i="1"/>
  <c r="Z1071" i="1"/>
  <c r="AH1071" i="1"/>
  <c r="AR1071" i="1"/>
  <c r="AZ1071" i="1"/>
  <c r="AI1071" i="1"/>
  <c r="AR60" i="1"/>
  <c r="AZ60" i="1"/>
  <c r="Z61" i="1"/>
  <c r="Z58" i="1"/>
  <c r="AH58" i="1"/>
  <c r="AR58" i="1"/>
  <c r="AR61" i="1"/>
  <c r="Z60" i="1"/>
  <c r="AH60" i="1"/>
  <c r="Q60" i="1" l="1"/>
  <c r="Q1081" i="1"/>
  <c r="Q61" i="1"/>
  <c r="Q58" i="1"/>
  <c r="BB58" i="1"/>
  <c r="BB59" i="1"/>
  <c r="Q1071" i="1"/>
  <c r="BB1081" i="1"/>
  <c r="AJ1071" i="1"/>
  <c r="AJ59" i="1"/>
  <c r="AJ1081" i="1"/>
  <c r="BB1071" i="1"/>
  <c r="BB61" i="1"/>
  <c r="AJ61" i="1"/>
  <c r="AJ60" i="1"/>
  <c r="AJ58" i="1"/>
  <c r="BB60" i="1"/>
  <c r="R59" i="1" l="1"/>
  <c r="R58" i="1"/>
  <c r="R1081" i="1"/>
  <c r="R61" i="1"/>
  <c r="R60" i="1"/>
  <c r="R1071" i="1"/>
  <c r="AY57" i="1"/>
  <c r="AX57" i="1"/>
  <c r="AV57" i="1"/>
  <c r="AT57" i="1"/>
  <c r="AQ57" i="1"/>
  <c r="AP57" i="1"/>
  <c r="AN57" i="1"/>
  <c r="AL57" i="1"/>
  <c r="AG57" i="1"/>
  <c r="AF57" i="1"/>
  <c r="AD57" i="1"/>
  <c r="AB57" i="1"/>
  <c r="Y57" i="1"/>
  <c r="X57" i="1"/>
  <c r="V57" i="1"/>
  <c r="T57" i="1"/>
  <c r="AY56" i="1"/>
  <c r="AX56" i="1"/>
  <c r="AV56" i="1"/>
  <c r="AT56" i="1"/>
  <c r="AQ56" i="1"/>
  <c r="AP56" i="1"/>
  <c r="AN56" i="1"/>
  <c r="AL56" i="1"/>
  <c r="AG56" i="1"/>
  <c r="AF56" i="1"/>
  <c r="AD56" i="1"/>
  <c r="AB56" i="1"/>
  <c r="Y56" i="1"/>
  <c r="X56" i="1"/>
  <c r="V56" i="1"/>
  <c r="T56" i="1"/>
  <c r="AY55" i="1"/>
  <c r="AX55" i="1"/>
  <c r="AV55" i="1"/>
  <c r="AT55" i="1"/>
  <c r="AQ55" i="1"/>
  <c r="AP55" i="1"/>
  <c r="AN55" i="1"/>
  <c r="AL55" i="1"/>
  <c r="AG55" i="1"/>
  <c r="AF55" i="1"/>
  <c r="AD55" i="1"/>
  <c r="AB55" i="1"/>
  <c r="Y55" i="1"/>
  <c r="X55" i="1"/>
  <c r="V55" i="1"/>
  <c r="T55" i="1"/>
  <c r="BA56" i="1" l="1"/>
  <c r="AI55" i="1"/>
  <c r="BA57" i="1"/>
  <c r="AH55" i="1"/>
  <c r="AR55" i="1"/>
  <c r="AZ56" i="1"/>
  <c r="Z57" i="1"/>
  <c r="AZ57" i="1"/>
  <c r="AR57" i="1"/>
  <c r="BA55" i="1"/>
  <c r="AI56" i="1"/>
  <c r="Z55" i="1"/>
  <c r="AZ55" i="1"/>
  <c r="AR56" i="1"/>
  <c r="AI57" i="1"/>
  <c r="AH57" i="1"/>
  <c r="Z56" i="1"/>
  <c r="AH56" i="1"/>
  <c r="Q57" i="1" l="1"/>
  <c r="BB55" i="1"/>
  <c r="Q55" i="1"/>
  <c r="Q56" i="1"/>
  <c r="AJ55" i="1"/>
  <c r="BB56" i="1"/>
  <c r="BB57" i="1"/>
  <c r="AJ57" i="1"/>
  <c r="AJ56" i="1"/>
  <c r="AY668" i="1"/>
  <c r="AX668" i="1"/>
  <c r="AV668" i="1"/>
  <c r="AT668" i="1"/>
  <c r="AQ668" i="1"/>
  <c r="AP668" i="1"/>
  <c r="AN668" i="1"/>
  <c r="AL668" i="1"/>
  <c r="AG668" i="1"/>
  <c r="AF668" i="1"/>
  <c r="AD668" i="1"/>
  <c r="AB668" i="1"/>
  <c r="Y668" i="1"/>
  <c r="X668" i="1"/>
  <c r="V668" i="1"/>
  <c r="T668" i="1"/>
  <c r="AY83" i="1"/>
  <c r="AX83" i="1"/>
  <c r="AV83" i="1"/>
  <c r="AT83" i="1"/>
  <c r="AQ83" i="1"/>
  <c r="AP83" i="1"/>
  <c r="AN83" i="1"/>
  <c r="AL83" i="1"/>
  <c r="AG83" i="1"/>
  <c r="AF83" i="1"/>
  <c r="AD83" i="1"/>
  <c r="AB83" i="1"/>
  <c r="Y83" i="1"/>
  <c r="X83" i="1"/>
  <c r="V83" i="1"/>
  <c r="T83" i="1"/>
  <c r="AY330" i="1"/>
  <c r="AX330" i="1"/>
  <c r="AV330" i="1"/>
  <c r="AT330" i="1"/>
  <c r="AQ330" i="1"/>
  <c r="AP330" i="1"/>
  <c r="AN330" i="1"/>
  <c r="AL330" i="1"/>
  <c r="AG330" i="1"/>
  <c r="AF330" i="1"/>
  <c r="AD330" i="1"/>
  <c r="AB330" i="1"/>
  <c r="Y330" i="1"/>
  <c r="X330" i="1"/>
  <c r="V330" i="1"/>
  <c r="T330" i="1"/>
  <c r="AY329" i="1"/>
  <c r="AX329" i="1"/>
  <c r="AV329" i="1"/>
  <c r="AT329" i="1"/>
  <c r="AQ329" i="1"/>
  <c r="AP329" i="1"/>
  <c r="AN329" i="1"/>
  <c r="AL329" i="1"/>
  <c r="AG329" i="1"/>
  <c r="AF329" i="1"/>
  <c r="AD329" i="1"/>
  <c r="AB329" i="1"/>
  <c r="Y329" i="1"/>
  <c r="X329" i="1"/>
  <c r="V329" i="1"/>
  <c r="T329" i="1"/>
  <c r="AY691" i="1"/>
  <c r="AX691" i="1"/>
  <c r="AV691" i="1"/>
  <c r="AT691" i="1"/>
  <c r="AQ691" i="1"/>
  <c r="AP691" i="1"/>
  <c r="AN691" i="1"/>
  <c r="AL691" i="1"/>
  <c r="AG691" i="1"/>
  <c r="AF691" i="1"/>
  <c r="AD691" i="1"/>
  <c r="AB691" i="1"/>
  <c r="Y691" i="1"/>
  <c r="X691" i="1"/>
  <c r="V691" i="1"/>
  <c r="T691" i="1"/>
  <c r="AY1228" i="1"/>
  <c r="AX1228" i="1"/>
  <c r="AV1228" i="1"/>
  <c r="AT1228" i="1"/>
  <c r="AQ1228" i="1"/>
  <c r="AP1228" i="1"/>
  <c r="AN1228" i="1"/>
  <c r="AL1228" i="1"/>
  <c r="AG1228" i="1"/>
  <c r="AF1228" i="1"/>
  <c r="AD1228" i="1"/>
  <c r="AB1228" i="1"/>
  <c r="Y1228" i="1"/>
  <c r="X1228" i="1"/>
  <c r="V1228" i="1"/>
  <c r="T1228" i="1"/>
  <c r="AY1226" i="1"/>
  <c r="AX1226" i="1"/>
  <c r="AV1226" i="1"/>
  <c r="AT1226" i="1"/>
  <c r="AQ1226" i="1"/>
  <c r="AP1226" i="1"/>
  <c r="AN1226" i="1"/>
  <c r="AL1226" i="1"/>
  <c r="AG1226" i="1"/>
  <c r="AF1226" i="1"/>
  <c r="AD1226" i="1"/>
  <c r="AB1226" i="1"/>
  <c r="Y1226" i="1"/>
  <c r="X1226" i="1"/>
  <c r="V1226" i="1"/>
  <c r="T1226" i="1"/>
  <c r="AY188" i="1"/>
  <c r="AX188" i="1"/>
  <c r="AV188" i="1"/>
  <c r="AT188" i="1"/>
  <c r="AQ188" i="1"/>
  <c r="AP188" i="1"/>
  <c r="AN188" i="1"/>
  <c r="AL188" i="1"/>
  <c r="AG188" i="1"/>
  <c r="AF188" i="1"/>
  <c r="AD188" i="1"/>
  <c r="AB188" i="1"/>
  <c r="Y188" i="1"/>
  <c r="X188" i="1"/>
  <c r="V188" i="1"/>
  <c r="T188" i="1"/>
  <c r="AY184" i="1"/>
  <c r="AX184" i="1"/>
  <c r="AV184" i="1"/>
  <c r="AT184" i="1"/>
  <c r="AQ184" i="1"/>
  <c r="AP184" i="1"/>
  <c r="AN184" i="1"/>
  <c r="AL184" i="1"/>
  <c r="AG184" i="1"/>
  <c r="AF184" i="1"/>
  <c r="AD184" i="1"/>
  <c r="AB184" i="1"/>
  <c r="Y184" i="1"/>
  <c r="AI184" i="1" s="1"/>
  <c r="X184" i="1"/>
  <c r="V184" i="1"/>
  <c r="T184" i="1"/>
  <c r="AY182" i="1"/>
  <c r="AX182" i="1"/>
  <c r="AV182" i="1"/>
  <c r="AT182" i="1"/>
  <c r="AQ182" i="1"/>
  <c r="AP182" i="1"/>
  <c r="AN182" i="1"/>
  <c r="AL182" i="1"/>
  <c r="AG182" i="1"/>
  <c r="AF182" i="1"/>
  <c r="AD182" i="1"/>
  <c r="AB182" i="1"/>
  <c r="Y182" i="1"/>
  <c r="X182" i="1"/>
  <c r="V182" i="1"/>
  <c r="T182" i="1"/>
  <c r="AY419" i="1"/>
  <c r="AX419" i="1"/>
  <c r="AV419" i="1"/>
  <c r="AT419" i="1"/>
  <c r="AQ419" i="1"/>
  <c r="AP419" i="1"/>
  <c r="AN419" i="1"/>
  <c r="AL419" i="1"/>
  <c r="AG419" i="1"/>
  <c r="AF419" i="1"/>
  <c r="AD419" i="1"/>
  <c r="AB419" i="1"/>
  <c r="Y419" i="1"/>
  <c r="X419" i="1"/>
  <c r="V419" i="1"/>
  <c r="T419" i="1"/>
  <c r="AY734" i="1"/>
  <c r="AX734" i="1"/>
  <c r="AV734" i="1"/>
  <c r="AT734" i="1"/>
  <c r="AQ734" i="1"/>
  <c r="AP734" i="1"/>
  <c r="AN734" i="1"/>
  <c r="AL734" i="1"/>
  <c r="AG734" i="1"/>
  <c r="AF734" i="1"/>
  <c r="AD734" i="1"/>
  <c r="AB734" i="1"/>
  <c r="Y734" i="1"/>
  <c r="X734" i="1"/>
  <c r="V734" i="1"/>
  <c r="T734" i="1"/>
  <c r="AY1201" i="1"/>
  <c r="AX1201" i="1"/>
  <c r="AV1201" i="1"/>
  <c r="AT1201" i="1"/>
  <c r="AQ1201" i="1"/>
  <c r="AP1201" i="1"/>
  <c r="AN1201" i="1"/>
  <c r="AL1201" i="1"/>
  <c r="AG1201" i="1"/>
  <c r="AF1201" i="1"/>
  <c r="AD1201" i="1"/>
  <c r="AB1201" i="1"/>
  <c r="Y1201" i="1"/>
  <c r="X1201" i="1"/>
  <c r="V1201" i="1"/>
  <c r="T1201" i="1"/>
  <c r="AY376" i="1"/>
  <c r="AX376" i="1"/>
  <c r="AV376" i="1"/>
  <c r="AT376" i="1"/>
  <c r="AQ376" i="1"/>
  <c r="AP376" i="1"/>
  <c r="AN376" i="1"/>
  <c r="AL376" i="1"/>
  <c r="AG376" i="1"/>
  <c r="AF376" i="1"/>
  <c r="AD376" i="1"/>
  <c r="AB376" i="1"/>
  <c r="Y376" i="1"/>
  <c r="X376" i="1"/>
  <c r="V376" i="1"/>
  <c r="T376" i="1"/>
  <c r="AX377" i="1"/>
  <c r="AV377" i="1"/>
  <c r="AT377" i="1"/>
  <c r="BA377" i="1"/>
  <c r="AP377" i="1"/>
  <c r="AN377" i="1"/>
  <c r="AL377" i="1"/>
  <c r="AG377" i="1"/>
  <c r="AF377" i="1"/>
  <c r="AD377" i="1"/>
  <c r="AB377" i="1"/>
  <c r="Y377" i="1"/>
  <c r="X377" i="1"/>
  <c r="V377" i="1"/>
  <c r="T377" i="1"/>
  <c r="AY248" i="1"/>
  <c r="AX248" i="1"/>
  <c r="AV248" i="1"/>
  <c r="AT248" i="1"/>
  <c r="AQ248" i="1"/>
  <c r="AP248" i="1"/>
  <c r="AN248" i="1"/>
  <c r="AL248" i="1"/>
  <c r="AG248" i="1"/>
  <c r="AF248" i="1"/>
  <c r="AD248" i="1"/>
  <c r="AB248" i="1"/>
  <c r="Y248" i="1"/>
  <c r="X248" i="1"/>
  <c r="V248" i="1"/>
  <c r="T248" i="1"/>
  <c r="AY415" i="1"/>
  <c r="AX415" i="1"/>
  <c r="AV415" i="1"/>
  <c r="AT415" i="1"/>
  <c r="AQ415" i="1"/>
  <c r="AP415" i="1"/>
  <c r="AN415" i="1"/>
  <c r="AL415" i="1"/>
  <c r="AG415" i="1"/>
  <c r="AF415" i="1"/>
  <c r="AD415" i="1"/>
  <c r="AB415" i="1"/>
  <c r="Y415" i="1"/>
  <c r="X415" i="1"/>
  <c r="V415" i="1"/>
  <c r="T415" i="1"/>
  <c r="AY327" i="1"/>
  <c r="AX327" i="1"/>
  <c r="AV327" i="1"/>
  <c r="AT327" i="1"/>
  <c r="AQ327" i="1"/>
  <c r="AP327" i="1"/>
  <c r="AN327" i="1"/>
  <c r="AL327" i="1"/>
  <c r="AG327" i="1"/>
  <c r="AF327" i="1"/>
  <c r="AD327" i="1"/>
  <c r="AB327" i="1"/>
  <c r="Y327" i="1"/>
  <c r="X327" i="1"/>
  <c r="V327" i="1"/>
  <c r="T327" i="1"/>
  <c r="AY328" i="1"/>
  <c r="AX328" i="1"/>
  <c r="AV328" i="1"/>
  <c r="AT328" i="1"/>
  <c r="AQ328" i="1"/>
  <c r="AP328" i="1"/>
  <c r="AN328" i="1"/>
  <c r="AL328" i="1"/>
  <c r="AG328" i="1"/>
  <c r="AF328" i="1"/>
  <c r="AD328" i="1"/>
  <c r="AB328" i="1"/>
  <c r="Y328" i="1"/>
  <c r="X328" i="1"/>
  <c r="V328" i="1"/>
  <c r="T328" i="1"/>
  <c r="AY939" i="1"/>
  <c r="AX939" i="1"/>
  <c r="AV939" i="1"/>
  <c r="AT939" i="1"/>
  <c r="AP939" i="1"/>
  <c r="AN939" i="1"/>
  <c r="AL939" i="1"/>
  <c r="AG939" i="1"/>
  <c r="AF939" i="1"/>
  <c r="AD939" i="1"/>
  <c r="AB939" i="1"/>
  <c r="Y939" i="1"/>
  <c r="X939" i="1"/>
  <c r="V939" i="1"/>
  <c r="T939" i="1"/>
  <c r="AY1317" i="1"/>
  <c r="AX1317" i="1"/>
  <c r="AV1317" i="1"/>
  <c r="AT1317" i="1"/>
  <c r="AQ1317" i="1"/>
  <c r="AP1317" i="1"/>
  <c r="AN1317" i="1"/>
  <c r="AL1317" i="1"/>
  <c r="AG1317" i="1"/>
  <c r="AF1317" i="1"/>
  <c r="AD1317" i="1"/>
  <c r="AB1317" i="1"/>
  <c r="Y1317" i="1"/>
  <c r="X1317" i="1"/>
  <c r="V1317" i="1"/>
  <c r="T1317" i="1"/>
  <c r="R56" i="1" l="1"/>
  <c r="R55" i="1"/>
  <c r="BA734" i="1"/>
  <c r="BA182" i="1"/>
  <c r="BA1201" i="1"/>
  <c r="AI939" i="1"/>
  <c r="BA691" i="1"/>
  <c r="BA419" i="1"/>
  <c r="AI419" i="1"/>
  <c r="BA188" i="1"/>
  <c r="AI188" i="1"/>
  <c r="AI1228" i="1"/>
  <c r="BA939" i="1"/>
  <c r="BA248" i="1"/>
  <c r="AI415" i="1"/>
  <c r="BA1226" i="1"/>
  <c r="BA328" i="1"/>
  <c r="BA327" i="1"/>
  <c r="BA1317" i="1"/>
  <c r="R57" i="1"/>
  <c r="AR668" i="1"/>
  <c r="BA184" i="1"/>
  <c r="Q184" i="1" s="1"/>
  <c r="AI182" i="1"/>
  <c r="BA1228" i="1"/>
  <c r="BA415" i="1"/>
  <c r="AI377" i="1"/>
  <c r="Q377" i="1" s="1"/>
  <c r="BA376" i="1"/>
  <c r="AI668" i="1"/>
  <c r="AR83" i="1"/>
  <c r="BA668" i="1"/>
  <c r="AZ668" i="1"/>
  <c r="AI691" i="1"/>
  <c r="AH668" i="1"/>
  <c r="Z668" i="1"/>
  <c r="AI83" i="1"/>
  <c r="Z83" i="1"/>
  <c r="AH83" i="1"/>
  <c r="BA83" i="1"/>
  <c r="BA329" i="1"/>
  <c r="AZ83" i="1"/>
  <c r="AI329" i="1"/>
  <c r="Z330" i="1"/>
  <c r="AZ330" i="1"/>
  <c r="AH330" i="1"/>
  <c r="AR330" i="1"/>
  <c r="Z329" i="1"/>
  <c r="AH329" i="1"/>
  <c r="AR329" i="1"/>
  <c r="AZ329" i="1"/>
  <c r="AI330" i="1"/>
  <c r="BA330" i="1"/>
  <c r="AR691" i="1"/>
  <c r="AZ691" i="1"/>
  <c r="AH691" i="1"/>
  <c r="Z691" i="1"/>
  <c r="Z1228" i="1"/>
  <c r="AH1228" i="1"/>
  <c r="AR1228" i="1"/>
  <c r="AZ1228" i="1"/>
  <c r="Z1226" i="1"/>
  <c r="AH1226" i="1"/>
  <c r="AR1226" i="1"/>
  <c r="AZ1226" i="1"/>
  <c r="AI1226" i="1"/>
  <c r="Z188" i="1"/>
  <c r="AR188" i="1"/>
  <c r="AZ188" i="1"/>
  <c r="AI1201" i="1"/>
  <c r="AI328" i="1"/>
  <c r="AH188" i="1"/>
  <c r="AZ182" i="1"/>
  <c r="Z184" i="1"/>
  <c r="AH184" i="1"/>
  <c r="AR184" i="1"/>
  <c r="AZ184" i="1"/>
  <c r="AR419" i="1"/>
  <c r="AZ419" i="1"/>
  <c r="Z182" i="1"/>
  <c r="AH182" i="1"/>
  <c r="AR182" i="1"/>
  <c r="AI376" i="1"/>
  <c r="AH419" i="1"/>
  <c r="Z419" i="1"/>
  <c r="Z939" i="1"/>
  <c r="AH1201" i="1"/>
  <c r="AR1201" i="1"/>
  <c r="AZ1201" i="1"/>
  <c r="AI734" i="1"/>
  <c r="Z734" i="1"/>
  <c r="AR734" i="1"/>
  <c r="AZ734" i="1"/>
  <c r="AH734" i="1"/>
  <c r="Z1201" i="1"/>
  <c r="AR248" i="1"/>
  <c r="AZ248" i="1"/>
  <c r="AI248" i="1"/>
  <c r="AR377" i="1"/>
  <c r="AZ377" i="1"/>
  <c r="AH376" i="1"/>
  <c r="AR376" i="1"/>
  <c r="AZ376" i="1"/>
  <c r="AH377" i="1"/>
  <c r="Z377" i="1"/>
  <c r="Z376" i="1"/>
  <c r="AI327" i="1"/>
  <c r="Z248" i="1"/>
  <c r="AH248" i="1"/>
  <c r="AI1317" i="1"/>
  <c r="AR939" i="1"/>
  <c r="AR1317" i="1"/>
  <c r="AZ1317" i="1"/>
  <c r="AZ328" i="1"/>
  <c r="AH415" i="1"/>
  <c r="AR415" i="1"/>
  <c r="AZ415" i="1"/>
  <c r="Z1317" i="1"/>
  <c r="AZ939" i="1"/>
  <c r="Z415" i="1"/>
  <c r="AR327" i="1"/>
  <c r="AZ327" i="1"/>
  <c r="AH327" i="1"/>
  <c r="Z328" i="1"/>
  <c r="Z327" i="1"/>
  <c r="AH328" i="1"/>
  <c r="AR328" i="1"/>
  <c r="AH939" i="1"/>
  <c r="AH1317" i="1"/>
  <c r="AY508" i="1"/>
  <c r="AX508" i="1"/>
  <c r="AV508" i="1"/>
  <c r="AT508" i="1"/>
  <c r="AQ508" i="1"/>
  <c r="AP508" i="1"/>
  <c r="AN508" i="1"/>
  <c r="AL508" i="1"/>
  <c r="AG508" i="1"/>
  <c r="AF508" i="1"/>
  <c r="AD508" i="1"/>
  <c r="AB508" i="1"/>
  <c r="Y508" i="1"/>
  <c r="X508" i="1"/>
  <c r="V508" i="1"/>
  <c r="T508" i="1"/>
  <c r="AY489" i="1"/>
  <c r="AX489" i="1"/>
  <c r="AV489" i="1"/>
  <c r="AT489" i="1"/>
  <c r="AQ489" i="1"/>
  <c r="AP489" i="1"/>
  <c r="AN489" i="1"/>
  <c r="AL489" i="1"/>
  <c r="AG489" i="1"/>
  <c r="AF489" i="1"/>
  <c r="AD489" i="1"/>
  <c r="AB489" i="1"/>
  <c r="Y489" i="1"/>
  <c r="X489" i="1"/>
  <c r="V489" i="1"/>
  <c r="T489" i="1"/>
  <c r="T485" i="1"/>
  <c r="AY485" i="1"/>
  <c r="AX485" i="1"/>
  <c r="AV485" i="1"/>
  <c r="AT485" i="1"/>
  <c r="AQ485" i="1"/>
  <c r="AP485" i="1"/>
  <c r="AN485" i="1"/>
  <c r="AL485" i="1"/>
  <c r="AG485" i="1"/>
  <c r="AF485" i="1"/>
  <c r="AD485" i="1"/>
  <c r="AB485" i="1"/>
  <c r="Y485" i="1"/>
  <c r="X485" i="1"/>
  <c r="V485" i="1"/>
  <c r="AY1074" i="1"/>
  <c r="AX1074" i="1"/>
  <c r="AV1074" i="1"/>
  <c r="AT1074" i="1"/>
  <c r="AQ1074" i="1"/>
  <c r="AP1074" i="1"/>
  <c r="AN1074" i="1"/>
  <c r="AL1074" i="1"/>
  <c r="AG1074" i="1"/>
  <c r="AF1074" i="1"/>
  <c r="AD1074" i="1"/>
  <c r="AB1074" i="1"/>
  <c r="Y1074" i="1"/>
  <c r="X1074" i="1"/>
  <c r="V1074" i="1"/>
  <c r="T1074" i="1"/>
  <c r="AY1075" i="1"/>
  <c r="AX1075" i="1"/>
  <c r="AV1075" i="1"/>
  <c r="AT1075" i="1"/>
  <c r="AQ1075" i="1"/>
  <c r="AP1075" i="1"/>
  <c r="AN1075" i="1"/>
  <c r="AL1075" i="1"/>
  <c r="AG1075" i="1"/>
  <c r="AF1075" i="1"/>
  <c r="AD1075" i="1"/>
  <c r="AB1075" i="1"/>
  <c r="Y1075" i="1"/>
  <c r="X1075" i="1"/>
  <c r="V1075" i="1"/>
  <c r="T1075" i="1"/>
  <c r="AY1068" i="1"/>
  <c r="AX1068" i="1"/>
  <c r="AV1068" i="1"/>
  <c r="AT1068" i="1"/>
  <c r="AQ1068" i="1"/>
  <c r="AP1068" i="1"/>
  <c r="AN1068" i="1"/>
  <c r="AL1068" i="1"/>
  <c r="AG1068" i="1"/>
  <c r="AF1068" i="1"/>
  <c r="AD1068" i="1"/>
  <c r="AB1068" i="1"/>
  <c r="Y1068" i="1"/>
  <c r="X1068" i="1"/>
  <c r="V1068" i="1"/>
  <c r="T1068" i="1"/>
  <c r="AY1069" i="1"/>
  <c r="AX1069" i="1"/>
  <c r="AV1069" i="1"/>
  <c r="AT1069" i="1"/>
  <c r="AQ1069" i="1"/>
  <c r="AP1069" i="1"/>
  <c r="AN1069" i="1"/>
  <c r="AL1069" i="1"/>
  <c r="AG1069" i="1"/>
  <c r="AF1069" i="1"/>
  <c r="AD1069" i="1"/>
  <c r="AB1069" i="1"/>
  <c r="Y1069" i="1"/>
  <c r="X1069" i="1"/>
  <c r="V1069" i="1"/>
  <c r="T1069" i="1"/>
  <c r="AX379" i="1"/>
  <c r="AV379" i="1"/>
  <c r="AT379" i="1"/>
  <c r="BA379" i="1"/>
  <c r="AP379" i="1"/>
  <c r="AN379" i="1"/>
  <c r="AL379" i="1"/>
  <c r="AG379" i="1"/>
  <c r="AF379" i="1"/>
  <c r="AD379" i="1"/>
  <c r="AB379" i="1"/>
  <c r="Y379" i="1"/>
  <c r="X379" i="1"/>
  <c r="V379" i="1"/>
  <c r="T379" i="1"/>
  <c r="Y355" i="1"/>
  <c r="V332" i="1"/>
  <c r="AY332" i="1"/>
  <c r="AX332" i="1"/>
  <c r="AV332" i="1"/>
  <c r="AT332" i="1"/>
  <c r="AQ332" i="1"/>
  <c r="AP332" i="1"/>
  <c r="AN332" i="1"/>
  <c r="AL332" i="1"/>
  <c r="AG332" i="1"/>
  <c r="AF332" i="1"/>
  <c r="AD332" i="1"/>
  <c r="AB332" i="1"/>
  <c r="Y332" i="1"/>
  <c r="X332" i="1"/>
  <c r="T332" i="1"/>
  <c r="AI489" i="1" l="1"/>
  <c r="Q734" i="1"/>
  <c r="Q182" i="1"/>
  <c r="Q1201" i="1"/>
  <c r="Q248" i="1"/>
  <c r="Q419" i="1"/>
  <c r="Q188" i="1"/>
  <c r="Q691" i="1"/>
  <c r="BA1075" i="1"/>
  <c r="Q1228" i="1"/>
  <c r="Q939" i="1"/>
  <c r="Q415" i="1"/>
  <c r="Q1317" i="1"/>
  <c r="Q328" i="1"/>
  <c r="Q1226" i="1"/>
  <c r="Q327" i="1"/>
  <c r="AZ489" i="1"/>
  <c r="BA508" i="1"/>
  <c r="AI1068" i="1"/>
  <c r="BB668" i="1"/>
  <c r="AJ668" i="1"/>
  <c r="BB83" i="1"/>
  <c r="AI508" i="1"/>
  <c r="BA1069" i="1"/>
  <c r="AI1075" i="1"/>
  <c r="BA332" i="1"/>
  <c r="Q376" i="1"/>
  <c r="BA1074" i="1"/>
  <c r="AJ1201" i="1"/>
  <c r="AH508" i="1"/>
  <c r="AI1069" i="1"/>
  <c r="BA1068" i="1"/>
  <c r="BA489" i="1"/>
  <c r="Q489" i="1" s="1"/>
  <c r="AI332" i="1"/>
  <c r="AI485" i="1"/>
  <c r="AJ83" i="1"/>
  <c r="Q83" i="1"/>
  <c r="Q668" i="1"/>
  <c r="BB330" i="1"/>
  <c r="Q329" i="1"/>
  <c r="BB329" i="1"/>
  <c r="AJ330" i="1"/>
  <c r="AJ691" i="1"/>
  <c r="Q330" i="1"/>
  <c r="AJ329" i="1"/>
  <c r="BB691" i="1"/>
  <c r="AJ188" i="1"/>
  <c r="AJ1228" i="1"/>
  <c r="BB1228" i="1"/>
  <c r="BB184" i="1"/>
  <c r="BB1226" i="1"/>
  <c r="BB182" i="1"/>
  <c r="BB419" i="1"/>
  <c r="AJ1226" i="1"/>
  <c r="BB188" i="1"/>
  <c r="AJ939" i="1"/>
  <c r="AJ184" i="1"/>
  <c r="AJ182" i="1"/>
  <c r="AJ415" i="1"/>
  <c r="AJ419" i="1"/>
  <c r="AJ1317" i="1"/>
  <c r="AJ734" i="1"/>
  <c r="BB734" i="1"/>
  <c r="BB1201" i="1"/>
  <c r="BB377" i="1"/>
  <c r="AH1069" i="1"/>
  <c r="Z508" i="1"/>
  <c r="BB248" i="1"/>
  <c r="AJ376" i="1"/>
  <c r="AJ327" i="1"/>
  <c r="BB328" i="1"/>
  <c r="BB415" i="1"/>
  <c r="BB1317" i="1"/>
  <c r="BB376" i="1"/>
  <c r="AI379" i="1"/>
  <c r="Q379" i="1" s="1"/>
  <c r="AJ377" i="1"/>
  <c r="AJ248" i="1"/>
  <c r="AI1074" i="1"/>
  <c r="AR489" i="1"/>
  <c r="AJ328" i="1"/>
  <c r="AR508" i="1"/>
  <c r="AZ508" i="1"/>
  <c r="BB939" i="1"/>
  <c r="BB327" i="1"/>
  <c r="AH489" i="1"/>
  <c r="AR1074" i="1"/>
  <c r="AZ1074" i="1"/>
  <c r="Z489" i="1"/>
  <c r="AH332" i="1"/>
  <c r="AR332" i="1"/>
  <c r="AZ332" i="1"/>
  <c r="Z379" i="1"/>
  <c r="AH379" i="1"/>
  <c r="AR379" i="1"/>
  <c r="AZ379" i="1"/>
  <c r="AR1069" i="1"/>
  <c r="AZ1069" i="1"/>
  <c r="Z1075" i="1"/>
  <c r="AH1075" i="1"/>
  <c r="BA485" i="1"/>
  <c r="Z485" i="1"/>
  <c r="Z332" i="1"/>
  <c r="Z1074" i="1"/>
  <c r="AH1074" i="1"/>
  <c r="AR1075" i="1"/>
  <c r="AZ1075" i="1"/>
  <c r="AH485" i="1"/>
  <c r="AR485" i="1"/>
  <c r="AZ485" i="1"/>
  <c r="AH1068" i="1"/>
  <c r="AR1068" i="1"/>
  <c r="AZ1068" i="1"/>
  <c r="Z1069" i="1"/>
  <c r="Z1068" i="1"/>
  <c r="AY368" i="1"/>
  <c r="AX368" i="1"/>
  <c r="AV368" i="1"/>
  <c r="AT368" i="1"/>
  <c r="AQ368" i="1"/>
  <c r="AP368" i="1"/>
  <c r="AN368" i="1"/>
  <c r="AL368" i="1"/>
  <c r="AG368" i="1"/>
  <c r="AF368" i="1"/>
  <c r="AD368" i="1"/>
  <c r="AB368" i="1"/>
  <c r="Y368" i="1"/>
  <c r="X368" i="1"/>
  <c r="V368" i="1"/>
  <c r="T368" i="1"/>
  <c r="AY357" i="1"/>
  <c r="AX357" i="1"/>
  <c r="AV357" i="1"/>
  <c r="AT357" i="1"/>
  <c r="AQ357" i="1"/>
  <c r="AP357" i="1"/>
  <c r="AN357" i="1"/>
  <c r="AL357" i="1"/>
  <c r="AG357" i="1"/>
  <c r="AF357" i="1"/>
  <c r="AD357" i="1"/>
  <c r="AB357" i="1"/>
  <c r="Y357" i="1"/>
  <c r="X357" i="1"/>
  <c r="V357" i="1"/>
  <c r="T357" i="1"/>
  <c r="AY391" i="1"/>
  <c r="AX391" i="1"/>
  <c r="AV391" i="1"/>
  <c r="AT391" i="1"/>
  <c r="AQ391" i="1"/>
  <c r="AP391" i="1"/>
  <c r="AN391" i="1"/>
  <c r="AL391" i="1"/>
  <c r="AG391" i="1"/>
  <c r="AF391" i="1"/>
  <c r="AD391" i="1"/>
  <c r="AB391" i="1"/>
  <c r="Y391" i="1"/>
  <c r="X391" i="1"/>
  <c r="V391" i="1"/>
  <c r="T391" i="1"/>
  <c r="AY354" i="1"/>
  <c r="AX354" i="1"/>
  <c r="AV354" i="1"/>
  <c r="AT354" i="1"/>
  <c r="AQ354" i="1"/>
  <c r="AP354" i="1"/>
  <c r="AN354" i="1"/>
  <c r="AL354" i="1"/>
  <c r="AG354" i="1"/>
  <c r="AF354" i="1"/>
  <c r="AD354" i="1"/>
  <c r="AB354" i="1"/>
  <c r="Y354" i="1"/>
  <c r="X354" i="1"/>
  <c r="V354" i="1"/>
  <c r="T354" i="1"/>
  <c r="AY1056" i="1"/>
  <c r="AX1056" i="1"/>
  <c r="AV1056" i="1"/>
  <c r="AT1056" i="1"/>
  <c r="AQ1056" i="1"/>
  <c r="AP1056" i="1"/>
  <c r="AN1056" i="1"/>
  <c r="AL1056" i="1"/>
  <c r="AG1056" i="1"/>
  <c r="AF1056" i="1"/>
  <c r="AD1056" i="1"/>
  <c r="AB1056" i="1"/>
  <c r="Y1056" i="1"/>
  <c r="X1056" i="1"/>
  <c r="V1056" i="1"/>
  <c r="T1056" i="1"/>
  <c r="Y66" i="1"/>
  <c r="R1317" i="1" l="1"/>
  <c r="Q1075" i="1"/>
  <c r="Q508" i="1"/>
  <c r="Q1074" i="1"/>
  <c r="R83" i="1"/>
  <c r="Q1068" i="1"/>
  <c r="R668" i="1"/>
  <c r="R1201" i="1"/>
  <c r="Q1069" i="1"/>
  <c r="Q332" i="1"/>
  <c r="AJ485" i="1"/>
  <c r="AI354" i="1"/>
  <c r="AI368" i="1"/>
  <c r="R329" i="1"/>
  <c r="R330" i="1"/>
  <c r="BA357" i="1"/>
  <c r="R188" i="1"/>
  <c r="Q485" i="1"/>
  <c r="BA354" i="1"/>
  <c r="BA368" i="1"/>
  <c r="R691" i="1"/>
  <c r="R1228" i="1"/>
  <c r="BA1056" i="1"/>
  <c r="R184" i="1"/>
  <c r="R1226" i="1"/>
  <c r="R419" i="1"/>
  <c r="R182" i="1"/>
  <c r="R939" i="1"/>
  <c r="R415" i="1"/>
  <c r="AJ508" i="1"/>
  <c r="R734" i="1"/>
  <c r="R377" i="1"/>
  <c r="AJ332" i="1"/>
  <c r="R248" i="1"/>
  <c r="AI357" i="1"/>
  <c r="R376" i="1"/>
  <c r="R327" i="1"/>
  <c r="R328" i="1"/>
  <c r="AJ379" i="1"/>
  <c r="BB1069" i="1"/>
  <c r="AJ489" i="1"/>
  <c r="BB508" i="1"/>
  <c r="BB1074" i="1"/>
  <c r="BB489" i="1"/>
  <c r="AJ1069" i="1"/>
  <c r="AJ1075" i="1"/>
  <c r="AI391" i="1"/>
  <c r="BB332" i="1"/>
  <c r="AZ391" i="1"/>
  <c r="AR368" i="1"/>
  <c r="BB379" i="1"/>
  <c r="AZ354" i="1"/>
  <c r="AZ368" i="1"/>
  <c r="AJ1074" i="1"/>
  <c r="BB1075" i="1"/>
  <c r="Z354" i="1"/>
  <c r="AJ1068" i="1"/>
  <c r="BB485" i="1"/>
  <c r="BA391" i="1"/>
  <c r="BB1068" i="1"/>
  <c r="AH368" i="1"/>
  <c r="AI1056" i="1"/>
  <c r="AH1056" i="1"/>
  <c r="AR1056" i="1"/>
  <c r="AH391" i="1"/>
  <c r="AR391" i="1"/>
  <c r="AZ1056" i="1"/>
  <c r="Z368" i="1"/>
  <c r="AH357" i="1"/>
  <c r="AR357" i="1"/>
  <c r="AZ357" i="1"/>
  <c r="Z357" i="1"/>
  <c r="AR354" i="1"/>
  <c r="AH354" i="1"/>
  <c r="Z391" i="1"/>
  <c r="Z1056" i="1"/>
  <c r="AY844" i="1"/>
  <c r="AX844" i="1"/>
  <c r="AV844" i="1"/>
  <c r="AT844" i="1"/>
  <c r="AQ844" i="1"/>
  <c r="AP844" i="1"/>
  <c r="AN844" i="1"/>
  <c r="AL844" i="1"/>
  <c r="AG844" i="1"/>
  <c r="AF844" i="1"/>
  <c r="AD844" i="1"/>
  <c r="AB844" i="1"/>
  <c r="Y844" i="1"/>
  <c r="X844" i="1"/>
  <c r="V844" i="1"/>
  <c r="T844" i="1"/>
  <c r="AY733" i="1"/>
  <c r="AX733" i="1"/>
  <c r="AV733" i="1"/>
  <c r="AT733" i="1"/>
  <c r="AQ733" i="1"/>
  <c r="AP733" i="1"/>
  <c r="AN733" i="1"/>
  <c r="AL733" i="1"/>
  <c r="AG733" i="1"/>
  <c r="AF733" i="1"/>
  <c r="AD733" i="1"/>
  <c r="AB733" i="1"/>
  <c r="Y733" i="1"/>
  <c r="X733" i="1"/>
  <c r="V733" i="1"/>
  <c r="T733" i="1"/>
  <c r="AY708" i="1"/>
  <c r="AX708" i="1"/>
  <c r="AV708" i="1"/>
  <c r="AT708" i="1"/>
  <c r="AQ708" i="1"/>
  <c r="AP708" i="1"/>
  <c r="AN708" i="1"/>
  <c r="AL708" i="1"/>
  <c r="AG708" i="1"/>
  <c r="AF708" i="1"/>
  <c r="AD708" i="1"/>
  <c r="AB708" i="1"/>
  <c r="Y708" i="1"/>
  <c r="X708" i="1"/>
  <c r="V708" i="1"/>
  <c r="T708" i="1"/>
  <c r="AY667" i="1"/>
  <c r="AX667" i="1"/>
  <c r="AV667" i="1"/>
  <c r="AT667" i="1"/>
  <c r="AQ667" i="1"/>
  <c r="AP667" i="1"/>
  <c r="AN667" i="1"/>
  <c r="AL667" i="1"/>
  <c r="AG667" i="1"/>
  <c r="AF667" i="1"/>
  <c r="AD667" i="1"/>
  <c r="AB667" i="1"/>
  <c r="Y667" i="1"/>
  <c r="X667" i="1"/>
  <c r="V667" i="1"/>
  <c r="T667" i="1"/>
  <c r="BA667" i="1" l="1"/>
  <c r="Q354" i="1"/>
  <c r="Q368" i="1"/>
  <c r="R485" i="1"/>
  <c r="Q357" i="1"/>
  <c r="BA708" i="1"/>
  <c r="AI708" i="1"/>
  <c r="BA733" i="1"/>
  <c r="Q1056" i="1"/>
  <c r="AI844" i="1"/>
  <c r="AI667" i="1"/>
  <c r="BA844" i="1"/>
  <c r="BB368" i="1"/>
  <c r="R508" i="1"/>
  <c r="R332" i="1"/>
  <c r="R1069" i="1"/>
  <c r="R1075" i="1"/>
  <c r="R379" i="1"/>
  <c r="AI733" i="1"/>
  <c r="R1074" i="1"/>
  <c r="R489" i="1"/>
  <c r="Q391" i="1"/>
  <c r="AJ1056" i="1"/>
  <c r="R1068" i="1"/>
  <c r="BB391" i="1"/>
  <c r="AJ354" i="1"/>
  <c r="BB354" i="1"/>
  <c r="BB1056" i="1"/>
  <c r="AJ368" i="1"/>
  <c r="Z844" i="1"/>
  <c r="AH844" i="1"/>
  <c r="AR844" i="1"/>
  <c r="AJ391" i="1"/>
  <c r="Z708" i="1"/>
  <c r="AJ357" i="1"/>
  <c r="BB357" i="1"/>
  <c r="AZ844" i="1"/>
  <c r="Z667" i="1"/>
  <c r="AH667" i="1"/>
  <c r="AR667" i="1"/>
  <c r="AZ667" i="1"/>
  <c r="AH708" i="1"/>
  <c r="AR708" i="1"/>
  <c r="AZ708" i="1"/>
  <c r="Z733" i="1"/>
  <c r="AH733" i="1"/>
  <c r="AR733" i="1"/>
  <c r="AZ733" i="1"/>
  <c r="AY326" i="1"/>
  <c r="AX326" i="1"/>
  <c r="AV326" i="1"/>
  <c r="AT326" i="1"/>
  <c r="AQ326" i="1"/>
  <c r="AP326" i="1"/>
  <c r="AN326" i="1"/>
  <c r="AL326" i="1"/>
  <c r="AG326" i="1"/>
  <c r="AF326" i="1"/>
  <c r="AD326" i="1"/>
  <c r="AB326" i="1"/>
  <c r="Y326" i="1"/>
  <c r="X326" i="1"/>
  <c r="V326" i="1"/>
  <c r="T326" i="1"/>
  <c r="AY324" i="1"/>
  <c r="AX324" i="1"/>
  <c r="AV324" i="1"/>
  <c r="AT324" i="1"/>
  <c r="AQ324" i="1"/>
  <c r="AP324" i="1"/>
  <c r="AN324" i="1"/>
  <c r="AL324" i="1"/>
  <c r="AG324" i="1"/>
  <c r="AF324" i="1"/>
  <c r="AD324" i="1"/>
  <c r="AB324" i="1"/>
  <c r="Y324" i="1"/>
  <c r="X324" i="1"/>
  <c r="V324" i="1"/>
  <c r="T324" i="1"/>
  <c r="AY66" i="1"/>
  <c r="AX66" i="1"/>
  <c r="AV66" i="1"/>
  <c r="AT66" i="1"/>
  <c r="AQ66" i="1"/>
  <c r="AP66" i="1"/>
  <c r="AN66" i="1"/>
  <c r="AL66" i="1"/>
  <c r="AG66" i="1"/>
  <c r="AI66" i="1" s="1"/>
  <c r="AF66" i="1"/>
  <c r="AD66" i="1"/>
  <c r="AB66" i="1"/>
  <c r="X66" i="1"/>
  <c r="V66" i="1"/>
  <c r="T66" i="1"/>
  <c r="Y1269" i="1"/>
  <c r="AG1237" i="1"/>
  <c r="AG1235" i="1"/>
  <c r="AG1233" i="1"/>
  <c r="Y1242" i="1"/>
  <c r="Y1211" i="1"/>
  <c r="AG1063" i="1"/>
  <c r="Y358" i="1"/>
  <c r="AG181" i="1"/>
  <c r="AG43" i="1"/>
  <c r="Q667" i="1" l="1"/>
  <c r="BA324" i="1"/>
  <c r="Q733" i="1"/>
  <c r="Q708" i="1"/>
  <c r="Q844" i="1"/>
  <c r="R368" i="1"/>
  <c r="BA66" i="1"/>
  <c r="Q66" i="1" s="1"/>
  <c r="R1056" i="1"/>
  <c r="R354" i="1"/>
  <c r="BA326" i="1"/>
  <c r="R391" i="1"/>
  <c r="AJ708" i="1"/>
  <c r="BB844" i="1"/>
  <c r="AJ844" i="1"/>
  <c r="BB708" i="1"/>
  <c r="AI326" i="1"/>
  <c r="R357" i="1"/>
  <c r="BB667" i="1"/>
  <c r="AJ667" i="1"/>
  <c r="BB733" i="1"/>
  <c r="AJ733" i="1"/>
  <c r="AI324" i="1"/>
  <c r="Z324" i="1"/>
  <c r="AH324" i="1"/>
  <c r="AR324" i="1"/>
  <c r="AZ324" i="1"/>
  <c r="Z326" i="1"/>
  <c r="AH326" i="1"/>
  <c r="AR326" i="1"/>
  <c r="AZ326" i="1"/>
  <c r="Z66" i="1"/>
  <c r="AH66" i="1"/>
  <c r="AR66" i="1"/>
  <c r="AZ66" i="1"/>
  <c r="S28" i="1"/>
  <c r="S70" i="1"/>
  <c r="S115" i="1"/>
  <c r="S143" i="1"/>
  <c r="S110" i="1" s="1"/>
  <c r="S149" i="1"/>
  <c r="S267" i="1"/>
  <c r="S281" i="1"/>
  <c r="S284" i="1"/>
  <c r="S289" i="1"/>
  <c r="S468" i="1"/>
  <c r="S486" i="1"/>
  <c r="S535" i="1"/>
  <c r="S543" i="1"/>
  <c r="S572" i="1"/>
  <c r="S594" i="1"/>
  <c r="S597" i="1"/>
  <c r="S601" i="1"/>
  <c r="S606" i="1"/>
  <c r="S612" i="1"/>
  <c r="S623" i="1"/>
  <c r="S625" i="1"/>
  <c r="S737" i="1"/>
  <c r="S764" i="1"/>
  <c r="S873" i="1"/>
  <c r="AY751" i="1"/>
  <c r="AX751" i="1"/>
  <c r="AV751" i="1"/>
  <c r="AT751" i="1"/>
  <c r="AQ751" i="1"/>
  <c r="AP751" i="1"/>
  <c r="AN751" i="1"/>
  <c r="AL751" i="1"/>
  <c r="AG751" i="1"/>
  <c r="AF751" i="1"/>
  <c r="AD751" i="1"/>
  <c r="AB751" i="1"/>
  <c r="Y751" i="1"/>
  <c r="X751" i="1"/>
  <c r="V751" i="1"/>
  <c r="T751" i="1"/>
  <c r="AY471" i="1"/>
  <c r="AX471" i="1"/>
  <c r="AV471" i="1"/>
  <c r="AT471" i="1"/>
  <c r="AQ471" i="1"/>
  <c r="AP471" i="1"/>
  <c r="AN471" i="1"/>
  <c r="AL471" i="1"/>
  <c r="AG471" i="1"/>
  <c r="AF471" i="1"/>
  <c r="AD471" i="1"/>
  <c r="AB471" i="1"/>
  <c r="X471" i="1"/>
  <c r="V471" i="1"/>
  <c r="AY472" i="1"/>
  <c r="AX472" i="1"/>
  <c r="AV472" i="1"/>
  <c r="AT472" i="1"/>
  <c r="AQ472" i="1"/>
  <c r="AP472" i="1"/>
  <c r="AN472" i="1"/>
  <c r="AL472" i="1"/>
  <c r="AG472" i="1"/>
  <c r="AF472" i="1"/>
  <c r="AD472" i="1"/>
  <c r="AB472" i="1"/>
  <c r="X472" i="1"/>
  <c r="V472" i="1"/>
  <c r="U468" i="1"/>
  <c r="W468" i="1"/>
  <c r="AA468" i="1"/>
  <c r="AC468" i="1"/>
  <c r="AE468" i="1"/>
  <c r="AK468" i="1"/>
  <c r="AM468" i="1"/>
  <c r="AO468" i="1"/>
  <c r="AS468" i="1"/>
  <c r="AU468" i="1"/>
  <c r="AW468" i="1"/>
  <c r="AY467" i="1"/>
  <c r="AX467" i="1"/>
  <c r="AV467" i="1"/>
  <c r="AT467" i="1"/>
  <c r="AQ467" i="1"/>
  <c r="AP467" i="1"/>
  <c r="AN467" i="1"/>
  <c r="AL467" i="1"/>
  <c r="AG467" i="1"/>
  <c r="AF467" i="1"/>
  <c r="AD467" i="1"/>
  <c r="AB467" i="1"/>
  <c r="X467" i="1"/>
  <c r="V467" i="1"/>
  <c r="U486" i="1"/>
  <c r="W486" i="1"/>
  <c r="AA486" i="1"/>
  <c r="AC486" i="1"/>
  <c r="AE486" i="1"/>
  <c r="AK486" i="1"/>
  <c r="AM486" i="1"/>
  <c r="AO486" i="1"/>
  <c r="AS486" i="1"/>
  <c r="AU486" i="1"/>
  <c r="AW486" i="1"/>
  <c r="AY1280" i="1"/>
  <c r="AX1280" i="1"/>
  <c r="AV1280" i="1"/>
  <c r="AT1280" i="1"/>
  <c r="AQ1280" i="1"/>
  <c r="AP1280" i="1"/>
  <c r="AN1280" i="1"/>
  <c r="AL1280" i="1"/>
  <c r="AG1280" i="1"/>
  <c r="AF1280" i="1"/>
  <c r="AD1280" i="1"/>
  <c r="AB1280" i="1"/>
  <c r="Y1280" i="1"/>
  <c r="X1280" i="1"/>
  <c r="V1280" i="1"/>
  <c r="T1280" i="1"/>
  <c r="AY1269" i="1"/>
  <c r="AX1269" i="1"/>
  <c r="AV1269" i="1"/>
  <c r="AT1269" i="1"/>
  <c r="AQ1269" i="1"/>
  <c r="AP1269" i="1"/>
  <c r="AN1269" i="1"/>
  <c r="AL1269" i="1"/>
  <c r="AG1269" i="1"/>
  <c r="AI1269" i="1" s="1"/>
  <c r="AF1269" i="1"/>
  <c r="AD1269" i="1"/>
  <c r="AB1269" i="1"/>
  <c r="X1269" i="1"/>
  <c r="V1269" i="1"/>
  <c r="T1269" i="1"/>
  <c r="AY1084" i="1"/>
  <c r="AX1084" i="1"/>
  <c r="AV1084" i="1"/>
  <c r="AT1084" i="1"/>
  <c r="AQ1084" i="1"/>
  <c r="AP1084" i="1"/>
  <c r="AN1084" i="1"/>
  <c r="AL1084" i="1"/>
  <c r="AG1084" i="1"/>
  <c r="AF1084" i="1"/>
  <c r="AD1084" i="1"/>
  <c r="AB1084" i="1"/>
  <c r="Y1084" i="1"/>
  <c r="X1084" i="1"/>
  <c r="V1084" i="1"/>
  <c r="T1084" i="1"/>
  <c r="AY1063" i="1"/>
  <c r="AX1063" i="1"/>
  <c r="AV1063" i="1"/>
  <c r="AT1063" i="1"/>
  <c r="AQ1063" i="1"/>
  <c r="AP1063" i="1"/>
  <c r="AN1063" i="1"/>
  <c r="AL1063" i="1"/>
  <c r="AF1063" i="1"/>
  <c r="AD1063" i="1"/>
  <c r="AB1063" i="1"/>
  <c r="Y1063" i="1"/>
  <c r="X1063" i="1"/>
  <c r="V1063" i="1"/>
  <c r="T1063" i="1"/>
  <c r="AY1209" i="1"/>
  <c r="AX1209" i="1"/>
  <c r="AV1209" i="1"/>
  <c r="AT1209" i="1"/>
  <c r="AQ1209" i="1"/>
  <c r="AP1209" i="1"/>
  <c r="AN1209" i="1"/>
  <c r="AL1209" i="1"/>
  <c r="AG1209" i="1"/>
  <c r="AF1209" i="1"/>
  <c r="AD1209" i="1"/>
  <c r="AB1209" i="1"/>
  <c r="Y1209" i="1"/>
  <c r="X1209" i="1"/>
  <c r="V1209" i="1"/>
  <c r="T1209" i="1"/>
  <c r="AY65" i="1"/>
  <c r="AX65" i="1"/>
  <c r="AV65" i="1"/>
  <c r="AT65" i="1"/>
  <c r="AQ65" i="1"/>
  <c r="AP65" i="1"/>
  <c r="AN65" i="1"/>
  <c r="AL65" i="1"/>
  <c r="AG65" i="1"/>
  <c r="AF65" i="1"/>
  <c r="AD65" i="1"/>
  <c r="AB65" i="1"/>
  <c r="X65" i="1"/>
  <c r="V65" i="1"/>
  <c r="Q324" i="1" l="1"/>
  <c r="AI1280" i="1"/>
  <c r="BA471" i="1"/>
  <c r="Q326" i="1"/>
  <c r="R708" i="1"/>
  <c r="R844" i="1"/>
  <c r="R733" i="1"/>
  <c r="R667" i="1"/>
  <c r="BB66" i="1"/>
  <c r="BB326" i="1"/>
  <c r="BB324" i="1"/>
  <c r="AZ1269" i="1"/>
  <c r="AJ66" i="1"/>
  <c r="AJ326" i="1"/>
  <c r="AJ324" i="1"/>
  <c r="AH1269" i="1"/>
  <c r="AR1269" i="1"/>
  <c r="BA1209" i="1"/>
  <c r="AI1209" i="1"/>
  <c r="AI1084" i="1"/>
  <c r="BA751" i="1"/>
  <c r="AI751" i="1"/>
  <c r="S626" i="1"/>
  <c r="S874" i="1"/>
  <c r="S144" i="1"/>
  <c r="S250" i="1" s="1"/>
  <c r="S282" i="1" s="1"/>
  <c r="S544" i="1"/>
  <c r="AR1209" i="1"/>
  <c r="AR1280" i="1"/>
  <c r="AZ1209" i="1"/>
  <c r="AZ1280" i="1"/>
  <c r="Z1269" i="1"/>
  <c r="BA1269" i="1"/>
  <c r="Q1269" i="1" s="1"/>
  <c r="Z1280" i="1"/>
  <c r="AH1280" i="1"/>
  <c r="BA1280" i="1"/>
  <c r="AH471" i="1"/>
  <c r="AR471" i="1"/>
  <c r="AZ471" i="1"/>
  <c r="AZ751" i="1"/>
  <c r="AR751" i="1"/>
  <c r="AH751" i="1"/>
  <c r="Z751" i="1"/>
  <c r="BA472" i="1"/>
  <c r="AH472" i="1"/>
  <c r="AR472" i="1"/>
  <c r="AZ467" i="1"/>
  <c r="AZ472" i="1"/>
  <c r="BA467" i="1"/>
  <c r="AH467" i="1"/>
  <c r="AR467" i="1"/>
  <c r="Z1084" i="1"/>
  <c r="AH1084" i="1"/>
  <c r="AZ1084" i="1"/>
  <c r="Z1209" i="1"/>
  <c r="AH1209" i="1"/>
  <c r="BA1084" i="1"/>
  <c r="AR1084" i="1"/>
  <c r="BA1063" i="1"/>
  <c r="AI1063" i="1"/>
  <c r="AZ1063" i="1"/>
  <c r="AR1063" i="1"/>
  <c r="AH1063" i="1"/>
  <c r="Z1063" i="1"/>
  <c r="BA65" i="1"/>
  <c r="AH65" i="1"/>
  <c r="AR65" i="1"/>
  <c r="AZ65" i="1"/>
  <c r="Q1280" i="1" l="1"/>
  <c r="Q1084" i="1"/>
  <c r="BB467" i="1"/>
  <c r="R326" i="1"/>
  <c r="R324" i="1"/>
  <c r="BB1280" i="1"/>
  <c r="BB1269" i="1"/>
  <c r="R66" i="1"/>
  <c r="Q1209" i="1"/>
  <c r="Q751" i="1"/>
  <c r="BB1209" i="1"/>
  <c r="BB1084" i="1"/>
  <c r="AJ1269" i="1"/>
  <c r="AJ1280" i="1"/>
  <c r="AJ1063" i="1"/>
  <c r="Q1063" i="1"/>
  <c r="AJ751" i="1"/>
  <c r="BB471" i="1"/>
  <c r="BB751" i="1"/>
  <c r="BB472" i="1"/>
  <c r="AJ1084" i="1"/>
  <c r="AJ1209" i="1"/>
  <c r="BB1063" i="1"/>
  <c r="BB65" i="1"/>
  <c r="AY424" i="1"/>
  <c r="AQ424" i="1"/>
  <c r="AP424" i="1"/>
  <c r="AN424" i="1"/>
  <c r="AL424" i="1"/>
  <c r="AG424" i="1"/>
  <c r="AF424" i="1"/>
  <c r="AD424" i="1"/>
  <c r="AB424" i="1"/>
  <c r="X424" i="1"/>
  <c r="V424" i="1"/>
  <c r="AY427" i="1"/>
  <c r="AQ427" i="1"/>
  <c r="AP427" i="1"/>
  <c r="AN427" i="1"/>
  <c r="AL427" i="1"/>
  <c r="AG427" i="1"/>
  <c r="AF427" i="1"/>
  <c r="AD427" i="1"/>
  <c r="AB427" i="1"/>
  <c r="X427" i="1"/>
  <c r="V427" i="1"/>
  <c r="AY426" i="1"/>
  <c r="AQ426" i="1"/>
  <c r="AP426" i="1"/>
  <c r="AN426" i="1"/>
  <c r="AL426" i="1"/>
  <c r="AG426" i="1"/>
  <c r="AF426" i="1"/>
  <c r="AD426" i="1"/>
  <c r="AB426" i="1"/>
  <c r="X426" i="1"/>
  <c r="V426" i="1"/>
  <c r="AY730" i="1"/>
  <c r="AX730" i="1"/>
  <c r="AV730" i="1"/>
  <c r="AT730" i="1"/>
  <c r="AQ730" i="1"/>
  <c r="AP730" i="1"/>
  <c r="AN730" i="1"/>
  <c r="AL730" i="1"/>
  <c r="AG730" i="1"/>
  <c r="AF730" i="1"/>
  <c r="AD730" i="1"/>
  <c r="AB730" i="1"/>
  <c r="Y730" i="1"/>
  <c r="X730" i="1"/>
  <c r="V730" i="1"/>
  <c r="T730" i="1"/>
  <c r="AY808" i="1"/>
  <c r="AY1276" i="1"/>
  <c r="AX1276" i="1"/>
  <c r="AV1276" i="1"/>
  <c r="AT1276" i="1"/>
  <c r="AQ1276" i="1"/>
  <c r="AP1276" i="1"/>
  <c r="AN1276" i="1"/>
  <c r="AL1276" i="1"/>
  <c r="AG1276" i="1"/>
  <c r="AF1276" i="1"/>
  <c r="AD1276" i="1"/>
  <c r="AB1276" i="1"/>
  <c r="Y1276" i="1"/>
  <c r="X1276" i="1"/>
  <c r="V1276" i="1"/>
  <c r="T1276" i="1"/>
  <c r="AY1278" i="1"/>
  <c r="AX1278" i="1"/>
  <c r="AV1278" i="1"/>
  <c r="AT1278" i="1"/>
  <c r="AQ1278" i="1"/>
  <c r="AP1278" i="1"/>
  <c r="AN1278" i="1"/>
  <c r="AL1278" i="1"/>
  <c r="AG1278" i="1"/>
  <c r="AF1278" i="1"/>
  <c r="AD1278" i="1"/>
  <c r="AB1278" i="1"/>
  <c r="Y1278" i="1"/>
  <c r="X1278" i="1"/>
  <c r="V1278" i="1"/>
  <c r="T1278" i="1"/>
  <c r="AY1067" i="1"/>
  <c r="AX1067" i="1"/>
  <c r="AV1067" i="1"/>
  <c r="AT1067" i="1"/>
  <c r="AQ1067" i="1"/>
  <c r="AP1067" i="1"/>
  <c r="AN1067" i="1"/>
  <c r="AL1067" i="1"/>
  <c r="AG1067" i="1"/>
  <c r="AF1067" i="1"/>
  <c r="AD1067" i="1"/>
  <c r="AB1067" i="1"/>
  <c r="Y1067" i="1"/>
  <c r="X1067" i="1"/>
  <c r="V1067" i="1"/>
  <c r="T1067" i="1"/>
  <c r="AY1057" i="1"/>
  <c r="AX1057" i="1"/>
  <c r="AV1057" i="1"/>
  <c r="AT1057" i="1"/>
  <c r="AQ1057" i="1"/>
  <c r="AP1057" i="1"/>
  <c r="AN1057" i="1"/>
  <c r="AL1057" i="1"/>
  <c r="AG1057" i="1"/>
  <c r="AF1057" i="1"/>
  <c r="AD1057" i="1"/>
  <c r="AB1057" i="1"/>
  <c r="Y1057" i="1"/>
  <c r="X1057" i="1"/>
  <c r="V1057" i="1"/>
  <c r="T1057" i="1"/>
  <c r="AY1247" i="1"/>
  <c r="AY62" i="1"/>
  <c r="AX62" i="1"/>
  <c r="AV62" i="1"/>
  <c r="AT62" i="1"/>
  <c r="AQ62" i="1"/>
  <c r="AP62" i="1"/>
  <c r="AN62" i="1"/>
  <c r="AL62" i="1"/>
  <c r="AG62" i="1"/>
  <c r="AF62" i="1"/>
  <c r="AD62" i="1"/>
  <c r="AB62" i="1"/>
  <c r="X62" i="1"/>
  <c r="V62" i="1"/>
  <c r="AY63" i="1"/>
  <c r="AX63" i="1"/>
  <c r="AV63" i="1"/>
  <c r="AT63" i="1"/>
  <c r="AQ63" i="1"/>
  <c r="AP63" i="1"/>
  <c r="AN63" i="1"/>
  <c r="AL63" i="1"/>
  <c r="AG63" i="1"/>
  <c r="AF63" i="1"/>
  <c r="AD63" i="1"/>
  <c r="AB63" i="1"/>
  <c r="X63" i="1"/>
  <c r="V63" i="1"/>
  <c r="AY191" i="1"/>
  <c r="AX191" i="1"/>
  <c r="AV191" i="1"/>
  <c r="AT191" i="1"/>
  <c r="AQ191" i="1"/>
  <c r="AP191" i="1"/>
  <c r="AN191" i="1"/>
  <c r="AL191" i="1"/>
  <c r="AG191" i="1"/>
  <c r="AF191" i="1"/>
  <c r="AD191" i="1"/>
  <c r="AB191" i="1"/>
  <c r="X191" i="1"/>
  <c r="V191" i="1"/>
  <c r="AY381" i="1"/>
  <c r="AQ381" i="1"/>
  <c r="AP381" i="1"/>
  <c r="AN381" i="1"/>
  <c r="AL381" i="1"/>
  <c r="AG381" i="1"/>
  <c r="AF381" i="1"/>
  <c r="AD381" i="1"/>
  <c r="AB381" i="1"/>
  <c r="X381" i="1"/>
  <c r="V381" i="1"/>
  <c r="AY380" i="1"/>
  <c r="AQ380" i="1"/>
  <c r="AP380" i="1"/>
  <c r="AN380" i="1"/>
  <c r="AL380" i="1"/>
  <c r="AG380" i="1"/>
  <c r="AF380" i="1"/>
  <c r="AD380" i="1"/>
  <c r="AB380" i="1"/>
  <c r="X380" i="1"/>
  <c r="V380" i="1"/>
  <c r="AY378" i="1"/>
  <c r="AQ378" i="1"/>
  <c r="AP378" i="1"/>
  <c r="AN378" i="1"/>
  <c r="AL378" i="1"/>
  <c r="AG378" i="1"/>
  <c r="AF378" i="1"/>
  <c r="AD378" i="1"/>
  <c r="AB378" i="1"/>
  <c r="X378" i="1"/>
  <c r="V378" i="1"/>
  <c r="AY375" i="1"/>
  <c r="AQ375" i="1"/>
  <c r="AP375" i="1"/>
  <c r="AN375" i="1"/>
  <c r="AL375" i="1"/>
  <c r="AG375" i="1"/>
  <c r="AF375" i="1"/>
  <c r="AD375" i="1"/>
  <c r="AB375" i="1"/>
  <c r="X375" i="1"/>
  <c r="V375" i="1"/>
  <c r="AY374" i="1"/>
  <c r="AQ374" i="1"/>
  <c r="AP374" i="1"/>
  <c r="AN374" i="1"/>
  <c r="AL374" i="1"/>
  <c r="AG374" i="1"/>
  <c r="AF374" i="1"/>
  <c r="AD374" i="1"/>
  <c r="AB374" i="1"/>
  <c r="X374" i="1"/>
  <c r="V374" i="1"/>
  <c r="AY373" i="1"/>
  <c r="AQ373" i="1"/>
  <c r="AP373" i="1"/>
  <c r="AN373" i="1"/>
  <c r="AL373" i="1"/>
  <c r="AG373" i="1"/>
  <c r="AF373" i="1"/>
  <c r="AD373" i="1"/>
  <c r="AB373" i="1"/>
  <c r="X373" i="1"/>
  <c r="V373" i="1"/>
  <c r="AY372" i="1"/>
  <c r="AQ372" i="1"/>
  <c r="AP372" i="1"/>
  <c r="AN372" i="1"/>
  <c r="AL372" i="1"/>
  <c r="AG372" i="1"/>
  <c r="AF372" i="1"/>
  <c r="AD372" i="1"/>
  <c r="AB372" i="1"/>
  <c r="X372" i="1"/>
  <c r="V372" i="1"/>
  <c r="AI1067" i="1" l="1"/>
  <c r="AI1276" i="1"/>
  <c r="AZ63" i="1"/>
  <c r="AI730" i="1"/>
  <c r="AI1057" i="1"/>
  <c r="R1280" i="1"/>
  <c r="R1269" i="1"/>
  <c r="R1084" i="1"/>
  <c r="BA1067" i="1"/>
  <c r="BA63" i="1"/>
  <c r="AI1278" i="1"/>
  <c r="R1209" i="1"/>
  <c r="BA62" i="1"/>
  <c r="AH424" i="1"/>
  <c r="BA424" i="1"/>
  <c r="Z1278" i="1"/>
  <c r="AH1278" i="1"/>
  <c r="Z1057" i="1"/>
  <c r="AH1057" i="1"/>
  <c r="AZ1057" i="1"/>
  <c r="R751" i="1"/>
  <c r="BA1278" i="1"/>
  <c r="AH62" i="1"/>
  <c r="BA730" i="1"/>
  <c r="R1063" i="1"/>
  <c r="BA1057" i="1"/>
  <c r="AR424" i="1"/>
  <c r="AR1278" i="1"/>
  <c r="AH427" i="1"/>
  <c r="AR373" i="1"/>
  <c r="AR427" i="1"/>
  <c r="AR374" i="1"/>
  <c r="AR381" i="1"/>
  <c r="AR375" i="1"/>
  <c r="AR372" i="1"/>
  <c r="AR378" i="1"/>
  <c r="AH426" i="1"/>
  <c r="AR426" i="1"/>
  <c r="BA426" i="1"/>
  <c r="AT424" i="1"/>
  <c r="AX424" i="1"/>
  <c r="AV424" i="1"/>
  <c r="AH375" i="1"/>
  <c r="BA427" i="1"/>
  <c r="AZ730" i="1"/>
  <c r="Z730" i="1"/>
  <c r="AH730" i="1"/>
  <c r="AR730" i="1"/>
  <c r="AZ1278" i="1"/>
  <c r="AZ1276" i="1"/>
  <c r="BA1276" i="1"/>
  <c r="Z1276" i="1"/>
  <c r="AH1276" i="1"/>
  <c r="AR1276" i="1"/>
  <c r="AZ1067" i="1"/>
  <c r="BA375" i="1"/>
  <c r="AH381" i="1"/>
  <c r="Z1067" i="1"/>
  <c r="AH1067" i="1"/>
  <c r="AR1067" i="1"/>
  <c r="BA380" i="1"/>
  <c r="AZ191" i="1"/>
  <c r="AR1057" i="1"/>
  <c r="AR63" i="1"/>
  <c r="AH378" i="1"/>
  <c r="BA381" i="1"/>
  <c r="AH63" i="1"/>
  <c r="AZ62" i="1"/>
  <c r="AR62" i="1"/>
  <c r="BA191" i="1"/>
  <c r="AH191" i="1"/>
  <c r="AR191" i="1"/>
  <c r="BA378" i="1"/>
  <c r="BA374" i="1"/>
  <c r="BA372" i="1"/>
  <c r="AX374" i="1"/>
  <c r="AT374" i="1"/>
  <c r="AV374" i="1"/>
  <c r="AT373" i="1"/>
  <c r="AH380" i="1"/>
  <c r="AR380" i="1"/>
  <c r="AH374" i="1"/>
  <c r="BA373" i="1"/>
  <c r="AH372" i="1"/>
  <c r="AH373" i="1"/>
  <c r="Q1067" i="1" l="1"/>
  <c r="Q730" i="1"/>
  <c r="Q1276" i="1"/>
  <c r="Q1057" i="1"/>
  <c r="BB1057" i="1"/>
  <c r="Q1278" i="1"/>
  <c r="BB1278" i="1"/>
  <c r="AJ1278" i="1"/>
  <c r="AJ1057" i="1"/>
  <c r="AJ730" i="1"/>
  <c r="AJ1067" i="1"/>
  <c r="BB1067" i="1"/>
  <c r="BB62" i="1"/>
  <c r="AV426" i="1"/>
  <c r="AT426" i="1"/>
  <c r="AX426" i="1"/>
  <c r="AV427" i="1"/>
  <c r="AX427" i="1"/>
  <c r="AT427" i="1"/>
  <c r="AZ424" i="1"/>
  <c r="BB424" i="1" s="1"/>
  <c r="BB191" i="1"/>
  <c r="BB730" i="1"/>
  <c r="BB1276" i="1"/>
  <c r="AJ1276" i="1"/>
  <c r="BB63" i="1"/>
  <c r="AZ374" i="1"/>
  <c r="BB374" i="1" s="1"/>
  <c r="AT380" i="1"/>
  <c r="AX380" i="1"/>
  <c r="AV380" i="1"/>
  <c r="AX373" i="1"/>
  <c r="AV373" i="1"/>
  <c r="AX378" i="1"/>
  <c r="AV378" i="1"/>
  <c r="AT378" i="1"/>
  <c r="AV375" i="1"/>
  <c r="AX375" i="1"/>
  <c r="AT375" i="1"/>
  <c r="AT372" i="1"/>
  <c r="AV372" i="1"/>
  <c r="AX372" i="1"/>
  <c r="AT381" i="1"/>
  <c r="AX381" i="1"/>
  <c r="AV381" i="1"/>
  <c r="AY729" i="1"/>
  <c r="AX729" i="1"/>
  <c r="AV729" i="1"/>
  <c r="AT729" i="1"/>
  <c r="AQ729" i="1"/>
  <c r="AP729" i="1"/>
  <c r="AN729" i="1"/>
  <c r="AL729" i="1"/>
  <c r="AG729" i="1"/>
  <c r="AF729" i="1"/>
  <c r="AD729" i="1"/>
  <c r="AB729" i="1"/>
  <c r="Y729" i="1"/>
  <c r="X729" i="1"/>
  <c r="V729" i="1"/>
  <c r="T729" i="1"/>
  <c r="U70" i="1"/>
  <c r="W70" i="1"/>
  <c r="AA70" i="1"/>
  <c r="AC70" i="1"/>
  <c r="AE70" i="1"/>
  <c r="AK70" i="1"/>
  <c r="AM70" i="1"/>
  <c r="AO70" i="1"/>
  <c r="AS70" i="1"/>
  <c r="AU70" i="1"/>
  <c r="AW70" i="1"/>
  <c r="AY67" i="1"/>
  <c r="AX67" i="1"/>
  <c r="AV67" i="1"/>
  <c r="AT67" i="1"/>
  <c r="AQ67" i="1"/>
  <c r="AP67" i="1"/>
  <c r="AN67" i="1"/>
  <c r="AL67" i="1"/>
  <c r="AG67" i="1"/>
  <c r="AF67" i="1"/>
  <c r="AD67" i="1"/>
  <c r="AB67" i="1"/>
  <c r="X67" i="1"/>
  <c r="V67" i="1"/>
  <c r="AY69" i="1"/>
  <c r="AX69" i="1"/>
  <c r="AV69" i="1"/>
  <c r="AT69" i="1"/>
  <c r="AQ69" i="1"/>
  <c r="AP69" i="1"/>
  <c r="AN69" i="1"/>
  <c r="AL69" i="1"/>
  <c r="AG69" i="1"/>
  <c r="AF69" i="1"/>
  <c r="AD69" i="1"/>
  <c r="AB69" i="1"/>
  <c r="X69" i="1"/>
  <c r="V69" i="1"/>
  <c r="AT181" i="1"/>
  <c r="AY189" i="1"/>
  <c r="AX189" i="1"/>
  <c r="AV189" i="1"/>
  <c r="AT189" i="1"/>
  <c r="AQ189" i="1"/>
  <c r="AP189" i="1"/>
  <c r="AN189" i="1"/>
  <c r="AL189" i="1"/>
  <c r="AG189" i="1"/>
  <c r="AF189" i="1"/>
  <c r="AD189" i="1"/>
  <c r="AB189" i="1"/>
  <c r="X189" i="1"/>
  <c r="V189" i="1"/>
  <c r="AY190" i="1"/>
  <c r="AX190" i="1"/>
  <c r="AV190" i="1"/>
  <c r="AT190" i="1"/>
  <c r="AQ190" i="1"/>
  <c r="AP190" i="1"/>
  <c r="AN190" i="1"/>
  <c r="AL190" i="1"/>
  <c r="AG190" i="1"/>
  <c r="AF190" i="1"/>
  <c r="AD190" i="1"/>
  <c r="AB190" i="1"/>
  <c r="X190" i="1"/>
  <c r="V190" i="1"/>
  <c r="AY185" i="1"/>
  <c r="AX185" i="1"/>
  <c r="AV185" i="1"/>
  <c r="AT185" i="1"/>
  <c r="AQ185" i="1"/>
  <c r="AP185" i="1"/>
  <c r="AN185" i="1"/>
  <c r="AL185" i="1"/>
  <c r="AG185" i="1"/>
  <c r="AF185" i="1"/>
  <c r="AD185" i="1"/>
  <c r="AB185" i="1"/>
  <c r="X185" i="1"/>
  <c r="V185" i="1"/>
  <c r="AY1281" i="1"/>
  <c r="AX1281" i="1"/>
  <c r="AV1281" i="1"/>
  <c r="AT1281" i="1"/>
  <c r="AQ1281" i="1"/>
  <c r="AP1281" i="1"/>
  <c r="AN1281" i="1"/>
  <c r="AL1281" i="1"/>
  <c r="AG1281" i="1"/>
  <c r="AF1281" i="1"/>
  <c r="AD1281" i="1"/>
  <c r="AB1281" i="1"/>
  <c r="Y1281" i="1"/>
  <c r="X1281" i="1"/>
  <c r="V1281" i="1"/>
  <c r="T1281" i="1"/>
  <c r="AI729" i="1" l="1"/>
  <c r="BA729" i="1"/>
  <c r="R1057" i="1"/>
  <c r="BA189" i="1"/>
  <c r="R1278" i="1"/>
  <c r="BA1281" i="1"/>
  <c r="AI1281" i="1"/>
  <c r="Z729" i="1"/>
  <c r="AH729" i="1"/>
  <c r="AR729" i="1"/>
  <c r="AZ729" i="1"/>
  <c r="BA69" i="1"/>
  <c r="AR1281" i="1"/>
  <c r="R730" i="1"/>
  <c r="Z1281" i="1"/>
  <c r="AH1281" i="1"/>
  <c r="R1067" i="1"/>
  <c r="AZ373" i="1"/>
  <c r="BB373" i="1" s="1"/>
  <c r="AZ1281" i="1"/>
  <c r="AZ189" i="1"/>
  <c r="AZ375" i="1"/>
  <c r="BB375" i="1" s="1"/>
  <c r="AZ69" i="1"/>
  <c r="AZ427" i="1"/>
  <c r="BB427" i="1" s="1"/>
  <c r="AZ426" i="1"/>
  <c r="BB426" i="1" s="1"/>
  <c r="R1276" i="1"/>
  <c r="AZ67" i="1"/>
  <c r="AH189" i="1"/>
  <c r="AZ378" i="1"/>
  <c r="BB378" i="1" s="1"/>
  <c r="AZ380" i="1"/>
  <c r="BB380" i="1" s="1"/>
  <c r="AZ372" i="1"/>
  <c r="BB372" i="1" s="1"/>
  <c r="AZ381" i="1"/>
  <c r="BB381" i="1" s="1"/>
  <c r="AH67" i="1"/>
  <c r="AR69" i="1"/>
  <c r="BA190" i="1"/>
  <c r="AR189" i="1"/>
  <c r="BA67" i="1"/>
  <c r="AR67" i="1"/>
  <c r="AH69" i="1"/>
  <c r="BA185" i="1"/>
  <c r="AH190" i="1"/>
  <c r="AR190" i="1"/>
  <c r="AZ190" i="1"/>
  <c r="AH185" i="1"/>
  <c r="AR185" i="1"/>
  <c r="AZ185" i="1"/>
  <c r="AY1245" i="1"/>
  <c r="AY1242" i="1"/>
  <c r="AY1236" i="1"/>
  <c r="AY1240" i="1"/>
  <c r="AY1234" i="1"/>
  <c r="AY1225" i="1"/>
  <c r="AY243" i="1"/>
  <c r="AX243" i="1"/>
  <c r="AV243" i="1"/>
  <c r="AT243" i="1"/>
  <c r="AQ243" i="1"/>
  <c r="AP243" i="1"/>
  <c r="AN243" i="1"/>
  <c r="AG243" i="1"/>
  <c r="AF243" i="1"/>
  <c r="AD243" i="1"/>
  <c r="AB243" i="1"/>
  <c r="X243" i="1"/>
  <c r="V243" i="1"/>
  <c r="AY162" i="1"/>
  <c r="AX162" i="1"/>
  <c r="AV162" i="1"/>
  <c r="AT162" i="1"/>
  <c r="AQ162" i="1"/>
  <c r="AP162" i="1"/>
  <c r="AN162" i="1"/>
  <c r="AL162" i="1"/>
  <c r="AG162" i="1"/>
  <c r="AF162" i="1"/>
  <c r="AD162" i="1"/>
  <c r="AB162" i="1"/>
  <c r="X162" i="1"/>
  <c r="V162" i="1"/>
  <c r="AY367" i="1"/>
  <c r="AX367" i="1"/>
  <c r="AV367" i="1"/>
  <c r="AT367" i="1"/>
  <c r="AQ367" i="1"/>
  <c r="AP367" i="1"/>
  <c r="AN367" i="1"/>
  <c r="AL367" i="1"/>
  <c r="AG367" i="1"/>
  <c r="AF367" i="1"/>
  <c r="AD367" i="1"/>
  <c r="AB367" i="1"/>
  <c r="X367" i="1"/>
  <c r="V367" i="1"/>
  <c r="AY356" i="1"/>
  <c r="AX356" i="1"/>
  <c r="AV356" i="1"/>
  <c r="AT356" i="1"/>
  <c r="AQ356" i="1"/>
  <c r="AP356" i="1"/>
  <c r="AN356" i="1"/>
  <c r="AL356" i="1"/>
  <c r="AG356" i="1"/>
  <c r="AF356" i="1"/>
  <c r="AD356" i="1"/>
  <c r="AB356" i="1"/>
  <c r="X356" i="1"/>
  <c r="V356" i="1"/>
  <c r="AY807" i="1"/>
  <c r="AX807" i="1"/>
  <c r="AV807" i="1"/>
  <c r="AT807" i="1"/>
  <c r="AQ807" i="1"/>
  <c r="AP807" i="1"/>
  <c r="AN807" i="1"/>
  <c r="AL807" i="1"/>
  <c r="AG807" i="1"/>
  <c r="AF807" i="1"/>
  <c r="AD807" i="1"/>
  <c r="AB807" i="1"/>
  <c r="Y807" i="1"/>
  <c r="X807" i="1"/>
  <c r="V807" i="1"/>
  <c r="T807" i="1"/>
  <c r="AX808" i="1"/>
  <c r="AV808" i="1"/>
  <c r="AT808" i="1"/>
  <c r="AQ808" i="1"/>
  <c r="BA808" i="1" s="1"/>
  <c r="AP808" i="1"/>
  <c r="AN808" i="1"/>
  <c r="AL808" i="1"/>
  <c r="AG808" i="1"/>
  <c r="AF808" i="1"/>
  <c r="AD808" i="1"/>
  <c r="AB808" i="1"/>
  <c r="X808" i="1"/>
  <c r="V808" i="1"/>
  <c r="AY1271" i="1"/>
  <c r="AX1271" i="1"/>
  <c r="AV1271" i="1"/>
  <c r="AT1271" i="1"/>
  <c r="AQ1271" i="1"/>
  <c r="AP1271" i="1"/>
  <c r="AN1271" i="1"/>
  <c r="AL1271" i="1"/>
  <c r="AG1271" i="1"/>
  <c r="AF1271" i="1"/>
  <c r="AD1271" i="1"/>
  <c r="AB1271" i="1"/>
  <c r="Y1271" i="1"/>
  <c r="X1271" i="1"/>
  <c r="V1271" i="1"/>
  <c r="T1271" i="1"/>
  <c r="AY1085" i="1"/>
  <c r="AX1085" i="1"/>
  <c r="AV1085" i="1"/>
  <c r="AT1085" i="1"/>
  <c r="AQ1085" i="1"/>
  <c r="AP1085" i="1"/>
  <c r="AN1085" i="1"/>
  <c r="AL1085" i="1"/>
  <c r="AG1085" i="1"/>
  <c r="AF1085" i="1"/>
  <c r="AD1085" i="1"/>
  <c r="AB1085" i="1"/>
  <c r="Y1085" i="1"/>
  <c r="X1085" i="1"/>
  <c r="V1085" i="1"/>
  <c r="T1085" i="1"/>
  <c r="AY1076" i="1"/>
  <c r="AX1076" i="1"/>
  <c r="AV1076" i="1"/>
  <c r="AT1076" i="1"/>
  <c r="AQ1076" i="1"/>
  <c r="AP1076" i="1"/>
  <c r="AN1076" i="1"/>
  <c r="AL1076" i="1"/>
  <c r="AG1076" i="1"/>
  <c r="AF1076" i="1"/>
  <c r="AD1076" i="1"/>
  <c r="AB1076" i="1"/>
  <c r="Y1076" i="1"/>
  <c r="X1076" i="1"/>
  <c r="V1076" i="1"/>
  <c r="T1076" i="1"/>
  <c r="AY1059" i="1"/>
  <c r="AX1059" i="1"/>
  <c r="AV1059" i="1"/>
  <c r="AT1059" i="1"/>
  <c r="AQ1059" i="1"/>
  <c r="AP1059" i="1"/>
  <c r="AN1059" i="1"/>
  <c r="AL1059" i="1"/>
  <c r="AG1059" i="1"/>
  <c r="AF1059" i="1"/>
  <c r="AD1059" i="1"/>
  <c r="AB1059" i="1"/>
  <c r="Y1059" i="1"/>
  <c r="X1059" i="1"/>
  <c r="V1059" i="1"/>
  <c r="T1059" i="1"/>
  <c r="AY1055" i="1"/>
  <c r="AX1055" i="1"/>
  <c r="AV1055" i="1"/>
  <c r="AT1055" i="1"/>
  <c r="AQ1055" i="1"/>
  <c r="AP1055" i="1"/>
  <c r="AN1055" i="1"/>
  <c r="AL1055" i="1"/>
  <c r="AG1055" i="1"/>
  <c r="AF1055" i="1"/>
  <c r="AD1055" i="1"/>
  <c r="AB1055" i="1"/>
  <c r="Y1055" i="1"/>
  <c r="X1055" i="1"/>
  <c r="V1055" i="1"/>
  <c r="T1055" i="1"/>
  <c r="AY1250" i="1"/>
  <c r="AX1250" i="1"/>
  <c r="AV1250" i="1"/>
  <c r="AT1250" i="1"/>
  <c r="AQ1250" i="1"/>
  <c r="AP1250" i="1"/>
  <c r="AN1250" i="1"/>
  <c r="AL1250" i="1"/>
  <c r="AG1250" i="1"/>
  <c r="AF1250" i="1"/>
  <c r="AD1250" i="1"/>
  <c r="AB1250" i="1"/>
  <c r="Y1250" i="1"/>
  <c r="X1250" i="1"/>
  <c r="V1250" i="1"/>
  <c r="T1250" i="1"/>
  <c r="AX1247" i="1"/>
  <c r="AV1247" i="1"/>
  <c r="AT1247" i="1"/>
  <c r="AQ1247" i="1"/>
  <c r="BA1247" i="1" s="1"/>
  <c r="AP1247" i="1"/>
  <c r="AN1247" i="1"/>
  <c r="AL1247" i="1"/>
  <c r="AG1247" i="1"/>
  <c r="AF1247" i="1"/>
  <c r="AD1247" i="1"/>
  <c r="AB1247" i="1"/>
  <c r="Y1247" i="1"/>
  <c r="X1247" i="1"/>
  <c r="V1247" i="1"/>
  <c r="T1247" i="1"/>
  <c r="AQ1245" i="1"/>
  <c r="AX1245" i="1"/>
  <c r="AV1245" i="1"/>
  <c r="AT1245" i="1"/>
  <c r="AP1245" i="1"/>
  <c r="AN1245" i="1"/>
  <c r="AL1245" i="1"/>
  <c r="AG1245" i="1"/>
  <c r="AF1245" i="1"/>
  <c r="AD1245" i="1"/>
  <c r="AB1245" i="1"/>
  <c r="Y1245" i="1"/>
  <c r="X1245" i="1"/>
  <c r="V1245" i="1"/>
  <c r="T1245" i="1"/>
  <c r="AQ1242" i="1"/>
  <c r="AX1242" i="1"/>
  <c r="AV1242" i="1"/>
  <c r="AT1242" i="1"/>
  <c r="AP1242" i="1"/>
  <c r="AN1242" i="1"/>
  <c r="AL1242" i="1"/>
  <c r="AG1242" i="1"/>
  <c r="AF1242" i="1"/>
  <c r="AD1242" i="1"/>
  <c r="AB1242" i="1"/>
  <c r="X1242" i="1"/>
  <c r="V1242" i="1"/>
  <c r="T1242" i="1"/>
  <c r="AQ1240" i="1"/>
  <c r="AX1240" i="1"/>
  <c r="AV1240" i="1"/>
  <c r="AT1240" i="1"/>
  <c r="AP1240" i="1"/>
  <c r="AN1240" i="1"/>
  <c r="AL1240" i="1"/>
  <c r="AG1240" i="1"/>
  <c r="AF1240" i="1"/>
  <c r="AD1240" i="1"/>
  <c r="AB1240" i="1"/>
  <c r="Y1240" i="1"/>
  <c r="X1240" i="1"/>
  <c r="V1240" i="1"/>
  <c r="T1240" i="1"/>
  <c r="AQ1236" i="1"/>
  <c r="AY1237" i="1"/>
  <c r="AX1237" i="1"/>
  <c r="AV1237" i="1"/>
  <c r="AT1237" i="1"/>
  <c r="AQ1237" i="1"/>
  <c r="AP1237" i="1"/>
  <c r="AN1237" i="1"/>
  <c r="AL1237" i="1"/>
  <c r="AF1237" i="1"/>
  <c r="AD1237" i="1"/>
  <c r="AB1237" i="1"/>
  <c r="Y1237" i="1"/>
  <c r="AI1237" i="1" s="1"/>
  <c r="X1237" i="1"/>
  <c r="V1237" i="1"/>
  <c r="T1237" i="1"/>
  <c r="AQ1234" i="1"/>
  <c r="AY1235" i="1"/>
  <c r="AX1235" i="1"/>
  <c r="AV1235" i="1"/>
  <c r="AT1235" i="1"/>
  <c r="AQ1235" i="1"/>
  <c r="AP1235" i="1"/>
  <c r="AN1235" i="1"/>
  <c r="AL1235" i="1"/>
  <c r="AF1235" i="1"/>
  <c r="AD1235" i="1"/>
  <c r="AB1235" i="1"/>
  <c r="Y1235" i="1"/>
  <c r="AI1235" i="1" s="1"/>
  <c r="X1235" i="1"/>
  <c r="V1235" i="1"/>
  <c r="T1235" i="1"/>
  <c r="AY1232" i="1"/>
  <c r="AX1232" i="1"/>
  <c r="AV1232" i="1"/>
  <c r="AT1232" i="1"/>
  <c r="AQ1232" i="1"/>
  <c r="AP1232" i="1"/>
  <c r="AN1232" i="1"/>
  <c r="AL1232" i="1"/>
  <c r="AG1232" i="1"/>
  <c r="AF1232" i="1"/>
  <c r="AD1232" i="1"/>
  <c r="AB1232" i="1"/>
  <c r="Y1232" i="1"/>
  <c r="X1232" i="1"/>
  <c r="V1232" i="1"/>
  <c r="T1232" i="1"/>
  <c r="AY967" i="1"/>
  <c r="AX967" i="1"/>
  <c r="AV967" i="1"/>
  <c r="AT967" i="1"/>
  <c r="AQ967" i="1"/>
  <c r="AP967" i="1"/>
  <c r="AN967" i="1"/>
  <c r="AL967" i="1"/>
  <c r="AG967" i="1"/>
  <c r="AF967" i="1"/>
  <c r="AD967" i="1"/>
  <c r="AB967" i="1"/>
  <c r="Y967" i="1"/>
  <c r="X967" i="1"/>
  <c r="V967" i="1"/>
  <c r="T967" i="1"/>
  <c r="AG1021" i="1"/>
  <c r="AG1013" i="1"/>
  <c r="U1023" i="1"/>
  <c r="W1023" i="1"/>
  <c r="AA1023" i="1"/>
  <c r="AC1023" i="1"/>
  <c r="AE1023" i="1"/>
  <c r="AK1023" i="1"/>
  <c r="AM1023" i="1"/>
  <c r="AO1023" i="1"/>
  <c r="AS1023" i="1"/>
  <c r="AU1023" i="1"/>
  <c r="AW1023" i="1"/>
  <c r="S1023" i="1"/>
  <c r="AQ1021" i="1"/>
  <c r="AY1022" i="1"/>
  <c r="AX1022" i="1"/>
  <c r="AV1022" i="1"/>
  <c r="AT1022" i="1"/>
  <c r="AQ1022" i="1"/>
  <c r="AP1022" i="1"/>
  <c r="AN1022" i="1"/>
  <c r="AL1022" i="1"/>
  <c r="AG1022" i="1"/>
  <c r="AF1022" i="1"/>
  <c r="AD1022" i="1"/>
  <c r="AB1022" i="1"/>
  <c r="Y1022" i="1"/>
  <c r="X1022" i="1"/>
  <c r="V1022" i="1"/>
  <c r="T1022" i="1"/>
  <c r="AY1020" i="1"/>
  <c r="AX1020" i="1"/>
  <c r="AV1020" i="1"/>
  <c r="AT1020" i="1"/>
  <c r="AQ1020" i="1"/>
  <c r="AP1020" i="1"/>
  <c r="AN1020" i="1"/>
  <c r="AL1020" i="1"/>
  <c r="AG1020" i="1"/>
  <c r="AF1020" i="1"/>
  <c r="AD1020" i="1"/>
  <c r="AB1020" i="1"/>
  <c r="Y1020" i="1"/>
  <c r="X1020" i="1"/>
  <c r="V1020" i="1"/>
  <c r="T1020" i="1"/>
  <c r="AY1018" i="1"/>
  <c r="AX1018" i="1"/>
  <c r="AV1018" i="1"/>
  <c r="AT1018" i="1"/>
  <c r="AQ1018" i="1"/>
  <c r="AP1018" i="1"/>
  <c r="AN1018" i="1"/>
  <c r="AL1018" i="1"/>
  <c r="AG1018" i="1"/>
  <c r="AF1018" i="1"/>
  <c r="AD1018" i="1"/>
  <c r="AB1018" i="1"/>
  <c r="Y1018" i="1"/>
  <c r="X1018" i="1"/>
  <c r="V1018" i="1"/>
  <c r="T1018" i="1"/>
  <c r="AQ1013" i="1"/>
  <c r="AY1014" i="1"/>
  <c r="AX1014" i="1"/>
  <c r="AV1014" i="1"/>
  <c r="AT1014" i="1"/>
  <c r="AQ1014" i="1"/>
  <c r="AP1014" i="1"/>
  <c r="AN1014" i="1"/>
  <c r="AL1014" i="1"/>
  <c r="AG1014" i="1"/>
  <c r="AF1014" i="1"/>
  <c r="AD1014" i="1"/>
  <c r="AB1014" i="1"/>
  <c r="Y1014" i="1"/>
  <c r="X1014" i="1"/>
  <c r="V1014" i="1"/>
  <c r="T1014" i="1"/>
  <c r="AY1321" i="1"/>
  <c r="AX1321" i="1"/>
  <c r="AV1321" i="1"/>
  <c r="AT1321" i="1"/>
  <c r="AQ1321" i="1"/>
  <c r="AP1321" i="1"/>
  <c r="AN1321" i="1"/>
  <c r="AL1321" i="1"/>
  <c r="AG1321" i="1"/>
  <c r="AF1321" i="1"/>
  <c r="AD1321" i="1"/>
  <c r="AB1321" i="1"/>
  <c r="Y1321" i="1"/>
  <c r="X1321" i="1"/>
  <c r="V1321" i="1"/>
  <c r="T1321" i="1"/>
  <c r="BA356" i="1" l="1"/>
  <c r="AI1240" i="1"/>
  <c r="AI1076" i="1"/>
  <c r="AI1014" i="1"/>
  <c r="AI1085" i="1"/>
  <c r="Q729" i="1"/>
  <c r="AI1055" i="1"/>
  <c r="BA1018" i="1"/>
  <c r="AI807" i="1"/>
  <c r="AI1250" i="1"/>
  <c r="AI1018" i="1"/>
  <c r="BA1250" i="1"/>
  <c r="BA1232" i="1"/>
  <c r="AI1247" i="1"/>
  <c r="Q1247" i="1" s="1"/>
  <c r="BA807" i="1"/>
  <c r="AI1020" i="1"/>
  <c r="BA1235" i="1"/>
  <c r="Q1235" i="1" s="1"/>
  <c r="BA1076" i="1"/>
  <c r="AI1232" i="1"/>
  <c r="BA1237" i="1"/>
  <c r="Q1237" i="1" s="1"/>
  <c r="BA1085" i="1"/>
  <c r="AH1242" i="1"/>
  <c r="AH367" i="1"/>
  <c r="Q1281" i="1"/>
  <c r="AI1271" i="1"/>
  <c r="BA967" i="1"/>
  <c r="BB189" i="1"/>
  <c r="AI1059" i="1"/>
  <c r="AI1022" i="1"/>
  <c r="BA1059" i="1"/>
  <c r="BB729" i="1"/>
  <c r="BA1271" i="1"/>
  <c r="AJ729" i="1"/>
  <c r="AJ1281" i="1"/>
  <c r="BB1281" i="1"/>
  <c r="Z1232" i="1"/>
  <c r="AZ1271" i="1"/>
  <c r="BA1020" i="1"/>
  <c r="BB69" i="1"/>
  <c r="BA367" i="1"/>
  <c r="BA1022" i="1"/>
  <c r="BA243" i="1"/>
  <c r="BA1321" i="1"/>
  <c r="AI1242" i="1"/>
  <c r="BB67" i="1"/>
  <c r="BB190" i="1"/>
  <c r="BB185" i="1"/>
  <c r="BA162" i="1"/>
  <c r="AZ243" i="1"/>
  <c r="AI967" i="1"/>
  <c r="BA1245" i="1"/>
  <c r="AH1271" i="1"/>
  <c r="AH808" i="1"/>
  <c r="AR808" i="1"/>
  <c r="AZ808" i="1"/>
  <c r="AH807" i="1"/>
  <c r="AZ807" i="1"/>
  <c r="AZ356" i="1"/>
  <c r="AZ367" i="1"/>
  <c r="AZ162" i="1"/>
  <c r="AH243" i="1"/>
  <c r="AR243" i="1"/>
  <c r="AH162" i="1"/>
  <c r="AR162" i="1"/>
  <c r="AR367" i="1"/>
  <c r="AR356" i="1"/>
  <c r="AH356" i="1"/>
  <c r="AR807" i="1"/>
  <c r="Z807" i="1"/>
  <c r="AR1271" i="1"/>
  <c r="Z1271" i="1"/>
  <c r="BA1240" i="1"/>
  <c r="AZ1242" i="1"/>
  <c r="BA1242" i="1"/>
  <c r="AR1240" i="1"/>
  <c r="Z1242" i="1"/>
  <c r="AH1245" i="1"/>
  <c r="AZ1245" i="1"/>
  <c r="Z1321" i="1"/>
  <c r="Z1247" i="1"/>
  <c r="AZ1247" i="1"/>
  <c r="Z1250" i="1"/>
  <c r="AZ1250" i="1"/>
  <c r="Z1055" i="1"/>
  <c r="AR1055" i="1"/>
  <c r="AZ1055" i="1"/>
  <c r="AZ1076" i="1"/>
  <c r="AZ1085" i="1"/>
  <c r="AR1085" i="1"/>
  <c r="AH1085" i="1"/>
  <c r="Z1085" i="1"/>
  <c r="BA1055" i="1"/>
  <c r="BA1014" i="1"/>
  <c r="AR1076" i="1"/>
  <c r="AH1076" i="1"/>
  <c r="Z1076" i="1"/>
  <c r="AH1059" i="1"/>
  <c r="AZ1059" i="1"/>
  <c r="AR1059" i="1"/>
  <c r="Z1059" i="1"/>
  <c r="AH1055" i="1"/>
  <c r="AR1250" i="1"/>
  <c r="AH1250" i="1"/>
  <c r="AR1247" i="1"/>
  <c r="AH1247" i="1"/>
  <c r="AI1245" i="1"/>
  <c r="AR1245" i="1"/>
  <c r="Z1245" i="1"/>
  <c r="AZ1232" i="1"/>
  <c r="Z1237" i="1"/>
  <c r="AZ1237" i="1"/>
  <c r="AH1240" i="1"/>
  <c r="AR1242" i="1"/>
  <c r="AZ1240" i="1"/>
  <c r="Z1240" i="1"/>
  <c r="Z1235" i="1"/>
  <c r="AH1235" i="1"/>
  <c r="AR1235" i="1"/>
  <c r="AR1237" i="1"/>
  <c r="AH1237" i="1"/>
  <c r="AZ1235" i="1"/>
  <c r="AR1232" i="1"/>
  <c r="AH1232" i="1"/>
  <c r="AH967" i="1"/>
  <c r="AR967" i="1"/>
  <c r="AZ967" i="1"/>
  <c r="Z1022" i="1"/>
  <c r="AH1022" i="1"/>
  <c r="AZ1022" i="1"/>
  <c r="AI1321" i="1"/>
  <c r="AZ1321" i="1"/>
  <c r="Z967" i="1"/>
  <c r="AR1022" i="1"/>
  <c r="Z1018" i="1"/>
  <c r="Z1020" i="1"/>
  <c r="AH1020" i="1"/>
  <c r="AR1020" i="1"/>
  <c r="AZ1020" i="1"/>
  <c r="AR1014" i="1"/>
  <c r="AZ1014" i="1"/>
  <c r="AH1018" i="1"/>
  <c r="AR1018" i="1"/>
  <c r="AZ1018" i="1"/>
  <c r="Z1014" i="1"/>
  <c r="AH1014" i="1"/>
  <c r="AR1321" i="1"/>
  <c r="AH1321" i="1"/>
  <c r="AY172" i="1"/>
  <c r="AX172" i="1"/>
  <c r="AV172" i="1"/>
  <c r="AT172" i="1"/>
  <c r="AQ172" i="1"/>
  <c r="AP172" i="1"/>
  <c r="AN172" i="1"/>
  <c r="AL172" i="1"/>
  <c r="AG172" i="1"/>
  <c r="AF172" i="1"/>
  <c r="AD172" i="1"/>
  <c r="AB172" i="1"/>
  <c r="X172" i="1"/>
  <c r="V172" i="1"/>
  <c r="AY43" i="1"/>
  <c r="AX43" i="1"/>
  <c r="AV43" i="1"/>
  <c r="AT43" i="1"/>
  <c r="AP43" i="1"/>
  <c r="AN43" i="1"/>
  <c r="AL43" i="1"/>
  <c r="AF43" i="1"/>
  <c r="AD43" i="1"/>
  <c r="AB43" i="1"/>
  <c r="X43" i="1"/>
  <c r="V43" i="1"/>
  <c r="AY42" i="1"/>
  <c r="AX42" i="1"/>
  <c r="AV42" i="1"/>
  <c r="AT42" i="1"/>
  <c r="AQ42" i="1"/>
  <c r="AP42" i="1"/>
  <c r="AN42" i="1"/>
  <c r="AL42" i="1"/>
  <c r="AG42" i="1"/>
  <c r="AF42" i="1"/>
  <c r="AD42" i="1"/>
  <c r="AB42" i="1"/>
  <c r="X42" i="1"/>
  <c r="V42" i="1"/>
  <c r="AY687" i="1"/>
  <c r="AX687" i="1"/>
  <c r="AV687" i="1"/>
  <c r="AT687" i="1"/>
  <c r="AQ687" i="1"/>
  <c r="AP687" i="1"/>
  <c r="AN687" i="1"/>
  <c r="AL687" i="1"/>
  <c r="AG687" i="1"/>
  <c r="AF687" i="1"/>
  <c r="AD687" i="1"/>
  <c r="AB687" i="1"/>
  <c r="Y687" i="1"/>
  <c r="X687" i="1"/>
  <c r="V687" i="1"/>
  <c r="T687" i="1"/>
  <c r="AY671" i="1"/>
  <c r="AX671" i="1"/>
  <c r="AV671" i="1"/>
  <c r="AT671" i="1"/>
  <c r="AQ671" i="1"/>
  <c r="AP671" i="1"/>
  <c r="AN671" i="1"/>
  <c r="AL671" i="1"/>
  <c r="AG671" i="1"/>
  <c r="AF671" i="1"/>
  <c r="AD671" i="1"/>
  <c r="AB671" i="1"/>
  <c r="Y671" i="1"/>
  <c r="X671" i="1"/>
  <c r="V671" i="1"/>
  <c r="T671" i="1"/>
  <c r="AY632" i="1"/>
  <c r="AX632" i="1"/>
  <c r="AV632" i="1"/>
  <c r="AT632" i="1"/>
  <c r="AQ632" i="1"/>
  <c r="AP632" i="1"/>
  <c r="AN632" i="1"/>
  <c r="AL632" i="1"/>
  <c r="AG632" i="1"/>
  <c r="AF632" i="1"/>
  <c r="AD632" i="1"/>
  <c r="AB632" i="1"/>
  <c r="X632" i="1"/>
  <c r="V632" i="1"/>
  <c r="Q1240" i="1" l="1"/>
  <c r="Q1076" i="1"/>
  <c r="Q1014" i="1"/>
  <c r="Q1085" i="1"/>
  <c r="Q1055" i="1"/>
  <c r="Q1018" i="1"/>
  <c r="Q807" i="1"/>
  <c r="Q1250" i="1"/>
  <c r="Q1232" i="1"/>
  <c r="BB1235" i="1"/>
  <c r="Q1020" i="1"/>
  <c r="BB1247" i="1"/>
  <c r="Q967" i="1"/>
  <c r="Q1271" i="1"/>
  <c r="BA671" i="1"/>
  <c r="AI687" i="1"/>
  <c r="BA632" i="1"/>
  <c r="BB1076" i="1"/>
  <c r="Q1059" i="1"/>
  <c r="BB1271" i="1"/>
  <c r="Q1022" i="1"/>
  <c r="BB1250" i="1"/>
  <c r="R729" i="1"/>
  <c r="AH632" i="1"/>
  <c r="R1281" i="1"/>
  <c r="AJ1321" i="1"/>
  <c r="Q1321" i="1"/>
  <c r="AJ1232" i="1"/>
  <c r="BB243" i="1"/>
  <c r="Q1242" i="1"/>
  <c r="BB1232" i="1"/>
  <c r="BA687" i="1"/>
  <c r="AJ1271" i="1"/>
  <c r="AI671" i="1"/>
  <c r="AJ1055" i="1"/>
  <c r="BB808" i="1"/>
  <c r="BA42" i="1"/>
  <c r="Q1245" i="1"/>
  <c r="BB1085" i="1"/>
  <c r="AJ1247" i="1"/>
  <c r="AJ1242" i="1"/>
  <c r="BB356" i="1"/>
  <c r="BB807" i="1"/>
  <c r="BB367" i="1"/>
  <c r="BB1242" i="1"/>
  <c r="BB162" i="1"/>
  <c r="AJ967" i="1"/>
  <c r="AJ807" i="1"/>
  <c r="AJ1245" i="1"/>
  <c r="BB1321" i="1"/>
  <c r="AJ1250" i="1"/>
  <c r="BB1055" i="1"/>
  <c r="BB1240" i="1"/>
  <c r="BB1245" i="1"/>
  <c r="AJ1059" i="1"/>
  <c r="AJ1076" i="1"/>
  <c r="BB1059" i="1"/>
  <c r="AJ1085" i="1"/>
  <c r="BA43" i="1"/>
  <c r="BB1237" i="1"/>
  <c r="BB967" i="1"/>
  <c r="AR632" i="1"/>
  <c r="AZ632" i="1"/>
  <c r="AR42" i="1"/>
  <c r="AZ42" i="1"/>
  <c r="AJ1240" i="1"/>
  <c r="AJ1237" i="1"/>
  <c r="AJ1235" i="1"/>
  <c r="AJ1022" i="1"/>
  <c r="BB1018" i="1"/>
  <c r="AJ1020" i="1"/>
  <c r="BB1022" i="1"/>
  <c r="AJ1018" i="1"/>
  <c r="BB1020" i="1"/>
  <c r="AZ687" i="1"/>
  <c r="AH42" i="1"/>
  <c r="AZ172" i="1"/>
  <c r="BB1014" i="1"/>
  <c r="BA172" i="1"/>
  <c r="AJ1014" i="1"/>
  <c r="AZ671" i="1"/>
  <c r="Z687" i="1"/>
  <c r="AH687" i="1"/>
  <c r="AH43" i="1"/>
  <c r="AZ43" i="1"/>
  <c r="AH172" i="1"/>
  <c r="AR172" i="1"/>
  <c r="AR43" i="1"/>
  <c r="AR687" i="1"/>
  <c r="AR671" i="1"/>
  <c r="AH671" i="1"/>
  <c r="Z671" i="1"/>
  <c r="AY1088" i="1"/>
  <c r="AX1088" i="1"/>
  <c r="AV1088" i="1"/>
  <c r="AT1088" i="1"/>
  <c r="AQ1088" i="1"/>
  <c r="AP1088" i="1"/>
  <c r="AN1088" i="1"/>
  <c r="AL1088" i="1"/>
  <c r="AG1088" i="1"/>
  <c r="AF1088" i="1"/>
  <c r="AD1088" i="1"/>
  <c r="AB1088" i="1"/>
  <c r="Y1088" i="1"/>
  <c r="X1088" i="1"/>
  <c r="V1088" i="1"/>
  <c r="T1088" i="1"/>
  <c r="AY1099" i="1"/>
  <c r="AX1099" i="1"/>
  <c r="AV1099" i="1"/>
  <c r="AT1099" i="1"/>
  <c r="AQ1099" i="1"/>
  <c r="AP1099" i="1"/>
  <c r="AN1099" i="1"/>
  <c r="AL1099" i="1"/>
  <c r="AG1099" i="1"/>
  <c r="AF1099" i="1"/>
  <c r="AD1099" i="1"/>
  <c r="AB1099" i="1"/>
  <c r="Y1099" i="1"/>
  <c r="X1099" i="1"/>
  <c r="V1099" i="1"/>
  <c r="T1099" i="1"/>
  <c r="AY1080" i="1"/>
  <c r="AX1080" i="1"/>
  <c r="AV1080" i="1"/>
  <c r="AT1080" i="1"/>
  <c r="AQ1080" i="1"/>
  <c r="AP1080" i="1"/>
  <c r="AN1080" i="1"/>
  <c r="AL1080" i="1"/>
  <c r="AG1080" i="1"/>
  <c r="AF1080" i="1"/>
  <c r="AD1080" i="1"/>
  <c r="AB1080" i="1"/>
  <c r="Y1080" i="1"/>
  <c r="X1080" i="1"/>
  <c r="V1080" i="1"/>
  <c r="T1080" i="1"/>
  <c r="AY1082" i="1"/>
  <c r="AX1082" i="1"/>
  <c r="AV1082" i="1"/>
  <c r="AT1082" i="1"/>
  <c r="AQ1082" i="1"/>
  <c r="AP1082" i="1"/>
  <c r="AN1082" i="1"/>
  <c r="AL1082" i="1"/>
  <c r="AG1082" i="1"/>
  <c r="AF1082" i="1"/>
  <c r="AD1082" i="1"/>
  <c r="AB1082" i="1"/>
  <c r="Y1082" i="1"/>
  <c r="X1082" i="1"/>
  <c r="V1082" i="1"/>
  <c r="T1082" i="1"/>
  <c r="AY1070" i="1"/>
  <c r="AX1070" i="1"/>
  <c r="AV1070" i="1"/>
  <c r="AT1070" i="1"/>
  <c r="AQ1070" i="1"/>
  <c r="AP1070" i="1"/>
  <c r="AN1070" i="1"/>
  <c r="AL1070" i="1"/>
  <c r="AG1070" i="1"/>
  <c r="AF1070" i="1"/>
  <c r="AD1070" i="1"/>
  <c r="AB1070" i="1"/>
  <c r="Y1070" i="1"/>
  <c r="X1070" i="1"/>
  <c r="V1070" i="1"/>
  <c r="T1070" i="1"/>
  <c r="AY1072" i="1"/>
  <c r="AX1072" i="1"/>
  <c r="AV1072" i="1"/>
  <c r="AT1072" i="1"/>
  <c r="AQ1072" i="1"/>
  <c r="AP1072" i="1"/>
  <c r="AN1072" i="1"/>
  <c r="AL1072" i="1"/>
  <c r="AG1072" i="1"/>
  <c r="AF1072" i="1"/>
  <c r="AD1072" i="1"/>
  <c r="AB1072" i="1"/>
  <c r="Y1072" i="1"/>
  <c r="X1072" i="1"/>
  <c r="V1072" i="1"/>
  <c r="T1072" i="1"/>
  <c r="AY1066" i="1"/>
  <c r="AX1066" i="1"/>
  <c r="AV1066" i="1"/>
  <c r="AT1066" i="1"/>
  <c r="AQ1066" i="1"/>
  <c r="AP1066" i="1"/>
  <c r="AN1066" i="1"/>
  <c r="AL1066" i="1"/>
  <c r="AG1066" i="1"/>
  <c r="AF1066" i="1"/>
  <c r="AD1066" i="1"/>
  <c r="AB1066" i="1"/>
  <c r="Y1066" i="1"/>
  <c r="X1066" i="1"/>
  <c r="V1066" i="1"/>
  <c r="T1066" i="1"/>
  <c r="AY955" i="1"/>
  <c r="AX955" i="1"/>
  <c r="AV955" i="1"/>
  <c r="AT955" i="1"/>
  <c r="AQ955" i="1"/>
  <c r="AP955" i="1"/>
  <c r="AN955" i="1"/>
  <c r="AL955" i="1"/>
  <c r="AG955" i="1"/>
  <c r="AF955" i="1"/>
  <c r="AD955" i="1"/>
  <c r="AB955" i="1"/>
  <c r="Y955" i="1"/>
  <c r="X955" i="1"/>
  <c r="V955" i="1"/>
  <c r="T955" i="1"/>
  <c r="AY181" i="1"/>
  <c r="AX181" i="1"/>
  <c r="AV181" i="1"/>
  <c r="AQ181" i="1"/>
  <c r="AP181" i="1"/>
  <c r="AN181" i="1"/>
  <c r="AL181" i="1"/>
  <c r="AF181" i="1"/>
  <c r="AD181" i="1"/>
  <c r="AB181" i="1"/>
  <c r="X181" i="1"/>
  <c r="V181" i="1"/>
  <c r="AY183" i="1"/>
  <c r="AX183" i="1"/>
  <c r="AV183" i="1"/>
  <c r="AT183" i="1"/>
  <c r="AQ183" i="1"/>
  <c r="AP183" i="1"/>
  <c r="AN183" i="1"/>
  <c r="AL183" i="1"/>
  <c r="AG183" i="1"/>
  <c r="AF183" i="1"/>
  <c r="AD183" i="1"/>
  <c r="AB183" i="1"/>
  <c r="X183" i="1"/>
  <c r="V183" i="1"/>
  <c r="AY186" i="1"/>
  <c r="AX186" i="1"/>
  <c r="AV186" i="1"/>
  <c r="AT186" i="1"/>
  <c r="AQ186" i="1"/>
  <c r="AP186" i="1"/>
  <c r="AN186" i="1"/>
  <c r="AL186" i="1"/>
  <c r="AG186" i="1"/>
  <c r="AF186" i="1"/>
  <c r="AD186" i="1"/>
  <c r="AB186" i="1"/>
  <c r="X186" i="1"/>
  <c r="V186" i="1"/>
  <c r="AY429" i="1"/>
  <c r="AX429" i="1"/>
  <c r="AV429" i="1"/>
  <c r="AT429" i="1"/>
  <c r="AQ429" i="1"/>
  <c r="AP429" i="1"/>
  <c r="AN429" i="1"/>
  <c r="AL429" i="1"/>
  <c r="AG429" i="1"/>
  <c r="AF429" i="1"/>
  <c r="AD429" i="1"/>
  <c r="AB429" i="1"/>
  <c r="X429" i="1"/>
  <c r="V429" i="1"/>
  <c r="AY428" i="1"/>
  <c r="AX428" i="1"/>
  <c r="AV428" i="1"/>
  <c r="AT428" i="1"/>
  <c r="AQ428" i="1"/>
  <c r="AP428" i="1"/>
  <c r="AN428" i="1"/>
  <c r="AL428" i="1"/>
  <c r="AG428" i="1"/>
  <c r="AF428" i="1"/>
  <c r="AD428" i="1"/>
  <c r="AB428" i="1"/>
  <c r="X428" i="1"/>
  <c r="V428" i="1"/>
  <c r="AY432" i="1"/>
  <c r="AX432" i="1"/>
  <c r="AV432" i="1"/>
  <c r="AT432" i="1"/>
  <c r="AQ432" i="1"/>
  <c r="AP432" i="1"/>
  <c r="AN432" i="1"/>
  <c r="AL432" i="1"/>
  <c r="AG432" i="1"/>
  <c r="AF432" i="1"/>
  <c r="AD432" i="1"/>
  <c r="AB432" i="1"/>
  <c r="X432" i="1"/>
  <c r="V432" i="1"/>
  <c r="AY430" i="1"/>
  <c r="AX430" i="1"/>
  <c r="AV430" i="1"/>
  <c r="AT430" i="1"/>
  <c r="AQ430" i="1"/>
  <c r="AP430" i="1"/>
  <c r="AN430" i="1"/>
  <c r="AL430" i="1"/>
  <c r="AG430" i="1"/>
  <c r="AF430" i="1"/>
  <c r="AD430" i="1"/>
  <c r="AB430" i="1"/>
  <c r="X430" i="1"/>
  <c r="V430" i="1"/>
  <c r="R1235" i="1" l="1"/>
  <c r="BA955" i="1"/>
  <c r="BA432" i="1"/>
  <c r="BA1072" i="1"/>
  <c r="R1076" i="1"/>
  <c r="R1247" i="1"/>
  <c r="Q687" i="1"/>
  <c r="AI955" i="1"/>
  <c r="Q671" i="1"/>
  <c r="R1250" i="1"/>
  <c r="R1271" i="1"/>
  <c r="BA1099" i="1"/>
  <c r="AI1080" i="1"/>
  <c r="BA1080" i="1"/>
  <c r="AI1099" i="1"/>
  <c r="R1242" i="1"/>
  <c r="BA1082" i="1"/>
  <c r="BA1066" i="1"/>
  <c r="AI1070" i="1"/>
  <c r="R1321" i="1"/>
  <c r="R1232" i="1"/>
  <c r="R967" i="1"/>
  <c r="R1240" i="1"/>
  <c r="R1055" i="1"/>
  <c r="BA1070" i="1"/>
  <c r="AI1066" i="1"/>
  <c r="AI1072" i="1"/>
  <c r="R1245" i="1"/>
  <c r="R807" i="1"/>
  <c r="BA186" i="1"/>
  <c r="BA181" i="1"/>
  <c r="R1085" i="1"/>
  <c r="AZ181" i="1"/>
  <c r="BB42" i="1"/>
  <c r="AZ1072" i="1"/>
  <c r="Z1080" i="1"/>
  <c r="AH1080" i="1"/>
  <c r="AZ1099" i="1"/>
  <c r="R1059" i="1"/>
  <c r="BA428" i="1"/>
  <c r="AI1082" i="1"/>
  <c r="R1237" i="1"/>
  <c r="BA183" i="1"/>
  <c r="BB172" i="1"/>
  <c r="BB632" i="1"/>
  <c r="Z955" i="1"/>
  <c r="AH955" i="1"/>
  <c r="AZ955" i="1"/>
  <c r="Z1072" i="1"/>
  <c r="AH1072" i="1"/>
  <c r="R1022" i="1"/>
  <c r="R1018" i="1"/>
  <c r="R1020" i="1"/>
  <c r="Z1088" i="1"/>
  <c r="AH1088" i="1"/>
  <c r="AZ1088" i="1"/>
  <c r="AH186" i="1"/>
  <c r="AZ186" i="1"/>
  <c r="AH181" i="1"/>
  <c r="AZ1080" i="1"/>
  <c r="Z1099" i="1"/>
  <c r="AH1099" i="1"/>
  <c r="BB687" i="1"/>
  <c r="R1014" i="1"/>
  <c r="AR181" i="1"/>
  <c r="BA430" i="1"/>
  <c r="BB671" i="1"/>
  <c r="AI1088" i="1"/>
  <c r="AJ687" i="1"/>
  <c r="BB43" i="1"/>
  <c r="AJ671" i="1"/>
  <c r="AR1088" i="1"/>
  <c r="BA1088" i="1"/>
  <c r="Z1070" i="1"/>
  <c r="AH1070" i="1"/>
  <c r="AZ1082" i="1"/>
  <c r="AR1099" i="1"/>
  <c r="AR1082" i="1"/>
  <c r="AR1080" i="1"/>
  <c r="AZ1070" i="1"/>
  <c r="Z1082" i="1"/>
  <c r="AH1082" i="1"/>
  <c r="AR1072" i="1"/>
  <c r="AR1070" i="1"/>
  <c r="AR1066" i="1"/>
  <c r="AZ1066" i="1"/>
  <c r="AH430" i="1"/>
  <c r="AH432" i="1"/>
  <c r="AH428" i="1"/>
  <c r="AH429" i="1"/>
  <c r="AH1066" i="1"/>
  <c r="Z1066" i="1"/>
  <c r="AZ430" i="1"/>
  <c r="BA429" i="1"/>
  <c r="AZ428" i="1"/>
  <c r="AR955" i="1"/>
  <c r="AZ429" i="1"/>
  <c r="AR429" i="1"/>
  <c r="AR186" i="1"/>
  <c r="AH183" i="1"/>
  <c r="AR183" i="1"/>
  <c r="AZ183" i="1"/>
  <c r="AR430" i="1"/>
  <c r="AR428" i="1"/>
  <c r="AR432" i="1"/>
  <c r="AZ432" i="1"/>
  <c r="Q955" i="1" l="1"/>
  <c r="Q1072" i="1"/>
  <c r="BB181" i="1"/>
  <c r="Q1066" i="1"/>
  <c r="Q1082" i="1"/>
  <c r="Q1080" i="1"/>
  <c r="Q1099" i="1"/>
  <c r="Q1070" i="1"/>
  <c r="BB1072" i="1"/>
  <c r="BB1099" i="1"/>
  <c r="BB1080" i="1"/>
  <c r="AJ1080" i="1"/>
  <c r="AJ955" i="1"/>
  <c r="BB186" i="1"/>
  <c r="BB955" i="1"/>
  <c r="AJ1072" i="1"/>
  <c r="AJ1088" i="1"/>
  <c r="Q1088" i="1"/>
  <c r="BB1088" i="1"/>
  <c r="AJ1099" i="1"/>
  <c r="R687" i="1"/>
  <c r="R671" i="1"/>
  <c r="BB1082" i="1"/>
  <c r="BB1070" i="1"/>
  <c r="AJ1082" i="1"/>
  <c r="AJ1070" i="1"/>
  <c r="BB1066" i="1"/>
  <c r="AJ1066" i="1"/>
  <c r="BB430" i="1"/>
  <c r="BB183" i="1"/>
  <c r="BB429" i="1"/>
  <c r="BB428" i="1"/>
  <c r="BB432" i="1"/>
  <c r="AY758" i="1"/>
  <c r="AX758" i="1"/>
  <c r="AV758" i="1"/>
  <c r="AT758" i="1"/>
  <c r="AQ758" i="1"/>
  <c r="AP758" i="1"/>
  <c r="AN758" i="1"/>
  <c r="AL758" i="1"/>
  <c r="AG758" i="1"/>
  <c r="AF758" i="1"/>
  <c r="AD758" i="1"/>
  <c r="AB758" i="1"/>
  <c r="Y758" i="1"/>
  <c r="X758" i="1"/>
  <c r="V758" i="1"/>
  <c r="T758" i="1"/>
  <c r="AQ1229" i="1"/>
  <c r="AI758" i="1" l="1"/>
  <c r="R1072" i="1"/>
  <c r="R1099" i="1"/>
  <c r="R1080" i="1"/>
  <c r="R1088" i="1"/>
  <c r="R955" i="1"/>
  <c r="AZ758" i="1"/>
  <c r="R1070" i="1"/>
  <c r="R1082" i="1"/>
  <c r="BA758" i="1"/>
  <c r="R1066" i="1"/>
  <c r="AH758" i="1"/>
  <c r="Z758" i="1"/>
  <c r="AR758" i="1"/>
  <c r="AG1257" i="1"/>
  <c r="AY1019" i="1"/>
  <c r="AX1019" i="1"/>
  <c r="AV1019" i="1"/>
  <c r="AT1019" i="1"/>
  <c r="AQ1019" i="1"/>
  <c r="AP1019" i="1"/>
  <c r="AN1019" i="1"/>
  <c r="AL1019" i="1"/>
  <c r="AG1019" i="1"/>
  <c r="AF1019" i="1"/>
  <c r="AD1019" i="1"/>
  <c r="AB1019" i="1"/>
  <c r="Y1019" i="1"/>
  <c r="X1019" i="1"/>
  <c r="V1019" i="1"/>
  <c r="T1019" i="1"/>
  <c r="AY1021" i="1"/>
  <c r="BA1021" i="1" s="1"/>
  <c r="AX1021" i="1"/>
  <c r="AV1021" i="1"/>
  <c r="AT1021" i="1"/>
  <c r="AP1021" i="1"/>
  <c r="AN1021" i="1"/>
  <c r="AL1021" i="1"/>
  <c r="AF1021" i="1"/>
  <c r="AD1021" i="1"/>
  <c r="AB1021" i="1"/>
  <c r="Y1021" i="1"/>
  <c r="AI1021" i="1" s="1"/>
  <c r="X1021" i="1"/>
  <c r="V1021" i="1"/>
  <c r="T1021" i="1"/>
  <c r="AY1017" i="1"/>
  <c r="AX1017" i="1"/>
  <c r="AV1017" i="1"/>
  <c r="AT1017" i="1"/>
  <c r="AQ1017" i="1"/>
  <c r="AP1017" i="1"/>
  <c r="AN1017" i="1"/>
  <c r="AL1017" i="1"/>
  <c r="AG1017" i="1"/>
  <c r="AF1017" i="1"/>
  <c r="AD1017" i="1"/>
  <c r="AB1017" i="1"/>
  <c r="Y1017" i="1"/>
  <c r="X1017" i="1"/>
  <c r="V1017" i="1"/>
  <c r="T1017" i="1"/>
  <c r="AY1012" i="1"/>
  <c r="AX1012" i="1"/>
  <c r="AV1012" i="1"/>
  <c r="AT1012" i="1"/>
  <c r="AQ1012" i="1"/>
  <c r="AP1012" i="1"/>
  <c r="AN1012" i="1"/>
  <c r="AL1012" i="1"/>
  <c r="AG1012" i="1"/>
  <c r="AF1012" i="1"/>
  <c r="AD1012" i="1"/>
  <c r="AB1012" i="1"/>
  <c r="Y1012" i="1"/>
  <c r="X1012" i="1"/>
  <c r="V1012" i="1"/>
  <c r="T1012" i="1"/>
  <c r="AQ371" i="1"/>
  <c r="BA1012" i="1" l="1"/>
  <c r="Q758" i="1"/>
  <c r="AI1012" i="1"/>
  <c r="AI1019" i="1"/>
  <c r="BA1019" i="1"/>
  <c r="Z1012" i="1"/>
  <c r="AH1012" i="1"/>
  <c r="AZ1012" i="1"/>
  <c r="BB758" i="1"/>
  <c r="AI1017" i="1"/>
  <c r="Z1019" i="1"/>
  <c r="AH1019" i="1"/>
  <c r="AZ1019" i="1"/>
  <c r="AJ758" i="1"/>
  <c r="AZ1017" i="1"/>
  <c r="Q1021" i="1"/>
  <c r="AR1012" i="1"/>
  <c r="AR1017" i="1"/>
  <c r="BA1017" i="1"/>
  <c r="AR1019" i="1"/>
  <c r="Z1021" i="1"/>
  <c r="AH1021" i="1"/>
  <c r="AR1021" i="1"/>
  <c r="AZ1021" i="1"/>
  <c r="Z1017" i="1"/>
  <c r="AH1017" i="1"/>
  <c r="U764" i="1"/>
  <c r="W764" i="1"/>
  <c r="AA764" i="1"/>
  <c r="AC764" i="1"/>
  <c r="AE764" i="1"/>
  <c r="AK764" i="1"/>
  <c r="AM764" i="1"/>
  <c r="AO764" i="1"/>
  <c r="AS764" i="1"/>
  <c r="AU764" i="1"/>
  <c r="AW764" i="1"/>
  <c r="AY763" i="1"/>
  <c r="AX763" i="1"/>
  <c r="AV763" i="1"/>
  <c r="AT763" i="1"/>
  <c r="AQ763" i="1"/>
  <c r="AP763" i="1"/>
  <c r="AN763" i="1"/>
  <c r="AL763" i="1"/>
  <c r="AG763" i="1"/>
  <c r="AF763" i="1"/>
  <c r="AD763" i="1"/>
  <c r="AB763" i="1"/>
  <c r="X763" i="1"/>
  <c r="V763" i="1"/>
  <c r="AY669" i="1"/>
  <c r="AX669" i="1"/>
  <c r="AV669" i="1"/>
  <c r="AT669" i="1"/>
  <c r="AQ669" i="1"/>
  <c r="AP669" i="1"/>
  <c r="AN669" i="1"/>
  <c r="AL669" i="1"/>
  <c r="AG669" i="1"/>
  <c r="AF669" i="1"/>
  <c r="AD669" i="1"/>
  <c r="AB669" i="1"/>
  <c r="Y669" i="1"/>
  <c r="X669" i="1"/>
  <c r="V669" i="1"/>
  <c r="T669" i="1"/>
  <c r="AG1282" i="1"/>
  <c r="AY1274" i="1"/>
  <c r="AX1274" i="1"/>
  <c r="AV1274" i="1"/>
  <c r="AT1274" i="1"/>
  <c r="AQ1274" i="1"/>
  <c r="AP1274" i="1"/>
  <c r="AN1274" i="1"/>
  <c r="AL1274" i="1"/>
  <c r="AG1274" i="1"/>
  <c r="AF1274" i="1"/>
  <c r="AD1274" i="1"/>
  <c r="AB1274" i="1"/>
  <c r="Y1274" i="1"/>
  <c r="X1274" i="1"/>
  <c r="V1274" i="1"/>
  <c r="T1274" i="1"/>
  <c r="AY1272" i="1"/>
  <c r="AX1272" i="1"/>
  <c r="AV1272" i="1"/>
  <c r="AT1272" i="1"/>
  <c r="AQ1272" i="1"/>
  <c r="AP1272" i="1"/>
  <c r="AN1272" i="1"/>
  <c r="AL1272" i="1"/>
  <c r="AG1272" i="1"/>
  <c r="AF1272" i="1"/>
  <c r="AD1272" i="1"/>
  <c r="AB1272" i="1"/>
  <c r="Y1272" i="1"/>
  <c r="X1272" i="1"/>
  <c r="V1272" i="1"/>
  <c r="T1272" i="1"/>
  <c r="AY1279" i="1"/>
  <c r="AX1279" i="1"/>
  <c r="AV1279" i="1"/>
  <c r="AT1279" i="1"/>
  <c r="AQ1279" i="1"/>
  <c r="AP1279" i="1"/>
  <c r="AN1279" i="1"/>
  <c r="AL1279" i="1"/>
  <c r="AG1279" i="1"/>
  <c r="AF1279" i="1"/>
  <c r="AD1279" i="1"/>
  <c r="AB1279" i="1"/>
  <c r="Y1279" i="1"/>
  <c r="X1279" i="1"/>
  <c r="V1279" i="1"/>
  <c r="T1279" i="1"/>
  <c r="AY1275" i="1"/>
  <c r="AX1275" i="1"/>
  <c r="AV1275" i="1"/>
  <c r="AT1275" i="1"/>
  <c r="AQ1275" i="1"/>
  <c r="AP1275" i="1"/>
  <c r="AN1275" i="1"/>
  <c r="AL1275" i="1"/>
  <c r="AG1275" i="1"/>
  <c r="AF1275" i="1"/>
  <c r="AD1275" i="1"/>
  <c r="AB1275" i="1"/>
  <c r="Y1275" i="1"/>
  <c r="X1275" i="1"/>
  <c r="V1275" i="1"/>
  <c r="T1275" i="1"/>
  <c r="AX1225" i="1"/>
  <c r="AV1225" i="1"/>
  <c r="AT1225" i="1"/>
  <c r="AQ1225" i="1"/>
  <c r="AP1225" i="1"/>
  <c r="AN1225" i="1"/>
  <c r="AL1225" i="1"/>
  <c r="AG1225" i="1"/>
  <c r="AF1225" i="1"/>
  <c r="AD1225" i="1"/>
  <c r="AB1225" i="1"/>
  <c r="Y1225" i="1"/>
  <c r="X1225" i="1"/>
  <c r="V1225" i="1"/>
  <c r="T1225" i="1"/>
  <c r="AY1230" i="1"/>
  <c r="AX1230" i="1"/>
  <c r="AV1230" i="1"/>
  <c r="AT1230" i="1"/>
  <c r="AQ1230" i="1"/>
  <c r="AP1230" i="1"/>
  <c r="AN1230" i="1"/>
  <c r="AL1230" i="1"/>
  <c r="AG1230" i="1"/>
  <c r="AF1230" i="1"/>
  <c r="AD1230" i="1"/>
  <c r="AB1230" i="1"/>
  <c r="Y1230" i="1"/>
  <c r="X1230" i="1"/>
  <c r="V1230" i="1"/>
  <c r="T1230" i="1"/>
  <c r="AY1229" i="1"/>
  <c r="AX1229" i="1"/>
  <c r="AV1229" i="1"/>
  <c r="AT1229" i="1"/>
  <c r="AP1229" i="1"/>
  <c r="AN1229" i="1"/>
  <c r="AL1229" i="1"/>
  <c r="AG1229" i="1"/>
  <c r="AF1229" i="1"/>
  <c r="AD1229" i="1"/>
  <c r="AB1229" i="1"/>
  <c r="Y1229" i="1"/>
  <c r="X1229" i="1"/>
  <c r="V1229" i="1"/>
  <c r="T1229" i="1"/>
  <c r="AY1223" i="1"/>
  <c r="AX1223" i="1"/>
  <c r="AV1223" i="1"/>
  <c r="AT1223" i="1"/>
  <c r="AQ1223" i="1"/>
  <c r="AP1223" i="1"/>
  <c r="AN1223" i="1"/>
  <c r="AL1223" i="1"/>
  <c r="AG1223" i="1"/>
  <c r="AF1223" i="1"/>
  <c r="AD1223" i="1"/>
  <c r="AB1223" i="1"/>
  <c r="Y1223" i="1"/>
  <c r="X1223" i="1"/>
  <c r="V1223" i="1"/>
  <c r="T1223" i="1"/>
  <c r="AY1222" i="1"/>
  <c r="AX1222" i="1"/>
  <c r="AV1222" i="1"/>
  <c r="AT1222" i="1"/>
  <c r="AQ1222" i="1"/>
  <c r="AP1222" i="1"/>
  <c r="AN1222" i="1"/>
  <c r="AL1222" i="1"/>
  <c r="AG1222" i="1"/>
  <c r="AF1222" i="1"/>
  <c r="AD1222" i="1"/>
  <c r="AB1222" i="1"/>
  <c r="Y1222" i="1"/>
  <c r="X1222" i="1"/>
  <c r="V1222" i="1"/>
  <c r="T1222" i="1"/>
  <c r="AY1221" i="1"/>
  <c r="AX1221" i="1"/>
  <c r="AV1221" i="1"/>
  <c r="AT1221" i="1"/>
  <c r="AQ1221" i="1"/>
  <c r="AP1221" i="1"/>
  <c r="AN1221" i="1"/>
  <c r="AL1221" i="1"/>
  <c r="AG1221" i="1"/>
  <c r="AF1221" i="1"/>
  <c r="AD1221" i="1"/>
  <c r="AB1221" i="1"/>
  <c r="Y1221" i="1"/>
  <c r="X1221" i="1"/>
  <c r="V1221" i="1"/>
  <c r="T1221" i="1"/>
  <c r="AF1087" i="1"/>
  <c r="AY1087" i="1"/>
  <c r="AX1087" i="1"/>
  <c r="AV1087" i="1"/>
  <c r="AT1087" i="1"/>
  <c r="AQ1087" i="1"/>
  <c r="AP1087" i="1"/>
  <c r="AN1087" i="1"/>
  <c r="AL1087" i="1"/>
  <c r="AG1087" i="1"/>
  <c r="AD1087" i="1"/>
  <c r="AB1087" i="1"/>
  <c r="Y1087" i="1"/>
  <c r="X1087" i="1"/>
  <c r="V1087" i="1"/>
  <c r="T1087" i="1"/>
  <c r="AG1253" i="1"/>
  <c r="AG1254" i="1"/>
  <c r="AY1253" i="1"/>
  <c r="AX1253" i="1"/>
  <c r="AV1253" i="1"/>
  <c r="AT1253" i="1"/>
  <c r="AQ1253" i="1"/>
  <c r="AP1253" i="1"/>
  <c r="AN1253" i="1"/>
  <c r="AL1253" i="1"/>
  <c r="AF1253" i="1"/>
  <c r="AD1253" i="1"/>
  <c r="AB1253" i="1"/>
  <c r="Y1253" i="1"/>
  <c r="X1253" i="1"/>
  <c r="V1253" i="1"/>
  <c r="T1253" i="1"/>
  <c r="AY463" i="1"/>
  <c r="AX463" i="1"/>
  <c r="AV463" i="1"/>
  <c r="AT463" i="1"/>
  <c r="AQ463" i="1"/>
  <c r="AP463" i="1"/>
  <c r="AN463" i="1"/>
  <c r="AL463" i="1"/>
  <c r="AG463" i="1"/>
  <c r="AF463" i="1"/>
  <c r="AD463" i="1"/>
  <c r="AB463" i="1"/>
  <c r="X463" i="1"/>
  <c r="V463" i="1"/>
  <c r="AY464" i="1"/>
  <c r="AX464" i="1"/>
  <c r="AV464" i="1"/>
  <c r="AT464" i="1"/>
  <c r="AQ464" i="1"/>
  <c r="AP464" i="1"/>
  <c r="AN464" i="1"/>
  <c r="AL464" i="1"/>
  <c r="AG464" i="1"/>
  <c r="AF464" i="1"/>
  <c r="AD464" i="1"/>
  <c r="AB464" i="1"/>
  <c r="X464" i="1"/>
  <c r="V464" i="1"/>
  <c r="Q1012" i="1" l="1"/>
  <c r="BA669" i="1"/>
  <c r="BA1272" i="1"/>
  <c r="BA1230" i="1"/>
  <c r="BA1253" i="1"/>
  <c r="BA1222" i="1"/>
  <c r="AI669" i="1"/>
  <c r="Z1225" i="1"/>
  <c r="BA1275" i="1"/>
  <c r="BA1274" i="1"/>
  <c r="AI1272" i="1"/>
  <c r="AI1279" i="1"/>
  <c r="AI1222" i="1"/>
  <c r="Q1019" i="1"/>
  <c r="BA463" i="1"/>
  <c r="BB1012" i="1"/>
  <c r="Z1230" i="1"/>
  <c r="AZ1279" i="1"/>
  <c r="AH1272" i="1"/>
  <c r="AJ1012" i="1"/>
  <c r="R758" i="1"/>
  <c r="AZ763" i="1"/>
  <c r="BA1279" i="1"/>
  <c r="BA763" i="1"/>
  <c r="AZ1272" i="1"/>
  <c r="AJ1019" i="1"/>
  <c r="AH1253" i="1"/>
  <c r="Z1221" i="1"/>
  <c r="Z1222" i="1"/>
  <c r="Z1223" i="1"/>
  <c r="Z1229" i="1"/>
  <c r="AR1272" i="1"/>
  <c r="AR1274" i="1"/>
  <c r="AR763" i="1"/>
  <c r="BA1087" i="1"/>
  <c r="BB1017" i="1"/>
  <c r="BB1021" i="1"/>
  <c r="AR1225" i="1"/>
  <c r="Q1017" i="1"/>
  <c r="BB1019" i="1"/>
  <c r="AJ1021" i="1"/>
  <c r="AJ1017" i="1"/>
  <c r="AH763" i="1"/>
  <c r="Z1253" i="1"/>
  <c r="AZ1225" i="1"/>
  <c r="Z1275" i="1"/>
  <c r="AZ1275" i="1"/>
  <c r="AI1274" i="1"/>
  <c r="AR669" i="1"/>
  <c r="AZ669" i="1"/>
  <c r="BA1221" i="1"/>
  <c r="BA1223" i="1"/>
  <c r="AZ1274" i="1"/>
  <c r="AI1225" i="1"/>
  <c r="AR463" i="1"/>
  <c r="AZ463" i="1"/>
  <c r="AZ1253" i="1"/>
  <c r="BA1225" i="1"/>
  <c r="AI1275" i="1"/>
  <c r="AH669" i="1"/>
  <c r="Z669" i="1"/>
  <c r="AH1275" i="1"/>
  <c r="AH1274" i="1"/>
  <c r="Z1279" i="1"/>
  <c r="Z1272" i="1"/>
  <c r="Z1274" i="1"/>
  <c r="BA464" i="1"/>
  <c r="AR1275" i="1"/>
  <c r="AH1279" i="1"/>
  <c r="AR1279" i="1"/>
  <c r="AI1230" i="1"/>
  <c r="AR1222" i="1"/>
  <c r="AZ1222" i="1"/>
  <c r="AR1230" i="1"/>
  <c r="AZ1230" i="1"/>
  <c r="AR464" i="1"/>
  <c r="AH1230" i="1"/>
  <c r="AH1223" i="1"/>
  <c r="AI1229" i="1"/>
  <c r="AH1225" i="1"/>
  <c r="AI1223" i="1"/>
  <c r="AH1222" i="1"/>
  <c r="AI1221" i="1"/>
  <c r="AH1221" i="1"/>
  <c r="AR1253" i="1"/>
  <c r="AR1223" i="1"/>
  <c r="AZ1223" i="1"/>
  <c r="BA1229" i="1"/>
  <c r="AI1087" i="1"/>
  <c r="AR1221" i="1"/>
  <c r="AZ1221" i="1"/>
  <c r="AH1229" i="1"/>
  <c r="AR1229" i="1"/>
  <c r="AZ1229" i="1"/>
  <c r="Z1087" i="1"/>
  <c r="AH1087" i="1"/>
  <c r="AR1087" i="1"/>
  <c r="AZ1087" i="1"/>
  <c r="AI1253" i="1"/>
  <c r="AZ464" i="1"/>
  <c r="AH463" i="1"/>
  <c r="AH464" i="1"/>
  <c r="AY680" i="1"/>
  <c r="AX680" i="1"/>
  <c r="AV680" i="1"/>
  <c r="AT680" i="1"/>
  <c r="AQ680" i="1"/>
  <c r="AP680" i="1"/>
  <c r="AN680" i="1"/>
  <c r="AL680" i="1"/>
  <c r="AG680" i="1"/>
  <c r="AF680" i="1"/>
  <c r="AD680" i="1"/>
  <c r="AB680" i="1"/>
  <c r="Y680" i="1"/>
  <c r="X680" i="1"/>
  <c r="V680" i="1"/>
  <c r="T680" i="1"/>
  <c r="AG1251" i="1"/>
  <c r="U972" i="1"/>
  <c r="W972" i="1"/>
  <c r="AA972" i="1"/>
  <c r="AC972" i="1"/>
  <c r="AE972" i="1"/>
  <c r="AK972" i="1"/>
  <c r="AM972" i="1"/>
  <c r="AO972" i="1"/>
  <c r="AS972" i="1"/>
  <c r="AU972" i="1"/>
  <c r="AW972" i="1"/>
  <c r="S972" i="1"/>
  <c r="AY970" i="1"/>
  <c r="AX970" i="1"/>
  <c r="AV970" i="1"/>
  <c r="AT970" i="1"/>
  <c r="AQ970" i="1"/>
  <c r="AP970" i="1"/>
  <c r="AN970" i="1"/>
  <c r="AL970" i="1"/>
  <c r="AG970" i="1"/>
  <c r="AF970" i="1"/>
  <c r="AD970" i="1"/>
  <c r="AB970" i="1"/>
  <c r="Y970" i="1"/>
  <c r="X970" i="1"/>
  <c r="V970" i="1"/>
  <c r="T970" i="1"/>
  <c r="AY971" i="1"/>
  <c r="AX971" i="1"/>
  <c r="AV971" i="1"/>
  <c r="AT971" i="1"/>
  <c r="AQ971" i="1"/>
  <c r="AP971" i="1"/>
  <c r="AN971" i="1"/>
  <c r="AL971" i="1"/>
  <c r="AG971" i="1"/>
  <c r="AF971" i="1"/>
  <c r="AD971" i="1"/>
  <c r="AB971" i="1"/>
  <c r="Y971" i="1"/>
  <c r="X971" i="1"/>
  <c r="V971" i="1"/>
  <c r="T971" i="1"/>
  <c r="AY948" i="1"/>
  <c r="AX948" i="1"/>
  <c r="AV948" i="1"/>
  <c r="AT948" i="1"/>
  <c r="AQ948" i="1"/>
  <c r="AP948" i="1"/>
  <c r="AN948" i="1"/>
  <c r="AL948" i="1"/>
  <c r="AG948" i="1"/>
  <c r="AF948" i="1"/>
  <c r="AD948" i="1"/>
  <c r="AB948" i="1"/>
  <c r="Y948" i="1"/>
  <c r="X948" i="1"/>
  <c r="V948" i="1"/>
  <c r="T948" i="1"/>
  <c r="AD1316" i="1"/>
  <c r="AY1316" i="1"/>
  <c r="AX1316" i="1"/>
  <c r="AV1316" i="1"/>
  <c r="AT1316" i="1"/>
  <c r="AQ1316" i="1"/>
  <c r="AP1316" i="1"/>
  <c r="AN1316" i="1"/>
  <c r="AL1316" i="1"/>
  <c r="AG1316" i="1"/>
  <c r="AF1316" i="1"/>
  <c r="AB1316" i="1"/>
  <c r="Y1316" i="1"/>
  <c r="X1316" i="1"/>
  <c r="V1316" i="1"/>
  <c r="T1316" i="1"/>
  <c r="Q1272" i="1" l="1"/>
  <c r="R1012" i="1"/>
  <c r="Q669" i="1"/>
  <c r="Q1230" i="1"/>
  <c r="Q1253" i="1"/>
  <c r="Q1222" i="1"/>
  <c r="Q1274" i="1"/>
  <c r="Q1275" i="1"/>
  <c r="BB763" i="1"/>
  <c r="Q1279" i="1"/>
  <c r="AI970" i="1"/>
  <c r="AJ1225" i="1"/>
  <c r="BB1275" i="1"/>
  <c r="AJ1253" i="1"/>
  <c r="AJ1272" i="1"/>
  <c r="BA948" i="1"/>
  <c r="BA971" i="1"/>
  <c r="AJ1275" i="1"/>
  <c r="AJ1230" i="1"/>
  <c r="BB1279" i="1"/>
  <c r="BB1274" i="1"/>
  <c r="AJ1222" i="1"/>
  <c r="BB1272" i="1"/>
  <c r="AJ1223" i="1"/>
  <c r="AJ1274" i="1"/>
  <c r="BB463" i="1"/>
  <c r="Q1087" i="1"/>
  <c r="BB1253" i="1"/>
  <c r="AJ1229" i="1"/>
  <c r="AJ1221" i="1"/>
  <c r="Q1229" i="1"/>
  <c r="AI1316" i="1"/>
  <c r="BB1225" i="1"/>
  <c r="BA1316" i="1"/>
  <c r="R1017" i="1"/>
  <c r="BB464" i="1"/>
  <c r="R1021" i="1"/>
  <c r="Q1223" i="1"/>
  <c r="Q1221" i="1"/>
  <c r="R1019" i="1"/>
  <c r="AJ669" i="1"/>
  <c r="BB669" i="1"/>
  <c r="AZ970" i="1"/>
  <c r="Q1225" i="1"/>
  <c r="Z1316" i="1"/>
  <c r="BB1221" i="1"/>
  <c r="BA970" i="1"/>
  <c r="AR970" i="1"/>
  <c r="AJ1279" i="1"/>
  <c r="AI948" i="1"/>
  <c r="BB1222" i="1"/>
  <c r="BB1230" i="1"/>
  <c r="BB1229" i="1"/>
  <c r="BB1223" i="1"/>
  <c r="AH970" i="1"/>
  <c r="AJ1087" i="1"/>
  <c r="BB1087" i="1"/>
  <c r="AI680" i="1"/>
  <c r="BA680" i="1"/>
  <c r="AR680" i="1"/>
  <c r="AZ680" i="1"/>
  <c r="AI971" i="1"/>
  <c r="AH680" i="1"/>
  <c r="Z680" i="1"/>
  <c r="Z970" i="1"/>
  <c r="Z971" i="1"/>
  <c r="AH971" i="1"/>
  <c r="AR971" i="1"/>
  <c r="AZ971" i="1"/>
  <c r="AR948" i="1"/>
  <c r="AZ948" i="1"/>
  <c r="Z948" i="1"/>
  <c r="AH948" i="1"/>
  <c r="AH1316" i="1"/>
  <c r="AR1316" i="1"/>
  <c r="AZ1316" i="1"/>
  <c r="AY858" i="1"/>
  <c r="AX858" i="1"/>
  <c r="AV858" i="1"/>
  <c r="AT858" i="1"/>
  <c r="AQ858" i="1"/>
  <c r="AP858" i="1"/>
  <c r="AN858" i="1"/>
  <c r="AL858" i="1"/>
  <c r="AG858" i="1"/>
  <c r="AF858" i="1"/>
  <c r="AD858" i="1"/>
  <c r="AB858" i="1"/>
  <c r="X858" i="1"/>
  <c r="V858" i="1"/>
  <c r="AY688" i="1"/>
  <c r="AX688" i="1"/>
  <c r="AV688" i="1"/>
  <c r="AT688" i="1"/>
  <c r="AQ688" i="1"/>
  <c r="AP688" i="1"/>
  <c r="AN688" i="1"/>
  <c r="AL688" i="1"/>
  <c r="AG688" i="1"/>
  <c r="AF688" i="1"/>
  <c r="AD688" i="1"/>
  <c r="AB688" i="1"/>
  <c r="Y688" i="1"/>
  <c r="X688" i="1"/>
  <c r="V688" i="1"/>
  <c r="T688" i="1"/>
  <c r="AY664" i="1"/>
  <c r="AX664" i="1"/>
  <c r="AV664" i="1"/>
  <c r="AT664" i="1"/>
  <c r="AQ664" i="1"/>
  <c r="AP664" i="1"/>
  <c r="AN664" i="1"/>
  <c r="AL664" i="1"/>
  <c r="AG664" i="1"/>
  <c r="AF664" i="1"/>
  <c r="AD664" i="1"/>
  <c r="AB664" i="1"/>
  <c r="Y664" i="1"/>
  <c r="X664" i="1"/>
  <c r="V664" i="1"/>
  <c r="T664" i="1"/>
  <c r="AY663" i="1"/>
  <c r="AX663" i="1"/>
  <c r="AV663" i="1"/>
  <c r="AT663" i="1"/>
  <c r="AQ663" i="1"/>
  <c r="AP663" i="1"/>
  <c r="AN663" i="1"/>
  <c r="AL663" i="1"/>
  <c r="AG663" i="1"/>
  <c r="AF663" i="1"/>
  <c r="AD663" i="1"/>
  <c r="AB663" i="1"/>
  <c r="Y663" i="1"/>
  <c r="X663" i="1"/>
  <c r="V663" i="1"/>
  <c r="T663" i="1"/>
  <c r="AY666" i="1"/>
  <c r="AX666" i="1"/>
  <c r="AV666" i="1"/>
  <c r="AT666" i="1"/>
  <c r="AQ666" i="1"/>
  <c r="AP666" i="1"/>
  <c r="AN666" i="1"/>
  <c r="AL666" i="1"/>
  <c r="AG666" i="1"/>
  <c r="AF666" i="1"/>
  <c r="AD666" i="1"/>
  <c r="AB666" i="1"/>
  <c r="Y666" i="1"/>
  <c r="X666" i="1"/>
  <c r="V666" i="1"/>
  <c r="T666" i="1"/>
  <c r="AY665" i="1"/>
  <c r="AX665" i="1"/>
  <c r="AV665" i="1"/>
  <c r="AT665" i="1"/>
  <c r="AQ665" i="1"/>
  <c r="AP665" i="1"/>
  <c r="AN665" i="1"/>
  <c r="AL665" i="1"/>
  <c r="AG665" i="1"/>
  <c r="AF665" i="1"/>
  <c r="AD665" i="1"/>
  <c r="AB665" i="1"/>
  <c r="Y665" i="1"/>
  <c r="X665" i="1"/>
  <c r="V665" i="1"/>
  <c r="T665" i="1"/>
  <c r="AY1083" i="1"/>
  <c r="AX1083" i="1"/>
  <c r="AV1083" i="1"/>
  <c r="AT1083" i="1"/>
  <c r="AQ1083" i="1"/>
  <c r="AP1083" i="1"/>
  <c r="AN1083" i="1"/>
  <c r="AL1083" i="1"/>
  <c r="AG1083" i="1"/>
  <c r="AF1083" i="1"/>
  <c r="AD1083" i="1"/>
  <c r="AB1083" i="1"/>
  <c r="Y1083" i="1"/>
  <c r="X1083" i="1"/>
  <c r="V1083" i="1"/>
  <c r="T1083" i="1"/>
  <c r="AY1073" i="1"/>
  <c r="AX1073" i="1"/>
  <c r="AV1073" i="1"/>
  <c r="AT1073" i="1"/>
  <c r="AQ1073" i="1"/>
  <c r="AP1073" i="1"/>
  <c r="AN1073" i="1"/>
  <c r="AL1073" i="1"/>
  <c r="AG1073" i="1"/>
  <c r="AF1073" i="1"/>
  <c r="AD1073" i="1"/>
  <c r="AB1073" i="1"/>
  <c r="Y1073" i="1"/>
  <c r="X1073" i="1"/>
  <c r="V1073" i="1"/>
  <c r="T1073" i="1"/>
  <c r="AY1061" i="1"/>
  <c r="AX1061" i="1"/>
  <c r="AV1061" i="1"/>
  <c r="AT1061" i="1"/>
  <c r="AQ1061" i="1"/>
  <c r="AP1061" i="1"/>
  <c r="AN1061" i="1"/>
  <c r="AL1061" i="1"/>
  <c r="AG1061" i="1"/>
  <c r="AF1061" i="1"/>
  <c r="AD1061" i="1"/>
  <c r="AB1061" i="1"/>
  <c r="Y1061" i="1"/>
  <c r="X1061" i="1"/>
  <c r="V1061" i="1"/>
  <c r="T1061" i="1"/>
  <c r="R1225" i="1" l="1"/>
  <c r="Q970" i="1"/>
  <c r="R1275" i="1"/>
  <c r="BA688" i="1"/>
  <c r="R1253" i="1"/>
  <c r="R1272" i="1"/>
  <c r="R1230" i="1"/>
  <c r="Q948" i="1"/>
  <c r="BA664" i="1"/>
  <c r="R1274" i="1"/>
  <c r="Q971" i="1"/>
  <c r="R1222" i="1"/>
  <c r="BB970" i="1"/>
  <c r="R1223" i="1"/>
  <c r="R1279" i="1"/>
  <c r="Q1316" i="1"/>
  <c r="R1221" i="1"/>
  <c r="R1229" i="1"/>
  <c r="R669" i="1"/>
  <c r="AI663" i="1"/>
  <c r="BA1083" i="1"/>
  <c r="BA858" i="1"/>
  <c r="BA665" i="1"/>
  <c r="BA663" i="1"/>
  <c r="R1087" i="1"/>
  <c r="BB971" i="1"/>
  <c r="BA1061" i="1"/>
  <c r="BA1073" i="1"/>
  <c r="BB680" i="1"/>
  <c r="Q680" i="1"/>
  <c r="AJ680" i="1"/>
  <c r="AI1083" i="1"/>
  <c r="AI1073" i="1"/>
  <c r="AJ970" i="1"/>
  <c r="AJ971" i="1"/>
  <c r="BB948" i="1"/>
  <c r="AJ948" i="1"/>
  <c r="AJ1316" i="1"/>
  <c r="BA666" i="1"/>
  <c r="AH1061" i="1"/>
  <c r="AZ1061" i="1"/>
  <c r="AH1073" i="1"/>
  <c r="AZ1073" i="1"/>
  <c r="AZ1083" i="1"/>
  <c r="Z1061" i="1"/>
  <c r="AR1061" i="1"/>
  <c r="Z1073" i="1"/>
  <c r="AR1073" i="1"/>
  <c r="Z1083" i="1"/>
  <c r="AR1083" i="1"/>
  <c r="AR688" i="1"/>
  <c r="AZ688" i="1"/>
  <c r="BB1316" i="1"/>
  <c r="AH858" i="1"/>
  <c r="AR858" i="1"/>
  <c r="AZ858" i="1"/>
  <c r="AH1083" i="1"/>
  <c r="AI688" i="1"/>
  <c r="AH688" i="1"/>
  <c r="Z688" i="1"/>
  <c r="AI664" i="1"/>
  <c r="Z665" i="1"/>
  <c r="AH665" i="1"/>
  <c r="AR665" i="1"/>
  <c r="AZ665" i="1"/>
  <c r="Z666" i="1"/>
  <c r="Z663" i="1"/>
  <c r="AR663" i="1"/>
  <c r="AZ663" i="1"/>
  <c r="Z664" i="1"/>
  <c r="AR664" i="1"/>
  <c r="AZ664" i="1"/>
  <c r="AI666" i="1"/>
  <c r="AI665" i="1"/>
  <c r="AH666" i="1"/>
  <c r="AH664" i="1"/>
  <c r="AH663" i="1"/>
  <c r="AR666" i="1"/>
  <c r="AZ666" i="1"/>
  <c r="AI1061" i="1"/>
  <c r="AJ1083" i="1" l="1"/>
  <c r="Q688" i="1"/>
  <c r="Q1061" i="1"/>
  <c r="Q664" i="1"/>
  <c r="Q663" i="1"/>
  <c r="Q1083" i="1"/>
  <c r="Q665" i="1"/>
  <c r="R971" i="1"/>
  <c r="R948" i="1"/>
  <c r="Q1073" i="1"/>
  <c r="R680" i="1"/>
  <c r="BB1073" i="1"/>
  <c r="R970" i="1"/>
  <c r="AJ1073" i="1"/>
  <c r="R1316" i="1"/>
  <c r="Q666" i="1"/>
  <c r="BB1061" i="1"/>
  <c r="BB1083" i="1"/>
  <c r="AJ1061" i="1"/>
  <c r="BB665" i="1"/>
  <c r="BB688" i="1"/>
  <c r="BB858" i="1"/>
  <c r="AJ666" i="1"/>
  <c r="AJ665" i="1"/>
  <c r="AJ663" i="1"/>
  <c r="AJ688" i="1"/>
  <c r="BB666" i="1"/>
  <c r="BB663" i="1"/>
  <c r="AJ664" i="1"/>
  <c r="BB664" i="1"/>
  <c r="AY826" i="1"/>
  <c r="AX826" i="1"/>
  <c r="AV826" i="1"/>
  <c r="AT826" i="1"/>
  <c r="AQ826" i="1"/>
  <c r="AP826" i="1"/>
  <c r="AN826" i="1"/>
  <c r="AL826" i="1"/>
  <c r="AG826" i="1"/>
  <c r="AF826" i="1"/>
  <c r="AD826" i="1"/>
  <c r="AB826" i="1"/>
  <c r="Y826" i="1"/>
  <c r="X826" i="1"/>
  <c r="V826" i="1"/>
  <c r="T826" i="1"/>
  <c r="AY1249" i="1"/>
  <c r="AX1249" i="1"/>
  <c r="AV1249" i="1"/>
  <c r="AT1249" i="1"/>
  <c r="AQ1249" i="1"/>
  <c r="AP1249" i="1"/>
  <c r="AN1249" i="1"/>
  <c r="AL1249" i="1"/>
  <c r="AG1249" i="1"/>
  <c r="AF1249" i="1"/>
  <c r="AD1249" i="1"/>
  <c r="AB1249" i="1"/>
  <c r="Y1249" i="1"/>
  <c r="X1249" i="1"/>
  <c r="V1249" i="1"/>
  <c r="T1249" i="1"/>
  <c r="AY1220" i="1"/>
  <c r="AX1220" i="1"/>
  <c r="AV1220" i="1"/>
  <c r="AT1220" i="1"/>
  <c r="AQ1220" i="1"/>
  <c r="AP1220" i="1"/>
  <c r="AN1220" i="1"/>
  <c r="AL1220" i="1"/>
  <c r="AG1220" i="1"/>
  <c r="AF1220" i="1"/>
  <c r="AD1220" i="1"/>
  <c r="AB1220" i="1"/>
  <c r="Y1220" i="1"/>
  <c r="X1220" i="1"/>
  <c r="V1220" i="1"/>
  <c r="T1220" i="1"/>
  <c r="AY533" i="1"/>
  <c r="AX533" i="1"/>
  <c r="AV533" i="1"/>
  <c r="AT533" i="1"/>
  <c r="AQ533" i="1"/>
  <c r="AP533" i="1"/>
  <c r="AN533" i="1"/>
  <c r="AL533" i="1"/>
  <c r="AG533" i="1"/>
  <c r="AF533" i="1"/>
  <c r="AD533" i="1"/>
  <c r="AB533" i="1"/>
  <c r="X533" i="1"/>
  <c r="V533" i="1"/>
  <c r="AI1249" i="1" l="1"/>
  <c r="BA1249" i="1"/>
  <c r="R1083" i="1"/>
  <c r="BA1220" i="1"/>
  <c r="R666" i="1"/>
  <c r="BA826" i="1"/>
  <c r="AI826" i="1"/>
  <c r="R1073" i="1"/>
  <c r="R1061" i="1"/>
  <c r="R665" i="1"/>
  <c r="R688" i="1"/>
  <c r="BA533" i="1"/>
  <c r="AI1220" i="1"/>
  <c r="R663" i="1"/>
  <c r="Z1249" i="1"/>
  <c r="AR1249" i="1"/>
  <c r="AZ1249" i="1"/>
  <c r="AH826" i="1"/>
  <c r="AR826" i="1"/>
  <c r="AZ826" i="1"/>
  <c r="R664" i="1"/>
  <c r="AH1220" i="1"/>
  <c r="AH1249" i="1"/>
  <c r="Z826" i="1"/>
  <c r="AR1220" i="1"/>
  <c r="AZ1220" i="1"/>
  <c r="Z1220" i="1"/>
  <c r="AR533" i="1"/>
  <c r="AZ533" i="1"/>
  <c r="AH533" i="1"/>
  <c r="AY754" i="1"/>
  <c r="AX754" i="1"/>
  <c r="AV754" i="1"/>
  <c r="AT754" i="1"/>
  <c r="AQ754" i="1"/>
  <c r="AP754" i="1"/>
  <c r="AN754" i="1"/>
  <c r="AL754" i="1"/>
  <c r="AG754" i="1"/>
  <c r="AF754" i="1"/>
  <c r="AD754" i="1"/>
  <c r="AB754" i="1"/>
  <c r="Y754" i="1"/>
  <c r="X754" i="1"/>
  <c r="V754" i="1"/>
  <c r="T754" i="1"/>
  <c r="AY829" i="1"/>
  <c r="AX829" i="1"/>
  <c r="AV829" i="1"/>
  <c r="AT829" i="1"/>
  <c r="AY1175" i="1"/>
  <c r="AX1175" i="1"/>
  <c r="AV1175" i="1"/>
  <c r="AT1175" i="1"/>
  <c r="AQ1175" i="1"/>
  <c r="AP1175" i="1"/>
  <c r="AN1175" i="1"/>
  <c r="AL1175" i="1"/>
  <c r="AG1175" i="1"/>
  <c r="AF1175" i="1"/>
  <c r="AD1175" i="1"/>
  <c r="AB1175" i="1"/>
  <c r="Y1175" i="1"/>
  <c r="X1175" i="1"/>
  <c r="V1175" i="1"/>
  <c r="T1175" i="1"/>
  <c r="AY1264" i="1"/>
  <c r="AX1264" i="1"/>
  <c r="AV1264" i="1"/>
  <c r="AT1264" i="1"/>
  <c r="AQ1264" i="1"/>
  <c r="AP1264" i="1"/>
  <c r="AN1264" i="1"/>
  <c r="AL1264" i="1"/>
  <c r="AG1264" i="1"/>
  <c r="AF1264" i="1"/>
  <c r="AD1264" i="1"/>
  <c r="AB1264" i="1"/>
  <c r="Y1264" i="1"/>
  <c r="X1264" i="1"/>
  <c r="V1264" i="1"/>
  <c r="T1264" i="1"/>
  <c r="AY937" i="1"/>
  <c r="AX937" i="1"/>
  <c r="AV937" i="1"/>
  <c r="AT937" i="1"/>
  <c r="AQ937" i="1"/>
  <c r="AP937" i="1"/>
  <c r="AN937" i="1"/>
  <c r="AL937" i="1"/>
  <c r="AG937" i="1"/>
  <c r="AF937" i="1"/>
  <c r="AD937" i="1"/>
  <c r="AB937" i="1"/>
  <c r="Y937" i="1"/>
  <c r="X937" i="1"/>
  <c r="V937" i="1"/>
  <c r="T937" i="1"/>
  <c r="AY423" i="1"/>
  <c r="AX423" i="1"/>
  <c r="AV423" i="1"/>
  <c r="AT423" i="1"/>
  <c r="AQ423" i="1"/>
  <c r="AP423" i="1"/>
  <c r="AN423" i="1"/>
  <c r="AL423" i="1"/>
  <c r="AG423" i="1"/>
  <c r="AF423" i="1"/>
  <c r="AD423" i="1"/>
  <c r="AB423" i="1"/>
  <c r="X423" i="1"/>
  <c r="V423" i="1"/>
  <c r="AY422" i="1"/>
  <c r="AX422" i="1"/>
  <c r="AV422" i="1"/>
  <c r="AT422" i="1"/>
  <c r="AQ422" i="1"/>
  <c r="AP422" i="1"/>
  <c r="AN422" i="1"/>
  <c r="AL422" i="1"/>
  <c r="AG422" i="1"/>
  <c r="AF422" i="1"/>
  <c r="AD422" i="1"/>
  <c r="AB422" i="1"/>
  <c r="X422" i="1"/>
  <c r="V422" i="1"/>
  <c r="BA1175" i="1" l="1"/>
  <c r="Q1249" i="1"/>
  <c r="AI1175" i="1"/>
  <c r="BA829" i="1"/>
  <c r="BA1264" i="1"/>
  <c r="Q1220" i="1"/>
  <c r="AJ826" i="1"/>
  <c r="BA754" i="1"/>
  <c r="Q826" i="1"/>
  <c r="BA422" i="1"/>
  <c r="BA937" i="1"/>
  <c r="AI1264" i="1"/>
  <c r="BB826" i="1"/>
  <c r="AR937" i="1"/>
  <c r="BA423" i="1"/>
  <c r="Z1264" i="1"/>
  <c r="AR1264" i="1"/>
  <c r="AZ1264" i="1"/>
  <c r="AR1175" i="1"/>
  <c r="AZ1175" i="1"/>
  <c r="AR754" i="1"/>
  <c r="AZ754" i="1"/>
  <c r="AJ1249" i="1"/>
  <c r="BB1249" i="1"/>
  <c r="BB1220" i="1"/>
  <c r="AH937" i="1"/>
  <c r="AI754" i="1"/>
  <c r="AI937" i="1"/>
  <c r="AJ1220" i="1"/>
  <c r="AH1264" i="1"/>
  <c r="AH1175" i="1"/>
  <c r="AH754" i="1"/>
  <c r="BB533" i="1"/>
  <c r="AH423" i="1"/>
  <c r="AZ829" i="1"/>
  <c r="AR423" i="1"/>
  <c r="Z754" i="1"/>
  <c r="Z1175" i="1"/>
  <c r="AZ423" i="1"/>
  <c r="AZ937" i="1"/>
  <c r="Z937" i="1"/>
  <c r="AH422" i="1"/>
  <c r="AR422" i="1"/>
  <c r="AZ422" i="1"/>
  <c r="V496" i="1"/>
  <c r="AY496" i="1"/>
  <c r="AX496" i="1"/>
  <c r="AV496" i="1"/>
  <c r="AT496" i="1"/>
  <c r="AQ496" i="1"/>
  <c r="AP496" i="1"/>
  <c r="AN496" i="1"/>
  <c r="AL496" i="1"/>
  <c r="AG496" i="1"/>
  <c r="AF496" i="1"/>
  <c r="AD496" i="1"/>
  <c r="AB496" i="1"/>
  <c r="X496" i="1"/>
  <c r="Q1175" i="1" l="1"/>
  <c r="Q829" i="1"/>
  <c r="Q1264" i="1"/>
  <c r="R826" i="1"/>
  <c r="Q754" i="1"/>
  <c r="BA496" i="1"/>
  <c r="Q937" i="1"/>
  <c r="R1220" i="1"/>
  <c r="BB937" i="1"/>
  <c r="R1249" i="1"/>
  <c r="BB1264" i="1"/>
  <c r="AJ1175" i="1"/>
  <c r="AJ1264" i="1"/>
  <c r="BB1175" i="1"/>
  <c r="BB754" i="1"/>
  <c r="AJ937" i="1"/>
  <c r="AJ754" i="1"/>
  <c r="AH496" i="1"/>
  <c r="BB423" i="1"/>
  <c r="AR496" i="1"/>
  <c r="AZ496" i="1"/>
  <c r="BB829" i="1"/>
  <c r="BB422" i="1"/>
  <c r="R937" i="1" l="1"/>
  <c r="R754" i="1"/>
  <c r="R1264" i="1"/>
  <c r="R1175" i="1"/>
  <c r="BB496" i="1"/>
  <c r="R829" i="1"/>
  <c r="AY1188" i="1"/>
  <c r="AX1188" i="1"/>
  <c r="AV1188" i="1"/>
  <c r="AT1188" i="1"/>
  <c r="AQ1188" i="1"/>
  <c r="AP1188" i="1"/>
  <c r="AN1188" i="1"/>
  <c r="AL1188" i="1"/>
  <c r="AG1188" i="1"/>
  <c r="AF1188" i="1"/>
  <c r="AD1188" i="1"/>
  <c r="AB1188" i="1"/>
  <c r="Y1188" i="1"/>
  <c r="X1188" i="1"/>
  <c r="V1188" i="1"/>
  <c r="T1188" i="1"/>
  <c r="AY1184" i="1"/>
  <c r="AX1184" i="1"/>
  <c r="AV1184" i="1"/>
  <c r="AT1184" i="1"/>
  <c r="AQ1184" i="1"/>
  <c r="AP1184" i="1"/>
  <c r="AN1184" i="1"/>
  <c r="AL1184" i="1"/>
  <c r="AG1184" i="1"/>
  <c r="AF1184" i="1"/>
  <c r="AD1184" i="1"/>
  <c r="AB1184" i="1"/>
  <c r="Y1184" i="1"/>
  <c r="X1184" i="1"/>
  <c r="V1184" i="1"/>
  <c r="T1184" i="1"/>
  <c r="AI1188" i="1" l="1"/>
  <c r="BA1188" i="1"/>
  <c r="AI1184" i="1"/>
  <c r="BA1184" i="1"/>
  <c r="Z1184" i="1"/>
  <c r="Z1188" i="1"/>
  <c r="AR1188" i="1"/>
  <c r="AZ1188" i="1"/>
  <c r="AH1184" i="1"/>
  <c r="AH1188" i="1"/>
  <c r="AR1184" i="1"/>
  <c r="AZ1184" i="1"/>
  <c r="AY469" i="1"/>
  <c r="AX469" i="1"/>
  <c r="AV469" i="1"/>
  <c r="AT469" i="1"/>
  <c r="AQ469" i="1"/>
  <c r="AP469" i="1"/>
  <c r="AN469" i="1"/>
  <c r="AL469" i="1"/>
  <c r="AG469" i="1"/>
  <c r="AF469" i="1"/>
  <c r="AD469" i="1"/>
  <c r="AB469" i="1"/>
  <c r="X469" i="1"/>
  <c r="V469" i="1"/>
  <c r="AY470" i="1"/>
  <c r="AX470" i="1"/>
  <c r="AV470" i="1"/>
  <c r="AT470" i="1"/>
  <c r="AQ470" i="1"/>
  <c r="AP470" i="1"/>
  <c r="AN470" i="1"/>
  <c r="AL470" i="1"/>
  <c r="AG470" i="1"/>
  <c r="AF470" i="1"/>
  <c r="AD470" i="1"/>
  <c r="AB470" i="1"/>
  <c r="X470" i="1"/>
  <c r="V470" i="1"/>
  <c r="AY581" i="1"/>
  <c r="AX581" i="1"/>
  <c r="AV581" i="1"/>
  <c r="AT581" i="1"/>
  <c r="AQ581" i="1"/>
  <c r="AP581" i="1"/>
  <c r="AN581" i="1"/>
  <c r="AL581" i="1"/>
  <c r="AG581" i="1"/>
  <c r="AF581" i="1"/>
  <c r="AD581" i="1"/>
  <c r="AB581" i="1"/>
  <c r="X581" i="1"/>
  <c r="V581" i="1"/>
  <c r="AY305" i="1"/>
  <c r="AX305" i="1"/>
  <c r="AV305" i="1"/>
  <c r="AT305" i="1"/>
  <c r="AQ305" i="1"/>
  <c r="AP305" i="1"/>
  <c r="AN305" i="1"/>
  <c r="AL305" i="1"/>
  <c r="AG305" i="1"/>
  <c r="AF305" i="1"/>
  <c r="AD305" i="1"/>
  <c r="AB305" i="1"/>
  <c r="X305" i="1"/>
  <c r="V305" i="1"/>
  <c r="AY304" i="1"/>
  <c r="AX304" i="1"/>
  <c r="AV304" i="1"/>
  <c r="AT304" i="1"/>
  <c r="AQ304" i="1"/>
  <c r="AP304" i="1"/>
  <c r="AN304" i="1"/>
  <c r="AL304" i="1"/>
  <c r="AG304" i="1"/>
  <c r="AF304" i="1"/>
  <c r="AD304" i="1"/>
  <c r="AB304" i="1"/>
  <c r="X304" i="1"/>
  <c r="V304" i="1"/>
  <c r="AY303" i="1"/>
  <c r="AX303" i="1"/>
  <c r="AV303" i="1"/>
  <c r="AT303" i="1"/>
  <c r="AQ303" i="1"/>
  <c r="AP303" i="1"/>
  <c r="AN303" i="1"/>
  <c r="AL303" i="1"/>
  <c r="AG303" i="1"/>
  <c r="AF303" i="1"/>
  <c r="AD303" i="1"/>
  <c r="AB303" i="1"/>
  <c r="X303" i="1"/>
  <c r="V303" i="1"/>
  <c r="AY302" i="1"/>
  <c r="AX302" i="1"/>
  <c r="AV302" i="1"/>
  <c r="AT302" i="1"/>
  <c r="AQ302" i="1"/>
  <c r="AP302" i="1"/>
  <c r="AN302" i="1"/>
  <c r="AL302" i="1"/>
  <c r="AG302" i="1"/>
  <c r="AF302" i="1"/>
  <c r="AD302" i="1"/>
  <c r="AB302" i="1"/>
  <c r="X302" i="1"/>
  <c r="V302" i="1"/>
  <c r="AY299" i="1"/>
  <c r="AX299" i="1"/>
  <c r="AV299" i="1"/>
  <c r="AT299" i="1"/>
  <c r="AQ299" i="1"/>
  <c r="AP299" i="1"/>
  <c r="AN299" i="1"/>
  <c r="AL299" i="1"/>
  <c r="AG299" i="1"/>
  <c r="AF299" i="1"/>
  <c r="AD299" i="1"/>
  <c r="AB299" i="1"/>
  <c r="X299" i="1"/>
  <c r="V299" i="1"/>
  <c r="AY300" i="1"/>
  <c r="AX300" i="1"/>
  <c r="AV300" i="1"/>
  <c r="AT300" i="1"/>
  <c r="AQ300" i="1"/>
  <c r="AP300" i="1"/>
  <c r="AN300" i="1"/>
  <c r="AL300" i="1"/>
  <c r="AG300" i="1"/>
  <c r="AF300" i="1"/>
  <c r="AD300" i="1"/>
  <c r="AB300" i="1"/>
  <c r="X300" i="1"/>
  <c r="V300" i="1"/>
  <c r="AY166" i="1"/>
  <c r="AX166" i="1"/>
  <c r="AV166" i="1"/>
  <c r="AT166" i="1"/>
  <c r="AQ166" i="1"/>
  <c r="AP166" i="1"/>
  <c r="AN166" i="1"/>
  <c r="AL166" i="1"/>
  <c r="AG166" i="1"/>
  <c r="AF166" i="1"/>
  <c r="AD166" i="1"/>
  <c r="AB166" i="1"/>
  <c r="X166" i="1"/>
  <c r="V166" i="1"/>
  <c r="T1325" i="1"/>
  <c r="AQ1254" i="1"/>
  <c r="AQ1251" i="1"/>
  <c r="AQ958" i="1"/>
  <c r="AQ509" i="1"/>
  <c r="AQ105" i="1"/>
  <c r="AG1252" i="1"/>
  <c r="AG1215" i="1"/>
  <c r="Y1252" i="1"/>
  <c r="AG958" i="1"/>
  <c r="Y942" i="1"/>
  <c r="AY1347" i="1"/>
  <c r="AQ1347" i="1"/>
  <c r="AR1347" i="1"/>
  <c r="Q1188" i="1" l="1"/>
  <c r="BA299" i="1"/>
  <c r="Q1184" i="1"/>
  <c r="AJ1184" i="1"/>
  <c r="BA300" i="1"/>
  <c r="BA470" i="1"/>
  <c r="BA581" i="1"/>
  <c r="BA469" i="1"/>
  <c r="BA303" i="1"/>
  <c r="AJ1188" i="1"/>
  <c r="BA305" i="1"/>
  <c r="BA302" i="1"/>
  <c r="BA166" i="1"/>
  <c r="AR300" i="1"/>
  <c r="AZ300" i="1"/>
  <c r="AH300" i="1"/>
  <c r="BB1188" i="1"/>
  <c r="BB1184" i="1"/>
  <c r="BA304" i="1"/>
  <c r="AH469" i="1"/>
  <c r="AR469" i="1"/>
  <c r="AZ469" i="1"/>
  <c r="AH470" i="1"/>
  <c r="AR470" i="1"/>
  <c r="AZ470" i="1"/>
  <c r="AR581" i="1"/>
  <c r="AZ581" i="1"/>
  <c r="AH302" i="1"/>
  <c r="AZ302" i="1"/>
  <c r="AH304" i="1"/>
  <c r="AR304" i="1"/>
  <c r="AZ304" i="1"/>
  <c r="AH581" i="1"/>
  <c r="AR302" i="1"/>
  <c r="AH305" i="1"/>
  <c r="AR299" i="1"/>
  <c r="AZ299" i="1"/>
  <c r="AH303" i="1"/>
  <c r="AR305" i="1"/>
  <c r="AZ305" i="1"/>
  <c r="AR303" i="1"/>
  <c r="AZ303" i="1"/>
  <c r="AH299" i="1"/>
  <c r="AH166" i="1"/>
  <c r="AR166" i="1"/>
  <c r="AZ166" i="1"/>
  <c r="BA1347" i="1"/>
  <c r="AY541" i="1"/>
  <c r="AX541" i="1"/>
  <c r="AV541" i="1"/>
  <c r="AT541" i="1"/>
  <c r="AQ541" i="1"/>
  <c r="AP541" i="1"/>
  <c r="AN541" i="1"/>
  <c r="AL541" i="1"/>
  <c r="AG541" i="1"/>
  <c r="AF541" i="1"/>
  <c r="AD541" i="1"/>
  <c r="AB541" i="1"/>
  <c r="X541" i="1"/>
  <c r="V541" i="1"/>
  <c r="AY723" i="1"/>
  <c r="AX723" i="1"/>
  <c r="AV723" i="1"/>
  <c r="AT723" i="1"/>
  <c r="AQ723" i="1"/>
  <c r="AP723" i="1"/>
  <c r="AN723" i="1"/>
  <c r="AL723" i="1"/>
  <c r="AG723" i="1"/>
  <c r="AF723" i="1"/>
  <c r="AD723" i="1"/>
  <c r="AB723" i="1"/>
  <c r="Y723" i="1"/>
  <c r="X723" i="1"/>
  <c r="V723" i="1"/>
  <c r="T723" i="1"/>
  <c r="AY732" i="1"/>
  <c r="AX732" i="1"/>
  <c r="AV732" i="1"/>
  <c r="AT732" i="1"/>
  <c r="AQ732" i="1"/>
  <c r="AP732" i="1"/>
  <c r="AN732" i="1"/>
  <c r="AL732" i="1"/>
  <c r="AG732" i="1"/>
  <c r="AF732" i="1"/>
  <c r="AD732" i="1"/>
  <c r="AB732" i="1"/>
  <c r="Y732" i="1"/>
  <c r="X732" i="1"/>
  <c r="V732" i="1"/>
  <c r="T732" i="1"/>
  <c r="AY774" i="1"/>
  <c r="AX774" i="1"/>
  <c r="AV774" i="1"/>
  <c r="AT774" i="1"/>
  <c r="AQ774" i="1"/>
  <c r="AP774" i="1"/>
  <c r="AN774" i="1"/>
  <c r="AL774" i="1"/>
  <c r="AG774" i="1"/>
  <c r="AF774" i="1"/>
  <c r="AD774" i="1"/>
  <c r="AB774" i="1"/>
  <c r="X774" i="1"/>
  <c r="V774" i="1"/>
  <c r="AY810" i="1"/>
  <c r="AX810" i="1"/>
  <c r="AV810" i="1"/>
  <c r="AT810" i="1"/>
  <c r="AQ810" i="1"/>
  <c r="AP810" i="1"/>
  <c r="AN810" i="1"/>
  <c r="AL810" i="1"/>
  <c r="AG810" i="1"/>
  <c r="AF810" i="1"/>
  <c r="AD810" i="1"/>
  <c r="AB810" i="1"/>
  <c r="X810" i="1"/>
  <c r="V810" i="1"/>
  <c r="AY1254" i="1"/>
  <c r="AY1049" i="1"/>
  <c r="AX1049" i="1"/>
  <c r="AV1049" i="1"/>
  <c r="AT1049" i="1"/>
  <c r="AQ1049" i="1"/>
  <c r="AP1049" i="1"/>
  <c r="AN1049" i="1"/>
  <c r="AL1049" i="1"/>
  <c r="AG1049" i="1"/>
  <c r="AF1049" i="1"/>
  <c r="AD1049" i="1"/>
  <c r="AB1049" i="1"/>
  <c r="Y1049" i="1"/>
  <c r="X1049" i="1"/>
  <c r="V1049" i="1"/>
  <c r="T1049" i="1"/>
  <c r="AY1038" i="1"/>
  <c r="AX1038" i="1"/>
  <c r="AV1038" i="1"/>
  <c r="AT1038" i="1"/>
  <c r="AQ1038" i="1"/>
  <c r="AP1038" i="1"/>
  <c r="AN1038" i="1"/>
  <c r="AL1038" i="1"/>
  <c r="AG1038" i="1"/>
  <c r="AF1038" i="1"/>
  <c r="AD1038" i="1"/>
  <c r="AB1038" i="1"/>
  <c r="Y1038" i="1"/>
  <c r="X1038" i="1"/>
  <c r="V1038" i="1"/>
  <c r="T1038" i="1"/>
  <c r="AX509" i="1"/>
  <c r="AY509" i="1"/>
  <c r="BA509" i="1" s="1"/>
  <c r="AV509" i="1"/>
  <c r="AT509" i="1"/>
  <c r="AP509" i="1"/>
  <c r="AN509" i="1"/>
  <c r="AL509" i="1"/>
  <c r="AG509" i="1"/>
  <c r="AF509" i="1"/>
  <c r="AD509" i="1"/>
  <c r="AB509" i="1"/>
  <c r="X509" i="1"/>
  <c r="V509" i="1"/>
  <c r="AX498" i="1"/>
  <c r="AY498" i="1"/>
  <c r="AV498" i="1"/>
  <c r="AT498" i="1"/>
  <c r="AQ498" i="1"/>
  <c r="AP498" i="1"/>
  <c r="AN498" i="1"/>
  <c r="AL498" i="1"/>
  <c r="AG498" i="1"/>
  <c r="AF498" i="1"/>
  <c r="AD498" i="1"/>
  <c r="AB498" i="1"/>
  <c r="X498" i="1"/>
  <c r="V498" i="1"/>
  <c r="R1184" i="1" l="1"/>
  <c r="AI1038" i="1"/>
  <c r="BA810" i="1"/>
  <c r="AI1049" i="1"/>
  <c r="R1188" i="1"/>
  <c r="BB300" i="1"/>
  <c r="AI732" i="1"/>
  <c r="BB469" i="1"/>
  <c r="BB302" i="1"/>
  <c r="BB581" i="1"/>
  <c r="BB470" i="1"/>
  <c r="BB304" i="1"/>
  <c r="BB303" i="1"/>
  <c r="BB305" i="1"/>
  <c r="BB299" i="1"/>
  <c r="BB166" i="1"/>
  <c r="AZ732" i="1"/>
  <c r="AH723" i="1"/>
  <c r="AR723" i="1"/>
  <c r="AH541" i="1"/>
  <c r="BA723" i="1"/>
  <c r="BA732" i="1"/>
  <c r="BA541" i="1"/>
  <c r="AR541" i="1"/>
  <c r="AI723" i="1"/>
  <c r="Z723" i="1"/>
  <c r="Z1049" i="1"/>
  <c r="AZ541" i="1"/>
  <c r="AZ723" i="1"/>
  <c r="AR732" i="1"/>
  <c r="AH732" i="1"/>
  <c r="Z732" i="1"/>
  <c r="Z1038" i="1"/>
  <c r="BA1049" i="1"/>
  <c r="AR498" i="1"/>
  <c r="AZ810" i="1"/>
  <c r="AH774" i="1"/>
  <c r="BA774" i="1"/>
  <c r="AZ774" i="1"/>
  <c r="AR774" i="1"/>
  <c r="AH810" i="1"/>
  <c r="AR810" i="1"/>
  <c r="AZ1049" i="1"/>
  <c r="AR1049" i="1"/>
  <c r="AH1049" i="1"/>
  <c r="AZ509" i="1"/>
  <c r="BA1038" i="1"/>
  <c r="AR1038" i="1"/>
  <c r="AZ1038" i="1"/>
  <c r="AH1038" i="1"/>
  <c r="AR509" i="1"/>
  <c r="AH509" i="1"/>
  <c r="BA498" i="1"/>
  <c r="AZ498" i="1"/>
  <c r="AH498" i="1"/>
  <c r="AY721" i="1"/>
  <c r="AX721" i="1"/>
  <c r="AV721" i="1"/>
  <c r="AT721" i="1"/>
  <c r="AQ721" i="1"/>
  <c r="AP721" i="1"/>
  <c r="AN721" i="1"/>
  <c r="AL721" i="1"/>
  <c r="AG721" i="1"/>
  <c r="AF721" i="1"/>
  <c r="AD721" i="1"/>
  <c r="AB721" i="1"/>
  <c r="Y721" i="1"/>
  <c r="X721" i="1"/>
  <c r="V721" i="1"/>
  <c r="T721" i="1"/>
  <c r="AY674" i="1"/>
  <c r="AX674" i="1"/>
  <c r="AV674" i="1"/>
  <c r="AT674" i="1"/>
  <c r="AQ674" i="1"/>
  <c r="AP674" i="1"/>
  <c r="AN674" i="1"/>
  <c r="AL674" i="1"/>
  <c r="AG674" i="1"/>
  <c r="AF674" i="1"/>
  <c r="AD674" i="1"/>
  <c r="AB674" i="1"/>
  <c r="Y674" i="1"/>
  <c r="X674" i="1"/>
  <c r="V674" i="1"/>
  <c r="T674" i="1"/>
  <c r="AX1254" i="1"/>
  <c r="AV1254" i="1"/>
  <c r="AT1254" i="1"/>
  <c r="AP1254" i="1"/>
  <c r="AN1254" i="1"/>
  <c r="AL1254" i="1"/>
  <c r="AF1254" i="1"/>
  <c r="AD1254" i="1"/>
  <c r="AB1254" i="1"/>
  <c r="Y1254" i="1"/>
  <c r="AI1254" i="1" s="1"/>
  <c r="X1254" i="1"/>
  <c r="V1254" i="1"/>
  <c r="T1254" i="1"/>
  <c r="AY1251" i="1"/>
  <c r="AY956" i="1"/>
  <c r="AX956" i="1"/>
  <c r="AV956" i="1"/>
  <c r="AT956" i="1"/>
  <c r="AQ956" i="1"/>
  <c r="AP956" i="1"/>
  <c r="AN956" i="1"/>
  <c r="AL956" i="1"/>
  <c r="AG956" i="1"/>
  <c r="AF956" i="1"/>
  <c r="AD956" i="1"/>
  <c r="AB956" i="1"/>
  <c r="Y956" i="1"/>
  <c r="X956" i="1"/>
  <c r="V956" i="1"/>
  <c r="T956" i="1"/>
  <c r="AY954" i="1"/>
  <c r="AX954" i="1"/>
  <c r="AV954" i="1"/>
  <c r="AT954" i="1"/>
  <c r="AQ954" i="1"/>
  <c r="AP954" i="1"/>
  <c r="AN954" i="1"/>
  <c r="AL954" i="1"/>
  <c r="AG954" i="1"/>
  <c r="AF954" i="1"/>
  <c r="AD954" i="1"/>
  <c r="AB954" i="1"/>
  <c r="Y954" i="1"/>
  <c r="X954" i="1"/>
  <c r="V954" i="1"/>
  <c r="T954" i="1"/>
  <c r="AI954" i="1" l="1"/>
  <c r="Q1038" i="1"/>
  <c r="Q1049" i="1"/>
  <c r="Q732" i="1"/>
  <c r="BB810" i="1"/>
  <c r="AJ1038" i="1"/>
  <c r="BA721" i="1"/>
  <c r="AI956" i="1"/>
  <c r="BB723" i="1"/>
  <c r="AJ723" i="1"/>
  <c r="BB732" i="1"/>
  <c r="BB541" i="1"/>
  <c r="AJ732" i="1"/>
  <c r="BA954" i="1"/>
  <c r="Q723" i="1"/>
  <c r="AI674" i="1"/>
  <c r="AI721" i="1"/>
  <c r="BB774" i="1"/>
  <c r="AR1254" i="1"/>
  <c r="AJ1049" i="1"/>
  <c r="BB498" i="1"/>
  <c r="BB1049" i="1"/>
  <c r="BA956" i="1"/>
  <c r="Z721" i="1"/>
  <c r="BB509" i="1"/>
  <c r="BA1254" i="1"/>
  <c r="Q1254" i="1" s="1"/>
  <c r="BB1038" i="1"/>
  <c r="AH954" i="1"/>
  <c r="Z956" i="1"/>
  <c r="AH956" i="1"/>
  <c r="Z954" i="1"/>
  <c r="AR954" i="1"/>
  <c r="AZ954" i="1"/>
  <c r="AZ721" i="1"/>
  <c r="AR721" i="1"/>
  <c r="AH721" i="1"/>
  <c r="AZ674" i="1"/>
  <c r="BA674" i="1"/>
  <c r="Z674" i="1"/>
  <c r="AH674" i="1"/>
  <c r="AR674" i="1"/>
  <c r="AZ1254" i="1"/>
  <c r="AH1254" i="1"/>
  <c r="Z1254" i="1"/>
  <c r="AZ956" i="1"/>
  <c r="AR956" i="1"/>
  <c r="Q954" i="1" l="1"/>
  <c r="R1038" i="1"/>
  <c r="Q721" i="1"/>
  <c r="Q956" i="1"/>
  <c r="R723" i="1"/>
  <c r="R732" i="1"/>
  <c r="AJ1254" i="1"/>
  <c r="BB1254" i="1"/>
  <c r="Q674" i="1"/>
  <c r="AJ954" i="1"/>
  <c r="R1049" i="1"/>
  <c r="AJ721" i="1"/>
  <c r="BB956" i="1"/>
  <c r="BB954" i="1"/>
  <c r="AJ956" i="1"/>
  <c r="BB721" i="1"/>
  <c r="BB674" i="1"/>
  <c r="AJ674" i="1"/>
  <c r="AX1251" i="1"/>
  <c r="AV1251" i="1"/>
  <c r="AT1251" i="1"/>
  <c r="BA1251" i="1"/>
  <c r="AP1251" i="1"/>
  <c r="AN1251" i="1"/>
  <c r="AL1251" i="1"/>
  <c r="AF1251" i="1"/>
  <c r="AD1251" i="1"/>
  <c r="AB1251" i="1"/>
  <c r="Y1251" i="1"/>
  <c r="X1251" i="1"/>
  <c r="V1251" i="1"/>
  <c r="T1251" i="1"/>
  <c r="AY1243" i="1"/>
  <c r="AY1219" i="1"/>
  <c r="AY1125" i="1"/>
  <c r="AY1123" i="1"/>
  <c r="AY1118" i="1"/>
  <c r="AY1016" i="1"/>
  <c r="AX1016" i="1"/>
  <c r="AV1016" i="1"/>
  <c r="AT1016" i="1"/>
  <c r="AQ1016" i="1"/>
  <c r="AP1016" i="1"/>
  <c r="AN1016" i="1"/>
  <c r="AL1016" i="1"/>
  <c r="AG1016" i="1"/>
  <c r="AF1016" i="1"/>
  <c r="AD1016" i="1"/>
  <c r="AB1016" i="1"/>
  <c r="Y1016" i="1"/>
  <c r="X1016" i="1"/>
  <c r="V1016" i="1"/>
  <c r="T1016" i="1"/>
  <c r="AY1015" i="1"/>
  <c r="AX1015" i="1"/>
  <c r="AV1015" i="1"/>
  <c r="AT1015" i="1"/>
  <c r="AQ1015" i="1"/>
  <c r="AP1015" i="1"/>
  <c r="AN1015" i="1"/>
  <c r="AL1015" i="1"/>
  <c r="AG1015" i="1"/>
  <c r="AF1015" i="1"/>
  <c r="AD1015" i="1"/>
  <c r="AB1015" i="1"/>
  <c r="Y1015" i="1"/>
  <c r="X1015" i="1"/>
  <c r="V1015" i="1"/>
  <c r="T1015" i="1"/>
  <c r="AY935" i="1"/>
  <c r="AX935" i="1"/>
  <c r="AV935" i="1"/>
  <c r="AT935" i="1"/>
  <c r="AQ935" i="1"/>
  <c r="AP935" i="1"/>
  <c r="AN935" i="1"/>
  <c r="AL935" i="1"/>
  <c r="AG935" i="1"/>
  <c r="AF935" i="1"/>
  <c r="AD935" i="1"/>
  <c r="AB935" i="1"/>
  <c r="Y935" i="1"/>
  <c r="X935" i="1"/>
  <c r="V935" i="1"/>
  <c r="T935" i="1"/>
  <c r="AY323" i="1"/>
  <c r="AX323" i="1"/>
  <c r="AV323" i="1"/>
  <c r="AT323" i="1"/>
  <c r="AQ323" i="1"/>
  <c r="AP323" i="1"/>
  <c r="AN323" i="1"/>
  <c r="AL323" i="1"/>
  <c r="AG323" i="1"/>
  <c r="AF323" i="1"/>
  <c r="AD323" i="1"/>
  <c r="AB323" i="1"/>
  <c r="X323" i="1"/>
  <c r="V323" i="1"/>
  <c r="AY322" i="1"/>
  <c r="AX322" i="1"/>
  <c r="AV322" i="1"/>
  <c r="AT322" i="1"/>
  <c r="AQ322" i="1"/>
  <c r="AP322" i="1"/>
  <c r="AN322" i="1"/>
  <c r="AL322" i="1"/>
  <c r="AG322" i="1"/>
  <c r="AF322" i="1"/>
  <c r="AD322" i="1"/>
  <c r="AB322" i="1"/>
  <c r="X322" i="1"/>
  <c r="V322" i="1"/>
  <c r="AY321" i="1"/>
  <c r="AX321" i="1"/>
  <c r="AV321" i="1"/>
  <c r="AT321" i="1"/>
  <c r="AQ321" i="1"/>
  <c r="AP321" i="1"/>
  <c r="AN321" i="1"/>
  <c r="AL321" i="1"/>
  <c r="AG321" i="1"/>
  <c r="AF321" i="1"/>
  <c r="AD321" i="1"/>
  <c r="AB321" i="1"/>
  <c r="X321" i="1"/>
  <c r="V321" i="1"/>
  <c r="AY320" i="1"/>
  <c r="AX320" i="1"/>
  <c r="AV320" i="1"/>
  <c r="AT320" i="1"/>
  <c r="AQ320" i="1"/>
  <c r="AP320" i="1"/>
  <c r="AN320" i="1"/>
  <c r="AL320" i="1"/>
  <c r="AG320" i="1"/>
  <c r="AF320" i="1"/>
  <c r="AD320" i="1"/>
  <c r="AB320" i="1"/>
  <c r="X320" i="1"/>
  <c r="V320" i="1"/>
  <c r="AY104" i="1"/>
  <c r="AX104" i="1"/>
  <c r="AV104" i="1"/>
  <c r="AT104" i="1"/>
  <c r="AQ104" i="1"/>
  <c r="AP104" i="1"/>
  <c r="AN104" i="1"/>
  <c r="AL104" i="1"/>
  <c r="AG104" i="1"/>
  <c r="AF104" i="1"/>
  <c r="AD104" i="1"/>
  <c r="AB104" i="1"/>
  <c r="X104" i="1"/>
  <c r="V104" i="1"/>
  <c r="AY105" i="1"/>
  <c r="AX105" i="1"/>
  <c r="AV105" i="1"/>
  <c r="AT105" i="1"/>
  <c r="AP105" i="1"/>
  <c r="AN105" i="1"/>
  <c r="AL105" i="1"/>
  <c r="AG105" i="1"/>
  <c r="AF105" i="1"/>
  <c r="AD105" i="1"/>
  <c r="AB105" i="1"/>
  <c r="X105" i="1"/>
  <c r="V105" i="1"/>
  <c r="AY99" i="1"/>
  <c r="AX99" i="1"/>
  <c r="AV99" i="1"/>
  <c r="AT99" i="1"/>
  <c r="AQ99" i="1"/>
  <c r="AP99" i="1"/>
  <c r="AN99" i="1"/>
  <c r="AL99" i="1"/>
  <c r="AG99" i="1"/>
  <c r="AF99" i="1"/>
  <c r="AD99" i="1"/>
  <c r="AB99" i="1"/>
  <c r="X99" i="1"/>
  <c r="V99" i="1"/>
  <c r="AY91" i="1"/>
  <c r="AX91" i="1"/>
  <c r="AV91" i="1"/>
  <c r="AT91" i="1"/>
  <c r="AQ91" i="1"/>
  <c r="AP91" i="1"/>
  <c r="AN91" i="1"/>
  <c r="AL91" i="1"/>
  <c r="AG91" i="1"/>
  <c r="AF91" i="1"/>
  <c r="AD91" i="1"/>
  <c r="AB91" i="1"/>
  <c r="X91" i="1"/>
  <c r="V91" i="1"/>
  <c r="AY79" i="1"/>
  <c r="AX79" i="1"/>
  <c r="AV79" i="1"/>
  <c r="AT79" i="1"/>
  <c r="AQ79" i="1"/>
  <c r="AP79" i="1"/>
  <c r="AN79" i="1"/>
  <c r="AL79" i="1"/>
  <c r="AG79" i="1"/>
  <c r="AF79" i="1"/>
  <c r="AD79" i="1"/>
  <c r="AB79" i="1"/>
  <c r="X79" i="1"/>
  <c r="V79" i="1"/>
  <c r="AY76" i="1"/>
  <c r="AX76" i="1"/>
  <c r="AV76" i="1"/>
  <c r="AT76" i="1"/>
  <c r="AQ76" i="1"/>
  <c r="AP76" i="1"/>
  <c r="AN76" i="1"/>
  <c r="AL76" i="1"/>
  <c r="AG76" i="1"/>
  <c r="AF76" i="1"/>
  <c r="AD76" i="1"/>
  <c r="AB76" i="1"/>
  <c r="X76" i="1"/>
  <c r="V76" i="1"/>
  <c r="BA935" i="1" l="1"/>
  <c r="AI1016" i="1"/>
  <c r="AH935" i="1"/>
  <c r="AI935" i="1"/>
  <c r="Z935" i="1"/>
  <c r="R1254" i="1"/>
  <c r="AH104" i="1"/>
  <c r="BA91" i="1"/>
  <c r="AH99" i="1"/>
  <c r="Z1251" i="1"/>
  <c r="BA1015" i="1"/>
  <c r="R674" i="1"/>
  <c r="BA322" i="1"/>
  <c r="BA323" i="1"/>
  <c r="AI1251" i="1"/>
  <c r="Q1251" i="1" s="1"/>
  <c r="R721" i="1"/>
  <c r="AR91" i="1"/>
  <c r="AR1251" i="1"/>
  <c r="R956" i="1"/>
  <c r="AH91" i="1"/>
  <c r="AH1251" i="1"/>
  <c r="R954" i="1"/>
  <c r="AI1015" i="1"/>
  <c r="BA79" i="1"/>
  <c r="BA1016" i="1"/>
  <c r="BA320" i="1"/>
  <c r="AZ91" i="1"/>
  <c r="AZ1251" i="1"/>
  <c r="BA104" i="1"/>
  <c r="AR104" i="1"/>
  <c r="AZ104" i="1"/>
  <c r="AH320" i="1"/>
  <c r="AH321" i="1"/>
  <c r="AH322" i="1"/>
  <c r="AR322" i="1"/>
  <c r="AZ935" i="1"/>
  <c r="BA99" i="1"/>
  <c r="AZ76" i="1"/>
  <c r="AH323" i="1"/>
  <c r="Z1015" i="1"/>
  <c r="AH1015" i="1"/>
  <c r="Z1016" i="1"/>
  <c r="AH1016" i="1"/>
  <c r="AR1016" i="1"/>
  <c r="AZ1016" i="1"/>
  <c r="BA105" i="1"/>
  <c r="BA321" i="1"/>
  <c r="AZ1015" i="1"/>
  <c r="AR1015" i="1"/>
  <c r="AR323" i="1"/>
  <c r="AR935" i="1"/>
  <c r="BA76" i="1"/>
  <c r="AZ322" i="1"/>
  <c r="AZ323" i="1"/>
  <c r="AZ320" i="1"/>
  <c r="AR320" i="1"/>
  <c r="AH105" i="1"/>
  <c r="AR105" i="1"/>
  <c r="AZ321" i="1"/>
  <c r="AR321" i="1"/>
  <c r="AZ79" i="1"/>
  <c r="AZ105" i="1"/>
  <c r="AR99" i="1"/>
  <c r="AZ99" i="1"/>
  <c r="AR79" i="1"/>
  <c r="AH79" i="1"/>
  <c r="AR76" i="1"/>
  <c r="AH76" i="1"/>
  <c r="U543" i="1"/>
  <c r="W543" i="1"/>
  <c r="AA543" i="1"/>
  <c r="AC543" i="1"/>
  <c r="AE543" i="1"/>
  <c r="AK543" i="1"/>
  <c r="AM543" i="1"/>
  <c r="AO543" i="1"/>
  <c r="AS543" i="1"/>
  <c r="AU543" i="1"/>
  <c r="AW543" i="1"/>
  <c r="AY542" i="1"/>
  <c r="AX542" i="1"/>
  <c r="AV542" i="1"/>
  <c r="AT542" i="1"/>
  <c r="AQ542" i="1"/>
  <c r="AP542" i="1"/>
  <c r="AN542" i="1"/>
  <c r="AL542" i="1"/>
  <c r="AG542" i="1"/>
  <c r="AF542" i="1"/>
  <c r="AD542" i="1"/>
  <c r="AB542" i="1"/>
  <c r="X542" i="1"/>
  <c r="V542" i="1"/>
  <c r="AY540" i="1"/>
  <c r="AX540" i="1"/>
  <c r="AV540" i="1"/>
  <c r="AT540" i="1"/>
  <c r="AQ540" i="1"/>
  <c r="AP540" i="1"/>
  <c r="AN540" i="1"/>
  <c r="AL540" i="1"/>
  <c r="AG540" i="1"/>
  <c r="AF540" i="1"/>
  <c r="AD540" i="1"/>
  <c r="AB540" i="1"/>
  <c r="X540" i="1"/>
  <c r="V540" i="1"/>
  <c r="AY711" i="1"/>
  <c r="AX711" i="1"/>
  <c r="AV711" i="1"/>
  <c r="AT711" i="1"/>
  <c r="AQ711" i="1"/>
  <c r="AP711" i="1"/>
  <c r="AN711" i="1"/>
  <c r="AL711" i="1"/>
  <c r="AG711" i="1"/>
  <c r="AF711" i="1"/>
  <c r="AD711" i="1"/>
  <c r="AB711" i="1"/>
  <c r="Y711" i="1"/>
  <c r="X711" i="1"/>
  <c r="V711" i="1"/>
  <c r="T711" i="1"/>
  <c r="AY678" i="1"/>
  <c r="AX678" i="1"/>
  <c r="AV678" i="1"/>
  <c r="AT678" i="1"/>
  <c r="AQ678" i="1"/>
  <c r="AP678" i="1"/>
  <c r="AN678" i="1"/>
  <c r="AL678" i="1"/>
  <c r="AG678" i="1"/>
  <c r="AF678" i="1"/>
  <c r="AD678" i="1"/>
  <c r="AB678" i="1"/>
  <c r="Y678" i="1"/>
  <c r="X678" i="1"/>
  <c r="V678" i="1"/>
  <c r="T678" i="1"/>
  <c r="AY637" i="1"/>
  <c r="AX637" i="1"/>
  <c r="AV637" i="1"/>
  <c r="AT637" i="1"/>
  <c r="AQ637" i="1"/>
  <c r="AP637" i="1"/>
  <c r="AN637" i="1"/>
  <c r="AL637" i="1"/>
  <c r="AG637" i="1"/>
  <c r="AF637" i="1"/>
  <c r="AD637" i="1"/>
  <c r="AB637" i="1"/>
  <c r="X637" i="1"/>
  <c r="V637" i="1"/>
  <c r="AY809" i="1"/>
  <c r="AX809" i="1"/>
  <c r="AV809" i="1"/>
  <c r="AT809" i="1"/>
  <c r="AQ809" i="1"/>
  <c r="AP809" i="1"/>
  <c r="AN809" i="1"/>
  <c r="AL809" i="1"/>
  <c r="AG809" i="1"/>
  <c r="AF809" i="1"/>
  <c r="AD809" i="1"/>
  <c r="AB809" i="1"/>
  <c r="Y809" i="1"/>
  <c r="X809" i="1"/>
  <c r="V809" i="1"/>
  <c r="T809" i="1"/>
  <c r="AQ1243" i="1"/>
  <c r="AQ1219" i="1"/>
  <c r="AY1165" i="1"/>
  <c r="AX1165" i="1"/>
  <c r="AV1165" i="1"/>
  <c r="AT1165" i="1"/>
  <c r="AQ1165" i="1"/>
  <c r="AP1165" i="1"/>
  <c r="AN1165" i="1"/>
  <c r="AL1165" i="1"/>
  <c r="AG1165" i="1"/>
  <c r="AF1165" i="1"/>
  <c r="AD1165" i="1"/>
  <c r="AB1165" i="1"/>
  <c r="Y1165" i="1"/>
  <c r="X1165" i="1"/>
  <c r="V1165" i="1"/>
  <c r="T1165" i="1"/>
  <c r="AY421" i="1"/>
  <c r="AX421" i="1"/>
  <c r="AV421" i="1"/>
  <c r="AT421" i="1"/>
  <c r="AQ421" i="1"/>
  <c r="AP421" i="1"/>
  <c r="AN421" i="1"/>
  <c r="AL421" i="1"/>
  <c r="AG421" i="1"/>
  <c r="AF421" i="1"/>
  <c r="AD421" i="1"/>
  <c r="AB421" i="1"/>
  <c r="X421" i="1"/>
  <c r="V421" i="1"/>
  <c r="AY420" i="1"/>
  <c r="AX420" i="1"/>
  <c r="AV420" i="1"/>
  <c r="AT420" i="1"/>
  <c r="AQ420" i="1"/>
  <c r="AP420" i="1"/>
  <c r="AN420" i="1"/>
  <c r="AL420" i="1"/>
  <c r="AG420" i="1"/>
  <c r="AF420" i="1"/>
  <c r="AD420" i="1"/>
  <c r="AB420" i="1"/>
  <c r="X420" i="1"/>
  <c r="V420" i="1"/>
  <c r="BB105" i="1" l="1"/>
  <c r="BA678" i="1"/>
  <c r="Q935" i="1"/>
  <c r="Q1016" i="1"/>
  <c r="AI711" i="1"/>
  <c r="BB1251" i="1"/>
  <c r="AJ1251" i="1"/>
  <c r="BA1165" i="1"/>
  <c r="Q1015" i="1"/>
  <c r="AI1165" i="1"/>
  <c r="BB104" i="1"/>
  <c r="BB91" i="1"/>
  <c r="BA421" i="1"/>
  <c r="AJ935" i="1"/>
  <c r="BA809" i="1"/>
  <c r="AI809" i="1"/>
  <c r="AI678" i="1"/>
  <c r="BA711" i="1"/>
  <c r="BA540" i="1"/>
  <c r="BA637" i="1"/>
  <c r="BB322" i="1"/>
  <c r="BA542" i="1"/>
  <c r="BB79" i="1"/>
  <c r="AH1165" i="1"/>
  <c r="AZ637" i="1"/>
  <c r="AH711" i="1"/>
  <c r="AR711" i="1"/>
  <c r="AH540" i="1"/>
  <c r="AH542" i="1"/>
  <c r="Z1165" i="1"/>
  <c r="AR637" i="1"/>
  <c r="AH678" i="1"/>
  <c r="Z711" i="1"/>
  <c r="BB935" i="1"/>
  <c r="BB1016" i="1"/>
  <c r="AZ542" i="1"/>
  <c r="AJ1015" i="1"/>
  <c r="AJ1016" i="1"/>
  <c r="BB1015" i="1"/>
  <c r="BB323" i="1"/>
  <c r="AH809" i="1"/>
  <c r="AH421" i="1"/>
  <c r="AZ1165" i="1"/>
  <c r="BB320" i="1"/>
  <c r="AZ809" i="1"/>
  <c r="AZ711" i="1"/>
  <c r="AZ540" i="1"/>
  <c r="BB321" i="1"/>
  <c r="BB99" i="1"/>
  <c r="BB76" i="1"/>
  <c r="AR542" i="1"/>
  <c r="AR540" i="1"/>
  <c r="Z678" i="1"/>
  <c r="AZ678" i="1"/>
  <c r="AR678" i="1"/>
  <c r="AH637" i="1"/>
  <c r="AZ421" i="1"/>
  <c r="BA420" i="1"/>
  <c r="AR809" i="1"/>
  <c r="Z809" i="1"/>
  <c r="AR1165" i="1"/>
  <c r="AH420" i="1"/>
  <c r="AR420" i="1"/>
  <c r="AZ420" i="1"/>
  <c r="AR421" i="1"/>
  <c r="Q678" i="1" l="1"/>
  <c r="Q711" i="1"/>
  <c r="AJ711" i="1"/>
  <c r="BB637" i="1"/>
  <c r="R1251" i="1"/>
  <c r="Q1165" i="1"/>
  <c r="BB711" i="1"/>
  <c r="R935" i="1"/>
  <c r="Q809" i="1"/>
  <c r="AJ678" i="1"/>
  <c r="AJ809" i="1"/>
  <c r="R1016" i="1"/>
  <c r="BB1165" i="1"/>
  <c r="BB542" i="1"/>
  <c r="AJ1165" i="1"/>
  <c r="R1015" i="1"/>
  <c r="BB809" i="1"/>
  <c r="BB678" i="1"/>
  <c r="BB421" i="1"/>
  <c r="BB540" i="1"/>
  <c r="BB420" i="1"/>
  <c r="AY661" i="1"/>
  <c r="AX661" i="1"/>
  <c r="AV661" i="1"/>
  <c r="AT661" i="1"/>
  <c r="AQ661" i="1"/>
  <c r="AP661" i="1"/>
  <c r="AN661" i="1"/>
  <c r="AL661" i="1"/>
  <c r="AG661" i="1"/>
  <c r="AF661" i="1"/>
  <c r="AD661" i="1"/>
  <c r="AB661" i="1"/>
  <c r="Y661" i="1"/>
  <c r="X661" i="1"/>
  <c r="V661" i="1"/>
  <c r="T661" i="1"/>
  <c r="AY1218" i="1"/>
  <c r="AX1218" i="1"/>
  <c r="AV1218" i="1"/>
  <c r="AT1218" i="1"/>
  <c r="AQ1218" i="1"/>
  <c r="AP1218" i="1"/>
  <c r="AN1218" i="1"/>
  <c r="AL1218" i="1"/>
  <c r="AG1218" i="1"/>
  <c r="AF1218" i="1"/>
  <c r="AD1218" i="1"/>
  <c r="AB1218" i="1"/>
  <c r="Y1218" i="1"/>
  <c r="X1218" i="1"/>
  <c r="V1218" i="1"/>
  <c r="T1218" i="1"/>
  <c r="AX1125" i="1"/>
  <c r="AV1125" i="1"/>
  <c r="AT1125" i="1"/>
  <c r="AQ1125" i="1"/>
  <c r="BA1125" i="1" s="1"/>
  <c r="AP1125" i="1"/>
  <c r="AN1125" i="1"/>
  <c r="AL1125" i="1"/>
  <c r="AG1125" i="1"/>
  <c r="AF1125" i="1"/>
  <c r="AD1125" i="1"/>
  <c r="AB1125" i="1"/>
  <c r="Y1125" i="1"/>
  <c r="X1125" i="1"/>
  <c r="V1125" i="1"/>
  <c r="T1125" i="1"/>
  <c r="R711" i="1" l="1"/>
  <c r="AI1125" i="1"/>
  <c r="Q1125" i="1" s="1"/>
  <c r="AI661" i="1"/>
  <c r="AI1218" i="1"/>
  <c r="R678" i="1"/>
  <c r="R809" i="1"/>
  <c r="BA1218" i="1"/>
  <c r="BA661" i="1"/>
  <c r="R1165" i="1"/>
  <c r="AR661" i="1"/>
  <c r="AZ661" i="1"/>
  <c r="AH661" i="1"/>
  <c r="Z661" i="1"/>
  <c r="Z1218" i="1"/>
  <c r="AH1218" i="1"/>
  <c r="AR1218" i="1"/>
  <c r="AZ1218" i="1"/>
  <c r="AZ1125" i="1"/>
  <c r="AR1125" i="1"/>
  <c r="Z1125" i="1"/>
  <c r="AH1125" i="1"/>
  <c r="AY959" i="1"/>
  <c r="AY944" i="1"/>
  <c r="AY938" i="1"/>
  <c r="AQ1192" i="1"/>
  <c r="AG1189" i="1"/>
  <c r="AG1193" i="1"/>
  <c r="AY1192" i="1"/>
  <c r="AX1192" i="1"/>
  <c r="AV1192" i="1"/>
  <c r="AT1192" i="1"/>
  <c r="AP1192" i="1"/>
  <c r="AN1192" i="1"/>
  <c r="AL1192" i="1"/>
  <c r="AG1192" i="1"/>
  <c r="AF1192" i="1"/>
  <c r="AD1192" i="1"/>
  <c r="AB1192" i="1"/>
  <c r="Y1192" i="1"/>
  <c r="X1192" i="1"/>
  <c r="V1192" i="1"/>
  <c r="T1192" i="1"/>
  <c r="AY1178" i="1"/>
  <c r="AX1178" i="1"/>
  <c r="AV1178" i="1"/>
  <c r="AT1178" i="1"/>
  <c r="AQ1178" i="1"/>
  <c r="AP1178" i="1"/>
  <c r="AN1178" i="1"/>
  <c r="AL1178" i="1"/>
  <c r="AG1178" i="1"/>
  <c r="AF1178" i="1"/>
  <c r="AD1178" i="1"/>
  <c r="AB1178" i="1"/>
  <c r="Y1178" i="1"/>
  <c r="X1178" i="1"/>
  <c r="V1178" i="1"/>
  <c r="T1178" i="1"/>
  <c r="AY1168" i="1"/>
  <c r="AX1168" i="1"/>
  <c r="AV1168" i="1"/>
  <c r="AT1168" i="1"/>
  <c r="AQ1168" i="1"/>
  <c r="AP1168" i="1"/>
  <c r="AN1168" i="1"/>
  <c r="AL1168" i="1"/>
  <c r="AG1168" i="1"/>
  <c r="AF1168" i="1"/>
  <c r="AD1168" i="1"/>
  <c r="AB1168" i="1"/>
  <c r="Y1168" i="1"/>
  <c r="X1168" i="1"/>
  <c r="V1168" i="1"/>
  <c r="T1168" i="1"/>
  <c r="AY78" i="1"/>
  <c r="AX78" i="1"/>
  <c r="AV78" i="1"/>
  <c r="AT78" i="1"/>
  <c r="AQ78" i="1"/>
  <c r="AP78" i="1"/>
  <c r="AN78" i="1"/>
  <c r="AL78" i="1"/>
  <c r="AG78" i="1"/>
  <c r="AF78" i="1"/>
  <c r="AD78" i="1"/>
  <c r="AB78" i="1"/>
  <c r="X78" i="1"/>
  <c r="V78" i="1"/>
  <c r="AI1192" i="1" l="1"/>
  <c r="Q661" i="1"/>
  <c r="BA1168" i="1"/>
  <c r="Z1178" i="1"/>
  <c r="BA1178" i="1"/>
  <c r="Q1218" i="1"/>
  <c r="AI1168" i="1"/>
  <c r="AI1178" i="1"/>
  <c r="BA78" i="1"/>
  <c r="BB1125" i="1"/>
  <c r="BA1192" i="1"/>
  <c r="AJ1218" i="1"/>
  <c r="AJ661" i="1"/>
  <c r="BB1218" i="1"/>
  <c r="BB661" i="1"/>
  <c r="AJ1125" i="1"/>
  <c r="AH78" i="1"/>
  <c r="AZ78" i="1"/>
  <c r="Z1168" i="1"/>
  <c r="AH1168" i="1"/>
  <c r="AR1168" i="1"/>
  <c r="AZ1168" i="1"/>
  <c r="AR1192" i="1"/>
  <c r="AZ1192" i="1"/>
  <c r="Z1192" i="1"/>
  <c r="AH1192" i="1"/>
  <c r="AH1178" i="1"/>
  <c r="AZ1178" i="1"/>
  <c r="AR1178" i="1"/>
  <c r="AR78" i="1"/>
  <c r="AF934" i="1"/>
  <c r="AY838" i="1"/>
  <c r="AX838" i="1"/>
  <c r="AV838" i="1"/>
  <c r="AT838" i="1"/>
  <c r="AQ838" i="1"/>
  <c r="AP838" i="1"/>
  <c r="AN838" i="1"/>
  <c r="AL838" i="1"/>
  <c r="AG838" i="1"/>
  <c r="AF838" i="1"/>
  <c r="AD838" i="1"/>
  <c r="AB838" i="1"/>
  <c r="X838" i="1"/>
  <c r="V838" i="1"/>
  <c r="AX944" i="1"/>
  <c r="AV944" i="1"/>
  <c r="AT944" i="1"/>
  <c r="AQ944" i="1"/>
  <c r="BA944" i="1" s="1"/>
  <c r="AP944" i="1"/>
  <c r="AN944" i="1"/>
  <c r="AL944" i="1"/>
  <c r="AG944" i="1"/>
  <c r="AF944" i="1"/>
  <c r="AD944" i="1"/>
  <c r="AB944" i="1"/>
  <c r="Y944" i="1"/>
  <c r="X944" i="1"/>
  <c r="V944" i="1"/>
  <c r="T944" i="1"/>
  <c r="AX938" i="1"/>
  <c r="AV938" i="1"/>
  <c r="AT938" i="1"/>
  <c r="AQ938" i="1"/>
  <c r="BA938" i="1" s="1"/>
  <c r="AP938" i="1"/>
  <c r="AN938" i="1"/>
  <c r="AL938" i="1"/>
  <c r="AG938" i="1"/>
  <c r="AF938" i="1"/>
  <c r="AD938" i="1"/>
  <c r="AB938" i="1"/>
  <c r="Y938" i="1"/>
  <c r="X938" i="1"/>
  <c r="V938" i="1"/>
  <c r="T938" i="1"/>
  <c r="AG502" i="1"/>
  <c r="AY502" i="1"/>
  <c r="AX502" i="1"/>
  <c r="AV502" i="1"/>
  <c r="AT502" i="1"/>
  <c r="AQ502" i="1"/>
  <c r="AP502" i="1"/>
  <c r="AN502" i="1"/>
  <c r="AL502" i="1"/>
  <c r="AF502" i="1"/>
  <c r="AD502" i="1"/>
  <c r="AB502" i="1"/>
  <c r="X502" i="1"/>
  <c r="V502" i="1"/>
  <c r="AY505" i="1"/>
  <c r="AX505" i="1"/>
  <c r="AV505" i="1"/>
  <c r="AT505" i="1"/>
  <c r="AQ505" i="1"/>
  <c r="AP505" i="1"/>
  <c r="AN505" i="1"/>
  <c r="AL505" i="1"/>
  <c r="AG505" i="1"/>
  <c r="AF505" i="1"/>
  <c r="AD505" i="1"/>
  <c r="AB505" i="1"/>
  <c r="X505" i="1"/>
  <c r="V505" i="1"/>
  <c r="Q1192" i="1" l="1"/>
  <c r="Q1168" i="1"/>
  <c r="Q1178" i="1"/>
  <c r="BA838" i="1"/>
  <c r="AI938" i="1"/>
  <c r="Q938" i="1" s="1"/>
  <c r="BA505" i="1"/>
  <c r="R1125" i="1"/>
  <c r="R661" i="1"/>
  <c r="AJ1178" i="1"/>
  <c r="R1218" i="1"/>
  <c r="Z944" i="1"/>
  <c r="AZ944" i="1"/>
  <c r="BB1178" i="1"/>
  <c r="BB1192" i="1"/>
  <c r="AJ1192" i="1"/>
  <c r="AJ1168" i="1"/>
  <c r="AZ505" i="1"/>
  <c r="Z938" i="1"/>
  <c r="AH938" i="1"/>
  <c r="AR938" i="1"/>
  <c r="AZ938" i="1"/>
  <c r="BB78" i="1"/>
  <c r="BB1168" i="1"/>
  <c r="AR944" i="1"/>
  <c r="AZ838" i="1"/>
  <c r="BA502" i="1"/>
  <c r="AR505" i="1"/>
  <c r="AR838" i="1"/>
  <c r="AH838" i="1"/>
  <c r="AI944" i="1"/>
  <c r="Q944" i="1" s="1"/>
  <c r="AH944" i="1"/>
  <c r="AR502" i="1"/>
  <c r="AZ502" i="1"/>
  <c r="AH502" i="1"/>
  <c r="AH505" i="1"/>
  <c r="AY371" i="1"/>
  <c r="AX371" i="1"/>
  <c r="AV371" i="1"/>
  <c r="AT371" i="1"/>
  <c r="AP371" i="1"/>
  <c r="AN371" i="1"/>
  <c r="AL371" i="1"/>
  <c r="AG371" i="1"/>
  <c r="AF371" i="1"/>
  <c r="AD371" i="1"/>
  <c r="AB371" i="1"/>
  <c r="X371" i="1"/>
  <c r="V371" i="1"/>
  <c r="AJ944" i="1" l="1"/>
  <c r="R1178" i="1"/>
  <c r="BB944" i="1"/>
  <c r="R1192" i="1"/>
  <c r="BB505" i="1"/>
  <c r="AJ938" i="1"/>
  <c r="BB938" i="1"/>
  <c r="R1168" i="1"/>
  <c r="BB838" i="1"/>
  <c r="BB502" i="1"/>
  <c r="BA371" i="1"/>
  <c r="AR371" i="1"/>
  <c r="AZ371" i="1"/>
  <c r="AH371" i="1"/>
  <c r="AY728" i="1"/>
  <c r="AX728" i="1"/>
  <c r="AV728" i="1"/>
  <c r="AT728" i="1"/>
  <c r="AQ728" i="1"/>
  <c r="AP728" i="1"/>
  <c r="AN728" i="1"/>
  <c r="AL728" i="1"/>
  <c r="AG728" i="1"/>
  <c r="AF728" i="1"/>
  <c r="AD728" i="1"/>
  <c r="AB728" i="1"/>
  <c r="Y728" i="1"/>
  <c r="X728" i="1"/>
  <c r="V728" i="1"/>
  <c r="T728" i="1"/>
  <c r="AY943" i="1"/>
  <c r="AX943" i="1"/>
  <c r="AV943" i="1"/>
  <c r="AT943" i="1"/>
  <c r="AQ943" i="1"/>
  <c r="AP943" i="1"/>
  <c r="AN943" i="1"/>
  <c r="AL943" i="1"/>
  <c r="AG943" i="1"/>
  <c r="AF943" i="1"/>
  <c r="AD943" i="1"/>
  <c r="AB943" i="1"/>
  <c r="Y943" i="1"/>
  <c r="X943" i="1"/>
  <c r="V943" i="1"/>
  <c r="T943" i="1"/>
  <c r="R944" i="1" l="1"/>
  <c r="BA728" i="1"/>
  <c r="R938" i="1"/>
  <c r="AI943" i="1"/>
  <c r="Z943" i="1"/>
  <c r="AZ943" i="1"/>
  <c r="AR943" i="1"/>
  <c r="AI728" i="1"/>
  <c r="AR728" i="1"/>
  <c r="AZ728" i="1"/>
  <c r="BA943" i="1"/>
  <c r="BB371" i="1"/>
  <c r="AH728" i="1"/>
  <c r="Z728" i="1"/>
  <c r="AH943" i="1"/>
  <c r="AQ503" i="1"/>
  <c r="AY836" i="1"/>
  <c r="AX836" i="1"/>
  <c r="AV836" i="1"/>
  <c r="AT836" i="1"/>
  <c r="AQ836" i="1"/>
  <c r="AP836" i="1"/>
  <c r="AN836" i="1"/>
  <c r="AL836" i="1"/>
  <c r="AG836" i="1"/>
  <c r="AF836" i="1"/>
  <c r="AD836" i="1"/>
  <c r="AB836" i="1"/>
  <c r="X836" i="1"/>
  <c r="V836" i="1"/>
  <c r="AY717" i="1"/>
  <c r="AX717" i="1"/>
  <c r="AV717" i="1"/>
  <c r="AT717" i="1"/>
  <c r="AQ717" i="1"/>
  <c r="AP717" i="1"/>
  <c r="AN717" i="1"/>
  <c r="AL717" i="1"/>
  <c r="AG717" i="1"/>
  <c r="AF717" i="1"/>
  <c r="AD717" i="1"/>
  <c r="AB717" i="1"/>
  <c r="Y717" i="1"/>
  <c r="X717" i="1"/>
  <c r="V717" i="1"/>
  <c r="T717" i="1"/>
  <c r="AY670" i="1"/>
  <c r="AX670" i="1"/>
  <c r="AV670" i="1"/>
  <c r="AT670" i="1"/>
  <c r="AQ670" i="1"/>
  <c r="AP670" i="1"/>
  <c r="AN670" i="1"/>
  <c r="AL670" i="1"/>
  <c r="AG670" i="1"/>
  <c r="AF670" i="1"/>
  <c r="AD670" i="1"/>
  <c r="AB670" i="1"/>
  <c r="Y670" i="1"/>
  <c r="X670" i="1"/>
  <c r="V670" i="1"/>
  <c r="T670" i="1"/>
  <c r="AY813" i="1"/>
  <c r="AX813" i="1"/>
  <c r="AV813" i="1"/>
  <c r="AT813" i="1"/>
  <c r="AQ813" i="1"/>
  <c r="AP813" i="1"/>
  <c r="AN813" i="1"/>
  <c r="AL813" i="1"/>
  <c r="AG813" i="1"/>
  <c r="AF813" i="1"/>
  <c r="AD813" i="1"/>
  <c r="AB813" i="1"/>
  <c r="Y813" i="1"/>
  <c r="X813" i="1"/>
  <c r="V813" i="1"/>
  <c r="T813" i="1"/>
  <c r="AQ959" i="1"/>
  <c r="AG959" i="1"/>
  <c r="AQ942" i="1"/>
  <c r="AG942" i="1"/>
  <c r="AY168" i="1"/>
  <c r="AX168" i="1"/>
  <c r="AV168" i="1"/>
  <c r="AT168" i="1"/>
  <c r="AQ168" i="1"/>
  <c r="AP168" i="1"/>
  <c r="AN168" i="1"/>
  <c r="AL168" i="1"/>
  <c r="AG168" i="1"/>
  <c r="AF168" i="1"/>
  <c r="AD168" i="1"/>
  <c r="AB168" i="1"/>
  <c r="X168" i="1"/>
  <c r="V168" i="1"/>
  <c r="AG503" i="1"/>
  <c r="AY503" i="1"/>
  <c r="AX503" i="1"/>
  <c r="AV503" i="1"/>
  <c r="AT503" i="1"/>
  <c r="AP503" i="1"/>
  <c r="AN503" i="1"/>
  <c r="AL503" i="1"/>
  <c r="AF503" i="1"/>
  <c r="AD503" i="1"/>
  <c r="AB503" i="1"/>
  <c r="X503" i="1"/>
  <c r="V503" i="1"/>
  <c r="Q728" i="1" l="1"/>
  <c r="BA836" i="1"/>
  <c r="BB943" i="1"/>
  <c r="BA503" i="1"/>
  <c r="AI813" i="1"/>
  <c r="BA813" i="1"/>
  <c r="BA670" i="1"/>
  <c r="Q943" i="1"/>
  <c r="Z813" i="1"/>
  <c r="AJ943" i="1"/>
  <c r="AZ813" i="1"/>
  <c r="AH836" i="1"/>
  <c r="AZ836" i="1"/>
  <c r="BA717" i="1"/>
  <c r="AR836" i="1"/>
  <c r="AR813" i="1"/>
  <c r="BB728" i="1"/>
  <c r="AJ728" i="1"/>
  <c r="Z717" i="1"/>
  <c r="AR717" i="1"/>
  <c r="AZ717" i="1"/>
  <c r="AH813" i="1"/>
  <c r="AR503" i="1"/>
  <c r="AZ503" i="1"/>
  <c r="AI717" i="1"/>
  <c r="AH717" i="1"/>
  <c r="Z670" i="1"/>
  <c r="AH670" i="1"/>
  <c r="AR670" i="1"/>
  <c r="AZ670" i="1"/>
  <c r="AI670" i="1"/>
  <c r="BA168" i="1"/>
  <c r="AH503" i="1"/>
  <c r="AR168" i="1"/>
  <c r="AZ168" i="1"/>
  <c r="AH168" i="1"/>
  <c r="AY167" i="1"/>
  <c r="AX167" i="1"/>
  <c r="AV167" i="1"/>
  <c r="AT167" i="1"/>
  <c r="AQ167" i="1"/>
  <c r="AP167" i="1"/>
  <c r="AN167" i="1"/>
  <c r="AL167" i="1"/>
  <c r="AG167" i="1"/>
  <c r="AF167" i="1"/>
  <c r="AD167" i="1"/>
  <c r="AB167" i="1"/>
  <c r="X167" i="1"/>
  <c r="V167" i="1"/>
  <c r="AY163" i="1"/>
  <c r="AX163" i="1"/>
  <c r="AV163" i="1"/>
  <c r="AT163" i="1"/>
  <c r="AQ163" i="1"/>
  <c r="AP163" i="1"/>
  <c r="AN163" i="1"/>
  <c r="AL163" i="1"/>
  <c r="AG163" i="1"/>
  <c r="AF163" i="1"/>
  <c r="AD163" i="1"/>
  <c r="AB163" i="1"/>
  <c r="X163" i="1"/>
  <c r="V163" i="1"/>
  <c r="V164" i="1"/>
  <c r="X164" i="1"/>
  <c r="AB164" i="1"/>
  <c r="AD164" i="1"/>
  <c r="AF164" i="1"/>
  <c r="AG164" i="1"/>
  <c r="AL164" i="1"/>
  <c r="AN164" i="1"/>
  <c r="AP164" i="1"/>
  <c r="AQ164" i="1"/>
  <c r="AT164" i="1"/>
  <c r="AV164" i="1"/>
  <c r="AX164" i="1"/>
  <c r="AY164" i="1"/>
  <c r="Q813" i="1" l="1"/>
  <c r="R943" i="1"/>
  <c r="AJ717" i="1"/>
  <c r="BA167" i="1"/>
  <c r="Q670" i="1"/>
  <c r="BA163" i="1"/>
  <c r="BB836" i="1"/>
  <c r="AJ813" i="1"/>
  <c r="BB813" i="1"/>
  <c r="Q717" i="1"/>
  <c r="R728" i="1"/>
  <c r="BB503" i="1"/>
  <c r="BB717" i="1"/>
  <c r="BB670" i="1"/>
  <c r="AJ670" i="1"/>
  <c r="BB168" i="1"/>
  <c r="AH167" i="1"/>
  <c r="AR167" i="1"/>
  <c r="AZ167" i="1"/>
  <c r="AH164" i="1"/>
  <c r="AR164" i="1"/>
  <c r="AZ164" i="1"/>
  <c r="BA164" i="1"/>
  <c r="AH163" i="1"/>
  <c r="AR163" i="1"/>
  <c r="AZ163" i="1"/>
  <c r="AY963" i="1"/>
  <c r="AX963" i="1"/>
  <c r="AV963" i="1"/>
  <c r="AT963" i="1"/>
  <c r="AQ963" i="1"/>
  <c r="AP963" i="1"/>
  <c r="AN963" i="1"/>
  <c r="AL963" i="1"/>
  <c r="AG963" i="1"/>
  <c r="AF963" i="1"/>
  <c r="AD963" i="1"/>
  <c r="AB963" i="1"/>
  <c r="Y963" i="1"/>
  <c r="X963" i="1"/>
  <c r="V963" i="1"/>
  <c r="T963" i="1"/>
  <c r="AY962" i="1"/>
  <c r="AX962" i="1"/>
  <c r="AV962" i="1"/>
  <c r="AT962" i="1"/>
  <c r="AQ962" i="1"/>
  <c r="AP962" i="1"/>
  <c r="AN962" i="1"/>
  <c r="AL962" i="1"/>
  <c r="AG962" i="1"/>
  <c r="AF962" i="1"/>
  <c r="AD962" i="1"/>
  <c r="AB962" i="1"/>
  <c r="Y962" i="1"/>
  <c r="X962" i="1"/>
  <c r="V962" i="1"/>
  <c r="T962" i="1"/>
  <c r="AY366" i="1"/>
  <c r="AX366" i="1"/>
  <c r="AV366" i="1"/>
  <c r="AT366" i="1"/>
  <c r="AQ366" i="1"/>
  <c r="AP366" i="1"/>
  <c r="AN366" i="1"/>
  <c r="AL366" i="1"/>
  <c r="AG366" i="1"/>
  <c r="AF366" i="1"/>
  <c r="AD366" i="1"/>
  <c r="AB366" i="1"/>
  <c r="Y366" i="1"/>
  <c r="X366" i="1"/>
  <c r="V366" i="1"/>
  <c r="T366" i="1"/>
  <c r="AY772" i="1"/>
  <c r="AX772" i="1"/>
  <c r="AV772" i="1"/>
  <c r="AT772" i="1"/>
  <c r="AQ772" i="1"/>
  <c r="AP772" i="1"/>
  <c r="AN772" i="1"/>
  <c r="AL772" i="1"/>
  <c r="AG772" i="1"/>
  <c r="AF772" i="1"/>
  <c r="AD772" i="1"/>
  <c r="AB772" i="1"/>
  <c r="X772" i="1"/>
  <c r="V772" i="1"/>
  <c r="AY1113" i="1"/>
  <c r="AX1113" i="1"/>
  <c r="AV1113" i="1"/>
  <c r="AT1113" i="1"/>
  <c r="AQ1113" i="1"/>
  <c r="AP1113" i="1"/>
  <c r="AN1113" i="1"/>
  <c r="AL1113" i="1"/>
  <c r="AG1113" i="1"/>
  <c r="AF1113" i="1"/>
  <c r="AD1113" i="1"/>
  <c r="AB1113" i="1"/>
  <c r="Y1113" i="1"/>
  <c r="X1113" i="1"/>
  <c r="V1113" i="1"/>
  <c r="T1113" i="1"/>
  <c r="Y959" i="1"/>
  <c r="BA1113" i="1" l="1"/>
  <c r="BA963" i="1"/>
  <c r="BA366" i="1"/>
  <c r="AI963" i="1"/>
  <c r="R717" i="1"/>
  <c r="BA772" i="1"/>
  <c r="BB164" i="1"/>
  <c r="R813" i="1"/>
  <c r="AI1113" i="1"/>
  <c r="AH963" i="1"/>
  <c r="AR963" i="1"/>
  <c r="AZ962" i="1"/>
  <c r="AZ963" i="1"/>
  <c r="AI962" i="1"/>
  <c r="R670" i="1"/>
  <c r="AI366" i="1"/>
  <c r="BB167" i="1"/>
  <c r="BA962" i="1"/>
  <c r="AH962" i="1"/>
  <c r="AR962" i="1"/>
  <c r="AH1113" i="1"/>
  <c r="AR1113" i="1"/>
  <c r="AZ1113" i="1"/>
  <c r="Z366" i="1"/>
  <c r="AH366" i="1"/>
  <c r="AR366" i="1"/>
  <c r="AZ366" i="1"/>
  <c r="BB163" i="1"/>
  <c r="Z963" i="1"/>
  <c r="Z962" i="1"/>
  <c r="AH772" i="1"/>
  <c r="AR772" i="1"/>
  <c r="AZ772" i="1"/>
  <c r="Z1113" i="1"/>
  <c r="AY484" i="1"/>
  <c r="AX484" i="1"/>
  <c r="AV484" i="1"/>
  <c r="AT484" i="1"/>
  <c r="AQ484" i="1"/>
  <c r="AP484" i="1"/>
  <c r="AN484" i="1"/>
  <c r="AL484" i="1"/>
  <c r="AG484" i="1"/>
  <c r="AF484" i="1"/>
  <c r="AD484" i="1"/>
  <c r="AB484" i="1"/>
  <c r="X484" i="1"/>
  <c r="V484" i="1"/>
  <c r="Q1113" i="1" l="1"/>
  <c r="Q963" i="1"/>
  <c r="Q366" i="1"/>
  <c r="BA484" i="1"/>
  <c r="BB962" i="1"/>
  <c r="AJ963" i="1"/>
  <c r="AJ1113" i="1"/>
  <c r="BB963" i="1"/>
  <c r="Q962" i="1"/>
  <c r="AJ962" i="1"/>
  <c r="AJ366" i="1"/>
  <c r="BB1113" i="1"/>
  <c r="BB366" i="1"/>
  <c r="AH484" i="1"/>
  <c r="AR484" i="1"/>
  <c r="AZ484" i="1"/>
  <c r="BB772" i="1"/>
  <c r="R962" i="1" l="1"/>
  <c r="R1113" i="1"/>
  <c r="R963" i="1"/>
  <c r="R366" i="1"/>
  <c r="BB484" i="1"/>
  <c r="AY1112" i="1" l="1"/>
  <c r="AX1112" i="1"/>
  <c r="AV1112" i="1"/>
  <c r="AT1112" i="1"/>
  <c r="AQ1112" i="1"/>
  <c r="AP1112" i="1"/>
  <c r="AN1112" i="1"/>
  <c r="AL1112" i="1"/>
  <c r="AG1112" i="1"/>
  <c r="AF1112" i="1"/>
  <c r="AD1112" i="1"/>
  <c r="AB1112" i="1"/>
  <c r="Y1112" i="1"/>
  <c r="X1112" i="1"/>
  <c r="V1112" i="1"/>
  <c r="T1112" i="1"/>
  <c r="BA1112" i="1" l="1"/>
  <c r="AI1112" i="1"/>
  <c r="AH1112" i="1"/>
  <c r="AR1112" i="1"/>
  <c r="AZ1112" i="1"/>
  <c r="Z1112" i="1"/>
  <c r="Q1112" i="1" l="1"/>
  <c r="AJ1112" i="1"/>
  <c r="BB1112" i="1"/>
  <c r="AY100" i="1"/>
  <c r="AX100" i="1"/>
  <c r="AV100" i="1"/>
  <c r="AT100" i="1"/>
  <c r="AQ100" i="1"/>
  <c r="AP100" i="1"/>
  <c r="AN100" i="1"/>
  <c r="AL100" i="1"/>
  <c r="AG100" i="1"/>
  <c r="AF100" i="1"/>
  <c r="AD100" i="1"/>
  <c r="AB100" i="1"/>
  <c r="X100" i="1"/>
  <c r="V100" i="1"/>
  <c r="R1112" i="1" l="1"/>
  <c r="BA100" i="1"/>
  <c r="AZ100" i="1"/>
  <c r="AH100" i="1"/>
  <c r="AR100" i="1"/>
  <c r="AY842" i="1"/>
  <c r="AX842" i="1"/>
  <c r="AV842" i="1"/>
  <c r="AT842" i="1"/>
  <c r="AQ842" i="1"/>
  <c r="AP842" i="1"/>
  <c r="AN842" i="1"/>
  <c r="AL842" i="1"/>
  <c r="AG842" i="1"/>
  <c r="AF842" i="1"/>
  <c r="AD842" i="1"/>
  <c r="AB842" i="1"/>
  <c r="X842" i="1"/>
  <c r="V842" i="1"/>
  <c r="AY1177" i="1"/>
  <c r="AX1177" i="1"/>
  <c r="AV1177" i="1"/>
  <c r="AT1177" i="1"/>
  <c r="AQ1177" i="1"/>
  <c r="AP1177" i="1"/>
  <c r="AN1177" i="1"/>
  <c r="AL1177" i="1"/>
  <c r="AG1177" i="1"/>
  <c r="AF1177" i="1"/>
  <c r="AD1177" i="1"/>
  <c r="AB1177" i="1"/>
  <c r="Y1177" i="1"/>
  <c r="X1177" i="1"/>
  <c r="V1177" i="1"/>
  <c r="T1177" i="1"/>
  <c r="AY1174" i="1"/>
  <c r="AX1174" i="1"/>
  <c r="AV1174" i="1"/>
  <c r="AT1174" i="1"/>
  <c r="AQ1174" i="1"/>
  <c r="AP1174" i="1"/>
  <c r="AN1174" i="1"/>
  <c r="AL1174" i="1"/>
  <c r="AG1174" i="1"/>
  <c r="AF1174" i="1"/>
  <c r="AD1174" i="1"/>
  <c r="AB1174" i="1"/>
  <c r="Y1174" i="1"/>
  <c r="X1174" i="1"/>
  <c r="V1174" i="1"/>
  <c r="T1174" i="1"/>
  <c r="AY1169" i="1"/>
  <c r="AX1169" i="1"/>
  <c r="AV1169" i="1"/>
  <c r="AT1169" i="1"/>
  <c r="AQ1169" i="1"/>
  <c r="AP1169" i="1"/>
  <c r="AN1169" i="1"/>
  <c r="AL1169" i="1"/>
  <c r="AG1169" i="1"/>
  <c r="AF1169" i="1"/>
  <c r="AD1169" i="1"/>
  <c r="AB1169" i="1"/>
  <c r="Y1169" i="1"/>
  <c r="X1169" i="1"/>
  <c r="V1169" i="1"/>
  <c r="T1169" i="1"/>
  <c r="BA1169" i="1" l="1"/>
  <c r="BA1174" i="1"/>
  <c r="BA1177" i="1"/>
  <c r="AI1174" i="1"/>
  <c r="BA842" i="1"/>
  <c r="AI1177" i="1"/>
  <c r="AI1169" i="1"/>
  <c r="BB100" i="1"/>
  <c r="AH1169" i="1"/>
  <c r="AR1169" i="1"/>
  <c r="AZ1169" i="1"/>
  <c r="AH1174" i="1"/>
  <c r="AR1174" i="1"/>
  <c r="AZ1174" i="1"/>
  <c r="AH1177" i="1"/>
  <c r="AR1177" i="1"/>
  <c r="AZ1177" i="1"/>
  <c r="AH842" i="1"/>
  <c r="AR842" i="1"/>
  <c r="AZ842" i="1"/>
  <c r="Z1177" i="1"/>
  <c r="Z1174" i="1"/>
  <c r="Z1169" i="1"/>
  <c r="Q1177" i="1" l="1"/>
  <c r="Q1174" i="1"/>
  <c r="Q1169" i="1"/>
  <c r="AJ1174" i="1"/>
  <c r="BB842" i="1"/>
  <c r="BB1169" i="1"/>
  <c r="AJ1177" i="1"/>
  <c r="BB1174" i="1"/>
  <c r="AJ1169" i="1"/>
  <c r="BB1177" i="1"/>
  <c r="AY725" i="1"/>
  <c r="AX725" i="1"/>
  <c r="AV725" i="1"/>
  <c r="AT725" i="1"/>
  <c r="AQ725" i="1"/>
  <c r="AP725" i="1"/>
  <c r="AN725" i="1"/>
  <c r="AL725" i="1"/>
  <c r="AG725" i="1"/>
  <c r="AF725" i="1"/>
  <c r="AD725" i="1"/>
  <c r="AB725" i="1"/>
  <c r="Y725" i="1"/>
  <c r="X725" i="1"/>
  <c r="V725" i="1"/>
  <c r="T725" i="1"/>
  <c r="AY726" i="1"/>
  <c r="AX726" i="1"/>
  <c r="AV726" i="1"/>
  <c r="AT726" i="1"/>
  <c r="AQ726" i="1"/>
  <c r="AP726" i="1"/>
  <c r="AN726" i="1"/>
  <c r="AL726" i="1"/>
  <c r="AG726" i="1"/>
  <c r="AF726" i="1"/>
  <c r="AD726" i="1"/>
  <c r="AB726" i="1"/>
  <c r="Y726" i="1"/>
  <c r="X726" i="1"/>
  <c r="V726" i="1"/>
  <c r="T726" i="1"/>
  <c r="AY658" i="1"/>
  <c r="AX658" i="1"/>
  <c r="AV658" i="1"/>
  <c r="AT658" i="1"/>
  <c r="AQ658" i="1"/>
  <c r="AP658" i="1"/>
  <c r="AN658" i="1"/>
  <c r="AL658" i="1"/>
  <c r="AG658" i="1"/>
  <c r="AF658" i="1"/>
  <c r="AD658" i="1"/>
  <c r="AB658" i="1"/>
  <c r="Y658" i="1"/>
  <c r="X658" i="1"/>
  <c r="V658" i="1"/>
  <c r="T658" i="1"/>
  <c r="AY530" i="1"/>
  <c r="AX530" i="1"/>
  <c r="AV530" i="1"/>
  <c r="AT530" i="1"/>
  <c r="AQ530" i="1"/>
  <c r="AP530" i="1"/>
  <c r="AN530" i="1"/>
  <c r="AL530" i="1"/>
  <c r="AG530" i="1"/>
  <c r="AF530" i="1"/>
  <c r="AD530" i="1"/>
  <c r="AB530" i="1"/>
  <c r="X530" i="1"/>
  <c r="V530" i="1"/>
  <c r="AY531" i="1"/>
  <c r="AX531" i="1"/>
  <c r="AV531" i="1"/>
  <c r="AT531" i="1"/>
  <c r="AQ531" i="1"/>
  <c r="AP531" i="1"/>
  <c r="AN531" i="1"/>
  <c r="AL531" i="1"/>
  <c r="AG531" i="1"/>
  <c r="AF531" i="1"/>
  <c r="AD531" i="1"/>
  <c r="AB531" i="1"/>
  <c r="X531" i="1"/>
  <c r="V531" i="1"/>
  <c r="AY528" i="1"/>
  <c r="AX528" i="1"/>
  <c r="AV528" i="1"/>
  <c r="AT528" i="1"/>
  <c r="AQ528" i="1"/>
  <c r="AP528" i="1"/>
  <c r="AN528" i="1"/>
  <c r="AL528" i="1"/>
  <c r="AG528" i="1"/>
  <c r="AF528" i="1"/>
  <c r="AD528" i="1"/>
  <c r="AB528" i="1"/>
  <c r="X528" i="1"/>
  <c r="V528" i="1"/>
  <c r="AY394" i="1"/>
  <c r="AX394" i="1"/>
  <c r="AV394" i="1"/>
  <c r="AT394" i="1"/>
  <c r="AQ394" i="1"/>
  <c r="AP394" i="1"/>
  <c r="AN394" i="1"/>
  <c r="AL394" i="1"/>
  <c r="AG394" i="1"/>
  <c r="AF394" i="1"/>
  <c r="AD394" i="1"/>
  <c r="AB394" i="1"/>
  <c r="X394" i="1"/>
  <c r="V394" i="1"/>
  <c r="AY392" i="1"/>
  <c r="AX392" i="1"/>
  <c r="AV392" i="1"/>
  <c r="AT392" i="1"/>
  <c r="AQ392" i="1"/>
  <c r="AP392" i="1"/>
  <c r="AN392" i="1"/>
  <c r="AL392" i="1"/>
  <c r="AG392" i="1"/>
  <c r="AF392" i="1"/>
  <c r="AD392" i="1"/>
  <c r="AB392" i="1"/>
  <c r="X392" i="1"/>
  <c r="V392" i="1"/>
  <c r="AY393" i="1"/>
  <c r="AX393" i="1"/>
  <c r="AV393" i="1"/>
  <c r="AT393" i="1"/>
  <c r="AQ393" i="1"/>
  <c r="AP393" i="1"/>
  <c r="AN393" i="1"/>
  <c r="AL393" i="1"/>
  <c r="AG393" i="1"/>
  <c r="AF393" i="1"/>
  <c r="AD393" i="1"/>
  <c r="AB393" i="1"/>
  <c r="X393" i="1"/>
  <c r="V393" i="1"/>
  <c r="AI658" i="1" l="1"/>
  <c r="BA531" i="1"/>
  <c r="BA658" i="1"/>
  <c r="BA530" i="1"/>
  <c r="AI726" i="1"/>
  <c r="BA726" i="1"/>
  <c r="BA528" i="1"/>
  <c r="AI725" i="1"/>
  <c r="BA725" i="1"/>
  <c r="R1174" i="1"/>
  <c r="R1177" i="1"/>
  <c r="R1169" i="1"/>
  <c r="BA392" i="1"/>
  <c r="Z726" i="1"/>
  <c r="AH726" i="1"/>
  <c r="BA393" i="1"/>
  <c r="Z658" i="1"/>
  <c r="AR658" i="1"/>
  <c r="AZ658" i="1"/>
  <c r="AH725" i="1"/>
  <c r="AR725" i="1"/>
  <c r="AZ725" i="1"/>
  <c r="AH658" i="1"/>
  <c r="AR726" i="1"/>
  <c r="Z725" i="1"/>
  <c r="AZ726" i="1"/>
  <c r="BA394" i="1"/>
  <c r="AH531" i="1"/>
  <c r="AR531" i="1"/>
  <c r="AZ531" i="1"/>
  <c r="AH530" i="1"/>
  <c r="AR530" i="1"/>
  <c r="AZ530" i="1"/>
  <c r="AH392" i="1"/>
  <c r="AH394" i="1"/>
  <c r="AH528" i="1"/>
  <c r="AR528" i="1"/>
  <c r="AZ528" i="1"/>
  <c r="AR392" i="1"/>
  <c r="AZ392" i="1"/>
  <c r="AR394" i="1"/>
  <c r="AZ394" i="1"/>
  <c r="AH393" i="1"/>
  <c r="AZ393" i="1"/>
  <c r="AR393" i="1"/>
  <c r="Q658" i="1" l="1"/>
  <c r="Q726" i="1"/>
  <c r="Q725" i="1"/>
  <c r="AJ725" i="1"/>
  <c r="AJ658" i="1"/>
  <c r="BB726" i="1"/>
  <c r="AJ726" i="1"/>
  <c r="BB725" i="1"/>
  <c r="BB392" i="1"/>
  <c r="BB658" i="1"/>
  <c r="BB393" i="1"/>
  <c r="BB530" i="1"/>
  <c r="BB531" i="1"/>
  <c r="BB394" i="1"/>
  <c r="BB528" i="1"/>
  <c r="R658" i="1" l="1"/>
  <c r="R725" i="1"/>
  <c r="R726" i="1"/>
  <c r="V25" i="1" l="1"/>
  <c r="X25" i="1"/>
  <c r="AB25" i="1"/>
  <c r="AD25" i="1"/>
  <c r="AF25" i="1"/>
  <c r="AG25" i="1"/>
  <c r="AL25" i="1"/>
  <c r="AN25" i="1"/>
  <c r="AP25" i="1"/>
  <c r="AQ25" i="1"/>
  <c r="AT25" i="1"/>
  <c r="AV25" i="1"/>
  <c r="AX25" i="1"/>
  <c r="AY25" i="1"/>
  <c r="V26" i="1"/>
  <c r="X26" i="1"/>
  <c r="AB26" i="1"/>
  <c r="AD26" i="1"/>
  <c r="AF26" i="1"/>
  <c r="AG26" i="1"/>
  <c r="AL26" i="1"/>
  <c r="AN26" i="1"/>
  <c r="AP26" i="1"/>
  <c r="AQ26" i="1"/>
  <c r="AT26" i="1"/>
  <c r="AV26" i="1"/>
  <c r="AX26" i="1"/>
  <c r="AY26" i="1"/>
  <c r="BA26" i="1" l="1"/>
  <c r="AR25" i="1"/>
  <c r="AZ26" i="1"/>
  <c r="AR26" i="1"/>
  <c r="BA25" i="1"/>
  <c r="AH26" i="1"/>
  <c r="AZ25" i="1"/>
  <c r="AH25" i="1"/>
  <c r="BB26" i="1" l="1"/>
  <c r="BB25" i="1"/>
  <c r="Y1265" i="1" l="1"/>
  <c r="Y1262" i="1"/>
  <c r="Y1208" i="1"/>
  <c r="Y1199" i="1"/>
  <c r="Y1189" i="1"/>
  <c r="AG1199" i="1"/>
  <c r="Y1105" i="1"/>
  <c r="AG965" i="1"/>
  <c r="AQ812" i="1" l="1"/>
  <c r="AQ835" i="1"/>
  <c r="AQ1214" i="1"/>
  <c r="AQ1211" i="1"/>
  <c r="Y1283" i="1"/>
  <c r="AY822" i="1"/>
  <c r="AX822" i="1"/>
  <c r="AV822" i="1"/>
  <c r="AT822" i="1"/>
  <c r="AQ822" i="1"/>
  <c r="AP822" i="1"/>
  <c r="AN822" i="1"/>
  <c r="AL822" i="1"/>
  <c r="AG822" i="1"/>
  <c r="AF822" i="1"/>
  <c r="AD822" i="1"/>
  <c r="AB822" i="1"/>
  <c r="Y822" i="1"/>
  <c r="X822" i="1"/>
  <c r="V822" i="1"/>
  <c r="T822" i="1"/>
  <c r="AY823" i="1"/>
  <c r="AX823" i="1"/>
  <c r="AV823" i="1"/>
  <c r="AT823" i="1"/>
  <c r="AQ823" i="1"/>
  <c r="AP823" i="1"/>
  <c r="AN823" i="1"/>
  <c r="AL823" i="1"/>
  <c r="AG823" i="1"/>
  <c r="AF823" i="1"/>
  <c r="AD823" i="1"/>
  <c r="AB823" i="1"/>
  <c r="Y823" i="1"/>
  <c r="X823" i="1"/>
  <c r="V823" i="1"/>
  <c r="T823" i="1"/>
  <c r="AY824" i="1"/>
  <c r="AX824" i="1"/>
  <c r="AV824" i="1"/>
  <c r="AT824" i="1"/>
  <c r="AQ824" i="1"/>
  <c r="AP824" i="1"/>
  <c r="AN824" i="1"/>
  <c r="AL824" i="1"/>
  <c r="AG824" i="1"/>
  <c r="AF824" i="1"/>
  <c r="AD824" i="1"/>
  <c r="AB824" i="1"/>
  <c r="Y824" i="1"/>
  <c r="X824" i="1"/>
  <c r="V824" i="1"/>
  <c r="T824" i="1"/>
  <c r="AY835" i="1"/>
  <c r="AX835" i="1"/>
  <c r="AV835" i="1"/>
  <c r="AT835" i="1"/>
  <c r="AP835" i="1"/>
  <c r="AN835" i="1"/>
  <c r="AL835" i="1"/>
  <c r="AG835" i="1"/>
  <c r="AF835" i="1"/>
  <c r="AD835" i="1"/>
  <c r="AB835" i="1"/>
  <c r="X835" i="1"/>
  <c r="V835" i="1"/>
  <c r="AY727" i="1"/>
  <c r="AX727" i="1"/>
  <c r="AV727" i="1"/>
  <c r="AT727" i="1"/>
  <c r="AQ727" i="1"/>
  <c r="AP727" i="1"/>
  <c r="AN727" i="1"/>
  <c r="AL727" i="1"/>
  <c r="AG727" i="1"/>
  <c r="AF727" i="1"/>
  <c r="AD727" i="1"/>
  <c r="AB727" i="1"/>
  <c r="Y727" i="1"/>
  <c r="X727" i="1"/>
  <c r="V727" i="1"/>
  <c r="T727" i="1"/>
  <c r="AY724" i="1"/>
  <c r="AX724" i="1"/>
  <c r="AV724" i="1"/>
  <c r="AT724" i="1"/>
  <c r="AQ724" i="1"/>
  <c r="AP724" i="1"/>
  <c r="AN724" i="1"/>
  <c r="AL724" i="1"/>
  <c r="AG724" i="1"/>
  <c r="AF724" i="1"/>
  <c r="AD724" i="1"/>
  <c r="AB724" i="1"/>
  <c r="Y724" i="1"/>
  <c r="X724" i="1"/>
  <c r="V724" i="1"/>
  <c r="T724" i="1"/>
  <c r="AY731" i="1"/>
  <c r="AX731" i="1"/>
  <c r="AV731" i="1"/>
  <c r="AT731" i="1"/>
  <c r="AQ731" i="1"/>
  <c r="AP731" i="1"/>
  <c r="AN731" i="1"/>
  <c r="AL731" i="1"/>
  <c r="AG731" i="1"/>
  <c r="AF731" i="1"/>
  <c r="AD731" i="1"/>
  <c r="AB731" i="1"/>
  <c r="Y731" i="1"/>
  <c r="X731" i="1"/>
  <c r="V731" i="1"/>
  <c r="T731" i="1"/>
  <c r="AY735" i="1"/>
  <c r="AX735" i="1"/>
  <c r="AV735" i="1"/>
  <c r="AT735" i="1"/>
  <c r="AQ735" i="1"/>
  <c r="AP735" i="1"/>
  <c r="AN735" i="1"/>
  <c r="AL735" i="1"/>
  <c r="AG735" i="1"/>
  <c r="AF735" i="1"/>
  <c r="AD735" i="1"/>
  <c r="AB735" i="1"/>
  <c r="Y735" i="1"/>
  <c r="X735" i="1"/>
  <c r="V735" i="1"/>
  <c r="T735" i="1"/>
  <c r="AY1214" i="1"/>
  <c r="AX1214" i="1"/>
  <c r="AV1214" i="1"/>
  <c r="AT1214" i="1"/>
  <c r="AP1214" i="1"/>
  <c r="AN1214" i="1"/>
  <c r="AL1214" i="1"/>
  <c r="AG1214" i="1"/>
  <c r="AF1214" i="1"/>
  <c r="AD1214" i="1"/>
  <c r="AB1214" i="1"/>
  <c r="Y1214" i="1"/>
  <c r="X1214" i="1"/>
  <c r="V1214" i="1"/>
  <c r="T1214" i="1"/>
  <c r="AY941" i="1"/>
  <c r="AX941" i="1"/>
  <c r="AV941" i="1"/>
  <c r="AT941" i="1"/>
  <c r="AQ941" i="1"/>
  <c r="AP941" i="1"/>
  <c r="AN941" i="1"/>
  <c r="AL941" i="1"/>
  <c r="AG941" i="1"/>
  <c r="AF941" i="1"/>
  <c r="AD941" i="1"/>
  <c r="AB941" i="1"/>
  <c r="Y941" i="1"/>
  <c r="X941" i="1"/>
  <c r="V941" i="1"/>
  <c r="T941" i="1"/>
  <c r="AY75" i="1"/>
  <c r="AX75" i="1"/>
  <c r="AV75" i="1"/>
  <c r="AT75" i="1"/>
  <c r="AQ75" i="1"/>
  <c r="AP75" i="1"/>
  <c r="AN75" i="1"/>
  <c r="AL75" i="1"/>
  <c r="AG75" i="1"/>
  <c r="AF75" i="1"/>
  <c r="AD75" i="1"/>
  <c r="AB75" i="1"/>
  <c r="X75" i="1"/>
  <c r="V75" i="1"/>
  <c r="AY504" i="1"/>
  <c r="AX504" i="1"/>
  <c r="AV504" i="1"/>
  <c r="AT504" i="1"/>
  <c r="AQ504" i="1"/>
  <c r="AP504" i="1"/>
  <c r="AN504" i="1"/>
  <c r="AL504" i="1"/>
  <c r="AG504" i="1"/>
  <c r="AF504" i="1"/>
  <c r="AD504" i="1"/>
  <c r="AB504" i="1"/>
  <c r="X504" i="1"/>
  <c r="V504" i="1"/>
  <c r="AI941" i="1" l="1"/>
  <c r="AI727" i="1"/>
  <c r="AI735" i="1"/>
  <c r="BA727" i="1"/>
  <c r="AI731" i="1"/>
  <c r="AI823" i="1"/>
  <c r="BA835" i="1"/>
  <c r="BA1214" i="1"/>
  <c r="AR835" i="1"/>
  <c r="BA824" i="1"/>
  <c r="BA822" i="1"/>
  <c r="BA823" i="1"/>
  <c r="AI824" i="1"/>
  <c r="AI822" i="1"/>
  <c r="AH822" i="1"/>
  <c r="Z822" i="1"/>
  <c r="AZ822" i="1"/>
  <c r="AZ823" i="1"/>
  <c r="Z823" i="1"/>
  <c r="AH823" i="1"/>
  <c r="AR822" i="1"/>
  <c r="AR823" i="1"/>
  <c r="Z824" i="1"/>
  <c r="AR824" i="1"/>
  <c r="AH824" i="1"/>
  <c r="AZ824" i="1"/>
  <c r="AZ835" i="1"/>
  <c r="AI1214" i="1"/>
  <c r="BA735" i="1"/>
  <c r="AH835" i="1"/>
  <c r="BA504" i="1"/>
  <c r="Z731" i="1"/>
  <c r="AH731" i="1"/>
  <c r="AR731" i="1"/>
  <c r="Z727" i="1"/>
  <c r="AH727" i="1"/>
  <c r="AR727" i="1"/>
  <c r="AR1214" i="1"/>
  <c r="AZ1214" i="1"/>
  <c r="Z1214" i="1"/>
  <c r="AH1214" i="1"/>
  <c r="Z724" i="1"/>
  <c r="AH724" i="1"/>
  <c r="AR724" i="1"/>
  <c r="AR735" i="1"/>
  <c r="AI724" i="1"/>
  <c r="BA724" i="1"/>
  <c r="BA731" i="1"/>
  <c r="AZ735" i="1"/>
  <c r="AZ731" i="1"/>
  <c r="AZ727" i="1"/>
  <c r="AZ724" i="1"/>
  <c r="Z735" i="1"/>
  <c r="AH735" i="1"/>
  <c r="AZ504" i="1"/>
  <c r="AH504" i="1"/>
  <c r="Z941" i="1"/>
  <c r="AH941" i="1"/>
  <c r="AR941" i="1"/>
  <c r="AZ75" i="1"/>
  <c r="BA941" i="1"/>
  <c r="AZ941" i="1"/>
  <c r="AR504" i="1"/>
  <c r="BA75" i="1"/>
  <c r="AR75" i="1"/>
  <c r="AH75" i="1"/>
  <c r="BB823" i="1" l="1"/>
  <c r="Q727" i="1"/>
  <c r="BB822" i="1"/>
  <c r="Q735" i="1"/>
  <c r="Q822" i="1"/>
  <c r="Q731" i="1"/>
  <c r="AJ822" i="1"/>
  <c r="BB735" i="1"/>
  <c r="Q823" i="1"/>
  <c r="Q1214" i="1"/>
  <c r="Q824" i="1"/>
  <c r="AJ823" i="1"/>
  <c r="BB824" i="1"/>
  <c r="AJ824" i="1"/>
  <c r="BB835" i="1"/>
  <c r="BB727" i="1"/>
  <c r="AJ1214" i="1"/>
  <c r="AJ731" i="1"/>
  <c r="BB731" i="1"/>
  <c r="BB75" i="1"/>
  <c r="BB941" i="1"/>
  <c r="AJ727" i="1"/>
  <c r="Q941" i="1"/>
  <c r="BB1214" i="1"/>
  <c r="Q724" i="1"/>
  <c r="BB724" i="1"/>
  <c r="AJ724" i="1"/>
  <c r="AJ735" i="1"/>
  <c r="BB504" i="1"/>
  <c r="AJ941" i="1"/>
  <c r="R823" i="1" l="1"/>
  <c r="R822" i="1"/>
  <c r="R735" i="1"/>
  <c r="R731" i="1"/>
  <c r="R941" i="1"/>
  <c r="R1214" i="1"/>
  <c r="R824" i="1"/>
  <c r="R727" i="1"/>
  <c r="R724" i="1"/>
  <c r="AY506" i="1" l="1"/>
  <c r="AX506" i="1"/>
  <c r="AV506" i="1"/>
  <c r="AT506" i="1"/>
  <c r="AQ506" i="1"/>
  <c r="AP506" i="1"/>
  <c r="AN506" i="1"/>
  <c r="AL506" i="1"/>
  <c r="AG506" i="1"/>
  <c r="AF506" i="1"/>
  <c r="AD506" i="1"/>
  <c r="AB506" i="1"/>
  <c r="X506" i="1"/>
  <c r="V506" i="1"/>
  <c r="BA506" i="1" l="1"/>
  <c r="AZ506" i="1"/>
  <c r="AH506" i="1"/>
  <c r="AR506" i="1"/>
  <c r="AY161" i="1"/>
  <c r="AX161" i="1"/>
  <c r="AV161" i="1"/>
  <c r="AT161" i="1"/>
  <c r="AQ161" i="1"/>
  <c r="AP161" i="1"/>
  <c r="AN161" i="1"/>
  <c r="AL161" i="1"/>
  <c r="AG161" i="1"/>
  <c r="AF161" i="1"/>
  <c r="AD161" i="1"/>
  <c r="AB161" i="1"/>
  <c r="X161" i="1"/>
  <c r="V161" i="1"/>
  <c r="BA161" i="1" l="1"/>
  <c r="BB506" i="1"/>
  <c r="AR161" i="1"/>
  <c r="AZ161" i="1"/>
  <c r="AH161" i="1"/>
  <c r="BB161" i="1" l="1"/>
  <c r="AY587" i="1"/>
  <c r="AX587" i="1"/>
  <c r="AV587" i="1"/>
  <c r="AT587" i="1"/>
  <c r="AQ587" i="1"/>
  <c r="AP587" i="1"/>
  <c r="AN587" i="1"/>
  <c r="AL587" i="1"/>
  <c r="AG587" i="1"/>
  <c r="AF587" i="1"/>
  <c r="AD587" i="1"/>
  <c r="AB587" i="1"/>
  <c r="Y587" i="1"/>
  <c r="X587" i="1"/>
  <c r="V587" i="1"/>
  <c r="T587" i="1"/>
  <c r="AY588" i="1"/>
  <c r="AX588" i="1"/>
  <c r="AV588" i="1"/>
  <c r="AT588" i="1"/>
  <c r="AQ588" i="1"/>
  <c r="AP588" i="1"/>
  <c r="AN588" i="1"/>
  <c r="AL588" i="1"/>
  <c r="AG588" i="1"/>
  <c r="AF588" i="1"/>
  <c r="AD588" i="1"/>
  <c r="AB588" i="1"/>
  <c r="Y588" i="1"/>
  <c r="X588" i="1"/>
  <c r="V588" i="1"/>
  <c r="T588" i="1"/>
  <c r="AY589" i="1"/>
  <c r="AX589" i="1"/>
  <c r="AV589" i="1"/>
  <c r="AT589" i="1"/>
  <c r="AQ589" i="1"/>
  <c r="AP589" i="1"/>
  <c r="AN589" i="1"/>
  <c r="AL589" i="1"/>
  <c r="AG589" i="1"/>
  <c r="AF589" i="1"/>
  <c r="AD589" i="1"/>
  <c r="AB589" i="1"/>
  <c r="Y589" i="1"/>
  <c r="X589" i="1"/>
  <c r="V589" i="1"/>
  <c r="T589" i="1"/>
  <c r="AY839" i="1"/>
  <c r="AX839" i="1"/>
  <c r="AV839" i="1"/>
  <c r="AT839" i="1"/>
  <c r="AQ839" i="1"/>
  <c r="AP839" i="1"/>
  <c r="AN839" i="1"/>
  <c r="AL839" i="1"/>
  <c r="AG839" i="1"/>
  <c r="AF839" i="1"/>
  <c r="AD839" i="1"/>
  <c r="AB839" i="1"/>
  <c r="X839" i="1"/>
  <c r="V839" i="1"/>
  <c r="AY773" i="1"/>
  <c r="AX773" i="1"/>
  <c r="AV773" i="1"/>
  <c r="AT773" i="1"/>
  <c r="AQ773" i="1"/>
  <c r="AP773" i="1"/>
  <c r="AN773" i="1"/>
  <c r="AL773" i="1"/>
  <c r="AG773" i="1"/>
  <c r="AF773" i="1"/>
  <c r="AD773" i="1"/>
  <c r="AB773" i="1"/>
  <c r="X773" i="1"/>
  <c r="V773" i="1"/>
  <c r="AY1211" i="1"/>
  <c r="BA1211" i="1" s="1"/>
  <c r="AX1211" i="1"/>
  <c r="AV1211" i="1"/>
  <c r="AT1211" i="1"/>
  <c r="AP1211" i="1"/>
  <c r="AN1211" i="1"/>
  <c r="AL1211" i="1"/>
  <c r="AG1211" i="1"/>
  <c r="AF1211" i="1"/>
  <c r="AD1211" i="1"/>
  <c r="AB1211" i="1"/>
  <c r="X1211" i="1"/>
  <c r="V1211" i="1"/>
  <c r="T1211" i="1"/>
  <c r="AY1258" i="1"/>
  <c r="AX1258" i="1"/>
  <c r="AV1258" i="1"/>
  <c r="AT1258" i="1"/>
  <c r="AQ1258" i="1"/>
  <c r="AP1258" i="1"/>
  <c r="AN1258" i="1"/>
  <c r="AL1258" i="1"/>
  <c r="AG1258" i="1"/>
  <c r="AF1258" i="1"/>
  <c r="AD1258" i="1"/>
  <c r="AB1258" i="1"/>
  <c r="Y1258" i="1"/>
  <c r="X1258" i="1"/>
  <c r="V1258" i="1"/>
  <c r="T1258" i="1"/>
  <c r="AY942" i="1"/>
  <c r="AY165" i="1"/>
  <c r="AX165" i="1"/>
  <c r="AV165" i="1"/>
  <c r="AT165" i="1"/>
  <c r="AQ165" i="1"/>
  <c r="AP165" i="1"/>
  <c r="AN165" i="1"/>
  <c r="AL165" i="1"/>
  <c r="AG165" i="1"/>
  <c r="AF165" i="1"/>
  <c r="AD165" i="1"/>
  <c r="AB165" i="1"/>
  <c r="X165" i="1"/>
  <c r="V165" i="1"/>
  <c r="AY297" i="1"/>
  <c r="BA165" i="1" l="1"/>
  <c r="AI1258" i="1"/>
  <c r="AI1211" i="1"/>
  <c r="Q1211" i="1" s="1"/>
  <c r="BA587" i="1"/>
  <c r="AI589" i="1"/>
  <c r="AI588" i="1"/>
  <c r="AI587" i="1"/>
  <c r="BA839" i="1"/>
  <c r="AH773" i="1"/>
  <c r="AZ839" i="1"/>
  <c r="BA1258" i="1"/>
  <c r="AZ1211" i="1"/>
  <c r="BA589" i="1"/>
  <c r="BA588" i="1"/>
  <c r="Z1258" i="1"/>
  <c r="AH1258" i="1"/>
  <c r="Z587" i="1"/>
  <c r="AH587" i="1"/>
  <c r="AR587" i="1"/>
  <c r="AZ587" i="1"/>
  <c r="AZ588" i="1"/>
  <c r="Z589" i="1"/>
  <c r="AH589" i="1"/>
  <c r="Z588" i="1"/>
  <c r="AH588" i="1"/>
  <c r="AR588" i="1"/>
  <c r="AR589" i="1"/>
  <c r="AZ589" i="1"/>
  <c r="AH839" i="1"/>
  <c r="AR839" i="1"/>
  <c r="BA773" i="1"/>
  <c r="AR1258" i="1"/>
  <c r="AZ1258" i="1"/>
  <c r="AH1211" i="1"/>
  <c r="AR1211" i="1"/>
  <c r="AZ773" i="1"/>
  <c r="AR773" i="1"/>
  <c r="Z1211" i="1"/>
  <c r="AH165" i="1"/>
  <c r="AR165" i="1"/>
  <c r="AZ165" i="1"/>
  <c r="Q588" i="1" l="1"/>
  <c r="Q1258" i="1"/>
  <c r="Q587" i="1"/>
  <c r="Q589" i="1"/>
  <c r="BB588" i="1"/>
  <c r="BB839" i="1"/>
  <c r="AJ1258" i="1"/>
  <c r="AJ1211" i="1"/>
  <c r="BB1211" i="1"/>
  <c r="BB587" i="1"/>
  <c r="AJ587" i="1"/>
  <c r="AJ588" i="1"/>
  <c r="BB773" i="1"/>
  <c r="BB589" i="1"/>
  <c r="AJ589" i="1"/>
  <c r="BB1258" i="1"/>
  <c r="BB165" i="1"/>
  <c r="R1258" i="1" l="1"/>
  <c r="R588" i="1"/>
  <c r="R1211" i="1"/>
  <c r="R587" i="1"/>
  <c r="R589" i="1"/>
  <c r="AY837" i="1" l="1"/>
  <c r="AX837" i="1"/>
  <c r="AV837" i="1"/>
  <c r="AT837" i="1"/>
  <c r="AQ837" i="1"/>
  <c r="AP837" i="1"/>
  <c r="AN837" i="1"/>
  <c r="AL837" i="1"/>
  <c r="AG837" i="1"/>
  <c r="AF837" i="1"/>
  <c r="AD837" i="1"/>
  <c r="AB837" i="1"/>
  <c r="X837" i="1"/>
  <c r="V837" i="1"/>
  <c r="AY841" i="1"/>
  <c r="AX841" i="1"/>
  <c r="AV841" i="1"/>
  <c r="AT841" i="1"/>
  <c r="AQ841" i="1"/>
  <c r="AP841" i="1"/>
  <c r="AN841" i="1"/>
  <c r="AL841" i="1"/>
  <c r="AG841" i="1"/>
  <c r="AF841" i="1"/>
  <c r="AD841" i="1"/>
  <c r="AB841" i="1"/>
  <c r="X841" i="1"/>
  <c r="V841" i="1"/>
  <c r="AQ716" i="1"/>
  <c r="AY760" i="1"/>
  <c r="AX760" i="1"/>
  <c r="AV760" i="1"/>
  <c r="AT760" i="1"/>
  <c r="AQ760" i="1"/>
  <c r="AP760" i="1"/>
  <c r="AN760" i="1"/>
  <c r="AL760" i="1"/>
  <c r="AG760" i="1"/>
  <c r="AF760" i="1"/>
  <c r="AD760" i="1"/>
  <c r="AB760" i="1"/>
  <c r="Y760" i="1"/>
  <c r="X760" i="1"/>
  <c r="V760" i="1"/>
  <c r="T760" i="1"/>
  <c r="AY761" i="1"/>
  <c r="AX761" i="1"/>
  <c r="AV761" i="1"/>
  <c r="AT761" i="1"/>
  <c r="AQ761" i="1"/>
  <c r="AP761" i="1"/>
  <c r="AN761" i="1"/>
  <c r="AL761" i="1"/>
  <c r="AG761" i="1"/>
  <c r="AF761" i="1"/>
  <c r="AD761" i="1"/>
  <c r="AB761" i="1"/>
  <c r="Y761" i="1"/>
  <c r="X761" i="1"/>
  <c r="V761" i="1"/>
  <c r="T761" i="1"/>
  <c r="AY865" i="1"/>
  <c r="AX865" i="1"/>
  <c r="AV865" i="1"/>
  <c r="AT865" i="1"/>
  <c r="AQ865" i="1"/>
  <c r="AP865" i="1"/>
  <c r="AN865" i="1"/>
  <c r="AL865" i="1"/>
  <c r="AG865" i="1"/>
  <c r="AF865" i="1"/>
  <c r="AD865" i="1"/>
  <c r="AB865" i="1"/>
  <c r="X865" i="1"/>
  <c r="V865" i="1"/>
  <c r="AY716" i="1"/>
  <c r="AX716" i="1"/>
  <c r="AV716" i="1"/>
  <c r="AT716" i="1"/>
  <c r="AP716" i="1"/>
  <c r="AN716" i="1"/>
  <c r="AL716" i="1"/>
  <c r="AG716" i="1"/>
  <c r="AF716" i="1"/>
  <c r="AD716" i="1"/>
  <c r="AB716" i="1"/>
  <c r="Y716" i="1"/>
  <c r="X716" i="1"/>
  <c r="V716" i="1"/>
  <c r="T716" i="1"/>
  <c r="AY812" i="1"/>
  <c r="AX812" i="1"/>
  <c r="AV812" i="1"/>
  <c r="AT812" i="1"/>
  <c r="AP812" i="1"/>
  <c r="AN812" i="1"/>
  <c r="AL812" i="1"/>
  <c r="AG812" i="1"/>
  <c r="AF812" i="1"/>
  <c r="AD812" i="1"/>
  <c r="AB812" i="1"/>
  <c r="Y812" i="1"/>
  <c r="X812" i="1"/>
  <c r="V812" i="1"/>
  <c r="T812" i="1"/>
  <c r="AQ297" i="1"/>
  <c r="AY532" i="1"/>
  <c r="AX532" i="1"/>
  <c r="AV532" i="1"/>
  <c r="AT532" i="1"/>
  <c r="AQ532" i="1"/>
  <c r="AP532" i="1"/>
  <c r="AN532" i="1"/>
  <c r="AL532" i="1"/>
  <c r="AG532" i="1"/>
  <c r="AF532" i="1"/>
  <c r="AD532" i="1"/>
  <c r="AB532" i="1"/>
  <c r="X532" i="1"/>
  <c r="V532" i="1"/>
  <c r="AI761" i="1" l="1"/>
  <c r="AI760" i="1"/>
  <c r="AH761" i="1"/>
  <c r="AR761" i="1"/>
  <c r="Z760" i="1"/>
  <c r="AH760" i="1"/>
  <c r="BA865" i="1"/>
  <c r="AI716" i="1"/>
  <c r="BA716" i="1"/>
  <c r="AI812" i="1"/>
  <c r="BA532" i="1"/>
  <c r="AR837" i="1"/>
  <c r="AZ837" i="1"/>
  <c r="AH865" i="1"/>
  <c r="AR865" i="1"/>
  <c r="BA760" i="1"/>
  <c r="BA841" i="1"/>
  <c r="AR760" i="1"/>
  <c r="AR841" i="1"/>
  <c r="AH837" i="1"/>
  <c r="BA837" i="1"/>
  <c r="AR716" i="1"/>
  <c r="AH841" i="1"/>
  <c r="AZ841" i="1"/>
  <c r="BA761" i="1"/>
  <c r="AZ760" i="1"/>
  <c r="AZ761" i="1"/>
  <c r="Z761" i="1"/>
  <c r="AH716" i="1"/>
  <c r="AZ865" i="1"/>
  <c r="AR812" i="1"/>
  <c r="AZ812" i="1"/>
  <c r="AZ716" i="1"/>
  <c r="Z716" i="1"/>
  <c r="AR532" i="1"/>
  <c r="AZ532" i="1"/>
  <c r="AH812" i="1"/>
  <c r="BA812" i="1"/>
  <c r="Z812" i="1"/>
  <c r="AH532" i="1"/>
  <c r="Q761" i="1" l="1"/>
  <c r="BB761" i="1"/>
  <c r="Q760" i="1"/>
  <c r="AJ761" i="1"/>
  <c r="AJ760" i="1"/>
  <c r="Q716" i="1"/>
  <c r="BB837" i="1"/>
  <c r="BB760" i="1"/>
  <c r="Q812" i="1"/>
  <c r="BB841" i="1"/>
  <c r="BB865" i="1"/>
  <c r="AJ812" i="1"/>
  <c r="BB716" i="1"/>
  <c r="BB812" i="1"/>
  <c r="AJ716" i="1"/>
  <c r="BB532" i="1"/>
  <c r="R761" i="1" l="1"/>
  <c r="R760" i="1"/>
  <c r="R812" i="1"/>
  <c r="R716" i="1"/>
  <c r="AY409" i="1" l="1"/>
  <c r="AY512" i="1"/>
  <c r="AY946" i="1" l="1"/>
  <c r="AX946" i="1"/>
  <c r="AV946" i="1"/>
  <c r="AT946" i="1"/>
  <c r="AQ946" i="1"/>
  <c r="AP946" i="1"/>
  <c r="AN946" i="1"/>
  <c r="AL946" i="1"/>
  <c r="AG946" i="1"/>
  <c r="AF946" i="1"/>
  <c r="AD946" i="1"/>
  <c r="AB946" i="1"/>
  <c r="Y946" i="1"/>
  <c r="X946" i="1"/>
  <c r="V946" i="1"/>
  <c r="T946" i="1"/>
  <c r="AI946" i="1" l="1"/>
  <c r="AR946" i="1"/>
  <c r="AZ946" i="1"/>
  <c r="Z946" i="1"/>
  <c r="AH946" i="1"/>
  <c r="BA946" i="1"/>
  <c r="Q946" i="1" l="1"/>
  <c r="BB946" i="1"/>
  <c r="AJ946" i="1"/>
  <c r="AY416" i="1"/>
  <c r="AX416" i="1"/>
  <c r="AV416" i="1"/>
  <c r="AT416" i="1"/>
  <c r="AQ416" i="1"/>
  <c r="AP416" i="1"/>
  <c r="AN416" i="1"/>
  <c r="AL416" i="1"/>
  <c r="AG416" i="1"/>
  <c r="AF416" i="1"/>
  <c r="AD416" i="1"/>
  <c r="AB416" i="1"/>
  <c r="X416" i="1"/>
  <c r="V416" i="1"/>
  <c r="AY414" i="1"/>
  <c r="AX414" i="1"/>
  <c r="AV414" i="1"/>
  <c r="AT414" i="1"/>
  <c r="AQ414" i="1"/>
  <c r="AP414" i="1"/>
  <c r="AN414" i="1"/>
  <c r="AL414" i="1"/>
  <c r="AG414" i="1"/>
  <c r="AF414" i="1"/>
  <c r="AD414" i="1"/>
  <c r="AB414" i="1"/>
  <c r="X414" i="1"/>
  <c r="V414" i="1"/>
  <c r="AX409" i="1"/>
  <c r="AV409" i="1"/>
  <c r="AT409" i="1"/>
  <c r="AQ409" i="1"/>
  <c r="AP409" i="1"/>
  <c r="AN409" i="1"/>
  <c r="AL409" i="1"/>
  <c r="AG409" i="1"/>
  <c r="AF409" i="1"/>
  <c r="AD409" i="1"/>
  <c r="AB409" i="1"/>
  <c r="X409" i="1"/>
  <c r="V409" i="1"/>
  <c r="BA409" i="1" l="1"/>
  <c r="R946" i="1"/>
  <c r="BA416" i="1"/>
  <c r="AH409" i="1"/>
  <c r="AH414" i="1"/>
  <c r="AR414" i="1"/>
  <c r="BA414" i="1"/>
  <c r="AH416" i="1"/>
  <c r="AZ416" i="1"/>
  <c r="AZ414" i="1"/>
  <c r="AR416" i="1"/>
  <c r="AR409" i="1"/>
  <c r="AZ409" i="1"/>
  <c r="BB416" i="1" l="1"/>
  <c r="BB414" i="1"/>
  <c r="BB409" i="1"/>
  <c r="AQ654" i="1" l="1"/>
  <c r="AY654" i="1"/>
  <c r="AX654" i="1"/>
  <c r="AV654" i="1"/>
  <c r="AT654" i="1"/>
  <c r="AP654" i="1"/>
  <c r="AN654" i="1"/>
  <c r="AL654" i="1"/>
  <c r="AG654" i="1"/>
  <c r="AF654" i="1"/>
  <c r="AD654" i="1"/>
  <c r="AB654" i="1"/>
  <c r="Y654" i="1"/>
  <c r="X654" i="1"/>
  <c r="V654" i="1"/>
  <c r="T654" i="1"/>
  <c r="AQ636" i="1"/>
  <c r="AY636" i="1"/>
  <c r="AX636" i="1"/>
  <c r="AV636" i="1"/>
  <c r="AT636" i="1"/>
  <c r="AP636" i="1"/>
  <c r="AN636" i="1"/>
  <c r="AL636" i="1"/>
  <c r="AG636" i="1"/>
  <c r="AF636" i="1"/>
  <c r="AD636" i="1"/>
  <c r="AB636" i="1"/>
  <c r="Y636" i="1"/>
  <c r="X636" i="1"/>
  <c r="V636" i="1"/>
  <c r="T636" i="1"/>
  <c r="AI654" i="1" l="1"/>
  <c r="AH636" i="1"/>
  <c r="BA654" i="1"/>
  <c r="AR654" i="1"/>
  <c r="BA636" i="1"/>
  <c r="AI636" i="1"/>
  <c r="Z636" i="1"/>
  <c r="AH654" i="1"/>
  <c r="AZ654" i="1"/>
  <c r="AZ636" i="1"/>
  <c r="Z654" i="1"/>
  <c r="AR636" i="1"/>
  <c r="Q654" i="1" l="1"/>
  <c r="AJ636" i="1"/>
  <c r="Q636" i="1"/>
  <c r="BB654" i="1"/>
  <c r="BB636" i="1"/>
  <c r="AJ654" i="1"/>
  <c r="R636" i="1" l="1"/>
  <c r="R654" i="1"/>
  <c r="AY482" i="1"/>
  <c r="AX482" i="1"/>
  <c r="AV482" i="1"/>
  <c r="AT482" i="1"/>
  <c r="AQ482" i="1"/>
  <c r="AP482" i="1"/>
  <c r="AN482" i="1"/>
  <c r="AL482" i="1"/>
  <c r="AG482" i="1"/>
  <c r="AF482" i="1"/>
  <c r="AD482" i="1"/>
  <c r="AB482" i="1"/>
  <c r="X482" i="1"/>
  <c r="V482" i="1"/>
  <c r="AY481" i="1"/>
  <c r="AX481" i="1"/>
  <c r="AV481" i="1"/>
  <c r="AT481" i="1"/>
  <c r="AQ481" i="1"/>
  <c r="AP481" i="1"/>
  <c r="AN481" i="1"/>
  <c r="AL481" i="1"/>
  <c r="AG481" i="1"/>
  <c r="AF481" i="1"/>
  <c r="AD481" i="1"/>
  <c r="AB481" i="1"/>
  <c r="X481" i="1"/>
  <c r="V481" i="1"/>
  <c r="AY480" i="1"/>
  <c r="AX480" i="1"/>
  <c r="AV480" i="1"/>
  <c r="AT480" i="1"/>
  <c r="AQ480" i="1"/>
  <c r="AP480" i="1"/>
  <c r="AN480" i="1"/>
  <c r="AL480" i="1"/>
  <c r="AG480" i="1"/>
  <c r="AF480" i="1"/>
  <c r="AD480" i="1"/>
  <c r="AB480" i="1"/>
  <c r="X480" i="1"/>
  <c r="V480" i="1"/>
  <c r="AY479" i="1"/>
  <c r="AX479" i="1"/>
  <c r="AV479" i="1"/>
  <c r="AT479" i="1"/>
  <c r="AQ479" i="1"/>
  <c r="AP479" i="1"/>
  <c r="AN479" i="1"/>
  <c r="AL479" i="1"/>
  <c r="AG479" i="1"/>
  <c r="AF479" i="1"/>
  <c r="AD479" i="1"/>
  <c r="AB479" i="1"/>
  <c r="X479" i="1"/>
  <c r="V479" i="1"/>
  <c r="AY478" i="1"/>
  <c r="AX478" i="1"/>
  <c r="AV478" i="1"/>
  <c r="AT478" i="1"/>
  <c r="AQ478" i="1"/>
  <c r="AP478" i="1"/>
  <c r="AN478" i="1"/>
  <c r="AL478" i="1"/>
  <c r="AG478" i="1"/>
  <c r="AF478" i="1"/>
  <c r="AD478" i="1"/>
  <c r="AB478" i="1"/>
  <c r="X478" i="1"/>
  <c r="V478" i="1"/>
  <c r="AY477" i="1"/>
  <c r="AX477" i="1"/>
  <c r="AV477" i="1"/>
  <c r="AT477" i="1"/>
  <c r="AQ477" i="1"/>
  <c r="AP477" i="1"/>
  <c r="AN477" i="1"/>
  <c r="AL477" i="1"/>
  <c r="AG477" i="1"/>
  <c r="AF477" i="1"/>
  <c r="AD477" i="1"/>
  <c r="AB477" i="1"/>
  <c r="X477" i="1"/>
  <c r="V477" i="1"/>
  <c r="AY476" i="1"/>
  <c r="AX476" i="1"/>
  <c r="AV476" i="1"/>
  <c r="AT476" i="1"/>
  <c r="AQ476" i="1"/>
  <c r="AP476" i="1"/>
  <c r="AN476" i="1"/>
  <c r="AL476" i="1"/>
  <c r="AG476" i="1"/>
  <c r="AF476" i="1"/>
  <c r="AD476" i="1"/>
  <c r="AB476" i="1"/>
  <c r="X476" i="1"/>
  <c r="V476" i="1"/>
  <c r="AY475" i="1"/>
  <c r="AX475" i="1"/>
  <c r="AV475" i="1"/>
  <c r="AT475" i="1"/>
  <c r="AQ475" i="1"/>
  <c r="AP475" i="1"/>
  <c r="AN475" i="1"/>
  <c r="AL475" i="1"/>
  <c r="AG475" i="1"/>
  <c r="AF475" i="1"/>
  <c r="AD475" i="1"/>
  <c r="AB475" i="1"/>
  <c r="X475" i="1"/>
  <c r="V475" i="1"/>
  <c r="AY474" i="1"/>
  <c r="AX474" i="1"/>
  <c r="AV474" i="1"/>
  <c r="AT474" i="1"/>
  <c r="AQ474" i="1"/>
  <c r="AP474" i="1"/>
  <c r="AN474" i="1"/>
  <c r="AL474" i="1"/>
  <c r="AG474" i="1"/>
  <c r="AF474" i="1"/>
  <c r="AD474" i="1"/>
  <c r="AB474" i="1"/>
  <c r="X474" i="1"/>
  <c r="V474" i="1"/>
  <c r="AY473" i="1"/>
  <c r="AX473" i="1"/>
  <c r="AV473" i="1"/>
  <c r="AT473" i="1"/>
  <c r="AQ473" i="1"/>
  <c r="AP473" i="1"/>
  <c r="AN473" i="1"/>
  <c r="AL473" i="1"/>
  <c r="AG473" i="1"/>
  <c r="AF473" i="1"/>
  <c r="AD473" i="1"/>
  <c r="AB473" i="1"/>
  <c r="X473" i="1"/>
  <c r="V473" i="1"/>
  <c r="AX942" i="1"/>
  <c r="AV942" i="1"/>
  <c r="AT942" i="1"/>
  <c r="BA942" i="1"/>
  <c r="AP942" i="1"/>
  <c r="AN942" i="1"/>
  <c r="AL942" i="1"/>
  <c r="AF942" i="1"/>
  <c r="AD942" i="1"/>
  <c r="AB942" i="1"/>
  <c r="X942" i="1"/>
  <c r="V942" i="1"/>
  <c r="T942" i="1"/>
  <c r="AB486" i="1" l="1"/>
  <c r="AT486" i="1"/>
  <c r="AL486" i="1"/>
  <c r="X486" i="1"/>
  <c r="AQ486" i="1"/>
  <c r="AG486" i="1"/>
  <c r="AN486" i="1"/>
  <c r="AV486" i="1"/>
  <c r="V486" i="1"/>
  <c r="AF486" i="1"/>
  <c r="AP486" i="1"/>
  <c r="AD486" i="1"/>
  <c r="AX486" i="1"/>
  <c r="AY486" i="1"/>
  <c r="AH942" i="1"/>
  <c r="AR942" i="1"/>
  <c r="BA480" i="1"/>
  <c r="BA478" i="1"/>
  <c r="BA474" i="1"/>
  <c r="BA476" i="1"/>
  <c r="Z942" i="1"/>
  <c r="AZ942" i="1"/>
  <c r="BA482" i="1"/>
  <c r="AH473" i="1"/>
  <c r="AR473" i="1"/>
  <c r="AZ473" i="1"/>
  <c r="AH476" i="1"/>
  <c r="AH481" i="1"/>
  <c r="AR481" i="1"/>
  <c r="AZ481" i="1"/>
  <c r="AR478" i="1"/>
  <c r="AZ478" i="1"/>
  <c r="AR474" i="1"/>
  <c r="AZ474" i="1"/>
  <c r="BA475" i="1"/>
  <c r="AH477" i="1"/>
  <c r="AR477" i="1"/>
  <c r="AZ477" i="1"/>
  <c r="AH480" i="1"/>
  <c r="AR482" i="1"/>
  <c r="AZ482" i="1"/>
  <c r="AI942" i="1"/>
  <c r="BA473" i="1"/>
  <c r="AH475" i="1"/>
  <c r="AR475" i="1"/>
  <c r="AZ475" i="1"/>
  <c r="AH478" i="1"/>
  <c r="AR480" i="1"/>
  <c r="AZ480" i="1"/>
  <c r="BA481" i="1"/>
  <c r="BA479" i="1"/>
  <c r="AH474" i="1"/>
  <c r="AR476" i="1"/>
  <c r="AZ476" i="1"/>
  <c r="BA477" i="1"/>
  <c r="AH479" i="1"/>
  <c r="AR479" i="1"/>
  <c r="AZ479" i="1"/>
  <c r="AH482" i="1"/>
  <c r="AY296" i="1"/>
  <c r="AX296" i="1"/>
  <c r="AV296" i="1"/>
  <c r="AT296" i="1"/>
  <c r="AQ296" i="1"/>
  <c r="AP296" i="1"/>
  <c r="AN296" i="1"/>
  <c r="AL296" i="1"/>
  <c r="AG296" i="1"/>
  <c r="AF296" i="1"/>
  <c r="AD296" i="1"/>
  <c r="AB296" i="1"/>
  <c r="X296" i="1"/>
  <c r="V296" i="1"/>
  <c r="AX297" i="1"/>
  <c r="AV297" i="1"/>
  <c r="AT297" i="1"/>
  <c r="BA297" i="1"/>
  <c r="AP297" i="1"/>
  <c r="AN297" i="1"/>
  <c r="AL297" i="1"/>
  <c r="AG297" i="1"/>
  <c r="AF297" i="1"/>
  <c r="AD297" i="1"/>
  <c r="AB297" i="1"/>
  <c r="X297" i="1"/>
  <c r="V297" i="1"/>
  <c r="Q942" i="1" l="1"/>
  <c r="AR486" i="1"/>
  <c r="AZ486" i="1"/>
  <c r="AH486" i="1"/>
  <c r="BA486" i="1"/>
  <c r="BA296" i="1"/>
  <c r="BB942" i="1"/>
  <c r="AJ942" i="1"/>
  <c r="BB481" i="1"/>
  <c r="BB473" i="1"/>
  <c r="BB479" i="1"/>
  <c r="BB482" i="1"/>
  <c r="BB477" i="1"/>
  <c r="BB478" i="1"/>
  <c r="BB474" i="1"/>
  <c r="BB480" i="1"/>
  <c r="BB475" i="1"/>
  <c r="BB476" i="1"/>
  <c r="AR296" i="1"/>
  <c r="AZ296" i="1"/>
  <c r="AH296" i="1"/>
  <c r="AH297" i="1"/>
  <c r="AR297" i="1"/>
  <c r="AZ297" i="1"/>
  <c r="AY370" i="1"/>
  <c r="AX370" i="1"/>
  <c r="AV370" i="1"/>
  <c r="AT370" i="1"/>
  <c r="AQ370" i="1"/>
  <c r="AP370" i="1"/>
  <c r="AN370" i="1"/>
  <c r="AL370" i="1"/>
  <c r="AG370" i="1"/>
  <c r="AF370" i="1"/>
  <c r="AD370" i="1"/>
  <c r="AB370" i="1"/>
  <c r="X370" i="1"/>
  <c r="V370" i="1"/>
  <c r="AQ510" i="1"/>
  <c r="AY507" i="1"/>
  <c r="AX507" i="1"/>
  <c r="AV507" i="1"/>
  <c r="AT507" i="1"/>
  <c r="AQ507" i="1"/>
  <c r="AP507" i="1"/>
  <c r="AN507" i="1"/>
  <c r="AL507" i="1"/>
  <c r="AG507" i="1"/>
  <c r="AF507" i="1"/>
  <c r="AD507" i="1"/>
  <c r="AB507" i="1"/>
  <c r="X507" i="1"/>
  <c r="V507" i="1"/>
  <c r="AQ511" i="1"/>
  <c r="BB486" i="1" l="1"/>
  <c r="BA507" i="1"/>
  <c r="R942" i="1"/>
  <c r="BA370" i="1"/>
  <c r="AZ507" i="1"/>
  <c r="AH370" i="1"/>
  <c r="BB296" i="1"/>
  <c r="BB297" i="1"/>
  <c r="AR370" i="1"/>
  <c r="AZ370" i="1"/>
  <c r="AR507" i="1"/>
  <c r="AH507" i="1"/>
  <c r="BB507" i="1" l="1"/>
  <c r="BB370" i="1"/>
  <c r="AY511" i="1" l="1"/>
  <c r="BA511" i="1" s="1"/>
  <c r="AX511" i="1"/>
  <c r="AV511" i="1"/>
  <c r="AT511" i="1"/>
  <c r="AP511" i="1"/>
  <c r="AN511" i="1"/>
  <c r="AL511" i="1"/>
  <c r="AG511" i="1"/>
  <c r="AF511" i="1"/>
  <c r="AD511" i="1"/>
  <c r="AB511" i="1"/>
  <c r="X511" i="1"/>
  <c r="V511" i="1"/>
  <c r="AZ511" i="1" l="1"/>
  <c r="AH511" i="1"/>
  <c r="AR511" i="1"/>
  <c r="AY1283" i="1"/>
  <c r="AY1262" i="1"/>
  <c r="AY1217" i="1"/>
  <c r="AY1215" i="1"/>
  <c r="AY1206" i="1"/>
  <c r="AY1202" i="1"/>
  <c r="AY1196" i="1"/>
  <c r="AY1172" i="1"/>
  <c r="AY1122" i="1"/>
  <c r="AY965" i="1"/>
  <c r="AY818" i="1"/>
  <c r="AY806" i="1"/>
  <c r="AY786" i="1"/>
  <c r="AY518" i="1"/>
  <c r="AY510" i="1"/>
  <c r="AY500" i="1"/>
  <c r="AY360" i="1"/>
  <c r="AY101" i="1"/>
  <c r="AY92" i="1"/>
  <c r="AQ1262" i="1"/>
  <c r="AQ1196" i="1"/>
  <c r="AQ1172" i="1"/>
  <c r="AQ965" i="1"/>
  <c r="AQ831" i="1"/>
  <c r="AQ818" i="1"/>
  <c r="AQ806" i="1"/>
  <c r="AQ495" i="1"/>
  <c r="AQ360" i="1"/>
  <c r="AQ103" i="1"/>
  <c r="AQ40" i="1"/>
  <c r="BB511" i="1" l="1"/>
  <c r="AY884" i="1"/>
  <c r="AX884" i="1"/>
  <c r="AV884" i="1"/>
  <c r="AT884" i="1"/>
  <c r="AQ884" i="1"/>
  <c r="AP884" i="1"/>
  <c r="AN884" i="1"/>
  <c r="AL884" i="1"/>
  <c r="AG884" i="1"/>
  <c r="AF884" i="1"/>
  <c r="AD884" i="1"/>
  <c r="AB884" i="1"/>
  <c r="Y884" i="1"/>
  <c r="X884" i="1"/>
  <c r="V884" i="1"/>
  <c r="T884" i="1"/>
  <c r="AY879" i="1"/>
  <c r="AX879" i="1"/>
  <c r="AV879" i="1"/>
  <c r="AT879" i="1"/>
  <c r="AQ879" i="1"/>
  <c r="AP879" i="1"/>
  <c r="AN879" i="1"/>
  <c r="AL879" i="1"/>
  <c r="AG879" i="1"/>
  <c r="AF879" i="1"/>
  <c r="AD879" i="1"/>
  <c r="AB879" i="1"/>
  <c r="Y879" i="1"/>
  <c r="X879" i="1"/>
  <c r="V879" i="1"/>
  <c r="T879" i="1"/>
  <c r="AY653" i="1"/>
  <c r="AX653" i="1"/>
  <c r="AV653" i="1"/>
  <c r="AT653" i="1"/>
  <c r="AQ653" i="1"/>
  <c r="AP653" i="1"/>
  <c r="AN653" i="1"/>
  <c r="AL653" i="1"/>
  <c r="AG653" i="1"/>
  <c r="AF653" i="1"/>
  <c r="AD653" i="1"/>
  <c r="AB653" i="1"/>
  <c r="Y653" i="1"/>
  <c r="X653" i="1"/>
  <c r="V653" i="1"/>
  <c r="T653" i="1"/>
  <c r="AY652" i="1"/>
  <c r="AX652" i="1"/>
  <c r="AV652" i="1"/>
  <c r="AT652" i="1"/>
  <c r="AQ652" i="1"/>
  <c r="AP652" i="1"/>
  <c r="AN652" i="1"/>
  <c r="AL652" i="1"/>
  <c r="AG652" i="1"/>
  <c r="AF652" i="1"/>
  <c r="AD652" i="1"/>
  <c r="AB652" i="1"/>
  <c r="Y652" i="1"/>
  <c r="X652" i="1"/>
  <c r="V652" i="1"/>
  <c r="T652" i="1"/>
  <c r="AY718" i="1"/>
  <c r="AX718" i="1"/>
  <c r="AV718" i="1"/>
  <c r="AT718" i="1"/>
  <c r="AQ718" i="1"/>
  <c r="AP718" i="1"/>
  <c r="AN718" i="1"/>
  <c r="AL718" i="1"/>
  <c r="AG718" i="1"/>
  <c r="AF718" i="1"/>
  <c r="AD718" i="1"/>
  <c r="AB718" i="1"/>
  <c r="Y718" i="1"/>
  <c r="X718" i="1"/>
  <c r="V718" i="1"/>
  <c r="T718" i="1"/>
  <c r="AY719" i="1"/>
  <c r="AX719" i="1"/>
  <c r="AV719" i="1"/>
  <c r="AT719" i="1"/>
  <c r="AQ719" i="1"/>
  <c r="AP719" i="1"/>
  <c r="AN719" i="1"/>
  <c r="AL719" i="1"/>
  <c r="AG719" i="1"/>
  <c r="AF719" i="1"/>
  <c r="AD719" i="1"/>
  <c r="AB719" i="1"/>
  <c r="Y719" i="1"/>
  <c r="X719" i="1"/>
  <c r="V719" i="1"/>
  <c r="T719" i="1"/>
  <c r="AY831" i="1"/>
  <c r="BA831" i="1" s="1"/>
  <c r="AX831" i="1"/>
  <c r="AV831" i="1"/>
  <c r="AT831" i="1"/>
  <c r="AP831" i="1"/>
  <c r="AN831" i="1"/>
  <c r="AL831" i="1"/>
  <c r="AG831" i="1"/>
  <c r="AF831" i="1"/>
  <c r="AD831" i="1"/>
  <c r="AB831" i="1"/>
  <c r="Y831" i="1"/>
  <c r="X831" i="1"/>
  <c r="V831" i="1"/>
  <c r="T831" i="1"/>
  <c r="BA879" i="1" l="1"/>
  <c r="BA884" i="1"/>
  <c r="AI718" i="1"/>
  <c r="AI719" i="1"/>
  <c r="BA718" i="1"/>
  <c r="AI653" i="1"/>
  <c r="BA719" i="1"/>
  <c r="AI879" i="1"/>
  <c r="BA652" i="1"/>
  <c r="Z718" i="1"/>
  <c r="AZ718" i="1"/>
  <c r="AZ652" i="1"/>
  <c r="Z653" i="1"/>
  <c r="AZ884" i="1"/>
  <c r="AI884" i="1"/>
  <c r="AR831" i="1"/>
  <c r="Z652" i="1"/>
  <c r="Z884" i="1"/>
  <c r="AR884" i="1"/>
  <c r="AH884" i="1"/>
  <c r="AI652" i="1"/>
  <c r="Z879" i="1"/>
  <c r="AZ879" i="1"/>
  <c r="AZ653" i="1"/>
  <c r="AR879" i="1"/>
  <c r="AH879" i="1"/>
  <c r="BA653" i="1"/>
  <c r="AZ719" i="1"/>
  <c r="AR653" i="1"/>
  <c r="AH653" i="1"/>
  <c r="AR652" i="1"/>
  <c r="AH652" i="1"/>
  <c r="AR718" i="1"/>
  <c r="AH718" i="1"/>
  <c r="AR719" i="1"/>
  <c r="AI831" i="1"/>
  <c r="Q831" i="1" s="1"/>
  <c r="Z719" i="1"/>
  <c r="AH719" i="1"/>
  <c r="AH831" i="1"/>
  <c r="AZ831" i="1"/>
  <c r="Z831" i="1"/>
  <c r="Q879" i="1" l="1"/>
  <c r="Q884" i="1"/>
  <c r="Q718" i="1"/>
  <c r="Q719" i="1"/>
  <c r="Q653" i="1"/>
  <c r="BB719" i="1"/>
  <c r="BB884" i="1"/>
  <c r="Q652" i="1"/>
  <c r="AJ718" i="1"/>
  <c r="BB652" i="1"/>
  <c r="BB718" i="1"/>
  <c r="AJ653" i="1"/>
  <c r="AJ884" i="1"/>
  <c r="BB879" i="1"/>
  <c r="AJ652" i="1"/>
  <c r="AJ879" i="1"/>
  <c r="BB831" i="1"/>
  <c r="AJ831" i="1"/>
  <c r="BB653" i="1"/>
  <c r="AJ719" i="1"/>
  <c r="R719" i="1" l="1"/>
  <c r="R884" i="1"/>
  <c r="R718" i="1"/>
  <c r="R879" i="1"/>
  <c r="R652" i="1"/>
  <c r="R653" i="1"/>
  <c r="R831" i="1"/>
  <c r="AY495" i="1" l="1"/>
  <c r="BA495" i="1" s="1"/>
  <c r="AX495" i="1"/>
  <c r="AV495" i="1"/>
  <c r="AT495" i="1"/>
  <c r="AP495" i="1"/>
  <c r="AN495" i="1"/>
  <c r="AL495" i="1"/>
  <c r="AG495" i="1"/>
  <c r="AF495" i="1"/>
  <c r="AD495" i="1"/>
  <c r="AB495" i="1"/>
  <c r="X495" i="1"/>
  <c r="V495" i="1"/>
  <c r="AZ495" i="1" l="1"/>
  <c r="AR495" i="1"/>
  <c r="AH495" i="1"/>
  <c r="BB495" i="1" l="1"/>
  <c r="AX806" i="1"/>
  <c r="AV806" i="1"/>
  <c r="AT806" i="1"/>
  <c r="BA806" i="1"/>
  <c r="AP806" i="1"/>
  <c r="AN806" i="1"/>
  <c r="AL806" i="1"/>
  <c r="AG806" i="1"/>
  <c r="AF806" i="1"/>
  <c r="AD806" i="1"/>
  <c r="AB806" i="1"/>
  <c r="X806" i="1"/>
  <c r="V806" i="1"/>
  <c r="AX818" i="1"/>
  <c r="AV818" i="1"/>
  <c r="AT818" i="1"/>
  <c r="BA818" i="1"/>
  <c r="AP818" i="1"/>
  <c r="AN818" i="1"/>
  <c r="AL818" i="1"/>
  <c r="AG818" i="1"/>
  <c r="AF818" i="1"/>
  <c r="AD818" i="1"/>
  <c r="AB818" i="1"/>
  <c r="Y818" i="1"/>
  <c r="X818" i="1"/>
  <c r="V818" i="1"/>
  <c r="T818" i="1"/>
  <c r="AY1212" i="1"/>
  <c r="AX1212" i="1"/>
  <c r="AV1212" i="1"/>
  <c r="AT1212" i="1"/>
  <c r="AQ1212" i="1"/>
  <c r="AP1212" i="1"/>
  <c r="AN1212" i="1"/>
  <c r="AL1212" i="1"/>
  <c r="AG1212" i="1"/>
  <c r="AF1212" i="1"/>
  <c r="AD1212" i="1"/>
  <c r="AB1212" i="1"/>
  <c r="Y1212" i="1"/>
  <c r="X1212" i="1"/>
  <c r="V1212" i="1"/>
  <c r="T1212" i="1"/>
  <c r="AY1195" i="1"/>
  <c r="AX1195" i="1"/>
  <c r="AV1195" i="1"/>
  <c r="AT1195" i="1"/>
  <c r="AQ1195" i="1"/>
  <c r="AP1195" i="1"/>
  <c r="AN1195" i="1"/>
  <c r="AL1195" i="1"/>
  <c r="AG1195" i="1"/>
  <c r="AF1195" i="1"/>
  <c r="AD1195" i="1"/>
  <c r="AB1195" i="1"/>
  <c r="Y1195" i="1"/>
  <c r="X1195" i="1"/>
  <c r="V1195" i="1"/>
  <c r="T1195" i="1"/>
  <c r="AY1187" i="1"/>
  <c r="AX1187" i="1"/>
  <c r="AV1187" i="1"/>
  <c r="AT1187" i="1"/>
  <c r="AQ1187" i="1"/>
  <c r="AP1187" i="1"/>
  <c r="AN1187" i="1"/>
  <c r="AL1187" i="1"/>
  <c r="AG1187" i="1"/>
  <c r="AF1187" i="1"/>
  <c r="AD1187" i="1"/>
  <c r="AB1187" i="1"/>
  <c r="Y1187" i="1"/>
  <c r="X1187" i="1"/>
  <c r="V1187" i="1"/>
  <c r="T1187" i="1"/>
  <c r="AY1185" i="1"/>
  <c r="AX1185" i="1"/>
  <c r="AV1185" i="1"/>
  <c r="AT1185" i="1"/>
  <c r="AQ1185" i="1"/>
  <c r="AP1185" i="1"/>
  <c r="AN1185" i="1"/>
  <c r="AL1185" i="1"/>
  <c r="AG1185" i="1"/>
  <c r="AF1185" i="1"/>
  <c r="AD1185" i="1"/>
  <c r="AB1185" i="1"/>
  <c r="Y1185" i="1"/>
  <c r="X1185" i="1"/>
  <c r="V1185" i="1"/>
  <c r="T1185" i="1"/>
  <c r="AX1172" i="1"/>
  <c r="AV1172" i="1"/>
  <c r="AT1172" i="1"/>
  <c r="BA1172" i="1"/>
  <c r="AP1172" i="1"/>
  <c r="AN1172" i="1"/>
  <c r="AL1172" i="1"/>
  <c r="AG1172" i="1"/>
  <c r="AF1172" i="1"/>
  <c r="AD1172" i="1"/>
  <c r="AB1172" i="1"/>
  <c r="Y1172" i="1"/>
  <c r="X1172" i="1"/>
  <c r="V1172" i="1"/>
  <c r="T1172" i="1"/>
  <c r="AX1262" i="1"/>
  <c r="AV1262" i="1"/>
  <c r="AT1262" i="1"/>
  <c r="BA1262" i="1"/>
  <c r="AP1262" i="1"/>
  <c r="AN1262" i="1"/>
  <c r="AL1262" i="1"/>
  <c r="AG1262" i="1"/>
  <c r="AF1262" i="1"/>
  <c r="AD1262" i="1"/>
  <c r="AB1262" i="1"/>
  <c r="X1262" i="1"/>
  <c r="V1262" i="1"/>
  <c r="T1262" i="1"/>
  <c r="AI1212" i="1" l="1"/>
  <c r="AI1187" i="1"/>
  <c r="BA1195" i="1"/>
  <c r="BA1185" i="1"/>
  <c r="BA1212" i="1"/>
  <c r="Q1212" i="1" s="1"/>
  <c r="BA1187" i="1"/>
  <c r="AI818" i="1"/>
  <c r="Q818" i="1" s="1"/>
  <c r="AI1172" i="1"/>
  <c r="Q1172" i="1" s="1"/>
  <c r="AI1185" i="1"/>
  <c r="AI1195" i="1"/>
  <c r="AI1262" i="1"/>
  <c r="Q1262" i="1" s="1"/>
  <c r="AZ1262" i="1"/>
  <c r="AZ1195" i="1"/>
  <c r="AH818" i="1"/>
  <c r="AZ818" i="1"/>
  <c r="AZ806" i="1"/>
  <c r="AR1195" i="1"/>
  <c r="AR818" i="1"/>
  <c r="AH806" i="1"/>
  <c r="Z1172" i="1"/>
  <c r="Z1185" i="1"/>
  <c r="AH1185" i="1"/>
  <c r="AR1185" i="1"/>
  <c r="AZ1185" i="1"/>
  <c r="Z1187" i="1"/>
  <c r="AH1187" i="1"/>
  <c r="AR1187" i="1"/>
  <c r="AZ1187" i="1"/>
  <c r="Z1195" i="1"/>
  <c r="AH1195" i="1"/>
  <c r="Z1212" i="1"/>
  <c r="AH1212" i="1"/>
  <c r="AH1262" i="1"/>
  <c r="AZ1212" i="1"/>
  <c r="AR1262" i="1"/>
  <c r="AR1212" i="1"/>
  <c r="AR806" i="1"/>
  <c r="Z818" i="1"/>
  <c r="AH1172" i="1"/>
  <c r="AZ1172" i="1"/>
  <c r="AR1172" i="1"/>
  <c r="Z1262" i="1"/>
  <c r="AL965" i="1"/>
  <c r="AX965" i="1"/>
  <c r="AV965" i="1"/>
  <c r="AT965" i="1"/>
  <c r="BA965" i="1"/>
  <c r="AP965" i="1"/>
  <c r="AN965" i="1"/>
  <c r="AF965" i="1"/>
  <c r="AD965" i="1"/>
  <c r="AB965" i="1"/>
  <c r="Y965" i="1"/>
  <c r="AI965" i="1" s="1"/>
  <c r="X965" i="1"/>
  <c r="V965" i="1"/>
  <c r="T965" i="1"/>
  <c r="AL13" i="1"/>
  <c r="Q1187" i="1" l="1"/>
  <c r="Q1195" i="1"/>
  <c r="Q1185" i="1"/>
  <c r="BB1195" i="1"/>
  <c r="BB1262" i="1"/>
  <c r="BB806" i="1"/>
  <c r="AJ1172" i="1"/>
  <c r="BB818" i="1"/>
  <c r="AJ818" i="1"/>
  <c r="AJ1195" i="1"/>
  <c r="AJ1262" i="1"/>
  <c r="Z965" i="1"/>
  <c r="AH965" i="1"/>
  <c r="AJ1212" i="1"/>
  <c r="BB1187" i="1"/>
  <c r="BB1185" i="1"/>
  <c r="BB1212" i="1"/>
  <c r="AJ1187" i="1"/>
  <c r="AJ1185" i="1"/>
  <c r="BB1172" i="1"/>
  <c r="AZ965" i="1"/>
  <c r="AR965" i="1"/>
  <c r="Q965" i="1"/>
  <c r="AY859" i="1"/>
  <c r="AX859" i="1"/>
  <c r="AV859" i="1"/>
  <c r="AT859" i="1"/>
  <c r="AQ859" i="1"/>
  <c r="AP859" i="1"/>
  <c r="AN859" i="1"/>
  <c r="AL859" i="1"/>
  <c r="AG859" i="1"/>
  <c r="AF859" i="1"/>
  <c r="AD859" i="1"/>
  <c r="AB859" i="1"/>
  <c r="X859" i="1"/>
  <c r="V859" i="1"/>
  <c r="AY860" i="1"/>
  <c r="AX860" i="1"/>
  <c r="AV860" i="1"/>
  <c r="AT860" i="1"/>
  <c r="AQ860" i="1"/>
  <c r="AP860" i="1"/>
  <c r="AN860" i="1"/>
  <c r="AL860" i="1"/>
  <c r="AG860" i="1"/>
  <c r="AF860" i="1"/>
  <c r="AD860" i="1"/>
  <c r="AB860" i="1"/>
  <c r="X860" i="1"/>
  <c r="V860" i="1"/>
  <c r="AY861" i="1"/>
  <c r="AX861" i="1"/>
  <c r="AV861" i="1"/>
  <c r="AT861" i="1"/>
  <c r="AQ861" i="1"/>
  <c r="AP861" i="1"/>
  <c r="AN861" i="1"/>
  <c r="AL861" i="1"/>
  <c r="AG861" i="1"/>
  <c r="AF861" i="1"/>
  <c r="AD861" i="1"/>
  <c r="AB861" i="1"/>
  <c r="X861" i="1"/>
  <c r="V861" i="1"/>
  <c r="AG529" i="1"/>
  <c r="AQ529" i="1"/>
  <c r="AY529" i="1"/>
  <c r="AX529" i="1"/>
  <c r="AV529" i="1"/>
  <c r="AT529" i="1"/>
  <c r="AP529" i="1"/>
  <c r="AN529" i="1"/>
  <c r="AL529" i="1"/>
  <c r="AF529" i="1"/>
  <c r="AD529" i="1"/>
  <c r="AB529" i="1"/>
  <c r="X529" i="1"/>
  <c r="V529" i="1"/>
  <c r="AY319" i="1"/>
  <c r="AX319" i="1"/>
  <c r="AV319" i="1"/>
  <c r="AT319" i="1"/>
  <c r="AQ319" i="1"/>
  <c r="AP319" i="1"/>
  <c r="AN319" i="1"/>
  <c r="AL319" i="1"/>
  <c r="AG319" i="1"/>
  <c r="AF319" i="1"/>
  <c r="AD319" i="1"/>
  <c r="AB319" i="1"/>
  <c r="X319" i="1"/>
  <c r="V319" i="1"/>
  <c r="AY318" i="1"/>
  <c r="AX318" i="1"/>
  <c r="AV318" i="1"/>
  <c r="AT318" i="1"/>
  <c r="AQ318" i="1"/>
  <c r="AP318" i="1"/>
  <c r="AN318" i="1"/>
  <c r="AL318" i="1"/>
  <c r="AG318" i="1"/>
  <c r="AF318" i="1"/>
  <c r="AD318" i="1"/>
  <c r="AB318" i="1"/>
  <c r="X318" i="1"/>
  <c r="V318" i="1"/>
  <c r="AY316" i="1"/>
  <c r="AX316" i="1"/>
  <c r="AV316" i="1"/>
  <c r="AT316" i="1"/>
  <c r="AQ316" i="1"/>
  <c r="AP316" i="1"/>
  <c r="AN316" i="1"/>
  <c r="AL316" i="1"/>
  <c r="AG316" i="1"/>
  <c r="AF316" i="1"/>
  <c r="AD316" i="1"/>
  <c r="AB316" i="1"/>
  <c r="X316" i="1"/>
  <c r="V316" i="1"/>
  <c r="AY317" i="1"/>
  <c r="AX317" i="1"/>
  <c r="AV317" i="1"/>
  <c r="AT317" i="1"/>
  <c r="AQ317" i="1"/>
  <c r="AP317" i="1"/>
  <c r="AN317" i="1"/>
  <c r="AL317" i="1"/>
  <c r="AG317" i="1"/>
  <c r="AF317" i="1"/>
  <c r="AD317" i="1"/>
  <c r="AB317" i="1"/>
  <c r="X317" i="1"/>
  <c r="V317" i="1"/>
  <c r="AX101" i="1"/>
  <c r="AV101" i="1"/>
  <c r="AT101" i="1"/>
  <c r="AQ101" i="1"/>
  <c r="BA101" i="1" s="1"/>
  <c r="AP101" i="1"/>
  <c r="AN101" i="1"/>
  <c r="AL101" i="1"/>
  <c r="AG101" i="1"/>
  <c r="AF101" i="1"/>
  <c r="AD101" i="1"/>
  <c r="AB101" i="1"/>
  <c r="X101" i="1"/>
  <c r="V101" i="1"/>
  <c r="AX92" i="1"/>
  <c r="AV92" i="1"/>
  <c r="AT92" i="1"/>
  <c r="AQ92" i="1"/>
  <c r="BA92" i="1" s="1"/>
  <c r="AP92" i="1"/>
  <c r="AN92" i="1"/>
  <c r="AL92" i="1"/>
  <c r="AG92" i="1"/>
  <c r="AF92" i="1"/>
  <c r="AD92" i="1"/>
  <c r="AB92" i="1"/>
  <c r="X92" i="1"/>
  <c r="V92" i="1"/>
  <c r="AY40" i="1"/>
  <c r="BA40" i="1" s="1"/>
  <c r="AX40" i="1"/>
  <c r="AV40" i="1"/>
  <c r="AT40" i="1"/>
  <c r="AP40" i="1"/>
  <c r="AN40" i="1"/>
  <c r="AL40" i="1"/>
  <c r="AG40" i="1"/>
  <c r="AF40" i="1"/>
  <c r="AD40" i="1"/>
  <c r="AB40" i="1"/>
  <c r="X40" i="1"/>
  <c r="V40" i="1"/>
  <c r="AY41" i="1"/>
  <c r="AX41" i="1"/>
  <c r="AV41" i="1"/>
  <c r="AT41" i="1"/>
  <c r="AQ41" i="1"/>
  <c r="AP41" i="1"/>
  <c r="AN41" i="1"/>
  <c r="AL41" i="1"/>
  <c r="AG41" i="1"/>
  <c r="AF41" i="1"/>
  <c r="AD41" i="1"/>
  <c r="AB41" i="1"/>
  <c r="X41" i="1"/>
  <c r="V41" i="1"/>
  <c r="BA859" i="1" l="1"/>
  <c r="BA861" i="1"/>
  <c r="R1195" i="1"/>
  <c r="AH92" i="1"/>
  <c r="R1262" i="1"/>
  <c r="R1172" i="1"/>
  <c r="BA319" i="1"/>
  <c r="BA318" i="1"/>
  <c r="BA317" i="1"/>
  <c r="AH319" i="1"/>
  <c r="BA316" i="1"/>
  <c r="BA860" i="1"/>
  <c r="R818" i="1"/>
  <c r="R1212" i="1"/>
  <c r="AH41" i="1"/>
  <c r="R1185" i="1"/>
  <c r="BB965" i="1"/>
  <c r="R1187" i="1"/>
  <c r="AJ965" i="1"/>
  <c r="BA529" i="1"/>
  <c r="AZ41" i="1"/>
  <c r="AH860" i="1"/>
  <c r="AH316" i="1"/>
  <c r="AZ316" i="1"/>
  <c r="AR319" i="1"/>
  <c r="AZ319" i="1"/>
  <c r="AZ860" i="1"/>
  <c r="BA41" i="1"/>
  <c r="AR41" i="1"/>
  <c r="AH861" i="1"/>
  <c r="AH859" i="1"/>
  <c r="AZ859" i="1"/>
  <c r="AR860" i="1"/>
  <c r="AR859" i="1"/>
  <c r="AH529" i="1"/>
  <c r="AH318" i="1"/>
  <c r="AZ318" i="1"/>
  <c r="AZ529" i="1"/>
  <c r="AR861" i="1"/>
  <c r="AZ861" i="1"/>
  <c r="AR529" i="1"/>
  <c r="AR316" i="1"/>
  <c r="AR318" i="1"/>
  <c r="AH101" i="1"/>
  <c r="AR101" i="1"/>
  <c r="AH317" i="1"/>
  <c r="AR317" i="1"/>
  <c r="AZ317" i="1"/>
  <c r="AZ101" i="1"/>
  <c r="AR92" i="1"/>
  <c r="AZ92" i="1"/>
  <c r="AH40" i="1"/>
  <c r="AR40" i="1"/>
  <c r="AZ40" i="1"/>
  <c r="BB316" i="1" l="1"/>
  <c r="R965" i="1"/>
  <c r="BB41" i="1"/>
  <c r="BB860" i="1"/>
  <c r="BB319" i="1"/>
  <c r="BB529" i="1"/>
  <c r="BB859" i="1"/>
  <c r="BB861" i="1"/>
  <c r="BB318" i="1"/>
  <c r="BB101" i="1"/>
  <c r="BB317" i="1"/>
  <c r="BB40" i="1"/>
  <c r="BB92" i="1"/>
  <c r="AY169" i="1" l="1"/>
  <c r="AX169" i="1"/>
  <c r="AV169" i="1"/>
  <c r="AT169" i="1"/>
  <c r="AQ169" i="1"/>
  <c r="AP169" i="1"/>
  <c r="AN169" i="1"/>
  <c r="AL169" i="1"/>
  <c r="AG169" i="1"/>
  <c r="AF169" i="1"/>
  <c r="AD169" i="1"/>
  <c r="AB169" i="1"/>
  <c r="X169" i="1"/>
  <c r="V169" i="1"/>
  <c r="AY294" i="1"/>
  <c r="AX294" i="1"/>
  <c r="AV294" i="1"/>
  <c r="AT294" i="1"/>
  <c r="AQ294" i="1"/>
  <c r="AP294" i="1"/>
  <c r="AN294" i="1"/>
  <c r="AL294" i="1"/>
  <c r="AG294" i="1"/>
  <c r="AF294" i="1"/>
  <c r="AD294" i="1"/>
  <c r="AB294" i="1"/>
  <c r="X294" i="1"/>
  <c r="V294" i="1"/>
  <c r="AY308" i="1"/>
  <c r="AX308" i="1"/>
  <c r="AV308" i="1"/>
  <c r="AT308" i="1"/>
  <c r="AQ308" i="1"/>
  <c r="AP308" i="1"/>
  <c r="AN308" i="1"/>
  <c r="AL308" i="1"/>
  <c r="AG308" i="1"/>
  <c r="AF308" i="1"/>
  <c r="AD308" i="1"/>
  <c r="AB308" i="1"/>
  <c r="X308" i="1"/>
  <c r="V308" i="1"/>
  <c r="AQ886" i="1"/>
  <c r="AQ881" i="1"/>
  <c r="AE889" i="1"/>
  <c r="AE869" i="1"/>
  <c r="AE737" i="1"/>
  <c r="AE601" i="1"/>
  <c r="AE597" i="1"/>
  <c r="AE594" i="1"/>
  <c r="AE572" i="1"/>
  <c r="AE535" i="1"/>
  <c r="AE281" i="1"/>
  <c r="AE267" i="1"/>
  <c r="AE149" i="1"/>
  <c r="AA149" i="1"/>
  <c r="AE143" i="1"/>
  <c r="AE110" i="1"/>
  <c r="AG886" i="1"/>
  <c r="AG881" i="1"/>
  <c r="AY886" i="1"/>
  <c r="AY881" i="1"/>
  <c r="AX886" i="1"/>
  <c r="AV886" i="1"/>
  <c r="AT886" i="1"/>
  <c r="AP886" i="1"/>
  <c r="AN886" i="1"/>
  <c r="AL886" i="1"/>
  <c r="AF886" i="1"/>
  <c r="AD886" i="1"/>
  <c r="AB886" i="1"/>
  <c r="Y886" i="1"/>
  <c r="X886" i="1"/>
  <c r="V886" i="1"/>
  <c r="T886" i="1"/>
  <c r="AX881" i="1"/>
  <c r="AV881" i="1"/>
  <c r="AT881" i="1"/>
  <c r="AP881" i="1"/>
  <c r="AN881" i="1"/>
  <c r="AL881" i="1"/>
  <c r="AF881" i="1"/>
  <c r="AD881" i="1"/>
  <c r="AB881" i="1"/>
  <c r="Y881" i="1"/>
  <c r="X881" i="1"/>
  <c r="V881" i="1"/>
  <c r="T881" i="1"/>
  <c r="AY787" i="1"/>
  <c r="AX787" i="1"/>
  <c r="AV787" i="1"/>
  <c r="AT787" i="1"/>
  <c r="AQ787" i="1"/>
  <c r="AP787" i="1"/>
  <c r="AN787" i="1"/>
  <c r="AL787" i="1"/>
  <c r="AG787" i="1"/>
  <c r="AF787" i="1"/>
  <c r="AD787" i="1"/>
  <c r="AB787" i="1"/>
  <c r="X787" i="1"/>
  <c r="V787" i="1"/>
  <c r="AG788" i="1"/>
  <c r="AY785" i="1"/>
  <c r="AX785" i="1"/>
  <c r="AV785" i="1"/>
  <c r="AT785" i="1"/>
  <c r="AQ785" i="1"/>
  <c r="AP785" i="1"/>
  <c r="AN785" i="1"/>
  <c r="AL785" i="1"/>
  <c r="AG785" i="1"/>
  <c r="AF785" i="1"/>
  <c r="AD785" i="1"/>
  <c r="AB785" i="1"/>
  <c r="X785" i="1"/>
  <c r="V785" i="1"/>
  <c r="AX786" i="1"/>
  <c r="AV786" i="1"/>
  <c r="AT786" i="1"/>
  <c r="AQ786" i="1"/>
  <c r="AP786" i="1"/>
  <c r="AN786" i="1"/>
  <c r="AL786" i="1"/>
  <c r="AG786" i="1"/>
  <c r="AF786" i="1"/>
  <c r="AD786" i="1"/>
  <c r="AB786" i="1"/>
  <c r="X786" i="1"/>
  <c r="V786" i="1"/>
  <c r="AF693" i="1"/>
  <c r="AG360" i="1"/>
  <c r="AX360" i="1"/>
  <c r="AV360" i="1"/>
  <c r="AT360" i="1"/>
  <c r="AP360" i="1"/>
  <c r="AN360" i="1"/>
  <c r="AL360" i="1"/>
  <c r="AF360" i="1"/>
  <c r="AD360" i="1"/>
  <c r="AB360" i="1"/>
  <c r="X360" i="1"/>
  <c r="V360" i="1"/>
  <c r="BA786" i="1" l="1"/>
  <c r="AZ785" i="1"/>
  <c r="AH360" i="1"/>
  <c r="BA787" i="1"/>
  <c r="AZ787" i="1"/>
  <c r="BA886" i="1"/>
  <c r="AI886" i="1"/>
  <c r="AI881" i="1"/>
  <c r="BA785" i="1"/>
  <c r="AR787" i="1"/>
  <c r="AR785" i="1"/>
  <c r="BA360" i="1"/>
  <c r="BA881" i="1"/>
  <c r="AZ881" i="1"/>
  <c r="AH881" i="1"/>
  <c r="AZ886" i="1"/>
  <c r="AR881" i="1"/>
  <c r="Z881" i="1"/>
  <c r="AH886" i="1"/>
  <c r="AR886" i="1"/>
  <c r="AZ169" i="1"/>
  <c r="BA294" i="1"/>
  <c r="BA169" i="1"/>
  <c r="BA308" i="1"/>
  <c r="AR294" i="1"/>
  <c r="AZ294" i="1"/>
  <c r="AH169" i="1"/>
  <c r="AR169" i="1"/>
  <c r="AH294" i="1"/>
  <c r="AR308" i="1"/>
  <c r="AZ308" i="1"/>
  <c r="AH308" i="1"/>
  <c r="Z886" i="1"/>
  <c r="AH787" i="1"/>
  <c r="AR786" i="1"/>
  <c r="AZ786" i="1"/>
  <c r="AH785" i="1"/>
  <c r="AR360" i="1"/>
  <c r="AZ360" i="1"/>
  <c r="AH786" i="1"/>
  <c r="Q886" i="1" l="1"/>
  <c r="BB785" i="1"/>
  <c r="BB787" i="1"/>
  <c r="AJ881" i="1"/>
  <c r="BB169" i="1"/>
  <c r="BB881" i="1"/>
  <c r="BB886" i="1"/>
  <c r="Q881" i="1"/>
  <c r="AJ886" i="1"/>
  <c r="BB294" i="1"/>
  <c r="BB308" i="1"/>
  <c r="BB786" i="1"/>
  <c r="BB360" i="1"/>
  <c r="R881" i="1" l="1"/>
  <c r="R886" i="1"/>
  <c r="AY848" i="1" l="1"/>
  <c r="AX848" i="1"/>
  <c r="AV848" i="1"/>
  <c r="AT848" i="1"/>
  <c r="AQ848" i="1"/>
  <c r="AP848" i="1"/>
  <c r="AN848" i="1"/>
  <c r="AL848" i="1"/>
  <c r="AG848" i="1"/>
  <c r="AF848" i="1"/>
  <c r="AD848" i="1"/>
  <c r="AB848" i="1"/>
  <c r="X848" i="1"/>
  <c r="V848" i="1"/>
  <c r="AY849" i="1"/>
  <c r="AX849" i="1"/>
  <c r="AV849" i="1"/>
  <c r="AT849" i="1"/>
  <c r="AQ849" i="1"/>
  <c r="AP849" i="1"/>
  <c r="AN849" i="1"/>
  <c r="AL849" i="1"/>
  <c r="AG849" i="1"/>
  <c r="AF849" i="1"/>
  <c r="AD849" i="1"/>
  <c r="AB849" i="1"/>
  <c r="X849" i="1"/>
  <c r="V849" i="1"/>
  <c r="AZ848" i="1" l="1"/>
  <c r="BA848" i="1"/>
  <c r="BA849" i="1"/>
  <c r="AR849" i="1"/>
  <c r="AR848" i="1"/>
  <c r="AH848" i="1"/>
  <c r="AH849" i="1"/>
  <c r="AZ849" i="1"/>
  <c r="BB849" i="1" l="1"/>
  <c r="BB848" i="1"/>
  <c r="AG830" i="1" l="1"/>
  <c r="AY830" i="1"/>
  <c r="AX830" i="1"/>
  <c r="AV830" i="1"/>
  <c r="AT830" i="1"/>
  <c r="AQ830" i="1"/>
  <c r="AP830" i="1"/>
  <c r="AN830" i="1"/>
  <c r="AL830" i="1"/>
  <c r="AF830" i="1"/>
  <c r="AD830" i="1"/>
  <c r="AB830" i="1"/>
  <c r="Y830" i="1"/>
  <c r="X830" i="1"/>
  <c r="V830" i="1"/>
  <c r="T830" i="1"/>
  <c r="AY1105" i="1"/>
  <c r="AX1105" i="1"/>
  <c r="AV1105" i="1"/>
  <c r="AT1105" i="1"/>
  <c r="AQ1105" i="1"/>
  <c r="AP1105" i="1"/>
  <c r="AN1105" i="1"/>
  <c r="AL1105" i="1"/>
  <c r="AG1105" i="1"/>
  <c r="AF1105" i="1"/>
  <c r="AD1105" i="1"/>
  <c r="AB1105" i="1"/>
  <c r="X1105" i="1"/>
  <c r="V1105" i="1"/>
  <c r="T1105" i="1"/>
  <c r="AY584" i="1"/>
  <c r="AQ584" i="1"/>
  <c r="AG584" i="1"/>
  <c r="AX584" i="1"/>
  <c r="AV584" i="1"/>
  <c r="AT584" i="1"/>
  <c r="AP584" i="1"/>
  <c r="AN584" i="1"/>
  <c r="AL584" i="1"/>
  <c r="AF584" i="1"/>
  <c r="AD584" i="1"/>
  <c r="AB584" i="1"/>
  <c r="Y584" i="1"/>
  <c r="X584" i="1"/>
  <c r="V584" i="1"/>
  <c r="T584" i="1"/>
  <c r="BA584" i="1" l="1"/>
  <c r="AH584" i="1"/>
  <c r="AI584" i="1"/>
  <c r="Z584" i="1"/>
  <c r="AH1105" i="1"/>
  <c r="BA830" i="1"/>
  <c r="AI1105" i="1"/>
  <c r="AI830" i="1"/>
  <c r="AR1105" i="1"/>
  <c r="Z1105" i="1"/>
  <c r="AZ1105" i="1"/>
  <c r="BA1105" i="1"/>
  <c r="AR830" i="1"/>
  <c r="AZ830" i="1"/>
  <c r="AZ584" i="1"/>
  <c r="AH830" i="1"/>
  <c r="Z830" i="1"/>
  <c r="AR584" i="1"/>
  <c r="AQ1135" i="1"/>
  <c r="AQ1122" i="1"/>
  <c r="AY74" i="1"/>
  <c r="AX74" i="1"/>
  <c r="AV74" i="1"/>
  <c r="AT74" i="1"/>
  <c r="AQ74" i="1"/>
  <c r="AP74" i="1"/>
  <c r="AN74" i="1"/>
  <c r="AL74" i="1"/>
  <c r="AG74" i="1"/>
  <c r="AF74" i="1"/>
  <c r="AD74" i="1"/>
  <c r="AB74" i="1"/>
  <c r="X74" i="1"/>
  <c r="V74" i="1"/>
  <c r="AG878" i="1"/>
  <c r="AQ878" i="1"/>
  <c r="AY878" i="1"/>
  <c r="AX878" i="1"/>
  <c r="AV878" i="1"/>
  <c r="AT878" i="1"/>
  <c r="AP878" i="1"/>
  <c r="AN878" i="1"/>
  <c r="AL878" i="1"/>
  <c r="AF878" i="1"/>
  <c r="AD878" i="1"/>
  <c r="AB878" i="1"/>
  <c r="Y878" i="1"/>
  <c r="X878" i="1"/>
  <c r="V878" i="1"/>
  <c r="T878" i="1"/>
  <c r="AG651" i="1"/>
  <c r="AY651" i="1"/>
  <c r="AX651" i="1"/>
  <c r="AV651" i="1"/>
  <c r="AT651" i="1"/>
  <c r="AQ651" i="1"/>
  <c r="AP651" i="1"/>
  <c r="AN651" i="1"/>
  <c r="AL651" i="1"/>
  <c r="AF651" i="1"/>
  <c r="AD651" i="1"/>
  <c r="AB651" i="1"/>
  <c r="Y651" i="1"/>
  <c r="X651" i="1"/>
  <c r="V651" i="1"/>
  <c r="T651" i="1"/>
  <c r="AY706" i="1"/>
  <c r="AX706" i="1"/>
  <c r="AV706" i="1"/>
  <c r="AT706" i="1"/>
  <c r="AQ706" i="1"/>
  <c r="AP706" i="1"/>
  <c r="AN706" i="1"/>
  <c r="AL706" i="1"/>
  <c r="AG706" i="1"/>
  <c r="AF706" i="1"/>
  <c r="AD706" i="1"/>
  <c r="AB706" i="1"/>
  <c r="Y706" i="1"/>
  <c r="X706" i="1"/>
  <c r="V706" i="1"/>
  <c r="T706" i="1"/>
  <c r="AY707" i="1"/>
  <c r="AX707" i="1"/>
  <c r="AV707" i="1"/>
  <c r="AT707" i="1"/>
  <c r="AQ707" i="1"/>
  <c r="AP707" i="1"/>
  <c r="AN707" i="1"/>
  <c r="AL707" i="1"/>
  <c r="AG707" i="1"/>
  <c r="AF707" i="1"/>
  <c r="AD707" i="1"/>
  <c r="AB707" i="1"/>
  <c r="Y707" i="1"/>
  <c r="X707" i="1"/>
  <c r="V707" i="1"/>
  <c r="T707" i="1"/>
  <c r="AG825" i="1"/>
  <c r="AG827" i="1"/>
  <c r="AY825" i="1"/>
  <c r="AQ825" i="1"/>
  <c r="AY827" i="1"/>
  <c r="AQ827" i="1"/>
  <c r="AY828" i="1"/>
  <c r="AX828" i="1"/>
  <c r="AV828" i="1"/>
  <c r="AT828" i="1"/>
  <c r="AQ828" i="1"/>
  <c r="AP828" i="1"/>
  <c r="AN828" i="1"/>
  <c r="AL828" i="1"/>
  <c r="AG828" i="1"/>
  <c r="AF828" i="1"/>
  <c r="AD828" i="1"/>
  <c r="AB828" i="1"/>
  <c r="Y828" i="1"/>
  <c r="X828" i="1"/>
  <c r="V828" i="1"/>
  <c r="T828" i="1"/>
  <c r="AX825" i="1"/>
  <c r="AV825" i="1"/>
  <c r="AT825" i="1"/>
  <c r="AP825" i="1"/>
  <c r="AN825" i="1"/>
  <c r="AL825" i="1"/>
  <c r="AF825" i="1"/>
  <c r="AD825" i="1"/>
  <c r="AB825" i="1"/>
  <c r="Y825" i="1"/>
  <c r="X825" i="1"/>
  <c r="V825" i="1"/>
  <c r="T825" i="1"/>
  <c r="AQ1283" i="1"/>
  <c r="AQ1217" i="1"/>
  <c r="AQ1215" i="1"/>
  <c r="AQ1206" i="1"/>
  <c r="AQ1202" i="1"/>
  <c r="AQ1157" i="1"/>
  <c r="AQ1198" i="1"/>
  <c r="AQ1194" i="1"/>
  <c r="AG1217" i="1"/>
  <c r="BB584" i="1" l="1"/>
  <c r="Q830" i="1"/>
  <c r="AJ584" i="1"/>
  <c r="AJ1105" i="1"/>
  <c r="Q584" i="1"/>
  <c r="BB1105" i="1"/>
  <c r="AI825" i="1"/>
  <c r="BA651" i="1"/>
  <c r="BA707" i="1"/>
  <c r="BA706" i="1"/>
  <c r="Q1105" i="1"/>
  <c r="BB830" i="1"/>
  <c r="BA74" i="1"/>
  <c r="AJ830" i="1"/>
  <c r="AI878" i="1"/>
  <c r="AZ74" i="1"/>
  <c r="AH74" i="1"/>
  <c r="AR74" i="1"/>
  <c r="AI706" i="1"/>
  <c r="AZ825" i="1"/>
  <c r="BA825" i="1"/>
  <c r="AZ878" i="1"/>
  <c r="Z825" i="1"/>
  <c r="AZ706" i="1"/>
  <c r="Z878" i="1"/>
  <c r="AH878" i="1"/>
  <c r="BA878" i="1"/>
  <c r="AR878" i="1"/>
  <c r="BA828" i="1"/>
  <c r="AI707" i="1"/>
  <c r="Z651" i="1"/>
  <c r="AI651" i="1"/>
  <c r="AR707" i="1"/>
  <c r="AZ707" i="1"/>
  <c r="AH651" i="1"/>
  <c r="AR706" i="1"/>
  <c r="AR651" i="1"/>
  <c r="AZ651" i="1"/>
  <c r="AH706" i="1"/>
  <c r="Z706" i="1"/>
  <c r="Z707" i="1"/>
  <c r="AH707" i="1"/>
  <c r="AH825" i="1"/>
  <c r="AI828" i="1"/>
  <c r="AR828" i="1"/>
  <c r="AZ828" i="1"/>
  <c r="AR825" i="1"/>
  <c r="AH828" i="1"/>
  <c r="Z828" i="1"/>
  <c r="AJ825" i="1" l="1"/>
  <c r="R1105" i="1"/>
  <c r="R830" i="1"/>
  <c r="AJ651" i="1"/>
  <c r="R584" i="1"/>
  <c r="Q878" i="1"/>
  <c r="Q707" i="1"/>
  <c r="Q651" i="1"/>
  <c r="Q706" i="1"/>
  <c r="Q825" i="1"/>
  <c r="BB878" i="1"/>
  <c r="BB706" i="1"/>
  <c r="BB74" i="1"/>
  <c r="AJ878" i="1"/>
  <c r="BB825" i="1"/>
  <c r="Q828" i="1"/>
  <c r="BB651" i="1"/>
  <c r="BB707" i="1"/>
  <c r="BB828" i="1"/>
  <c r="AJ707" i="1"/>
  <c r="AJ706" i="1"/>
  <c r="AJ828" i="1"/>
  <c r="R825" i="1" l="1"/>
  <c r="R651" i="1"/>
  <c r="R878" i="1"/>
  <c r="R706" i="1"/>
  <c r="R828" i="1"/>
  <c r="R707" i="1"/>
  <c r="AX1217" i="1" l="1"/>
  <c r="AV1217" i="1"/>
  <c r="AT1217" i="1"/>
  <c r="BA1217" i="1"/>
  <c r="AP1217" i="1"/>
  <c r="AN1217" i="1"/>
  <c r="AL1217" i="1"/>
  <c r="AF1217" i="1"/>
  <c r="AD1217" i="1"/>
  <c r="AB1217" i="1"/>
  <c r="Y1217" i="1"/>
  <c r="X1217" i="1"/>
  <c r="V1217" i="1"/>
  <c r="T1217" i="1"/>
  <c r="AX1202" i="1"/>
  <c r="AV1202" i="1"/>
  <c r="AT1202" i="1"/>
  <c r="AP1202" i="1"/>
  <c r="AN1202" i="1"/>
  <c r="AL1202" i="1"/>
  <c r="AG1202" i="1"/>
  <c r="AF1202" i="1"/>
  <c r="AD1202" i="1"/>
  <c r="AB1202" i="1"/>
  <c r="Y1202" i="1"/>
  <c r="X1202" i="1"/>
  <c r="V1202" i="1"/>
  <c r="T1202" i="1"/>
  <c r="AY1194" i="1"/>
  <c r="AX1194" i="1"/>
  <c r="AV1194" i="1"/>
  <c r="AT1194" i="1"/>
  <c r="AP1194" i="1"/>
  <c r="AN1194" i="1"/>
  <c r="AL1194" i="1"/>
  <c r="AG1194" i="1"/>
  <c r="AF1194" i="1"/>
  <c r="AD1194" i="1"/>
  <c r="AB1194" i="1"/>
  <c r="Y1194" i="1"/>
  <c r="X1194" i="1"/>
  <c r="V1194" i="1"/>
  <c r="T1194" i="1"/>
  <c r="AG1122" i="1"/>
  <c r="AX1122" i="1"/>
  <c r="AV1122" i="1"/>
  <c r="AT1122" i="1"/>
  <c r="BA1122" i="1"/>
  <c r="AP1122" i="1"/>
  <c r="AN1122" i="1"/>
  <c r="AL1122" i="1"/>
  <c r="AF1122" i="1"/>
  <c r="AD1122" i="1"/>
  <c r="AB1122" i="1"/>
  <c r="Y1122" i="1"/>
  <c r="X1122" i="1"/>
  <c r="V1122" i="1"/>
  <c r="T1122" i="1"/>
  <c r="AQ1048" i="1"/>
  <c r="AG1048" i="1"/>
  <c r="AY1048" i="1"/>
  <c r="AX1048" i="1"/>
  <c r="AV1048" i="1"/>
  <c r="AT1048" i="1"/>
  <c r="AP1048" i="1"/>
  <c r="AN1048" i="1"/>
  <c r="AL1048" i="1"/>
  <c r="AF1048" i="1"/>
  <c r="AD1048" i="1"/>
  <c r="AB1048" i="1"/>
  <c r="Y1048" i="1"/>
  <c r="X1048" i="1"/>
  <c r="V1048" i="1"/>
  <c r="T1048" i="1"/>
  <c r="BA1202" i="1" l="1"/>
  <c r="AI1217" i="1"/>
  <c r="BA1194" i="1"/>
  <c r="AI1194" i="1"/>
  <c r="BA1048" i="1"/>
  <c r="AI1122" i="1"/>
  <c r="AH1202" i="1"/>
  <c r="AH1217" i="1"/>
  <c r="AH1048" i="1"/>
  <c r="Z1194" i="1"/>
  <c r="AI1202" i="1"/>
  <c r="AR1217" i="1"/>
  <c r="AZ1217" i="1"/>
  <c r="Z1048" i="1"/>
  <c r="AH1194" i="1"/>
  <c r="AR1194" i="1"/>
  <c r="Z1202" i="1"/>
  <c r="AR1202" i="1"/>
  <c r="Z1217" i="1"/>
  <c r="AZ1202" i="1"/>
  <c r="AZ1194" i="1"/>
  <c r="AR1048" i="1"/>
  <c r="AZ1048" i="1"/>
  <c r="AR1122" i="1"/>
  <c r="AZ1122" i="1"/>
  <c r="AH1122" i="1"/>
  <c r="Z1122" i="1"/>
  <c r="AI1048" i="1"/>
  <c r="AJ1202" i="1" l="1"/>
  <c r="Q1217" i="1"/>
  <c r="Q1122" i="1"/>
  <c r="Q1194" i="1"/>
  <c r="Q1048" i="1"/>
  <c r="Q1202" i="1"/>
  <c r="AJ1217" i="1"/>
  <c r="BB1202" i="1"/>
  <c r="AJ1048" i="1"/>
  <c r="AJ1194" i="1"/>
  <c r="BB1217" i="1"/>
  <c r="BB1122" i="1"/>
  <c r="BB1194" i="1"/>
  <c r="BB1048" i="1"/>
  <c r="AJ1122" i="1"/>
  <c r="BA827" i="1"/>
  <c r="AX827" i="1"/>
  <c r="AV827" i="1"/>
  <c r="AT827" i="1"/>
  <c r="AP827" i="1"/>
  <c r="AN827" i="1"/>
  <c r="AL827" i="1"/>
  <c r="AF827" i="1"/>
  <c r="AD827" i="1"/>
  <c r="AB827" i="1"/>
  <c r="Y827" i="1"/>
  <c r="X827" i="1"/>
  <c r="V827" i="1"/>
  <c r="T827" i="1"/>
  <c r="AG1208" i="1"/>
  <c r="AY1213" i="1"/>
  <c r="AX1213" i="1"/>
  <c r="AV1213" i="1"/>
  <c r="AT1213" i="1"/>
  <c r="AQ1213" i="1"/>
  <c r="AP1213" i="1"/>
  <c r="AN1213" i="1"/>
  <c r="AL1213" i="1"/>
  <c r="AG1213" i="1"/>
  <c r="AF1213" i="1"/>
  <c r="AD1213" i="1"/>
  <c r="AB1213" i="1"/>
  <c r="Y1213" i="1"/>
  <c r="X1213" i="1"/>
  <c r="V1213" i="1"/>
  <c r="T1213" i="1"/>
  <c r="AX1215" i="1"/>
  <c r="AV1215" i="1"/>
  <c r="AT1215" i="1"/>
  <c r="AP1215" i="1"/>
  <c r="AN1215" i="1"/>
  <c r="AL1215" i="1"/>
  <c r="AF1215" i="1"/>
  <c r="AD1215" i="1"/>
  <c r="AB1215" i="1"/>
  <c r="Y1215" i="1"/>
  <c r="X1215" i="1"/>
  <c r="V1215" i="1"/>
  <c r="T1215" i="1"/>
  <c r="R1217" i="1" l="1"/>
  <c r="R1202" i="1"/>
  <c r="BA1215" i="1"/>
  <c r="BA1213" i="1"/>
  <c r="AI1215" i="1"/>
  <c r="AI827" i="1"/>
  <c r="R1194" i="1"/>
  <c r="R1048" i="1"/>
  <c r="Z1215" i="1"/>
  <c r="AZ827" i="1"/>
  <c r="Z1213" i="1"/>
  <c r="AR1213" i="1"/>
  <c r="AZ1213" i="1"/>
  <c r="Z827" i="1"/>
  <c r="AH827" i="1"/>
  <c r="AR827" i="1"/>
  <c r="R1122" i="1"/>
  <c r="AI1213" i="1"/>
  <c r="AR1215" i="1"/>
  <c r="AZ1215" i="1"/>
  <c r="AH1215" i="1"/>
  <c r="AH1213" i="1"/>
  <c r="Q827" i="1" l="1"/>
  <c r="AJ1215" i="1"/>
  <c r="Q1215" i="1"/>
  <c r="Q1213" i="1"/>
  <c r="AJ827" i="1"/>
  <c r="AJ1213" i="1"/>
  <c r="BB827" i="1"/>
  <c r="BB1213" i="1"/>
  <c r="BB1215" i="1"/>
  <c r="AY1135" i="1"/>
  <c r="AY1157" i="1"/>
  <c r="AY1198" i="1"/>
  <c r="AY1204" i="1"/>
  <c r="AX1204" i="1"/>
  <c r="AV1204" i="1"/>
  <c r="AT1204" i="1"/>
  <c r="AQ1204" i="1"/>
  <c r="AP1204" i="1"/>
  <c r="AN1204" i="1"/>
  <c r="AL1204" i="1"/>
  <c r="AG1204" i="1"/>
  <c r="AF1204" i="1"/>
  <c r="AD1204" i="1"/>
  <c r="AB1204" i="1"/>
  <c r="Y1204" i="1"/>
  <c r="X1204" i="1"/>
  <c r="V1204" i="1"/>
  <c r="T1204" i="1"/>
  <c r="AX1206" i="1"/>
  <c r="AV1206" i="1"/>
  <c r="AT1206" i="1"/>
  <c r="AP1206" i="1"/>
  <c r="AN1206" i="1"/>
  <c r="AL1206" i="1"/>
  <c r="AG1206" i="1"/>
  <c r="AF1206" i="1"/>
  <c r="AD1206" i="1"/>
  <c r="AB1206" i="1"/>
  <c r="Y1206" i="1"/>
  <c r="X1206" i="1"/>
  <c r="V1206" i="1"/>
  <c r="T1206" i="1"/>
  <c r="R1213" i="1" l="1"/>
  <c r="R1215" i="1"/>
  <c r="BA1206" i="1"/>
  <c r="BA1204" i="1"/>
  <c r="R827" i="1"/>
  <c r="AI1204" i="1"/>
  <c r="AI1206" i="1"/>
  <c r="Z1204" i="1"/>
  <c r="AH1204" i="1"/>
  <c r="AR1204" i="1"/>
  <c r="AZ1204" i="1"/>
  <c r="Z1206" i="1"/>
  <c r="AZ1206" i="1"/>
  <c r="AR1206" i="1"/>
  <c r="AH1206" i="1"/>
  <c r="Q1206" i="1" l="1"/>
  <c r="Q1204" i="1"/>
  <c r="AJ1206" i="1"/>
  <c r="AJ1204" i="1"/>
  <c r="BB1204" i="1"/>
  <c r="BB1206" i="1"/>
  <c r="AX1196" i="1"/>
  <c r="AV1196" i="1"/>
  <c r="AT1196" i="1"/>
  <c r="AP1196" i="1"/>
  <c r="AN1196" i="1"/>
  <c r="AL1196" i="1"/>
  <c r="AG1196" i="1"/>
  <c r="AF1196" i="1"/>
  <c r="AD1196" i="1"/>
  <c r="AB1196" i="1"/>
  <c r="Y1196" i="1"/>
  <c r="X1196" i="1"/>
  <c r="V1196" i="1"/>
  <c r="T1196" i="1"/>
  <c r="BA1198" i="1"/>
  <c r="AX1198" i="1"/>
  <c r="AV1198" i="1"/>
  <c r="AT1198" i="1"/>
  <c r="AP1198" i="1"/>
  <c r="AN1198" i="1"/>
  <c r="AL1198" i="1"/>
  <c r="AG1198" i="1"/>
  <c r="AF1198" i="1"/>
  <c r="AD1198" i="1"/>
  <c r="AB1198" i="1"/>
  <c r="Y1198" i="1"/>
  <c r="X1198" i="1"/>
  <c r="V1198" i="1"/>
  <c r="T1198" i="1"/>
  <c r="AG1283" i="1"/>
  <c r="AX1283" i="1"/>
  <c r="AV1283" i="1"/>
  <c r="AT1283" i="1"/>
  <c r="BA1283" i="1"/>
  <c r="AP1283" i="1"/>
  <c r="AN1283" i="1"/>
  <c r="AL1283" i="1"/>
  <c r="AF1283" i="1"/>
  <c r="AD1283" i="1"/>
  <c r="AB1283" i="1"/>
  <c r="X1283" i="1"/>
  <c r="V1283" i="1"/>
  <c r="T1283" i="1"/>
  <c r="Y1157" i="1"/>
  <c r="BA1157" i="1"/>
  <c r="AX1157" i="1"/>
  <c r="AV1157" i="1"/>
  <c r="AT1157" i="1"/>
  <c r="AP1157" i="1"/>
  <c r="AN1157" i="1"/>
  <c r="AL1157" i="1"/>
  <c r="AG1157" i="1"/>
  <c r="AF1157" i="1"/>
  <c r="AD1157" i="1"/>
  <c r="AB1157" i="1"/>
  <c r="X1157" i="1"/>
  <c r="V1157" i="1"/>
  <c r="T1157" i="1"/>
  <c r="AG1135" i="1"/>
  <c r="Y1135" i="1"/>
  <c r="AX1135" i="1"/>
  <c r="AV1135" i="1"/>
  <c r="AT1135" i="1"/>
  <c r="BA1135" i="1"/>
  <c r="AP1135" i="1"/>
  <c r="AN1135" i="1"/>
  <c r="AL1135" i="1"/>
  <c r="AF1135" i="1"/>
  <c r="AD1135" i="1"/>
  <c r="AB1135" i="1"/>
  <c r="X1135" i="1"/>
  <c r="V1135" i="1"/>
  <c r="T1135" i="1"/>
  <c r="AB949" i="1"/>
  <c r="AY949" i="1"/>
  <c r="AX949" i="1"/>
  <c r="AV949" i="1"/>
  <c r="AT949" i="1"/>
  <c r="AQ949" i="1"/>
  <c r="AP949" i="1"/>
  <c r="AN949" i="1"/>
  <c r="AL949" i="1"/>
  <c r="AG949" i="1"/>
  <c r="AF949" i="1"/>
  <c r="AD949" i="1"/>
  <c r="Y949" i="1"/>
  <c r="X949" i="1"/>
  <c r="V949" i="1"/>
  <c r="T949" i="1"/>
  <c r="AG514" i="1"/>
  <c r="AY514" i="1"/>
  <c r="AX514" i="1"/>
  <c r="AV514" i="1"/>
  <c r="AT514" i="1"/>
  <c r="AQ514" i="1"/>
  <c r="AP514" i="1"/>
  <c r="AN514" i="1"/>
  <c r="AL514" i="1"/>
  <c r="AF514" i="1"/>
  <c r="AD514" i="1"/>
  <c r="AB514" i="1"/>
  <c r="X514" i="1"/>
  <c r="V514" i="1"/>
  <c r="AG515" i="1"/>
  <c r="AG510" i="1"/>
  <c r="AR949" i="1" l="1"/>
  <c r="AZ1283" i="1"/>
  <c r="BA1196" i="1"/>
  <c r="AI1157" i="1"/>
  <c r="AI1283" i="1"/>
  <c r="Z1196" i="1"/>
  <c r="AZ1196" i="1"/>
  <c r="AR1283" i="1"/>
  <c r="R1206" i="1"/>
  <c r="BA514" i="1"/>
  <c r="AR1196" i="1"/>
  <c r="BA949" i="1"/>
  <c r="AI949" i="1"/>
  <c r="Z1135" i="1"/>
  <c r="Z1283" i="1"/>
  <c r="AI1135" i="1"/>
  <c r="R1204" i="1"/>
  <c r="AI1198" i="1"/>
  <c r="AH1283" i="1"/>
  <c r="AI1196" i="1"/>
  <c r="AH949" i="1"/>
  <c r="Z949" i="1"/>
  <c r="AZ949" i="1"/>
  <c r="AR1198" i="1"/>
  <c r="AZ1198" i="1"/>
  <c r="AH1196" i="1"/>
  <c r="Z1198" i="1"/>
  <c r="AH1198" i="1"/>
  <c r="AH1157" i="1"/>
  <c r="AR1157" i="1"/>
  <c r="AZ1157" i="1"/>
  <c r="AR1135" i="1"/>
  <c r="AZ1135" i="1"/>
  <c r="Z1157" i="1"/>
  <c r="AH1135" i="1"/>
  <c r="AH514" i="1"/>
  <c r="AR514" i="1"/>
  <c r="AZ514" i="1"/>
  <c r="AY855" i="1"/>
  <c r="AG855" i="1"/>
  <c r="AJ1283" i="1" l="1"/>
  <c r="BB1283" i="1"/>
  <c r="AJ1196" i="1"/>
  <c r="AJ949" i="1"/>
  <c r="Q1157" i="1"/>
  <c r="Q1283" i="1"/>
  <c r="Q1196" i="1"/>
  <c r="BB1196" i="1"/>
  <c r="Q1135" i="1"/>
  <c r="Q1198" i="1"/>
  <c r="Q949" i="1"/>
  <c r="AJ1135" i="1"/>
  <c r="AJ1198" i="1"/>
  <c r="BB949" i="1"/>
  <c r="AJ1157" i="1"/>
  <c r="BB1198" i="1"/>
  <c r="BB1157" i="1"/>
  <c r="BB1135" i="1"/>
  <c r="BB514" i="1"/>
  <c r="R1283" i="1" l="1"/>
  <c r="R1196" i="1"/>
  <c r="R949" i="1"/>
  <c r="R1135" i="1"/>
  <c r="R1198" i="1"/>
  <c r="R1157" i="1"/>
  <c r="AX855" i="1"/>
  <c r="AV855" i="1"/>
  <c r="AT855" i="1"/>
  <c r="AQ855" i="1"/>
  <c r="AP855" i="1"/>
  <c r="AN855" i="1"/>
  <c r="AL855" i="1"/>
  <c r="AF855" i="1"/>
  <c r="AD855" i="1"/>
  <c r="AB855" i="1"/>
  <c r="X855" i="1"/>
  <c r="V855" i="1"/>
  <c r="AY800" i="1"/>
  <c r="AX800" i="1"/>
  <c r="AV800" i="1"/>
  <c r="AT800" i="1"/>
  <c r="AQ800" i="1"/>
  <c r="AP800" i="1"/>
  <c r="AN800" i="1"/>
  <c r="AL800" i="1"/>
  <c r="AG800" i="1"/>
  <c r="AF800" i="1"/>
  <c r="AD800" i="1"/>
  <c r="AB800" i="1"/>
  <c r="X800" i="1"/>
  <c r="V800" i="1"/>
  <c r="AY801" i="1"/>
  <c r="AX801" i="1"/>
  <c r="AV801" i="1"/>
  <c r="AT801" i="1"/>
  <c r="AQ801" i="1"/>
  <c r="AP801" i="1"/>
  <c r="AN801" i="1"/>
  <c r="AL801" i="1"/>
  <c r="AG801" i="1"/>
  <c r="AF801" i="1"/>
  <c r="AD801" i="1"/>
  <c r="AB801" i="1"/>
  <c r="X801" i="1"/>
  <c r="V801" i="1"/>
  <c r="AX510" i="1"/>
  <c r="AV510" i="1"/>
  <c r="AT510" i="1"/>
  <c r="AP510" i="1"/>
  <c r="AN510" i="1"/>
  <c r="AL510" i="1"/>
  <c r="AF510" i="1"/>
  <c r="AD510" i="1"/>
  <c r="AB510" i="1"/>
  <c r="X510" i="1"/>
  <c r="V510" i="1"/>
  <c r="AR510" i="1" l="1"/>
  <c r="BA800" i="1"/>
  <c r="BA855" i="1"/>
  <c r="BA510" i="1"/>
  <c r="BA801" i="1"/>
  <c r="AR800" i="1"/>
  <c r="AZ800" i="1"/>
  <c r="AH510" i="1"/>
  <c r="AH855" i="1"/>
  <c r="AR855" i="1"/>
  <c r="AZ855" i="1"/>
  <c r="AR801" i="1"/>
  <c r="AZ801" i="1"/>
  <c r="AH800" i="1"/>
  <c r="AH801" i="1"/>
  <c r="AZ510" i="1"/>
  <c r="BB800" i="1" l="1"/>
  <c r="BB855" i="1"/>
  <c r="BB801" i="1"/>
  <c r="BB510" i="1"/>
  <c r="AY1350" i="1" l="1"/>
  <c r="AX1350" i="1"/>
  <c r="AV1350" i="1"/>
  <c r="AT1350" i="1"/>
  <c r="AQ1350" i="1"/>
  <c r="AP1350" i="1"/>
  <c r="AN1350" i="1"/>
  <c r="AL1350" i="1"/>
  <c r="AG1350" i="1"/>
  <c r="AF1350" i="1"/>
  <c r="AD1350" i="1"/>
  <c r="AB1350" i="1"/>
  <c r="Y1350" i="1"/>
  <c r="X1350" i="1"/>
  <c r="V1350" i="1"/>
  <c r="T1350" i="1"/>
  <c r="BA1350" i="1" l="1"/>
  <c r="AI1350" i="1"/>
  <c r="Z1350" i="1"/>
  <c r="AR1350" i="1"/>
  <c r="AZ1350" i="1"/>
  <c r="AH1350" i="1"/>
  <c r="AY1352" i="1"/>
  <c r="AX1352" i="1"/>
  <c r="AV1352" i="1"/>
  <c r="AT1352" i="1"/>
  <c r="AQ1352" i="1"/>
  <c r="AP1352" i="1"/>
  <c r="AN1352" i="1"/>
  <c r="AL1352" i="1"/>
  <c r="AG1352" i="1"/>
  <c r="AF1352" i="1"/>
  <c r="AD1352" i="1"/>
  <c r="AB1352" i="1"/>
  <c r="Y1352" i="1"/>
  <c r="X1352" i="1"/>
  <c r="V1352" i="1"/>
  <c r="T1352" i="1"/>
  <c r="Q1350" i="1" l="1"/>
  <c r="BA1352" i="1"/>
  <c r="AI1352" i="1"/>
  <c r="AJ1350" i="1"/>
  <c r="BB1350" i="1"/>
  <c r="Z1352" i="1"/>
  <c r="AH1352" i="1"/>
  <c r="AR1352" i="1"/>
  <c r="AZ1352" i="1"/>
  <c r="Q1352" i="1" l="1"/>
  <c r="R1350" i="1"/>
  <c r="BB1352" i="1"/>
  <c r="AJ1352" i="1"/>
  <c r="R1352" i="1" l="1"/>
  <c r="AY804" i="1"/>
  <c r="AX804" i="1"/>
  <c r="AV804" i="1"/>
  <c r="AT804" i="1"/>
  <c r="AQ804" i="1"/>
  <c r="AP804" i="1"/>
  <c r="AN804" i="1"/>
  <c r="AL804" i="1"/>
  <c r="AG804" i="1"/>
  <c r="AF804" i="1"/>
  <c r="AD804" i="1"/>
  <c r="AB804" i="1"/>
  <c r="X804" i="1"/>
  <c r="V804" i="1"/>
  <c r="AY677" i="1"/>
  <c r="AX677" i="1"/>
  <c r="AV677" i="1"/>
  <c r="AT677" i="1"/>
  <c r="AQ677" i="1"/>
  <c r="AP677" i="1"/>
  <c r="AN677" i="1"/>
  <c r="AL677" i="1"/>
  <c r="AG677" i="1"/>
  <c r="AF677" i="1"/>
  <c r="AD677" i="1"/>
  <c r="AB677" i="1"/>
  <c r="Y677" i="1"/>
  <c r="X677" i="1"/>
  <c r="V677" i="1"/>
  <c r="T677" i="1"/>
  <c r="BA677" i="1" l="1"/>
  <c r="BA804" i="1"/>
  <c r="AI677" i="1"/>
  <c r="AR804" i="1"/>
  <c r="AZ804" i="1"/>
  <c r="AH804" i="1"/>
  <c r="Z677" i="1"/>
  <c r="AH677" i="1"/>
  <c r="AR677" i="1"/>
  <c r="AZ677" i="1"/>
  <c r="AY713" i="1"/>
  <c r="AX713" i="1"/>
  <c r="AV713" i="1"/>
  <c r="AT713" i="1"/>
  <c r="AQ713" i="1"/>
  <c r="AP713" i="1"/>
  <c r="AN713" i="1"/>
  <c r="AL713" i="1"/>
  <c r="AG713" i="1"/>
  <c r="AF713" i="1"/>
  <c r="AD713" i="1"/>
  <c r="AB713" i="1"/>
  <c r="Y713" i="1"/>
  <c r="X713" i="1"/>
  <c r="V713" i="1"/>
  <c r="T713" i="1"/>
  <c r="AY714" i="1"/>
  <c r="AX714" i="1"/>
  <c r="AV714" i="1"/>
  <c r="AT714" i="1"/>
  <c r="AQ714" i="1"/>
  <c r="AP714" i="1"/>
  <c r="AN714" i="1"/>
  <c r="AL714" i="1"/>
  <c r="AG714" i="1"/>
  <c r="AF714" i="1"/>
  <c r="AD714" i="1"/>
  <c r="AB714" i="1"/>
  <c r="Y714" i="1"/>
  <c r="X714" i="1"/>
  <c r="V714" i="1"/>
  <c r="T714" i="1"/>
  <c r="AY715" i="1"/>
  <c r="AX715" i="1"/>
  <c r="AV715" i="1"/>
  <c r="AT715" i="1"/>
  <c r="AQ715" i="1"/>
  <c r="AP715" i="1"/>
  <c r="AN715" i="1"/>
  <c r="AL715" i="1"/>
  <c r="AG715" i="1"/>
  <c r="AF715" i="1"/>
  <c r="AD715" i="1"/>
  <c r="AB715" i="1"/>
  <c r="Y715" i="1"/>
  <c r="X715" i="1"/>
  <c r="V715" i="1"/>
  <c r="T715" i="1"/>
  <c r="AY814" i="1"/>
  <c r="AX814" i="1"/>
  <c r="AV814" i="1"/>
  <c r="AT814" i="1"/>
  <c r="AQ814" i="1"/>
  <c r="AP814" i="1"/>
  <c r="AN814" i="1"/>
  <c r="AL814" i="1"/>
  <c r="AG814" i="1"/>
  <c r="AF814" i="1"/>
  <c r="AD814" i="1"/>
  <c r="AB814" i="1"/>
  <c r="Y814" i="1"/>
  <c r="X814" i="1"/>
  <c r="V814" i="1"/>
  <c r="T814" i="1"/>
  <c r="AY501" i="1"/>
  <c r="AX501" i="1"/>
  <c r="AV501" i="1"/>
  <c r="AT501" i="1"/>
  <c r="AQ501" i="1"/>
  <c r="AP501" i="1"/>
  <c r="AN501" i="1"/>
  <c r="AL501" i="1"/>
  <c r="AG501" i="1"/>
  <c r="AF501" i="1"/>
  <c r="AD501" i="1"/>
  <c r="AB501" i="1"/>
  <c r="X501" i="1"/>
  <c r="V501" i="1"/>
  <c r="Q677" i="1" l="1"/>
  <c r="BA714" i="1"/>
  <c r="BA501" i="1"/>
  <c r="BA814" i="1"/>
  <c r="BA715" i="1"/>
  <c r="AI714" i="1"/>
  <c r="AI713" i="1"/>
  <c r="AI715" i="1"/>
  <c r="BB804" i="1"/>
  <c r="AI814" i="1"/>
  <c r="BA713" i="1"/>
  <c r="BB677" i="1"/>
  <c r="AH501" i="1"/>
  <c r="AR501" i="1"/>
  <c r="AZ501" i="1"/>
  <c r="AH814" i="1"/>
  <c r="AR814" i="1"/>
  <c r="AZ814" i="1"/>
  <c r="AR715" i="1"/>
  <c r="AZ715" i="1"/>
  <c r="AH714" i="1"/>
  <c r="AR714" i="1"/>
  <c r="AZ714" i="1"/>
  <c r="AJ677" i="1"/>
  <c r="Z713" i="1"/>
  <c r="AH713" i="1"/>
  <c r="AR713" i="1"/>
  <c r="AZ713" i="1"/>
  <c r="Z714" i="1"/>
  <c r="Z715" i="1"/>
  <c r="AH715" i="1"/>
  <c r="Z814" i="1"/>
  <c r="AY853" i="1"/>
  <c r="AX853" i="1"/>
  <c r="AV853" i="1"/>
  <c r="AT853" i="1"/>
  <c r="AQ853" i="1"/>
  <c r="AP853" i="1"/>
  <c r="AN853" i="1"/>
  <c r="AL853" i="1"/>
  <c r="AG853" i="1"/>
  <c r="AF853" i="1"/>
  <c r="AD853" i="1"/>
  <c r="AB853" i="1"/>
  <c r="X853" i="1"/>
  <c r="V853" i="1"/>
  <c r="AY854" i="1"/>
  <c r="AX854" i="1"/>
  <c r="AV854" i="1"/>
  <c r="AT854" i="1"/>
  <c r="AQ854" i="1"/>
  <c r="AP854" i="1"/>
  <c r="AN854" i="1"/>
  <c r="AL854" i="1"/>
  <c r="AG854" i="1"/>
  <c r="AF854" i="1"/>
  <c r="AD854" i="1"/>
  <c r="AB854" i="1"/>
  <c r="X854" i="1"/>
  <c r="V854" i="1"/>
  <c r="AY857" i="1"/>
  <c r="AX857" i="1"/>
  <c r="AV857" i="1"/>
  <c r="AT857" i="1"/>
  <c r="AQ857" i="1"/>
  <c r="AP857" i="1"/>
  <c r="AN857" i="1"/>
  <c r="AL857" i="1"/>
  <c r="AG857" i="1"/>
  <c r="AF857" i="1"/>
  <c r="AD857" i="1"/>
  <c r="AB857" i="1"/>
  <c r="X857" i="1"/>
  <c r="V857" i="1"/>
  <c r="AY621" i="1"/>
  <c r="AX621" i="1"/>
  <c r="AV621" i="1"/>
  <c r="AT621" i="1"/>
  <c r="AQ621" i="1"/>
  <c r="AP621" i="1"/>
  <c r="AN621" i="1"/>
  <c r="AL621" i="1"/>
  <c r="AG621" i="1"/>
  <c r="AF621" i="1"/>
  <c r="AD621" i="1"/>
  <c r="AB621" i="1"/>
  <c r="X621" i="1"/>
  <c r="V621" i="1"/>
  <c r="AY516" i="1"/>
  <c r="AX516" i="1"/>
  <c r="AV516" i="1"/>
  <c r="AT516" i="1"/>
  <c r="AQ516" i="1"/>
  <c r="AP516" i="1"/>
  <c r="AN516" i="1"/>
  <c r="AL516" i="1"/>
  <c r="AG516" i="1"/>
  <c r="AF516" i="1"/>
  <c r="AD516" i="1"/>
  <c r="AB516" i="1"/>
  <c r="X516" i="1"/>
  <c r="V516" i="1"/>
  <c r="AX512" i="1"/>
  <c r="AV512" i="1"/>
  <c r="AT512" i="1"/>
  <c r="AQ512" i="1"/>
  <c r="AP512" i="1"/>
  <c r="AN512" i="1"/>
  <c r="AL512" i="1"/>
  <c r="AG512" i="1"/>
  <c r="AF512" i="1"/>
  <c r="AD512" i="1"/>
  <c r="AB512" i="1"/>
  <c r="X512" i="1"/>
  <c r="V512" i="1"/>
  <c r="AY513" i="1"/>
  <c r="AX513" i="1"/>
  <c r="AV513" i="1"/>
  <c r="AT513" i="1"/>
  <c r="AQ513" i="1"/>
  <c r="AP513" i="1"/>
  <c r="AN513" i="1"/>
  <c r="AL513" i="1"/>
  <c r="AG513" i="1"/>
  <c r="AF513" i="1"/>
  <c r="AD513" i="1"/>
  <c r="AB513" i="1"/>
  <c r="X513" i="1"/>
  <c r="V513" i="1"/>
  <c r="AR516" i="1" l="1"/>
  <c r="AZ516" i="1"/>
  <c r="BA854" i="1"/>
  <c r="Q715" i="1"/>
  <c r="Q714" i="1"/>
  <c r="BA621" i="1"/>
  <c r="BA857" i="1"/>
  <c r="BA853" i="1"/>
  <c r="Q814" i="1"/>
  <c r="R677" i="1"/>
  <c r="BA516" i="1"/>
  <c r="Q713" i="1"/>
  <c r="BA512" i="1"/>
  <c r="AJ814" i="1"/>
  <c r="BB713" i="1"/>
  <c r="BB814" i="1"/>
  <c r="AJ714" i="1"/>
  <c r="AH857" i="1"/>
  <c r="AR857" i="1"/>
  <c r="AZ857" i="1"/>
  <c r="AH854" i="1"/>
  <c r="AR854" i="1"/>
  <c r="AZ854" i="1"/>
  <c r="BB501" i="1"/>
  <c r="BB715" i="1"/>
  <c r="BA513" i="1"/>
  <c r="AJ713" i="1"/>
  <c r="BB714" i="1"/>
  <c r="AH621" i="1"/>
  <c r="AJ715" i="1"/>
  <c r="AH512" i="1"/>
  <c r="AR621" i="1"/>
  <c r="AZ621" i="1"/>
  <c r="AH853" i="1"/>
  <c r="AR512" i="1"/>
  <c r="AZ512" i="1"/>
  <c r="AR853" i="1"/>
  <c r="AZ853" i="1"/>
  <c r="AH516" i="1"/>
  <c r="AH513" i="1"/>
  <c r="AR513" i="1"/>
  <c r="AZ513" i="1"/>
  <c r="R714" i="1" l="1"/>
  <c r="R814" i="1"/>
  <c r="BB857" i="1"/>
  <c r="R713" i="1"/>
  <c r="R715" i="1"/>
  <c r="BB854" i="1"/>
  <c r="BB512" i="1"/>
  <c r="BB621" i="1"/>
  <c r="BB853" i="1"/>
  <c r="BB516" i="1"/>
  <c r="BB513" i="1"/>
  <c r="AY934" i="1" l="1"/>
  <c r="AX934" i="1"/>
  <c r="AV934" i="1"/>
  <c r="AT934" i="1"/>
  <c r="AQ934" i="1"/>
  <c r="AP934" i="1"/>
  <c r="AN934" i="1"/>
  <c r="AL934" i="1"/>
  <c r="AG934" i="1"/>
  <c r="AD934" i="1"/>
  <c r="AB934" i="1"/>
  <c r="Y934" i="1"/>
  <c r="X934" i="1"/>
  <c r="V934" i="1"/>
  <c r="T934" i="1"/>
  <c r="AY933" i="1"/>
  <c r="AX933" i="1"/>
  <c r="AV933" i="1"/>
  <c r="AT933" i="1"/>
  <c r="AQ933" i="1"/>
  <c r="AP933" i="1"/>
  <c r="AN933" i="1"/>
  <c r="AL933" i="1"/>
  <c r="AG933" i="1"/>
  <c r="AF933" i="1"/>
  <c r="AD933" i="1"/>
  <c r="AB933" i="1"/>
  <c r="Y933" i="1"/>
  <c r="X933" i="1"/>
  <c r="V933" i="1"/>
  <c r="T933" i="1"/>
  <c r="AY885" i="1"/>
  <c r="AX885" i="1"/>
  <c r="AV885" i="1"/>
  <c r="AT885" i="1"/>
  <c r="AQ885" i="1"/>
  <c r="AP885" i="1"/>
  <c r="AN885" i="1"/>
  <c r="AL885" i="1"/>
  <c r="AG885" i="1"/>
  <c r="AF885" i="1"/>
  <c r="AD885" i="1"/>
  <c r="AB885" i="1"/>
  <c r="Y885" i="1"/>
  <c r="X885" i="1"/>
  <c r="V885" i="1"/>
  <c r="T885" i="1"/>
  <c r="AY883" i="1"/>
  <c r="AX883" i="1"/>
  <c r="AV883" i="1"/>
  <c r="AT883" i="1"/>
  <c r="AQ883" i="1"/>
  <c r="AP883" i="1"/>
  <c r="AN883" i="1"/>
  <c r="AL883" i="1"/>
  <c r="AG883" i="1"/>
  <c r="AF883" i="1"/>
  <c r="AD883" i="1"/>
  <c r="AB883" i="1"/>
  <c r="Y883" i="1"/>
  <c r="X883" i="1"/>
  <c r="V883" i="1"/>
  <c r="T883" i="1"/>
  <c r="AY811" i="1"/>
  <c r="AX811" i="1"/>
  <c r="AV811" i="1"/>
  <c r="AT811" i="1"/>
  <c r="AQ811" i="1"/>
  <c r="AP811" i="1"/>
  <c r="AN811" i="1"/>
  <c r="AL811" i="1"/>
  <c r="AG811" i="1"/>
  <c r="AF811" i="1"/>
  <c r="AD811" i="1"/>
  <c r="AB811" i="1"/>
  <c r="Y811" i="1"/>
  <c r="X811" i="1"/>
  <c r="V811" i="1"/>
  <c r="T811" i="1"/>
  <c r="AY805" i="1"/>
  <c r="AX805" i="1"/>
  <c r="AV805" i="1"/>
  <c r="AT805" i="1"/>
  <c r="AQ805" i="1"/>
  <c r="AP805" i="1"/>
  <c r="AN805" i="1"/>
  <c r="AL805" i="1"/>
  <c r="AG805" i="1"/>
  <c r="AF805" i="1"/>
  <c r="AD805" i="1"/>
  <c r="AB805" i="1"/>
  <c r="Y805" i="1"/>
  <c r="X805" i="1"/>
  <c r="V805" i="1"/>
  <c r="T805" i="1"/>
  <c r="AI885" i="1" l="1"/>
  <c r="BA885" i="1"/>
  <c r="AI933" i="1"/>
  <c r="BA933" i="1"/>
  <c r="AI934" i="1"/>
  <c r="BA805" i="1"/>
  <c r="AI883" i="1"/>
  <c r="AI805" i="1"/>
  <c r="AI811" i="1"/>
  <c r="BA934" i="1"/>
  <c r="BA811" i="1"/>
  <c r="BA883" i="1"/>
  <c r="AR933" i="1"/>
  <c r="AZ933" i="1"/>
  <c r="AH934" i="1"/>
  <c r="Z805" i="1"/>
  <c r="AH805" i="1"/>
  <c r="AR805" i="1"/>
  <c r="AZ805" i="1"/>
  <c r="Z811" i="1"/>
  <c r="AH811" i="1"/>
  <c r="AR811" i="1"/>
  <c r="AZ811" i="1"/>
  <c r="Z883" i="1"/>
  <c r="AH883" i="1"/>
  <c r="AR883" i="1"/>
  <c r="AZ883" i="1"/>
  <c r="AH885" i="1"/>
  <c r="AR885" i="1"/>
  <c r="AH933" i="1"/>
  <c r="AR934" i="1"/>
  <c r="AZ934" i="1"/>
  <c r="Z933" i="1"/>
  <c r="Z934" i="1"/>
  <c r="Z885" i="1"/>
  <c r="AZ885" i="1"/>
  <c r="AY639" i="1"/>
  <c r="AX639" i="1"/>
  <c r="AV639" i="1"/>
  <c r="AT639" i="1"/>
  <c r="AQ639" i="1"/>
  <c r="AP639" i="1"/>
  <c r="AN639" i="1"/>
  <c r="AL639" i="1"/>
  <c r="AG639" i="1"/>
  <c r="AF639" i="1"/>
  <c r="AD639" i="1"/>
  <c r="AB639" i="1"/>
  <c r="Y639" i="1"/>
  <c r="X639" i="1"/>
  <c r="V639" i="1"/>
  <c r="T639" i="1"/>
  <c r="AY604" i="1"/>
  <c r="AX604" i="1"/>
  <c r="AV604" i="1"/>
  <c r="AT604" i="1"/>
  <c r="AQ604" i="1"/>
  <c r="AP604" i="1"/>
  <c r="AN604" i="1"/>
  <c r="AL604" i="1"/>
  <c r="AG604" i="1"/>
  <c r="AF604" i="1"/>
  <c r="AD604" i="1"/>
  <c r="AB604" i="1"/>
  <c r="Y604" i="1"/>
  <c r="X604" i="1"/>
  <c r="V604" i="1"/>
  <c r="T604" i="1"/>
  <c r="AY599" i="1"/>
  <c r="AX599" i="1"/>
  <c r="AV599" i="1"/>
  <c r="AT599" i="1"/>
  <c r="AQ599" i="1"/>
  <c r="AP599" i="1"/>
  <c r="AN599" i="1"/>
  <c r="AL599" i="1"/>
  <c r="AG599" i="1"/>
  <c r="AF599" i="1"/>
  <c r="AD599" i="1"/>
  <c r="AB599" i="1"/>
  <c r="Y599" i="1"/>
  <c r="X599" i="1"/>
  <c r="V599" i="1"/>
  <c r="T599" i="1"/>
  <c r="AY586" i="1"/>
  <c r="AX586" i="1"/>
  <c r="AV586" i="1"/>
  <c r="AT586" i="1"/>
  <c r="AQ586" i="1"/>
  <c r="AP586" i="1"/>
  <c r="AN586" i="1"/>
  <c r="AL586" i="1"/>
  <c r="AG586" i="1"/>
  <c r="AF586" i="1"/>
  <c r="AD586" i="1"/>
  <c r="AB586" i="1"/>
  <c r="Y586" i="1"/>
  <c r="X586" i="1"/>
  <c r="V586" i="1"/>
  <c r="T586" i="1"/>
  <c r="AY585" i="1"/>
  <c r="AX585" i="1"/>
  <c r="AV585" i="1"/>
  <c r="AT585" i="1"/>
  <c r="AQ585" i="1"/>
  <c r="AP585" i="1"/>
  <c r="AN585" i="1"/>
  <c r="AL585" i="1"/>
  <c r="AG585" i="1"/>
  <c r="AF585" i="1"/>
  <c r="AD585" i="1"/>
  <c r="AB585" i="1"/>
  <c r="X585" i="1"/>
  <c r="V585" i="1"/>
  <c r="AY524" i="1"/>
  <c r="AX524" i="1"/>
  <c r="AV524" i="1"/>
  <c r="AT524" i="1"/>
  <c r="AQ524" i="1"/>
  <c r="AP524" i="1"/>
  <c r="AN524" i="1"/>
  <c r="AL524" i="1"/>
  <c r="AG524" i="1"/>
  <c r="AF524" i="1"/>
  <c r="AD524" i="1"/>
  <c r="AB524" i="1"/>
  <c r="X524" i="1"/>
  <c r="V524" i="1"/>
  <c r="X515" i="1"/>
  <c r="AY497" i="1"/>
  <c r="AX497" i="1"/>
  <c r="AV497" i="1"/>
  <c r="AT497" i="1"/>
  <c r="AQ497" i="1"/>
  <c r="AP497" i="1"/>
  <c r="AN497" i="1"/>
  <c r="AL497" i="1"/>
  <c r="AG497" i="1"/>
  <c r="AF497" i="1"/>
  <c r="AD497" i="1"/>
  <c r="AB497" i="1"/>
  <c r="X497" i="1"/>
  <c r="V497" i="1"/>
  <c r="AY515" i="1"/>
  <c r="AX515" i="1"/>
  <c r="AV515" i="1"/>
  <c r="AT515" i="1"/>
  <c r="AQ515" i="1"/>
  <c r="AP515" i="1"/>
  <c r="AN515" i="1"/>
  <c r="AL515" i="1"/>
  <c r="AF515" i="1"/>
  <c r="AD515" i="1"/>
  <c r="AB515" i="1"/>
  <c r="V515" i="1"/>
  <c r="AX500" i="1"/>
  <c r="AV500" i="1"/>
  <c r="AT500" i="1"/>
  <c r="AQ500" i="1"/>
  <c r="AP500" i="1"/>
  <c r="AN500" i="1"/>
  <c r="AL500" i="1"/>
  <c r="AG500" i="1"/>
  <c r="AF500" i="1"/>
  <c r="AD500" i="1"/>
  <c r="AB500" i="1"/>
  <c r="X500" i="1"/>
  <c r="V500" i="1"/>
  <c r="AY499" i="1"/>
  <c r="AX499" i="1"/>
  <c r="AV499" i="1"/>
  <c r="AT499" i="1"/>
  <c r="AQ499" i="1"/>
  <c r="AP499" i="1"/>
  <c r="AN499" i="1"/>
  <c r="AL499" i="1"/>
  <c r="AG499" i="1"/>
  <c r="AF499" i="1"/>
  <c r="AD499" i="1"/>
  <c r="AB499" i="1"/>
  <c r="X499" i="1"/>
  <c r="V499" i="1"/>
  <c r="AY384" i="1"/>
  <c r="AX384" i="1"/>
  <c r="AV384" i="1"/>
  <c r="AT384" i="1"/>
  <c r="AQ384" i="1"/>
  <c r="AP384" i="1"/>
  <c r="AN384" i="1"/>
  <c r="AL384" i="1"/>
  <c r="AG384" i="1"/>
  <c r="AF384" i="1"/>
  <c r="AD384" i="1"/>
  <c r="AB384" i="1"/>
  <c r="X384" i="1"/>
  <c r="V384" i="1"/>
  <c r="AY382" i="1"/>
  <c r="AX382" i="1"/>
  <c r="AV382" i="1"/>
  <c r="AT382" i="1"/>
  <c r="AQ382" i="1"/>
  <c r="AP382" i="1"/>
  <c r="AN382" i="1"/>
  <c r="AL382" i="1"/>
  <c r="AG382" i="1"/>
  <c r="AF382" i="1"/>
  <c r="AD382" i="1"/>
  <c r="AB382" i="1"/>
  <c r="X382" i="1"/>
  <c r="V382" i="1"/>
  <c r="AY358" i="1"/>
  <c r="AX358" i="1"/>
  <c r="AV358" i="1"/>
  <c r="AT358" i="1"/>
  <c r="AQ358" i="1"/>
  <c r="AP358" i="1"/>
  <c r="AN358" i="1"/>
  <c r="AL358" i="1"/>
  <c r="AG358" i="1"/>
  <c r="AF358" i="1"/>
  <c r="AD358" i="1"/>
  <c r="AB358" i="1"/>
  <c r="X358" i="1"/>
  <c r="V358" i="1"/>
  <c r="Q885" i="1" l="1"/>
  <c r="AR499" i="1"/>
  <c r="AZ497" i="1"/>
  <c r="AJ885" i="1"/>
  <c r="AI599" i="1"/>
  <c r="BA604" i="1"/>
  <c r="AJ934" i="1"/>
  <c r="AJ933" i="1"/>
  <c r="Q933" i="1"/>
  <c r="Q934" i="1"/>
  <c r="BA586" i="1"/>
  <c r="BA497" i="1"/>
  <c r="Q805" i="1"/>
  <c r="BA585" i="1"/>
  <c r="BA639" i="1"/>
  <c r="BA384" i="1"/>
  <c r="BA499" i="1"/>
  <c r="BA358" i="1"/>
  <c r="Q883" i="1"/>
  <c r="Q811" i="1"/>
  <c r="AI586" i="1"/>
  <c r="AI639" i="1"/>
  <c r="AI604" i="1"/>
  <c r="BA382" i="1"/>
  <c r="BB811" i="1"/>
  <c r="BB805" i="1"/>
  <c r="BB933" i="1"/>
  <c r="BB883" i="1"/>
  <c r="BB885" i="1"/>
  <c r="AR604" i="1"/>
  <c r="AZ604" i="1"/>
  <c r="AH524" i="1"/>
  <c r="AR524" i="1"/>
  <c r="AZ524" i="1"/>
  <c r="BB934" i="1"/>
  <c r="AJ883" i="1"/>
  <c r="AJ811" i="1"/>
  <c r="AJ805" i="1"/>
  <c r="BA500" i="1"/>
  <c r="AR639" i="1"/>
  <c r="Z586" i="1"/>
  <c r="AH586" i="1"/>
  <c r="AR586" i="1"/>
  <c r="AZ586" i="1"/>
  <c r="Z599" i="1"/>
  <c r="AH599" i="1"/>
  <c r="BA599" i="1"/>
  <c r="AZ599" i="1"/>
  <c r="BA524" i="1"/>
  <c r="Z604" i="1"/>
  <c r="AH604" i="1"/>
  <c r="Z639" i="1"/>
  <c r="AH639" i="1"/>
  <c r="BA515" i="1"/>
  <c r="AZ639" i="1"/>
  <c r="AH585" i="1"/>
  <c r="AR585" i="1"/>
  <c r="AZ585" i="1"/>
  <c r="AR599" i="1"/>
  <c r="AR497" i="1"/>
  <c r="AH497" i="1"/>
  <c r="AH499" i="1"/>
  <c r="AZ499" i="1"/>
  <c r="AH500" i="1"/>
  <c r="AR500" i="1"/>
  <c r="AZ500" i="1"/>
  <c r="AH515" i="1"/>
  <c r="AR515" i="1"/>
  <c r="AZ515" i="1"/>
  <c r="AZ382" i="1"/>
  <c r="AZ384" i="1"/>
  <c r="AH384" i="1"/>
  <c r="AR384" i="1"/>
  <c r="AR358" i="1"/>
  <c r="AZ358" i="1"/>
  <c r="AR382" i="1"/>
  <c r="AH382" i="1"/>
  <c r="AH358" i="1"/>
  <c r="AY106" i="1"/>
  <c r="AX106" i="1"/>
  <c r="AV106" i="1"/>
  <c r="AT106" i="1"/>
  <c r="AQ106" i="1"/>
  <c r="AP106" i="1"/>
  <c r="AN106" i="1"/>
  <c r="AL106" i="1"/>
  <c r="AG106" i="1"/>
  <c r="AF106" i="1"/>
  <c r="AD106" i="1"/>
  <c r="AB106" i="1"/>
  <c r="X106" i="1"/>
  <c r="V106" i="1"/>
  <c r="AY102" i="1"/>
  <c r="AX102" i="1"/>
  <c r="AV102" i="1"/>
  <c r="AT102" i="1"/>
  <c r="AQ102" i="1"/>
  <c r="AP102" i="1"/>
  <c r="AN102" i="1"/>
  <c r="AL102" i="1"/>
  <c r="AG102" i="1"/>
  <c r="AF102" i="1"/>
  <c r="AD102" i="1"/>
  <c r="AB102" i="1"/>
  <c r="X102" i="1"/>
  <c r="V102" i="1"/>
  <c r="AY97" i="1"/>
  <c r="AX97" i="1"/>
  <c r="AV97" i="1"/>
  <c r="AT97" i="1"/>
  <c r="AQ97" i="1"/>
  <c r="AP97" i="1"/>
  <c r="AN97" i="1"/>
  <c r="AL97" i="1"/>
  <c r="AG97" i="1"/>
  <c r="AF97" i="1"/>
  <c r="AD97" i="1"/>
  <c r="AB97" i="1"/>
  <c r="X97" i="1"/>
  <c r="V97" i="1"/>
  <c r="AY17" i="1"/>
  <c r="AX17" i="1"/>
  <c r="AV17" i="1"/>
  <c r="AT17" i="1"/>
  <c r="AQ17" i="1"/>
  <c r="AP17" i="1"/>
  <c r="AN17" i="1"/>
  <c r="AL17" i="1"/>
  <c r="AG17" i="1"/>
  <c r="AF17" i="1"/>
  <c r="AD17" i="1"/>
  <c r="AB17" i="1"/>
  <c r="X17" i="1"/>
  <c r="V17" i="1"/>
  <c r="R934" i="1" l="1"/>
  <c r="R885" i="1"/>
  <c r="R933" i="1"/>
  <c r="Q604" i="1"/>
  <c r="Q586" i="1"/>
  <c r="Q599" i="1"/>
  <c r="Q639" i="1"/>
  <c r="BA102" i="1"/>
  <c r="BB599" i="1"/>
  <c r="R811" i="1"/>
  <c r="R883" i="1"/>
  <c r="R805" i="1"/>
  <c r="BB524" i="1"/>
  <c r="AJ604" i="1"/>
  <c r="AJ586" i="1"/>
  <c r="BB604" i="1"/>
  <c r="AJ599" i="1"/>
  <c r="BB585" i="1"/>
  <c r="BB639" i="1"/>
  <c r="AJ639" i="1"/>
  <c r="BB586" i="1"/>
  <c r="BB500" i="1"/>
  <c r="BB497" i="1"/>
  <c r="BA17" i="1"/>
  <c r="BB382" i="1"/>
  <c r="BB499" i="1"/>
  <c r="BB515" i="1"/>
  <c r="BB358" i="1"/>
  <c r="BB384" i="1"/>
  <c r="BA106" i="1"/>
  <c r="AR106" i="1"/>
  <c r="AZ106" i="1"/>
  <c r="AH106" i="1"/>
  <c r="BA97" i="1"/>
  <c r="AR97" i="1"/>
  <c r="AZ97" i="1"/>
  <c r="AR102" i="1"/>
  <c r="AZ102" i="1"/>
  <c r="AH102" i="1"/>
  <c r="AH97" i="1"/>
  <c r="AH17" i="1"/>
  <c r="AR17" i="1"/>
  <c r="AZ17" i="1"/>
  <c r="R599" i="1" l="1"/>
  <c r="R604" i="1"/>
  <c r="R586" i="1"/>
  <c r="R639" i="1"/>
  <c r="BB106" i="1"/>
  <c r="BB97" i="1"/>
  <c r="BB102" i="1"/>
  <c r="BB17" i="1"/>
  <c r="W594" i="1" l="1"/>
  <c r="U149" i="1"/>
  <c r="W149" i="1"/>
  <c r="Y1004" i="1"/>
  <c r="AG494" i="1"/>
  <c r="AX247" i="1"/>
  <c r="AX148" i="1"/>
  <c r="AX145" i="1"/>
  <c r="AX88" i="1"/>
  <c r="AX80" i="1"/>
  <c r="AX39" i="1"/>
  <c r="AX13" i="1"/>
  <c r="AG1248" i="1" l="1"/>
  <c r="AG1243" i="1"/>
  <c r="AG1238" i="1"/>
  <c r="Y1248" i="1"/>
  <c r="Y1243" i="1"/>
  <c r="Y1238" i="1"/>
  <c r="AY1248" i="1"/>
  <c r="AX1248" i="1"/>
  <c r="AV1248" i="1"/>
  <c r="AT1248" i="1"/>
  <c r="AQ1248" i="1"/>
  <c r="AP1248" i="1"/>
  <c r="AN1248" i="1"/>
  <c r="AL1248" i="1"/>
  <c r="AF1248" i="1"/>
  <c r="AD1248" i="1"/>
  <c r="AB1248" i="1"/>
  <c r="X1248" i="1"/>
  <c r="V1248" i="1"/>
  <c r="T1248" i="1"/>
  <c r="AX1243" i="1"/>
  <c r="AV1243" i="1"/>
  <c r="AT1243" i="1"/>
  <c r="AP1243" i="1"/>
  <c r="AN1243" i="1"/>
  <c r="AL1243" i="1"/>
  <c r="AF1243" i="1"/>
  <c r="AD1243" i="1"/>
  <c r="AB1243" i="1"/>
  <c r="X1243" i="1"/>
  <c r="V1243" i="1"/>
  <c r="T1243" i="1"/>
  <c r="AY1238" i="1"/>
  <c r="AX1238" i="1"/>
  <c r="AV1238" i="1"/>
  <c r="AT1238" i="1"/>
  <c r="AQ1238" i="1"/>
  <c r="AP1238" i="1"/>
  <c r="AN1238" i="1"/>
  <c r="AL1238" i="1"/>
  <c r="AF1238" i="1"/>
  <c r="AD1238" i="1"/>
  <c r="AB1238" i="1"/>
  <c r="X1238" i="1"/>
  <c r="V1238" i="1"/>
  <c r="T1238" i="1"/>
  <c r="AY1233" i="1"/>
  <c r="AX1233" i="1"/>
  <c r="AV1233" i="1"/>
  <c r="AT1233" i="1"/>
  <c r="AQ1233" i="1"/>
  <c r="AP1233" i="1"/>
  <c r="AN1233" i="1"/>
  <c r="AL1233" i="1"/>
  <c r="AF1233" i="1"/>
  <c r="AD1233" i="1"/>
  <c r="AB1233" i="1"/>
  <c r="Y1233" i="1"/>
  <c r="X1233" i="1"/>
  <c r="V1233" i="1"/>
  <c r="T1233" i="1"/>
  <c r="AW601" i="1"/>
  <c r="AI1233" i="1" l="1"/>
  <c r="AI1243" i="1"/>
  <c r="AI1238" i="1"/>
  <c r="AI1248" i="1"/>
  <c r="Z1243" i="1"/>
  <c r="BA1248" i="1"/>
  <c r="AH1243" i="1"/>
  <c r="Z1248" i="1"/>
  <c r="AZ1248" i="1"/>
  <c r="BA1238" i="1"/>
  <c r="BA1243" i="1"/>
  <c r="BA1233" i="1"/>
  <c r="AZ1233" i="1"/>
  <c r="AR1238" i="1"/>
  <c r="AZ1243" i="1"/>
  <c r="AR1248" i="1"/>
  <c r="AH1248" i="1"/>
  <c r="AR1243" i="1"/>
  <c r="AZ1238" i="1"/>
  <c r="AR1233" i="1"/>
  <c r="Z1238" i="1"/>
  <c r="AH1238" i="1"/>
  <c r="Z1233" i="1"/>
  <c r="AH1233" i="1"/>
  <c r="BB1233" i="1" l="1"/>
  <c r="Q1233" i="1"/>
  <c r="AJ1243" i="1"/>
  <c r="Q1238" i="1"/>
  <c r="Q1243" i="1"/>
  <c r="AJ1248" i="1"/>
  <c r="Q1248" i="1"/>
  <c r="BB1248" i="1"/>
  <c r="BB1243" i="1"/>
  <c r="AJ1238" i="1"/>
  <c r="BB1238" i="1"/>
  <c r="AJ1233" i="1"/>
  <c r="R1243" i="1" l="1"/>
  <c r="R1233" i="1"/>
  <c r="R1248" i="1"/>
  <c r="R1238" i="1"/>
  <c r="AY460" i="1"/>
  <c r="AX460" i="1"/>
  <c r="AV460" i="1"/>
  <c r="AT460" i="1"/>
  <c r="AQ460" i="1"/>
  <c r="AP460" i="1"/>
  <c r="AN460" i="1"/>
  <c r="AL460" i="1"/>
  <c r="AG460" i="1"/>
  <c r="AF460" i="1"/>
  <c r="AD460" i="1"/>
  <c r="AB460" i="1"/>
  <c r="X460" i="1"/>
  <c r="V460" i="1"/>
  <c r="AY461" i="1"/>
  <c r="AX461" i="1"/>
  <c r="AV461" i="1"/>
  <c r="AT461" i="1"/>
  <c r="AQ461" i="1"/>
  <c r="AP461" i="1"/>
  <c r="AN461" i="1"/>
  <c r="AL461" i="1"/>
  <c r="AG461" i="1"/>
  <c r="AF461" i="1"/>
  <c r="AD461" i="1"/>
  <c r="AB461" i="1"/>
  <c r="X461" i="1"/>
  <c r="V461" i="1"/>
  <c r="AY462" i="1"/>
  <c r="AX462" i="1"/>
  <c r="AV462" i="1"/>
  <c r="AT462" i="1"/>
  <c r="AQ462" i="1"/>
  <c r="AP462" i="1"/>
  <c r="AN462" i="1"/>
  <c r="AL462" i="1"/>
  <c r="AG462" i="1"/>
  <c r="AF462" i="1"/>
  <c r="AD462" i="1"/>
  <c r="AB462" i="1"/>
  <c r="X462" i="1"/>
  <c r="V462" i="1"/>
  <c r="AY309" i="1"/>
  <c r="AX309" i="1"/>
  <c r="AV309" i="1"/>
  <c r="AT309" i="1"/>
  <c r="AQ309" i="1"/>
  <c r="AP309" i="1"/>
  <c r="AN309" i="1"/>
  <c r="AL309" i="1"/>
  <c r="AG309" i="1"/>
  <c r="AF309" i="1"/>
  <c r="AD309" i="1"/>
  <c r="AB309" i="1"/>
  <c r="X309" i="1"/>
  <c r="V309" i="1"/>
  <c r="AY527" i="1"/>
  <c r="AX527" i="1"/>
  <c r="AV527" i="1"/>
  <c r="AT527" i="1"/>
  <c r="AQ527" i="1"/>
  <c r="AP527" i="1"/>
  <c r="AN527" i="1"/>
  <c r="AL527" i="1"/>
  <c r="AG527" i="1"/>
  <c r="AF527" i="1"/>
  <c r="AD527" i="1"/>
  <c r="AB527" i="1"/>
  <c r="X527" i="1"/>
  <c r="V527" i="1"/>
  <c r="AY418" i="1"/>
  <c r="AX418" i="1"/>
  <c r="AV418" i="1"/>
  <c r="AT418" i="1"/>
  <c r="AQ418" i="1"/>
  <c r="AP418" i="1"/>
  <c r="AN418" i="1"/>
  <c r="AL418" i="1"/>
  <c r="AG418" i="1"/>
  <c r="AF418" i="1"/>
  <c r="AD418" i="1"/>
  <c r="AB418" i="1"/>
  <c r="X418" i="1"/>
  <c r="V418" i="1"/>
  <c r="BA461" i="1" l="1"/>
  <c r="BA462" i="1"/>
  <c r="AZ462" i="1"/>
  <c r="BA460" i="1"/>
  <c r="AZ461" i="1"/>
  <c r="AZ460" i="1"/>
  <c r="AH460" i="1"/>
  <c r="AR460" i="1"/>
  <c r="AR462" i="1"/>
  <c r="AH461" i="1"/>
  <c r="AR461" i="1"/>
  <c r="AH462" i="1"/>
  <c r="AH418" i="1"/>
  <c r="AH527" i="1"/>
  <c r="BA527" i="1"/>
  <c r="AH309" i="1"/>
  <c r="BA309" i="1"/>
  <c r="AZ309" i="1"/>
  <c r="AR309" i="1"/>
  <c r="AZ527" i="1"/>
  <c r="AR527" i="1"/>
  <c r="BA418" i="1"/>
  <c r="AZ418" i="1"/>
  <c r="AR418" i="1"/>
  <c r="AV385" i="1"/>
  <c r="AV383" i="1"/>
  <c r="AX383" i="1"/>
  <c r="AY383" i="1"/>
  <c r="AT383" i="1"/>
  <c r="AQ383" i="1"/>
  <c r="AP383" i="1"/>
  <c r="AN383" i="1"/>
  <c r="AL383" i="1"/>
  <c r="AG383" i="1"/>
  <c r="AF383" i="1"/>
  <c r="AD383" i="1"/>
  <c r="AB383" i="1"/>
  <c r="X383" i="1"/>
  <c r="V383" i="1"/>
  <c r="AY385" i="1"/>
  <c r="AX385" i="1"/>
  <c r="AT385" i="1"/>
  <c r="AQ385" i="1"/>
  <c r="AP385" i="1"/>
  <c r="AN385" i="1"/>
  <c r="AL385" i="1"/>
  <c r="AG385" i="1"/>
  <c r="AF385" i="1"/>
  <c r="AD385" i="1"/>
  <c r="AB385" i="1"/>
  <c r="X385" i="1"/>
  <c r="V385" i="1"/>
  <c r="AY1009" i="1"/>
  <c r="AX1009" i="1"/>
  <c r="AV1009" i="1"/>
  <c r="AT1009" i="1"/>
  <c r="AQ1009" i="1"/>
  <c r="AP1009" i="1"/>
  <c r="AN1009" i="1"/>
  <c r="AL1009" i="1"/>
  <c r="AG1009" i="1"/>
  <c r="AF1009" i="1"/>
  <c r="AD1009" i="1"/>
  <c r="AB1009" i="1"/>
  <c r="Y1009" i="1"/>
  <c r="X1009" i="1"/>
  <c r="V1009" i="1"/>
  <c r="T1009" i="1"/>
  <c r="AY1007" i="1"/>
  <c r="AX1007" i="1"/>
  <c r="AV1007" i="1"/>
  <c r="AT1007" i="1"/>
  <c r="AQ1007" i="1"/>
  <c r="AP1007" i="1"/>
  <c r="AN1007" i="1"/>
  <c r="AL1007" i="1"/>
  <c r="AG1007" i="1"/>
  <c r="AF1007" i="1"/>
  <c r="AD1007" i="1"/>
  <c r="AB1007" i="1"/>
  <c r="Y1007" i="1"/>
  <c r="X1007" i="1"/>
  <c r="V1007" i="1"/>
  <c r="T1007" i="1"/>
  <c r="BB461" i="1" l="1"/>
  <c r="AI1009" i="1"/>
  <c r="BB462" i="1"/>
  <c r="Z1007" i="1"/>
  <c r="AH1007" i="1"/>
  <c r="Z1009" i="1"/>
  <c r="AH1009" i="1"/>
  <c r="AR1009" i="1"/>
  <c r="AR1007" i="1"/>
  <c r="BB460" i="1"/>
  <c r="BB527" i="1"/>
  <c r="BA383" i="1"/>
  <c r="BB309" i="1"/>
  <c r="BB418" i="1"/>
  <c r="AZ385" i="1"/>
  <c r="BA385" i="1"/>
  <c r="AZ383" i="1"/>
  <c r="AR385" i="1"/>
  <c r="AR383" i="1"/>
  <c r="AH385" i="1"/>
  <c r="AH383" i="1"/>
  <c r="BA1009" i="1"/>
  <c r="AZ1009" i="1"/>
  <c r="AZ1007" i="1"/>
  <c r="AI1007" i="1"/>
  <c r="BA1007" i="1"/>
  <c r="AH1347" i="1"/>
  <c r="AG1231" i="1"/>
  <c r="AY771" i="1"/>
  <c r="AX771" i="1"/>
  <c r="AV771" i="1"/>
  <c r="AT771" i="1"/>
  <c r="AQ771" i="1"/>
  <c r="AP771" i="1"/>
  <c r="AN771" i="1"/>
  <c r="AL771" i="1"/>
  <c r="AG771" i="1"/>
  <c r="AF771" i="1"/>
  <c r="AD771" i="1"/>
  <c r="AB771" i="1"/>
  <c r="X771" i="1"/>
  <c r="V771" i="1"/>
  <c r="BB1009" i="1" l="1"/>
  <c r="Q1009" i="1"/>
  <c r="AJ1009" i="1"/>
  <c r="BB1007" i="1"/>
  <c r="AJ1007" i="1"/>
  <c r="BB383" i="1"/>
  <c r="AZ771" i="1"/>
  <c r="AR771" i="1"/>
  <c r="BB385" i="1"/>
  <c r="AH771" i="1"/>
  <c r="BA771" i="1"/>
  <c r="Q1007" i="1"/>
  <c r="R1009" i="1" l="1"/>
  <c r="R1007" i="1"/>
  <c r="BB771" i="1"/>
  <c r="AT770" i="1"/>
  <c r="AT103" i="1"/>
  <c r="AQ98" i="1"/>
  <c r="AY96" i="1" l="1"/>
  <c r="AX96" i="1"/>
  <c r="AV96" i="1"/>
  <c r="AT96" i="1"/>
  <c r="AQ96" i="1"/>
  <c r="AP96" i="1"/>
  <c r="AN96" i="1"/>
  <c r="AL96" i="1"/>
  <c r="AG96" i="1"/>
  <c r="AF96" i="1"/>
  <c r="AD96" i="1"/>
  <c r="AB96" i="1"/>
  <c r="X96" i="1"/>
  <c r="V96" i="1"/>
  <c r="AR96" i="1" l="1"/>
  <c r="BA96" i="1"/>
  <c r="AZ96" i="1"/>
  <c r="AH96" i="1"/>
  <c r="AY301" i="1"/>
  <c r="AX301" i="1"/>
  <c r="AV301" i="1"/>
  <c r="AT301" i="1"/>
  <c r="AQ301" i="1"/>
  <c r="AP301" i="1"/>
  <c r="AN301" i="1"/>
  <c r="AL301" i="1"/>
  <c r="AG301" i="1"/>
  <c r="AF301" i="1"/>
  <c r="AD301" i="1"/>
  <c r="AB301" i="1"/>
  <c r="X301" i="1"/>
  <c r="V301" i="1"/>
  <c r="AY298" i="1"/>
  <c r="AX298" i="1"/>
  <c r="AV298" i="1"/>
  <c r="AT298" i="1"/>
  <c r="AQ298" i="1"/>
  <c r="AP298" i="1"/>
  <c r="AN298" i="1"/>
  <c r="AL298" i="1"/>
  <c r="AG298" i="1"/>
  <c r="AF298" i="1"/>
  <c r="AD298" i="1"/>
  <c r="AB298" i="1"/>
  <c r="X298" i="1"/>
  <c r="V298" i="1"/>
  <c r="AY650" i="1"/>
  <c r="AX650" i="1"/>
  <c r="AV650" i="1"/>
  <c r="AT650" i="1"/>
  <c r="AQ650" i="1"/>
  <c r="AP650" i="1"/>
  <c r="AN650" i="1"/>
  <c r="AL650" i="1"/>
  <c r="AG650" i="1"/>
  <c r="AF650" i="1"/>
  <c r="AD650" i="1"/>
  <c r="AB650" i="1"/>
  <c r="Y650" i="1"/>
  <c r="X650" i="1"/>
  <c r="V650" i="1"/>
  <c r="T650" i="1"/>
  <c r="AY660" i="1"/>
  <c r="AX660" i="1"/>
  <c r="AV660" i="1"/>
  <c r="AT660" i="1"/>
  <c r="AQ660" i="1"/>
  <c r="AP660" i="1"/>
  <c r="AN660" i="1"/>
  <c r="AL660" i="1"/>
  <c r="AG660" i="1"/>
  <c r="AF660" i="1"/>
  <c r="AD660" i="1"/>
  <c r="AB660" i="1"/>
  <c r="Y660" i="1"/>
  <c r="X660" i="1"/>
  <c r="V660" i="1"/>
  <c r="T660" i="1"/>
  <c r="AX491" i="1"/>
  <c r="AX494" i="1"/>
  <c r="AX493" i="1"/>
  <c r="AX492" i="1"/>
  <c r="AX490" i="1"/>
  <c r="AX488" i="1"/>
  <c r="AX487" i="1"/>
  <c r="AV494" i="1"/>
  <c r="AV493" i="1"/>
  <c r="AV492" i="1"/>
  <c r="AV491" i="1"/>
  <c r="AV490" i="1"/>
  <c r="AV488" i="1"/>
  <c r="AV487" i="1"/>
  <c r="AT494" i="1"/>
  <c r="AT493" i="1"/>
  <c r="AT492" i="1"/>
  <c r="AT491" i="1"/>
  <c r="AT490" i="1"/>
  <c r="AT488" i="1"/>
  <c r="AT487" i="1"/>
  <c r="AY401" i="1"/>
  <c r="AV401" i="1"/>
  <c r="AT401" i="1"/>
  <c r="AQ401" i="1"/>
  <c r="AP401" i="1"/>
  <c r="AN401" i="1"/>
  <c r="AL401" i="1"/>
  <c r="AG401" i="1"/>
  <c r="AF401" i="1"/>
  <c r="AD401" i="1"/>
  <c r="AB401" i="1"/>
  <c r="X401" i="1"/>
  <c r="V401" i="1"/>
  <c r="AY98" i="1"/>
  <c r="AX98" i="1"/>
  <c r="AV98" i="1"/>
  <c r="AT98" i="1"/>
  <c r="AP98" i="1"/>
  <c r="AN98" i="1"/>
  <c r="AL98" i="1"/>
  <c r="AG98" i="1"/>
  <c r="AF98" i="1"/>
  <c r="AD98" i="1"/>
  <c r="AB98" i="1"/>
  <c r="X98" i="1"/>
  <c r="V98" i="1"/>
  <c r="AY103" i="1"/>
  <c r="AX103" i="1"/>
  <c r="AV103" i="1"/>
  <c r="AP103" i="1"/>
  <c r="AN103" i="1"/>
  <c r="AL103" i="1"/>
  <c r="AG103" i="1"/>
  <c r="AF103" i="1"/>
  <c r="AD103" i="1"/>
  <c r="AB103" i="1"/>
  <c r="X103" i="1"/>
  <c r="V103" i="1"/>
  <c r="V109" i="1"/>
  <c r="X109" i="1"/>
  <c r="AB109" i="1"/>
  <c r="AD109" i="1"/>
  <c r="AF109" i="1"/>
  <c r="AG109" i="1"/>
  <c r="AL109" i="1"/>
  <c r="AN109" i="1"/>
  <c r="AP109" i="1"/>
  <c r="AQ109" i="1"/>
  <c r="AT109" i="1"/>
  <c r="AV109" i="1"/>
  <c r="AX109" i="1"/>
  <c r="AY109" i="1"/>
  <c r="AY95" i="1"/>
  <c r="AX95" i="1"/>
  <c r="AV95" i="1"/>
  <c r="AT95" i="1"/>
  <c r="AQ95" i="1"/>
  <c r="AP95" i="1"/>
  <c r="AN95" i="1"/>
  <c r="AL95" i="1"/>
  <c r="AG95" i="1"/>
  <c r="AF95" i="1"/>
  <c r="AD95" i="1"/>
  <c r="AB95" i="1"/>
  <c r="X95" i="1"/>
  <c r="V95" i="1"/>
  <c r="AV46" i="1"/>
  <c r="AY45" i="1"/>
  <c r="AX45" i="1"/>
  <c r="AV45" i="1"/>
  <c r="AT45" i="1"/>
  <c r="AQ45" i="1"/>
  <c r="AP45" i="1"/>
  <c r="AN45" i="1"/>
  <c r="AL45" i="1"/>
  <c r="AG45" i="1"/>
  <c r="AF45" i="1"/>
  <c r="AD45" i="1"/>
  <c r="AB45" i="1"/>
  <c r="X45" i="1"/>
  <c r="V45" i="1"/>
  <c r="AT46" i="1"/>
  <c r="AT7" i="1"/>
  <c r="AX7" i="1"/>
  <c r="AV7" i="1"/>
  <c r="AR103" i="1" l="1"/>
  <c r="BA98" i="1"/>
  <c r="AI650" i="1"/>
  <c r="AI660" i="1"/>
  <c r="BA401" i="1"/>
  <c r="BA301" i="1"/>
  <c r="BB96" i="1"/>
  <c r="BA650" i="1"/>
  <c r="AZ493" i="1"/>
  <c r="AR301" i="1"/>
  <c r="BA45" i="1"/>
  <c r="AZ301" i="1"/>
  <c r="AR98" i="1"/>
  <c r="BA660" i="1"/>
  <c r="Z650" i="1"/>
  <c r="AH650" i="1"/>
  <c r="AH298" i="1"/>
  <c r="BA298" i="1"/>
  <c r="BA103" i="1"/>
  <c r="BA95" i="1"/>
  <c r="AZ298" i="1"/>
  <c r="AR298" i="1"/>
  <c r="AH301" i="1"/>
  <c r="AH95" i="1"/>
  <c r="AH98" i="1"/>
  <c r="AR650" i="1"/>
  <c r="AZ650" i="1"/>
  <c r="AZ98" i="1"/>
  <c r="AZ487" i="1"/>
  <c r="Z660" i="1"/>
  <c r="AH660" i="1"/>
  <c r="AZ660" i="1"/>
  <c r="AR660" i="1"/>
  <c r="AH401" i="1"/>
  <c r="AZ401" i="1"/>
  <c r="AR401" i="1"/>
  <c r="AZ103" i="1"/>
  <c r="AR45" i="1"/>
  <c r="AH103" i="1"/>
  <c r="BA109" i="1"/>
  <c r="AR109" i="1"/>
  <c r="AZ109" i="1"/>
  <c r="AH109" i="1"/>
  <c r="AR95" i="1"/>
  <c r="AZ95" i="1"/>
  <c r="AZ45" i="1"/>
  <c r="AH45" i="1"/>
  <c r="Q650" i="1" l="1"/>
  <c r="Q660" i="1"/>
  <c r="BB45" i="1"/>
  <c r="AJ650" i="1"/>
  <c r="BB660" i="1"/>
  <c r="AJ660" i="1"/>
  <c r="BB650" i="1"/>
  <c r="BB301" i="1"/>
  <c r="BB103" i="1"/>
  <c r="BB298" i="1"/>
  <c r="BB98" i="1"/>
  <c r="BB401" i="1"/>
  <c r="BB109" i="1"/>
  <c r="BB95" i="1"/>
  <c r="R650" i="1" l="1"/>
  <c r="R660" i="1"/>
  <c r="AX280" i="1" l="1"/>
  <c r="AV280" i="1"/>
  <c r="AV275" i="1"/>
  <c r="AT159" i="1"/>
  <c r="AY88" i="1"/>
  <c r="AY645" i="1"/>
  <c r="AY1231" i="1" l="1"/>
  <c r="AX1231" i="1"/>
  <c r="AV1231" i="1"/>
  <c r="AT1231" i="1"/>
  <c r="AQ1231" i="1"/>
  <c r="AP1231" i="1"/>
  <c r="AN1231" i="1"/>
  <c r="AL1231" i="1"/>
  <c r="AF1231" i="1"/>
  <c r="AD1231" i="1"/>
  <c r="AB1231" i="1"/>
  <c r="Y1231" i="1"/>
  <c r="X1231" i="1"/>
  <c r="V1231" i="1"/>
  <c r="T1231" i="1"/>
  <c r="AY1252" i="1"/>
  <c r="AX1252" i="1"/>
  <c r="AV1252" i="1"/>
  <c r="AT1252" i="1"/>
  <c r="AQ1252" i="1"/>
  <c r="AP1252" i="1"/>
  <c r="AN1252" i="1"/>
  <c r="AL1252" i="1"/>
  <c r="AF1252" i="1"/>
  <c r="AD1252" i="1"/>
  <c r="AB1252" i="1"/>
  <c r="X1252" i="1"/>
  <c r="V1252" i="1"/>
  <c r="T1252" i="1"/>
  <c r="AY1246" i="1"/>
  <c r="AX1246" i="1"/>
  <c r="AV1246" i="1"/>
  <c r="AT1246" i="1"/>
  <c r="AQ1246" i="1"/>
  <c r="AP1246" i="1"/>
  <c r="AN1246" i="1"/>
  <c r="AL1246" i="1"/>
  <c r="AG1246" i="1"/>
  <c r="AF1246" i="1"/>
  <c r="AD1246" i="1"/>
  <c r="AB1246" i="1"/>
  <c r="Y1246" i="1"/>
  <c r="X1246" i="1"/>
  <c r="V1246" i="1"/>
  <c r="T1246" i="1"/>
  <c r="AY1244" i="1"/>
  <c r="AX1244" i="1"/>
  <c r="AV1244" i="1"/>
  <c r="AT1244" i="1"/>
  <c r="AQ1244" i="1"/>
  <c r="AP1244" i="1"/>
  <c r="AN1244" i="1"/>
  <c r="AL1244" i="1"/>
  <c r="AG1244" i="1"/>
  <c r="AF1244" i="1"/>
  <c r="AD1244" i="1"/>
  <c r="AB1244" i="1"/>
  <c r="Y1244" i="1"/>
  <c r="X1244" i="1"/>
  <c r="V1244" i="1"/>
  <c r="T1244" i="1"/>
  <c r="AY1241" i="1"/>
  <c r="AX1241" i="1"/>
  <c r="AV1241" i="1"/>
  <c r="AT1241" i="1"/>
  <c r="AQ1241" i="1"/>
  <c r="AP1241" i="1"/>
  <c r="AN1241" i="1"/>
  <c r="AL1241" i="1"/>
  <c r="AG1241" i="1"/>
  <c r="AF1241" i="1"/>
  <c r="AD1241" i="1"/>
  <c r="AB1241" i="1"/>
  <c r="Y1241" i="1"/>
  <c r="X1241" i="1"/>
  <c r="V1241" i="1"/>
  <c r="T1241" i="1"/>
  <c r="AY1239" i="1"/>
  <c r="AX1239" i="1"/>
  <c r="AV1239" i="1"/>
  <c r="AT1239" i="1"/>
  <c r="AQ1239" i="1"/>
  <c r="AP1239" i="1"/>
  <c r="AN1239" i="1"/>
  <c r="AL1239" i="1"/>
  <c r="AG1239" i="1"/>
  <c r="AF1239" i="1"/>
  <c r="AD1239" i="1"/>
  <c r="AB1239" i="1"/>
  <c r="Y1239" i="1"/>
  <c r="X1239" i="1"/>
  <c r="V1239" i="1"/>
  <c r="T1239" i="1"/>
  <c r="AX1236" i="1"/>
  <c r="AV1236" i="1"/>
  <c r="AT1236" i="1"/>
  <c r="AP1236" i="1"/>
  <c r="AN1236" i="1"/>
  <c r="AL1236" i="1"/>
  <c r="AG1236" i="1"/>
  <c r="AF1236" i="1"/>
  <c r="AD1236" i="1"/>
  <c r="AB1236" i="1"/>
  <c r="Y1236" i="1"/>
  <c r="X1236" i="1"/>
  <c r="V1236" i="1"/>
  <c r="T1236" i="1"/>
  <c r="AX1234" i="1"/>
  <c r="AV1234" i="1"/>
  <c r="AT1234" i="1"/>
  <c r="AP1234" i="1"/>
  <c r="AN1234" i="1"/>
  <c r="AL1234" i="1"/>
  <c r="AG1234" i="1"/>
  <c r="AF1234" i="1"/>
  <c r="AD1234" i="1"/>
  <c r="AB1234" i="1"/>
  <c r="Y1234" i="1"/>
  <c r="X1234" i="1"/>
  <c r="V1234" i="1"/>
  <c r="T1234" i="1"/>
  <c r="AX1219" i="1"/>
  <c r="AV1219" i="1"/>
  <c r="AT1219" i="1"/>
  <c r="AP1219" i="1"/>
  <c r="AN1219" i="1"/>
  <c r="AL1219" i="1"/>
  <c r="AG1219" i="1"/>
  <c r="AF1219" i="1"/>
  <c r="AD1219" i="1"/>
  <c r="AB1219" i="1"/>
  <c r="Y1219" i="1"/>
  <c r="X1219" i="1"/>
  <c r="V1219" i="1"/>
  <c r="T1219" i="1"/>
  <c r="AY1208" i="1"/>
  <c r="AX1208" i="1"/>
  <c r="AV1208" i="1"/>
  <c r="AT1208" i="1"/>
  <c r="AQ1208" i="1"/>
  <c r="AP1208" i="1"/>
  <c r="AN1208" i="1"/>
  <c r="AL1208" i="1"/>
  <c r="AF1208" i="1"/>
  <c r="AD1208" i="1"/>
  <c r="AB1208" i="1"/>
  <c r="X1208" i="1"/>
  <c r="V1208" i="1"/>
  <c r="T1208" i="1"/>
  <c r="AY1199" i="1"/>
  <c r="AX1199" i="1"/>
  <c r="AV1199" i="1"/>
  <c r="AT1199" i="1"/>
  <c r="AQ1199" i="1"/>
  <c r="AP1199" i="1"/>
  <c r="AN1199" i="1"/>
  <c r="AL1199" i="1"/>
  <c r="AF1199" i="1"/>
  <c r="AD1199" i="1"/>
  <c r="AB1199" i="1"/>
  <c r="X1199" i="1"/>
  <c r="V1199" i="1"/>
  <c r="T1199" i="1"/>
  <c r="AY1193" i="1"/>
  <c r="AX1193" i="1"/>
  <c r="AV1193" i="1"/>
  <c r="AT1193" i="1"/>
  <c r="AQ1193" i="1"/>
  <c r="AP1193" i="1"/>
  <c r="AN1193" i="1"/>
  <c r="AL1193" i="1"/>
  <c r="AF1193" i="1"/>
  <c r="AD1193" i="1"/>
  <c r="AB1193" i="1"/>
  <c r="Y1193" i="1"/>
  <c r="X1193" i="1"/>
  <c r="V1193" i="1"/>
  <c r="T1193" i="1"/>
  <c r="AY1189" i="1"/>
  <c r="AX1189" i="1"/>
  <c r="AV1189" i="1"/>
  <c r="AT1189" i="1"/>
  <c r="AQ1189" i="1"/>
  <c r="AP1189" i="1"/>
  <c r="AN1189" i="1"/>
  <c r="AL1189" i="1"/>
  <c r="AF1189" i="1"/>
  <c r="AD1189" i="1"/>
  <c r="AB1189" i="1"/>
  <c r="X1189" i="1"/>
  <c r="V1189" i="1"/>
  <c r="T1189" i="1"/>
  <c r="AY1182" i="1"/>
  <c r="AX1182" i="1"/>
  <c r="AV1182" i="1"/>
  <c r="AT1182" i="1"/>
  <c r="AQ1182" i="1"/>
  <c r="AP1182" i="1"/>
  <c r="AN1182" i="1"/>
  <c r="AL1182" i="1"/>
  <c r="AG1182" i="1"/>
  <c r="AF1182" i="1"/>
  <c r="AD1182" i="1"/>
  <c r="AB1182" i="1"/>
  <c r="Y1182" i="1"/>
  <c r="X1182" i="1"/>
  <c r="V1182" i="1"/>
  <c r="T1182" i="1"/>
  <c r="AY1181" i="1"/>
  <c r="AX1181" i="1"/>
  <c r="AV1181" i="1"/>
  <c r="AT1181" i="1"/>
  <c r="AQ1181" i="1"/>
  <c r="AP1181" i="1"/>
  <c r="AN1181" i="1"/>
  <c r="AL1181" i="1"/>
  <c r="AG1181" i="1"/>
  <c r="AF1181" i="1"/>
  <c r="AD1181" i="1"/>
  <c r="AB1181" i="1"/>
  <c r="Y1181" i="1"/>
  <c r="X1181" i="1"/>
  <c r="V1181" i="1"/>
  <c r="T1181" i="1"/>
  <c r="AY1179" i="1"/>
  <c r="AX1179" i="1"/>
  <c r="AV1179" i="1"/>
  <c r="AT1179" i="1"/>
  <c r="AQ1179" i="1"/>
  <c r="AP1179" i="1"/>
  <c r="AN1179" i="1"/>
  <c r="AL1179" i="1"/>
  <c r="AG1179" i="1"/>
  <c r="AF1179" i="1"/>
  <c r="AD1179" i="1"/>
  <c r="AB1179" i="1"/>
  <c r="Y1179" i="1"/>
  <c r="X1179" i="1"/>
  <c r="V1179" i="1"/>
  <c r="T1179" i="1"/>
  <c r="AY1170" i="1"/>
  <c r="AX1170" i="1"/>
  <c r="AV1170" i="1"/>
  <c r="AT1170" i="1"/>
  <c r="AQ1170" i="1"/>
  <c r="AP1170" i="1"/>
  <c r="AN1170" i="1"/>
  <c r="AL1170" i="1"/>
  <c r="AG1170" i="1"/>
  <c r="AF1170" i="1"/>
  <c r="AD1170" i="1"/>
  <c r="AB1170" i="1"/>
  <c r="Y1170" i="1"/>
  <c r="X1170" i="1"/>
  <c r="V1170" i="1"/>
  <c r="T1170" i="1"/>
  <c r="AY1167" i="1"/>
  <c r="AX1167" i="1"/>
  <c r="AV1167" i="1"/>
  <c r="AT1167" i="1"/>
  <c r="AQ1167" i="1"/>
  <c r="AP1167" i="1"/>
  <c r="AN1167" i="1"/>
  <c r="AL1167" i="1"/>
  <c r="AG1167" i="1"/>
  <c r="AF1167" i="1"/>
  <c r="AD1167" i="1"/>
  <c r="AB1167" i="1"/>
  <c r="Y1167" i="1"/>
  <c r="X1167" i="1"/>
  <c r="V1167" i="1"/>
  <c r="T1167" i="1"/>
  <c r="Z1219" i="1" l="1"/>
  <c r="AI1231" i="1"/>
  <c r="AI1208" i="1"/>
  <c r="AH1208" i="1"/>
  <c r="AI1252" i="1"/>
  <c r="AI1241" i="1"/>
  <c r="AI1239" i="1"/>
  <c r="AI1236" i="1"/>
  <c r="AI1234" i="1"/>
  <c r="AI1244" i="1"/>
  <c r="AI1246" i="1"/>
  <c r="AI1189" i="1"/>
  <c r="AI1199" i="1"/>
  <c r="BA1167" i="1"/>
  <c r="BA1231" i="1"/>
  <c r="BA1179" i="1"/>
  <c r="Z1231" i="1"/>
  <c r="AH1231" i="1"/>
  <c r="AI1193" i="1"/>
  <c r="AI1170" i="1"/>
  <c r="BA1252" i="1"/>
  <c r="BA1246" i="1"/>
  <c r="BA1244" i="1"/>
  <c r="BA1236" i="1"/>
  <c r="BA1219" i="1"/>
  <c r="BA1208" i="1"/>
  <c r="BA1199" i="1"/>
  <c r="BA1193" i="1"/>
  <c r="BA1189" i="1"/>
  <c r="BA1182" i="1"/>
  <c r="BA1181" i="1"/>
  <c r="BA1241" i="1"/>
  <c r="BA1234" i="1"/>
  <c r="AR1231" i="1"/>
  <c r="AZ1231" i="1"/>
  <c r="AI1181" i="1"/>
  <c r="AI1167" i="1"/>
  <c r="BA1170" i="1"/>
  <c r="AI1179" i="1"/>
  <c r="Z1244" i="1"/>
  <c r="AH1244" i="1"/>
  <c r="AZ1244" i="1"/>
  <c r="AI1219" i="1"/>
  <c r="AI1182" i="1"/>
  <c r="Z1239" i="1"/>
  <c r="AH1239" i="1"/>
  <c r="AR1239" i="1"/>
  <c r="AR1244" i="1"/>
  <c r="AH1167" i="1"/>
  <c r="Z1236" i="1"/>
  <c r="Z1234" i="1"/>
  <c r="AH1234" i="1"/>
  <c r="AR1234" i="1"/>
  <c r="AZ1234" i="1"/>
  <c r="AZ1239" i="1"/>
  <c r="Z1246" i="1"/>
  <c r="AH1246" i="1"/>
  <c r="AH1236" i="1"/>
  <c r="Z1241" i="1"/>
  <c r="AH1241" i="1"/>
  <c r="AR1246" i="1"/>
  <c r="AZ1246" i="1"/>
  <c r="AH1219" i="1"/>
  <c r="AR1236" i="1"/>
  <c r="AZ1236" i="1"/>
  <c r="BA1239" i="1"/>
  <c r="AR1241" i="1"/>
  <c r="AZ1241" i="1"/>
  <c r="Z1252" i="1"/>
  <c r="AH1252" i="1"/>
  <c r="AR1252" i="1"/>
  <c r="AZ1252" i="1"/>
  <c r="AR1219" i="1"/>
  <c r="AZ1219" i="1"/>
  <c r="Z1167" i="1"/>
  <c r="AR1167" i="1"/>
  <c r="Z1170" i="1"/>
  <c r="AR1170" i="1"/>
  <c r="AH1179" i="1"/>
  <c r="AZ1179" i="1"/>
  <c r="Z1181" i="1"/>
  <c r="AR1181" i="1"/>
  <c r="AZ1181" i="1"/>
  <c r="Z1182" i="1"/>
  <c r="AH1182" i="1"/>
  <c r="AR1182" i="1"/>
  <c r="AZ1182" i="1"/>
  <c r="Z1189" i="1"/>
  <c r="AH1189" i="1"/>
  <c r="AR1189" i="1"/>
  <c r="AZ1189" i="1"/>
  <c r="Z1193" i="1"/>
  <c r="AH1193" i="1"/>
  <c r="AR1193" i="1"/>
  <c r="AZ1193" i="1"/>
  <c r="Z1199" i="1"/>
  <c r="AH1199" i="1"/>
  <c r="AR1199" i="1"/>
  <c r="AZ1199" i="1"/>
  <c r="Z1208" i="1"/>
  <c r="AR1208" i="1"/>
  <c r="AZ1208" i="1"/>
  <c r="AZ1167" i="1"/>
  <c r="AH1170" i="1"/>
  <c r="AZ1170" i="1"/>
  <c r="Z1179" i="1"/>
  <c r="AR1179" i="1"/>
  <c r="AH1181" i="1"/>
  <c r="AJ1236" i="1" l="1"/>
  <c r="Q1234" i="1"/>
  <c r="Q1252" i="1"/>
  <c r="Q1239" i="1"/>
  <c r="Q1236" i="1"/>
  <c r="Q1208" i="1"/>
  <c r="Q1231" i="1"/>
  <c r="Q1241" i="1"/>
  <c r="BB1179" i="1"/>
  <c r="AJ1179" i="1"/>
  <c r="Q1244" i="1"/>
  <c r="Q1189" i="1"/>
  <c r="Q1246" i="1"/>
  <c r="Q1199" i="1"/>
  <c r="Q1179" i="1"/>
  <c r="Q1167" i="1"/>
  <c r="Q1181" i="1"/>
  <c r="Q1193" i="1"/>
  <c r="BB1239" i="1"/>
  <c r="Q1170" i="1"/>
  <c r="AJ1167" i="1"/>
  <c r="Q1219" i="1"/>
  <c r="Q1182" i="1"/>
  <c r="BB1244" i="1"/>
  <c r="AJ1239" i="1"/>
  <c r="BB1231" i="1"/>
  <c r="AJ1244" i="1"/>
  <c r="BB1234" i="1"/>
  <c r="BB1252" i="1"/>
  <c r="AJ1231" i="1"/>
  <c r="AJ1208" i="1"/>
  <c r="AJ1199" i="1"/>
  <c r="AJ1193" i="1"/>
  <c r="AJ1189" i="1"/>
  <c r="AJ1182" i="1"/>
  <c r="BB1219" i="1"/>
  <c r="AJ1252" i="1"/>
  <c r="AJ1219" i="1"/>
  <c r="AJ1241" i="1"/>
  <c r="AJ1246" i="1"/>
  <c r="AJ1234" i="1"/>
  <c r="BB1241" i="1"/>
  <c r="BB1236" i="1"/>
  <c r="BB1246" i="1"/>
  <c r="BB1167" i="1"/>
  <c r="BB1208" i="1"/>
  <c r="BB1199" i="1"/>
  <c r="BB1193" i="1"/>
  <c r="BB1189" i="1"/>
  <c r="BB1182" i="1"/>
  <c r="BB1181" i="1"/>
  <c r="BB1170" i="1"/>
  <c r="AJ1181" i="1"/>
  <c r="AJ1170" i="1"/>
  <c r="R1236" i="1" l="1"/>
  <c r="R1179" i="1"/>
  <c r="R1208" i="1"/>
  <c r="R1182" i="1"/>
  <c r="R1199" i="1"/>
  <c r="R1239" i="1"/>
  <c r="R1167" i="1"/>
  <c r="R1234" i="1"/>
  <c r="R1252" i="1"/>
  <c r="R1244" i="1"/>
  <c r="R1231" i="1"/>
  <c r="R1219" i="1"/>
  <c r="R1246" i="1"/>
  <c r="R1189" i="1"/>
  <c r="R1241" i="1"/>
  <c r="R1193" i="1"/>
  <c r="R1170" i="1"/>
  <c r="R1181" i="1"/>
  <c r="AP1010" i="1" l="1"/>
  <c r="AY1010" i="1" l="1"/>
  <c r="AX1010" i="1"/>
  <c r="AV1010" i="1"/>
  <c r="AT1010" i="1"/>
  <c r="AQ1010" i="1"/>
  <c r="AN1010" i="1"/>
  <c r="AL1010" i="1"/>
  <c r="AG1010" i="1"/>
  <c r="AF1010" i="1"/>
  <c r="AD1010" i="1"/>
  <c r="AB1010" i="1"/>
  <c r="Y1010" i="1"/>
  <c r="X1010" i="1"/>
  <c r="V1010" i="1"/>
  <c r="T1010" i="1"/>
  <c r="AQ1008" i="1"/>
  <c r="AY1008" i="1"/>
  <c r="AY1004" i="1"/>
  <c r="AY1013" i="1"/>
  <c r="AX1013" i="1"/>
  <c r="AV1013" i="1"/>
  <c r="AT1013" i="1"/>
  <c r="AP1013" i="1"/>
  <c r="AN1013" i="1"/>
  <c r="AL1013" i="1"/>
  <c r="AF1013" i="1"/>
  <c r="AD1013" i="1"/>
  <c r="AB1013" i="1"/>
  <c r="Y1013" i="1"/>
  <c r="X1013" i="1"/>
  <c r="V1013" i="1"/>
  <c r="T1013" i="1"/>
  <c r="AY1011" i="1"/>
  <c r="AX1011" i="1"/>
  <c r="AV1011" i="1"/>
  <c r="AT1011" i="1"/>
  <c r="AQ1011" i="1"/>
  <c r="AP1011" i="1"/>
  <c r="AN1011" i="1"/>
  <c r="AL1011" i="1"/>
  <c r="AG1011" i="1"/>
  <c r="AF1011" i="1"/>
  <c r="AD1011" i="1"/>
  <c r="AB1011" i="1"/>
  <c r="Y1011" i="1"/>
  <c r="X1011" i="1"/>
  <c r="V1011" i="1"/>
  <c r="T1011" i="1"/>
  <c r="AX1008" i="1"/>
  <c r="AV1008" i="1"/>
  <c r="AT1008" i="1"/>
  <c r="AP1008" i="1"/>
  <c r="AN1008" i="1"/>
  <c r="AL1008" i="1"/>
  <c r="AG1008" i="1"/>
  <c r="AF1008" i="1"/>
  <c r="AD1008" i="1"/>
  <c r="AB1008" i="1"/>
  <c r="Y1008" i="1"/>
  <c r="X1008" i="1"/>
  <c r="V1008" i="1"/>
  <c r="T1008" i="1"/>
  <c r="AK1002" i="1"/>
  <c r="AP46" i="1"/>
  <c r="AP44" i="1"/>
  <c r="AY557" i="1"/>
  <c r="AX557" i="1"/>
  <c r="AV557" i="1"/>
  <c r="AT557" i="1"/>
  <c r="AQ557" i="1"/>
  <c r="AP557" i="1"/>
  <c r="AN557" i="1"/>
  <c r="AL557" i="1"/>
  <c r="AG557" i="1"/>
  <c r="AF557" i="1"/>
  <c r="AD557" i="1"/>
  <c r="AB557" i="1"/>
  <c r="X557" i="1"/>
  <c r="V557" i="1"/>
  <c r="AP494" i="1"/>
  <c r="AP493" i="1"/>
  <c r="AP492" i="1"/>
  <c r="AP491" i="1"/>
  <c r="AP490" i="1"/>
  <c r="AP488" i="1"/>
  <c r="AP487" i="1"/>
  <c r="AP18" i="1"/>
  <c r="AY18" i="1"/>
  <c r="AX18" i="1"/>
  <c r="AV18" i="1"/>
  <c r="AT18" i="1"/>
  <c r="AQ18" i="1"/>
  <c r="AN18" i="1"/>
  <c r="AL18" i="1"/>
  <c r="AG18" i="1"/>
  <c r="AF18" i="1"/>
  <c r="AD18" i="1"/>
  <c r="AB18" i="1"/>
  <c r="X18" i="1"/>
  <c r="V18" i="1"/>
  <c r="AY94" i="1"/>
  <c r="AX94" i="1"/>
  <c r="AV94" i="1"/>
  <c r="AT94" i="1"/>
  <c r="AQ94" i="1"/>
  <c r="AP94" i="1"/>
  <c r="AN94" i="1"/>
  <c r="AL94" i="1"/>
  <c r="AG94" i="1"/>
  <c r="AF94" i="1"/>
  <c r="AD94" i="1"/>
  <c r="AB94" i="1"/>
  <c r="X94" i="1"/>
  <c r="V94" i="1"/>
  <c r="AY412" i="1"/>
  <c r="AX412" i="1"/>
  <c r="AV412" i="1"/>
  <c r="AT412" i="1"/>
  <c r="AQ412" i="1"/>
  <c r="AP412" i="1"/>
  <c r="AN412" i="1"/>
  <c r="AL412" i="1"/>
  <c r="AG412" i="1"/>
  <c r="AF412" i="1"/>
  <c r="AD412" i="1"/>
  <c r="AB412" i="1"/>
  <c r="X412" i="1"/>
  <c r="V412" i="1"/>
  <c r="AY413" i="1"/>
  <c r="AX413" i="1"/>
  <c r="AV413" i="1"/>
  <c r="AT413" i="1"/>
  <c r="AQ413" i="1"/>
  <c r="AP413" i="1"/>
  <c r="AN413" i="1"/>
  <c r="AL413" i="1"/>
  <c r="AG413" i="1"/>
  <c r="AF413" i="1"/>
  <c r="AD413" i="1"/>
  <c r="AB413" i="1"/>
  <c r="X413" i="1"/>
  <c r="V413" i="1"/>
  <c r="AO535" i="1"/>
  <c r="AP526" i="1"/>
  <c r="AY526" i="1"/>
  <c r="AX526" i="1"/>
  <c r="AV526" i="1"/>
  <c r="AT526" i="1"/>
  <c r="AQ526" i="1"/>
  <c r="AN526" i="1"/>
  <c r="AL526" i="1"/>
  <c r="AG526" i="1"/>
  <c r="AF526" i="1"/>
  <c r="AD526" i="1"/>
  <c r="AB526" i="1"/>
  <c r="X526" i="1"/>
  <c r="V526" i="1"/>
  <c r="AY156" i="1"/>
  <c r="AX156" i="1"/>
  <c r="AV156" i="1"/>
  <c r="AT156" i="1"/>
  <c r="AQ156" i="1"/>
  <c r="AP156" i="1"/>
  <c r="AN156" i="1"/>
  <c r="AL156" i="1"/>
  <c r="AG156" i="1"/>
  <c r="AF156" i="1"/>
  <c r="AD156" i="1"/>
  <c r="AB156" i="1"/>
  <c r="X156" i="1"/>
  <c r="V156" i="1"/>
  <c r="AI1011" i="1" l="1"/>
  <c r="BA1011" i="1"/>
  <c r="BA1010" i="1"/>
  <c r="AI1008" i="1"/>
  <c r="BA18" i="1"/>
  <c r="AI1010" i="1"/>
  <c r="AI1013" i="1"/>
  <c r="BA1013" i="1"/>
  <c r="BA1008" i="1"/>
  <c r="BA557" i="1"/>
  <c r="BA156" i="1"/>
  <c r="AZ413" i="1"/>
  <c r="BA413" i="1"/>
  <c r="BA412" i="1"/>
  <c r="AR1008" i="1"/>
  <c r="AZ1013" i="1"/>
  <c r="Z1010" i="1"/>
  <c r="AH1010" i="1"/>
  <c r="AZ1010" i="1"/>
  <c r="AH557" i="1"/>
  <c r="AR557" i="1"/>
  <c r="BA526" i="1"/>
  <c r="AZ18" i="1"/>
  <c r="AZ1008" i="1"/>
  <c r="AR94" i="1"/>
  <c r="Z1011" i="1"/>
  <c r="AH1011" i="1"/>
  <c r="AZ1011" i="1"/>
  <c r="AR1011" i="1"/>
  <c r="AR1013" i="1"/>
  <c r="AR1010" i="1"/>
  <c r="AH1008" i="1"/>
  <c r="Z1013" i="1"/>
  <c r="AH1013" i="1"/>
  <c r="Z1008" i="1"/>
  <c r="AH412" i="1"/>
  <c r="AH94" i="1"/>
  <c r="AZ94" i="1"/>
  <c r="AR18" i="1"/>
  <c r="AZ557" i="1"/>
  <c r="BA94" i="1"/>
  <c r="AH18" i="1"/>
  <c r="AZ412" i="1"/>
  <c r="AR526" i="1"/>
  <c r="AR413" i="1"/>
  <c r="AH413" i="1"/>
  <c r="AR412" i="1"/>
  <c r="AH156" i="1"/>
  <c r="AZ156" i="1"/>
  <c r="AH526" i="1"/>
  <c r="AZ526" i="1"/>
  <c r="AR156" i="1"/>
  <c r="AY1265" i="1"/>
  <c r="AX1265" i="1"/>
  <c r="AV1265" i="1"/>
  <c r="AT1265" i="1"/>
  <c r="AQ1265" i="1"/>
  <c r="AP1265" i="1"/>
  <c r="AN1265" i="1"/>
  <c r="AL1265" i="1"/>
  <c r="AG1265" i="1"/>
  <c r="AF1265" i="1"/>
  <c r="AD1265" i="1"/>
  <c r="AB1265" i="1"/>
  <c r="X1265" i="1"/>
  <c r="V1265" i="1"/>
  <c r="T1265" i="1"/>
  <c r="AY1130" i="1"/>
  <c r="AX1130" i="1"/>
  <c r="AV1130" i="1"/>
  <c r="AT1130" i="1"/>
  <c r="AQ1130" i="1"/>
  <c r="AP1130" i="1"/>
  <c r="AN1130" i="1"/>
  <c r="AL1130" i="1"/>
  <c r="AG1130" i="1"/>
  <c r="AF1130" i="1"/>
  <c r="AD1130" i="1"/>
  <c r="AB1130" i="1"/>
  <c r="Y1130" i="1"/>
  <c r="X1130" i="1"/>
  <c r="V1130" i="1"/>
  <c r="T1130" i="1"/>
  <c r="AY1127" i="1"/>
  <c r="AX1127" i="1"/>
  <c r="AV1127" i="1"/>
  <c r="AT1127" i="1"/>
  <c r="AQ1127" i="1"/>
  <c r="AP1127" i="1"/>
  <c r="AN1127" i="1"/>
  <c r="AL1127" i="1"/>
  <c r="AG1127" i="1"/>
  <c r="AF1127" i="1"/>
  <c r="AD1127" i="1"/>
  <c r="AB1127" i="1"/>
  <c r="Y1127" i="1"/>
  <c r="X1127" i="1"/>
  <c r="V1127" i="1"/>
  <c r="T1127" i="1"/>
  <c r="AY1124" i="1"/>
  <c r="AX1124" i="1"/>
  <c r="AV1124" i="1"/>
  <c r="AT1124" i="1"/>
  <c r="AQ1124" i="1"/>
  <c r="AP1124" i="1"/>
  <c r="AN1124" i="1"/>
  <c r="AL1124" i="1"/>
  <c r="AG1124" i="1"/>
  <c r="AF1124" i="1"/>
  <c r="AD1124" i="1"/>
  <c r="AB1124" i="1"/>
  <c r="Y1124" i="1"/>
  <c r="X1124" i="1"/>
  <c r="V1124" i="1"/>
  <c r="T1124" i="1"/>
  <c r="AY1035" i="1"/>
  <c r="AX1035" i="1"/>
  <c r="AV1035" i="1"/>
  <c r="AT1035" i="1"/>
  <c r="AQ1035" i="1"/>
  <c r="AP1035" i="1"/>
  <c r="AN1035" i="1"/>
  <c r="AL1035" i="1"/>
  <c r="AG1035" i="1"/>
  <c r="AF1035" i="1"/>
  <c r="AD1035" i="1"/>
  <c r="AB1035" i="1"/>
  <c r="Y1035" i="1"/>
  <c r="X1035" i="1"/>
  <c r="V1035" i="1"/>
  <c r="T1035" i="1"/>
  <c r="AY307" i="1"/>
  <c r="AX307" i="1"/>
  <c r="AV307" i="1"/>
  <c r="AT307" i="1"/>
  <c r="AQ307" i="1"/>
  <c r="AP307" i="1"/>
  <c r="AN307" i="1"/>
  <c r="AL307" i="1"/>
  <c r="AG307" i="1"/>
  <c r="AF307" i="1"/>
  <c r="AD307" i="1"/>
  <c r="AB307" i="1"/>
  <c r="X307" i="1"/>
  <c r="V307" i="1"/>
  <c r="AN491" i="1"/>
  <c r="AN492" i="1"/>
  <c r="AN493" i="1"/>
  <c r="AN494" i="1"/>
  <c r="AN490" i="1"/>
  <c r="AN488" i="1"/>
  <c r="AN487" i="1"/>
  <c r="AQ493" i="1"/>
  <c r="AH1265" i="1" l="1"/>
  <c r="BB156" i="1"/>
  <c r="Q1011" i="1"/>
  <c r="Q1010" i="1"/>
  <c r="AI1124" i="1"/>
  <c r="BA1124" i="1"/>
  <c r="AI1127" i="1"/>
  <c r="BA1127" i="1"/>
  <c r="Q1008" i="1"/>
  <c r="Q1013" i="1"/>
  <c r="AH1130" i="1"/>
  <c r="BA1265" i="1"/>
  <c r="BA307" i="1"/>
  <c r="AI1130" i="1"/>
  <c r="AJ1010" i="1"/>
  <c r="BB1008" i="1"/>
  <c r="BB413" i="1"/>
  <c r="AR1130" i="1"/>
  <c r="BB1013" i="1"/>
  <c r="BB1010" i="1"/>
  <c r="BB557" i="1"/>
  <c r="AJ1011" i="1"/>
  <c r="BB526" i="1"/>
  <c r="BB18" i="1"/>
  <c r="BB94" i="1"/>
  <c r="BB1011" i="1"/>
  <c r="AJ1008" i="1"/>
  <c r="AJ1013" i="1"/>
  <c r="AR307" i="1"/>
  <c r="AZ307" i="1"/>
  <c r="Z1035" i="1"/>
  <c r="AH1035" i="1"/>
  <c r="AI1035" i="1"/>
  <c r="BA1130" i="1"/>
  <c r="BB412" i="1"/>
  <c r="BA1035" i="1"/>
  <c r="AI1265" i="1"/>
  <c r="AZ1035" i="1"/>
  <c r="Z1124" i="1"/>
  <c r="AH307" i="1"/>
  <c r="AZ1124" i="1"/>
  <c r="AZ1127" i="1"/>
  <c r="AZ1130" i="1"/>
  <c r="Z1265" i="1"/>
  <c r="AZ1265" i="1"/>
  <c r="AR1265" i="1"/>
  <c r="Z1127" i="1"/>
  <c r="Z1130" i="1"/>
  <c r="AR1127" i="1"/>
  <c r="AH1127" i="1"/>
  <c r="AR1124" i="1"/>
  <c r="AH1124" i="1"/>
  <c r="AR1035" i="1"/>
  <c r="Q1124" i="1" l="1"/>
  <c r="Q1127" i="1"/>
  <c r="Q1265" i="1"/>
  <c r="Q1130" i="1"/>
  <c r="R1010" i="1"/>
  <c r="R1013" i="1"/>
  <c r="R1008" i="1"/>
  <c r="R1011" i="1"/>
  <c r="BB1124" i="1"/>
  <c r="Q1035" i="1"/>
  <c r="AJ1130" i="1"/>
  <c r="AJ1035" i="1"/>
  <c r="BB1035" i="1"/>
  <c r="AJ1124" i="1"/>
  <c r="BB307" i="1"/>
  <c r="AJ1265" i="1"/>
  <c r="AJ1127" i="1"/>
  <c r="BB1130" i="1"/>
  <c r="BB1127" i="1"/>
  <c r="BB1265" i="1"/>
  <c r="AZ1347" i="1"/>
  <c r="BB1347" i="1" s="1"/>
  <c r="R1035" i="1" l="1"/>
  <c r="R1124" i="1"/>
  <c r="R1130" i="1"/>
  <c r="R1265" i="1"/>
  <c r="R1127" i="1"/>
  <c r="AY1161" i="1"/>
  <c r="AX1161" i="1"/>
  <c r="AV1161" i="1"/>
  <c r="AT1161" i="1"/>
  <c r="AQ1161" i="1"/>
  <c r="AP1161" i="1"/>
  <c r="AN1161" i="1"/>
  <c r="AL1161" i="1"/>
  <c r="AG1161" i="1"/>
  <c r="AF1161" i="1"/>
  <c r="AD1161" i="1"/>
  <c r="AB1161" i="1"/>
  <c r="Y1161" i="1"/>
  <c r="X1161" i="1"/>
  <c r="V1161" i="1"/>
  <c r="T1161" i="1"/>
  <c r="AY1150" i="1"/>
  <c r="AX1150" i="1"/>
  <c r="AV1150" i="1"/>
  <c r="AT1150" i="1"/>
  <c r="AQ1150" i="1"/>
  <c r="AP1150" i="1"/>
  <c r="AN1150" i="1"/>
  <c r="AL1150" i="1"/>
  <c r="AG1150" i="1"/>
  <c r="AF1150" i="1"/>
  <c r="AD1150" i="1"/>
  <c r="AB1150" i="1"/>
  <c r="Y1150" i="1"/>
  <c r="X1150" i="1"/>
  <c r="V1150" i="1"/>
  <c r="T1150" i="1"/>
  <c r="AY1142" i="1"/>
  <c r="AX1142" i="1"/>
  <c r="AV1142" i="1"/>
  <c r="AT1142" i="1"/>
  <c r="AQ1142" i="1"/>
  <c r="AP1142" i="1"/>
  <c r="AN1142" i="1"/>
  <c r="AL1142" i="1"/>
  <c r="AG1142" i="1"/>
  <c r="AF1142" i="1"/>
  <c r="AD1142" i="1"/>
  <c r="AB1142" i="1"/>
  <c r="Y1142" i="1"/>
  <c r="X1142" i="1"/>
  <c r="V1142" i="1"/>
  <c r="T1142" i="1"/>
  <c r="AY1139" i="1"/>
  <c r="AX1139" i="1"/>
  <c r="AV1139" i="1"/>
  <c r="AT1139" i="1"/>
  <c r="AQ1139" i="1"/>
  <c r="AP1139" i="1"/>
  <c r="AN1139" i="1"/>
  <c r="AL1139" i="1"/>
  <c r="AG1139" i="1"/>
  <c r="AF1139" i="1"/>
  <c r="AD1139" i="1"/>
  <c r="AB1139" i="1"/>
  <c r="Y1139" i="1"/>
  <c r="X1139" i="1"/>
  <c r="V1139" i="1"/>
  <c r="T1139" i="1"/>
  <c r="AY1132" i="1"/>
  <c r="AX1132" i="1"/>
  <c r="AV1132" i="1"/>
  <c r="AT1132" i="1"/>
  <c r="AQ1132" i="1"/>
  <c r="AP1132" i="1"/>
  <c r="AN1132" i="1"/>
  <c r="AL1132" i="1"/>
  <c r="AG1132" i="1"/>
  <c r="AF1132" i="1"/>
  <c r="AD1132" i="1"/>
  <c r="AB1132" i="1"/>
  <c r="Y1132" i="1"/>
  <c r="X1132" i="1"/>
  <c r="V1132" i="1"/>
  <c r="T1132" i="1"/>
  <c r="AL1115" i="1"/>
  <c r="AY1115" i="1"/>
  <c r="AX1115" i="1"/>
  <c r="AV1115" i="1"/>
  <c r="AT1115" i="1"/>
  <c r="AQ1115" i="1"/>
  <c r="AP1115" i="1"/>
  <c r="AN1115" i="1"/>
  <c r="AG1115" i="1"/>
  <c r="AF1115" i="1"/>
  <c r="AD1115" i="1"/>
  <c r="AB1115" i="1"/>
  <c r="Y1115" i="1"/>
  <c r="X1115" i="1"/>
  <c r="V1115" i="1"/>
  <c r="T1115" i="1"/>
  <c r="AL1045" i="1"/>
  <c r="AY1045" i="1"/>
  <c r="AX1045" i="1"/>
  <c r="AV1045" i="1"/>
  <c r="AT1045" i="1"/>
  <c r="AQ1045" i="1"/>
  <c r="AP1045" i="1"/>
  <c r="AN1045" i="1"/>
  <c r="AG1045" i="1"/>
  <c r="AF1045" i="1"/>
  <c r="AD1045" i="1"/>
  <c r="AB1045" i="1"/>
  <c r="Y1045" i="1"/>
  <c r="X1045" i="1"/>
  <c r="V1045" i="1"/>
  <c r="T1045" i="1"/>
  <c r="AL957" i="1"/>
  <c r="AY619" i="1"/>
  <c r="AX619" i="1"/>
  <c r="AV619" i="1"/>
  <c r="AT619" i="1"/>
  <c r="AQ619" i="1"/>
  <c r="AP619" i="1"/>
  <c r="AN619" i="1"/>
  <c r="AL619" i="1"/>
  <c r="AG619" i="1"/>
  <c r="AF619" i="1"/>
  <c r="AD619" i="1"/>
  <c r="AB619" i="1"/>
  <c r="X619" i="1"/>
  <c r="V619" i="1"/>
  <c r="AY493" i="1"/>
  <c r="AL493" i="1"/>
  <c r="AR493" i="1" s="1"/>
  <c r="AG493" i="1"/>
  <c r="AF493" i="1"/>
  <c r="AD493" i="1"/>
  <c r="AB493" i="1"/>
  <c r="X493" i="1"/>
  <c r="V493" i="1"/>
  <c r="AL494" i="1"/>
  <c r="AL492" i="1"/>
  <c r="AL491" i="1"/>
  <c r="AL490" i="1"/>
  <c r="AL488" i="1"/>
  <c r="AL487" i="1"/>
  <c r="AF487" i="1"/>
  <c r="BA493" i="1" l="1"/>
  <c r="AI1132" i="1"/>
  <c r="BA1132" i="1"/>
  <c r="AI1139" i="1"/>
  <c r="AI1142" i="1"/>
  <c r="AI1161" i="1"/>
  <c r="BA1045" i="1"/>
  <c r="AI1150" i="1"/>
  <c r="BA1150" i="1"/>
  <c r="AI1115" i="1"/>
  <c r="BA1139" i="1"/>
  <c r="BA1142" i="1"/>
  <c r="AR1132" i="1"/>
  <c r="BA619" i="1"/>
  <c r="BA1161" i="1"/>
  <c r="AZ1142" i="1"/>
  <c r="BA1115" i="1"/>
  <c r="AZ1139" i="1"/>
  <c r="Z1142" i="1"/>
  <c r="AH1142" i="1"/>
  <c r="AZ1115" i="1"/>
  <c r="AZ1161" i="1"/>
  <c r="AZ1132" i="1"/>
  <c r="AR1045" i="1"/>
  <c r="AR1150" i="1"/>
  <c r="AZ1150" i="1"/>
  <c r="AI1045" i="1"/>
  <c r="AR1139" i="1"/>
  <c r="AR1161" i="1"/>
  <c r="AH1161" i="1"/>
  <c r="Z1161" i="1"/>
  <c r="Z1150" i="1"/>
  <c r="AH1150" i="1"/>
  <c r="AR1142" i="1"/>
  <c r="AH1139" i="1"/>
  <c r="Z1139" i="1"/>
  <c r="AH1132" i="1"/>
  <c r="Z1132" i="1"/>
  <c r="AR1115" i="1"/>
  <c r="AH1115" i="1"/>
  <c r="Z1115" i="1"/>
  <c r="AZ1045" i="1"/>
  <c r="BB493" i="1"/>
  <c r="AZ619" i="1"/>
  <c r="Z1045" i="1"/>
  <c r="AH1045" i="1"/>
  <c r="AR619" i="1"/>
  <c r="AH619" i="1"/>
  <c r="AH493" i="1"/>
  <c r="AY77" i="1"/>
  <c r="AX77" i="1"/>
  <c r="AV77" i="1"/>
  <c r="AT77" i="1"/>
  <c r="AQ77" i="1"/>
  <c r="AP77" i="1"/>
  <c r="AN77" i="1"/>
  <c r="AL77" i="1"/>
  <c r="AG77" i="1"/>
  <c r="AF77" i="1"/>
  <c r="AD77" i="1"/>
  <c r="AB77" i="1"/>
  <c r="X77" i="1"/>
  <c r="V77" i="1"/>
  <c r="AU601" i="1"/>
  <c r="AS601" i="1"/>
  <c r="AO601" i="1"/>
  <c r="AM601" i="1"/>
  <c r="AK601" i="1"/>
  <c r="AC601" i="1"/>
  <c r="AA601" i="1"/>
  <c r="W601" i="1"/>
  <c r="U601" i="1"/>
  <c r="AY600" i="1"/>
  <c r="AX600" i="1"/>
  <c r="AV600" i="1"/>
  <c r="AT600" i="1"/>
  <c r="AQ600" i="1"/>
  <c r="AP600" i="1"/>
  <c r="AN600" i="1"/>
  <c r="AL600" i="1"/>
  <c r="AG600" i="1"/>
  <c r="AF600" i="1"/>
  <c r="AD600" i="1"/>
  <c r="AB600" i="1"/>
  <c r="Y600" i="1"/>
  <c r="X600" i="1"/>
  <c r="V600" i="1"/>
  <c r="T600" i="1"/>
  <c r="AY598" i="1"/>
  <c r="AX598" i="1"/>
  <c r="AV598" i="1"/>
  <c r="AT598" i="1"/>
  <c r="AQ598" i="1"/>
  <c r="AP598" i="1"/>
  <c r="AN598" i="1"/>
  <c r="AL598" i="1"/>
  <c r="AG598" i="1"/>
  <c r="AF598" i="1"/>
  <c r="AD598" i="1"/>
  <c r="AB598" i="1"/>
  <c r="Y598" i="1"/>
  <c r="X598" i="1"/>
  <c r="V598" i="1"/>
  <c r="T598" i="1"/>
  <c r="AY563" i="1"/>
  <c r="AX563" i="1"/>
  <c r="AV563" i="1"/>
  <c r="AT563" i="1"/>
  <c r="AQ563" i="1"/>
  <c r="AP563" i="1"/>
  <c r="AN563" i="1"/>
  <c r="AL563" i="1"/>
  <c r="AG563" i="1"/>
  <c r="AF563" i="1"/>
  <c r="AD563" i="1"/>
  <c r="AB563" i="1"/>
  <c r="X563" i="1"/>
  <c r="V563" i="1"/>
  <c r="AV601" i="1" l="1"/>
  <c r="AF601" i="1"/>
  <c r="X601" i="1"/>
  <c r="Q1132" i="1"/>
  <c r="Q1161" i="1"/>
  <c r="Q1142" i="1"/>
  <c r="Q1139" i="1"/>
  <c r="Q1045" i="1"/>
  <c r="Q1150" i="1"/>
  <c r="Q1115" i="1"/>
  <c r="AI598" i="1"/>
  <c r="BA563" i="1"/>
  <c r="BB1161" i="1"/>
  <c r="AX601" i="1"/>
  <c r="AJ1139" i="1"/>
  <c r="AJ1115" i="1"/>
  <c r="BB1142" i="1"/>
  <c r="AJ1142" i="1"/>
  <c r="BA77" i="1"/>
  <c r="BA600" i="1"/>
  <c r="BB1139" i="1"/>
  <c r="AJ1161" i="1"/>
  <c r="BB1115" i="1"/>
  <c r="AH563" i="1"/>
  <c r="AZ598" i="1"/>
  <c r="AH600" i="1"/>
  <c r="AZ600" i="1"/>
  <c r="BB1045" i="1"/>
  <c r="BB1132" i="1"/>
  <c r="AJ1132" i="1"/>
  <c r="BB1150" i="1"/>
  <c r="AJ1150" i="1"/>
  <c r="AJ1045" i="1"/>
  <c r="AD601" i="1"/>
  <c r="AN601" i="1"/>
  <c r="BB619" i="1"/>
  <c r="BA598" i="1"/>
  <c r="AR598" i="1"/>
  <c r="Z600" i="1"/>
  <c r="AR600" i="1"/>
  <c r="AZ77" i="1"/>
  <c r="AH77" i="1"/>
  <c r="AR77" i="1"/>
  <c r="AI600" i="1"/>
  <c r="AG601" i="1"/>
  <c r="AY601" i="1"/>
  <c r="AR563" i="1"/>
  <c r="AZ563" i="1"/>
  <c r="AL601" i="1"/>
  <c r="AT601" i="1"/>
  <c r="AP601" i="1"/>
  <c r="T601" i="1"/>
  <c r="AQ601" i="1"/>
  <c r="V601" i="1"/>
  <c r="Z598" i="1"/>
  <c r="AB601" i="1"/>
  <c r="AH598" i="1"/>
  <c r="Y601" i="1"/>
  <c r="AL114" i="1"/>
  <c r="R1115" i="1" l="1"/>
  <c r="R1161" i="1"/>
  <c r="R1142" i="1"/>
  <c r="R1139" i="1"/>
  <c r="Q598" i="1"/>
  <c r="Q600" i="1"/>
  <c r="AZ601" i="1"/>
  <c r="BB600" i="1"/>
  <c r="R1045" i="1"/>
  <c r="BB598" i="1"/>
  <c r="R1132" i="1"/>
  <c r="AJ600" i="1"/>
  <c r="AH601" i="1"/>
  <c r="R1150" i="1"/>
  <c r="AI601" i="1"/>
  <c r="BA601" i="1"/>
  <c r="Z601" i="1"/>
  <c r="BB77" i="1"/>
  <c r="BB563" i="1"/>
  <c r="AJ598" i="1"/>
  <c r="AR601" i="1"/>
  <c r="Q601" i="1" l="1"/>
  <c r="BB601" i="1"/>
  <c r="R600" i="1"/>
  <c r="R598" i="1"/>
  <c r="AJ601" i="1"/>
  <c r="R601" i="1" l="1"/>
  <c r="AY353" i="1"/>
  <c r="AX353" i="1"/>
  <c r="AV353" i="1"/>
  <c r="AT353" i="1"/>
  <c r="AQ353" i="1"/>
  <c r="AP353" i="1"/>
  <c r="AN353" i="1"/>
  <c r="AL353" i="1"/>
  <c r="AG353" i="1"/>
  <c r="AF353" i="1"/>
  <c r="AD353" i="1"/>
  <c r="AB353" i="1"/>
  <c r="X353" i="1"/>
  <c r="V353" i="1"/>
  <c r="AG1296" i="1"/>
  <c r="AG1285" i="1"/>
  <c r="BA353" i="1" l="1"/>
  <c r="AR353" i="1"/>
  <c r="AZ353" i="1"/>
  <c r="AH353" i="1"/>
  <c r="BB353" i="1" l="1"/>
  <c r="AY880" i="1" l="1"/>
  <c r="AX880" i="1"/>
  <c r="AV880" i="1"/>
  <c r="AT880" i="1"/>
  <c r="AQ880" i="1"/>
  <c r="AP880" i="1"/>
  <c r="AN880" i="1"/>
  <c r="AL880" i="1"/>
  <c r="AG880" i="1"/>
  <c r="AF880" i="1"/>
  <c r="AD880" i="1"/>
  <c r="AB880" i="1"/>
  <c r="Y880" i="1"/>
  <c r="X880" i="1"/>
  <c r="V880" i="1"/>
  <c r="T880" i="1"/>
  <c r="AY882" i="1"/>
  <c r="AX882" i="1"/>
  <c r="AV882" i="1"/>
  <c r="AT882" i="1"/>
  <c r="AQ882" i="1"/>
  <c r="AP882" i="1"/>
  <c r="AN882" i="1"/>
  <c r="AL882" i="1"/>
  <c r="AG882" i="1"/>
  <c r="AF882" i="1"/>
  <c r="AD882" i="1"/>
  <c r="AB882" i="1"/>
  <c r="Y882" i="1"/>
  <c r="X882" i="1"/>
  <c r="V882" i="1"/>
  <c r="T882" i="1"/>
  <c r="AY649" i="1"/>
  <c r="AX649" i="1"/>
  <c r="AV649" i="1"/>
  <c r="AT649" i="1"/>
  <c r="AQ649" i="1"/>
  <c r="AP649" i="1"/>
  <c r="AN649" i="1"/>
  <c r="AL649" i="1"/>
  <c r="AG649" i="1"/>
  <c r="AF649" i="1"/>
  <c r="AD649" i="1"/>
  <c r="AB649" i="1"/>
  <c r="Y649" i="1"/>
  <c r="X649" i="1"/>
  <c r="V649" i="1"/>
  <c r="T649" i="1"/>
  <c r="BA880" i="1" l="1"/>
  <c r="BA882" i="1"/>
  <c r="BA649" i="1"/>
  <c r="Z880" i="1"/>
  <c r="AR880" i="1"/>
  <c r="AZ880" i="1"/>
  <c r="AR882" i="1"/>
  <c r="AZ882" i="1"/>
  <c r="AI882" i="1"/>
  <c r="AI880" i="1"/>
  <c r="AH880" i="1"/>
  <c r="AH882" i="1"/>
  <c r="Z882" i="1"/>
  <c r="AI649" i="1"/>
  <c r="Z649" i="1"/>
  <c r="AR649" i="1"/>
  <c r="AZ649" i="1"/>
  <c r="AH649" i="1"/>
  <c r="AY1263" i="1"/>
  <c r="AX1263" i="1"/>
  <c r="AV1263" i="1"/>
  <c r="AT1263" i="1"/>
  <c r="AQ1263" i="1"/>
  <c r="AP1263" i="1"/>
  <c r="AN1263" i="1"/>
  <c r="AL1263" i="1"/>
  <c r="AG1263" i="1"/>
  <c r="AF1263" i="1"/>
  <c r="AD1263" i="1"/>
  <c r="AB1263" i="1"/>
  <c r="Y1263" i="1"/>
  <c r="X1263" i="1"/>
  <c r="V1263" i="1"/>
  <c r="T1263" i="1"/>
  <c r="AY1266" i="1"/>
  <c r="AX1266" i="1"/>
  <c r="AV1266" i="1"/>
  <c r="AT1266" i="1"/>
  <c r="AQ1266" i="1"/>
  <c r="AP1266" i="1"/>
  <c r="AN1266" i="1"/>
  <c r="AL1266" i="1"/>
  <c r="AG1266" i="1"/>
  <c r="AF1266" i="1"/>
  <c r="AD1266" i="1"/>
  <c r="AB1266" i="1"/>
  <c r="Y1266" i="1"/>
  <c r="X1266" i="1"/>
  <c r="V1266" i="1"/>
  <c r="T1266" i="1"/>
  <c r="AY1268" i="1"/>
  <c r="AX1268" i="1"/>
  <c r="AV1268" i="1"/>
  <c r="AT1268" i="1"/>
  <c r="AQ1268" i="1"/>
  <c r="AP1268" i="1"/>
  <c r="AN1268" i="1"/>
  <c r="AL1268" i="1"/>
  <c r="AG1268" i="1"/>
  <c r="AF1268" i="1"/>
  <c r="AD1268" i="1"/>
  <c r="AB1268" i="1"/>
  <c r="Y1268" i="1"/>
  <c r="X1268" i="1"/>
  <c r="V1268" i="1"/>
  <c r="T1268" i="1"/>
  <c r="AY1267" i="1"/>
  <c r="AX1267" i="1"/>
  <c r="AV1267" i="1"/>
  <c r="AT1267" i="1"/>
  <c r="AQ1267" i="1"/>
  <c r="AP1267" i="1"/>
  <c r="AN1267" i="1"/>
  <c r="AL1267" i="1"/>
  <c r="AG1267" i="1"/>
  <c r="AF1267" i="1"/>
  <c r="AD1267" i="1"/>
  <c r="AB1267" i="1"/>
  <c r="Y1267" i="1"/>
  <c r="X1267" i="1"/>
  <c r="V1267" i="1"/>
  <c r="T1267" i="1"/>
  <c r="AY1261" i="1"/>
  <c r="AX1261" i="1"/>
  <c r="AV1261" i="1"/>
  <c r="AT1261" i="1"/>
  <c r="AQ1261" i="1"/>
  <c r="AP1261" i="1"/>
  <c r="AN1261" i="1"/>
  <c r="AL1261" i="1"/>
  <c r="AG1261" i="1"/>
  <c r="AF1261" i="1"/>
  <c r="AD1261" i="1"/>
  <c r="AB1261" i="1"/>
  <c r="Y1261" i="1"/>
  <c r="X1261" i="1"/>
  <c r="V1261" i="1"/>
  <c r="T1261" i="1"/>
  <c r="AY1260" i="1"/>
  <c r="AX1260" i="1"/>
  <c r="AV1260" i="1"/>
  <c r="AT1260" i="1"/>
  <c r="AQ1260" i="1"/>
  <c r="AP1260" i="1"/>
  <c r="AN1260" i="1"/>
  <c r="AL1260" i="1"/>
  <c r="AG1260" i="1"/>
  <c r="AF1260" i="1"/>
  <c r="AD1260" i="1"/>
  <c r="AB1260" i="1"/>
  <c r="Y1260" i="1"/>
  <c r="X1260" i="1"/>
  <c r="V1260" i="1"/>
  <c r="T1260" i="1"/>
  <c r="AY1259" i="1"/>
  <c r="AX1259" i="1"/>
  <c r="AV1259" i="1"/>
  <c r="AT1259" i="1"/>
  <c r="AQ1259" i="1"/>
  <c r="AP1259" i="1"/>
  <c r="AN1259" i="1"/>
  <c r="AL1259" i="1"/>
  <c r="AG1259" i="1"/>
  <c r="AF1259" i="1"/>
  <c r="AD1259" i="1"/>
  <c r="AB1259" i="1"/>
  <c r="Y1259" i="1"/>
  <c r="X1259" i="1"/>
  <c r="V1259" i="1"/>
  <c r="T1259" i="1"/>
  <c r="AY1257" i="1"/>
  <c r="AX1257" i="1"/>
  <c r="AV1257" i="1"/>
  <c r="AT1257" i="1"/>
  <c r="AQ1257" i="1"/>
  <c r="AP1257" i="1"/>
  <c r="AN1257" i="1"/>
  <c r="AL1257" i="1"/>
  <c r="AF1257" i="1"/>
  <c r="AD1257" i="1"/>
  <c r="AB1257" i="1"/>
  <c r="Y1257" i="1"/>
  <c r="X1257" i="1"/>
  <c r="V1257" i="1"/>
  <c r="T1257" i="1"/>
  <c r="AY1256" i="1"/>
  <c r="AX1256" i="1"/>
  <c r="AV1256" i="1"/>
  <c r="AT1256" i="1"/>
  <c r="AQ1256" i="1"/>
  <c r="AP1256" i="1"/>
  <c r="AN1256" i="1"/>
  <c r="AL1256" i="1"/>
  <c r="AG1256" i="1"/>
  <c r="AF1256" i="1"/>
  <c r="AD1256" i="1"/>
  <c r="AB1256" i="1"/>
  <c r="Y1256" i="1"/>
  <c r="X1256" i="1"/>
  <c r="V1256" i="1"/>
  <c r="T1256" i="1"/>
  <c r="AY1255" i="1"/>
  <c r="AX1255" i="1"/>
  <c r="AV1255" i="1"/>
  <c r="AT1255" i="1"/>
  <c r="AQ1255" i="1"/>
  <c r="AP1255" i="1"/>
  <c r="AN1255" i="1"/>
  <c r="AL1255" i="1"/>
  <c r="AG1255" i="1"/>
  <c r="AF1255" i="1"/>
  <c r="AD1255" i="1"/>
  <c r="AB1255" i="1"/>
  <c r="Y1255" i="1"/>
  <c r="X1255" i="1"/>
  <c r="V1255" i="1"/>
  <c r="T1255" i="1"/>
  <c r="BA1267" i="1" l="1"/>
  <c r="AI1268" i="1"/>
  <c r="AI1266" i="1"/>
  <c r="BA1263" i="1"/>
  <c r="AI1256" i="1"/>
  <c r="BA1256" i="1"/>
  <c r="BA1268" i="1"/>
  <c r="AI1260" i="1"/>
  <c r="BA1260" i="1"/>
  <c r="BA1261" i="1"/>
  <c r="Q880" i="1"/>
  <c r="AI1257" i="1"/>
  <c r="Q882" i="1"/>
  <c r="AH1263" i="1"/>
  <c r="BA1266" i="1"/>
  <c r="Z1263" i="1"/>
  <c r="AR1263" i="1"/>
  <c r="AZ1263" i="1"/>
  <c r="BA1259" i="1"/>
  <c r="BA1255" i="1"/>
  <c r="BA1257" i="1"/>
  <c r="AI1267" i="1"/>
  <c r="Q649" i="1"/>
  <c r="BB882" i="1"/>
  <c r="BB880" i="1"/>
  <c r="AJ880" i="1"/>
  <c r="AH1268" i="1"/>
  <c r="AZ1257" i="1"/>
  <c r="AR1259" i="1"/>
  <c r="AZ1259" i="1"/>
  <c r="Z1266" i="1"/>
  <c r="AR1266" i="1"/>
  <c r="AZ1266" i="1"/>
  <c r="AZ1255" i="1"/>
  <c r="AH1261" i="1"/>
  <c r="AR1267" i="1"/>
  <c r="AZ1267" i="1"/>
  <c r="AZ1256" i="1"/>
  <c r="AI1259" i="1"/>
  <c r="AR1268" i="1"/>
  <c r="AZ1268" i="1"/>
  <c r="AI1263" i="1"/>
  <c r="Z1255" i="1"/>
  <c r="AH1260" i="1"/>
  <c r="AR1260" i="1"/>
  <c r="AZ1260" i="1"/>
  <c r="AH1267" i="1"/>
  <c r="AJ882" i="1"/>
  <c r="AJ649" i="1"/>
  <c r="BB649" i="1"/>
  <c r="AI1261" i="1"/>
  <c r="AI1255" i="1"/>
  <c r="AH1266" i="1"/>
  <c r="Z1268" i="1"/>
  <c r="Z1257" i="1"/>
  <c r="AH1257" i="1"/>
  <c r="AR1257" i="1"/>
  <c r="AR1261" i="1"/>
  <c r="Z1259" i="1"/>
  <c r="AH1259" i="1"/>
  <c r="AR1255" i="1"/>
  <c r="Z1256" i="1"/>
  <c r="AH1256" i="1"/>
  <c r="AZ1261" i="1"/>
  <c r="AH1255" i="1"/>
  <c r="AR1256" i="1"/>
  <c r="Z1267" i="1"/>
  <c r="Z1260" i="1"/>
  <c r="Z1261" i="1"/>
  <c r="AF494" i="1"/>
  <c r="AF492" i="1"/>
  <c r="AF491" i="1"/>
  <c r="AF490" i="1"/>
  <c r="AF488" i="1"/>
  <c r="AY84" i="1"/>
  <c r="AX84" i="1"/>
  <c r="AV84" i="1"/>
  <c r="AT84" i="1"/>
  <c r="AP84" i="1"/>
  <c r="AN84" i="1"/>
  <c r="AL84" i="1"/>
  <c r="AG84" i="1"/>
  <c r="AF84" i="1"/>
  <c r="AD84" i="1"/>
  <c r="AB84" i="1"/>
  <c r="X84" i="1"/>
  <c r="V84" i="1"/>
  <c r="AY410" i="1"/>
  <c r="AX410" i="1"/>
  <c r="AV410" i="1"/>
  <c r="AT410" i="1"/>
  <c r="AQ410" i="1"/>
  <c r="AP410" i="1"/>
  <c r="AN410" i="1"/>
  <c r="AL410" i="1"/>
  <c r="AG410" i="1"/>
  <c r="AF410" i="1"/>
  <c r="AD410" i="1"/>
  <c r="AB410" i="1"/>
  <c r="X410" i="1"/>
  <c r="V410" i="1"/>
  <c r="AF534" i="1"/>
  <c r="AH84" i="1" l="1"/>
  <c r="Q1256" i="1"/>
  <c r="Q1257" i="1"/>
  <c r="Q1263" i="1"/>
  <c r="Q1266" i="1"/>
  <c r="Q1267" i="1"/>
  <c r="Q1268" i="1"/>
  <c r="Q1261" i="1"/>
  <c r="Q1260" i="1"/>
  <c r="Q1255" i="1"/>
  <c r="AJ1261" i="1"/>
  <c r="Q1259" i="1"/>
  <c r="AJ1260" i="1"/>
  <c r="AJ1268" i="1"/>
  <c r="BA84" i="1"/>
  <c r="BA410" i="1"/>
  <c r="R882" i="1"/>
  <c r="AJ1266" i="1"/>
  <c r="AJ1255" i="1"/>
  <c r="BB1259" i="1"/>
  <c r="R880" i="1"/>
  <c r="AJ1263" i="1"/>
  <c r="BB1268" i="1"/>
  <c r="BB1267" i="1"/>
  <c r="BB1263" i="1"/>
  <c r="AH410" i="1"/>
  <c r="AR410" i="1"/>
  <c r="AZ410" i="1"/>
  <c r="BB1256" i="1"/>
  <c r="BB1255" i="1"/>
  <c r="BB1257" i="1"/>
  <c r="R649" i="1"/>
  <c r="BB1260" i="1"/>
  <c r="BB1266" i="1"/>
  <c r="AZ84" i="1"/>
  <c r="AJ1267" i="1"/>
  <c r="BB1261" i="1"/>
  <c r="AJ1257" i="1"/>
  <c r="AJ1256" i="1"/>
  <c r="AR84" i="1"/>
  <c r="AJ1259" i="1"/>
  <c r="R1261" i="1" l="1"/>
  <c r="R1268" i="1"/>
  <c r="R1260" i="1"/>
  <c r="R1255" i="1"/>
  <c r="R1259" i="1"/>
  <c r="R1266" i="1"/>
  <c r="BB84" i="1"/>
  <c r="R1257" i="1"/>
  <c r="R1263" i="1"/>
  <c r="R1267" i="1"/>
  <c r="BB410" i="1"/>
  <c r="R1256" i="1"/>
  <c r="AD558" i="1"/>
  <c r="AY494" i="1"/>
  <c r="AQ494" i="1"/>
  <c r="AD494" i="1"/>
  <c r="AB494" i="1"/>
  <c r="X494" i="1"/>
  <c r="V494" i="1"/>
  <c r="AY492" i="1"/>
  <c r="AQ492" i="1"/>
  <c r="AG492" i="1"/>
  <c r="AD492" i="1"/>
  <c r="AB492" i="1"/>
  <c r="X492" i="1"/>
  <c r="V492" i="1"/>
  <c r="AD491" i="1"/>
  <c r="AD490" i="1"/>
  <c r="AD488" i="1"/>
  <c r="AD487" i="1"/>
  <c r="AY159" i="1"/>
  <c r="AX159" i="1"/>
  <c r="AV159" i="1"/>
  <c r="AQ159" i="1"/>
  <c r="AP159" i="1"/>
  <c r="AN159" i="1"/>
  <c r="AL159" i="1"/>
  <c r="AG159" i="1"/>
  <c r="AF159" i="1"/>
  <c r="AD159" i="1"/>
  <c r="AB159" i="1"/>
  <c r="X159" i="1"/>
  <c r="V159" i="1"/>
  <c r="BA159" i="1" l="1"/>
  <c r="AR494" i="1"/>
  <c r="AZ494" i="1"/>
  <c r="AR492" i="1"/>
  <c r="AZ492" i="1"/>
  <c r="BA494" i="1"/>
  <c r="AR159" i="1"/>
  <c r="AZ159" i="1"/>
  <c r="BA492" i="1"/>
  <c r="AH494" i="1"/>
  <c r="AH492" i="1"/>
  <c r="AH159" i="1"/>
  <c r="AG1347" i="1"/>
  <c r="BB159" i="1" l="1"/>
  <c r="BB492" i="1"/>
  <c r="BB494" i="1"/>
  <c r="AG789" i="1" l="1"/>
  <c r="AG784" i="1"/>
  <c r="AG780" i="1"/>
  <c r="AB932" i="1"/>
  <c r="AY748" i="1"/>
  <c r="AX748" i="1"/>
  <c r="AV748" i="1"/>
  <c r="AT748" i="1"/>
  <c r="AQ748" i="1"/>
  <c r="AP748" i="1"/>
  <c r="AN748" i="1"/>
  <c r="AL748" i="1"/>
  <c r="AG748" i="1"/>
  <c r="AF748" i="1"/>
  <c r="AD748" i="1"/>
  <c r="AB748" i="1"/>
  <c r="Y748" i="1"/>
  <c r="X748" i="1"/>
  <c r="V748" i="1"/>
  <c r="T748" i="1"/>
  <c r="AY749" i="1"/>
  <c r="AX749" i="1"/>
  <c r="AV749" i="1"/>
  <c r="AT749" i="1"/>
  <c r="AQ749" i="1"/>
  <c r="AP749" i="1"/>
  <c r="AN749" i="1"/>
  <c r="AL749" i="1"/>
  <c r="AG749" i="1"/>
  <c r="AF749" i="1"/>
  <c r="AD749" i="1"/>
  <c r="AB749" i="1"/>
  <c r="Y749" i="1"/>
  <c r="X749" i="1"/>
  <c r="V749" i="1"/>
  <c r="T749" i="1"/>
  <c r="AA289" i="1"/>
  <c r="AA606" i="1"/>
  <c r="AU606" i="1"/>
  <c r="AW606" i="1"/>
  <c r="AS606" i="1"/>
  <c r="AQ605" i="1"/>
  <c r="AQ603" i="1"/>
  <c r="AM606" i="1"/>
  <c r="AO606" i="1"/>
  <c r="AK606" i="1"/>
  <c r="AC606" i="1"/>
  <c r="AE606" i="1"/>
  <c r="U606" i="1"/>
  <c r="W606" i="1"/>
  <c r="AY605" i="1"/>
  <c r="AX605" i="1"/>
  <c r="AV605" i="1"/>
  <c r="AT605" i="1"/>
  <c r="AP605" i="1"/>
  <c r="AN605" i="1"/>
  <c r="AL605" i="1"/>
  <c r="AG605" i="1"/>
  <c r="AF605" i="1"/>
  <c r="AD605" i="1"/>
  <c r="AB605" i="1"/>
  <c r="Y605" i="1"/>
  <c r="X605" i="1"/>
  <c r="V605" i="1"/>
  <c r="T605" i="1"/>
  <c r="AB411" i="1"/>
  <c r="AY525" i="1"/>
  <c r="AX525" i="1"/>
  <c r="AV525" i="1"/>
  <c r="AT525" i="1"/>
  <c r="AQ525" i="1"/>
  <c r="AP525" i="1"/>
  <c r="AN525" i="1"/>
  <c r="AL525" i="1"/>
  <c r="AG525" i="1"/>
  <c r="AF525" i="1"/>
  <c r="AD525" i="1"/>
  <c r="AB525" i="1"/>
  <c r="X525" i="1"/>
  <c r="V525" i="1"/>
  <c r="AY523" i="1"/>
  <c r="AX523" i="1"/>
  <c r="AV523" i="1"/>
  <c r="AT523" i="1"/>
  <c r="AQ523" i="1"/>
  <c r="AP523" i="1"/>
  <c r="AN523" i="1"/>
  <c r="AL523" i="1"/>
  <c r="AG523" i="1"/>
  <c r="AF523" i="1"/>
  <c r="AD523" i="1"/>
  <c r="AB523" i="1"/>
  <c r="X523" i="1"/>
  <c r="V523" i="1"/>
  <c r="AY522" i="1"/>
  <c r="AX522" i="1"/>
  <c r="AV522" i="1"/>
  <c r="AT522" i="1"/>
  <c r="AQ522" i="1"/>
  <c r="AP522" i="1"/>
  <c r="AN522" i="1"/>
  <c r="AL522" i="1"/>
  <c r="AG522" i="1"/>
  <c r="AF522" i="1"/>
  <c r="AD522" i="1"/>
  <c r="AB522" i="1"/>
  <c r="X522" i="1"/>
  <c r="V522" i="1"/>
  <c r="AI605" i="1" l="1"/>
  <c r="BA523" i="1"/>
  <c r="BA749" i="1"/>
  <c r="BA525" i="1"/>
  <c r="AI749" i="1"/>
  <c r="AQ606" i="1"/>
  <c r="BA605" i="1"/>
  <c r="Z605" i="1"/>
  <c r="AR605" i="1"/>
  <c r="AZ605" i="1"/>
  <c r="AI748" i="1"/>
  <c r="BA748" i="1"/>
  <c r="AH749" i="1"/>
  <c r="AR749" i="1"/>
  <c r="AZ749" i="1"/>
  <c r="Z748" i="1"/>
  <c r="AH748" i="1"/>
  <c r="AR748" i="1"/>
  <c r="AZ748" i="1"/>
  <c r="AH605" i="1"/>
  <c r="Z749" i="1"/>
  <c r="AH523" i="1"/>
  <c r="AH525" i="1"/>
  <c r="AR525" i="1"/>
  <c r="AZ525" i="1"/>
  <c r="AR523" i="1"/>
  <c r="AZ523" i="1"/>
  <c r="BA522" i="1"/>
  <c r="AH522" i="1"/>
  <c r="AR522" i="1"/>
  <c r="AZ522" i="1"/>
  <c r="Q605" i="1" l="1"/>
  <c r="Q749" i="1"/>
  <c r="AJ605" i="1"/>
  <c r="BB748" i="1"/>
  <c r="BB749" i="1"/>
  <c r="BB605" i="1"/>
  <c r="AJ748" i="1"/>
  <c r="AJ749" i="1"/>
  <c r="Q748" i="1"/>
  <c r="BB525" i="1"/>
  <c r="BB522" i="1"/>
  <c r="BB523" i="1"/>
  <c r="R605" i="1" l="1"/>
  <c r="R749" i="1"/>
  <c r="R748" i="1"/>
  <c r="AB262" i="1" l="1"/>
  <c r="AB261" i="1"/>
  <c r="AB260" i="1"/>
  <c r="AB259" i="1"/>
  <c r="AB258" i="1"/>
  <c r="AB257" i="1"/>
  <c r="AB256" i="1"/>
  <c r="AB255" i="1"/>
  <c r="AB254" i="1"/>
  <c r="AB253" i="1"/>
  <c r="AB252" i="1"/>
  <c r="AB251" i="1"/>
  <c r="AB249" i="1"/>
  <c r="AB247" i="1"/>
  <c r="AB246" i="1"/>
  <c r="AB245" i="1"/>
  <c r="AB244" i="1"/>
  <c r="AB215" i="1"/>
  <c r="AB206" i="1"/>
  <c r="AB199" i="1"/>
  <c r="AB180" i="1"/>
  <c r="AB179" i="1"/>
  <c r="AB178" i="1"/>
  <c r="AB177" i="1"/>
  <c r="AB176" i="1"/>
  <c r="AB175" i="1"/>
  <c r="AB170" i="1"/>
  <c r="AB160" i="1"/>
  <c r="AB158" i="1"/>
  <c r="AB155" i="1"/>
  <c r="AB154" i="1"/>
  <c r="AB153" i="1"/>
  <c r="AB152" i="1"/>
  <c r="AB151" i="1"/>
  <c r="AB150" i="1"/>
  <c r="AB148" i="1"/>
  <c r="AB147" i="1"/>
  <c r="AB146" i="1"/>
  <c r="AB145" i="1"/>
  <c r="AB142" i="1"/>
  <c r="AB141" i="1"/>
  <c r="AB140" i="1"/>
  <c r="AB139" i="1"/>
  <c r="AB138" i="1"/>
  <c r="AB137" i="1"/>
  <c r="AB135" i="1"/>
  <c r="AB134" i="1"/>
  <c r="AB133" i="1"/>
  <c r="AB132" i="1"/>
  <c r="AB131" i="1"/>
  <c r="AB130" i="1"/>
  <c r="AB129" i="1"/>
  <c r="AB127" i="1"/>
  <c r="AB126" i="1"/>
  <c r="AB125" i="1"/>
  <c r="AB124" i="1"/>
  <c r="AB123" i="1"/>
  <c r="AB122" i="1"/>
  <c r="AB121" i="1"/>
  <c r="AB120" i="1"/>
  <c r="AB119" i="1"/>
  <c r="AB118" i="1"/>
  <c r="AB117" i="1"/>
  <c r="AB114" i="1"/>
  <c r="AB113" i="1"/>
  <c r="AB112" i="1"/>
  <c r="AB111" i="1"/>
  <c r="AB93" i="1"/>
  <c r="AB90" i="1"/>
  <c r="AB89" i="1"/>
  <c r="AB88" i="1"/>
  <c r="AB82" i="1"/>
  <c r="AB81" i="1"/>
  <c r="AB80" i="1"/>
  <c r="AB73" i="1"/>
  <c r="AB72" i="1"/>
  <c r="AB71" i="1"/>
  <c r="AB39" i="1"/>
  <c r="AB38" i="1"/>
  <c r="AB37" i="1"/>
  <c r="AB35" i="1"/>
  <c r="AB34" i="1"/>
  <c r="AB33" i="1"/>
  <c r="AB32" i="1"/>
  <c r="AB31" i="1"/>
  <c r="AB30" i="1"/>
  <c r="AB27" i="1"/>
  <c r="AB23" i="1"/>
  <c r="AB22" i="1"/>
  <c r="AB21" i="1"/>
  <c r="AB20" i="1"/>
  <c r="AB19" i="1"/>
  <c r="AB16" i="1"/>
  <c r="AB15" i="1"/>
  <c r="AB14" i="1"/>
  <c r="AB12" i="1"/>
  <c r="AB10" i="1"/>
  <c r="AB9" i="1"/>
  <c r="AB8" i="1"/>
  <c r="AB7" i="1"/>
  <c r="AB1328" i="1"/>
  <c r="AB1327" i="1"/>
  <c r="AB1326" i="1"/>
  <c r="AB1325" i="1"/>
  <c r="AB1324" i="1"/>
  <c r="AB1323" i="1"/>
  <c r="AB1309" i="1"/>
  <c r="AB1306" i="1"/>
  <c r="AB1305" i="1"/>
  <c r="AB1304" i="1"/>
  <c r="AB1303" i="1"/>
  <c r="AB1302" i="1"/>
  <c r="AB1300" i="1"/>
  <c r="AB1299" i="1"/>
  <c r="AB1298" i="1"/>
  <c r="AB1297" i="1"/>
  <c r="AB1296" i="1"/>
  <c r="AB1295" i="1"/>
  <c r="AB1294" i="1"/>
  <c r="AB1293" i="1"/>
  <c r="AB1292" i="1"/>
  <c r="AB1290" i="1"/>
  <c r="AB1289" i="1"/>
  <c r="AB1288" i="1"/>
  <c r="AB1287" i="1"/>
  <c r="AB1286" i="1"/>
  <c r="AB1285" i="1"/>
  <c r="AB1284" i="1"/>
  <c r="AB1282" i="1"/>
  <c r="AB1166" i="1"/>
  <c r="AB1164" i="1"/>
  <c r="AB1163" i="1"/>
  <c r="AB1162" i="1"/>
  <c r="AB1160" i="1"/>
  <c r="AB1159" i="1"/>
  <c r="AB1158" i="1"/>
  <c r="AB1156" i="1"/>
  <c r="AB1155" i="1"/>
  <c r="AB1154" i="1"/>
  <c r="AB1153" i="1"/>
  <c r="AB1152" i="1"/>
  <c r="AB1151" i="1"/>
  <c r="AB1149" i="1"/>
  <c r="AB1148" i="1"/>
  <c r="AB1147" i="1"/>
  <c r="AB1146" i="1"/>
  <c r="AB1145" i="1"/>
  <c r="AB1144" i="1"/>
  <c r="AB1143" i="1"/>
  <c r="AB1141" i="1"/>
  <c r="AB1140" i="1"/>
  <c r="AB1138" i="1"/>
  <c r="AB1137" i="1"/>
  <c r="AB1136" i="1"/>
  <c r="AY1158" i="1"/>
  <c r="AX1158" i="1"/>
  <c r="AV1158" i="1"/>
  <c r="AT1158" i="1"/>
  <c r="AQ1158" i="1"/>
  <c r="AP1158" i="1"/>
  <c r="AN1158" i="1"/>
  <c r="AL1158" i="1"/>
  <c r="AG1158" i="1"/>
  <c r="AF1158" i="1"/>
  <c r="AD1158" i="1"/>
  <c r="Y1158" i="1"/>
  <c r="X1158" i="1"/>
  <c r="V1158" i="1"/>
  <c r="T1158" i="1"/>
  <c r="AY1137" i="1"/>
  <c r="AX1137" i="1"/>
  <c r="AV1137" i="1"/>
  <c r="AT1137" i="1"/>
  <c r="AQ1137" i="1"/>
  <c r="AP1137" i="1"/>
  <c r="AN1137" i="1"/>
  <c r="AL1137" i="1"/>
  <c r="AG1137" i="1"/>
  <c r="AF1137" i="1"/>
  <c r="AD1137" i="1"/>
  <c r="Y1137" i="1"/>
  <c r="X1137" i="1"/>
  <c r="V1137" i="1"/>
  <c r="T1137" i="1"/>
  <c r="AY1047" i="1"/>
  <c r="AX1047" i="1"/>
  <c r="AV1047" i="1"/>
  <c r="AT1047" i="1"/>
  <c r="AQ1047" i="1"/>
  <c r="AP1047" i="1"/>
  <c r="AN1047" i="1"/>
  <c r="AL1047" i="1"/>
  <c r="AG1047" i="1"/>
  <c r="AF1047" i="1"/>
  <c r="AD1047" i="1"/>
  <c r="AB1047" i="1"/>
  <c r="Y1047" i="1"/>
  <c r="X1047" i="1"/>
  <c r="V1047" i="1"/>
  <c r="T1047" i="1"/>
  <c r="AF932" i="1"/>
  <c r="AY932" i="1"/>
  <c r="AX932" i="1"/>
  <c r="AV932" i="1"/>
  <c r="AT932" i="1"/>
  <c r="AQ932" i="1"/>
  <c r="AP932" i="1"/>
  <c r="AN932" i="1"/>
  <c r="AL932" i="1"/>
  <c r="AG932" i="1"/>
  <c r="AD932" i="1"/>
  <c r="Y932" i="1"/>
  <c r="X932" i="1"/>
  <c r="V932" i="1"/>
  <c r="T932" i="1"/>
  <c r="AY847" i="1"/>
  <c r="AX847" i="1"/>
  <c r="AV847" i="1"/>
  <c r="AT847" i="1"/>
  <c r="AQ847" i="1"/>
  <c r="AP847" i="1"/>
  <c r="AN847" i="1"/>
  <c r="AL847" i="1"/>
  <c r="AG847" i="1"/>
  <c r="AF847" i="1"/>
  <c r="AD847" i="1"/>
  <c r="AB847" i="1"/>
  <c r="X847" i="1"/>
  <c r="V847" i="1"/>
  <c r="AY817" i="1"/>
  <c r="AX817" i="1"/>
  <c r="AV817" i="1"/>
  <c r="AT817" i="1"/>
  <c r="AQ817" i="1"/>
  <c r="AP817" i="1"/>
  <c r="AN817" i="1"/>
  <c r="AL817" i="1"/>
  <c r="AG817" i="1"/>
  <c r="AF817" i="1"/>
  <c r="AD817" i="1"/>
  <c r="AB817" i="1"/>
  <c r="X817" i="1"/>
  <c r="V817" i="1"/>
  <c r="AY783" i="1"/>
  <c r="AX783" i="1"/>
  <c r="AV783" i="1"/>
  <c r="AT783" i="1"/>
  <c r="AQ783" i="1"/>
  <c r="AP783" i="1"/>
  <c r="AN783" i="1"/>
  <c r="AL783" i="1"/>
  <c r="AG783" i="1"/>
  <c r="AF783" i="1"/>
  <c r="AD783" i="1"/>
  <c r="AB783" i="1"/>
  <c r="X783" i="1"/>
  <c r="V783" i="1"/>
  <c r="AY784" i="1"/>
  <c r="AX784" i="1"/>
  <c r="AV784" i="1"/>
  <c r="AT784" i="1"/>
  <c r="AQ784" i="1"/>
  <c r="AP784" i="1"/>
  <c r="AN784" i="1"/>
  <c r="AL784" i="1"/>
  <c r="AF784" i="1"/>
  <c r="AD784" i="1"/>
  <c r="AB784" i="1"/>
  <c r="X784" i="1"/>
  <c r="V784" i="1"/>
  <c r="AY778" i="1"/>
  <c r="AX778" i="1"/>
  <c r="AV778" i="1"/>
  <c r="AT778" i="1"/>
  <c r="AQ778" i="1"/>
  <c r="AP778" i="1"/>
  <c r="AN778" i="1"/>
  <c r="AL778" i="1"/>
  <c r="AG778" i="1"/>
  <c r="AF778" i="1"/>
  <c r="AD778" i="1"/>
  <c r="AB778" i="1"/>
  <c r="X778" i="1"/>
  <c r="V778" i="1"/>
  <c r="AY712" i="1"/>
  <c r="AX712" i="1"/>
  <c r="AV712" i="1"/>
  <c r="AT712" i="1"/>
  <c r="AQ712" i="1"/>
  <c r="AP712" i="1"/>
  <c r="AN712" i="1"/>
  <c r="AL712" i="1"/>
  <c r="AG712" i="1"/>
  <c r="AF712" i="1"/>
  <c r="AD712" i="1"/>
  <c r="AB712" i="1"/>
  <c r="X712" i="1"/>
  <c r="V712" i="1"/>
  <c r="AY684" i="1"/>
  <c r="AX684" i="1"/>
  <c r="AV684" i="1"/>
  <c r="AT684" i="1"/>
  <c r="AQ684" i="1"/>
  <c r="AP684" i="1"/>
  <c r="AN684" i="1"/>
  <c r="AL684" i="1"/>
  <c r="AG684" i="1"/>
  <c r="AF684" i="1"/>
  <c r="AD684" i="1"/>
  <c r="AB684" i="1"/>
  <c r="Y684" i="1"/>
  <c r="X684" i="1"/>
  <c r="V684" i="1"/>
  <c r="T684" i="1"/>
  <c r="AY679" i="1"/>
  <c r="AX679" i="1"/>
  <c r="AV679" i="1"/>
  <c r="AT679" i="1"/>
  <c r="AQ679" i="1"/>
  <c r="AP679" i="1"/>
  <c r="AN679" i="1"/>
  <c r="AL679" i="1"/>
  <c r="AG679" i="1"/>
  <c r="AF679" i="1"/>
  <c r="AD679" i="1"/>
  <c r="AB679" i="1"/>
  <c r="Y679" i="1"/>
  <c r="X679" i="1"/>
  <c r="V679" i="1"/>
  <c r="T679" i="1"/>
  <c r="AB491" i="1"/>
  <c r="AB490" i="1"/>
  <c r="AB488" i="1"/>
  <c r="AB487" i="1"/>
  <c r="AB352" i="1"/>
  <c r="AG170" i="1"/>
  <c r="AY73" i="1"/>
  <c r="AX73" i="1"/>
  <c r="AV73" i="1"/>
  <c r="AT73" i="1"/>
  <c r="AQ73" i="1"/>
  <c r="AP73" i="1"/>
  <c r="AN73" i="1"/>
  <c r="AL73" i="1"/>
  <c r="AG73" i="1"/>
  <c r="AF73" i="1"/>
  <c r="AD73" i="1"/>
  <c r="X73" i="1"/>
  <c r="V73" i="1"/>
  <c r="AV88" i="1"/>
  <c r="AT88" i="1"/>
  <c r="AQ88" i="1"/>
  <c r="AP88" i="1"/>
  <c r="AN88" i="1"/>
  <c r="AL88" i="1"/>
  <c r="AG88" i="1"/>
  <c r="AF88" i="1"/>
  <c r="AD88" i="1"/>
  <c r="X88" i="1"/>
  <c r="V88" i="1"/>
  <c r="BA1137" i="1" l="1"/>
  <c r="AI1047" i="1"/>
  <c r="BA817" i="1"/>
  <c r="BA1158" i="1"/>
  <c r="BA784" i="1"/>
  <c r="BA783" i="1"/>
  <c r="BA847" i="1"/>
  <c r="BA684" i="1"/>
  <c r="AI679" i="1"/>
  <c r="BA712" i="1"/>
  <c r="BA778" i="1"/>
  <c r="BA1047" i="1"/>
  <c r="AZ88" i="1"/>
  <c r="BA73" i="1"/>
  <c r="BA679" i="1"/>
  <c r="AR1137" i="1"/>
  <c r="AZ1137" i="1"/>
  <c r="AI1158" i="1"/>
  <c r="AH1158" i="1"/>
  <c r="AZ1158" i="1"/>
  <c r="AI684" i="1"/>
  <c r="Z1158" i="1"/>
  <c r="Z1047" i="1"/>
  <c r="AR1047" i="1"/>
  <c r="AZ1047" i="1"/>
  <c r="Z1137" i="1"/>
  <c r="BA88" i="1"/>
  <c r="AI1137" i="1"/>
  <c r="AH1047" i="1"/>
  <c r="AH1137" i="1"/>
  <c r="Z684" i="1"/>
  <c r="AR1158" i="1"/>
  <c r="Z679" i="1"/>
  <c r="BA932" i="1"/>
  <c r="AH847" i="1"/>
  <c r="AZ847" i="1"/>
  <c r="AR847" i="1"/>
  <c r="Z932" i="1"/>
  <c r="AI932" i="1"/>
  <c r="AR932" i="1"/>
  <c r="AH932" i="1"/>
  <c r="AZ932" i="1"/>
  <c r="AH679" i="1"/>
  <c r="AR684" i="1"/>
  <c r="AZ684" i="1"/>
  <c r="AH712" i="1"/>
  <c r="AR712" i="1"/>
  <c r="AZ712" i="1"/>
  <c r="AH778" i="1"/>
  <c r="AR778" i="1"/>
  <c r="AZ778" i="1"/>
  <c r="AR784" i="1"/>
  <c r="AH783" i="1"/>
  <c r="AR783" i="1"/>
  <c r="AZ783" i="1"/>
  <c r="AH817" i="1"/>
  <c r="AR817" i="1"/>
  <c r="AZ817" i="1"/>
  <c r="AH784" i="1"/>
  <c r="AZ784" i="1"/>
  <c r="AH684" i="1"/>
  <c r="AR679" i="1"/>
  <c r="AZ679" i="1"/>
  <c r="AR88" i="1"/>
  <c r="AR73" i="1"/>
  <c r="AZ73" i="1"/>
  <c r="AH73" i="1"/>
  <c r="AH88" i="1"/>
  <c r="Q1137" i="1" l="1"/>
  <c r="Q1158" i="1"/>
  <c r="Q1047" i="1"/>
  <c r="AJ1047" i="1"/>
  <c r="Q684" i="1"/>
  <c r="Q679" i="1"/>
  <c r="BB1137" i="1"/>
  <c r="BB1158" i="1"/>
  <c r="AJ1137" i="1"/>
  <c r="BB1047" i="1"/>
  <c r="AJ1158" i="1"/>
  <c r="BB847" i="1"/>
  <c r="AJ684" i="1"/>
  <c r="BB784" i="1"/>
  <c r="BB684" i="1"/>
  <c r="Q932" i="1"/>
  <c r="BB932" i="1"/>
  <c r="AJ932" i="1"/>
  <c r="AJ679" i="1"/>
  <c r="BB817" i="1"/>
  <c r="BB783" i="1"/>
  <c r="BB778" i="1"/>
  <c r="BB712" i="1"/>
  <c r="BB73" i="1"/>
  <c r="BB679" i="1"/>
  <c r="BB88" i="1"/>
  <c r="R1047" i="1" l="1"/>
  <c r="R1137" i="1"/>
  <c r="R1158" i="1"/>
  <c r="R684" i="1"/>
  <c r="R679" i="1"/>
  <c r="R932" i="1"/>
  <c r="AY27" i="1" l="1"/>
  <c r="AX27" i="1"/>
  <c r="AV27" i="1"/>
  <c r="AT27" i="1"/>
  <c r="AQ27" i="1"/>
  <c r="AP27" i="1"/>
  <c r="AN27" i="1"/>
  <c r="AL27" i="1"/>
  <c r="AG27" i="1"/>
  <c r="AF27" i="1"/>
  <c r="AD27" i="1"/>
  <c r="X27" i="1"/>
  <c r="V27" i="1"/>
  <c r="AY648" i="1"/>
  <c r="AX648" i="1"/>
  <c r="AV648" i="1"/>
  <c r="AT648" i="1"/>
  <c r="AQ648" i="1"/>
  <c r="AP648" i="1"/>
  <c r="AN648" i="1"/>
  <c r="AL648" i="1"/>
  <c r="AG648" i="1"/>
  <c r="AF648" i="1"/>
  <c r="AD648" i="1"/>
  <c r="AB648" i="1"/>
  <c r="Y648" i="1"/>
  <c r="X648" i="1"/>
  <c r="V648" i="1"/>
  <c r="T648" i="1"/>
  <c r="AY779" i="1"/>
  <c r="AX779" i="1"/>
  <c r="AV779" i="1"/>
  <c r="AT779" i="1"/>
  <c r="AQ779" i="1"/>
  <c r="AP779" i="1"/>
  <c r="AN779" i="1"/>
  <c r="AL779" i="1"/>
  <c r="AG779" i="1"/>
  <c r="AF779" i="1"/>
  <c r="AD779" i="1"/>
  <c r="AB779" i="1"/>
  <c r="X779" i="1"/>
  <c r="V779" i="1"/>
  <c r="AY1160" i="1"/>
  <c r="AX1160" i="1"/>
  <c r="AV1160" i="1"/>
  <c r="AT1160" i="1"/>
  <c r="AQ1160" i="1"/>
  <c r="AP1160" i="1"/>
  <c r="AN1160" i="1"/>
  <c r="AL1160" i="1"/>
  <c r="AG1160" i="1"/>
  <c r="AF1160" i="1"/>
  <c r="AD1160" i="1"/>
  <c r="Y1160" i="1"/>
  <c r="X1160" i="1"/>
  <c r="V1160" i="1"/>
  <c r="T1160" i="1"/>
  <c r="AY1153" i="1"/>
  <c r="AX1153" i="1"/>
  <c r="AV1153" i="1"/>
  <c r="AT1153" i="1"/>
  <c r="AQ1153" i="1"/>
  <c r="AP1153" i="1"/>
  <c r="AN1153" i="1"/>
  <c r="AL1153" i="1"/>
  <c r="AG1153" i="1"/>
  <c r="AF1153" i="1"/>
  <c r="AD1153" i="1"/>
  <c r="Y1153" i="1"/>
  <c r="X1153" i="1"/>
  <c r="V1153" i="1"/>
  <c r="T1153" i="1"/>
  <c r="AY491" i="1"/>
  <c r="AQ491" i="1"/>
  <c r="AG491" i="1"/>
  <c r="X491" i="1"/>
  <c r="V491" i="1"/>
  <c r="BA27" i="1" l="1"/>
  <c r="AH27" i="1"/>
  <c r="AZ27" i="1"/>
  <c r="BA1153" i="1"/>
  <c r="BA779" i="1"/>
  <c r="AR27" i="1"/>
  <c r="BA491" i="1"/>
  <c r="AI1153" i="1"/>
  <c r="Z648" i="1"/>
  <c r="AH779" i="1"/>
  <c r="AR779" i="1"/>
  <c r="AZ779" i="1"/>
  <c r="AH648" i="1"/>
  <c r="AR648" i="1"/>
  <c r="AZ648" i="1"/>
  <c r="Z1153" i="1"/>
  <c r="AH1153" i="1"/>
  <c r="AR1153" i="1"/>
  <c r="AZ1153" i="1"/>
  <c r="Z1160" i="1"/>
  <c r="BA648" i="1"/>
  <c r="AI648" i="1"/>
  <c r="AR491" i="1"/>
  <c r="AH1160" i="1"/>
  <c r="AR1160" i="1"/>
  <c r="AZ1160" i="1"/>
  <c r="AI1160" i="1"/>
  <c r="BA1160" i="1"/>
  <c r="AH491" i="1"/>
  <c r="AZ491" i="1"/>
  <c r="AJ1160" i="1" l="1"/>
  <c r="Q1153" i="1"/>
  <c r="BB779" i="1"/>
  <c r="BB648" i="1"/>
  <c r="AJ648" i="1"/>
  <c r="BB27" i="1"/>
  <c r="Q648" i="1"/>
  <c r="BB1153" i="1"/>
  <c r="AJ1153" i="1"/>
  <c r="BB491" i="1"/>
  <c r="Q1160" i="1"/>
  <c r="BB1160" i="1"/>
  <c r="R1160" i="1" l="1"/>
  <c r="R648" i="1"/>
  <c r="R1153" i="1"/>
  <c r="V603" i="1"/>
  <c r="V606" i="1" s="1"/>
  <c r="AY603" i="1"/>
  <c r="AX603" i="1"/>
  <c r="AX606" i="1" s="1"/>
  <c r="AV603" i="1"/>
  <c r="AV606" i="1" s="1"/>
  <c r="AT603" i="1"/>
  <c r="AT606" i="1" s="1"/>
  <c r="AP603" i="1"/>
  <c r="AP606" i="1" s="1"/>
  <c r="AN603" i="1"/>
  <c r="AN606" i="1" s="1"/>
  <c r="AL603" i="1"/>
  <c r="AL606" i="1" s="1"/>
  <c r="AG603" i="1"/>
  <c r="AF603" i="1"/>
  <c r="AF606" i="1" s="1"/>
  <c r="AD603" i="1"/>
  <c r="AD606" i="1" s="1"/>
  <c r="AB603" i="1"/>
  <c r="AB606" i="1" s="1"/>
  <c r="X603" i="1"/>
  <c r="X606" i="1" s="1"/>
  <c r="AY569" i="1"/>
  <c r="AX569" i="1"/>
  <c r="AV569" i="1"/>
  <c r="AT569" i="1"/>
  <c r="AQ569" i="1"/>
  <c r="AP569" i="1"/>
  <c r="AN569" i="1"/>
  <c r="AL569" i="1"/>
  <c r="AG569" i="1"/>
  <c r="AF569" i="1"/>
  <c r="AD569" i="1"/>
  <c r="AB569" i="1"/>
  <c r="X569" i="1"/>
  <c r="V569" i="1"/>
  <c r="AY411" i="1"/>
  <c r="AX411" i="1"/>
  <c r="AV411" i="1"/>
  <c r="AT411" i="1"/>
  <c r="AQ411" i="1"/>
  <c r="AP411" i="1"/>
  <c r="AN411" i="1"/>
  <c r="AL411" i="1"/>
  <c r="AG411" i="1"/>
  <c r="AF411" i="1"/>
  <c r="AD411" i="1"/>
  <c r="X411" i="1"/>
  <c r="V411" i="1"/>
  <c r="AY170" i="1"/>
  <c r="AX170" i="1"/>
  <c r="AV170" i="1"/>
  <c r="AT170" i="1"/>
  <c r="AQ170" i="1"/>
  <c r="AP170" i="1"/>
  <c r="AN170" i="1"/>
  <c r="AL170" i="1"/>
  <c r="AF170" i="1"/>
  <c r="AD170" i="1"/>
  <c r="X170" i="1"/>
  <c r="V170" i="1"/>
  <c r="AY606" i="1" l="1"/>
  <c r="AG606" i="1"/>
  <c r="BA411" i="1"/>
  <c r="BA569" i="1"/>
  <c r="BA170" i="1"/>
  <c r="AH569" i="1"/>
  <c r="AR569" i="1"/>
  <c r="AZ569" i="1"/>
  <c r="AR603" i="1"/>
  <c r="AR606" i="1" s="1"/>
  <c r="AH411" i="1"/>
  <c r="AR411" i="1"/>
  <c r="AZ411" i="1"/>
  <c r="BA603" i="1"/>
  <c r="AH603" i="1"/>
  <c r="AH606" i="1" s="1"/>
  <c r="AZ603" i="1"/>
  <c r="AZ606" i="1" s="1"/>
  <c r="AH170" i="1"/>
  <c r="AR170" i="1"/>
  <c r="AZ170" i="1"/>
  <c r="BA606" i="1" l="1"/>
  <c r="BB411" i="1"/>
  <c r="BB569" i="1"/>
  <c r="BB170" i="1"/>
  <c r="BB603" i="1"/>
  <c r="BB606" i="1" s="1"/>
  <c r="U869" i="1"/>
  <c r="AY867" i="1"/>
  <c r="AX867" i="1"/>
  <c r="AV867" i="1"/>
  <c r="AT867" i="1"/>
  <c r="AQ867" i="1"/>
  <c r="AP867" i="1"/>
  <c r="AN867" i="1"/>
  <c r="AL867" i="1"/>
  <c r="AG867" i="1"/>
  <c r="AF867" i="1"/>
  <c r="AD867" i="1"/>
  <c r="AB867" i="1"/>
  <c r="X867" i="1"/>
  <c r="V867" i="1"/>
  <c r="BA867" i="1" l="1"/>
  <c r="AR867" i="1"/>
  <c r="AZ867" i="1"/>
  <c r="AH867" i="1"/>
  <c r="AY1152" i="1"/>
  <c r="AX1152" i="1"/>
  <c r="AV1152" i="1"/>
  <c r="AT1152" i="1"/>
  <c r="AQ1152" i="1"/>
  <c r="AP1152" i="1"/>
  <c r="AN1152" i="1"/>
  <c r="AL1152" i="1"/>
  <c r="AG1152" i="1"/>
  <c r="AF1152" i="1"/>
  <c r="AD1152" i="1"/>
  <c r="Y1152" i="1"/>
  <c r="X1152" i="1"/>
  <c r="V1152" i="1"/>
  <c r="T1152" i="1"/>
  <c r="AY1117" i="1"/>
  <c r="AX1117" i="1"/>
  <c r="AV1117" i="1"/>
  <c r="AT1117" i="1"/>
  <c r="AQ1117" i="1"/>
  <c r="AP1117" i="1"/>
  <c r="AN1117" i="1"/>
  <c r="AL1117" i="1"/>
  <c r="AG1117" i="1"/>
  <c r="AF1117" i="1"/>
  <c r="AD1117" i="1"/>
  <c r="AB1117" i="1"/>
  <c r="Y1117" i="1"/>
  <c r="X1117" i="1"/>
  <c r="V1117" i="1"/>
  <c r="T1117" i="1"/>
  <c r="BA1117" i="1" l="1"/>
  <c r="BB867" i="1"/>
  <c r="AI1117" i="1"/>
  <c r="AH1152" i="1"/>
  <c r="AR1152" i="1"/>
  <c r="AI1152" i="1"/>
  <c r="BA1152" i="1"/>
  <c r="AH1117" i="1"/>
  <c r="AZ1152" i="1"/>
  <c r="AR1117" i="1"/>
  <c r="AZ1117" i="1"/>
  <c r="Z1117" i="1"/>
  <c r="Z1152" i="1"/>
  <c r="Q1117" i="1" l="1"/>
  <c r="AJ1117" i="1"/>
  <c r="BB1152" i="1"/>
  <c r="AJ1152" i="1"/>
  <c r="Q1152" i="1"/>
  <c r="BB1117" i="1"/>
  <c r="R1117" i="1" l="1"/>
  <c r="R1152" i="1"/>
  <c r="AY1114" i="1"/>
  <c r="AX1114" i="1"/>
  <c r="AV1114" i="1"/>
  <c r="AT1114" i="1"/>
  <c r="AQ1114" i="1"/>
  <c r="AP1114" i="1"/>
  <c r="AN1114" i="1"/>
  <c r="AL1114" i="1"/>
  <c r="AG1114" i="1"/>
  <c r="AF1114" i="1"/>
  <c r="AD1114" i="1"/>
  <c r="AB1114" i="1"/>
  <c r="Y1114" i="1"/>
  <c r="X1114" i="1"/>
  <c r="V1114" i="1"/>
  <c r="T1114" i="1"/>
  <c r="AY1327" i="1"/>
  <c r="AX1327" i="1"/>
  <c r="AV1327" i="1"/>
  <c r="AT1327" i="1"/>
  <c r="AQ1327" i="1"/>
  <c r="AP1327" i="1"/>
  <c r="AN1327" i="1"/>
  <c r="AL1327" i="1"/>
  <c r="AG1327" i="1"/>
  <c r="AF1327" i="1"/>
  <c r="AD1327" i="1"/>
  <c r="Y1327" i="1"/>
  <c r="X1327" i="1"/>
  <c r="V1327" i="1"/>
  <c r="T1327" i="1"/>
  <c r="V553" i="1"/>
  <c r="V519" i="1"/>
  <c r="BA1114" i="1" l="1"/>
  <c r="BA1327" i="1"/>
  <c r="AI1327" i="1"/>
  <c r="AI1114" i="1"/>
  <c r="Z1327" i="1"/>
  <c r="AH1327" i="1"/>
  <c r="AR1327" i="1"/>
  <c r="AZ1327" i="1"/>
  <c r="AR1114" i="1"/>
  <c r="AZ1114" i="1"/>
  <c r="Z1114" i="1"/>
  <c r="AH1114" i="1"/>
  <c r="U535" i="1"/>
  <c r="W535" i="1"/>
  <c r="AA535" i="1"/>
  <c r="AC535" i="1"/>
  <c r="AK535" i="1"/>
  <c r="AM535" i="1"/>
  <c r="AS535" i="1"/>
  <c r="AU535" i="1"/>
  <c r="AW535" i="1"/>
  <c r="AY490" i="1"/>
  <c r="AQ490" i="1"/>
  <c r="AG490" i="1"/>
  <c r="X490" i="1"/>
  <c r="V490" i="1"/>
  <c r="AY488" i="1"/>
  <c r="AQ488" i="1"/>
  <c r="AG488" i="1"/>
  <c r="X488" i="1"/>
  <c r="V488" i="1"/>
  <c r="AY487" i="1"/>
  <c r="AQ487" i="1"/>
  <c r="AG487" i="1"/>
  <c r="X487" i="1"/>
  <c r="V487" i="1"/>
  <c r="AY457" i="1"/>
  <c r="AX457" i="1"/>
  <c r="AV457" i="1"/>
  <c r="AT457" i="1"/>
  <c r="AQ457" i="1"/>
  <c r="AP457" i="1"/>
  <c r="AN457" i="1"/>
  <c r="AL457" i="1"/>
  <c r="AG457" i="1"/>
  <c r="AF457" i="1"/>
  <c r="AD457" i="1"/>
  <c r="AB457" i="1"/>
  <c r="X457" i="1"/>
  <c r="V457" i="1"/>
  <c r="AC544" i="1" l="1"/>
  <c r="Q1114" i="1"/>
  <c r="Q1327" i="1"/>
  <c r="BA490" i="1"/>
  <c r="BA487" i="1"/>
  <c r="BA457" i="1"/>
  <c r="BA488" i="1"/>
  <c r="BB1114" i="1"/>
  <c r="AJ1327" i="1"/>
  <c r="BB1327" i="1"/>
  <c r="AH457" i="1"/>
  <c r="AR457" i="1"/>
  <c r="AZ457" i="1"/>
  <c r="AH490" i="1"/>
  <c r="AZ490" i="1"/>
  <c r="AR487" i="1"/>
  <c r="AR488" i="1"/>
  <c r="AR490" i="1"/>
  <c r="AJ1114" i="1"/>
  <c r="AH487" i="1"/>
  <c r="AH488" i="1"/>
  <c r="AZ488" i="1"/>
  <c r="BB490" i="1" l="1"/>
  <c r="BB487" i="1"/>
  <c r="R1327" i="1"/>
  <c r="R1114" i="1"/>
  <c r="BB488" i="1"/>
  <c r="BB457" i="1"/>
  <c r="Z1347" i="1"/>
  <c r="AJ1347" i="1" s="1"/>
  <c r="AY840" i="1" l="1"/>
  <c r="AX840" i="1"/>
  <c r="AV840" i="1"/>
  <c r="AT840" i="1"/>
  <c r="AQ840" i="1"/>
  <c r="AP840" i="1"/>
  <c r="AN840" i="1"/>
  <c r="AL840" i="1"/>
  <c r="AG840" i="1"/>
  <c r="AF840" i="1"/>
  <c r="AD840" i="1"/>
  <c r="AB840" i="1"/>
  <c r="X840" i="1"/>
  <c r="V840" i="1"/>
  <c r="BA840" i="1" l="1"/>
  <c r="AZ840" i="1"/>
  <c r="AH840" i="1"/>
  <c r="AR840" i="1"/>
  <c r="AY821" i="1"/>
  <c r="AX821" i="1"/>
  <c r="AV821" i="1"/>
  <c r="AT821" i="1"/>
  <c r="AQ821" i="1"/>
  <c r="AP821" i="1"/>
  <c r="AN821" i="1"/>
  <c r="AL821" i="1"/>
  <c r="AG821" i="1"/>
  <c r="AF821" i="1"/>
  <c r="AD821" i="1"/>
  <c r="AB821" i="1"/>
  <c r="X821" i="1"/>
  <c r="V821" i="1"/>
  <c r="AY820" i="1"/>
  <c r="AX820" i="1"/>
  <c r="AV820" i="1"/>
  <c r="AT820" i="1"/>
  <c r="AQ820" i="1"/>
  <c r="AP820" i="1"/>
  <c r="AN820" i="1"/>
  <c r="AL820" i="1"/>
  <c r="AG820" i="1"/>
  <c r="AF820" i="1"/>
  <c r="AD820" i="1"/>
  <c r="AB820" i="1"/>
  <c r="X820" i="1"/>
  <c r="V820" i="1"/>
  <c r="AY816" i="1"/>
  <c r="AX816" i="1"/>
  <c r="AV816" i="1"/>
  <c r="AT816" i="1"/>
  <c r="AQ816" i="1"/>
  <c r="AP816" i="1"/>
  <c r="AN816" i="1"/>
  <c r="AL816" i="1"/>
  <c r="AG816" i="1"/>
  <c r="AF816" i="1"/>
  <c r="AD816" i="1"/>
  <c r="AB816" i="1"/>
  <c r="X816" i="1"/>
  <c r="V816" i="1"/>
  <c r="AY815" i="1"/>
  <c r="AX815" i="1"/>
  <c r="AV815" i="1"/>
  <c r="AT815" i="1"/>
  <c r="AQ815" i="1"/>
  <c r="AP815" i="1"/>
  <c r="AN815" i="1"/>
  <c r="AL815" i="1"/>
  <c r="AG815" i="1"/>
  <c r="AF815" i="1"/>
  <c r="AD815" i="1"/>
  <c r="AB815" i="1"/>
  <c r="X815" i="1"/>
  <c r="V815" i="1"/>
  <c r="BA821" i="1" l="1"/>
  <c r="BA816" i="1"/>
  <c r="BA815" i="1"/>
  <c r="BB840" i="1"/>
  <c r="BA820" i="1"/>
  <c r="AR820" i="1"/>
  <c r="AR821" i="1"/>
  <c r="AH815" i="1"/>
  <c r="AR815" i="1"/>
  <c r="AZ815" i="1"/>
  <c r="AH816" i="1"/>
  <c r="AR816" i="1"/>
  <c r="AZ816" i="1"/>
  <c r="AH820" i="1"/>
  <c r="AZ820" i="1"/>
  <c r="AH821" i="1"/>
  <c r="AZ821" i="1"/>
  <c r="BB821" i="1" l="1"/>
  <c r="BB816" i="1"/>
  <c r="BB820" i="1"/>
  <c r="BB815" i="1"/>
  <c r="AY1131" i="1"/>
  <c r="AX1131" i="1"/>
  <c r="AV1131" i="1"/>
  <c r="AT1131" i="1"/>
  <c r="AQ1131" i="1"/>
  <c r="AP1131" i="1"/>
  <c r="AN1131" i="1"/>
  <c r="AL1131" i="1"/>
  <c r="AG1131" i="1"/>
  <c r="AF1131" i="1"/>
  <c r="AD1131" i="1"/>
  <c r="AB1131" i="1"/>
  <c r="Y1131" i="1"/>
  <c r="X1131" i="1"/>
  <c r="V1131" i="1"/>
  <c r="T1131" i="1"/>
  <c r="BA1131" i="1" l="1"/>
  <c r="AI1131" i="1"/>
  <c r="Z1131" i="1"/>
  <c r="AH1131" i="1"/>
  <c r="AR1131" i="1"/>
  <c r="AZ1131" i="1"/>
  <c r="R1347" i="1"/>
  <c r="Q1131" i="1" l="1"/>
  <c r="BB1131" i="1"/>
  <c r="AJ1131" i="1"/>
  <c r="Y1347" i="1"/>
  <c r="Q1347" i="1"/>
  <c r="AI1347" i="1" l="1"/>
  <c r="R1131" i="1"/>
  <c r="AX518" i="1"/>
  <c r="AV518" i="1"/>
  <c r="AT518" i="1"/>
  <c r="AQ518" i="1"/>
  <c r="AP518" i="1"/>
  <c r="AN518" i="1"/>
  <c r="AL518" i="1"/>
  <c r="AG518" i="1"/>
  <c r="AF518" i="1"/>
  <c r="AD518" i="1"/>
  <c r="AB518" i="1"/>
  <c r="X518" i="1"/>
  <c r="V518" i="1"/>
  <c r="X114" i="1"/>
  <c r="X113" i="1"/>
  <c r="X112" i="1"/>
  <c r="AR518" i="1" l="1"/>
  <c r="AH518" i="1"/>
  <c r="AZ518" i="1"/>
  <c r="BA518" i="1"/>
  <c r="BB518" i="1" l="1"/>
  <c r="AQ1164" i="1" l="1"/>
  <c r="AB1129" i="1"/>
  <c r="AB1128" i="1"/>
  <c r="AG957" i="1"/>
  <c r="AG952" i="1"/>
  <c r="S1002" i="1"/>
  <c r="Y1164" i="1"/>
  <c r="S1291" i="1"/>
  <c r="AY777" i="1" l="1"/>
  <c r="AX777" i="1"/>
  <c r="AV777" i="1"/>
  <c r="AT777" i="1"/>
  <c r="AQ777" i="1"/>
  <c r="AP777" i="1"/>
  <c r="AN777" i="1"/>
  <c r="AL777" i="1"/>
  <c r="AG777" i="1"/>
  <c r="AF777" i="1"/>
  <c r="AD777" i="1"/>
  <c r="AB777" i="1"/>
  <c r="X777" i="1"/>
  <c r="V777" i="1"/>
  <c r="AY1143" i="1"/>
  <c r="AX1143" i="1"/>
  <c r="AV1143" i="1"/>
  <c r="AT1143" i="1"/>
  <c r="AQ1143" i="1"/>
  <c r="AP1143" i="1"/>
  <c r="AN1143" i="1"/>
  <c r="AL1143" i="1"/>
  <c r="AG1143" i="1"/>
  <c r="AF1143" i="1"/>
  <c r="AD1143" i="1"/>
  <c r="Y1143" i="1"/>
  <c r="X1143" i="1"/>
  <c r="V1143" i="1"/>
  <c r="T1143" i="1"/>
  <c r="AY1128" i="1"/>
  <c r="AX1128" i="1"/>
  <c r="AV1128" i="1"/>
  <c r="AT1128" i="1"/>
  <c r="AQ1128" i="1"/>
  <c r="AP1128" i="1"/>
  <c r="AN1128" i="1"/>
  <c r="AL1128" i="1"/>
  <c r="AG1128" i="1"/>
  <c r="AF1128" i="1"/>
  <c r="AD1128" i="1"/>
  <c r="Y1128" i="1"/>
  <c r="X1128" i="1"/>
  <c r="V1128" i="1"/>
  <c r="T1128" i="1"/>
  <c r="AY1120" i="1"/>
  <c r="AX1120" i="1"/>
  <c r="AV1120" i="1"/>
  <c r="AT1120" i="1"/>
  <c r="AQ1120" i="1"/>
  <c r="AP1120" i="1"/>
  <c r="AN1120" i="1"/>
  <c r="AL1120" i="1"/>
  <c r="AG1120" i="1"/>
  <c r="AF1120" i="1"/>
  <c r="AD1120" i="1"/>
  <c r="AB1120" i="1"/>
  <c r="Y1120" i="1"/>
  <c r="X1120" i="1"/>
  <c r="V1120" i="1"/>
  <c r="T1120" i="1"/>
  <c r="AY1121" i="1"/>
  <c r="AX1121" i="1"/>
  <c r="AV1121" i="1"/>
  <c r="AT1121" i="1"/>
  <c r="AQ1121" i="1"/>
  <c r="AP1121" i="1"/>
  <c r="AN1121" i="1"/>
  <c r="AL1121" i="1"/>
  <c r="AG1121" i="1"/>
  <c r="AF1121" i="1"/>
  <c r="AD1121" i="1"/>
  <c r="AB1121" i="1"/>
  <c r="Y1121" i="1"/>
  <c r="X1121" i="1"/>
  <c r="V1121" i="1"/>
  <c r="T1121" i="1"/>
  <c r="AY989" i="1"/>
  <c r="AX989" i="1"/>
  <c r="AV989" i="1"/>
  <c r="AT989" i="1"/>
  <c r="AQ989" i="1"/>
  <c r="AP989" i="1"/>
  <c r="AN989" i="1"/>
  <c r="AL989" i="1"/>
  <c r="AG989" i="1"/>
  <c r="AF989" i="1"/>
  <c r="AD989" i="1"/>
  <c r="AB989" i="1"/>
  <c r="Y989" i="1"/>
  <c r="X989" i="1"/>
  <c r="V989" i="1"/>
  <c r="T989" i="1"/>
  <c r="AY987" i="1"/>
  <c r="AX987" i="1"/>
  <c r="AV987" i="1"/>
  <c r="AT987" i="1"/>
  <c r="AQ987" i="1"/>
  <c r="AP987" i="1"/>
  <c r="AN987" i="1"/>
  <c r="AL987" i="1"/>
  <c r="AG987" i="1"/>
  <c r="AF987" i="1"/>
  <c r="AD987" i="1"/>
  <c r="AB987" i="1"/>
  <c r="Y987" i="1"/>
  <c r="X987" i="1"/>
  <c r="V987" i="1"/>
  <c r="T987" i="1"/>
  <c r="AY458" i="1"/>
  <c r="AX458" i="1"/>
  <c r="AV458" i="1"/>
  <c r="AT458" i="1"/>
  <c r="AQ458" i="1"/>
  <c r="AP458" i="1"/>
  <c r="AN458" i="1"/>
  <c r="AL458" i="1"/>
  <c r="AG458" i="1"/>
  <c r="AF458" i="1"/>
  <c r="AD458" i="1"/>
  <c r="AB458" i="1"/>
  <c r="X458" i="1"/>
  <c r="V458" i="1"/>
  <c r="AI989" i="1" l="1"/>
  <c r="AI1121" i="1"/>
  <c r="BA1121" i="1"/>
  <c r="BA777" i="1"/>
  <c r="AI987" i="1"/>
  <c r="BA987" i="1"/>
  <c r="AI1120" i="1"/>
  <c r="AI1128" i="1"/>
  <c r="BA458" i="1"/>
  <c r="BA989" i="1"/>
  <c r="BA1120" i="1"/>
  <c r="AR458" i="1"/>
  <c r="AI1143" i="1"/>
  <c r="AH777" i="1"/>
  <c r="AR777" i="1"/>
  <c r="AZ777" i="1"/>
  <c r="AH458" i="1"/>
  <c r="AZ458" i="1"/>
  <c r="BA1143" i="1"/>
  <c r="AZ1143" i="1"/>
  <c r="AR1143" i="1"/>
  <c r="AH1143" i="1"/>
  <c r="Z1143" i="1"/>
  <c r="BA1128" i="1"/>
  <c r="AZ1120" i="1"/>
  <c r="Z1120" i="1"/>
  <c r="AH1120" i="1"/>
  <c r="AR1120" i="1"/>
  <c r="Z1128" i="1"/>
  <c r="AH1128" i="1"/>
  <c r="AR1128" i="1"/>
  <c r="AZ1128" i="1"/>
  <c r="AZ989" i="1"/>
  <c r="Z1121" i="1"/>
  <c r="AH1121" i="1"/>
  <c r="AR1121" i="1"/>
  <c r="AZ1121" i="1"/>
  <c r="AR989" i="1"/>
  <c r="AH989" i="1"/>
  <c r="Z989" i="1"/>
  <c r="Z987" i="1"/>
  <c r="AH987" i="1"/>
  <c r="AR987" i="1"/>
  <c r="AZ987" i="1"/>
  <c r="AY39" i="1"/>
  <c r="AV39" i="1"/>
  <c r="AT39" i="1"/>
  <c r="AQ39" i="1"/>
  <c r="AP39" i="1"/>
  <c r="AN39" i="1"/>
  <c r="AL39" i="1"/>
  <c r="AG39" i="1"/>
  <c r="AF39" i="1"/>
  <c r="AD39" i="1"/>
  <c r="X39" i="1"/>
  <c r="V39" i="1"/>
  <c r="Q1121" i="1" l="1"/>
  <c r="Q989" i="1"/>
  <c r="Q987" i="1"/>
  <c r="BA39" i="1"/>
  <c r="Q1120" i="1"/>
  <c r="Q1128" i="1"/>
  <c r="BB458" i="1"/>
  <c r="Q1143" i="1"/>
  <c r="AJ989" i="1"/>
  <c r="AJ1120" i="1"/>
  <c r="BB989" i="1"/>
  <c r="BB777" i="1"/>
  <c r="BB1143" i="1"/>
  <c r="AJ1143" i="1"/>
  <c r="BB1121" i="1"/>
  <c r="BB1120" i="1"/>
  <c r="BB1128" i="1"/>
  <c r="AJ1128" i="1"/>
  <c r="AJ1121" i="1"/>
  <c r="AJ987" i="1"/>
  <c r="BB987" i="1"/>
  <c r="AR39" i="1"/>
  <c r="AZ39" i="1"/>
  <c r="AH39" i="1"/>
  <c r="R1120" i="1" l="1"/>
  <c r="R989" i="1"/>
  <c r="R1143" i="1"/>
  <c r="R1121" i="1"/>
  <c r="R1128" i="1"/>
  <c r="R987" i="1"/>
  <c r="BB39" i="1"/>
  <c r="AU737" i="1" l="1"/>
  <c r="AV705" i="1"/>
  <c r="AV704" i="1"/>
  <c r="AV703" i="1"/>
  <c r="AY704" i="1"/>
  <c r="AX704" i="1"/>
  <c r="AT704" i="1"/>
  <c r="AQ704" i="1"/>
  <c r="AP704" i="1"/>
  <c r="AN704" i="1"/>
  <c r="AL704" i="1"/>
  <c r="AG704" i="1"/>
  <c r="AF704" i="1"/>
  <c r="AD704" i="1"/>
  <c r="AB704" i="1"/>
  <c r="X704" i="1"/>
  <c r="V704" i="1"/>
  <c r="AY705" i="1"/>
  <c r="AX705" i="1"/>
  <c r="AT705" i="1"/>
  <c r="AQ705" i="1"/>
  <c r="AP705" i="1"/>
  <c r="AN705" i="1"/>
  <c r="AL705" i="1"/>
  <c r="AG705" i="1"/>
  <c r="AF705" i="1"/>
  <c r="AD705" i="1"/>
  <c r="AB705" i="1"/>
  <c r="X705" i="1"/>
  <c r="V705" i="1"/>
  <c r="AV770" i="1"/>
  <c r="AN640" i="1"/>
  <c r="AY1163" i="1"/>
  <c r="AX1163" i="1"/>
  <c r="AV1163" i="1"/>
  <c r="AT1163" i="1"/>
  <c r="AQ1163" i="1"/>
  <c r="AP1163" i="1"/>
  <c r="AN1163" i="1"/>
  <c r="AL1163" i="1"/>
  <c r="AG1163" i="1"/>
  <c r="AF1163" i="1"/>
  <c r="AD1163" i="1"/>
  <c r="Y1163" i="1"/>
  <c r="X1163" i="1"/>
  <c r="V1163" i="1"/>
  <c r="T1163" i="1"/>
  <c r="AY1164" i="1"/>
  <c r="AX1164" i="1"/>
  <c r="AV1164" i="1"/>
  <c r="AT1164" i="1"/>
  <c r="AP1164" i="1"/>
  <c r="AN1164" i="1"/>
  <c r="AL1164" i="1"/>
  <c r="AG1164" i="1"/>
  <c r="AF1164" i="1"/>
  <c r="AD1164" i="1"/>
  <c r="X1164" i="1"/>
  <c r="V1164" i="1"/>
  <c r="T1164" i="1"/>
  <c r="AU1291" i="1"/>
  <c r="AY1159" i="1"/>
  <c r="AX1159" i="1"/>
  <c r="AV1159" i="1"/>
  <c r="AT1159" i="1"/>
  <c r="AQ1159" i="1"/>
  <c r="AP1159" i="1"/>
  <c r="AN1159" i="1"/>
  <c r="AL1159" i="1"/>
  <c r="AG1159" i="1"/>
  <c r="AF1159" i="1"/>
  <c r="AD1159" i="1"/>
  <c r="Y1159" i="1"/>
  <c r="X1159" i="1"/>
  <c r="V1159" i="1"/>
  <c r="T1159" i="1"/>
  <c r="AY1156" i="1"/>
  <c r="AX1156" i="1"/>
  <c r="AV1156" i="1"/>
  <c r="AT1156" i="1"/>
  <c r="AQ1156" i="1"/>
  <c r="AP1156" i="1"/>
  <c r="AN1156" i="1"/>
  <c r="AL1156" i="1"/>
  <c r="AG1156" i="1"/>
  <c r="AF1156" i="1"/>
  <c r="AD1156" i="1"/>
  <c r="Y1156" i="1"/>
  <c r="X1156" i="1"/>
  <c r="V1156" i="1"/>
  <c r="T1156" i="1"/>
  <c r="BA1163" i="1" l="1"/>
  <c r="AI1164" i="1"/>
  <c r="BA1164" i="1"/>
  <c r="BA1159" i="1"/>
  <c r="AI1159" i="1"/>
  <c r="AI1156" i="1"/>
  <c r="Z1159" i="1"/>
  <c r="AR1159" i="1"/>
  <c r="AH1159" i="1"/>
  <c r="BA1156" i="1"/>
  <c r="BA705" i="1"/>
  <c r="AZ1159" i="1"/>
  <c r="BA704" i="1"/>
  <c r="AR705" i="1"/>
  <c r="AH705" i="1"/>
  <c r="AZ704" i="1"/>
  <c r="AR704" i="1"/>
  <c r="AH704" i="1"/>
  <c r="AZ705" i="1"/>
  <c r="AI1163" i="1"/>
  <c r="AH1164" i="1"/>
  <c r="AR1164" i="1"/>
  <c r="AZ1164" i="1"/>
  <c r="Z1164" i="1"/>
  <c r="AZ1163" i="1"/>
  <c r="AR1163" i="1"/>
  <c r="AH1163" i="1"/>
  <c r="Z1163" i="1"/>
  <c r="Z1156" i="1"/>
  <c r="AH1156" i="1"/>
  <c r="AR1156" i="1"/>
  <c r="AZ1156" i="1"/>
  <c r="AY1140" i="1"/>
  <c r="AX1140" i="1"/>
  <c r="AV1140" i="1"/>
  <c r="AT1140" i="1"/>
  <c r="AQ1140" i="1"/>
  <c r="AP1140" i="1"/>
  <c r="AN1140" i="1"/>
  <c r="AL1140" i="1"/>
  <c r="AG1140" i="1"/>
  <c r="AF1140" i="1"/>
  <c r="AD1140" i="1"/>
  <c r="Y1140" i="1"/>
  <c r="X1140" i="1"/>
  <c r="V1140" i="1"/>
  <c r="T1140" i="1"/>
  <c r="AY1136" i="1"/>
  <c r="AX1136" i="1"/>
  <c r="AV1136" i="1"/>
  <c r="AT1136" i="1"/>
  <c r="AQ1136" i="1"/>
  <c r="AP1136" i="1"/>
  <c r="AN1136" i="1"/>
  <c r="AL1136" i="1"/>
  <c r="AG1136" i="1"/>
  <c r="AF1136" i="1"/>
  <c r="AD1136" i="1"/>
  <c r="Y1136" i="1"/>
  <c r="X1136" i="1"/>
  <c r="V1136" i="1"/>
  <c r="T1136" i="1"/>
  <c r="AY1134" i="1"/>
  <c r="AX1134" i="1"/>
  <c r="AV1134" i="1"/>
  <c r="AT1134" i="1"/>
  <c r="AQ1134" i="1"/>
  <c r="AP1134" i="1"/>
  <c r="AN1134" i="1"/>
  <c r="AL1134" i="1"/>
  <c r="AG1134" i="1"/>
  <c r="AF1134" i="1"/>
  <c r="AD1134" i="1"/>
  <c r="AB1134" i="1"/>
  <c r="Y1134" i="1"/>
  <c r="X1134" i="1"/>
  <c r="V1134" i="1"/>
  <c r="T1134" i="1"/>
  <c r="AV1126" i="1"/>
  <c r="AY1126" i="1"/>
  <c r="AX1126" i="1"/>
  <c r="AT1126" i="1"/>
  <c r="AQ1126" i="1"/>
  <c r="AP1126" i="1"/>
  <c r="AN1126" i="1"/>
  <c r="AL1126" i="1"/>
  <c r="AG1126" i="1"/>
  <c r="AF1126" i="1"/>
  <c r="AD1126" i="1"/>
  <c r="AB1126" i="1"/>
  <c r="Y1126" i="1"/>
  <c r="X1126" i="1"/>
  <c r="V1126" i="1"/>
  <c r="T1126" i="1"/>
  <c r="AY1119" i="1"/>
  <c r="AX1119" i="1"/>
  <c r="AV1119" i="1"/>
  <c r="AT1119" i="1"/>
  <c r="AQ1119" i="1"/>
  <c r="AP1119" i="1"/>
  <c r="AN1119" i="1"/>
  <c r="AL1119" i="1"/>
  <c r="AG1119" i="1"/>
  <c r="AF1119" i="1"/>
  <c r="AD1119" i="1"/>
  <c r="AB1119" i="1"/>
  <c r="Y1119" i="1"/>
  <c r="X1119" i="1"/>
  <c r="V1119" i="1"/>
  <c r="T1119" i="1"/>
  <c r="Q1163" i="1" l="1"/>
  <c r="AI1126" i="1"/>
  <c r="Q1164" i="1"/>
  <c r="AI1134" i="1"/>
  <c r="Q1159" i="1"/>
  <c r="BA1134" i="1"/>
  <c r="AI1136" i="1"/>
  <c r="Q1156" i="1"/>
  <c r="BB1159" i="1"/>
  <c r="AJ1159" i="1"/>
  <c r="BA1119" i="1"/>
  <c r="BA1136" i="1"/>
  <c r="AI1119" i="1"/>
  <c r="BA1126" i="1"/>
  <c r="AJ1164" i="1"/>
  <c r="BB1164" i="1"/>
  <c r="BB705" i="1"/>
  <c r="BB704" i="1"/>
  <c r="BB1156" i="1"/>
  <c r="AJ1156" i="1"/>
  <c r="AI1140" i="1"/>
  <c r="Z1119" i="1"/>
  <c r="BA1140" i="1"/>
  <c r="BB1163" i="1"/>
  <c r="AJ1163" i="1"/>
  <c r="AZ1140" i="1"/>
  <c r="AR1140" i="1"/>
  <c r="AH1140" i="1"/>
  <c r="Z1140" i="1"/>
  <c r="AZ1136" i="1"/>
  <c r="AR1136" i="1"/>
  <c r="AH1136" i="1"/>
  <c r="Z1136" i="1"/>
  <c r="Z1134" i="1"/>
  <c r="AH1134" i="1"/>
  <c r="AR1134" i="1"/>
  <c r="AZ1134" i="1"/>
  <c r="AZ1126" i="1"/>
  <c r="AR1126" i="1"/>
  <c r="AH1126" i="1"/>
  <c r="Z1126" i="1"/>
  <c r="AZ1119" i="1"/>
  <c r="AR1119" i="1"/>
  <c r="AH1119" i="1"/>
  <c r="Q1126" i="1" l="1"/>
  <c r="Q1134" i="1"/>
  <c r="Q1136" i="1"/>
  <c r="R1159" i="1"/>
  <c r="AJ1119" i="1"/>
  <c r="Q1119" i="1"/>
  <c r="R1164" i="1"/>
  <c r="R1156" i="1"/>
  <c r="Q1140" i="1"/>
  <c r="R1163" i="1"/>
  <c r="BB1140" i="1"/>
  <c r="AJ1140" i="1"/>
  <c r="BB1126" i="1"/>
  <c r="BB1134" i="1"/>
  <c r="AJ1134" i="1"/>
  <c r="BB1136" i="1"/>
  <c r="AJ1136" i="1"/>
  <c r="AJ1126" i="1"/>
  <c r="BB1119" i="1"/>
  <c r="R1119" i="1" l="1"/>
  <c r="R1134" i="1"/>
  <c r="R1126" i="1"/>
  <c r="R1140" i="1"/>
  <c r="R1136" i="1"/>
  <c r="W992" i="1" l="1"/>
  <c r="U992" i="1"/>
  <c r="S992" i="1"/>
  <c r="AY990" i="1"/>
  <c r="AX990" i="1"/>
  <c r="AV990" i="1"/>
  <c r="AT990" i="1"/>
  <c r="AQ990" i="1"/>
  <c r="AP990" i="1"/>
  <c r="AN990" i="1"/>
  <c r="AL990" i="1"/>
  <c r="AG990" i="1"/>
  <c r="AF990" i="1"/>
  <c r="AD990" i="1"/>
  <c r="AB990" i="1"/>
  <c r="Y990" i="1"/>
  <c r="X990" i="1"/>
  <c r="V990" i="1"/>
  <c r="T990" i="1"/>
  <c r="AV553" i="1"/>
  <c r="AI990" i="1" l="1"/>
  <c r="BA990" i="1"/>
  <c r="AH990" i="1"/>
  <c r="Z990" i="1"/>
  <c r="AR990" i="1"/>
  <c r="AZ990" i="1"/>
  <c r="AV8" i="1"/>
  <c r="Q990" i="1" l="1"/>
  <c r="BB990" i="1"/>
  <c r="AJ990" i="1"/>
  <c r="AY832" i="1"/>
  <c r="AX832" i="1"/>
  <c r="AV832" i="1"/>
  <c r="AT832" i="1"/>
  <c r="AQ832" i="1"/>
  <c r="AP832" i="1"/>
  <c r="AN832" i="1"/>
  <c r="AL832" i="1"/>
  <c r="AG832" i="1"/>
  <c r="AF832" i="1"/>
  <c r="AD832" i="1"/>
  <c r="AB832" i="1"/>
  <c r="X832" i="1"/>
  <c r="V832" i="1"/>
  <c r="AY833" i="1"/>
  <c r="AX833" i="1"/>
  <c r="AV833" i="1"/>
  <c r="AT833" i="1"/>
  <c r="AQ833" i="1"/>
  <c r="AP833" i="1"/>
  <c r="AN833" i="1"/>
  <c r="AL833" i="1"/>
  <c r="AG833" i="1"/>
  <c r="AF833" i="1"/>
  <c r="AD833" i="1"/>
  <c r="AB833" i="1"/>
  <c r="X833" i="1"/>
  <c r="V833" i="1"/>
  <c r="AY834" i="1"/>
  <c r="AX834" i="1"/>
  <c r="AV834" i="1"/>
  <c r="AT834" i="1"/>
  <c r="AQ834" i="1"/>
  <c r="AP834" i="1"/>
  <c r="AN834" i="1"/>
  <c r="AL834" i="1"/>
  <c r="AG834" i="1"/>
  <c r="AF834" i="1"/>
  <c r="AD834" i="1"/>
  <c r="AB834" i="1"/>
  <c r="X834" i="1"/>
  <c r="V834" i="1"/>
  <c r="AY803" i="1"/>
  <c r="AX803" i="1"/>
  <c r="AV803" i="1"/>
  <c r="AT803" i="1"/>
  <c r="AQ803" i="1"/>
  <c r="AP803" i="1"/>
  <c r="AN803" i="1"/>
  <c r="AL803" i="1"/>
  <c r="AG803" i="1"/>
  <c r="AF803" i="1"/>
  <c r="AD803" i="1"/>
  <c r="AB803" i="1"/>
  <c r="X803" i="1"/>
  <c r="V803" i="1"/>
  <c r="AS992" i="1"/>
  <c r="AA992" i="1"/>
  <c r="AC992" i="1"/>
  <c r="AE992" i="1"/>
  <c r="AK992" i="1"/>
  <c r="AM992" i="1"/>
  <c r="AO992" i="1"/>
  <c r="AU992" i="1"/>
  <c r="AW992" i="1"/>
  <c r="AY986" i="1"/>
  <c r="AX986" i="1"/>
  <c r="AV986" i="1"/>
  <c r="AT986" i="1"/>
  <c r="AQ986" i="1"/>
  <c r="AP986" i="1"/>
  <c r="AN986" i="1"/>
  <c r="AL986" i="1"/>
  <c r="AG986" i="1"/>
  <c r="AF986" i="1"/>
  <c r="AD986" i="1"/>
  <c r="AB986" i="1"/>
  <c r="Y986" i="1"/>
  <c r="X986" i="1"/>
  <c r="V986" i="1"/>
  <c r="T986" i="1"/>
  <c r="AY988" i="1"/>
  <c r="AX988" i="1"/>
  <c r="AV988" i="1"/>
  <c r="AT988" i="1"/>
  <c r="AQ988" i="1"/>
  <c r="AP988" i="1"/>
  <c r="AN988" i="1"/>
  <c r="AL988" i="1"/>
  <c r="AG988" i="1"/>
  <c r="AF988" i="1"/>
  <c r="AD988" i="1"/>
  <c r="AB988" i="1"/>
  <c r="Y988" i="1"/>
  <c r="X988" i="1"/>
  <c r="V988" i="1"/>
  <c r="T988" i="1"/>
  <c r="AY991" i="1"/>
  <c r="AX991" i="1"/>
  <c r="AV991" i="1"/>
  <c r="AT991" i="1"/>
  <c r="AQ991" i="1"/>
  <c r="AP991" i="1"/>
  <c r="AN991" i="1"/>
  <c r="AL991" i="1"/>
  <c r="AG991" i="1"/>
  <c r="AF991" i="1"/>
  <c r="AD991" i="1"/>
  <c r="AB991" i="1"/>
  <c r="Y991" i="1"/>
  <c r="X991" i="1"/>
  <c r="V991" i="1"/>
  <c r="T991" i="1"/>
  <c r="AI988" i="1" l="1"/>
  <c r="BA834" i="1"/>
  <c r="BA832" i="1"/>
  <c r="AI991" i="1"/>
  <c r="BA833" i="1"/>
  <c r="AI986" i="1"/>
  <c r="BA991" i="1"/>
  <c r="AH834" i="1"/>
  <c r="AH833" i="1"/>
  <c r="AR833" i="1"/>
  <c r="AH832" i="1"/>
  <c r="R990" i="1"/>
  <c r="AZ834" i="1"/>
  <c r="AZ833" i="1"/>
  <c r="AZ832" i="1"/>
  <c r="BA986" i="1"/>
  <c r="AR834" i="1"/>
  <c r="AR832" i="1"/>
  <c r="AZ991" i="1"/>
  <c r="Z988" i="1"/>
  <c r="AR988" i="1"/>
  <c r="AZ988" i="1"/>
  <c r="AH986" i="1"/>
  <c r="AR986" i="1"/>
  <c r="AZ986" i="1"/>
  <c r="AH803" i="1"/>
  <c r="AR803" i="1"/>
  <c r="AZ803" i="1"/>
  <c r="BA803" i="1"/>
  <c r="BA988" i="1"/>
  <c r="Z986" i="1"/>
  <c r="AH988" i="1"/>
  <c r="Z991" i="1"/>
  <c r="AH991" i="1"/>
  <c r="AR991" i="1"/>
  <c r="BB991" i="1" s="1"/>
  <c r="AJ988" i="1" l="1"/>
  <c r="Q988" i="1"/>
  <c r="Q991" i="1"/>
  <c r="Q986" i="1"/>
  <c r="BB832" i="1"/>
  <c r="AJ986" i="1"/>
  <c r="BB834" i="1"/>
  <c r="BB833" i="1"/>
  <c r="BB988" i="1"/>
  <c r="BB803" i="1"/>
  <c r="BB986" i="1"/>
  <c r="AJ991" i="1"/>
  <c r="R991" i="1" s="1"/>
  <c r="R988" i="1" l="1"/>
  <c r="R986" i="1"/>
  <c r="AT959" i="1" l="1"/>
  <c r="AT958" i="1"/>
  <c r="AT961" i="1"/>
  <c r="AT534" i="1"/>
  <c r="AY521" i="1"/>
  <c r="AX521" i="1"/>
  <c r="AV521" i="1"/>
  <c r="AT521" i="1"/>
  <c r="AQ521" i="1"/>
  <c r="AP521" i="1"/>
  <c r="AN521" i="1"/>
  <c r="AL521" i="1"/>
  <c r="AG521" i="1"/>
  <c r="AF521" i="1"/>
  <c r="AD521" i="1"/>
  <c r="AB521" i="1"/>
  <c r="X521" i="1"/>
  <c r="V521" i="1"/>
  <c r="BA521" i="1" l="1"/>
  <c r="AH521" i="1"/>
  <c r="AR521" i="1"/>
  <c r="AZ521" i="1"/>
  <c r="AY1289" i="1"/>
  <c r="AX1289" i="1"/>
  <c r="AV1289" i="1"/>
  <c r="AT1289" i="1"/>
  <c r="AQ1289" i="1"/>
  <c r="AP1289" i="1"/>
  <c r="AN1289" i="1"/>
  <c r="AL1289" i="1"/>
  <c r="AG1289" i="1"/>
  <c r="AF1289" i="1"/>
  <c r="AD1289" i="1"/>
  <c r="Y1289" i="1"/>
  <c r="X1289" i="1"/>
  <c r="V1289" i="1"/>
  <c r="T1289" i="1"/>
  <c r="AY1103" i="1"/>
  <c r="AX1103" i="1"/>
  <c r="AV1103" i="1"/>
  <c r="AT1103" i="1"/>
  <c r="AQ1103" i="1"/>
  <c r="AP1103" i="1"/>
  <c r="AN1103" i="1"/>
  <c r="AL1103" i="1"/>
  <c r="AG1103" i="1"/>
  <c r="AF1103" i="1"/>
  <c r="AD1103" i="1"/>
  <c r="AB1103" i="1"/>
  <c r="Y1103" i="1"/>
  <c r="X1103" i="1"/>
  <c r="V1103" i="1"/>
  <c r="T1103" i="1"/>
  <c r="AH1103" i="1" l="1"/>
  <c r="BA1103" i="1"/>
  <c r="AI1103" i="1"/>
  <c r="AI1289" i="1"/>
  <c r="BA1289" i="1"/>
  <c r="AZ1289" i="1"/>
  <c r="Z1103" i="1"/>
  <c r="AR1103" i="1"/>
  <c r="AZ1103" i="1"/>
  <c r="BB521" i="1"/>
  <c r="AR1289" i="1"/>
  <c r="AH1289" i="1"/>
  <c r="Z1289" i="1"/>
  <c r="Q1103" i="1" l="1"/>
  <c r="Q1289" i="1"/>
  <c r="BB1289" i="1"/>
  <c r="AJ1103" i="1"/>
  <c r="BB1103" i="1"/>
  <c r="AJ1289" i="1"/>
  <c r="R1289" i="1" l="1"/>
  <c r="R1103" i="1"/>
  <c r="AP574" i="1"/>
  <c r="AY520" i="1"/>
  <c r="AX520" i="1"/>
  <c r="AV520" i="1"/>
  <c r="AT520" i="1"/>
  <c r="AQ520" i="1"/>
  <c r="AP520" i="1"/>
  <c r="AN520" i="1"/>
  <c r="AL520" i="1"/>
  <c r="AG520" i="1"/>
  <c r="AF520" i="1"/>
  <c r="AD520" i="1"/>
  <c r="AB520" i="1"/>
  <c r="X520" i="1"/>
  <c r="V520" i="1"/>
  <c r="AY534" i="1"/>
  <c r="AX534" i="1"/>
  <c r="AV534" i="1"/>
  <c r="AQ534" i="1"/>
  <c r="AP534" i="1"/>
  <c r="AN534" i="1"/>
  <c r="AL534" i="1"/>
  <c r="AG534" i="1"/>
  <c r="AD534" i="1"/>
  <c r="AB534" i="1"/>
  <c r="X534" i="1"/>
  <c r="V534" i="1"/>
  <c r="V535" i="1" l="1"/>
  <c r="BA520" i="1"/>
  <c r="AR534" i="1"/>
  <c r="AZ520" i="1"/>
  <c r="BA534" i="1"/>
  <c r="AH520" i="1"/>
  <c r="AR520" i="1"/>
  <c r="AH534" i="1"/>
  <c r="AZ534" i="1"/>
  <c r="BB520" i="1" l="1"/>
  <c r="BB534" i="1"/>
  <c r="AY90" i="1" l="1"/>
  <c r="AX90" i="1"/>
  <c r="AV90" i="1"/>
  <c r="AT90" i="1"/>
  <c r="AQ90" i="1"/>
  <c r="AP90" i="1"/>
  <c r="AN90" i="1"/>
  <c r="AL90" i="1"/>
  <c r="AG90" i="1"/>
  <c r="AF90" i="1"/>
  <c r="AD90" i="1"/>
  <c r="X90" i="1"/>
  <c r="V90" i="1"/>
  <c r="AR90" i="1" l="1"/>
  <c r="BA90" i="1"/>
  <c r="AH90" i="1"/>
  <c r="AZ90" i="1"/>
  <c r="AY14" i="1"/>
  <c r="AX14" i="1"/>
  <c r="AV14" i="1"/>
  <c r="AT14" i="1"/>
  <c r="AQ14" i="1"/>
  <c r="AP14" i="1"/>
  <c r="AN14" i="1"/>
  <c r="AL14" i="1"/>
  <c r="AG14" i="1"/>
  <c r="AF14" i="1"/>
  <c r="AD14" i="1"/>
  <c r="X14" i="1"/>
  <c r="V14" i="1"/>
  <c r="BB90" i="1" l="1"/>
  <c r="BA14" i="1"/>
  <c r="AR14" i="1"/>
  <c r="AH14" i="1"/>
  <c r="AZ14" i="1"/>
  <c r="X1325" i="1"/>
  <c r="BB14" i="1" l="1"/>
  <c r="AN686" i="1"/>
  <c r="AN755" i="1"/>
  <c r="AY755" i="1"/>
  <c r="AX755" i="1"/>
  <c r="AV755" i="1"/>
  <c r="AT755" i="1"/>
  <c r="AQ755" i="1"/>
  <c r="AP755" i="1"/>
  <c r="AL755" i="1"/>
  <c r="AG755" i="1"/>
  <c r="AF755" i="1"/>
  <c r="AD755" i="1"/>
  <c r="AB755" i="1"/>
  <c r="X755" i="1"/>
  <c r="V755" i="1"/>
  <c r="AR755" i="1" l="1"/>
  <c r="BA755" i="1"/>
  <c r="AH755" i="1"/>
  <c r="AZ755" i="1"/>
  <c r="AN551" i="1"/>
  <c r="AY551" i="1"/>
  <c r="AX551" i="1"/>
  <c r="AV551" i="1"/>
  <c r="AT551" i="1"/>
  <c r="AQ551" i="1"/>
  <c r="AP551" i="1"/>
  <c r="AL551" i="1"/>
  <c r="AG551" i="1"/>
  <c r="AF551" i="1"/>
  <c r="AD551" i="1"/>
  <c r="AB551" i="1"/>
  <c r="X551" i="1"/>
  <c r="V551" i="1"/>
  <c r="AN570" i="1"/>
  <c r="AY570" i="1"/>
  <c r="AX570" i="1"/>
  <c r="AV570" i="1"/>
  <c r="AT570" i="1"/>
  <c r="AQ570" i="1"/>
  <c r="AP570" i="1"/>
  <c r="AL570" i="1"/>
  <c r="AG570" i="1"/>
  <c r="AF570" i="1"/>
  <c r="AD570" i="1"/>
  <c r="AB570" i="1"/>
  <c r="X570" i="1"/>
  <c r="V570" i="1"/>
  <c r="BA570" i="1" l="1"/>
  <c r="BB755" i="1"/>
  <c r="BA551" i="1"/>
  <c r="AZ570" i="1"/>
  <c r="AH551" i="1"/>
  <c r="AZ551" i="1"/>
  <c r="AR551" i="1"/>
  <c r="AR570" i="1"/>
  <c r="AH570" i="1"/>
  <c r="U1370" i="1"/>
  <c r="W1370" i="1"/>
  <c r="AA1370" i="1"/>
  <c r="AC1370" i="1"/>
  <c r="AE1370" i="1"/>
  <c r="AK1370" i="1"/>
  <c r="AS1370" i="1"/>
  <c r="AU1370" i="1"/>
  <c r="AW1370" i="1"/>
  <c r="S1356" i="1"/>
  <c r="U1356" i="1"/>
  <c r="W1356" i="1"/>
  <c r="Y1356" i="1"/>
  <c r="AA1356" i="1"/>
  <c r="AC1356" i="1"/>
  <c r="AE1356" i="1"/>
  <c r="AG1356" i="1"/>
  <c r="AI1356" i="1"/>
  <c r="AK1356" i="1"/>
  <c r="AM1356" i="1"/>
  <c r="AO1356" i="1"/>
  <c r="AQ1356" i="1"/>
  <c r="AS1356" i="1"/>
  <c r="AU1356" i="1"/>
  <c r="AW1356" i="1"/>
  <c r="AY1356" i="1"/>
  <c r="BA1356" i="1"/>
  <c r="Q1356" i="1"/>
  <c r="BB570" i="1" l="1"/>
  <c r="BB551" i="1"/>
  <c r="AL286" i="1"/>
  <c r="AL285" i="1"/>
  <c r="AS544" i="1" l="1"/>
  <c r="AY539" i="1"/>
  <c r="AX539" i="1"/>
  <c r="AV539" i="1"/>
  <c r="AT539" i="1"/>
  <c r="AQ539" i="1"/>
  <c r="AP539" i="1"/>
  <c r="AN539" i="1"/>
  <c r="AL539" i="1"/>
  <c r="AG539" i="1"/>
  <c r="AF539" i="1"/>
  <c r="AD539" i="1"/>
  <c r="AB539" i="1"/>
  <c r="X539" i="1"/>
  <c r="V539" i="1"/>
  <c r="AL1003" i="1"/>
  <c r="AX1004" i="1"/>
  <c r="AV1004" i="1"/>
  <c r="AT1004" i="1"/>
  <c r="AQ1004" i="1"/>
  <c r="AP1004" i="1"/>
  <c r="AN1004" i="1"/>
  <c r="AL1004" i="1"/>
  <c r="AG1004" i="1"/>
  <c r="AF1004" i="1"/>
  <c r="AD1004" i="1"/>
  <c r="AB1004" i="1"/>
  <c r="X1004" i="1"/>
  <c r="V1004" i="1"/>
  <c r="T1004" i="1"/>
  <c r="AY1003" i="1"/>
  <c r="AX1003" i="1"/>
  <c r="AV1003" i="1"/>
  <c r="AT1003" i="1"/>
  <c r="AQ1003" i="1"/>
  <c r="AP1003" i="1"/>
  <c r="AN1003" i="1"/>
  <c r="AG1003" i="1"/>
  <c r="AF1003" i="1"/>
  <c r="AD1003" i="1"/>
  <c r="AB1003" i="1"/>
  <c r="Y1003" i="1"/>
  <c r="X1003" i="1"/>
  <c r="V1003" i="1"/>
  <c r="T1003" i="1"/>
  <c r="AY272" i="1"/>
  <c r="AX272" i="1"/>
  <c r="AV272" i="1"/>
  <c r="AT272" i="1"/>
  <c r="AQ272" i="1"/>
  <c r="AP272" i="1"/>
  <c r="AN272" i="1"/>
  <c r="AL272" i="1"/>
  <c r="AG272" i="1"/>
  <c r="AF272" i="1"/>
  <c r="AD272" i="1"/>
  <c r="AB272" i="1"/>
  <c r="X272" i="1"/>
  <c r="V272" i="1"/>
  <c r="AY271" i="1"/>
  <c r="AX271" i="1"/>
  <c r="AV271" i="1"/>
  <c r="AT271" i="1"/>
  <c r="AQ271" i="1"/>
  <c r="AP271" i="1"/>
  <c r="AN271" i="1"/>
  <c r="AL271" i="1"/>
  <c r="AG271" i="1"/>
  <c r="AF271" i="1"/>
  <c r="AD271" i="1"/>
  <c r="AB271" i="1"/>
  <c r="X271" i="1"/>
  <c r="V271" i="1"/>
  <c r="AY444" i="1"/>
  <c r="AX444" i="1"/>
  <c r="AV444" i="1"/>
  <c r="AT444" i="1"/>
  <c r="AQ444" i="1"/>
  <c r="AP444" i="1"/>
  <c r="AN444" i="1"/>
  <c r="AL444" i="1"/>
  <c r="AG444" i="1"/>
  <c r="AF444" i="1"/>
  <c r="AD444" i="1"/>
  <c r="AB444" i="1"/>
  <c r="X444" i="1"/>
  <c r="V444" i="1"/>
  <c r="AY286" i="1"/>
  <c r="AX286" i="1"/>
  <c r="AV286" i="1"/>
  <c r="AT286" i="1"/>
  <c r="AQ286" i="1"/>
  <c r="AP286" i="1"/>
  <c r="AN286" i="1"/>
  <c r="AG286" i="1"/>
  <c r="AF286" i="1"/>
  <c r="AD286" i="1"/>
  <c r="AB286" i="1"/>
  <c r="X286" i="1"/>
  <c r="V286" i="1"/>
  <c r="AL770" i="1"/>
  <c r="AY770" i="1"/>
  <c r="AX770" i="1"/>
  <c r="AQ770" i="1"/>
  <c r="AP770" i="1"/>
  <c r="AN770" i="1"/>
  <c r="AG770" i="1"/>
  <c r="AF770" i="1"/>
  <c r="AD770" i="1"/>
  <c r="AB770" i="1"/>
  <c r="X770" i="1"/>
  <c r="V770" i="1"/>
  <c r="AH1004" i="1" l="1"/>
  <c r="AI1004" i="1"/>
  <c r="AI1003" i="1"/>
  <c r="AS1371" i="1"/>
  <c r="BA1004" i="1"/>
  <c r="BA272" i="1"/>
  <c r="BA286" i="1"/>
  <c r="BA1003" i="1"/>
  <c r="BA271" i="1"/>
  <c r="BA539" i="1"/>
  <c r="AR1003" i="1"/>
  <c r="AR539" i="1"/>
  <c r="AH286" i="1"/>
  <c r="AR770" i="1"/>
  <c r="AH539" i="1"/>
  <c r="AH444" i="1"/>
  <c r="AZ444" i="1"/>
  <c r="AZ539" i="1"/>
  <c r="Z1003" i="1"/>
  <c r="AH1003" i="1"/>
  <c r="AZ1003" i="1"/>
  <c r="Z1004" i="1"/>
  <c r="AR1004" i="1"/>
  <c r="AZ1004" i="1"/>
  <c r="AH271" i="1"/>
  <c r="AZ271" i="1"/>
  <c r="AH272" i="1"/>
  <c r="AZ272" i="1"/>
  <c r="AR272" i="1"/>
  <c r="AR271" i="1"/>
  <c r="BA444" i="1"/>
  <c r="AR444" i="1"/>
  <c r="AZ770" i="1"/>
  <c r="AZ286" i="1"/>
  <c r="AR286" i="1"/>
  <c r="BA770" i="1"/>
  <c r="AH770" i="1"/>
  <c r="Q1004" i="1" l="1"/>
  <c r="Q1003" i="1"/>
  <c r="BB539" i="1"/>
  <c r="BB1003" i="1"/>
  <c r="BB770" i="1"/>
  <c r="BB444" i="1"/>
  <c r="BB286" i="1"/>
  <c r="BB1004" i="1"/>
  <c r="AJ1004" i="1"/>
  <c r="BB271" i="1"/>
  <c r="BB272" i="1"/>
  <c r="AJ1003" i="1"/>
  <c r="R1003" i="1" l="1"/>
  <c r="R1004" i="1"/>
  <c r="AY1129" i="1"/>
  <c r="AX1129" i="1"/>
  <c r="AV1129" i="1"/>
  <c r="AT1129" i="1"/>
  <c r="AQ1129" i="1"/>
  <c r="AP1129" i="1"/>
  <c r="AN1129" i="1"/>
  <c r="AL1129" i="1"/>
  <c r="AG1129" i="1"/>
  <c r="AF1129" i="1"/>
  <c r="AD1129" i="1"/>
  <c r="Y1129" i="1"/>
  <c r="X1129" i="1"/>
  <c r="V1129" i="1"/>
  <c r="T1129" i="1"/>
  <c r="BA1129" i="1" l="1"/>
  <c r="AI1129" i="1"/>
  <c r="Z1129" i="1"/>
  <c r="AH1129" i="1"/>
  <c r="AR1129" i="1"/>
  <c r="AZ1129" i="1"/>
  <c r="AL130" i="1"/>
  <c r="AL118" i="1"/>
  <c r="Q1129" i="1" l="1"/>
  <c r="AJ1129" i="1"/>
  <c r="BB1129" i="1"/>
  <c r="R1129" i="1" l="1"/>
  <c r="AY1041" i="1" l="1"/>
  <c r="AX1041" i="1"/>
  <c r="AV1041" i="1"/>
  <c r="AT1041" i="1"/>
  <c r="AQ1041" i="1"/>
  <c r="AP1041" i="1"/>
  <c r="AN1041" i="1"/>
  <c r="AL1041" i="1"/>
  <c r="AG1041" i="1"/>
  <c r="AF1041" i="1"/>
  <c r="AD1041" i="1"/>
  <c r="AB1041" i="1"/>
  <c r="Y1041" i="1"/>
  <c r="X1041" i="1"/>
  <c r="V1041" i="1"/>
  <c r="T1041" i="1"/>
  <c r="AL960" i="1"/>
  <c r="AL969" i="1"/>
  <c r="AY743" i="1"/>
  <c r="AX743" i="1"/>
  <c r="AV743" i="1"/>
  <c r="AT743" i="1"/>
  <c r="AQ743" i="1"/>
  <c r="AP743" i="1"/>
  <c r="AN743" i="1"/>
  <c r="AL743" i="1"/>
  <c r="AG743" i="1"/>
  <c r="AF743" i="1"/>
  <c r="AD743" i="1"/>
  <c r="AB743" i="1"/>
  <c r="X743" i="1"/>
  <c r="V743" i="1"/>
  <c r="AY699" i="1"/>
  <c r="AX699" i="1"/>
  <c r="AV699" i="1"/>
  <c r="AT699" i="1"/>
  <c r="AQ699" i="1"/>
  <c r="AP699" i="1"/>
  <c r="AN699" i="1"/>
  <c r="AL699" i="1"/>
  <c r="AG699" i="1"/>
  <c r="AF699" i="1"/>
  <c r="AD699" i="1"/>
  <c r="AB699" i="1"/>
  <c r="X699" i="1"/>
  <c r="V699" i="1"/>
  <c r="AY640" i="1"/>
  <c r="AX640" i="1"/>
  <c r="AV640" i="1"/>
  <c r="AT640" i="1"/>
  <c r="AQ640" i="1"/>
  <c r="AP640" i="1"/>
  <c r="AL640" i="1"/>
  <c r="AG640" i="1"/>
  <c r="AF640" i="1"/>
  <c r="AD640" i="1"/>
  <c r="AB640" i="1"/>
  <c r="X640" i="1"/>
  <c r="V640" i="1"/>
  <c r="AN443" i="1"/>
  <c r="AL359" i="1"/>
  <c r="AY359" i="1"/>
  <c r="AX359" i="1"/>
  <c r="AV359" i="1"/>
  <c r="AT359" i="1"/>
  <c r="AQ359" i="1"/>
  <c r="AP359" i="1"/>
  <c r="AN359" i="1"/>
  <c r="AG359" i="1"/>
  <c r="AF359" i="1"/>
  <c r="AD359" i="1"/>
  <c r="AB359" i="1"/>
  <c r="X359" i="1"/>
  <c r="V359" i="1"/>
  <c r="AL363" i="1"/>
  <c r="AY363" i="1"/>
  <c r="AX363" i="1"/>
  <c r="AV363" i="1"/>
  <c r="AT363" i="1"/>
  <c r="AQ363" i="1"/>
  <c r="AP363" i="1"/>
  <c r="AN363" i="1"/>
  <c r="AG363" i="1"/>
  <c r="AF363" i="1"/>
  <c r="AD363" i="1"/>
  <c r="AB363" i="1"/>
  <c r="X363" i="1"/>
  <c r="V363" i="1"/>
  <c r="AL331" i="1"/>
  <c r="AB315" i="1"/>
  <c r="AY315" i="1"/>
  <c r="AX315" i="1"/>
  <c r="AV315" i="1"/>
  <c r="AT315" i="1"/>
  <c r="AQ315" i="1"/>
  <c r="AP315" i="1"/>
  <c r="AN315" i="1"/>
  <c r="AL315" i="1"/>
  <c r="AG315" i="1"/>
  <c r="AF315" i="1"/>
  <c r="AD315" i="1"/>
  <c r="X315" i="1"/>
  <c r="V315" i="1"/>
  <c r="AL152" i="1"/>
  <c r="AL244" i="1"/>
  <c r="AY244" i="1"/>
  <c r="AX244" i="1"/>
  <c r="AV244" i="1"/>
  <c r="AT244" i="1"/>
  <c r="AQ244" i="1"/>
  <c r="AP244" i="1"/>
  <c r="AN244" i="1"/>
  <c r="AG244" i="1"/>
  <c r="AF244" i="1"/>
  <c r="AD244" i="1"/>
  <c r="X244" i="1"/>
  <c r="V244" i="1"/>
  <c r="AI1041" i="1" l="1"/>
  <c r="BA1041" i="1"/>
  <c r="BA699" i="1"/>
  <c r="BA315" i="1"/>
  <c r="BA640" i="1"/>
  <c r="BA359" i="1"/>
  <c r="BA244" i="1"/>
  <c r="BA363" i="1"/>
  <c r="Z1041" i="1"/>
  <c r="AH1041" i="1"/>
  <c r="AR1041" i="1"/>
  <c r="AZ1041" i="1"/>
  <c r="AR359" i="1"/>
  <c r="AZ359" i="1"/>
  <c r="AR315" i="1"/>
  <c r="AZ315" i="1"/>
  <c r="AZ640" i="1"/>
  <c r="BA743" i="1"/>
  <c r="AR699" i="1"/>
  <c r="AZ699" i="1"/>
  <c r="AZ743" i="1"/>
  <c r="AR743" i="1"/>
  <c r="AH743" i="1"/>
  <c r="AZ244" i="1"/>
  <c r="AH699" i="1"/>
  <c r="AR363" i="1"/>
  <c r="AR640" i="1"/>
  <c r="AH640" i="1"/>
  <c r="AH359" i="1"/>
  <c r="AH363" i="1"/>
  <c r="AZ363" i="1"/>
  <c r="AH315" i="1"/>
  <c r="AR244" i="1"/>
  <c r="AH244" i="1"/>
  <c r="Q1041" i="1" l="1"/>
  <c r="BB359" i="1"/>
  <c r="BB363" i="1"/>
  <c r="BB640" i="1"/>
  <c r="AJ1041" i="1"/>
  <c r="BB1041" i="1"/>
  <c r="BB244" i="1"/>
  <c r="BB315" i="1"/>
  <c r="BB743" i="1"/>
  <c r="BB699" i="1"/>
  <c r="R1041" i="1" l="1"/>
  <c r="AL7" i="1" l="1"/>
  <c r="AG775" i="1" l="1"/>
  <c r="AG768" i="1"/>
  <c r="AG796" i="1"/>
  <c r="AF635" i="1"/>
  <c r="AF742" i="1"/>
  <c r="AY742" i="1" l="1"/>
  <c r="AX742" i="1"/>
  <c r="AV742" i="1"/>
  <c r="AT742" i="1"/>
  <c r="AQ742" i="1"/>
  <c r="AP742" i="1"/>
  <c r="AN742" i="1"/>
  <c r="AL742" i="1"/>
  <c r="AG742" i="1"/>
  <c r="AD742" i="1"/>
  <c r="AB742" i="1"/>
  <c r="X742" i="1"/>
  <c r="V742" i="1"/>
  <c r="BA742" i="1" l="1"/>
  <c r="AR742" i="1"/>
  <c r="AZ742" i="1"/>
  <c r="AH742" i="1"/>
  <c r="AY998" i="1"/>
  <c r="AX998" i="1"/>
  <c r="AV998" i="1"/>
  <c r="AT998" i="1"/>
  <c r="AQ998" i="1"/>
  <c r="AP998" i="1"/>
  <c r="AN998" i="1"/>
  <c r="AL998" i="1"/>
  <c r="AG998" i="1"/>
  <c r="AF998" i="1"/>
  <c r="AD998" i="1"/>
  <c r="AB998" i="1"/>
  <c r="Y998" i="1"/>
  <c r="X998" i="1"/>
  <c r="V998" i="1"/>
  <c r="T998" i="1"/>
  <c r="BA998" i="1" l="1"/>
  <c r="AI998" i="1"/>
  <c r="BB742" i="1"/>
  <c r="Z998" i="1"/>
  <c r="AH998" i="1"/>
  <c r="AR998" i="1"/>
  <c r="AZ998" i="1"/>
  <c r="AF596" i="1"/>
  <c r="AF579" i="1"/>
  <c r="AF595" i="1"/>
  <c r="AY270" i="1"/>
  <c r="AX270" i="1"/>
  <c r="AV270" i="1"/>
  <c r="AT270" i="1"/>
  <c r="AQ270" i="1"/>
  <c r="AP270" i="1"/>
  <c r="AN270" i="1"/>
  <c r="AL270" i="1"/>
  <c r="AG270" i="1"/>
  <c r="AF270" i="1"/>
  <c r="AD270" i="1"/>
  <c r="AB270" i="1"/>
  <c r="X270" i="1"/>
  <c r="V270" i="1"/>
  <c r="AF597" i="1" l="1"/>
  <c r="Q998" i="1"/>
  <c r="BA270" i="1"/>
  <c r="AZ270" i="1"/>
  <c r="AR270" i="1"/>
  <c r="BB998" i="1"/>
  <c r="AJ998" i="1"/>
  <c r="AH270" i="1"/>
  <c r="AF395" i="1"/>
  <c r="AY395" i="1"/>
  <c r="AX395" i="1"/>
  <c r="AV395" i="1"/>
  <c r="AT395" i="1"/>
  <c r="AQ395" i="1"/>
  <c r="AP395" i="1"/>
  <c r="AN395" i="1"/>
  <c r="AL395" i="1"/>
  <c r="AG395" i="1"/>
  <c r="AD395" i="1"/>
  <c r="AB395" i="1"/>
  <c r="X395" i="1"/>
  <c r="V395" i="1"/>
  <c r="AY127" i="1"/>
  <c r="AX127" i="1"/>
  <c r="AV127" i="1"/>
  <c r="AT127" i="1"/>
  <c r="AQ127" i="1"/>
  <c r="AP127" i="1"/>
  <c r="AN127" i="1"/>
  <c r="AL127" i="1"/>
  <c r="AG127" i="1"/>
  <c r="AF127" i="1"/>
  <c r="AD127" i="1"/>
  <c r="X127" i="1"/>
  <c r="V127" i="1"/>
  <c r="BA395" i="1" l="1"/>
  <c r="BB270" i="1"/>
  <c r="R998" i="1"/>
  <c r="BA127" i="1"/>
  <c r="AR127" i="1"/>
  <c r="AZ127" i="1"/>
  <c r="AH395" i="1"/>
  <c r="AR395" i="1"/>
  <c r="AZ395" i="1"/>
  <c r="AH127" i="1"/>
  <c r="AF117" i="1"/>
  <c r="BB395" i="1" l="1"/>
  <c r="BB127" i="1"/>
  <c r="AY117" i="1"/>
  <c r="AX117" i="1"/>
  <c r="AV117" i="1"/>
  <c r="AT117" i="1"/>
  <c r="AQ117" i="1"/>
  <c r="AP117" i="1"/>
  <c r="AN117" i="1"/>
  <c r="AL117" i="1"/>
  <c r="AG117" i="1"/>
  <c r="AD117" i="1"/>
  <c r="X117" i="1"/>
  <c r="V117" i="1"/>
  <c r="BA117" i="1" l="1"/>
  <c r="AR117" i="1"/>
  <c r="AZ117" i="1"/>
  <c r="AH117" i="1"/>
  <c r="BB117" i="1" l="1"/>
  <c r="AY642" i="1"/>
  <c r="AX642" i="1"/>
  <c r="AV642" i="1"/>
  <c r="AT642" i="1"/>
  <c r="AQ642" i="1"/>
  <c r="AP642" i="1"/>
  <c r="AN642" i="1"/>
  <c r="AL642" i="1"/>
  <c r="AG642" i="1"/>
  <c r="AF642" i="1"/>
  <c r="AD642" i="1"/>
  <c r="AB642" i="1"/>
  <c r="Y642" i="1"/>
  <c r="X642" i="1"/>
  <c r="V642" i="1"/>
  <c r="T642" i="1"/>
  <c r="Z642" i="1" l="1"/>
  <c r="AI642" i="1"/>
  <c r="BA642" i="1"/>
  <c r="AR642" i="1"/>
  <c r="AZ642" i="1"/>
  <c r="AH642" i="1"/>
  <c r="Q642" i="1" l="1"/>
  <c r="BB642" i="1"/>
  <c r="AJ642" i="1"/>
  <c r="AY1162" i="1"/>
  <c r="AX1162" i="1"/>
  <c r="AV1162" i="1"/>
  <c r="AT1162" i="1"/>
  <c r="AQ1162" i="1"/>
  <c r="AP1162" i="1"/>
  <c r="AN1162" i="1"/>
  <c r="AL1162" i="1"/>
  <c r="AG1162" i="1"/>
  <c r="AF1162" i="1"/>
  <c r="AD1162" i="1"/>
  <c r="Y1162" i="1"/>
  <c r="X1162" i="1"/>
  <c r="V1162" i="1"/>
  <c r="T1162" i="1"/>
  <c r="BA1162" i="1" l="1"/>
  <c r="AI1162" i="1"/>
  <c r="Z1162" i="1"/>
  <c r="AR1162" i="1"/>
  <c r="AZ1162" i="1"/>
  <c r="R642" i="1"/>
  <c r="AH1162" i="1"/>
  <c r="AD313" i="1"/>
  <c r="AD310" i="1"/>
  <c r="AY310" i="1"/>
  <c r="AX310" i="1"/>
  <c r="AV310" i="1"/>
  <c r="AT310" i="1"/>
  <c r="AQ310" i="1"/>
  <c r="AP310" i="1"/>
  <c r="AN310" i="1"/>
  <c r="AL310" i="1"/>
  <c r="AG310" i="1"/>
  <c r="AF310" i="1"/>
  <c r="AB310" i="1"/>
  <c r="X310" i="1"/>
  <c r="V310" i="1"/>
  <c r="AY313" i="1"/>
  <c r="AX313" i="1"/>
  <c r="AV313" i="1"/>
  <c r="AT313" i="1"/>
  <c r="AQ313" i="1"/>
  <c r="AP313" i="1"/>
  <c r="AN313" i="1"/>
  <c r="AL313" i="1"/>
  <c r="AG313" i="1"/>
  <c r="AF313" i="1"/>
  <c r="AB313" i="1"/>
  <c r="X313" i="1"/>
  <c r="V313" i="1"/>
  <c r="AD31" i="1"/>
  <c r="AG174" i="1"/>
  <c r="AJ1162" i="1" l="1"/>
  <c r="BA310" i="1"/>
  <c r="Q1162" i="1"/>
  <c r="BA313" i="1"/>
  <c r="AR310" i="1"/>
  <c r="AZ310" i="1"/>
  <c r="BB1162" i="1"/>
  <c r="AZ313" i="1"/>
  <c r="AH313" i="1"/>
  <c r="AH310" i="1"/>
  <c r="AR313" i="1"/>
  <c r="R1162" i="1" l="1"/>
  <c r="BB310" i="1"/>
  <c r="BB313" i="1"/>
  <c r="AD546" i="1" l="1"/>
  <c r="AD22" i="1"/>
  <c r="AA1291" i="1" l="1"/>
  <c r="AA1002" i="1"/>
  <c r="AA889" i="1"/>
  <c r="AA873" i="1"/>
  <c r="AA869" i="1"/>
  <c r="AA737" i="1"/>
  <c r="AA625" i="1"/>
  <c r="AA623" i="1" s="1"/>
  <c r="AA612" i="1"/>
  <c r="AA597" i="1"/>
  <c r="AA594" i="1"/>
  <c r="AA572" i="1"/>
  <c r="AA544" i="1"/>
  <c r="AA1369" i="1"/>
  <c r="AA267" i="1"/>
  <c r="AA143" i="1"/>
  <c r="AA115" i="1"/>
  <c r="AA110" i="1"/>
  <c r="AA28" i="1"/>
  <c r="W544" i="1"/>
  <c r="AY802" i="1"/>
  <c r="AX802" i="1"/>
  <c r="AV802" i="1"/>
  <c r="AT802" i="1"/>
  <c r="AQ802" i="1"/>
  <c r="AP802" i="1"/>
  <c r="AN802" i="1"/>
  <c r="AL802" i="1"/>
  <c r="AG802" i="1"/>
  <c r="AF802" i="1"/>
  <c r="AD802" i="1"/>
  <c r="AB802" i="1"/>
  <c r="X802" i="1"/>
  <c r="V802" i="1"/>
  <c r="AY793" i="1"/>
  <c r="AX793" i="1"/>
  <c r="AV793" i="1"/>
  <c r="AT793" i="1"/>
  <c r="AQ793" i="1"/>
  <c r="AP793" i="1"/>
  <c r="AN793" i="1"/>
  <c r="AL793" i="1"/>
  <c r="AG793" i="1"/>
  <c r="AF793" i="1"/>
  <c r="AD793" i="1"/>
  <c r="AB793" i="1"/>
  <c r="X793" i="1"/>
  <c r="V793" i="1"/>
  <c r="AX798" i="1"/>
  <c r="AV798" i="1"/>
  <c r="AT798" i="1"/>
  <c r="AQ798" i="1"/>
  <c r="AP798" i="1"/>
  <c r="AN798" i="1"/>
  <c r="AL798" i="1"/>
  <c r="AG798" i="1"/>
  <c r="AF798" i="1"/>
  <c r="AD798" i="1"/>
  <c r="AB798" i="1"/>
  <c r="X798" i="1"/>
  <c r="V798" i="1"/>
  <c r="AY635" i="1"/>
  <c r="AX635" i="1"/>
  <c r="AV635" i="1"/>
  <c r="AT635" i="1"/>
  <c r="AQ635" i="1"/>
  <c r="AP635" i="1"/>
  <c r="AN635" i="1"/>
  <c r="AL635" i="1"/>
  <c r="AG635" i="1"/>
  <c r="AD635" i="1"/>
  <c r="AB635" i="1"/>
  <c r="X635" i="1"/>
  <c r="V635" i="1"/>
  <c r="AB852" i="1"/>
  <c r="AY852" i="1"/>
  <c r="AX852" i="1"/>
  <c r="AV852" i="1"/>
  <c r="AT852" i="1"/>
  <c r="AQ852" i="1"/>
  <c r="AP852" i="1"/>
  <c r="AN852" i="1"/>
  <c r="AL852" i="1"/>
  <c r="AG852" i="1"/>
  <c r="AF852" i="1"/>
  <c r="AD852" i="1"/>
  <c r="X852" i="1"/>
  <c r="V852" i="1"/>
  <c r="W1371" i="1" l="1"/>
  <c r="AA1365" i="1"/>
  <c r="AA1378" i="1"/>
  <c r="AA1364" i="1"/>
  <c r="AA1374" i="1"/>
  <c r="AA1371" i="1"/>
  <c r="AA1372" i="1" s="1"/>
  <c r="AA1375" i="1"/>
  <c r="AA1377" i="1"/>
  <c r="AA1379" i="1"/>
  <c r="BA802" i="1"/>
  <c r="AA1361" i="1"/>
  <c r="BA793" i="1"/>
  <c r="BA798" i="1"/>
  <c r="AA1373" i="1"/>
  <c r="AA1359" i="1"/>
  <c r="AA1380" i="1"/>
  <c r="BA852" i="1"/>
  <c r="AA626" i="1"/>
  <c r="AR852" i="1"/>
  <c r="AZ852" i="1"/>
  <c r="AR793" i="1"/>
  <c r="AR802" i="1"/>
  <c r="AZ802" i="1"/>
  <c r="AA144" i="1"/>
  <c r="AA250" i="1" s="1"/>
  <c r="AA874" i="1"/>
  <c r="AA931" i="1" s="1"/>
  <c r="AA1322" i="1" s="1"/>
  <c r="AH802" i="1"/>
  <c r="AR798" i="1"/>
  <c r="AZ798" i="1"/>
  <c r="AH793" i="1"/>
  <c r="AZ793" i="1"/>
  <c r="AH798" i="1"/>
  <c r="AH635" i="1"/>
  <c r="AR635" i="1"/>
  <c r="AZ635" i="1"/>
  <c r="BA635" i="1"/>
  <c r="AH852" i="1"/>
  <c r="AA1366" i="1" l="1"/>
  <c r="AA1381" i="1"/>
  <c r="AA1376" i="1"/>
  <c r="AA1385" i="1"/>
  <c r="BB793" i="1"/>
  <c r="BB802" i="1"/>
  <c r="BB852" i="1"/>
  <c r="BB798" i="1"/>
  <c r="BB635" i="1"/>
  <c r="AY629" i="1" l="1"/>
  <c r="AX629" i="1"/>
  <c r="AV629" i="1"/>
  <c r="AT629" i="1"/>
  <c r="AQ629" i="1"/>
  <c r="AP629" i="1"/>
  <c r="AN629" i="1"/>
  <c r="AL629" i="1"/>
  <c r="AG629" i="1"/>
  <c r="AF629" i="1"/>
  <c r="AD629" i="1"/>
  <c r="AB629" i="1"/>
  <c r="X629" i="1"/>
  <c r="V629" i="1"/>
  <c r="Y961" i="1"/>
  <c r="X1324" i="1"/>
  <c r="BA629" i="1" l="1"/>
  <c r="AH629" i="1"/>
  <c r="AR629" i="1"/>
  <c r="AZ629" i="1"/>
  <c r="AB536" i="1"/>
  <c r="AB543" i="1" s="1"/>
  <c r="AB274" i="1"/>
  <c r="W115" i="1"/>
  <c r="AY112" i="1"/>
  <c r="AX112" i="1"/>
  <c r="AV112" i="1"/>
  <c r="AT112" i="1"/>
  <c r="AQ112" i="1"/>
  <c r="AP112" i="1"/>
  <c r="AN112" i="1"/>
  <c r="AL112" i="1"/>
  <c r="AG112" i="1"/>
  <c r="AF112" i="1"/>
  <c r="AD112" i="1"/>
  <c r="V112" i="1"/>
  <c r="BB629" i="1" l="1"/>
  <c r="BA112" i="1"/>
  <c r="AR112" i="1"/>
  <c r="AZ112" i="1"/>
  <c r="AH112" i="1"/>
  <c r="BB112" i="1" l="1"/>
  <c r="AY386" i="1"/>
  <c r="AX386" i="1"/>
  <c r="AV386" i="1"/>
  <c r="AT386" i="1"/>
  <c r="AQ386" i="1"/>
  <c r="AP386" i="1"/>
  <c r="AN386" i="1"/>
  <c r="AL386" i="1"/>
  <c r="AG386" i="1"/>
  <c r="AF386" i="1"/>
  <c r="AD386" i="1"/>
  <c r="AB386" i="1"/>
  <c r="X386" i="1"/>
  <c r="V386" i="1"/>
  <c r="AY1326" i="1"/>
  <c r="AX1326" i="1"/>
  <c r="AV1326" i="1"/>
  <c r="AT1326" i="1"/>
  <c r="AQ1326" i="1"/>
  <c r="AP1326" i="1"/>
  <c r="AN1326" i="1"/>
  <c r="AL1326" i="1"/>
  <c r="AG1326" i="1"/>
  <c r="AF1326" i="1"/>
  <c r="AD1326" i="1"/>
  <c r="Y1326" i="1"/>
  <c r="X1326" i="1"/>
  <c r="V1326" i="1"/>
  <c r="T1326" i="1"/>
  <c r="AY1324" i="1"/>
  <c r="AX1324" i="1"/>
  <c r="AV1324" i="1"/>
  <c r="AT1324" i="1"/>
  <c r="AQ1324" i="1"/>
  <c r="AP1324" i="1"/>
  <c r="AN1324" i="1"/>
  <c r="AL1324" i="1"/>
  <c r="AG1324" i="1"/>
  <c r="AF1324" i="1"/>
  <c r="AD1324" i="1"/>
  <c r="Y1324" i="1"/>
  <c r="V1324" i="1"/>
  <c r="T1324" i="1"/>
  <c r="AB1311" i="1"/>
  <c r="AB750" i="1"/>
  <c r="AB548" i="1"/>
  <c r="AB546" i="1"/>
  <c r="AB545" i="1"/>
  <c r="V545" i="1"/>
  <c r="AY546" i="1"/>
  <c r="AX546" i="1"/>
  <c r="AV546" i="1"/>
  <c r="AT546" i="1"/>
  <c r="AQ546" i="1"/>
  <c r="AP546" i="1"/>
  <c r="AN546" i="1"/>
  <c r="AL546" i="1"/>
  <c r="AG546" i="1"/>
  <c r="AF546" i="1"/>
  <c r="X546" i="1"/>
  <c r="V546" i="1"/>
  <c r="AB295" i="1"/>
  <c r="AY295" i="1"/>
  <c r="AX295" i="1"/>
  <c r="AV295" i="1"/>
  <c r="AT295" i="1"/>
  <c r="AQ295" i="1"/>
  <c r="AP295" i="1"/>
  <c r="AN295" i="1"/>
  <c r="AL295" i="1"/>
  <c r="AG295" i="1"/>
  <c r="AF295" i="1"/>
  <c r="AD295" i="1"/>
  <c r="X295" i="1"/>
  <c r="V295" i="1"/>
  <c r="BA1326" i="1" l="1"/>
  <c r="AI1326" i="1"/>
  <c r="BA295" i="1"/>
  <c r="BA386" i="1"/>
  <c r="AR1324" i="1"/>
  <c r="Z1326" i="1"/>
  <c r="AR1326" i="1"/>
  <c r="AZ1326" i="1"/>
  <c r="AH386" i="1"/>
  <c r="AR546" i="1"/>
  <c r="AH295" i="1"/>
  <c r="Z1324" i="1"/>
  <c r="AI1324" i="1"/>
  <c r="BA1324" i="1"/>
  <c r="AR386" i="1"/>
  <c r="AZ386" i="1"/>
  <c r="AH1326" i="1"/>
  <c r="AH1324" i="1"/>
  <c r="AZ1324" i="1"/>
  <c r="BA546" i="1"/>
  <c r="AH546" i="1"/>
  <c r="AZ546" i="1"/>
  <c r="AR295" i="1"/>
  <c r="AZ295" i="1"/>
  <c r="BB1324" i="1" l="1"/>
  <c r="Q1326" i="1"/>
  <c r="Q1324" i="1"/>
  <c r="AJ1326" i="1"/>
  <c r="BB1326" i="1"/>
  <c r="AJ1324" i="1"/>
  <c r="BB386" i="1"/>
  <c r="BB546" i="1"/>
  <c r="BB295" i="1"/>
  <c r="R1324" i="1" l="1"/>
  <c r="R1326" i="1"/>
  <c r="AY456" i="1" l="1"/>
  <c r="AX456" i="1"/>
  <c r="AV456" i="1"/>
  <c r="AT456" i="1"/>
  <c r="AQ456" i="1"/>
  <c r="AP456" i="1"/>
  <c r="AN456" i="1"/>
  <c r="AL456" i="1"/>
  <c r="AG456" i="1"/>
  <c r="AF456" i="1"/>
  <c r="AD456" i="1"/>
  <c r="AB456" i="1"/>
  <c r="X456" i="1"/>
  <c r="V456" i="1"/>
  <c r="AY792" i="1"/>
  <c r="AX792" i="1"/>
  <c r="AV792" i="1"/>
  <c r="AT792" i="1"/>
  <c r="AQ792" i="1"/>
  <c r="AP792" i="1"/>
  <c r="AN792" i="1"/>
  <c r="AL792" i="1"/>
  <c r="AG792" i="1"/>
  <c r="AF792" i="1"/>
  <c r="AD792" i="1"/>
  <c r="AB792" i="1"/>
  <c r="X792" i="1"/>
  <c r="V792" i="1"/>
  <c r="AY791" i="1"/>
  <c r="AX791" i="1"/>
  <c r="AV791" i="1"/>
  <c r="AT791" i="1"/>
  <c r="AQ791" i="1"/>
  <c r="AP791" i="1"/>
  <c r="AN791" i="1"/>
  <c r="AL791" i="1"/>
  <c r="AG791" i="1"/>
  <c r="AF791" i="1"/>
  <c r="AD791" i="1"/>
  <c r="AB791" i="1"/>
  <c r="X791" i="1"/>
  <c r="V791" i="1"/>
  <c r="AY782" i="1"/>
  <c r="AX782" i="1"/>
  <c r="AV782" i="1"/>
  <c r="AT782" i="1"/>
  <c r="AQ782" i="1"/>
  <c r="AP782" i="1"/>
  <c r="AN782" i="1"/>
  <c r="AL782" i="1"/>
  <c r="AG782" i="1"/>
  <c r="AF782" i="1"/>
  <c r="AD782" i="1"/>
  <c r="AB782" i="1"/>
  <c r="X782" i="1"/>
  <c r="V782" i="1"/>
  <c r="AY797" i="1"/>
  <c r="AX797" i="1"/>
  <c r="AV797" i="1"/>
  <c r="AT797" i="1"/>
  <c r="AQ797" i="1"/>
  <c r="AP797" i="1"/>
  <c r="AN797" i="1"/>
  <c r="AL797" i="1"/>
  <c r="AG797" i="1"/>
  <c r="AF797" i="1"/>
  <c r="AD797" i="1"/>
  <c r="AB797" i="1"/>
  <c r="X797" i="1"/>
  <c r="V797" i="1"/>
  <c r="BA456" i="1" l="1"/>
  <c r="BA792" i="1"/>
  <c r="BA782" i="1"/>
  <c r="BA791" i="1"/>
  <c r="BA797" i="1"/>
  <c r="AH456" i="1"/>
  <c r="AR456" i="1"/>
  <c r="AH797" i="1"/>
  <c r="AR797" i="1"/>
  <c r="AZ797" i="1"/>
  <c r="AH782" i="1"/>
  <c r="AR782" i="1"/>
  <c r="AZ782" i="1"/>
  <c r="AH791" i="1"/>
  <c r="AR791" i="1"/>
  <c r="AZ791" i="1"/>
  <c r="AH792" i="1"/>
  <c r="AR792" i="1"/>
  <c r="AZ792" i="1"/>
  <c r="AZ456" i="1"/>
  <c r="AY768" i="1"/>
  <c r="AX768" i="1"/>
  <c r="AV768" i="1"/>
  <c r="AT768" i="1"/>
  <c r="AQ768" i="1"/>
  <c r="AP768" i="1"/>
  <c r="AN768" i="1"/>
  <c r="AL768" i="1"/>
  <c r="AF768" i="1"/>
  <c r="AD768" i="1"/>
  <c r="AB768" i="1"/>
  <c r="X768" i="1"/>
  <c r="V768" i="1"/>
  <c r="BA768" i="1" l="1"/>
  <c r="BB456" i="1"/>
  <c r="BB797" i="1"/>
  <c r="BB792" i="1"/>
  <c r="BB791" i="1"/>
  <c r="AH768" i="1"/>
  <c r="AR768" i="1"/>
  <c r="AZ768" i="1"/>
  <c r="BB782" i="1"/>
  <c r="BB768" i="1" l="1"/>
  <c r="AY247" i="1"/>
  <c r="AV247" i="1"/>
  <c r="AT247" i="1"/>
  <c r="AQ247" i="1"/>
  <c r="AP247" i="1"/>
  <c r="AN247" i="1"/>
  <c r="AL247" i="1"/>
  <c r="AG247" i="1"/>
  <c r="AF247" i="1"/>
  <c r="AD247" i="1"/>
  <c r="X247" i="1"/>
  <c r="V247" i="1"/>
  <c r="BA247" i="1" l="1"/>
  <c r="AH247" i="1"/>
  <c r="AR247" i="1"/>
  <c r="AZ247" i="1"/>
  <c r="AY113" i="1"/>
  <c r="AX113" i="1"/>
  <c r="AV113" i="1"/>
  <c r="AT113" i="1"/>
  <c r="AQ113" i="1"/>
  <c r="AP113" i="1"/>
  <c r="AN113" i="1"/>
  <c r="AL113" i="1"/>
  <c r="AG113" i="1"/>
  <c r="AF113" i="1"/>
  <c r="AD113" i="1"/>
  <c r="V113" i="1"/>
  <c r="AZ113" i="1" l="1"/>
  <c r="BA113" i="1"/>
  <c r="AR113" i="1"/>
  <c r="AH113" i="1"/>
  <c r="BB247" i="1"/>
  <c r="BB113" i="1" l="1"/>
  <c r="AX390" i="1"/>
  <c r="AL390" i="1"/>
  <c r="AD387" i="1" l="1"/>
  <c r="AB355" i="1"/>
  <c r="X390" i="1"/>
  <c r="V306" i="1"/>
  <c r="AY390" i="1"/>
  <c r="AV390" i="1"/>
  <c r="AT390" i="1"/>
  <c r="AQ390" i="1"/>
  <c r="AP390" i="1"/>
  <c r="AN390" i="1"/>
  <c r="AG390" i="1"/>
  <c r="AF390" i="1"/>
  <c r="AD390" i="1"/>
  <c r="AB390" i="1"/>
  <c r="V390" i="1"/>
  <c r="AY389" i="1"/>
  <c r="AX389" i="1"/>
  <c r="AV389" i="1"/>
  <c r="AT389" i="1"/>
  <c r="AQ389" i="1"/>
  <c r="AP389" i="1"/>
  <c r="AN389" i="1"/>
  <c r="AL389" i="1"/>
  <c r="AG389" i="1"/>
  <c r="AF389" i="1"/>
  <c r="AD389" i="1"/>
  <c r="AB389" i="1"/>
  <c r="X389" i="1"/>
  <c r="V389" i="1"/>
  <c r="AY388" i="1"/>
  <c r="AX388" i="1"/>
  <c r="AV388" i="1"/>
  <c r="AT388" i="1"/>
  <c r="AQ388" i="1"/>
  <c r="AP388" i="1"/>
  <c r="AN388" i="1"/>
  <c r="AL388" i="1"/>
  <c r="AG388" i="1"/>
  <c r="AF388" i="1"/>
  <c r="AD388" i="1"/>
  <c r="AB388" i="1"/>
  <c r="X388" i="1"/>
  <c r="V388" i="1"/>
  <c r="AY387" i="1"/>
  <c r="AX387" i="1"/>
  <c r="AV387" i="1"/>
  <c r="AT387" i="1"/>
  <c r="AQ387" i="1"/>
  <c r="AP387" i="1"/>
  <c r="AN387" i="1"/>
  <c r="AL387" i="1"/>
  <c r="AG387" i="1"/>
  <c r="AF387" i="1"/>
  <c r="AB387" i="1"/>
  <c r="X387" i="1"/>
  <c r="V387" i="1"/>
  <c r="AY355" i="1"/>
  <c r="AX355" i="1"/>
  <c r="AV355" i="1"/>
  <c r="AT355" i="1"/>
  <c r="AQ355" i="1"/>
  <c r="AP355" i="1"/>
  <c r="AN355" i="1"/>
  <c r="AG355" i="1"/>
  <c r="AF355" i="1"/>
  <c r="AD355" i="1"/>
  <c r="X355" i="1"/>
  <c r="V355" i="1"/>
  <c r="AY352" i="1"/>
  <c r="AX352" i="1"/>
  <c r="AV352" i="1"/>
  <c r="AT352" i="1"/>
  <c r="AQ352" i="1"/>
  <c r="AP352" i="1"/>
  <c r="AN352" i="1"/>
  <c r="AL352" i="1"/>
  <c r="AG352" i="1"/>
  <c r="AF352" i="1"/>
  <c r="AD352" i="1"/>
  <c r="X352" i="1"/>
  <c r="V352" i="1"/>
  <c r="AY331" i="1"/>
  <c r="AX331" i="1"/>
  <c r="AV331" i="1"/>
  <c r="AT331" i="1"/>
  <c r="AQ331" i="1"/>
  <c r="AP331" i="1"/>
  <c r="AN331" i="1"/>
  <c r="AG331" i="1"/>
  <c r="AF331" i="1"/>
  <c r="AD331" i="1"/>
  <c r="AB331" i="1"/>
  <c r="X331" i="1"/>
  <c r="V331" i="1"/>
  <c r="AY314" i="1"/>
  <c r="AX314" i="1"/>
  <c r="AV314" i="1"/>
  <c r="AT314" i="1"/>
  <c r="AQ314" i="1"/>
  <c r="AP314" i="1"/>
  <c r="AN314" i="1"/>
  <c r="AL314" i="1"/>
  <c r="AG314" i="1"/>
  <c r="AF314" i="1"/>
  <c r="AD314" i="1"/>
  <c r="AB314" i="1"/>
  <c r="X314" i="1"/>
  <c r="V314" i="1"/>
  <c r="AY306" i="1"/>
  <c r="AX306" i="1"/>
  <c r="AV306" i="1"/>
  <c r="AT306" i="1"/>
  <c r="AQ306" i="1"/>
  <c r="AP306" i="1"/>
  <c r="AN306" i="1"/>
  <c r="AL306" i="1"/>
  <c r="AG306" i="1"/>
  <c r="AF306" i="1"/>
  <c r="AD306" i="1"/>
  <c r="AB306" i="1"/>
  <c r="X306" i="1"/>
  <c r="BA389" i="1" l="1"/>
  <c r="BA306" i="1"/>
  <c r="BA331" i="1"/>
  <c r="BA388" i="1"/>
  <c r="BA314" i="1"/>
  <c r="BA355" i="1"/>
  <c r="BA352" i="1"/>
  <c r="BA387" i="1"/>
  <c r="AR390" i="1"/>
  <c r="AH355" i="1"/>
  <c r="AR387" i="1"/>
  <c r="AZ387" i="1"/>
  <c r="AH388" i="1"/>
  <c r="AR388" i="1"/>
  <c r="AZ388" i="1"/>
  <c r="AH389" i="1"/>
  <c r="AR389" i="1"/>
  <c r="AZ389" i="1"/>
  <c r="BA390" i="1"/>
  <c r="AH314" i="1"/>
  <c r="AH331" i="1"/>
  <c r="AH352" i="1"/>
  <c r="AH387" i="1"/>
  <c r="AH390" i="1"/>
  <c r="AZ390" i="1"/>
  <c r="AR352" i="1"/>
  <c r="AZ352" i="1"/>
  <c r="AR355" i="1"/>
  <c r="AZ355" i="1"/>
  <c r="AR314" i="1"/>
  <c r="AZ314" i="1"/>
  <c r="AR331" i="1"/>
  <c r="AZ331" i="1"/>
  <c r="AH306" i="1"/>
  <c r="AR306" i="1"/>
  <c r="AZ306" i="1"/>
  <c r="BB390" i="1" l="1"/>
  <c r="BB389" i="1"/>
  <c r="BB388" i="1"/>
  <c r="BB387" i="1"/>
  <c r="BB355" i="1"/>
  <c r="BB314" i="1"/>
  <c r="BB352" i="1"/>
  <c r="BB306" i="1"/>
  <c r="BB331" i="1"/>
  <c r="AY775" i="1" l="1"/>
  <c r="AX775" i="1"/>
  <c r="AV775" i="1"/>
  <c r="AT775" i="1"/>
  <c r="AQ775" i="1"/>
  <c r="AP775" i="1"/>
  <c r="AN775" i="1"/>
  <c r="AL775" i="1"/>
  <c r="AF775" i="1"/>
  <c r="AD775" i="1"/>
  <c r="AB775" i="1"/>
  <c r="X775" i="1"/>
  <c r="V775" i="1"/>
  <c r="AY796" i="1"/>
  <c r="AX796" i="1"/>
  <c r="AV796" i="1"/>
  <c r="AT796" i="1"/>
  <c r="AQ796" i="1"/>
  <c r="AP796" i="1"/>
  <c r="AN796" i="1"/>
  <c r="AL796" i="1"/>
  <c r="AF796" i="1"/>
  <c r="AD796" i="1"/>
  <c r="AB796" i="1"/>
  <c r="X796" i="1"/>
  <c r="V796" i="1"/>
  <c r="BA796" i="1" l="1"/>
  <c r="BA775" i="1"/>
  <c r="AH796" i="1"/>
  <c r="AR796" i="1"/>
  <c r="AZ796" i="1"/>
  <c r="AH775" i="1"/>
  <c r="AR775" i="1"/>
  <c r="AZ775" i="1"/>
  <c r="U1291" i="1"/>
  <c r="AY1104" i="1"/>
  <c r="AX1104" i="1"/>
  <c r="AV1104" i="1"/>
  <c r="AT1104" i="1"/>
  <c r="AQ1104" i="1"/>
  <c r="AP1104" i="1"/>
  <c r="AN1104" i="1"/>
  <c r="AL1104" i="1"/>
  <c r="AG1104" i="1"/>
  <c r="AF1104" i="1"/>
  <c r="AD1104" i="1"/>
  <c r="AB1104" i="1"/>
  <c r="X1104" i="1"/>
  <c r="V1104" i="1"/>
  <c r="T1104" i="1"/>
  <c r="AH1104" i="1" l="1"/>
  <c r="BA1104" i="1"/>
  <c r="AI1104" i="1"/>
  <c r="AR1104" i="1"/>
  <c r="AZ1104" i="1"/>
  <c r="BB796" i="1"/>
  <c r="Z1104" i="1"/>
  <c r="BB775" i="1"/>
  <c r="AY1043" i="1"/>
  <c r="AX1043" i="1"/>
  <c r="AV1043" i="1"/>
  <c r="AT1043" i="1"/>
  <c r="AQ1043" i="1"/>
  <c r="AP1043" i="1"/>
  <c r="AN1043" i="1"/>
  <c r="AL1043" i="1"/>
  <c r="AG1043" i="1"/>
  <c r="AF1043" i="1"/>
  <c r="AD1043" i="1"/>
  <c r="AB1043" i="1"/>
  <c r="Y1043" i="1"/>
  <c r="X1043" i="1"/>
  <c r="V1043" i="1"/>
  <c r="T1043" i="1"/>
  <c r="AY1032" i="1"/>
  <c r="AX1032" i="1"/>
  <c r="AV1032" i="1"/>
  <c r="AT1032" i="1"/>
  <c r="AQ1032" i="1"/>
  <c r="AP1032" i="1"/>
  <c r="AN1032" i="1"/>
  <c r="AL1032" i="1"/>
  <c r="AG1032" i="1"/>
  <c r="AF1032" i="1"/>
  <c r="AD1032" i="1"/>
  <c r="AB1032" i="1"/>
  <c r="Y1032" i="1"/>
  <c r="X1032" i="1"/>
  <c r="V1032" i="1"/>
  <c r="T1032" i="1"/>
  <c r="Q1104" i="1" l="1"/>
  <c r="AI1043" i="1"/>
  <c r="BA1043" i="1"/>
  <c r="AJ1104" i="1"/>
  <c r="BB1104" i="1"/>
  <c r="AH1032" i="1"/>
  <c r="AR1032" i="1"/>
  <c r="AZ1032" i="1"/>
  <c r="AR1043" i="1"/>
  <c r="BA1032" i="1"/>
  <c r="Z1043" i="1"/>
  <c r="AH1043" i="1"/>
  <c r="AZ1043" i="1"/>
  <c r="AI1032" i="1"/>
  <c r="Z1032" i="1"/>
  <c r="V580" i="1"/>
  <c r="X580" i="1"/>
  <c r="AY579" i="1"/>
  <c r="AX579" i="1"/>
  <c r="AV579" i="1"/>
  <c r="AT579" i="1"/>
  <c r="AQ579" i="1"/>
  <c r="AP579" i="1"/>
  <c r="AN579" i="1"/>
  <c r="AL579" i="1"/>
  <c r="AG579" i="1"/>
  <c r="AD579" i="1"/>
  <c r="AB579" i="1"/>
  <c r="X579" i="1"/>
  <c r="V579" i="1"/>
  <c r="AY580" i="1"/>
  <c r="AX580" i="1"/>
  <c r="AV580" i="1"/>
  <c r="AT580" i="1"/>
  <c r="AQ580" i="1"/>
  <c r="AP580" i="1"/>
  <c r="AN580" i="1"/>
  <c r="AL580" i="1"/>
  <c r="AG580" i="1"/>
  <c r="AF580" i="1"/>
  <c r="AD580" i="1"/>
  <c r="AB580" i="1"/>
  <c r="Q1032" i="1" l="1"/>
  <c r="Q1043" i="1"/>
  <c r="BB1043" i="1"/>
  <c r="BA580" i="1"/>
  <c r="BA579" i="1"/>
  <c r="R1104" i="1"/>
  <c r="AJ1043" i="1"/>
  <c r="AJ1032" i="1"/>
  <c r="AH580" i="1"/>
  <c r="AR580" i="1"/>
  <c r="AZ580" i="1"/>
  <c r="BB1032" i="1"/>
  <c r="AH579" i="1"/>
  <c r="AR579" i="1"/>
  <c r="AZ579" i="1"/>
  <c r="R1043" i="1" l="1"/>
  <c r="R1032" i="1"/>
  <c r="BB580" i="1"/>
  <c r="BB579" i="1"/>
  <c r="V459" i="1"/>
  <c r="U1369" i="1" l="1"/>
  <c r="V7" i="1" l="1"/>
  <c r="AY454" i="1" l="1"/>
  <c r="AX454" i="1"/>
  <c r="AV454" i="1"/>
  <c r="AT454" i="1"/>
  <c r="AQ454" i="1"/>
  <c r="AP454" i="1"/>
  <c r="AN454" i="1"/>
  <c r="AL454" i="1"/>
  <c r="AG454" i="1"/>
  <c r="AF454" i="1"/>
  <c r="AD454" i="1"/>
  <c r="AB454" i="1"/>
  <c r="X454" i="1"/>
  <c r="V454" i="1"/>
  <c r="BA454" i="1" l="1"/>
  <c r="AZ454" i="1"/>
  <c r="AR454" i="1"/>
  <c r="AH454" i="1"/>
  <c r="BB454" i="1" l="1"/>
  <c r="AY1323" i="1"/>
  <c r="AX1328" i="1"/>
  <c r="AX1325" i="1"/>
  <c r="AX1323" i="1"/>
  <c r="AV1328" i="1"/>
  <c r="AV1325" i="1"/>
  <c r="AV1323" i="1"/>
  <c r="AT1323" i="1"/>
  <c r="AT1328" i="1"/>
  <c r="AT1325" i="1"/>
  <c r="AT995" i="1"/>
  <c r="AQ1323" i="1"/>
  <c r="AP1328" i="1"/>
  <c r="AP1325" i="1"/>
  <c r="AP1323" i="1"/>
  <c r="AN1328" i="1"/>
  <c r="AN1325" i="1"/>
  <c r="AN1323" i="1"/>
  <c r="AL1325" i="1"/>
  <c r="AL1328" i="1"/>
  <c r="AL1323" i="1"/>
  <c r="AG1323" i="1"/>
  <c r="AF1328" i="1"/>
  <c r="AF1325" i="1"/>
  <c r="AF1323" i="1"/>
  <c r="AD1325" i="1"/>
  <c r="AD1328" i="1"/>
  <c r="AD1323" i="1"/>
  <c r="AB994" i="1"/>
  <c r="T1323" i="1"/>
  <c r="X1323" i="1"/>
  <c r="X1328" i="1"/>
  <c r="V1328" i="1"/>
  <c r="V1325" i="1"/>
  <c r="V1323" i="1"/>
  <c r="T1328" i="1"/>
  <c r="T981" i="1"/>
  <c r="AY1328" i="1"/>
  <c r="AQ1328" i="1"/>
  <c r="AG1328" i="1"/>
  <c r="Y1328" i="1"/>
  <c r="AY1325" i="1"/>
  <c r="AQ1325" i="1"/>
  <c r="AG1325" i="1"/>
  <c r="Y1325" i="1"/>
  <c r="Y1323" i="1"/>
  <c r="AR1323" i="1" l="1"/>
  <c r="AH1323" i="1"/>
  <c r="BA1323" i="1"/>
  <c r="AI1323" i="1"/>
  <c r="AI1325" i="1"/>
  <c r="AI1328" i="1"/>
  <c r="BA1328" i="1"/>
  <c r="AZ1323" i="1"/>
  <c r="AR1325" i="1"/>
  <c r="AZ1325" i="1"/>
  <c r="AR1328" i="1"/>
  <c r="AZ1328" i="1"/>
  <c r="BA1325" i="1"/>
  <c r="Z1325" i="1"/>
  <c r="Z1328" i="1"/>
  <c r="Z1323" i="1"/>
  <c r="Q1325" i="1" l="1"/>
  <c r="Q1328" i="1"/>
  <c r="BB1328" i="1"/>
  <c r="BB1325" i="1"/>
  <c r="Q1323" i="1"/>
  <c r="AY957" i="1" l="1"/>
  <c r="AY952" i="1"/>
  <c r="AX957" i="1" l="1"/>
  <c r="AX953" i="1"/>
  <c r="AX952" i="1"/>
  <c r="AX951" i="1"/>
  <c r="AV957" i="1"/>
  <c r="AV953" i="1"/>
  <c r="AV952" i="1"/>
  <c r="AV951" i="1"/>
  <c r="AT952" i="1"/>
  <c r="AT951" i="1"/>
  <c r="AT957" i="1"/>
  <c r="AT953" i="1"/>
  <c r="AP951" i="1"/>
  <c r="AN957" i="1"/>
  <c r="AN953" i="1"/>
  <c r="AN952" i="1"/>
  <c r="AN951" i="1"/>
  <c r="AD951" i="1"/>
  <c r="AF957" i="1"/>
  <c r="AF953" i="1"/>
  <c r="AF952" i="1"/>
  <c r="AF951" i="1"/>
  <c r="AD957" i="1"/>
  <c r="AD953" i="1"/>
  <c r="AD952" i="1"/>
  <c r="AB951" i="1"/>
  <c r="AB957" i="1"/>
  <c r="AB953" i="1"/>
  <c r="AB952" i="1"/>
  <c r="X951" i="1"/>
  <c r="X957" i="1"/>
  <c r="X953" i="1"/>
  <c r="X952" i="1"/>
  <c r="V953" i="1"/>
  <c r="V957" i="1"/>
  <c r="V952" i="1"/>
  <c r="V951" i="1"/>
  <c r="T951" i="1"/>
  <c r="T957" i="1"/>
  <c r="T953" i="1"/>
  <c r="T952" i="1"/>
  <c r="AH953" i="1" l="1"/>
  <c r="AH951" i="1"/>
  <c r="T969" i="1"/>
  <c r="T968" i="1"/>
  <c r="T966" i="1"/>
  <c r="T958" i="1"/>
  <c r="T959" i="1"/>
  <c r="T960" i="1"/>
  <c r="T961" i="1"/>
  <c r="T972" i="1" l="1"/>
  <c r="AY451" i="1"/>
  <c r="AX451" i="1"/>
  <c r="AV451" i="1"/>
  <c r="AT451" i="1"/>
  <c r="AQ451" i="1"/>
  <c r="AP451" i="1"/>
  <c r="AN451" i="1"/>
  <c r="AL451" i="1"/>
  <c r="AG451" i="1"/>
  <c r="AF451" i="1"/>
  <c r="AD451" i="1"/>
  <c r="AB451" i="1"/>
  <c r="X451" i="1"/>
  <c r="V451" i="1"/>
  <c r="BA451" i="1" l="1"/>
  <c r="AH451" i="1"/>
  <c r="AZ451" i="1"/>
  <c r="AR451" i="1"/>
  <c r="BB451" i="1" l="1"/>
  <c r="AY799" i="1" l="1"/>
  <c r="AY1146" i="1"/>
  <c r="AX695" i="1" l="1"/>
  <c r="AY695" i="1" l="1"/>
  <c r="AV695" i="1"/>
  <c r="AT695" i="1"/>
  <c r="AQ695" i="1"/>
  <c r="AP695" i="1"/>
  <c r="AN695" i="1"/>
  <c r="AL695" i="1"/>
  <c r="AG695" i="1"/>
  <c r="AF695" i="1"/>
  <c r="AD695" i="1"/>
  <c r="AB695" i="1"/>
  <c r="X695" i="1"/>
  <c r="V695" i="1"/>
  <c r="AY1106" i="1"/>
  <c r="AX1106" i="1"/>
  <c r="AV1106" i="1"/>
  <c r="AT1106" i="1"/>
  <c r="AQ1106" i="1"/>
  <c r="AP1106" i="1"/>
  <c r="AN1106" i="1"/>
  <c r="AL1106" i="1"/>
  <c r="AG1106" i="1"/>
  <c r="AF1106" i="1"/>
  <c r="AD1106" i="1"/>
  <c r="AB1106" i="1"/>
  <c r="Y1106" i="1"/>
  <c r="X1106" i="1"/>
  <c r="V1106" i="1"/>
  <c r="T1106" i="1"/>
  <c r="AW597" i="1"/>
  <c r="Y596" i="1"/>
  <c r="AU597" i="1"/>
  <c r="AS597" i="1"/>
  <c r="AO597" i="1"/>
  <c r="AM597" i="1"/>
  <c r="AK597" i="1"/>
  <c r="AE1375" i="1"/>
  <c r="AC597" i="1"/>
  <c r="W597" i="1"/>
  <c r="U597" i="1"/>
  <c r="S1375" i="1"/>
  <c r="AY596" i="1"/>
  <c r="AX596" i="1"/>
  <c r="AV596" i="1"/>
  <c r="AT596" i="1"/>
  <c r="AQ596" i="1"/>
  <c r="AP596" i="1"/>
  <c r="AN596" i="1"/>
  <c r="AL596" i="1"/>
  <c r="AG596" i="1"/>
  <c r="AD596" i="1"/>
  <c r="AB596" i="1"/>
  <c r="X596" i="1"/>
  <c r="V596" i="1"/>
  <c r="T596" i="1"/>
  <c r="AY595" i="1"/>
  <c r="AX595" i="1"/>
  <c r="AV595" i="1"/>
  <c r="AT595" i="1"/>
  <c r="AQ595" i="1"/>
  <c r="AP595" i="1"/>
  <c r="AN595" i="1"/>
  <c r="AL595" i="1"/>
  <c r="AG595" i="1"/>
  <c r="AD595" i="1"/>
  <c r="AB595" i="1"/>
  <c r="Y595" i="1"/>
  <c r="X595" i="1"/>
  <c r="V595" i="1"/>
  <c r="T595" i="1"/>
  <c r="AW289" i="1"/>
  <c r="AR1106" i="1" l="1"/>
  <c r="U1375" i="1"/>
  <c r="AU1375" i="1"/>
  <c r="W1375" i="1"/>
  <c r="AC1375" i="1"/>
  <c r="AO1375" i="1"/>
  <c r="AW1375" i="1"/>
  <c r="AS1375" i="1"/>
  <c r="AM1375" i="1"/>
  <c r="AK1375" i="1"/>
  <c r="BA1106" i="1"/>
  <c r="Z595" i="1"/>
  <c r="Z596" i="1"/>
  <c r="Z1106" i="1"/>
  <c r="AG597" i="1"/>
  <c r="AQ597" i="1"/>
  <c r="AV597" i="1"/>
  <c r="AV1375" i="1" s="1"/>
  <c r="Y597" i="1"/>
  <c r="AI596" i="1"/>
  <c r="X597" i="1"/>
  <c r="X1375" i="1" s="1"/>
  <c r="AB597" i="1"/>
  <c r="AB1375" i="1" s="1"/>
  <c r="BA596" i="1"/>
  <c r="AX597" i="1"/>
  <c r="AX1375" i="1" s="1"/>
  <c r="AI1106" i="1"/>
  <c r="AH695" i="1"/>
  <c r="AZ1106" i="1"/>
  <c r="AP597" i="1"/>
  <c r="AP1375" i="1" s="1"/>
  <c r="AH1106" i="1"/>
  <c r="T597" i="1"/>
  <c r="T1375" i="1" s="1"/>
  <c r="BA695" i="1"/>
  <c r="AZ695" i="1"/>
  <c r="AR695" i="1"/>
  <c r="AT597" i="1"/>
  <c r="AT1375" i="1" s="1"/>
  <c r="V597" i="1"/>
  <c r="V1375" i="1" s="1"/>
  <c r="AN597" i="1"/>
  <c r="AN1375" i="1" s="1"/>
  <c r="AY597" i="1"/>
  <c r="AR596" i="1"/>
  <c r="AZ596" i="1"/>
  <c r="AF1375" i="1"/>
  <c r="AL597" i="1"/>
  <c r="AL1375" i="1" s="1"/>
  <c r="AD597" i="1"/>
  <c r="AD1375" i="1" s="1"/>
  <c r="AH596" i="1"/>
  <c r="AI595" i="1"/>
  <c r="AR595" i="1"/>
  <c r="BA595" i="1"/>
  <c r="AH595" i="1"/>
  <c r="AZ595" i="1"/>
  <c r="Y1375" i="1" l="1"/>
  <c r="AG1375" i="1"/>
  <c r="AQ1375" i="1"/>
  <c r="AY1375" i="1"/>
  <c r="Q1106" i="1"/>
  <c r="BB1106" i="1"/>
  <c r="Z597" i="1"/>
  <c r="Z1375" i="1" s="1"/>
  <c r="BB596" i="1"/>
  <c r="Q596" i="1"/>
  <c r="Q595" i="1"/>
  <c r="BA597" i="1"/>
  <c r="AH597" i="1"/>
  <c r="AH1375" i="1" s="1"/>
  <c r="AJ1106" i="1"/>
  <c r="BB695" i="1"/>
  <c r="AZ597" i="1"/>
  <c r="AZ1375" i="1" s="1"/>
  <c r="AJ596" i="1"/>
  <c r="AR597" i="1"/>
  <c r="AR1375" i="1" s="1"/>
  <c r="BB595" i="1"/>
  <c r="AJ595" i="1"/>
  <c r="AI597" i="1"/>
  <c r="T448" i="1" l="1"/>
  <c r="AI1375" i="1"/>
  <c r="BA1375" i="1"/>
  <c r="R1106" i="1"/>
  <c r="R596" i="1"/>
  <c r="Q597" i="1"/>
  <c r="BB597" i="1"/>
  <c r="BB1375" i="1" s="1"/>
  <c r="AJ597" i="1"/>
  <c r="AJ1375" i="1" s="1"/>
  <c r="R595" i="1"/>
  <c r="Q1375" i="1" l="1"/>
  <c r="R597" i="1"/>
  <c r="AW1369" i="1"/>
  <c r="AY455" i="1"/>
  <c r="AX455" i="1"/>
  <c r="AV455" i="1"/>
  <c r="AT455" i="1"/>
  <c r="AQ455" i="1"/>
  <c r="AP455" i="1"/>
  <c r="AN455" i="1"/>
  <c r="AL455" i="1"/>
  <c r="AG455" i="1"/>
  <c r="AF455" i="1"/>
  <c r="AD455" i="1"/>
  <c r="AB455" i="1"/>
  <c r="X455" i="1"/>
  <c r="V455" i="1"/>
  <c r="R1375" i="1" l="1"/>
  <c r="BA455" i="1"/>
  <c r="AH455" i="1"/>
  <c r="AR455" i="1"/>
  <c r="AZ455" i="1"/>
  <c r="AX249" i="1"/>
  <c r="BB455" i="1" l="1"/>
  <c r="AY246" i="1"/>
  <c r="AX246" i="1"/>
  <c r="AV246" i="1"/>
  <c r="AT246" i="1"/>
  <c r="AQ246" i="1"/>
  <c r="AP246" i="1"/>
  <c r="AN246" i="1"/>
  <c r="AL246" i="1"/>
  <c r="AG246" i="1"/>
  <c r="AF246" i="1"/>
  <c r="AD246" i="1"/>
  <c r="X246" i="1"/>
  <c r="V246" i="1"/>
  <c r="BA246" i="1" l="1"/>
  <c r="AR246" i="1"/>
  <c r="AZ246" i="1"/>
  <c r="AH246" i="1"/>
  <c r="AW267" i="1"/>
  <c r="AU267" i="1"/>
  <c r="AM267" i="1"/>
  <c r="AY266" i="1"/>
  <c r="AX266" i="1"/>
  <c r="AV266" i="1"/>
  <c r="AT266" i="1"/>
  <c r="AQ266" i="1"/>
  <c r="AP266" i="1"/>
  <c r="AN266" i="1"/>
  <c r="AL266" i="1"/>
  <c r="AG266" i="1"/>
  <c r="AF266" i="1"/>
  <c r="AD266" i="1"/>
  <c r="AB266" i="1"/>
  <c r="X266" i="1"/>
  <c r="V266" i="1"/>
  <c r="AX261" i="1"/>
  <c r="AX251" i="1"/>
  <c r="AX131" i="1"/>
  <c r="AU1365" i="1" l="1"/>
  <c r="BA266" i="1"/>
  <c r="AW1365" i="1"/>
  <c r="AM1365" i="1"/>
  <c r="BB246" i="1"/>
  <c r="AR266" i="1"/>
  <c r="AZ266" i="1"/>
  <c r="AH266" i="1"/>
  <c r="AV741" i="1"/>
  <c r="AV740" i="1"/>
  <c r="AU544" i="1"/>
  <c r="AV123" i="1"/>
  <c r="AV15" i="1"/>
  <c r="AP13" i="1"/>
  <c r="AU1371" i="1" l="1"/>
  <c r="BB266" i="1"/>
  <c r="AQ82" i="1"/>
  <c r="AQ957" i="1" l="1"/>
  <c r="AG617" i="1"/>
  <c r="AG790" i="1"/>
  <c r="AG781" i="1"/>
  <c r="AG1058" i="1"/>
  <c r="Y1298" i="1"/>
  <c r="Y1296" i="1"/>
  <c r="Y1293" i="1"/>
  <c r="Y957" i="1"/>
  <c r="Y952" i="1"/>
  <c r="AT685" i="1"/>
  <c r="AT259" i="1" l="1"/>
  <c r="AT133" i="1" l="1"/>
  <c r="AT548" i="1"/>
  <c r="AY1026" i="1" l="1"/>
  <c r="AX1026" i="1"/>
  <c r="AV1026" i="1"/>
  <c r="AT1026" i="1"/>
  <c r="AQ1026" i="1"/>
  <c r="AP1026" i="1"/>
  <c r="AN1026" i="1"/>
  <c r="AL1026" i="1"/>
  <c r="AG1026" i="1"/>
  <c r="AF1026" i="1"/>
  <c r="AD1026" i="1"/>
  <c r="AB1026" i="1"/>
  <c r="Y1026" i="1"/>
  <c r="X1026" i="1"/>
  <c r="V1026" i="1"/>
  <c r="T1026" i="1"/>
  <c r="T1027" i="1"/>
  <c r="V1027" i="1"/>
  <c r="X1027" i="1"/>
  <c r="Y1027" i="1"/>
  <c r="AB1027" i="1"/>
  <c r="AD1027" i="1"/>
  <c r="AF1027" i="1"/>
  <c r="AG1027" i="1"/>
  <c r="AL1027" i="1"/>
  <c r="AN1027" i="1"/>
  <c r="AP1027" i="1"/>
  <c r="AQ1027" i="1"/>
  <c r="AT1027" i="1"/>
  <c r="AV1027" i="1"/>
  <c r="AX1027" i="1"/>
  <c r="AY1027" i="1"/>
  <c r="AY647" i="1"/>
  <c r="AX647" i="1"/>
  <c r="AV647" i="1"/>
  <c r="AT647" i="1"/>
  <c r="AQ647" i="1"/>
  <c r="AP647" i="1"/>
  <c r="AN647" i="1"/>
  <c r="AL647" i="1"/>
  <c r="AG647" i="1"/>
  <c r="AF647" i="1"/>
  <c r="AD647" i="1"/>
  <c r="AB647" i="1"/>
  <c r="Y647" i="1"/>
  <c r="X647" i="1"/>
  <c r="V647" i="1"/>
  <c r="T647" i="1"/>
  <c r="AI1026" i="1" l="1"/>
  <c r="BA1026" i="1"/>
  <c r="BA647" i="1"/>
  <c r="Z647" i="1"/>
  <c r="AH1027" i="1"/>
  <c r="AI647" i="1"/>
  <c r="AR1027" i="1"/>
  <c r="AR1026" i="1"/>
  <c r="AH1026" i="1"/>
  <c r="Z1026" i="1"/>
  <c r="BA1027" i="1"/>
  <c r="AI1027" i="1"/>
  <c r="Z1027" i="1"/>
  <c r="AZ1027" i="1"/>
  <c r="AZ1026" i="1"/>
  <c r="AR647" i="1"/>
  <c r="AH647" i="1"/>
  <c r="AZ647" i="1"/>
  <c r="Q1026" i="1" l="1"/>
  <c r="Q647" i="1"/>
  <c r="AJ1026" i="1"/>
  <c r="Q1027" i="1"/>
  <c r="AJ1027" i="1"/>
  <c r="AJ647" i="1"/>
  <c r="BB1026" i="1"/>
  <c r="BB1027" i="1"/>
  <c r="BB647" i="1"/>
  <c r="R1026" i="1" l="1"/>
  <c r="R647" i="1"/>
  <c r="R1027" i="1"/>
  <c r="AO28" i="1"/>
  <c r="AO115" i="1"/>
  <c r="AO143" i="1"/>
  <c r="AO110" i="1" s="1"/>
  <c r="AO149" i="1"/>
  <c r="AO267" i="1"/>
  <c r="AO281" i="1"/>
  <c r="AO284" i="1"/>
  <c r="AO289" i="1"/>
  <c r="AO1369" i="1"/>
  <c r="AO1370" i="1"/>
  <c r="AO544" i="1"/>
  <c r="AO572" i="1"/>
  <c r="AO594" i="1"/>
  <c r="AO612" i="1"/>
  <c r="AO625" i="1"/>
  <c r="AO623" i="1" s="1"/>
  <c r="AO737" i="1"/>
  <c r="AO869" i="1"/>
  <c r="AO873" i="1"/>
  <c r="AO889" i="1"/>
  <c r="AO1002" i="1"/>
  <c r="AO1291" i="1"/>
  <c r="S1315" i="1"/>
  <c r="U1315" i="1"/>
  <c r="W1315" i="1"/>
  <c r="AA1315" i="1"/>
  <c r="AC1315" i="1"/>
  <c r="AE1315" i="1"/>
  <c r="AK1315" i="1"/>
  <c r="AM1315" i="1"/>
  <c r="AM1307" i="1" s="1"/>
  <c r="AO1315" i="1"/>
  <c r="AS1315" i="1"/>
  <c r="AU1315" i="1"/>
  <c r="AW1315" i="1"/>
  <c r="S1310" i="1"/>
  <c r="U1310" i="1"/>
  <c r="W1310" i="1"/>
  <c r="AA1310" i="1"/>
  <c r="AC1310" i="1"/>
  <c r="AE1310" i="1"/>
  <c r="AK1310" i="1"/>
  <c r="AM1310" i="1"/>
  <c r="AO1310" i="1"/>
  <c r="AS1310" i="1"/>
  <c r="AU1310" i="1"/>
  <c r="AW1310" i="1"/>
  <c r="S1307" i="1"/>
  <c r="U1307" i="1"/>
  <c r="W1307" i="1"/>
  <c r="AA1307" i="1"/>
  <c r="AC1307" i="1"/>
  <c r="AE1307" i="1"/>
  <c r="AK1307" i="1"/>
  <c r="AO1307" i="1"/>
  <c r="AS1307" i="1"/>
  <c r="AU1307" i="1"/>
  <c r="AW1307" i="1"/>
  <c r="S1301" i="1"/>
  <c r="U1301" i="1"/>
  <c r="W1301" i="1"/>
  <c r="AA1301" i="1"/>
  <c r="AC1301" i="1"/>
  <c r="AE1301" i="1"/>
  <c r="AK1301" i="1"/>
  <c r="AM1301" i="1"/>
  <c r="AO1301" i="1"/>
  <c r="AS1301" i="1"/>
  <c r="AU1301" i="1"/>
  <c r="AW1301" i="1"/>
  <c r="W1291" i="1"/>
  <c r="AC1291" i="1"/>
  <c r="AE1291" i="1"/>
  <c r="AK1291" i="1"/>
  <c r="AM1291" i="1"/>
  <c r="AS1291" i="1"/>
  <c r="AW1291" i="1"/>
  <c r="AA1024" i="1"/>
  <c r="U1002" i="1"/>
  <c r="W1002" i="1"/>
  <c r="AC1002" i="1"/>
  <c r="AE1002" i="1"/>
  <c r="AM1002" i="1"/>
  <c r="AS1002" i="1"/>
  <c r="AU1002" i="1"/>
  <c r="AW1002" i="1"/>
  <c r="S889" i="1"/>
  <c r="S931" i="1" s="1"/>
  <c r="S1322" i="1" s="1"/>
  <c r="U889" i="1"/>
  <c r="W889" i="1"/>
  <c r="AC889" i="1"/>
  <c r="AK889" i="1"/>
  <c r="AM889" i="1"/>
  <c r="AS889" i="1"/>
  <c r="AU889" i="1"/>
  <c r="AW889" i="1"/>
  <c r="U873" i="1"/>
  <c r="W873" i="1"/>
  <c r="AC873" i="1"/>
  <c r="AE873" i="1"/>
  <c r="AK873" i="1"/>
  <c r="AM873" i="1"/>
  <c r="AS873" i="1"/>
  <c r="AU873" i="1"/>
  <c r="AW873" i="1"/>
  <c r="U1379" i="1"/>
  <c r="W869" i="1"/>
  <c r="AC869" i="1"/>
  <c r="AE1379" i="1"/>
  <c r="AK869" i="1"/>
  <c r="AM869" i="1"/>
  <c r="AS869" i="1"/>
  <c r="AU869" i="1"/>
  <c r="AW869" i="1"/>
  <c r="AE1378" i="1"/>
  <c r="U737" i="1"/>
  <c r="W737" i="1"/>
  <c r="AC737" i="1"/>
  <c r="AE1377" i="1"/>
  <c r="AK737" i="1"/>
  <c r="AM737" i="1"/>
  <c r="AS737" i="1"/>
  <c r="AU1377" i="1"/>
  <c r="AW737" i="1"/>
  <c r="U625" i="1"/>
  <c r="U623" i="1" s="1"/>
  <c r="W625" i="1"/>
  <c r="W623" i="1" s="1"/>
  <c r="AC625" i="1"/>
  <c r="AC623" i="1" s="1"/>
  <c r="AE625" i="1"/>
  <c r="AE623" i="1" s="1"/>
  <c r="AK625" i="1"/>
  <c r="AK623" i="1" s="1"/>
  <c r="AM625" i="1"/>
  <c r="AM623" i="1" s="1"/>
  <c r="AS625" i="1"/>
  <c r="AS623" i="1" s="1"/>
  <c r="AU625" i="1"/>
  <c r="AU623" i="1" s="1"/>
  <c r="AW625" i="1"/>
  <c r="AW623" i="1" s="1"/>
  <c r="U612" i="1"/>
  <c r="W612" i="1"/>
  <c r="AC612" i="1"/>
  <c r="AE612" i="1"/>
  <c r="AK612" i="1"/>
  <c r="AM612" i="1"/>
  <c r="AS612" i="1"/>
  <c r="AU612" i="1"/>
  <c r="AW612" i="1"/>
  <c r="U594" i="1"/>
  <c r="W1374" i="1"/>
  <c r="AC594" i="1"/>
  <c r="AE1374" i="1"/>
  <c r="AK594" i="1"/>
  <c r="AM594" i="1"/>
  <c r="AS594" i="1"/>
  <c r="AU594" i="1"/>
  <c r="AW594" i="1"/>
  <c r="U572" i="1"/>
  <c r="W572" i="1"/>
  <c r="AC572" i="1"/>
  <c r="AK572" i="1"/>
  <c r="AM572" i="1"/>
  <c r="AS572" i="1"/>
  <c r="AU572" i="1"/>
  <c r="AW572" i="1"/>
  <c r="U544" i="1"/>
  <c r="AC1371" i="1"/>
  <c r="AE544" i="1"/>
  <c r="AK544" i="1"/>
  <c r="AM544" i="1"/>
  <c r="AW544" i="1"/>
  <c r="AM1370" i="1"/>
  <c r="W1369" i="1"/>
  <c r="W1372" i="1" s="1"/>
  <c r="AC1369" i="1"/>
  <c r="AE1369" i="1"/>
  <c r="AK1369" i="1"/>
  <c r="AS1369" i="1"/>
  <c r="AS1372" i="1" s="1"/>
  <c r="AU1369" i="1"/>
  <c r="AU1372" i="1" s="1"/>
  <c r="U289" i="1"/>
  <c r="W289" i="1"/>
  <c r="AC289" i="1"/>
  <c r="AE289" i="1"/>
  <c r="AK289" i="1"/>
  <c r="AM289" i="1"/>
  <c r="AS289" i="1"/>
  <c r="AU289" i="1"/>
  <c r="U284" i="1"/>
  <c r="W284" i="1"/>
  <c r="AA284" i="1"/>
  <c r="AC284" i="1"/>
  <c r="AE284" i="1"/>
  <c r="AK284" i="1"/>
  <c r="AM284" i="1"/>
  <c r="AS284" i="1"/>
  <c r="AU284" i="1"/>
  <c r="AW284" i="1"/>
  <c r="U281" i="1"/>
  <c r="W281" i="1"/>
  <c r="AA281" i="1"/>
  <c r="AA1362" i="1" s="1"/>
  <c r="AA1363" i="1" s="1"/>
  <c r="AC281" i="1"/>
  <c r="AE1367" i="1"/>
  <c r="AK281" i="1"/>
  <c r="AM281" i="1"/>
  <c r="AS281" i="1"/>
  <c r="AU281" i="1"/>
  <c r="AW281" i="1"/>
  <c r="U267" i="1"/>
  <c r="W267" i="1"/>
  <c r="AC267" i="1"/>
  <c r="AE1365" i="1"/>
  <c r="AK267" i="1"/>
  <c r="AS267" i="1"/>
  <c r="AC149" i="1"/>
  <c r="AK149" i="1"/>
  <c r="AS149" i="1"/>
  <c r="AU149" i="1"/>
  <c r="AW149" i="1"/>
  <c r="U143" i="1"/>
  <c r="U110" i="1" s="1"/>
  <c r="W143" i="1"/>
  <c r="W110" i="1" s="1"/>
  <c r="AC143" i="1"/>
  <c r="AC110" i="1" s="1"/>
  <c r="AC1361" i="1" s="1"/>
  <c r="AE1364" i="1"/>
  <c r="AK143" i="1"/>
  <c r="AK110" i="1" s="1"/>
  <c r="AM143" i="1"/>
  <c r="AS143" i="1"/>
  <c r="AU143" i="1"/>
  <c r="AW143" i="1"/>
  <c r="U115" i="1"/>
  <c r="AC115" i="1"/>
  <c r="AE115" i="1"/>
  <c r="AK115" i="1"/>
  <c r="AM115" i="1"/>
  <c r="AS115" i="1"/>
  <c r="AU115" i="1"/>
  <c r="AW115" i="1"/>
  <c r="AE1361" i="1"/>
  <c r="AM110" i="1"/>
  <c r="AS110" i="1"/>
  <c r="AU110" i="1"/>
  <c r="AW110" i="1"/>
  <c r="U28" i="1"/>
  <c r="W28" i="1"/>
  <c r="AC28" i="1"/>
  <c r="AK28" i="1"/>
  <c r="AM28" i="1"/>
  <c r="AS28" i="1"/>
  <c r="AU28" i="1"/>
  <c r="AW28" i="1"/>
  <c r="AW1364" i="1" l="1"/>
  <c r="AW1366" i="1" s="1"/>
  <c r="AK1364" i="1"/>
  <c r="U1364" i="1"/>
  <c r="U1366" i="1" s="1"/>
  <c r="AS1365" i="1"/>
  <c r="W1365" i="1"/>
  <c r="AS1367" i="1"/>
  <c r="AC1367" i="1"/>
  <c r="AE1371" i="1"/>
  <c r="AE1372" i="1" s="1"/>
  <c r="AU1374" i="1"/>
  <c r="W1377" i="1"/>
  <c r="AS1378" i="1"/>
  <c r="AC1378" i="1"/>
  <c r="AE144" i="1"/>
  <c r="AE250" i="1" s="1"/>
  <c r="AE282" i="1" s="1"/>
  <c r="AU1364" i="1"/>
  <c r="AU1366" i="1" s="1"/>
  <c r="U1365" i="1"/>
  <c r="AA1367" i="1"/>
  <c r="AW1371" i="1"/>
  <c r="AW1372" i="1" s="1"/>
  <c r="AS1374" i="1"/>
  <c r="AC1374" i="1"/>
  <c r="AW1377" i="1"/>
  <c r="U1377" i="1"/>
  <c r="W1378" i="1"/>
  <c r="S1380" i="1"/>
  <c r="AO1371" i="1"/>
  <c r="AO1372" i="1" s="1"/>
  <c r="AS1364" i="1"/>
  <c r="AS1366" i="1" s="1"/>
  <c r="AC1364" i="1"/>
  <c r="AC1366" i="1" s="1"/>
  <c r="AW1367" i="1"/>
  <c r="AK1367" i="1"/>
  <c r="W1367" i="1"/>
  <c r="U1371" i="1"/>
  <c r="U1372" i="1" s="1"/>
  <c r="AW1378" i="1"/>
  <c r="U1378" i="1"/>
  <c r="AO1378" i="1"/>
  <c r="AO1367" i="1"/>
  <c r="AO1364" i="1"/>
  <c r="AO1366" i="1" s="1"/>
  <c r="AM1364" i="1"/>
  <c r="AM1366" i="1" s="1"/>
  <c r="W1364" i="1"/>
  <c r="W1366" i="1" s="1"/>
  <c r="AC1365" i="1"/>
  <c r="AU1367" i="1"/>
  <c r="U1367" i="1"/>
  <c r="AW1374" i="1"/>
  <c r="U1374" i="1"/>
  <c r="AS1377" i="1"/>
  <c r="AC1377" i="1"/>
  <c r="AU1378" i="1"/>
  <c r="AO1377" i="1"/>
  <c r="AO1374" i="1"/>
  <c r="AO1365" i="1"/>
  <c r="AM1378" i="1"/>
  <c r="AM1377" i="1"/>
  <c r="AM1374" i="1"/>
  <c r="AM1367" i="1"/>
  <c r="AM1371" i="1"/>
  <c r="AK1378" i="1"/>
  <c r="AK1377" i="1"/>
  <c r="AK1374" i="1"/>
  <c r="AK1371" i="1"/>
  <c r="AK1372" i="1" s="1"/>
  <c r="AK1365" i="1"/>
  <c r="AW1379" i="1"/>
  <c r="AK1379" i="1"/>
  <c r="AU1379" i="1"/>
  <c r="AS1379" i="1"/>
  <c r="AC1379" i="1"/>
  <c r="AO1379" i="1"/>
  <c r="AM1379" i="1"/>
  <c r="W1379" i="1"/>
  <c r="AW1361" i="1"/>
  <c r="AK1361" i="1"/>
  <c r="U1361" i="1"/>
  <c r="AU1361" i="1"/>
  <c r="AO1361" i="1"/>
  <c r="AS1361" i="1"/>
  <c r="AM1361" i="1"/>
  <c r="W1361" i="1"/>
  <c r="AW1359" i="1"/>
  <c r="W1359" i="1"/>
  <c r="AK1359" i="1"/>
  <c r="AU1380" i="1"/>
  <c r="AS1380" i="1"/>
  <c r="AW1373" i="1"/>
  <c r="AK1373" i="1"/>
  <c r="U1373" i="1"/>
  <c r="AU1373" i="1"/>
  <c r="AE1373" i="1"/>
  <c r="AE1376" i="1" s="1"/>
  <c r="AS1373" i="1"/>
  <c r="AC1373" i="1"/>
  <c r="AO1373" i="1"/>
  <c r="W1373" i="1"/>
  <c r="W1376" i="1" s="1"/>
  <c r="AS1359" i="1"/>
  <c r="AC1359" i="1"/>
  <c r="AW1380" i="1"/>
  <c r="AK1380" i="1"/>
  <c r="U1380" i="1"/>
  <c r="AC1380" i="1"/>
  <c r="AU1359" i="1"/>
  <c r="AE1359" i="1"/>
  <c r="AE1380" i="1"/>
  <c r="AE1381" i="1" s="1"/>
  <c r="AM1380" i="1"/>
  <c r="W1380" i="1"/>
  <c r="S1374" i="1"/>
  <c r="U1359" i="1"/>
  <c r="AE1366" i="1"/>
  <c r="AC1372" i="1"/>
  <c r="AA282" i="1"/>
  <c r="AO1359" i="1"/>
  <c r="AA1382" i="1"/>
  <c r="AO1380" i="1"/>
  <c r="AM1373" i="1"/>
  <c r="AM1369" i="1"/>
  <c r="AM144" i="1"/>
  <c r="AM250" i="1" s="1"/>
  <c r="AM282" i="1" s="1"/>
  <c r="AM1359" i="1"/>
  <c r="AW1024" i="1"/>
  <c r="AC1024" i="1"/>
  <c r="S1024" i="1"/>
  <c r="U144" i="1"/>
  <c r="U250" i="1" s="1"/>
  <c r="U282" i="1" s="1"/>
  <c r="AO626" i="1"/>
  <c r="AU1024" i="1"/>
  <c r="AE1024" i="1"/>
  <c r="U1024" i="1"/>
  <c r="AK144" i="1"/>
  <c r="AK250" i="1" s="1"/>
  <c r="AK282" i="1" s="1"/>
  <c r="AE626" i="1"/>
  <c r="U626" i="1"/>
  <c r="AK626" i="1"/>
  <c r="AM1024" i="1"/>
  <c r="AC626" i="1"/>
  <c r="W626" i="1"/>
  <c r="AM626" i="1"/>
  <c r="AS1024" i="1"/>
  <c r="AK1024" i="1"/>
  <c r="AO1024" i="1"/>
  <c r="AO874" i="1"/>
  <c r="AO931" i="1" s="1"/>
  <c r="AO1322" i="1" s="1"/>
  <c r="AO144" i="1"/>
  <c r="AO250" i="1" s="1"/>
  <c r="AO282" i="1" s="1"/>
  <c r="AM874" i="1"/>
  <c r="AM931" i="1" s="1"/>
  <c r="AM1322" i="1" s="1"/>
  <c r="AK874" i="1"/>
  <c r="AK931" i="1" s="1"/>
  <c r="AK1322" i="1" s="1"/>
  <c r="AE874" i="1"/>
  <c r="AE931" i="1" s="1"/>
  <c r="AE1322" i="1" s="1"/>
  <c r="AC874" i="1"/>
  <c r="AC931" i="1" s="1"/>
  <c r="AC1322" i="1" s="1"/>
  <c r="AC144" i="1"/>
  <c r="AC250" i="1" s="1"/>
  <c r="AC282" i="1" s="1"/>
  <c r="W1024" i="1"/>
  <c r="W874" i="1"/>
  <c r="W931" i="1" s="1"/>
  <c r="W1322" i="1" s="1"/>
  <c r="W144" i="1"/>
  <c r="W250" i="1" s="1"/>
  <c r="W282" i="1" s="1"/>
  <c r="U874" i="1"/>
  <c r="U931" i="1" s="1"/>
  <c r="U1322" i="1" s="1"/>
  <c r="AW874" i="1"/>
  <c r="AW931" i="1" s="1"/>
  <c r="AW1322" i="1" s="1"/>
  <c r="AW626" i="1"/>
  <c r="AW144" i="1"/>
  <c r="AW250" i="1" s="1"/>
  <c r="AW282" i="1" s="1"/>
  <c r="AU874" i="1"/>
  <c r="AU931" i="1" s="1"/>
  <c r="AU1322" i="1" s="1"/>
  <c r="AU626" i="1"/>
  <c r="AU144" i="1"/>
  <c r="AU250" i="1" s="1"/>
  <c r="AU282" i="1" s="1"/>
  <c r="AS874" i="1"/>
  <c r="AS931" i="1" s="1"/>
  <c r="AS1322" i="1" s="1"/>
  <c r="AS626" i="1"/>
  <c r="AS144" i="1"/>
  <c r="AS250" i="1" s="1"/>
  <c r="AS282" i="1" s="1"/>
  <c r="AT151" i="1"/>
  <c r="AW1376" i="1" l="1"/>
  <c r="AE1362" i="1"/>
  <c r="AE1363" i="1" s="1"/>
  <c r="U1362" i="1"/>
  <c r="U1363" i="1" s="1"/>
  <c r="AC1362" i="1"/>
  <c r="AC1363" i="1" s="1"/>
  <c r="AK1362" i="1"/>
  <c r="AK1363" i="1" s="1"/>
  <c r="AO1362" i="1"/>
  <c r="AO1363" i="1" s="1"/>
  <c r="AS1362" i="1"/>
  <c r="AS1363" i="1" s="1"/>
  <c r="AU1362" i="1"/>
  <c r="AU1363" i="1" s="1"/>
  <c r="AW1362" i="1"/>
  <c r="AW1363" i="1" s="1"/>
  <c r="AM1362" i="1"/>
  <c r="AM1363" i="1" s="1"/>
  <c r="W1362" i="1"/>
  <c r="W1363" i="1" s="1"/>
  <c r="AK1366" i="1"/>
  <c r="AM1376" i="1"/>
  <c r="AC1381" i="1"/>
  <c r="AS1376" i="1"/>
  <c r="U1381" i="1"/>
  <c r="AC1376" i="1"/>
  <c r="AO1376" i="1"/>
  <c r="AU1376" i="1"/>
  <c r="AU1381" i="1"/>
  <c r="AM1372" i="1"/>
  <c r="U1376" i="1"/>
  <c r="AW1381" i="1"/>
  <c r="AC1385" i="1"/>
  <c r="W1381" i="1"/>
  <c r="AS1385" i="1"/>
  <c r="AU1385" i="1"/>
  <c r="AW1385" i="1"/>
  <c r="AO1385" i="1"/>
  <c r="AO1381" i="1"/>
  <c r="AS1381" i="1"/>
  <c r="W1385" i="1"/>
  <c r="U1385" i="1"/>
  <c r="AM1381" i="1"/>
  <c r="AM1385" i="1"/>
  <c r="AW1382" i="1"/>
  <c r="AS1382" i="1"/>
  <c r="AU1382" i="1"/>
  <c r="S1382" i="1"/>
  <c r="U1382" i="1"/>
  <c r="AK1381" i="1"/>
  <c r="AK1376" i="1"/>
  <c r="AK1385" i="1"/>
  <c r="AE1385" i="1"/>
  <c r="AK1382" i="1"/>
  <c r="AE1382" i="1"/>
  <c r="AC1382" i="1"/>
  <c r="W1382" i="1"/>
  <c r="AO1382" i="1"/>
  <c r="AM1382" i="1"/>
  <c r="AQ148" i="1"/>
  <c r="AP957" i="1"/>
  <c r="AP953" i="1"/>
  <c r="AP952" i="1"/>
  <c r="AP617" i="1"/>
  <c r="AP622" i="1"/>
  <c r="AP877" i="1"/>
  <c r="AP887" i="1"/>
  <c r="AP888" i="1"/>
  <c r="AP864" i="1"/>
  <c r="AY795" i="1"/>
  <c r="AX795" i="1"/>
  <c r="AV795" i="1"/>
  <c r="AT795" i="1"/>
  <c r="AQ795" i="1"/>
  <c r="AP795" i="1"/>
  <c r="AN795" i="1"/>
  <c r="AL795" i="1"/>
  <c r="AG795" i="1"/>
  <c r="AF795" i="1"/>
  <c r="AD795" i="1"/>
  <c r="AB795" i="1"/>
  <c r="X795" i="1"/>
  <c r="V795" i="1"/>
  <c r="AP788" i="1"/>
  <c r="AY790" i="1"/>
  <c r="AX790" i="1"/>
  <c r="AV790" i="1"/>
  <c r="AT790" i="1"/>
  <c r="AQ790" i="1"/>
  <c r="AP790" i="1"/>
  <c r="AN790" i="1"/>
  <c r="AL790" i="1"/>
  <c r="AF790" i="1"/>
  <c r="AD790" i="1"/>
  <c r="AB790" i="1"/>
  <c r="X790" i="1"/>
  <c r="V790" i="1"/>
  <c r="AY794" i="1"/>
  <c r="AX794" i="1"/>
  <c r="AV794" i="1"/>
  <c r="AT794" i="1"/>
  <c r="AQ794" i="1"/>
  <c r="AP794" i="1"/>
  <c r="AN794" i="1"/>
  <c r="AL794" i="1"/>
  <c r="AG794" i="1"/>
  <c r="AF794" i="1"/>
  <c r="AD794" i="1"/>
  <c r="AB794" i="1"/>
  <c r="X794" i="1"/>
  <c r="V794" i="1"/>
  <c r="AY788" i="1"/>
  <c r="AX788" i="1"/>
  <c r="AV788" i="1"/>
  <c r="AT788" i="1"/>
  <c r="AQ788" i="1"/>
  <c r="AN788" i="1"/>
  <c r="AL788" i="1"/>
  <c r="AF788" i="1"/>
  <c r="AD788" i="1"/>
  <c r="AB788" i="1"/>
  <c r="X788" i="1"/>
  <c r="V788" i="1"/>
  <c r="AP756" i="1"/>
  <c r="AP851" i="1"/>
  <c r="AP868" i="1"/>
  <c r="AP866" i="1"/>
  <c r="AP870" i="1"/>
  <c r="AP1155" i="1"/>
  <c r="AP1058" i="1"/>
  <c r="AP1053" i="1"/>
  <c r="AY1054" i="1"/>
  <c r="AX1054" i="1"/>
  <c r="AV1054" i="1"/>
  <c r="AT1054" i="1"/>
  <c r="AQ1054" i="1"/>
  <c r="AP1054" i="1"/>
  <c r="AN1054" i="1"/>
  <c r="AL1054" i="1"/>
  <c r="AG1054" i="1"/>
  <c r="AF1054" i="1"/>
  <c r="AD1054" i="1"/>
  <c r="AB1054" i="1"/>
  <c r="Y1054" i="1"/>
  <c r="X1054" i="1"/>
  <c r="V1054" i="1"/>
  <c r="T1054" i="1"/>
  <c r="AP1051" i="1"/>
  <c r="AP1044" i="1"/>
  <c r="AP1050" i="1"/>
  <c r="AP1052" i="1"/>
  <c r="AP969" i="1"/>
  <c r="AQ952" i="1"/>
  <c r="BA957" i="1"/>
  <c r="AI957" i="1"/>
  <c r="AP966" i="1"/>
  <c r="AC547" i="1" l="1"/>
  <c r="AC950" i="1"/>
  <c r="AC1308" i="1" s="1"/>
  <c r="AC1333" i="1" s="1"/>
  <c r="AC24" i="1" s="1"/>
  <c r="AC29" i="1" s="1"/>
  <c r="AA547" i="1"/>
  <c r="AA950" i="1"/>
  <c r="AA1308" i="1" s="1"/>
  <c r="BA790" i="1"/>
  <c r="BA795" i="1"/>
  <c r="Q957" i="1"/>
  <c r="BA794" i="1"/>
  <c r="AI1054" i="1"/>
  <c r="BA1054" i="1"/>
  <c r="AZ790" i="1"/>
  <c r="BA788" i="1"/>
  <c r="AH790" i="1"/>
  <c r="AR790" i="1"/>
  <c r="AZ1054" i="1"/>
  <c r="AZ795" i="1"/>
  <c r="AR794" i="1"/>
  <c r="AR795" i="1"/>
  <c r="AH795" i="1"/>
  <c r="AR788" i="1"/>
  <c r="AH794" i="1"/>
  <c r="AZ794" i="1"/>
  <c r="AH788" i="1"/>
  <c r="AZ788" i="1"/>
  <c r="AR1054" i="1"/>
  <c r="AH1054" i="1"/>
  <c r="Z1054" i="1"/>
  <c r="AZ957" i="1"/>
  <c r="AR957" i="1"/>
  <c r="AH957" i="1"/>
  <c r="Z957" i="1"/>
  <c r="AC1383" i="1" l="1"/>
  <c r="AC1384" i="1" s="1"/>
  <c r="AA1333" i="1"/>
  <c r="AA24" i="1" s="1"/>
  <c r="AA29" i="1" s="1"/>
  <c r="AA1383" i="1"/>
  <c r="AA1384" i="1" s="1"/>
  <c r="AA602" i="1"/>
  <c r="AA1329" i="1" s="1"/>
  <c r="AA1386" i="1" s="1"/>
  <c r="AA1387" i="1"/>
  <c r="AC1358" i="1"/>
  <c r="AC1360" i="1" s="1"/>
  <c r="AC1368" i="1" s="1"/>
  <c r="AC290" i="1"/>
  <c r="AC602" i="1"/>
  <c r="AC1329" i="1" s="1"/>
  <c r="AC1386" i="1" s="1"/>
  <c r="AC1387" i="1"/>
  <c r="AW547" i="1"/>
  <c r="AW950" i="1"/>
  <c r="AW1308" i="1" s="1"/>
  <c r="AU547" i="1"/>
  <c r="AU950" i="1"/>
  <c r="AU1308" i="1" s="1"/>
  <c r="U547" i="1"/>
  <c r="U950" i="1"/>
  <c r="U1308" i="1" s="1"/>
  <c r="AM547" i="1"/>
  <c r="AM950" i="1"/>
  <c r="AM1308" i="1" s="1"/>
  <c r="AK547" i="1"/>
  <c r="AK950" i="1"/>
  <c r="AK1308" i="1" s="1"/>
  <c r="AS547" i="1"/>
  <c r="AS950" i="1"/>
  <c r="AO547" i="1"/>
  <c r="AO950" i="1"/>
  <c r="AO1308" i="1" s="1"/>
  <c r="W547" i="1"/>
  <c r="W950" i="1"/>
  <c r="W1308" i="1" s="1"/>
  <c r="AE547" i="1"/>
  <c r="AE950" i="1"/>
  <c r="AE1308" i="1" s="1"/>
  <c r="T477" i="1"/>
  <c r="Z477" i="1" s="1"/>
  <c r="AJ477" i="1" s="1"/>
  <c r="R477" i="1" s="1"/>
  <c r="Y477" i="1"/>
  <c r="AI477" i="1" s="1"/>
  <c r="Q477" i="1" s="1"/>
  <c r="Q1054" i="1"/>
  <c r="BB795" i="1"/>
  <c r="BB957" i="1"/>
  <c r="BB790" i="1"/>
  <c r="BB1054" i="1"/>
  <c r="AJ957" i="1"/>
  <c r="AJ1054" i="1"/>
  <c r="BB794" i="1"/>
  <c r="BB788" i="1"/>
  <c r="AC6" i="1" l="1"/>
  <c r="AO1333" i="1"/>
  <c r="AO24" i="1" s="1"/>
  <c r="AO29" i="1" s="1"/>
  <c r="AO1383" i="1"/>
  <c r="AO1384" i="1" s="1"/>
  <c r="W602" i="1"/>
  <c r="W1329" i="1" s="1"/>
  <c r="W1386" i="1" s="1"/>
  <c r="W1387" i="1"/>
  <c r="AU602" i="1"/>
  <c r="AU1329" i="1" s="1"/>
  <c r="AU1386" i="1" s="1"/>
  <c r="AU1387" i="1"/>
  <c r="AO602" i="1"/>
  <c r="AO1329" i="1" s="1"/>
  <c r="AO1386" i="1" s="1"/>
  <c r="AO1387" i="1"/>
  <c r="W1333" i="1"/>
  <c r="W24" i="1" s="1"/>
  <c r="W29" i="1" s="1"/>
  <c r="W1383" i="1"/>
  <c r="W1384" i="1" s="1"/>
  <c r="AW602" i="1"/>
  <c r="AW1329" i="1" s="1"/>
  <c r="AW1386" i="1" s="1"/>
  <c r="AW1387" i="1"/>
  <c r="AK602" i="1"/>
  <c r="AK1329" i="1" s="1"/>
  <c r="AK1386" i="1" s="1"/>
  <c r="AK1387" i="1"/>
  <c r="AM1333" i="1"/>
  <c r="AM24" i="1" s="1"/>
  <c r="AM29" i="1" s="1"/>
  <c r="AM1383" i="1"/>
  <c r="AM1384" i="1" s="1"/>
  <c r="AK1333" i="1"/>
  <c r="AK24" i="1" s="1"/>
  <c r="AK29" i="1" s="1"/>
  <c r="AK1383" i="1"/>
  <c r="AK1384" i="1" s="1"/>
  <c r="AM602" i="1"/>
  <c r="AM1329" i="1" s="1"/>
  <c r="AM1386" i="1" s="1"/>
  <c r="AM1387" i="1"/>
  <c r="AU1333" i="1"/>
  <c r="AU24" i="1" s="1"/>
  <c r="AU29" i="1" s="1"/>
  <c r="AU1383" i="1"/>
  <c r="AU1384" i="1" s="1"/>
  <c r="AS602" i="1"/>
  <c r="AS1329" i="1" s="1"/>
  <c r="AS1386" i="1" s="1"/>
  <c r="AS1387" i="1"/>
  <c r="AE1333" i="1"/>
  <c r="AE24" i="1" s="1"/>
  <c r="AE29" i="1" s="1"/>
  <c r="AE1383" i="1"/>
  <c r="AE1384" i="1" s="1"/>
  <c r="U1333" i="1"/>
  <c r="U24" i="1" s="1"/>
  <c r="U29" i="1" s="1"/>
  <c r="U1383" i="1"/>
  <c r="U1384" i="1" s="1"/>
  <c r="AW1333" i="1"/>
  <c r="AW24" i="1" s="1"/>
  <c r="AW29" i="1" s="1"/>
  <c r="AW1383" i="1"/>
  <c r="AW1384" i="1" s="1"/>
  <c r="AE602" i="1"/>
  <c r="AE1329" i="1" s="1"/>
  <c r="AE1386" i="1" s="1"/>
  <c r="AE1387" i="1"/>
  <c r="U602" i="1"/>
  <c r="U1329" i="1" s="1"/>
  <c r="U1386" i="1" s="1"/>
  <c r="U1387" i="1"/>
  <c r="AA1358" i="1"/>
  <c r="AA1360" i="1" s="1"/>
  <c r="AA1368" i="1" s="1"/>
  <c r="AA290" i="1"/>
  <c r="AA6" i="1" s="1"/>
  <c r="AS1308" i="1"/>
  <c r="R957" i="1"/>
  <c r="R1054" i="1"/>
  <c r="AP566" i="1"/>
  <c r="AP618" i="1"/>
  <c r="AP624" i="1"/>
  <c r="AP625" i="1" s="1"/>
  <c r="AP453" i="1"/>
  <c r="AP450" i="1"/>
  <c r="AP449" i="1"/>
  <c r="AP448" i="1"/>
  <c r="AP446" i="1"/>
  <c r="AP447" i="1"/>
  <c r="AP445" i="1"/>
  <c r="AP265" i="1"/>
  <c r="AP9" i="1"/>
  <c r="AP121" i="1"/>
  <c r="W1358" i="1" l="1"/>
  <c r="W1360" i="1" s="1"/>
  <c r="W1368" i="1" s="1"/>
  <c r="W290" i="1"/>
  <c r="W6" i="1" s="1"/>
  <c r="AW290" i="1"/>
  <c r="AW6" i="1" s="1"/>
  <c r="AW1358" i="1"/>
  <c r="AW1360" i="1" s="1"/>
  <c r="AW1368" i="1" s="1"/>
  <c r="AM290" i="1"/>
  <c r="AM6" i="1" s="1"/>
  <c r="AM1358" i="1"/>
  <c r="AM1360" i="1" s="1"/>
  <c r="AM1368" i="1" s="1"/>
  <c r="AU1358" i="1"/>
  <c r="AU1360" i="1" s="1"/>
  <c r="AU1368" i="1" s="1"/>
  <c r="AU290" i="1"/>
  <c r="AU6" i="1" s="1"/>
  <c r="U1358" i="1"/>
  <c r="U1360" i="1" s="1"/>
  <c r="U1368" i="1" s="1"/>
  <c r="U290" i="1"/>
  <c r="U6" i="1" s="1"/>
  <c r="AS1333" i="1"/>
  <c r="AS24" i="1" s="1"/>
  <c r="AS29" i="1" s="1"/>
  <c r="AS1383" i="1"/>
  <c r="AS1384" i="1" s="1"/>
  <c r="AE1358" i="1"/>
  <c r="AE1360" i="1" s="1"/>
  <c r="AE1368" i="1" s="1"/>
  <c r="AE290" i="1"/>
  <c r="AE6" i="1" s="1"/>
  <c r="AK1358" i="1"/>
  <c r="AK1360" i="1" s="1"/>
  <c r="AK1368" i="1" s="1"/>
  <c r="AK290" i="1"/>
  <c r="AK6" i="1" s="1"/>
  <c r="AO290" i="1"/>
  <c r="AO6" i="1" s="1"/>
  <c r="AO1358" i="1"/>
  <c r="AO1360" i="1" s="1"/>
  <c r="AO1368" i="1" s="1"/>
  <c r="T1029" i="1"/>
  <c r="V1029" i="1"/>
  <c r="X1029" i="1"/>
  <c r="Y1029" i="1"/>
  <c r="AB1029" i="1"/>
  <c r="AD1029" i="1"/>
  <c r="AF1029" i="1"/>
  <c r="AG1029" i="1"/>
  <c r="AL1029" i="1"/>
  <c r="AN1029" i="1"/>
  <c r="AP1029" i="1"/>
  <c r="AQ1029" i="1"/>
  <c r="AT1029" i="1"/>
  <c r="AV1029" i="1"/>
  <c r="AX1029" i="1"/>
  <c r="AY1029" i="1"/>
  <c r="AS1358" i="1" l="1"/>
  <c r="AS1360" i="1" s="1"/>
  <c r="AS1368" i="1" s="1"/>
  <c r="AS290" i="1"/>
  <c r="AS6" i="1" s="1"/>
  <c r="AI1029" i="1"/>
  <c r="Z1029" i="1"/>
  <c r="BA1029" i="1"/>
  <c r="AH1029" i="1"/>
  <c r="AR1029" i="1"/>
  <c r="AZ1029" i="1"/>
  <c r="Q1029" i="1" l="1"/>
  <c r="AJ1029" i="1"/>
  <c r="BB1029" i="1"/>
  <c r="AP160" i="1"/>
  <c r="AP158" i="1"/>
  <c r="AP155" i="1"/>
  <c r="AP154" i="1"/>
  <c r="AP153" i="1"/>
  <c r="AP152" i="1"/>
  <c r="AP151" i="1"/>
  <c r="AP150" i="1"/>
  <c r="AP114" i="1"/>
  <c r="AP111" i="1"/>
  <c r="AP93" i="1"/>
  <c r="AP89" i="1"/>
  <c r="AP82" i="1"/>
  <c r="AP81" i="1"/>
  <c r="AP80" i="1"/>
  <c r="AP72" i="1"/>
  <c r="AP71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6" i="1"/>
  <c r="AP125" i="1"/>
  <c r="AP124" i="1"/>
  <c r="AP123" i="1"/>
  <c r="AP122" i="1"/>
  <c r="AP120" i="1"/>
  <c r="AP119" i="1"/>
  <c r="AP118" i="1"/>
  <c r="AP116" i="1"/>
  <c r="AP38" i="1"/>
  <c r="AP37" i="1"/>
  <c r="AP35" i="1"/>
  <c r="AP34" i="1"/>
  <c r="AP33" i="1"/>
  <c r="AP32" i="1"/>
  <c r="AP31" i="1"/>
  <c r="AP30" i="1"/>
  <c r="AP16" i="1"/>
  <c r="AP15" i="1"/>
  <c r="AP8" i="1"/>
  <c r="AP23" i="1"/>
  <c r="AP22" i="1"/>
  <c r="AP21" i="1"/>
  <c r="AP20" i="1"/>
  <c r="AP19" i="1"/>
  <c r="AP7" i="1"/>
  <c r="AP70" i="1" l="1"/>
  <c r="AP115" i="1"/>
  <c r="R1029" i="1"/>
  <c r="AP143" i="1"/>
  <c r="AP1364" i="1" s="1"/>
  <c r="AP110" i="1"/>
  <c r="AP1361" i="1" s="1"/>
  <c r="AP28" i="1"/>
  <c r="AN703" i="1"/>
  <c r="AN789" i="1"/>
  <c r="AN781" i="1"/>
  <c r="AN780" i="1"/>
  <c r="AY780" i="1"/>
  <c r="AX780" i="1"/>
  <c r="AV780" i="1"/>
  <c r="AT780" i="1"/>
  <c r="AQ780" i="1"/>
  <c r="AP780" i="1"/>
  <c r="AL780" i="1"/>
  <c r="AF780" i="1"/>
  <c r="AD780" i="1"/>
  <c r="AB780" i="1"/>
  <c r="X780" i="1"/>
  <c r="V780" i="1"/>
  <c r="AY781" i="1"/>
  <c r="AX781" i="1"/>
  <c r="AV781" i="1"/>
  <c r="AT781" i="1"/>
  <c r="AQ781" i="1"/>
  <c r="AP781" i="1"/>
  <c r="AL781" i="1"/>
  <c r="AF781" i="1"/>
  <c r="AD781" i="1"/>
  <c r="AB781" i="1"/>
  <c r="Y781" i="1"/>
  <c r="X781" i="1"/>
  <c r="V781" i="1"/>
  <c r="T781" i="1"/>
  <c r="AY789" i="1"/>
  <c r="AX789" i="1"/>
  <c r="AV789" i="1"/>
  <c r="AT789" i="1"/>
  <c r="AQ789" i="1"/>
  <c r="AP789" i="1"/>
  <c r="AL789" i="1"/>
  <c r="AF789" i="1"/>
  <c r="AD789" i="1"/>
  <c r="AB789" i="1"/>
  <c r="X789" i="1"/>
  <c r="V789" i="1"/>
  <c r="AY769" i="1"/>
  <c r="AX769" i="1"/>
  <c r="AV769" i="1"/>
  <c r="AT769" i="1"/>
  <c r="AQ769" i="1"/>
  <c r="AP769" i="1"/>
  <c r="AN769" i="1"/>
  <c r="AL769" i="1"/>
  <c r="AG769" i="1"/>
  <c r="AF769" i="1"/>
  <c r="AD769" i="1"/>
  <c r="AB769" i="1"/>
  <c r="X769" i="1"/>
  <c r="V769" i="1"/>
  <c r="AG756" i="1"/>
  <c r="AY753" i="1"/>
  <c r="AX753" i="1"/>
  <c r="AV753" i="1"/>
  <c r="AT753" i="1"/>
  <c r="AQ753" i="1"/>
  <c r="AP753" i="1"/>
  <c r="AN753" i="1"/>
  <c r="AL753" i="1"/>
  <c r="AG753" i="1"/>
  <c r="AF753" i="1"/>
  <c r="AD753" i="1"/>
  <c r="AB753" i="1"/>
  <c r="X753" i="1"/>
  <c r="V753" i="1"/>
  <c r="AN740" i="1"/>
  <c r="AN871" i="1"/>
  <c r="AN1151" i="1"/>
  <c r="AY1151" i="1"/>
  <c r="AX1151" i="1"/>
  <c r="AV1151" i="1"/>
  <c r="AT1151" i="1"/>
  <c r="AQ1151" i="1"/>
  <c r="AP1151" i="1"/>
  <c r="AL1151" i="1"/>
  <c r="AG1151" i="1"/>
  <c r="AF1151" i="1"/>
  <c r="AD1151" i="1"/>
  <c r="Y1151" i="1"/>
  <c r="X1151" i="1"/>
  <c r="V1151" i="1"/>
  <c r="T1151" i="1"/>
  <c r="AN577" i="1"/>
  <c r="AN567" i="1"/>
  <c r="AN519" i="1"/>
  <c r="AN453" i="1"/>
  <c r="AN545" i="1"/>
  <c r="AN536" i="1"/>
  <c r="AN543" i="1" s="1"/>
  <c r="AN277" i="1"/>
  <c r="AN175" i="1"/>
  <c r="AN89" i="1"/>
  <c r="AN255" i="1"/>
  <c r="AN274" i="1"/>
  <c r="AN278" i="1"/>
  <c r="AN269" i="1"/>
  <c r="AN137" i="1"/>
  <c r="AN130" i="1"/>
  <c r="AN13" i="1"/>
  <c r="AN11" i="1"/>
  <c r="BA1151" i="1" l="1"/>
  <c r="BA781" i="1"/>
  <c r="BA769" i="1"/>
  <c r="AI781" i="1"/>
  <c r="BA753" i="1"/>
  <c r="AI1151" i="1"/>
  <c r="AN535" i="1"/>
  <c r="Z781" i="1"/>
  <c r="BA780" i="1"/>
  <c r="AN1371" i="1"/>
  <c r="BA789" i="1"/>
  <c r="AZ1151" i="1"/>
  <c r="AZ781" i="1"/>
  <c r="Z1151" i="1"/>
  <c r="AH1151" i="1"/>
  <c r="AH753" i="1"/>
  <c r="AR753" i="1"/>
  <c r="AZ753" i="1"/>
  <c r="AH781" i="1"/>
  <c r="AR781" i="1"/>
  <c r="AZ780" i="1"/>
  <c r="AR780" i="1"/>
  <c r="AH780" i="1"/>
  <c r="AH789" i="1"/>
  <c r="AR789" i="1"/>
  <c r="AZ789" i="1"/>
  <c r="AZ769" i="1"/>
  <c r="AR769" i="1"/>
  <c r="AH769" i="1"/>
  <c r="AR1151" i="1"/>
  <c r="AN23" i="1"/>
  <c r="AN22" i="1"/>
  <c r="AN12" i="1"/>
  <c r="AN10" i="1"/>
  <c r="AN7" i="1"/>
  <c r="AN19" i="1"/>
  <c r="AN20" i="1"/>
  <c r="AN21" i="1"/>
  <c r="AN122" i="1"/>
  <c r="AN1370" i="1" l="1"/>
  <c r="Q1151" i="1"/>
  <c r="Q781" i="1"/>
  <c r="BB780" i="1"/>
  <c r="AJ1151" i="1"/>
  <c r="AJ781" i="1"/>
  <c r="BB1151" i="1"/>
  <c r="BB781" i="1"/>
  <c r="BB753" i="1"/>
  <c r="BB789" i="1"/>
  <c r="BB769" i="1"/>
  <c r="AL888" i="1"/>
  <c r="AL776" i="1"/>
  <c r="AY776" i="1"/>
  <c r="AX776" i="1"/>
  <c r="AV776" i="1"/>
  <c r="AT776" i="1"/>
  <c r="AQ776" i="1"/>
  <c r="AP776" i="1"/>
  <c r="AN776" i="1"/>
  <c r="AG776" i="1"/>
  <c r="AF776" i="1"/>
  <c r="AD776" i="1"/>
  <c r="AB776" i="1"/>
  <c r="X776" i="1"/>
  <c r="V776" i="1"/>
  <c r="AL693" i="1"/>
  <c r="AY767" i="1"/>
  <c r="AX767" i="1"/>
  <c r="AV767" i="1"/>
  <c r="AT767" i="1"/>
  <c r="AQ767" i="1"/>
  <c r="AP767" i="1"/>
  <c r="AN767" i="1"/>
  <c r="AL767" i="1"/>
  <c r="AG767" i="1"/>
  <c r="AF767" i="1"/>
  <c r="AD767" i="1"/>
  <c r="AB767" i="1"/>
  <c r="X767" i="1"/>
  <c r="V767" i="1"/>
  <c r="AL641" i="1"/>
  <c r="AY741" i="1"/>
  <c r="AX741" i="1"/>
  <c r="AT741" i="1"/>
  <c r="AQ741" i="1"/>
  <c r="AP741" i="1"/>
  <c r="AN741" i="1"/>
  <c r="AL741" i="1"/>
  <c r="AG741" i="1"/>
  <c r="AF741" i="1"/>
  <c r="AD741" i="1"/>
  <c r="AB741" i="1"/>
  <c r="X741" i="1"/>
  <c r="V741" i="1"/>
  <c r="AL851" i="1"/>
  <c r="AY656" i="1"/>
  <c r="AX656" i="1"/>
  <c r="AV656" i="1"/>
  <c r="AT656" i="1"/>
  <c r="AQ656" i="1"/>
  <c r="AP656" i="1"/>
  <c r="AN656" i="1"/>
  <c r="AL656" i="1"/>
  <c r="AG656" i="1"/>
  <c r="AF656" i="1"/>
  <c r="AD656" i="1"/>
  <c r="AB656" i="1"/>
  <c r="X656" i="1"/>
  <c r="V656" i="1"/>
  <c r="AL643" i="1"/>
  <c r="AY643" i="1"/>
  <c r="AX643" i="1"/>
  <c r="AV643" i="1"/>
  <c r="AT643" i="1"/>
  <c r="AQ643" i="1"/>
  <c r="AP643" i="1"/>
  <c r="AN643" i="1"/>
  <c r="AG643" i="1"/>
  <c r="AF643" i="1"/>
  <c r="AD643" i="1"/>
  <c r="AB643" i="1"/>
  <c r="Y643" i="1"/>
  <c r="X643" i="1"/>
  <c r="V643" i="1"/>
  <c r="T643" i="1"/>
  <c r="AL870" i="1"/>
  <c r="AL871" i="1"/>
  <c r="AL765" i="1"/>
  <c r="AL1058" i="1"/>
  <c r="AY1058" i="1"/>
  <c r="AX1058" i="1"/>
  <c r="AV1058" i="1"/>
  <c r="AT1058" i="1"/>
  <c r="AQ1058" i="1"/>
  <c r="AN1058" i="1"/>
  <c r="AF1058" i="1"/>
  <c r="AD1058" i="1"/>
  <c r="AB1058" i="1"/>
  <c r="Y1058" i="1"/>
  <c r="X1058" i="1"/>
  <c r="V1058" i="1"/>
  <c r="T1058" i="1"/>
  <c r="AY1039" i="1"/>
  <c r="AX1039" i="1"/>
  <c r="AV1039" i="1"/>
  <c r="AT1039" i="1"/>
  <c r="AQ1039" i="1"/>
  <c r="AP1039" i="1"/>
  <c r="AN1039" i="1"/>
  <c r="AL1039" i="1"/>
  <c r="AG1039" i="1"/>
  <c r="AF1039" i="1"/>
  <c r="AD1039" i="1"/>
  <c r="AB1039" i="1"/>
  <c r="Y1039" i="1"/>
  <c r="X1039" i="1"/>
  <c r="V1039" i="1"/>
  <c r="T1039" i="1"/>
  <c r="AI1039" i="1" l="1"/>
  <c r="BA643" i="1"/>
  <c r="AI1058" i="1"/>
  <c r="AI643" i="1"/>
  <c r="BA776" i="1"/>
  <c r="BA767" i="1"/>
  <c r="BA1058" i="1"/>
  <c r="BA1039" i="1"/>
  <c r="Z643" i="1"/>
  <c r="BA656" i="1"/>
  <c r="BA741" i="1"/>
  <c r="R1151" i="1"/>
  <c r="R781" i="1"/>
  <c r="AZ643" i="1"/>
  <c r="AZ741" i="1"/>
  <c r="Z1039" i="1"/>
  <c r="AH1039" i="1"/>
  <c r="AZ1039" i="1"/>
  <c r="AZ767" i="1"/>
  <c r="AZ776" i="1"/>
  <c r="AR1039" i="1"/>
  <c r="AR776" i="1"/>
  <c r="AH776" i="1"/>
  <c r="AR767" i="1"/>
  <c r="AH767" i="1"/>
  <c r="AZ656" i="1"/>
  <c r="AR741" i="1"/>
  <c r="AH741" i="1"/>
  <c r="AR656" i="1"/>
  <c r="AH656" i="1"/>
  <c r="AR643" i="1"/>
  <c r="AH643" i="1"/>
  <c r="AZ1058" i="1"/>
  <c r="AR1058" i="1"/>
  <c r="AH1058" i="1"/>
  <c r="Z1058" i="1"/>
  <c r="AL1037" i="1"/>
  <c r="AY1037" i="1"/>
  <c r="AX1037" i="1"/>
  <c r="AV1037" i="1"/>
  <c r="AT1037" i="1"/>
  <c r="AQ1037" i="1"/>
  <c r="AP1037" i="1"/>
  <c r="AN1037" i="1"/>
  <c r="AG1037" i="1"/>
  <c r="AF1037" i="1"/>
  <c r="AD1037" i="1"/>
  <c r="AB1037" i="1"/>
  <c r="Y1037" i="1"/>
  <c r="X1037" i="1"/>
  <c r="V1037" i="1"/>
  <c r="T1037" i="1"/>
  <c r="Q643" i="1" l="1"/>
  <c r="Q1039" i="1"/>
  <c r="Q1058" i="1"/>
  <c r="BA1037" i="1"/>
  <c r="BB643" i="1"/>
  <c r="BB741" i="1"/>
  <c r="AI1037" i="1"/>
  <c r="AJ1039" i="1"/>
  <c r="AJ643" i="1"/>
  <c r="AJ1058" i="1"/>
  <c r="AZ1037" i="1"/>
  <c r="BB1039" i="1"/>
  <c r="AH1037" i="1"/>
  <c r="BB767" i="1"/>
  <c r="BB776" i="1"/>
  <c r="BB656" i="1"/>
  <c r="BB1058" i="1"/>
  <c r="AR1037" i="1"/>
  <c r="Z1037" i="1"/>
  <c r="AL1034" i="1"/>
  <c r="AL953" i="1"/>
  <c r="AL952" i="1"/>
  <c r="AL951" i="1"/>
  <c r="BA952" i="1"/>
  <c r="AI952" i="1"/>
  <c r="AL966" i="1"/>
  <c r="AL997" i="1"/>
  <c r="AY997" i="1"/>
  <c r="AX997" i="1"/>
  <c r="AV997" i="1"/>
  <c r="AT997" i="1"/>
  <c r="AQ997" i="1"/>
  <c r="AP997" i="1"/>
  <c r="AN997" i="1"/>
  <c r="AG997" i="1"/>
  <c r="AF997" i="1"/>
  <c r="AD997" i="1"/>
  <c r="AB997" i="1"/>
  <c r="Y997" i="1"/>
  <c r="X997" i="1"/>
  <c r="V997" i="1"/>
  <c r="T997" i="1"/>
  <c r="AL9" i="1"/>
  <c r="AL89" i="1"/>
  <c r="AR89" i="1" s="1"/>
  <c r="AL80" i="1"/>
  <c r="AL175" i="1"/>
  <c r="AL137" i="1"/>
  <c r="AL131" i="1"/>
  <c r="AL1000" i="1"/>
  <c r="AL1006" i="1"/>
  <c r="AP1147" i="1"/>
  <c r="AN1042" i="1"/>
  <c r="AL1147" i="1"/>
  <c r="AL1144" i="1"/>
  <c r="AL1290" i="1"/>
  <c r="AL1306" i="1"/>
  <c r="AL11" i="1"/>
  <c r="AL12" i="1"/>
  <c r="AL10" i="1"/>
  <c r="AF1154" i="1"/>
  <c r="AF1288" i="1"/>
  <c r="AD1288" i="1"/>
  <c r="Q1037" i="1" l="1"/>
  <c r="BA997" i="1"/>
  <c r="R643" i="1"/>
  <c r="AI997" i="1"/>
  <c r="R1039" i="1"/>
  <c r="Q952" i="1"/>
  <c r="AJ1037" i="1"/>
  <c r="BB1037" i="1"/>
  <c r="AZ952" i="1"/>
  <c r="R1058" i="1"/>
  <c r="AZ997" i="1"/>
  <c r="AR952" i="1"/>
  <c r="AH952" i="1"/>
  <c r="Z952" i="1"/>
  <c r="AR997" i="1"/>
  <c r="AH997" i="1"/>
  <c r="Z997" i="1"/>
  <c r="AY1044" i="1"/>
  <c r="AX1044" i="1"/>
  <c r="AV1044" i="1"/>
  <c r="AT1044" i="1"/>
  <c r="AQ1044" i="1"/>
  <c r="AN1044" i="1"/>
  <c r="AL1044" i="1"/>
  <c r="AG1044" i="1"/>
  <c r="AF1044" i="1"/>
  <c r="AD1044" i="1"/>
  <c r="AB1044" i="1"/>
  <c r="Y1044" i="1"/>
  <c r="X1044" i="1"/>
  <c r="V1044" i="1"/>
  <c r="T1044" i="1"/>
  <c r="AY1040" i="1"/>
  <c r="AX1040" i="1"/>
  <c r="AV1040" i="1"/>
  <c r="AT1040" i="1"/>
  <c r="AQ1040" i="1"/>
  <c r="AP1040" i="1"/>
  <c r="AN1040" i="1"/>
  <c r="AL1040" i="1"/>
  <c r="AG1040" i="1"/>
  <c r="AF1040" i="1"/>
  <c r="AD1040" i="1"/>
  <c r="AB1040" i="1"/>
  <c r="Y1040" i="1"/>
  <c r="X1040" i="1"/>
  <c r="V1040" i="1"/>
  <c r="T1040" i="1"/>
  <c r="AY641" i="1"/>
  <c r="AX641" i="1"/>
  <c r="AV641" i="1"/>
  <c r="AT641" i="1"/>
  <c r="AQ641" i="1"/>
  <c r="AP641" i="1"/>
  <c r="AN641" i="1"/>
  <c r="AG641" i="1"/>
  <c r="AF641" i="1"/>
  <c r="AD641" i="1"/>
  <c r="AB641" i="1"/>
  <c r="Y641" i="1"/>
  <c r="X641" i="1"/>
  <c r="V641" i="1"/>
  <c r="T641" i="1"/>
  <c r="AY618" i="1"/>
  <c r="AX618" i="1"/>
  <c r="AV618" i="1"/>
  <c r="AT618" i="1"/>
  <c r="AQ618" i="1"/>
  <c r="AN618" i="1"/>
  <c r="AL618" i="1"/>
  <c r="AG618" i="1"/>
  <c r="AF618" i="1"/>
  <c r="AD618" i="1"/>
  <c r="AB618" i="1"/>
  <c r="X618" i="1"/>
  <c r="V618" i="1"/>
  <c r="AY545" i="1"/>
  <c r="AX545" i="1"/>
  <c r="AV545" i="1"/>
  <c r="AT545" i="1"/>
  <c r="AQ545" i="1"/>
  <c r="AP545" i="1"/>
  <c r="AL545" i="1"/>
  <c r="AG545" i="1"/>
  <c r="AF545" i="1"/>
  <c r="AD545" i="1"/>
  <c r="X545" i="1"/>
  <c r="AY450" i="1"/>
  <c r="AX450" i="1"/>
  <c r="AV450" i="1"/>
  <c r="AT450" i="1"/>
  <c r="AQ450" i="1"/>
  <c r="AN450" i="1"/>
  <c r="AL450" i="1"/>
  <c r="AG450" i="1"/>
  <c r="AF450" i="1"/>
  <c r="AD450" i="1"/>
  <c r="AB450" i="1"/>
  <c r="X450" i="1"/>
  <c r="V450" i="1"/>
  <c r="AY137" i="1"/>
  <c r="AX137" i="1"/>
  <c r="AV137" i="1"/>
  <c r="AT137" i="1"/>
  <c r="AQ137" i="1"/>
  <c r="AG137" i="1"/>
  <c r="AF137" i="1"/>
  <c r="AD137" i="1"/>
  <c r="X137" i="1"/>
  <c r="V137" i="1"/>
  <c r="AY16" i="1"/>
  <c r="AX16" i="1"/>
  <c r="AV16" i="1"/>
  <c r="AT16" i="1"/>
  <c r="AQ16" i="1"/>
  <c r="AN16" i="1"/>
  <c r="AL16" i="1"/>
  <c r="AG16" i="1"/>
  <c r="AF16" i="1"/>
  <c r="AD16" i="1"/>
  <c r="X16" i="1"/>
  <c r="V16" i="1"/>
  <c r="AI1040" i="1" l="1"/>
  <c r="BA137" i="1"/>
  <c r="Q997" i="1"/>
  <c r="BA641" i="1"/>
  <c r="BA1040" i="1"/>
  <c r="Z641" i="1"/>
  <c r="BA450" i="1"/>
  <c r="BA16" i="1"/>
  <c r="BA545" i="1"/>
  <c r="AJ952" i="1"/>
  <c r="AI641" i="1"/>
  <c r="R1037" i="1"/>
  <c r="BA618" i="1"/>
  <c r="AJ997" i="1"/>
  <c r="BB952" i="1"/>
  <c r="AI1044" i="1"/>
  <c r="BA1044" i="1"/>
  <c r="Z1044" i="1"/>
  <c r="AH1044" i="1"/>
  <c r="AZ1044" i="1"/>
  <c r="AR1044" i="1"/>
  <c r="Z1040" i="1"/>
  <c r="AH1040" i="1"/>
  <c r="AZ1040" i="1"/>
  <c r="BB997" i="1"/>
  <c r="AZ16" i="1"/>
  <c r="AR1040" i="1"/>
  <c r="AZ641" i="1"/>
  <c r="AR641" i="1"/>
  <c r="AH641" i="1"/>
  <c r="AH545" i="1"/>
  <c r="AZ545" i="1"/>
  <c r="AZ618" i="1"/>
  <c r="AR618" i="1"/>
  <c r="AH618" i="1"/>
  <c r="AR545" i="1"/>
  <c r="AZ450" i="1"/>
  <c r="AR450" i="1"/>
  <c r="AH450" i="1"/>
  <c r="AH137" i="1"/>
  <c r="AZ137" i="1"/>
  <c r="AR137" i="1"/>
  <c r="AR16" i="1"/>
  <c r="AH16" i="1"/>
  <c r="AY1141" i="1"/>
  <c r="AX1141" i="1"/>
  <c r="AV1141" i="1"/>
  <c r="AT1141" i="1"/>
  <c r="AQ1141" i="1"/>
  <c r="AP1141" i="1"/>
  <c r="AN1141" i="1"/>
  <c r="AL1141" i="1"/>
  <c r="AG1141" i="1"/>
  <c r="AF1141" i="1"/>
  <c r="AD1141" i="1"/>
  <c r="Y1141" i="1"/>
  <c r="X1141" i="1"/>
  <c r="V1141" i="1"/>
  <c r="T1141" i="1"/>
  <c r="Q1040" i="1" l="1"/>
  <c r="Q641" i="1"/>
  <c r="BA1141" i="1"/>
  <c r="AI1141" i="1"/>
  <c r="Q1044" i="1"/>
  <c r="BB1044" i="1"/>
  <c r="AJ641" i="1"/>
  <c r="AJ1040" i="1"/>
  <c r="AJ1044" i="1"/>
  <c r="BB1040" i="1"/>
  <c r="R997" i="1"/>
  <c r="R952" i="1"/>
  <c r="BB16" i="1"/>
  <c r="BB618" i="1"/>
  <c r="Z1141" i="1"/>
  <c r="AH1141" i="1"/>
  <c r="AR1141" i="1"/>
  <c r="AZ1141" i="1"/>
  <c r="BB641" i="1"/>
  <c r="BB545" i="1"/>
  <c r="BB137" i="1"/>
  <c r="BB450" i="1"/>
  <c r="AY685" i="1"/>
  <c r="AX685" i="1"/>
  <c r="AV685" i="1"/>
  <c r="AQ685" i="1"/>
  <c r="AP685" i="1"/>
  <c r="AN685" i="1"/>
  <c r="AL685" i="1"/>
  <c r="AG685" i="1"/>
  <c r="AF685" i="1"/>
  <c r="AD685" i="1"/>
  <c r="AB685" i="1"/>
  <c r="X685" i="1"/>
  <c r="V685" i="1"/>
  <c r="Q1141" i="1" l="1"/>
  <c r="R641" i="1"/>
  <c r="R1044" i="1"/>
  <c r="AJ1141" i="1"/>
  <c r="R1040" i="1"/>
  <c r="BB1141" i="1"/>
  <c r="BA685" i="1"/>
  <c r="AR685" i="1"/>
  <c r="AZ685" i="1"/>
  <c r="AH685" i="1"/>
  <c r="R1141" i="1" l="1"/>
  <c r="BB685" i="1"/>
  <c r="AY1149" i="1" l="1"/>
  <c r="AX1149" i="1"/>
  <c r="AV1149" i="1"/>
  <c r="AT1149" i="1"/>
  <c r="AQ1149" i="1"/>
  <c r="AP1149" i="1"/>
  <c r="AN1149" i="1"/>
  <c r="AL1149" i="1"/>
  <c r="AG1149" i="1"/>
  <c r="AF1149" i="1"/>
  <c r="AD1149" i="1"/>
  <c r="Y1149" i="1"/>
  <c r="X1149" i="1"/>
  <c r="V1149" i="1"/>
  <c r="T1149" i="1"/>
  <c r="AX1123" i="1"/>
  <c r="AV1123" i="1"/>
  <c r="AT1123" i="1"/>
  <c r="AQ1123" i="1"/>
  <c r="AP1123" i="1"/>
  <c r="AN1123" i="1"/>
  <c r="AL1123" i="1"/>
  <c r="AG1123" i="1"/>
  <c r="AF1123" i="1"/>
  <c r="AD1123" i="1"/>
  <c r="AB1123" i="1"/>
  <c r="Y1123" i="1"/>
  <c r="X1123" i="1"/>
  <c r="V1123" i="1"/>
  <c r="T1123" i="1"/>
  <c r="AY1116" i="1"/>
  <c r="AX1116" i="1"/>
  <c r="AV1116" i="1"/>
  <c r="AT1116" i="1"/>
  <c r="AQ1116" i="1"/>
  <c r="AP1116" i="1"/>
  <c r="AN1116" i="1"/>
  <c r="AL1116" i="1"/>
  <c r="AG1116" i="1"/>
  <c r="AF1116" i="1"/>
  <c r="AD1116" i="1"/>
  <c r="AB1116" i="1"/>
  <c r="Y1116" i="1"/>
  <c r="X1116" i="1"/>
  <c r="V1116" i="1"/>
  <c r="T1116" i="1"/>
  <c r="AF968" i="1"/>
  <c r="AF969" i="1"/>
  <c r="AF966" i="1"/>
  <c r="AF961" i="1"/>
  <c r="AF1312" i="1"/>
  <c r="AF1313" i="1"/>
  <c r="AF1314" i="1"/>
  <c r="AF1311" i="1"/>
  <c r="AF1309" i="1"/>
  <c r="AF1310" i="1" s="1"/>
  <c r="AF1303" i="1"/>
  <c r="AF1304" i="1"/>
  <c r="AF1305" i="1"/>
  <c r="AF1306" i="1"/>
  <c r="AF1302" i="1"/>
  <c r="AF1293" i="1"/>
  <c r="AF1294" i="1"/>
  <c r="AF1295" i="1"/>
  <c r="AF1296" i="1"/>
  <c r="AF1297" i="1"/>
  <c r="AF1298" i="1"/>
  <c r="AF1299" i="1"/>
  <c r="AF1300" i="1"/>
  <c r="AF1292" i="1"/>
  <c r="AF1282" i="1"/>
  <c r="AF1284" i="1"/>
  <c r="AF1285" i="1"/>
  <c r="AF1286" i="1"/>
  <c r="AF1287" i="1"/>
  <c r="AF1290" i="1"/>
  <c r="AF1101" i="1"/>
  <c r="AF1102" i="1"/>
  <c r="AF1107" i="1"/>
  <c r="AF1108" i="1"/>
  <c r="AF1109" i="1"/>
  <c r="AF1110" i="1"/>
  <c r="AF1111" i="1"/>
  <c r="AF1118" i="1"/>
  <c r="AF1133" i="1"/>
  <c r="AF1138" i="1"/>
  <c r="AF1144" i="1"/>
  <c r="AF1145" i="1"/>
  <c r="AF1146" i="1"/>
  <c r="AF1147" i="1"/>
  <c r="AF1148" i="1"/>
  <c r="AF1155" i="1"/>
  <c r="AF1028" i="1"/>
  <c r="AF1030" i="1"/>
  <c r="AF1031" i="1"/>
  <c r="AF1033" i="1"/>
  <c r="AF1034" i="1"/>
  <c r="AF1042" i="1"/>
  <c r="AF1050" i="1"/>
  <c r="AF1051" i="1"/>
  <c r="AF1052" i="1"/>
  <c r="AF1053" i="1"/>
  <c r="AF1025" i="1"/>
  <c r="AF1005" i="1"/>
  <c r="AF1006" i="1"/>
  <c r="AF1001" i="1"/>
  <c r="AF994" i="1"/>
  <c r="AF995" i="1"/>
  <c r="AF996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99" i="1"/>
  <c r="AF1000" i="1"/>
  <c r="AF993" i="1"/>
  <c r="AF958" i="1"/>
  <c r="AF959" i="1"/>
  <c r="AF960" i="1"/>
  <c r="AF888" i="1"/>
  <c r="AF876" i="1"/>
  <c r="AF877" i="1"/>
  <c r="AF887" i="1"/>
  <c r="AF875" i="1"/>
  <c r="AF868" i="1"/>
  <c r="AF864" i="1"/>
  <c r="AF866" i="1"/>
  <c r="AF851" i="1"/>
  <c r="AF766" i="1"/>
  <c r="AF799" i="1"/>
  <c r="AF765" i="1"/>
  <c r="AF628" i="1"/>
  <c r="AF630" i="1"/>
  <c r="AF631" i="1"/>
  <c r="AF633" i="1"/>
  <c r="AF634" i="1"/>
  <c r="AF638" i="1"/>
  <c r="AF644" i="1"/>
  <c r="AF645" i="1"/>
  <c r="AF646" i="1"/>
  <c r="AF657" i="1"/>
  <c r="AF659" i="1"/>
  <c r="AF655" i="1"/>
  <c r="AF672" i="1"/>
  <c r="AF673" i="1"/>
  <c r="AF675" i="1"/>
  <c r="AF676" i="1"/>
  <c r="AF682" i="1"/>
  <c r="AF683" i="1"/>
  <c r="AF686" i="1"/>
  <c r="AF689" i="1"/>
  <c r="AF692" i="1"/>
  <c r="AF694" i="1"/>
  <c r="AF710" i="1"/>
  <c r="AF702" i="1"/>
  <c r="AF703" i="1"/>
  <c r="AF709" i="1"/>
  <c r="AF736" i="1"/>
  <c r="AF738" i="1"/>
  <c r="AF739" i="1"/>
  <c r="AF762" i="1"/>
  <c r="AF740" i="1"/>
  <c r="AF744" i="1"/>
  <c r="AF745" i="1"/>
  <c r="AF746" i="1"/>
  <c r="AF747" i="1"/>
  <c r="AF750" i="1"/>
  <c r="AF752" i="1"/>
  <c r="AF756" i="1"/>
  <c r="AF870" i="1"/>
  <c r="AF871" i="1"/>
  <c r="AF872" i="1"/>
  <c r="AF627" i="1"/>
  <c r="AF624" i="1"/>
  <c r="AF625" i="1" s="1"/>
  <c r="AF614" i="1"/>
  <c r="AF615" i="1"/>
  <c r="AF616" i="1"/>
  <c r="AF617" i="1"/>
  <c r="AF620" i="1"/>
  <c r="AF622" i="1"/>
  <c r="AF613" i="1"/>
  <c r="AF608" i="1"/>
  <c r="AF609" i="1"/>
  <c r="AF610" i="1"/>
  <c r="AF611" i="1"/>
  <c r="AF607" i="1"/>
  <c r="AF574" i="1"/>
  <c r="AF575" i="1"/>
  <c r="AF576" i="1"/>
  <c r="AF577" i="1"/>
  <c r="AF578" i="1"/>
  <c r="AF590" i="1"/>
  <c r="AF591" i="1"/>
  <c r="AF592" i="1"/>
  <c r="AF593" i="1"/>
  <c r="AF573" i="1"/>
  <c r="AF549" i="1"/>
  <c r="AF550" i="1"/>
  <c r="AF552" i="1"/>
  <c r="AF553" i="1"/>
  <c r="AF554" i="1"/>
  <c r="AF555" i="1"/>
  <c r="AF556" i="1"/>
  <c r="AF558" i="1"/>
  <c r="AF559" i="1"/>
  <c r="AF560" i="1"/>
  <c r="AF561" i="1"/>
  <c r="AF562" i="1"/>
  <c r="AF564" i="1"/>
  <c r="AF565" i="1"/>
  <c r="AF566" i="1"/>
  <c r="AF567" i="1"/>
  <c r="AF568" i="1"/>
  <c r="AF571" i="1"/>
  <c r="AF548" i="1"/>
  <c r="AF536" i="1"/>
  <c r="AF543" i="1" s="1"/>
  <c r="AF519" i="1"/>
  <c r="AF535" i="1" s="1"/>
  <c r="AF445" i="1"/>
  <c r="AF446" i="1"/>
  <c r="AF447" i="1"/>
  <c r="AF448" i="1"/>
  <c r="AF449" i="1"/>
  <c r="AF452" i="1"/>
  <c r="AF453" i="1"/>
  <c r="AF459" i="1"/>
  <c r="AF443" i="1"/>
  <c r="V287" i="1"/>
  <c r="X287" i="1"/>
  <c r="AB287" i="1"/>
  <c r="AD287" i="1"/>
  <c r="AF287" i="1"/>
  <c r="AG287" i="1"/>
  <c r="AL287" i="1"/>
  <c r="AN287" i="1"/>
  <c r="AP287" i="1"/>
  <c r="AQ287" i="1"/>
  <c r="AT287" i="1"/>
  <c r="AV287" i="1"/>
  <c r="AX287" i="1"/>
  <c r="AY287" i="1"/>
  <c r="V288" i="1"/>
  <c r="X288" i="1"/>
  <c r="AB288" i="1"/>
  <c r="AD288" i="1"/>
  <c r="AF288" i="1"/>
  <c r="AG288" i="1"/>
  <c r="AL288" i="1"/>
  <c r="AN288" i="1"/>
  <c r="AP288" i="1"/>
  <c r="AQ288" i="1"/>
  <c r="AT288" i="1"/>
  <c r="AV288" i="1"/>
  <c r="AX288" i="1"/>
  <c r="AY288" i="1"/>
  <c r="AF285" i="1"/>
  <c r="AF283" i="1"/>
  <c r="AF276" i="1"/>
  <c r="AF273" i="1"/>
  <c r="AF269" i="1"/>
  <c r="AF278" i="1"/>
  <c r="AF279" i="1"/>
  <c r="AF280" i="1"/>
  <c r="AF274" i="1"/>
  <c r="AF275" i="1"/>
  <c r="AF268" i="1"/>
  <c r="AF260" i="1"/>
  <c r="AF261" i="1"/>
  <c r="AF262" i="1"/>
  <c r="AF255" i="1"/>
  <c r="AF256" i="1"/>
  <c r="AF257" i="1"/>
  <c r="AF258" i="1"/>
  <c r="AF263" i="1"/>
  <c r="AF264" i="1"/>
  <c r="AF265" i="1"/>
  <c r="AF251" i="1"/>
  <c r="AF252" i="1"/>
  <c r="AF253" i="1"/>
  <c r="AF254" i="1"/>
  <c r="AF259" i="1"/>
  <c r="AF151" i="1"/>
  <c r="AF152" i="1"/>
  <c r="AF153" i="1"/>
  <c r="AF154" i="1"/>
  <c r="AF155" i="1"/>
  <c r="AF158" i="1"/>
  <c r="AF160" i="1"/>
  <c r="AF199" i="1"/>
  <c r="AF206" i="1"/>
  <c r="AF215" i="1"/>
  <c r="AF245" i="1"/>
  <c r="AF249" i="1"/>
  <c r="AF174" i="1"/>
  <c r="AF277" i="1"/>
  <c r="AF175" i="1"/>
  <c r="AF176" i="1"/>
  <c r="AF145" i="1"/>
  <c r="AF146" i="1"/>
  <c r="AF147" i="1"/>
  <c r="AF148" i="1"/>
  <c r="AF177" i="1"/>
  <c r="AF178" i="1"/>
  <c r="AF179" i="1"/>
  <c r="AF180" i="1"/>
  <c r="AF150" i="1"/>
  <c r="AF114" i="1"/>
  <c r="AF28" i="1"/>
  <c r="AF111" i="1"/>
  <c r="AF72" i="1"/>
  <c r="AF80" i="1"/>
  <c r="AF81" i="1"/>
  <c r="AF82" i="1"/>
  <c r="AF89" i="1"/>
  <c r="AF93" i="1"/>
  <c r="AF71" i="1"/>
  <c r="AF118" i="1"/>
  <c r="AF119" i="1"/>
  <c r="AF120" i="1"/>
  <c r="AF121" i="1"/>
  <c r="AF122" i="1"/>
  <c r="AF123" i="1"/>
  <c r="AF124" i="1"/>
  <c r="AF125" i="1"/>
  <c r="AF126" i="1"/>
  <c r="AF128" i="1"/>
  <c r="AF129" i="1"/>
  <c r="AF130" i="1"/>
  <c r="AF131" i="1"/>
  <c r="AF132" i="1"/>
  <c r="AF133" i="1"/>
  <c r="AF134" i="1"/>
  <c r="AF135" i="1"/>
  <c r="AF136" i="1"/>
  <c r="AF138" i="1"/>
  <c r="AF139" i="1"/>
  <c r="AF140" i="1"/>
  <c r="AF141" i="1"/>
  <c r="AF142" i="1"/>
  <c r="AF116" i="1"/>
  <c r="AF44" i="1"/>
  <c r="AF31" i="1"/>
  <c r="AF32" i="1"/>
  <c r="AF33" i="1"/>
  <c r="AF34" i="1"/>
  <c r="AF35" i="1"/>
  <c r="AF37" i="1"/>
  <c r="AF38" i="1"/>
  <c r="AF46" i="1"/>
  <c r="AF30" i="1"/>
  <c r="AF9" i="1"/>
  <c r="AF15" i="1"/>
  <c r="AF8" i="1"/>
  <c r="AF7" i="1"/>
  <c r="AF10" i="1"/>
  <c r="AF11" i="1"/>
  <c r="AF12" i="1"/>
  <c r="AF13" i="1"/>
  <c r="AF19" i="1"/>
  <c r="AF20" i="1"/>
  <c r="AF21" i="1"/>
  <c r="AF22" i="1"/>
  <c r="AF23" i="1"/>
  <c r="AF292" i="1"/>
  <c r="AF293" i="1"/>
  <c r="AF291" i="1"/>
  <c r="AF442" i="1" l="1"/>
  <c r="AF468" i="1"/>
  <c r="AF1369" i="1" s="1"/>
  <c r="AF70" i="1"/>
  <c r="AF1023" i="1"/>
  <c r="AF764" i="1"/>
  <c r="AF1378" i="1" s="1"/>
  <c r="AF972" i="1"/>
  <c r="AF623" i="1"/>
  <c r="AF149" i="1"/>
  <c r="AI1116" i="1"/>
  <c r="BA1116" i="1"/>
  <c r="BA1123" i="1"/>
  <c r="BA1149" i="1"/>
  <c r="AF889" i="1"/>
  <c r="AF869" i="1"/>
  <c r="AF1379" i="1" s="1"/>
  <c r="AF284" i="1"/>
  <c r="AI287" i="1"/>
  <c r="BA288" i="1"/>
  <c r="AI288" i="1"/>
  <c r="AF572" i="1"/>
  <c r="AF594" i="1"/>
  <c r="AF1374" i="1" s="1"/>
  <c r="AF737" i="1"/>
  <c r="AF1377" i="1" s="1"/>
  <c r="AF267" i="1"/>
  <c r="AF1365" i="1" s="1"/>
  <c r="AF143" i="1"/>
  <c r="AF1364" i="1" s="1"/>
  <c r="AF281" i="1"/>
  <c r="AF1367" i="1" s="1"/>
  <c r="AF115" i="1"/>
  <c r="AZ1123" i="1"/>
  <c r="AR1123" i="1"/>
  <c r="AI1123" i="1"/>
  <c r="AH1123" i="1"/>
  <c r="AI1149" i="1"/>
  <c r="Z1123" i="1"/>
  <c r="AF1370" i="1"/>
  <c r="AF992" i="1"/>
  <c r="AF289" i="1"/>
  <c r="AF1307" i="1"/>
  <c r="AF1315" i="1"/>
  <c r="AF873" i="1"/>
  <c r="AF1371" i="1"/>
  <c r="AF1301" i="1"/>
  <c r="AF1002" i="1"/>
  <c r="AF612" i="1"/>
  <c r="AH287" i="1"/>
  <c r="AH288" i="1"/>
  <c r="Z1116" i="1"/>
  <c r="AH1116" i="1"/>
  <c r="AR1116" i="1"/>
  <c r="AZ1116" i="1"/>
  <c r="Z1149" i="1"/>
  <c r="AH1149" i="1"/>
  <c r="AZ1149" i="1"/>
  <c r="AZ287" i="1"/>
  <c r="AR1149" i="1"/>
  <c r="AR288" i="1"/>
  <c r="AR287" i="1"/>
  <c r="AZ288" i="1"/>
  <c r="BA287" i="1"/>
  <c r="AY875" i="1"/>
  <c r="AX875" i="1"/>
  <c r="AV875" i="1"/>
  <c r="AT875" i="1"/>
  <c r="AQ875" i="1"/>
  <c r="AP875" i="1"/>
  <c r="AN875" i="1"/>
  <c r="AL875" i="1"/>
  <c r="AG875" i="1"/>
  <c r="AD875" i="1"/>
  <c r="AB875" i="1"/>
  <c r="Y875" i="1"/>
  <c r="X875" i="1"/>
  <c r="V875" i="1"/>
  <c r="T875" i="1"/>
  <c r="AY683" i="1"/>
  <c r="AX683" i="1"/>
  <c r="AV683" i="1"/>
  <c r="AT683" i="1"/>
  <c r="AQ683" i="1"/>
  <c r="AP683" i="1"/>
  <c r="AN683" i="1"/>
  <c r="AL683" i="1"/>
  <c r="AG683" i="1"/>
  <c r="AD683" i="1"/>
  <c r="AB683" i="1"/>
  <c r="Y683" i="1"/>
  <c r="X683" i="1"/>
  <c r="V683" i="1"/>
  <c r="T683" i="1"/>
  <c r="AD673" i="1"/>
  <c r="AD672" i="1"/>
  <c r="AY672" i="1"/>
  <c r="AX672" i="1"/>
  <c r="AV672" i="1"/>
  <c r="AT672" i="1"/>
  <c r="AQ672" i="1"/>
  <c r="AP672" i="1"/>
  <c r="AN672" i="1"/>
  <c r="AL672" i="1"/>
  <c r="AG672" i="1"/>
  <c r="AB672" i="1"/>
  <c r="Y672" i="1"/>
  <c r="X672" i="1"/>
  <c r="V672" i="1"/>
  <c r="T672" i="1"/>
  <c r="AY673" i="1"/>
  <c r="AX673" i="1"/>
  <c r="AV673" i="1"/>
  <c r="AT673" i="1"/>
  <c r="AQ673" i="1"/>
  <c r="AP673" i="1"/>
  <c r="AN673" i="1"/>
  <c r="AL673" i="1"/>
  <c r="AG673" i="1"/>
  <c r="AB673" i="1"/>
  <c r="Y673" i="1"/>
  <c r="X673" i="1"/>
  <c r="V673" i="1"/>
  <c r="T673" i="1"/>
  <c r="AY675" i="1"/>
  <c r="AX675" i="1"/>
  <c r="AV675" i="1"/>
  <c r="AT675" i="1"/>
  <c r="AQ675" i="1"/>
  <c r="AP675" i="1"/>
  <c r="AN675" i="1"/>
  <c r="AL675" i="1"/>
  <c r="AG675" i="1"/>
  <c r="AD675" i="1"/>
  <c r="AB675" i="1"/>
  <c r="Y675" i="1"/>
  <c r="X675" i="1"/>
  <c r="V675" i="1"/>
  <c r="T675" i="1"/>
  <c r="AY676" i="1"/>
  <c r="AX676" i="1"/>
  <c r="AV676" i="1"/>
  <c r="AT676" i="1"/>
  <c r="AQ676" i="1"/>
  <c r="AP676" i="1"/>
  <c r="AN676" i="1"/>
  <c r="AL676" i="1"/>
  <c r="AG676" i="1"/>
  <c r="AD676" i="1"/>
  <c r="AB676" i="1"/>
  <c r="Y676" i="1"/>
  <c r="X676" i="1"/>
  <c r="V676" i="1"/>
  <c r="T676" i="1"/>
  <c r="AD750" i="1"/>
  <c r="AD746" i="1"/>
  <c r="AD740" i="1"/>
  <c r="AY1042" i="1"/>
  <c r="AX1042" i="1"/>
  <c r="AV1042" i="1"/>
  <c r="AT1042" i="1"/>
  <c r="AQ1042" i="1"/>
  <c r="AP1042" i="1"/>
  <c r="AL1042" i="1"/>
  <c r="AG1042" i="1"/>
  <c r="AD1042" i="1"/>
  <c r="AB1042" i="1"/>
  <c r="Y1042" i="1"/>
  <c r="X1042" i="1"/>
  <c r="V1042" i="1"/>
  <c r="T1042" i="1"/>
  <c r="AF110" i="1" l="1"/>
  <c r="AF144" i="1" s="1"/>
  <c r="AF544" i="1"/>
  <c r="AF1359" i="1"/>
  <c r="BA1042" i="1"/>
  <c r="Q1149" i="1"/>
  <c r="Q1123" i="1"/>
  <c r="Q1116" i="1"/>
  <c r="Q287" i="1"/>
  <c r="Q288" i="1"/>
  <c r="BA676" i="1"/>
  <c r="AF1373" i="1"/>
  <c r="AF1376" i="1" s="1"/>
  <c r="BA672" i="1"/>
  <c r="AF1380" i="1"/>
  <c r="AF1381" i="1" s="1"/>
  <c r="Z673" i="1"/>
  <c r="Z875" i="1"/>
  <c r="Z676" i="1"/>
  <c r="Z672" i="1"/>
  <c r="Z683" i="1"/>
  <c r="Z675" i="1"/>
  <c r="AF1372" i="1"/>
  <c r="AF1366" i="1"/>
  <c r="BA675" i="1"/>
  <c r="AJ1149" i="1"/>
  <c r="AJ1123" i="1"/>
  <c r="BB1123" i="1"/>
  <c r="BB288" i="1"/>
  <c r="BB287" i="1"/>
  <c r="AJ1116" i="1"/>
  <c r="AF874" i="1"/>
  <c r="AF931" i="1" s="1"/>
  <c r="AF1322" i="1" s="1"/>
  <c r="AF626" i="1"/>
  <c r="BB1149" i="1"/>
  <c r="AF1024" i="1"/>
  <c r="AF1382" i="1" s="1"/>
  <c r="BA875" i="1"/>
  <c r="BB1116" i="1"/>
  <c r="AR676" i="1"/>
  <c r="AZ676" i="1"/>
  <c r="AI875" i="1"/>
  <c r="AR875" i="1"/>
  <c r="AZ875" i="1"/>
  <c r="AI673" i="1"/>
  <c r="AR683" i="1"/>
  <c r="AZ683" i="1"/>
  <c r="AI675" i="1"/>
  <c r="AR673" i="1"/>
  <c r="AZ673" i="1"/>
  <c r="AI683" i="1"/>
  <c r="BA683" i="1"/>
  <c r="BA673" i="1"/>
  <c r="AH875" i="1"/>
  <c r="AI672" i="1"/>
  <c r="AR672" i="1"/>
  <c r="AZ672" i="1"/>
  <c r="AH683" i="1"/>
  <c r="AI676" i="1"/>
  <c r="AH676" i="1"/>
  <c r="AH673" i="1"/>
  <c r="AH672" i="1"/>
  <c r="AH675" i="1"/>
  <c r="AR675" i="1"/>
  <c r="AZ675" i="1"/>
  <c r="Z1042" i="1"/>
  <c r="AR1042" i="1"/>
  <c r="AZ1042" i="1"/>
  <c r="AI1042" i="1"/>
  <c r="AH1042" i="1"/>
  <c r="AF1361" i="1" l="1"/>
  <c r="AF250" i="1"/>
  <c r="Q875" i="1"/>
  <c r="Q1042" i="1"/>
  <c r="AF1385" i="1"/>
  <c r="Q672" i="1"/>
  <c r="Q676" i="1"/>
  <c r="Q683" i="1"/>
  <c r="Q675" i="1"/>
  <c r="Q673" i="1"/>
  <c r="AJ875" i="1"/>
  <c r="AJ676" i="1"/>
  <c r="AJ673" i="1"/>
  <c r="R1123" i="1"/>
  <c r="R1149" i="1"/>
  <c r="AJ1042" i="1"/>
  <c r="AJ675" i="1"/>
  <c r="AJ672" i="1"/>
  <c r="R1116" i="1"/>
  <c r="BB676" i="1"/>
  <c r="BB683" i="1"/>
  <c r="BB875" i="1"/>
  <c r="BB673" i="1"/>
  <c r="BB675" i="1"/>
  <c r="BB672" i="1"/>
  <c r="BB1042" i="1"/>
  <c r="AF282" i="1" l="1"/>
  <c r="AF1362" i="1"/>
  <c r="AF1363" i="1" s="1"/>
  <c r="R672" i="1"/>
  <c r="R676" i="1"/>
  <c r="R673" i="1"/>
  <c r="R1042" i="1"/>
  <c r="R675" i="1"/>
  <c r="R875" i="1"/>
  <c r="AY985" i="1"/>
  <c r="AX985" i="1"/>
  <c r="AV985" i="1"/>
  <c r="AT985" i="1"/>
  <c r="AQ985" i="1"/>
  <c r="AP985" i="1"/>
  <c r="AN985" i="1"/>
  <c r="AL985" i="1"/>
  <c r="AG985" i="1"/>
  <c r="AD985" i="1"/>
  <c r="AB985" i="1"/>
  <c r="Y985" i="1"/>
  <c r="X985" i="1"/>
  <c r="V985" i="1"/>
  <c r="T985" i="1"/>
  <c r="AY999" i="1"/>
  <c r="AX999" i="1"/>
  <c r="AV999" i="1"/>
  <c r="AT999" i="1"/>
  <c r="AQ999" i="1"/>
  <c r="AP999" i="1"/>
  <c r="AN999" i="1"/>
  <c r="AL999" i="1"/>
  <c r="AG999" i="1"/>
  <c r="AD999" i="1"/>
  <c r="AB999" i="1"/>
  <c r="Y999" i="1"/>
  <c r="X999" i="1"/>
  <c r="V999" i="1"/>
  <c r="T999" i="1"/>
  <c r="AY1000" i="1"/>
  <c r="AX1000" i="1"/>
  <c r="AV1000" i="1"/>
  <c r="AT1000" i="1"/>
  <c r="AQ1000" i="1"/>
  <c r="AP1000" i="1"/>
  <c r="AN1000" i="1"/>
  <c r="AG1000" i="1"/>
  <c r="AD1000" i="1"/>
  <c r="AB1000" i="1"/>
  <c r="Y1000" i="1"/>
  <c r="X1000" i="1"/>
  <c r="V1000" i="1"/>
  <c r="T1000" i="1"/>
  <c r="AD559" i="1"/>
  <c r="AD446" i="1"/>
  <c r="AD443" i="1"/>
  <c r="AD38" i="1"/>
  <c r="AY38" i="1"/>
  <c r="AX38" i="1"/>
  <c r="AV38" i="1"/>
  <c r="AT38" i="1"/>
  <c r="AQ38" i="1"/>
  <c r="AN38" i="1"/>
  <c r="AL38" i="1"/>
  <c r="AG38" i="1"/>
  <c r="X38" i="1"/>
  <c r="V38" i="1"/>
  <c r="AG37" i="1"/>
  <c r="AY37" i="1"/>
  <c r="AX37" i="1"/>
  <c r="AV37" i="1"/>
  <c r="AT37" i="1"/>
  <c r="AQ37" i="1"/>
  <c r="AN37" i="1"/>
  <c r="AL37" i="1"/>
  <c r="X37" i="1"/>
  <c r="V37" i="1"/>
  <c r="AD263" i="1"/>
  <c r="AD283" i="1"/>
  <c r="AD72" i="1"/>
  <c r="AD10" i="1"/>
  <c r="AD11" i="1"/>
  <c r="AD12" i="1"/>
  <c r="AD13" i="1"/>
  <c r="AD19" i="1"/>
  <c r="AD20" i="1"/>
  <c r="AD21" i="1"/>
  <c r="AD7" i="1"/>
  <c r="AD9" i="1"/>
  <c r="AD15" i="1"/>
  <c r="AD8" i="1"/>
  <c r="AY136" i="1"/>
  <c r="AX136" i="1"/>
  <c r="AV136" i="1"/>
  <c r="AT136" i="1"/>
  <c r="AQ136" i="1"/>
  <c r="AN136" i="1"/>
  <c r="AL136" i="1"/>
  <c r="AG136" i="1"/>
  <c r="AD136" i="1"/>
  <c r="AB136" i="1"/>
  <c r="X136" i="1"/>
  <c r="V136" i="1"/>
  <c r="AD284" i="1" l="1"/>
  <c r="BA37" i="1"/>
  <c r="BA38" i="1"/>
  <c r="BA985" i="1"/>
  <c r="BA136" i="1"/>
  <c r="AD37" i="1"/>
  <c r="AH37" i="1" s="1"/>
  <c r="AI985" i="1"/>
  <c r="AR136" i="1"/>
  <c r="AZ136" i="1"/>
  <c r="AR37" i="1"/>
  <c r="AZ37" i="1"/>
  <c r="AR38" i="1"/>
  <c r="AZ38" i="1"/>
  <c r="AZ1000" i="1"/>
  <c r="AR999" i="1"/>
  <c r="AZ999" i="1"/>
  <c r="Z985" i="1"/>
  <c r="AH985" i="1"/>
  <c r="AZ985" i="1"/>
  <c r="AI999" i="1"/>
  <c r="BA999" i="1"/>
  <c r="AR985" i="1"/>
  <c r="AH1000" i="1"/>
  <c r="Z1000" i="1"/>
  <c r="AR1000" i="1"/>
  <c r="Z999" i="1"/>
  <c r="AH999" i="1"/>
  <c r="AI1000" i="1"/>
  <c r="BA1000" i="1"/>
  <c r="AH38" i="1"/>
  <c r="AH136" i="1"/>
  <c r="AD142" i="1"/>
  <c r="Q985" i="1" l="1"/>
  <c r="Q999" i="1"/>
  <c r="Q1000" i="1"/>
  <c r="AJ985" i="1"/>
  <c r="AJ999" i="1"/>
  <c r="AJ1000" i="1"/>
  <c r="BB985" i="1"/>
  <c r="BB38" i="1"/>
  <c r="BB37" i="1"/>
  <c r="BB1000" i="1"/>
  <c r="BB999" i="1"/>
  <c r="BB136" i="1"/>
  <c r="AY35" i="1"/>
  <c r="AX35" i="1"/>
  <c r="AV35" i="1"/>
  <c r="AT35" i="1"/>
  <c r="AQ35" i="1"/>
  <c r="AN35" i="1"/>
  <c r="AL35" i="1"/>
  <c r="AD35" i="1"/>
  <c r="X35" i="1"/>
  <c r="V35" i="1"/>
  <c r="R985" i="1" l="1"/>
  <c r="R1000" i="1"/>
  <c r="R999" i="1"/>
  <c r="AR35" i="1"/>
  <c r="AZ35" i="1"/>
  <c r="BA35" i="1"/>
  <c r="AH35" i="1"/>
  <c r="AY702" i="1"/>
  <c r="AX702" i="1"/>
  <c r="AV702" i="1"/>
  <c r="AT702" i="1"/>
  <c r="AQ702" i="1"/>
  <c r="AP702" i="1"/>
  <c r="AN702" i="1"/>
  <c r="AL702" i="1"/>
  <c r="AG702" i="1"/>
  <c r="AD702" i="1"/>
  <c r="AB702" i="1"/>
  <c r="X702" i="1"/>
  <c r="V702" i="1"/>
  <c r="AY703" i="1"/>
  <c r="AX703" i="1"/>
  <c r="AT703" i="1"/>
  <c r="AQ703" i="1"/>
  <c r="AP703" i="1"/>
  <c r="AL703" i="1"/>
  <c r="AG703" i="1"/>
  <c r="AD703" i="1"/>
  <c r="AB703" i="1"/>
  <c r="X703" i="1"/>
  <c r="V703" i="1"/>
  <c r="BA703" i="1" l="1"/>
  <c r="BB35" i="1"/>
  <c r="BA702" i="1"/>
  <c r="AZ703" i="1"/>
  <c r="AR702" i="1"/>
  <c r="AZ702" i="1"/>
  <c r="AR703" i="1"/>
  <c r="AH703" i="1"/>
  <c r="AH702" i="1"/>
  <c r="BB703" i="1" l="1"/>
  <c r="BB702" i="1"/>
  <c r="AB1312" i="1"/>
  <c r="AX1101" i="1" l="1"/>
  <c r="AT1101" i="1"/>
  <c r="AT1100" i="1"/>
  <c r="AP1100" i="1"/>
  <c r="AN1100" i="1"/>
  <c r="AL1100" i="1"/>
  <c r="AG1053" i="1"/>
  <c r="AG1100" i="1"/>
  <c r="AF1100" i="1"/>
  <c r="AD1102" i="1"/>
  <c r="AD1101" i="1"/>
  <c r="AD1100" i="1"/>
  <c r="AB1102" i="1"/>
  <c r="AB1101" i="1"/>
  <c r="AB1100" i="1"/>
  <c r="AB1109" i="1"/>
  <c r="AB1052" i="1"/>
  <c r="T1102" i="1"/>
  <c r="AY1102" i="1"/>
  <c r="AX1102" i="1"/>
  <c r="AV1102" i="1"/>
  <c r="AT1102" i="1"/>
  <c r="AQ1102" i="1"/>
  <c r="AP1102" i="1"/>
  <c r="AN1102" i="1"/>
  <c r="AL1102" i="1"/>
  <c r="AG1102" i="1"/>
  <c r="Y1102" i="1"/>
  <c r="X1102" i="1"/>
  <c r="V1102" i="1"/>
  <c r="AB1033" i="1"/>
  <c r="AY1033" i="1"/>
  <c r="AX1033" i="1"/>
  <c r="AV1033" i="1"/>
  <c r="AT1033" i="1"/>
  <c r="AQ1033" i="1"/>
  <c r="AP1033" i="1"/>
  <c r="AN1033" i="1"/>
  <c r="AL1033" i="1"/>
  <c r="AG1033" i="1"/>
  <c r="AD1033" i="1"/>
  <c r="Y1033" i="1"/>
  <c r="X1033" i="1"/>
  <c r="V1033" i="1"/>
  <c r="T1033" i="1"/>
  <c r="AB969" i="1"/>
  <c r="BA1102" i="1" l="1"/>
  <c r="BA1033" i="1"/>
  <c r="AH1102" i="1"/>
  <c r="Z1102" i="1"/>
  <c r="AR1102" i="1"/>
  <c r="AH1101" i="1"/>
  <c r="AI1033" i="1"/>
  <c r="AR1033" i="1"/>
  <c r="AZ1033" i="1"/>
  <c r="AZ1102" i="1"/>
  <c r="AH1100" i="1"/>
  <c r="AI1102" i="1"/>
  <c r="AH1033" i="1"/>
  <c r="Z1033" i="1"/>
  <c r="Q1102" i="1" l="1"/>
  <c r="Q1033" i="1"/>
  <c r="AJ1102" i="1"/>
  <c r="AJ1033" i="1"/>
  <c r="BB1033" i="1"/>
  <c r="BB1102" i="1"/>
  <c r="R1102" i="1" l="1"/>
  <c r="R1033" i="1"/>
  <c r="AB851" i="1"/>
  <c r="AB799" i="1"/>
  <c r="AB866" i="1"/>
  <c r="AB868" i="1"/>
  <c r="V868" i="1"/>
  <c r="AY866" i="1"/>
  <c r="AX866" i="1"/>
  <c r="AV866" i="1"/>
  <c r="AT866" i="1"/>
  <c r="AQ866" i="1"/>
  <c r="AN866" i="1"/>
  <c r="AL866" i="1"/>
  <c r="AG866" i="1"/>
  <c r="AD866" i="1"/>
  <c r="X866" i="1"/>
  <c r="V866" i="1"/>
  <c r="BA866" i="1" l="1"/>
  <c r="AR866" i="1"/>
  <c r="AZ866" i="1"/>
  <c r="AH866" i="1"/>
  <c r="BB866" i="1" l="1"/>
  <c r="AD448" i="1" l="1"/>
  <c r="X446" i="1"/>
  <c r="X72" i="1" l="1"/>
  <c r="X252" i="1" l="1"/>
  <c r="AY252" i="1"/>
  <c r="AX252" i="1"/>
  <c r="AV252" i="1"/>
  <c r="AT252" i="1"/>
  <c r="AQ252" i="1"/>
  <c r="AP252" i="1"/>
  <c r="AN252" i="1"/>
  <c r="AL252" i="1"/>
  <c r="AG252" i="1"/>
  <c r="AD252" i="1"/>
  <c r="V252" i="1"/>
  <c r="X254" i="1"/>
  <c r="X253" i="1"/>
  <c r="X251" i="1"/>
  <c r="X265" i="1"/>
  <c r="X264" i="1"/>
  <c r="X263" i="1"/>
  <c r="BA252" i="1" l="1"/>
  <c r="AH252" i="1"/>
  <c r="AR252" i="1"/>
  <c r="AZ252" i="1"/>
  <c r="AY285" i="1"/>
  <c r="AY276" i="1"/>
  <c r="AX285" i="1"/>
  <c r="AV285" i="1"/>
  <c r="AT285" i="1"/>
  <c r="AQ285" i="1"/>
  <c r="AQ276" i="1"/>
  <c r="AP285" i="1"/>
  <c r="AN285" i="1"/>
  <c r="AN275" i="1"/>
  <c r="AL289" i="1"/>
  <c r="AG285" i="1"/>
  <c r="AG275" i="1"/>
  <c r="AG276" i="1"/>
  <c r="AD285" i="1"/>
  <c r="AB285" i="1"/>
  <c r="AB276" i="1"/>
  <c r="AV289" i="1" l="1"/>
  <c r="AB289" i="1"/>
  <c r="AD289" i="1"/>
  <c r="AQ289" i="1"/>
  <c r="AP289" i="1"/>
  <c r="AX289" i="1"/>
  <c r="AN289" i="1"/>
  <c r="AT289" i="1"/>
  <c r="AY289" i="1"/>
  <c r="AG289" i="1"/>
  <c r="AR285" i="1"/>
  <c r="AZ285" i="1"/>
  <c r="AH285" i="1"/>
  <c r="BA285" i="1"/>
  <c r="BB252" i="1"/>
  <c r="X285" i="1"/>
  <c r="V285" i="1"/>
  <c r="X275" i="1"/>
  <c r="X283" i="1"/>
  <c r="AY46" i="1"/>
  <c r="AX46" i="1"/>
  <c r="AQ46" i="1"/>
  <c r="AN46" i="1"/>
  <c r="AL46" i="1"/>
  <c r="AG46" i="1"/>
  <c r="AD46" i="1"/>
  <c r="AB46" i="1"/>
  <c r="X46" i="1"/>
  <c r="V46" i="1"/>
  <c r="AY44" i="1"/>
  <c r="AX44" i="1"/>
  <c r="AV44" i="1"/>
  <c r="AT44" i="1"/>
  <c r="AQ44" i="1"/>
  <c r="AN44" i="1"/>
  <c r="AL44" i="1"/>
  <c r="AG44" i="1"/>
  <c r="AD44" i="1"/>
  <c r="AB44" i="1"/>
  <c r="X44" i="1"/>
  <c r="V44" i="1"/>
  <c r="AB70" i="1" l="1"/>
  <c r="X284" i="1"/>
  <c r="AR289" i="1"/>
  <c r="AH289" i="1"/>
  <c r="X289" i="1"/>
  <c r="BA44" i="1"/>
  <c r="BA46" i="1"/>
  <c r="V289" i="1"/>
  <c r="AP144" i="1"/>
  <c r="AP1359" i="1"/>
  <c r="BB285" i="1"/>
  <c r="AZ289" i="1"/>
  <c r="BA289" i="1"/>
  <c r="AH44" i="1"/>
  <c r="AR44" i="1"/>
  <c r="AH46" i="1"/>
  <c r="AR46" i="1"/>
  <c r="AZ46" i="1"/>
  <c r="AZ44" i="1"/>
  <c r="BB289" i="1" l="1"/>
  <c r="BB44" i="1"/>
  <c r="BB46" i="1"/>
  <c r="AY206" i="1" l="1"/>
  <c r="AX206" i="1"/>
  <c r="AV206" i="1"/>
  <c r="AT206" i="1"/>
  <c r="AQ206" i="1"/>
  <c r="AP206" i="1"/>
  <c r="AN206" i="1"/>
  <c r="AL206" i="1"/>
  <c r="AG206" i="1"/>
  <c r="AD206" i="1"/>
  <c r="X206" i="1"/>
  <c r="V206" i="1"/>
  <c r="AY34" i="1"/>
  <c r="AX34" i="1"/>
  <c r="AV34" i="1"/>
  <c r="AT34" i="1"/>
  <c r="AQ34" i="1"/>
  <c r="AN34" i="1"/>
  <c r="AL34" i="1"/>
  <c r="AG34" i="1"/>
  <c r="AD34" i="1"/>
  <c r="X34" i="1"/>
  <c r="V34" i="1"/>
  <c r="BA34" i="1" l="1"/>
  <c r="BA206" i="1"/>
  <c r="AH34" i="1"/>
  <c r="AZ206" i="1"/>
  <c r="AR34" i="1"/>
  <c r="AZ34" i="1"/>
  <c r="AH206" i="1"/>
  <c r="AR206" i="1"/>
  <c r="V10" i="1"/>
  <c r="BB206" i="1" l="1"/>
  <c r="BB34" i="1"/>
  <c r="AY996" i="1"/>
  <c r="AX996" i="1"/>
  <c r="AV996" i="1"/>
  <c r="AT996" i="1"/>
  <c r="AQ996" i="1"/>
  <c r="AP996" i="1"/>
  <c r="AN996" i="1"/>
  <c r="AL996" i="1"/>
  <c r="AG996" i="1"/>
  <c r="AD996" i="1"/>
  <c r="AB996" i="1"/>
  <c r="Y996" i="1"/>
  <c r="X996" i="1"/>
  <c r="V996" i="1"/>
  <c r="T996" i="1"/>
  <c r="BA996" i="1" l="1"/>
  <c r="AI996" i="1"/>
  <c r="AH996" i="1"/>
  <c r="AZ996" i="1"/>
  <c r="AR996" i="1"/>
  <c r="Z996" i="1"/>
  <c r="Q996" i="1" l="1"/>
  <c r="AJ996" i="1"/>
  <c r="BB996" i="1"/>
  <c r="R996" i="1" l="1"/>
  <c r="AY1101" i="1"/>
  <c r="AV1101" i="1"/>
  <c r="AQ1101" i="1"/>
  <c r="AP1101" i="1"/>
  <c r="AN1101" i="1"/>
  <c r="AL1101" i="1"/>
  <c r="AG1101" i="1"/>
  <c r="Y1101" i="1"/>
  <c r="X1101" i="1"/>
  <c r="V1101" i="1"/>
  <c r="T1101" i="1"/>
  <c r="AY1154" i="1"/>
  <c r="AX1154" i="1"/>
  <c r="AV1154" i="1"/>
  <c r="AT1154" i="1"/>
  <c r="AQ1154" i="1"/>
  <c r="AP1154" i="1"/>
  <c r="AN1154" i="1"/>
  <c r="AL1154" i="1"/>
  <c r="AG1154" i="1"/>
  <c r="AD1154" i="1"/>
  <c r="Y1154" i="1"/>
  <c r="X1154" i="1"/>
  <c r="V1154" i="1"/>
  <c r="T1154" i="1"/>
  <c r="AY1155" i="1"/>
  <c r="AX1155" i="1"/>
  <c r="AV1155" i="1"/>
  <c r="AT1155" i="1"/>
  <c r="AQ1155" i="1"/>
  <c r="AN1155" i="1"/>
  <c r="AL1155" i="1"/>
  <c r="AG1155" i="1"/>
  <c r="AD1155" i="1"/>
  <c r="Y1155" i="1"/>
  <c r="X1155" i="1"/>
  <c r="V1155" i="1"/>
  <c r="T1155" i="1"/>
  <c r="AY1034" i="1"/>
  <c r="AX1034" i="1"/>
  <c r="AV1034" i="1"/>
  <c r="AT1034" i="1"/>
  <c r="AQ1034" i="1"/>
  <c r="AP1034" i="1"/>
  <c r="AN1034" i="1"/>
  <c r="AG1034" i="1"/>
  <c r="AD1034" i="1"/>
  <c r="AB1034" i="1"/>
  <c r="Y1034" i="1"/>
  <c r="X1034" i="1"/>
  <c r="V1034" i="1"/>
  <c r="T1034" i="1"/>
  <c r="AY1031" i="1"/>
  <c r="AX1031" i="1"/>
  <c r="AV1031" i="1"/>
  <c r="AT1031" i="1"/>
  <c r="AQ1031" i="1"/>
  <c r="AP1031" i="1"/>
  <c r="AN1031" i="1"/>
  <c r="AL1031" i="1"/>
  <c r="AG1031" i="1"/>
  <c r="AD1031" i="1"/>
  <c r="AB1031" i="1"/>
  <c r="Y1031" i="1"/>
  <c r="X1031" i="1"/>
  <c r="V1031" i="1"/>
  <c r="T1031" i="1"/>
  <c r="AY1299" i="1"/>
  <c r="AX1299" i="1"/>
  <c r="AV1299" i="1"/>
  <c r="AT1299" i="1"/>
  <c r="AQ1299" i="1"/>
  <c r="AP1299" i="1"/>
  <c r="AN1299" i="1"/>
  <c r="AL1299" i="1"/>
  <c r="AG1299" i="1"/>
  <c r="AD1299" i="1"/>
  <c r="Y1299" i="1"/>
  <c r="X1299" i="1"/>
  <c r="V1299" i="1"/>
  <c r="T1299" i="1"/>
  <c r="AY1297" i="1"/>
  <c r="AX1297" i="1"/>
  <c r="AV1297" i="1"/>
  <c r="AT1297" i="1"/>
  <c r="AQ1297" i="1"/>
  <c r="AP1297" i="1"/>
  <c r="AN1297" i="1"/>
  <c r="AL1297" i="1"/>
  <c r="AG1297" i="1"/>
  <c r="AD1297" i="1"/>
  <c r="Y1297" i="1"/>
  <c r="X1297" i="1"/>
  <c r="V1297" i="1"/>
  <c r="T1297" i="1"/>
  <c r="AY1294" i="1"/>
  <c r="AX1294" i="1"/>
  <c r="AV1294" i="1"/>
  <c r="AT1294" i="1"/>
  <c r="AQ1294" i="1"/>
  <c r="AP1294" i="1"/>
  <c r="AN1294" i="1"/>
  <c r="AL1294" i="1"/>
  <c r="AG1294" i="1"/>
  <c r="AD1294" i="1"/>
  <c r="Y1294" i="1"/>
  <c r="X1294" i="1"/>
  <c r="V1294" i="1"/>
  <c r="T1294" i="1"/>
  <c r="BA1299" i="1" l="1"/>
  <c r="BA1154" i="1"/>
  <c r="BA1031" i="1"/>
  <c r="BA1297" i="1"/>
  <c r="BA1155" i="1"/>
  <c r="BA1101" i="1"/>
  <c r="AI1299" i="1"/>
  <c r="AI1297" i="1"/>
  <c r="AI1154" i="1"/>
  <c r="AI1155" i="1"/>
  <c r="AI1031" i="1"/>
  <c r="AI1101" i="1"/>
  <c r="Z1101" i="1"/>
  <c r="AJ1101" i="1" s="1"/>
  <c r="AR1101" i="1"/>
  <c r="AZ1101" i="1"/>
  <c r="Z1294" i="1"/>
  <c r="AH1294" i="1"/>
  <c r="AR1294" i="1"/>
  <c r="AZ1294" i="1"/>
  <c r="Z1297" i="1"/>
  <c r="AH1297" i="1"/>
  <c r="AR1297" i="1"/>
  <c r="AZ1297" i="1"/>
  <c r="Z1299" i="1"/>
  <c r="Z1154" i="1"/>
  <c r="AH1154" i="1"/>
  <c r="AR1154" i="1"/>
  <c r="AZ1154" i="1"/>
  <c r="AH1299" i="1"/>
  <c r="Z1155" i="1"/>
  <c r="AH1155" i="1"/>
  <c r="AR1155" i="1"/>
  <c r="AZ1155" i="1"/>
  <c r="AR1299" i="1"/>
  <c r="AZ1299" i="1"/>
  <c r="AI1294" i="1"/>
  <c r="BA1294" i="1"/>
  <c r="Z1031" i="1"/>
  <c r="AH1031" i="1"/>
  <c r="AR1031" i="1"/>
  <c r="AZ1031" i="1"/>
  <c r="AH1034" i="1"/>
  <c r="AR1034" i="1"/>
  <c r="AZ1034" i="1"/>
  <c r="AI1034" i="1"/>
  <c r="BA1034" i="1"/>
  <c r="Z1034" i="1"/>
  <c r="Q1154" i="1" l="1"/>
  <c r="Q1299" i="1"/>
  <c r="Q1031" i="1"/>
  <c r="Q1297" i="1"/>
  <c r="Q1155" i="1"/>
  <c r="Q1101" i="1"/>
  <c r="Q1034" i="1"/>
  <c r="AJ1034" i="1"/>
  <c r="AJ1294" i="1"/>
  <c r="AJ1154" i="1"/>
  <c r="AJ1031" i="1"/>
  <c r="AJ1155" i="1"/>
  <c r="Q1294" i="1"/>
  <c r="BB1101" i="1"/>
  <c r="AJ1299" i="1"/>
  <c r="BB1297" i="1"/>
  <c r="AJ1297" i="1"/>
  <c r="BB1294" i="1"/>
  <c r="BB1154" i="1"/>
  <c r="BB1155" i="1"/>
  <c r="BB1031" i="1"/>
  <c r="BB1299" i="1"/>
  <c r="BB1034" i="1"/>
  <c r="R1299" i="1" l="1"/>
  <c r="R1155" i="1"/>
  <c r="R1297" i="1"/>
  <c r="R1101" i="1"/>
  <c r="R1294" i="1"/>
  <c r="R1154" i="1"/>
  <c r="R1031" i="1"/>
  <c r="R1034" i="1"/>
  <c r="AY851" i="1" l="1"/>
  <c r="AX851" i="1"/>
  <c r="AV851" i="1"/>
  <c r="AT851" i="1"/>
  <c r="AQ851" i="1"/>
  <c r="AN851" i="1"/>
  <c r="AG851" i="1"/>
  <c r="AD851" i="1"/>
  <c r="X851" i="1"/>
  <c r="V851" i="1"/>
  <c r="AY864" i="1"/>
  <c r="AX864" i="1"/>
  <c r="AV864" i="1"/>
  <c r="AT864" i="1"/>
  <c r="AQ864" i="1"/>
  <c r="AN864" i="1"/>
  <c r="AL864" i="1"/>
  <c r="AG864" i="1"/>
  <c r="AD864" i="1"/>
  <c r="AB864" i="1"/>
  <c r="X864" i="1"/>
  <c r="V864" i="1"/>
  <c r="AX799" i="1"/>
  <c r="AV799" i="1"/>
  <c r="AT799" i="1"/>
  <c r="AQ799" i="1"/>
  <c r="AP799" i="1"/>
  <c r="AN799" i="1"/>
  <c r="AL799" i="1"/>
  <c r="AG799" i="1"/>
  <c r="AD799" i="1"/>
  <c r="X799" i="1"/>
  <c r="V799" i="1"/>
  <c r="AY550" i="1"/>
  <c r="AX550" i="1"/>
  <c r="AV550" i="1"/>
  <c r="AT550" i="1"/>
  <c r="AQ550" i="1"/>
  <c r="AP550" i="1"/>
  <c r="AN550" i="1"/>
  <c r="AL550" i="1"/>
  <c r="AG550" i="1"/>
  <c r="AD550" i="1"/>
  <c r="AB550" i="1"/>
  <c r="X550" i="1"/>
  <c r="V550" i="1"/>
  <c r="AY251" i="1"/>
  <c r="AV251" i="1"/>
  <c r="AT251" i="1"/>
  <c r="AQ251" i="1"/>
  <c r="AP251" i="1"/>
  <c r="AN251" i="1"/>
  <c r="AL251" i="1"/>
  <c r="AG251" i="1"/>
  <c r="AD251" i="1"/>
  <c r="V251" i="1"/>
  <c r="AY253" i="1"/>
  <c r="AX253" i="1"/>
  <c r="AV253" i="1"/>
  <c r="AT253" i="1"/>
  <c r="AQ253" i="1"/>
  <c r="AP253" i="1"/>
  <c r="AN253" i="1"/>
  <c r="AL253" i="1"/>
  <c r="AG253" i="1"/>
  <c r="AD253" i="1"/>
  <c r="V253" i="1"/>
  <c r="BA799" i="1" l="1"/>
  <c r="BA253" i="1"/>
  <c r="BA864" i="1"/>
  <c r="BA851" i="1"/>
  <c r="BA550" i="1"/>
  <c r="BA251" i="1"/>
  <c r="AH799" i="1"/>
  <c r="AR799" i="1"/>
  <c r="AH864" i="1"/>
  <c r="AR864" i="1"/>
  <c r="AZ864" i="1"/>
  <c r="AH851" i="1"/>
  <c r="AR851" i="1"/>
  <c r="AZ851" i="1"/>
  <c r="AZ799" i="1"/>
  <c r="AH253" i="1"/>
  <c r="AR253" i="1"/>
  <c r="AZ253" i="1"/>
  <c r="AH550" i="1"/>
  <c r="AR550" i="1"/>
  <c r="AZ550" i="1"/>
  <c r="AH251" i="1"/>
  <c r="AR251" i="1"/>
  <c r="AZ251" i="1"/>
  <c r="BB799" i="1" l="1"/>
  <c r="BB851" i="1"/>
  <c r="BB864" i="1"/>
  <c r="BB251" i="1"/>
  <c r="BB253" i="1"/>
  <c r="BB550" i="1"/>
  <c r="AY1166" i="1"/>
  <c r="AX1166" i="1"/>
  <c r="AV1166" i="1"/>
  <c r="AT1166" i="1"/>
  <c r="AQ1166" i="1"/>
  <c r="AP1166" i="1"/>
  <c r="AN1166" i="1"/>
  <c r="AL1166" i="1"/>
  <c r="AG1166" i="1"/>
  <c r="AF1166" i="1"/>
  <c r="AF1291" i="1" s="1"/>
  <c r="AD1166" i="1"/>
  <c r="Y1166" i="1"/>
  <c r="X1166" i="1"/>
  <c r="V1166" i="1"/>
  <c r="T1166" i="1"/>
  <c r="BA1166" i="1" l="1"/>
  <c r="AI1166" i="1"/>
  <c r="AH1166" i="1"/>
  <c r="AR1166" i="1"/>
  <c r="Z1166" i="1"/>
  <c r="AZ1166" i="1"/>
  <c r="Q1166" i="1" l="1"/>
  <c r="AJ1166" i="1"/>
  <c r="BB1166" i="1"/>
  <c r="AB452" i="1"/>
  <c r="AB453" i="1"/>
  <c r="AB459" i="1"/>
  <c r="AY459" i="1"/>
  <c r="AX459" i="1"/>
  <c r="AV459" i="1"/>
  <c r="AT459" i="1"/>
  <c r="AQ459" i="1"/>
  <c r="AP459" i="1"/>
  <c r="AN459" i="1"/>
  <c r="AL459" i="1"/>
  <c r="AG459" i="1"/>
  <c r="AD459" i="1"/>
  <c r="X459" i="1"/>
  <c r="AY452" i="1"/>
  <c r="AX452" i="1"/>
  <c r="AV452" i="1"/>
  <c r="AT452" i="1"/>
  <c r="AQ452" i="1"/>
  <c r="AP452" i="1"/>
  <c r="AN452" i="1"/>
  <c r="AL452" i="1"/>
  <c r="AG452" i="1"/>
  <c r="AD452" i="1"/>
  <c r="X452" i="1"/>
  <c r="V452" i="1"/>
  <c r="AY453" i="1"/>
  <c r="AX453" i="1"/>
  <c r="AV453" i="1"/>
  <c r="AT453" i="1"/>
  <c r="AQ453" i="1"/>
  <c r="AL453" i="1"/>
  <c r="AG453" i="1"/>
  <c r="AD453" i="1"/>
  <c r="X453" i="1"/>
  <c r="V453" i="1"/>
  <c r="AY449" i="1"/>
  <c r="AX449" i="1"/>
  <c r="AV449" i="1"/>
  <c r="AT449" i="1"/>
  <c r="AQ449" i="1"/>
  <c r="AN449" i="1"/>
  <c r="AL449" i="1"/>
  <c r="AG449" i="1"/>
  <c r="AD449" i="1"/>
  <c r="AB449" i="1"/>
  <c r="X449" i="1"/>
  <c r="V449" i="1"/>
  <c r="AY1298" i="1"/>
  <c r="AX1298" i="1"/>
  <c r="AV1298" i="1"/>
  <c r="AT1298" i="1"/>
  <c r="AQ1298" i="1"/>
  <c r="AP1298" i="1"/>
  <c r="AN1298" i="1"/>
  <c r="AL1298" i="1"/>
  <c r="AG1298" i="1"/>
  <c r="AD1298" i="1"/>
  <c r="X1298" i="1"/>
  <c r="V1298" i="1"/>
  <c r="T1298" i="1"/>
  <c r="AY1296" i="1"/>
  <c r="AX1296" i="1"/>
  <c r="AV1296" i="1"/>
  <c r="AT1296" i="1"/>
  <c r="AQ1296" i="1"/>
  <c r="AP1296" i="1"/>
  <c r="AN1296" i="1"/>
  <c r="AL1296" i="1"/>
  <c r="AD1296" i="1"/>
  <c r="X1296" i="1"/>
  <c r="V1296" i="1"/>
  <c r="T1296" i="1"/>
  <c r="AY1293" i="1"/>
  <c r="AX1293" i="1"/>
  <c r="AV1293" i="1"/>
  <c r="AT1293" i="1"/>
  <c r="AQ1293" i="1"/>
  <c r="AP1293" i="1"/>
  <c r="AN1293" i="1"/>
  <c r="AL1293" i="1"/>
  <c r="AG1293" i="1"/>
  <c r="AD1293" i="1"/>
  <c r="X1293" i="1"/>
  <c r="V1293" i="1"/>
  <c r="T1293" i="1"/>
  <c r="BA1293" i="1" l="1"/>
  <c r="BA1296" i="1"/>
  <c r="BA449" i="1"/>
  <c r="R1166" i="1"/>
  <c r="BA1298" i="1"/>
  <c r="AI1293" i="1"/>
  <c r="AI1298" i="1"/>
  <c r="AI1296" i="1"/>
  <c r="AR1298" i="1"/>
  <c r="AH449" i="1"/>
  <c r="AZ453" i="1"/>
  <c r="AH1293" i="1"/>
  <c r="AH1296" i="1"/>
  <c r="AR1296" i="1"/>
  <c r="AH453" i="1"/>
  <c r="BA453" i="1"/>
  <c r="BA459" i="1"/>
  <c r="AZ459" i="1"/>
  <c r="AZ449" i="1"/>
  <c r="Z1293" i="1"/>
  <c r="Z1296" i="1"/>
  <c r="Z1298" i="1"/>
  <c r="AH1298" i="1"/>
  <c r="AZ1298" i="1"/>
  <c r="BA452" i="1"/>
  <c r="AR453" i="1"/>
  <c r="AR452" i="1"/>
  <c r="AR459" i="1"/>
  <c r="AH459" i="1"/>
  <c r="AH452" i="1"/>
  <c r="AZ452" i="1"/>
  <c r="AR449" i="1"/>
  <c r="AZ1296" i="1"/>
  <c r="AZ1293" i="1"/>
  <c r="AR1293" i="1"/>
  <c r="Q1293" i="1" l="1"/>
  <c r="Q1296" i="1"/>
  <c r="Q1298" i="1"/>
  <c r="BB453" i="1"/>
  <c r="AJ1293" i="1"/>
  <c r="BB1298" i="1"/>
  <c r="AJ1296" i="1"/>
  <c r="BB1296" i="1"/>
  <c r="BB449" i="1"/>
  <c r="AJ1298" i="1"/>
  <c r="BB459" i="1"/>
  <c r="BB452" i="1"/>
  <c r="BB1293" i="1"/>
  <c r="R1298" i="1" l="1"/>
  <c r="R1296" i="1"/>
  <c r="R1293" i="1"/>
  <c r="AY1138" i="1" l="1"/>
  <c r="AX1138" i="1"/>
  <c r="AV1138" i="1"/>
  <c r="AT1138" i="1"/>
  <c r="AQ1138" i="1"/>
  <c r="AP1138" i="1"/>
  <c r="AN1138" i="1"/>
  <c r="AL1138" i="1"/>
  <c r="AG1138" i="1"/>
  <c r="AD1138" i="1"/>
  <c r="Y1138" i="1"/>
  <c r="X1138" i="1"/>
  <c r="V1138" i="1"/>
  <c r="T1138" i="1"/>
  <c r="AY1053" i="1"/>
  <c r="AX1053" i="1"/>
  <c r="AV1053" i="1"/>
  <c r="AT1053" i="1"/>
  <c r="AQ1053" i="1"/>
  <c r="AN1053" i="1"/>
  <c r="AL1053" i="1"/>
  <c r="AD1053" i="1"/>
  <c r="AB1053" i="1"/>
  <c r="Y1053" i="1"/>
  <c r="X1053" i="1"/>
  <c r="V1053" i="1"/>
  <c r="T1053" i="1"/>
  <c r="AY93" i="1"/>
  <c r="AX93" i="1"/>
  <c r="AV93" i="1"/>
  <c r="AT93" i="1"/>
  <c r="AQ93" i="1"/>
  <c r="AN93" i="1"/>
  <c r="AL93" i="1"/>
  <c r="AG93" i="1"/>
  <c r="AD93" i="1"/>
  <c r="X93" i="1"/>
  <c r="V93" i="1"/>
  <c r="AY82" i="1"/>
  <c r="AX82" i="1"/>
  <c r="AV82" i="1"/>
  <c r="AT82" i="1"/>
  <c r="AN82" i="1"/>
  <c r="AL82" i="1"/>
  <c r="AG82" i="1"/>
  <c r="AD82" i="1"/>
  <c r="X82" i="1"/>
  <c r="V82" i="1"/>
  <c r="AY280" i="1"/>
  <c r="AT280" i="1"/>
  <c r="AQ280" i="1"/>
  <c r="AP280" i="1"/>
  <c r="AN280" i="1"/>
  <c r="AL280" i="1"/>
  <c r="AG280" i="1"/>
  <c r="AD280" i="1"/>
  <c r="AB280" i="1"/>
  <c r="X280" i="1"/>
  <c r="V280" i="1"/>
  <c r="AI1053" i="1" l="1"/>
  <c r="BA93" i="1"/>
  <c r="AH82" i="1"/>
  <c r="AH93" i="1"/>
  <c r="AR93" i="1"/>
  <c r="AZ82" i="1"/>
  <c r="AZ93" i="1"/>
  <c r="AR82" i="1"/>
  <c r="AH1053" i="1"/>
  <c r="BA1138" i="1"/>
  <c r="BA82" i="1"/>
  <c r="BA1053" i="1"/>
  <c r="Z1053" i="1"/>
  <c r="AR1053" i="1"/>
  <c r="Z1138" i="1"/>
  <c r="AH1138" i="1"/>
  <c r="AR1138" i="1"/>
  <c r="AZ1138" i="1"/>
  <c r="AI1138" i="1"/>
  <c r="AZ1053" i="1"/>
  <c r="BA280" i="1"/>
  <c r="AZ280" i="1"/>
  <c r="AR280" i="1"/>
  <c r="AH280" i="1"/>
  <c r="Q1053" i="1" l="1"/>
  <c r="Q1138" i="1"/>
  <c r="AJ1053" i="1"/>
  <c r="AJ1138" i="1"/>
  <c r="BB1053" i="1"/>
  <c r="BB1138" i="1"/>
  <c r="BB93" i="1"/>
  <c r="BB82" i="1"/>
  <c r="BB280" i="1"/>
  <c r="R1053" i="1" l="1"/>
  <c r="R1138" i="1"/>
  <c r="V548" i="1" l="1"/>
  <c r="X548" i="1"/>
  <c r="AD548" i="1"/>
  <c r="AG548" i="1"/>
  <c r="AL548" i="1"/>
  <c r="AN548" i="1"/>
  <c r="AP548" i="1"/>
  <c r="AQ548" i="1"/>
  <c r="AV548" i="1"/>
  <c r="AX548" i="1"/>
  <c r="AY548" i="1"/>
  <c r="AH548" i="1" l="1"/>
  <c r="AR548" i="1"/>
  <c r="AZ548" i="1"/>
  <c r="BA548" i="1"/>
  <c r="BB548" i="1" l="1"/>
  <c r="AY279" i="1"/>
  <c r="AX279" i="1"/>
  <c r="AV279" i="1"/>
  <c r="AT279" i="1"/>
  <c r="AQ279" i="1"/>
  <c r="AP279" i="1"/>
  <c r="AN279" i="1"/>
  <c r="AL279" i="1"/>
  <c r="AG279" i="1"/>
  <c r="AD279" i="1"/>
  <c r="AB279" i="1"/>
  <c r="X279" i="1"/>
  <c r="V279" i="1"/>
  <c r="AY278" i="1"/>
  <c r="AX278" i="1"/>
  <c r="AV278" i="1"/>
  <c r="AT278" i="1"/>
  <c r="AQ278" i="1"/>
  <c r="AP278" i="1"/>
  <c r="AL278" i="1"/>
  <c r="AG278" i="1"/>
  <c r="AD278" i="1"/>
  <c r="AB278" i="1"/>
  <c r="X278" i="1"/>
  <c r="V278" i="1"/>
  <c r="BA279" i="1" l="1"/>
  <c r="BA278" i="1"/>
  <c r="AH278" i="1"/>
  <c r="AR278" i="1"/>
  <c r="AZ278" i="1"/>
  <c r="AH279" i="1"/>
  <c r="AR279" i="1"/>
  <c r="AZ279" i="1"/>
  <c r="BB279" i="1" l="1"/>
  <c r="BB278" i="1"/>
  <c r="AX1290" i="1" l="1"/>
  <c r="AV1290" i="1"/>
  <c r="AT1290" i="1"/>
  <c r="AQ1290" i="1"/>
  <c r="AP1290" i="1"/>
  <c r="AN1290" i="1"/>
  <c r="AG1290" i="1"/>
  <c r="AD1290" i="1"/>
  <c r="Y1290" i="1"/>
  <c r="X1290" i="1"/>
  <c r="V1290" i="1"/>
  <c r="T1290" i="1"/>
  <c r="AX1288" i="1"/>
  <c r="AV1288" i="1"/>
  <c r="AT1288" i="1"/>
  <c r="AQ1288" i="1"/>
  <c r="AP1288" i="1"/>
  <c r="AN1288" i="1"/>
  <c r="AL1288" i="1"/>
  <c r="AG1288" i="1"/>
  <c r="Y1288" i="1"/>
  <c r="X1288" i="1"/>
  <c r="V1288" i="1"/>
  <c r="T1288" i="1"/>
  <c r="AX1287" i="1"/>
  <c r="AV1287" i="1"/>
  <c r="AT1287" i="1"/>
  <c r="AQ1287" i="1"/>
  <c r="AP1287" i="1"/>
  <c r="AN1287" i="1"/>
  <c r="AL1287" i="1"/>
  <c r="AG1287" i="1"/>
  <c r="AD1287" i="1"/>
  <c r="Y1287" i="1"/>
  <c r="X1287" i="1"/>
  <c r="V1287" i="1"/>
  <c r="T1287" i="1"/>
  <c r="AX1286" i="1"/>
  <c r="AV1286" i="1"/>
  <c r="AT1286" i="1"/>
  <c r="AQ1286" i="1"/>
  <c r="AP1286" i="1"/>
  <c r="AN1286" i="1"/>
  <c r="AL1286" i="1"/>
  <c r="AG1286" i="1"/>
  <c r="AD1286" i="1"/>
  <c r="Y1286" i="1"/>
  <c r="X1286" i="1"/>
  <c r="V1286" i="1"/>
  <c r="T1286" i="1"/>
  <c r="AX1285" i="1"/>
  <c r="AV1285" i="1"/>
  <c r="AT1285" i="1"/>
  <c r="AQ1285" i="1"/>
  <c r="AP1285" i="1"/>
  <c r="AN1285" i="1"/>
  <c r="AL1285" i="1"/>
  <c r="AD1285" i="1"/>
  <c r="AH1285" i="1" s="1"/>
  <c r="Y1285" i="1"/>
  <c r="X1285" i="1"/>
  <c r="V1285" i="1"/>
  <c r="T1285" i="1"/>
  <c r="AX1284" i="1"/>
  <c r="AV1284" i="1"/>
  <c r="AT1284" i="1"/>
  <c r="AQ1284" i="1"/>
  <c r="AP1284" i="1"/>
  <c r="AN1284" i="1"/>
  <c r="AL1284" i="1"/>
  <c r="AG1284" i="1"/>
  <c r="AD1284" i="1"/>
  <c r="Y1284" i="1"/>
  <c r="X1284" i="1"/>
  <c r="V1284" i="1"/>
  <c r="T1284" i="1"/>
  <c r="AX1282" i="1"/>
  <c r="AV1282" i="1"/>
  <c r="AT1282" i="1"/>
  <c r="AQ1282" i="1"/>
  <c r="AP1282" i="1"/>
  <c r="AN1282" i="1"/>
  <c r="AL1282" i="1"/>
  <c r="AD1282" i="1"/>
  <c r="AH1282" i="1" s="1"/>
  <c r="Y1282" i="1"/>
  <c r="X1282" i="1"/>
  <c r="V1282" i="1"/>
  <c r="T1282" i="1"/>
  <c r="AX1100" i="1"/>
  <c r="AV1100" i="1"/>
  <c r="AQ1100" i="1"/>
  <c r="Y1100" i="1"/>
  <c r="X1100" i="1"/>
  <c r="V1100" i="1"/>
  <c r="T1100" i="1"/>
  <c r="AX1148" i="1"/>
  <c r="AV1148" i="1"/>
  <c r="AT1148" i="1"/>
  <c r="AQ1148" i="1"/>
  <c r="AP1148" i="1"/>
  <c r="AN1148" i="1"/>
  <c r="AL1148" i="1"/>
  <c r="AG1148" i="1"/>
  <c r="AD1148" i="1"/>
  <c r="Y1148" i="1"/>
  <c r="X1148" i="1"/>
  <c r="V1148" i="1"/>
  <c r="T1148" i="1"/>
  <c r="AX1147" i="1"/>
  <c r="AV1147" i="1"/>
  <c r="AT1147" i="1"/>
  <c r="AQ1147" i="1"/>
  <c r="AN1147" i="1"/>
  <c r="AG1147" i="1"/>
  <c r="AD1147" i="1"/>
  <c r="Y1147" i="1"/>
  <c r="X1147" i="1"/>
  <c r="V1147" i="1"/>
  <c r="T1147" i="1"/>
  <c r="AX1146" i="1"/>
  <c r="AV1146" i="1"/>
  <c r="AT1146" i="1"/>
  <c r="AQ1146" i="1"/>
  <c r="AP1146" i="1"/>
  <c r="AN1146" i="1"/>
  <c r="AL1146" i="1"/>
  <c r="AG1146" i="1"/>
  <c r="AD1146" i="1"/>
  <c r="Y1146" i="1"/>
  <c r="X1146" i="1"/>
  <c r="V1146" i="1"/>
  <c r="T1146" i="1"/>
  <c r="AX1145" i="1"/>
  <c r="AV1145" i="1"/>
  <c r="AT1145" i="1"/>
  <c r="AQ1145" i="1"/>
  <c r="AP1145" i="1"/>
  <c r="AN1145" i="1"/>
  <c r="AL1145" i="1"/>
  <c r="AG1145" i="1"/>
  <c r="AD1145" i="1"/>
  <c r="Y1145" i="1"/>
  <c r="X1145" i="1"/>
  <c r="V1145" i="1"/>
  <c r="T1145" i="1"/>
  <c r="AX1144" i="1"/>
  <c r="AV1144" i="1"/>
  <c r="AT1144" i="1"/>
  <c r="AQ1144" i="1"/>
  <c r="AP1144" i="1"/>
  <c r="AN1144" i="1"/>
  <c r="AG1144" i="1"/>
  <c r="AD1144" i="1"/>
  <c r="Y1144" i="1"/>
  <c r="X1144" i="1"/>
  <c r="V1144" i="1"/>
  <c r="T1144" i="1"/>
  <c r="AX1133" i="1"/>
  <c r="AV1133" i="1"/>
  <c r="AT1133" i="1"/>
  <c r="AQ1133" i="1"/>
  <c r="AP1133" i="1"/>
  <c r="AN1133" i="1"/>
  <c r="AL1133" i="1"/>
  <c r="AG1133" i="1"/>
  <c r="AD1133" i="1"/>
  <c r="AB1133" i="1"/>
  <c r="Y1133" i="1"/>
  <c r="X1133" i="1"/>
  <c r="V1133" i="1"/>
  <c r="T1133" i="1"/>
  <c r="AX1118" i="1"/>
  <c r="AV1118" i="1"/>
  <c r="AT1118" i="1"/>
  <c r="AQ1118" i="1"/>
  <c r="AP1118" i="1"/>
  <c r="AN1118" i="1"/>
  <c r="AL1118" i="1"/>
  <c r="AG1118" i="1"/>
  <c r="AD1118" i="1"/>
  <c r="AB1118" i="1"/>
  <c r="Y1118" i="1"/>
  <c r="X1118" i="1"/>
  <c r="V1118" i="1"/>
  <c r="T1118" i="1"/>
  <c r="AX1111" i="1"/>
  <c r="AV1111" i="1"/>
  <c r="AT1111" i="1"/>
  <c r="AQ1111" i="1"/>
  <c r="AP1111" i="1"/>
  <c r="AN1111" i="1"/>
  <c r="AL1111" i="1"/>
  <c r="AG1111" i="1"/>
  <c r="AD1111" i="1"/>
  <c r="AB1111" i="1"/>
  <c r="Y1111" i="1"/>
  <c r="X1111" i="1"/>
  <c r="V1111" i="1"/>
  <c r="T1111" i="1"/>
  <c r="AX1110" i="1"/>
  <c r="AV1110" i="1"/>
  <c r="AT1110" i="1"/>
  <c r="AQ1110" i="1"/>
  <c r="AP1110" i="1"/>
  <c r="AN1110" i="1"/>
  <c r="AL1110" i="1"/>
  <c r="AG1110" i="1"/>
  <c r="AD1110" i="1"/>
  <c r="AB1110" i="1"/>
  <c r="Y1110" i="1"/>
  <c r="X1110" i="1"/>
  <c r="V1110" i="1"/>
  <c r="T1110" i="1"/>
  <c r="AX1109" i="1"/>
  <c r="AV1109" i="1"/>
  <c r="AT1109" i="1"/>
  <c r="AQ1109" i="1"/>
  <c r="AP1109" i="1"/>
  <c r="AN1109" i="1"/>
  <c r="AL1109" i="1"/>
  <c r="AG1109" i="1"/>
  <c r="AD1109" i="1"/>
  <c r="Y1109" i="1"/>
  <c r="X1109" i="1"/>
  <c r="V1109" i="1"/>
  <c r="T1109" i="1"/>
  <c r="AX1108" i="1"/>
  <c r="AV1108" i="1"/>
  <c r="AT1108" i="1"/>
  <c r="AQ1108" i="1"/>
  <c r="AP1108" i="1"/>
  <c r="AN1108" i="1"/>
  <c r="AL1108" i="1"/>
  <c r="AG1108" i="1"/>
  <c r="AD1108" i="1"/>
  <c r="AB1108" i="1"/>
  <c r="Y1108" i="1"/>
  <c r="X1108" i="1"/>
  <c r="V1108" i="1"/>
  <c r="T1108" i="1"/>
  <c r="AX1107" i="1"/>
  <c r="AV1107" i="1"/>
  <c r="AT1107" i="1"/>
  <c r="AQ1107" i="1"/>
  <c r="AP1107" i="1"/>
  <c r="AN1107" i="1"/>
  <c r="AL1107" i="1"/>
  <c r="AG1107" i="1"/>
  <c r="AD1107" i="1"/>
  <c r="AB1107" i="1"/>
  <c r="Y1107" i="1"/>
  <c r="X1107" i="1"/>
  <c r="V1107" i="1"/>
  <c r="T1107" i="1"/>
  <c r="AX1052" i="1"/>
  <c r="AV1052" i="1"/>
  <c r="AT1052" i="1"/>
  <c r="AQ1052" i="1"/>
  <c r="AN1052" i="1"/>
  <c r="AL1052" i="1"/>
  <c r="AG1052" i="1"/>
  <c r="AD1052" i="1"/>
  <c r="Y1052" i="1"/>
  <c r="X1052" i="1"/>
  <c r="V1052" i="1"/>
  <c r="T1052" i="1"/>
  <c r="AX1051" i="1"/>
  <c r="AV1051" i="1"/>
  <c r="AT1051" i="1"/>
  <c r="AQ1051" i="1"/>
  <c r="AN1051" i="1"/>
  <c r="AL1051" i="1"/>
  <c r="AG1051" i="1"/>
  <c r="AD1051" i="1"/>
  <c r="AB1051" i="1"/>
  <c r="Y1051" i="1"/>
  <c r="X1051" i="1"/>
  <c r="V1051" i="1"/>
  <c r="T1051" i="1"/>
  <c r="AX1050" i="1"/>
  <c r="AV1050" i="1"/>
  <c r="AT1050" i="1"/>
  <c r="AQ1050" i="1"/>
  <c r="AN1050" i="1"/>
  <c r="AL1050" i="1"/>
  <c r="AG1050" i="1"/>
  <c r="AD1050" i="1"/>
  <c r="AB1050" i="1"/>
  <c r="Y1050" i="1"/>
  <c r="X1050" i="1"/>
  <c r="V1050" i="1"/>
  <c r="T1050" i="1"/>
  <c r="AX1030" i="1"/>
  <c r="AV1030" i="1"/>
  <c r="AT1030" i="1"/>
  <c r="AQ1030" i="1"/>
  <c r="AP1030" i="1"/>
  <c r="AN1030" i="1"/>
  <c r="AL1030" i="1"/>
  <c r="AG1030" i="1"/>
  <c r="AD1030" i="1"/>
  <c r="AB1030" i="1"/>
  <c r="Y1030" i="1"/>
  <c r="X1030" i="1"/>
  <c r="V1030" i="1"/>
  <c r="T1030" i="1"/>
  <c r="AX1028" i="1"/>
  <c r="AV1028" i="1"/>
  <c r="AT1028" i="1"/>
  <c r="AQ1028" i="1"/>
  <c r="AP1028" i="1"/>
  <c r="AN1028" i="1"/>
  <c r="AL1028" i="1"/>
  <c r="AG1028" i="1"/>
  <c r="AD1028" i="1"/>
  <c r="AB1028" i="1"/>
  <c r="Y1028" i="1"/>
  <c r="X1028" i="1"/>
  <c r="V1028" i="1"/>
  <c r="T1028" i="1"/>
  <c r="AX1025" i="1"/>
  <c r="AV1025" i="1"/>
  <c r="AT1025" i="1"/>
  <c r="AQ1025" i="1"/>
  <c r="AP1025" i="1"/>
  <c r="AN1025" i="1"/>
  <c r="AL1025" i="1"/>
  <c r="AG1025" i="1"/>
  <c r="AD1025" i="1"/>
  <c r="AB1025" i="1"/>
  <c r="Y1025" i="1"/>
  <c r="X1025" i="1"/>
  <c r="V1025" i="1"/>
  <c r="T1025" i="1"/>
  <c r="AX1006" i="1"/>
  <c r="AV1006" i="1"/>
  <c r="AT1006" i="1"/>
  <c r="AX1005" i="1"/>
  <c r="AV1005" i="1"/>
  <c r="AT1005" i="1"/>
  <c r="AX1001" i="1"/>
  <c r="AV1001" i="1"/>
  <c r="AT1001" i="1"/>
  <c r="AX984" i="1"/>
  <c r="AV984" i="1"/>
  <c r="AT984" i="1"/>
  <c r="AX983" i="1"/>
  <c r="AV983" i="1"/>
  <c r="AT983" i="1"/>
  <c r="AX982" i="1"/>
  <c r="AV982" i="1"/>
  <c r="AT982" i="1"/>
  <c r="AX981" i="1"/>
  <c r="AV981" i="1"/>
  <c r="AT981" i="1"/>
  <c r="AX980" i="1"/>
  <c r="AV980" i="1"/>
  <c r="AT980" i="1"/>
  <c r="AX979" i="1"/>
  <c r="AV979" i="1"/>
  <c r="AT979" i="1"/>
  <c r="AX978" i="1"/>
  <c r="AV978" i="1"/>
  <c r="AT978" i="1"/>
  <c r="AX977" i="1"/>
  <c r="AV977" i="1"/>
  <c r="AT977" i="1"/>
  <c r="AX976" i="1"/>
  <c r="AV976" i="1"/>
  <c r="AT976" i="1"/>
  <c r="AX975" i="1"/>
  <c r="AV975" i="1"/>
  <c r="AT975" i="1"/>
  <c r="AX974" i="1"/>
  <c r="AV974" i="1"/>
  <c r="AT974" i="1"/>
  <c r="AX973" i="1"/>
  <c r="AV973" i="1"/>
  <c r="AT973" i="1"/>
  <c r="AX995" i="1"/>
  <c r="AV995" i="1"/>
  <c r="AX994" i="1"/>
  <c r="AV994" i="1"/>
  <c r="AT994" i="1"/>
  <c r="AX993" i="1"/>
  <c r="AV993" i="1"/>
  <c r="AT993" i="1"/>
  <c r="AX969" i="1"/>
  <c r="AV969" i="1"/>
  <c r="AT969" i="1"/>
  <c r="AX968" i="1"/>
  <c r="AV968" i="1"/>
  <c r="AT968" i="1"/>
  <c r="AX966" i="1"/>
  <c r="AV966" i="1"/>
  <c r="AT966" i="1"/>
  <c r="AX961" i="1"/>
  <c r="AV961" i="1"/>
  <c r="AX960" i="1"/>
  <c r="AV960" i="1"/>
  <c r="AT960" i="1"/>
  <c r="AX959" i="1"/>
  <c r="AV959" i="1"/>
  <c r="AX958" i="1"/>
  <c r="AV958" i="1"/>
  <c r="AT1292" i="1"/>
  <c r="AV1292" i="1"/>
  <c r="AX1292" i="1"/>
  <c r="AT1295" i="1"/>
  <c r="AV1295" i="1"/>
  <c r="AX1295" i="1"/>
  <c r="AT1300" i="1"/>
  <c r="AV1300" i="1"/>
  <c r="AX1300" i="1"/>
  <c r="AT1302" i="1"/>
  <c r="AV1302" i="1"/>
  <c r="AX1302" i="1"/>
  <c r="AT1303" i="1"/>
  <c r="AV1303" i="1"/>
  <c r="AX1303" i="1"/>
  <c r="AT1304" i="1"/>
  <c r="AV1304" i="1"/>
  <c r="AX1304" i="1"/>
  <c r="AT1305" i="1"/>
  <c r="AV1305" i="1"/>
  <c r="AX1305" i="1"/>
  <c r="AT1306" i="1"/>
  <c r="AV1306" i="1"/>
  <c r="AX1306" i="1"/>
  <c r="AT1309" i="1"/>
  <c r="AT1310" i="1" s="1"/>
  <c r="AV1309" i="1"/>
  <c r="AV1310" i="1" s="1"/>
  <c r="AX1309" i="1"/>
  <c r="AX1310" i="1" s="1"/>
  <c r="AT1311" i="1"/>
  <c r="AV1311" i="1"/>
  <c r="AX1311" i="1"/>
  <c r="AT1312" i="1"/>
  <c r="AV1312" i="1"/>
  <c r="AX1312" i="1"/>
  <c r="AT1313" i="1"/>
  <c r="AV1313" i="1"/>
  <c r="AX1313" i="1"/>
  <c r="AT1314" i="1"/>
  <c r="AV1314" i="1"/>
  <c r="AX1314" i="1"/>
  <c r="AY1300" i="1"/>
  <c r="AQ1300" i="1"/>
  <c r="AP1300" i="1"/>
  <c r="AN1300" i="1"/>
  <c r="AL1300" i="1"/>
  <c r="AG1300" i="1"/>
  <c r="AD1300" i="1"/>
  <c r="Y1300" i="1"/>
  <c r="X1300" i="1"/>
  <c r="V1300" i="1"/>
  <c r="T1300" i="1"/>
  <c r="AY1295" i="1"/>
  <c r="AQ1295" i="1"/>
  <c r="AP1295" i="1"/>
  <c r="AN1295" i="1"/>
  <c r="AL1295" i="1"/>
  <c r="AG1295" i="1"/>
  <c r="AD1295" i="1"/>
  <c r="Y1295" i="1"/>
  <c r="X1295" i="1"/>
  <c r="V1295" i="1"/>
  <c r="T1295" i="1"/>
  <c r="AY1292" i="1"/>
  <c r="AQ1292" i="1"/>
  <c r="AP1292" i="1"/>
  <c r="AN1292" i="1"/>
  <c r="AL1292" i="1"/>
  <c r="AG1292" i="1"/>
  <c r="AD1292" i="1"/>
  <c r="AB1301" i="1"/>
  <c r="Y1292" i="1"/>
  <c r="X1292" i="1"/>
  <c r="V1292" i="1"/>
  <c r="T1292" i="1"/>
  <c r="AY1304" i="1"/>
  <c r="AQ1306" i="1"/>
  <c r="AP1306" i="1"/>
  <c r="AN1306" i="1"/>
  <c r="AG1306" i="1"/>
  <c r="AD1306" i="1"/>
  <c r="Y1306" i="1"/>
  <c r="X1306" i="1"/>
  <c r="V1306" i="1"/>
  <c r="T1306" i="1"/>
  <c r="AQ1305" i="1"/>
  <c r="AP1305" i="1"/>
  <c r="AN1305" i="1"/>
  <c r="AL1305" i="1"/>
  <c r="AG1305" i="1"/>
  <c r="AD1305" i="1"/>
  <c r="Y1305" i="1"/>
  <c r="X1305" i="1"/>
  <c r="V1305" i="1"/>
  <c r="T1305" i="1"/>
  <c r="AQ1304" i="1"/>
  <c r="AP1304" i="1"/>
  <c r="AN1304" i="1"/>
  <c r="AL1304" i="1"/>
  <c r="AG1304" i="1"/>
  <c r="AD1304" i="1"/>
  <c r="Y1304" i="1"/>
  <c r="X1304" i="1"/>
  <c r="V1304" i="1"/>
  <c r="T1304" i="1"/>
  <c r="AQ1303" i="1"/>
  <c r="AP1303" i="1"/>
  <c r="AN1303" i="1"/>
  <c r="AL1303" i="1"/>
  <c r="AG1303" i="1"/>
  <c r="AD1303" i="1"/>
  <c r="Y1303" i="1"/>
  <c r="X1303" i="1"/>
  <c r="V1303" i="1"/>
  <c r="T1303" i="1"/>
  <c r="AQ1302" i="1"/>
  <c r="AP1302" i="1"/>
  <c r="AN1302" i="1"/>
  <c r="AL1302" i="1"/>
  <c r="AG1302" i="1"/>
  <c r="AD1302" i="1"/>
  <c r="Y1302" i="1"/>
  <c r="X1302" i="1"/>
  <c r="V1302" i="1"/>
  <c r="T1302" i="1"/>
  <c r="AX888" i="1"/>
  <c r="AV888" i="1"/>
  <c r="AT888" i="1"/>
  <c r="AX887" i="1"/>
  <c r="AV887" i="1"/>
  <c r="AT887" i="1"/>
  <c r="AX877" i="1"/>
  <c r="AV877" i="1"/>
  <c r="AT877" i="1"/>
  <c r="AX876" i="1"/>
  <c r="AV876" i="1"/>
  <c r="AT876" i="1"/>
  <c r="AX868" i="1"/>
  <c r="AV868" i="1"/>
  <c r="AT868" i="1"/>
  <c r="AX766" i="1"/>
  <c r="AV766" i="1"/>
  <c r="AT766" i="1"/>
  <c r="AX765" i="1"/>
  <c r="AV765" i="1"/>
  <c r="AT765" i="1"/>
  <c r="AX872" i="1"/>
  <c r="AV872" i="1"/>
  <c r="AT872" i="1"/>
  <c r="AX871" i="1"/>
  <c r="AV871" i="1"/>
  <c r="AT871" i="1"/>
  <c r="AX870" i="1"/>
  <c r="AV870" i="1"/>
  <c r="AT870" i="1"/>
  <c r="AX756" i="1"/>
  <c r="AV756" i="1"/>
  <c r="AT756" i="1"/>
  <c r="AX752" i="1"/>
  <c r="AV752" i="1"/>
  <c r="AT752" i="1"/>
  <c r="AX750" i="1"/>
  <c r="AV750" i="1"/>
  <c r="AT750" i="1"/>
  <c r="AX747" i="1"/>
  <c r="AV747" i="1"/>
  <c r="AT747" i="1"/>
  <c r="AX746" i="1"/>
  <c r="AV746" i="1"/>
  <c r="AT746" i="1"/>
  <c r="AX745" i="1"/>
  <c r="AV745" i="1"/>
  <c r="AT745" i="1"/>
  <c r="AX744" i="1"/>
  <c r="AV744" i="1"/>
  <c r="AT744" i="1"/>
  <c r="AX740" i="1"/>
  <c r="AT740" i="1"/>
  <c r="AX762" i="1"/>
  <c r="AV762" i="1"/>
  <c r="AT762" i="1"/>
  <c r="AX739" i="1"/>
  <c r="AV739" i="1"/>
  <c r="AT739" i="1"/>
  <c r="AX738" i="1"/>
  <c r="AV738" i="1"/>
  <c r="AT738" i="1"/>
  <c r="AX736" i="1"/>
  <c r="AV736" i="1"/>
  <c r="AT736" i="1"/>
  <c r="AX709" i="1"/>
  <c r="AV709" i="1"/>
  <c r="AT709" i="1"/>
  <c r="AX710" i="1"/>
  <c r="AV710" i="1"/>
  <c r="AT710" i="1"/>
  <c r="AX694" i="1"/>
  <c r="AV694" i="1"/>
  <c r="AT694" i="1"/>
  <c r="AX693" i="1"/>
  <c r="AV693" i="1"/>
  <c r="AT693" i="1"/>
  <c r="AX692" i="1"/>
  <c r="AV692" i="1"/>
  <c r="AT692" i="1"/>
  <c r="AX689" i="1"/>
  <c r="AV689" i="1"/>
  <c r="AT689" i="1"/>
  <c r="AX686" i="1"/>
  <c r="AV686" i="1"/>
  <c r="AT686" i="1"/>
  <c r="AX682" i="1"/>
  <c r="AV682" i="1"/>
  <c r="AT682" i="1"/>
  <c r="AX655" i="1"/>
  <c r="AV655" i="1"/>
  <c r="AT655" i="1"/>
  <c r="AX659" i="1"/>
  <c r="AV659" i="1"/>
  <c r="AT659" i="1"/>
  <c r="AX657" i="1"/>
  <c r="AV657" i="1"/>
  <c r="AT657" i="1"/>
  <c r="AX646" i="1"/>
  <c r="AV646" i="1"/>
  <c r="AT646" i="1"/>
  <c r="AX645" i="1"/>
  <c r="AV645" i="1"/>
  <c r="AT645" i="1"/>
  <c r="AX644" i="1"/>
  <c r="AV644" i="1"/>
  <c r="AT644" i="1"/>
  <c r="AX638" i="1"/>
  <c r="AV638" i="1"/>
  <c r="AT638" i="1"/>
  <c r="AX634" i="1"/>
  <c r="AV634" i="1"/>
  <c r="AT634" i="1"/>
  <c r="AX633" i="1"/>
  <c r="AV633" i="1"/>
  <c r="AT633" i="1"/>
  <c r="AX631" i="1"/>
  <c r="AV631" i="1"/>
  <c r="AT631" i="1"/>
  <c r="AX630" i="1"/>
  <c r="AV630" i="1"/>
  <c r="AT630" i="1"/>
  <c r="AX628" i="1"/>
  <c r="AV628" i="1"/>
  <c r="AT628" i="1"/>
  <c r="AX627" i="1"/>
  <c r="AV627" i="1"/>
  <c r="AT627" i="1"/>
  <c r="AY1302" i="1"/>
  <c r="AY1303" i="1"/>
  <c r="AY1305" i="1"/>
  <c r="AY1306" i="1"/>
  <c r="AY627" i="1"/>
  <c r="AY628" i="1"/>
  <c r="AY630" i="1"/>
  <c r="AY631" i="1"/>
  <c r="AY633" i="1"/>
  <c r="AY634" i="1"/>
  <c r="AY638" i="1"/>
  <c r="AY644" i="1"/>
  <c r="AY646" i="1"/>
  <c r="AY657" i="1"/>
  <c r="AY659" i="1"/>
  <c r="AY655" i="1"/>
  <c r="AY682" i="1"/>
  <c r="AY686" i="1"/>
  <c r="AY689" i="1"/>
  <c r="AY692" i="1"/>
  <c r="AY693" i="1"/>
  <c r="AY694" i="1"/>
  <c r="AY710" i="1"/>
  <c r="AY709" i="1"/>
  <c r="AY736" i="1"/>
  <c r="AY738" i="1"/>
  <c r="AY739" i="1"/>
  <c r="AY762" i="1"/>
  <c r="AY740" i="1"/>
  <c r="AY744" i="1"/>
  <c r="AY745" i="1"/>
  <c r="AY746" i="1"/>
  <c r="AY747" i="1"/>
  <c r="AY750" i="1"/>
  <c r="AY752" i="1"/>
  <c r="AY756" i="1"/>
  <c r="AY870" i="1"/>
  <c r="AY871" i="1"/>
  <c r="AY872" i="1"/>
  <c r="AY765" i="1"/>
  <c r="AY766" i="1"/>
  <c r="AY868" i="1"/>
  <c r="AV972" i="1" l="1"/>
  <c r="AZ1282" i="1"/>
  <c r="AV764" i="1"/>
  <c r="AV1378" i="1" s="1"/>
  <c r="AX1023" i="1"/>
  <c r="AT1023" i="1"/>
  <c r="AV1023" i="1"/>
  <c r="AR1282" i="1"/>
  <c r="AX764" i="1"/>
  <c r="AX1378" i="1" s="1"/>
  <c r="AY764" i="1"/>
  <c r="AT764" i="1"/>
  <c r="AT1378" i="1" s="1"/>
  <c r="AT972" i="1"/>
  <c r="AX972" i="1"/>
  <c r="AI1100" i="1"/>
  <c r="AR1285" i="1"/>
  <c r="AZ1285" i="1"/>
  <c r="AZ645" i="1"/>
  <c r="AI1052" i="1"/>
  <c r="X1301" i="1"/>
  <c r="AG1301" i="1"/>
  <c r="AQ1301" i="1"/>
  <c r="T1301" i="1"/>
  <c r="AN1301" i="1"/>
  <c r="AI1288" i="1"/>
  <c r="V1301" i="1"/>
  <c r="AD1301" i="1"/>
  <c r="AL1301" i="1"/>
  <c r="AP1301" i="1"/>
  <c r="AY1301" i="1"/>
  <c r="Z1118" i="1"/>
  <c r="AH1118" i="1"/>
  <c r="AR1118" i="1"/>
  <c r="AZ1118" i="1"/>
  <c r="AV992" i="1"/>
  <c r="AT992" i="1"/>
  <c r="AX992" i="1"/>
  <c r="T1291" i="1"/>
  <c r="X1291" i="1"/>
  <c r="AG1291" i="1"/>
  <c r="AT873" i="1"/>
  <c r="AX873" i="1"/>
  <c r="AV869" i="1"/>
  <c r="AV1379" i="1" s="1"/>
  <c r="AP1291" i="1"/>
  <c r="AX737" i="1"/>
  <c r="AX1377" i="1" s="1"/>
  <c r="AV1002" i="1"/>
  <c r="AV889" i="1"/>
  <c r="AT737" i="1"/>
  <c r="AT1377" i="1" s="1"/>
  <c r="Y1301" i="1"/>
  <c r="V1291" i="1"/>
  <c r="Y1291" i="1"/>
  <c r="AX1291" i="1"/>
  <c r="AT1291" i="1"/>
  <c r="AN1291" i="1"/>
  <c r="AL1291" i="1"/>
  <c r="AD1291" i="1"/>
  <c r="AB1291" i="1"/>
  <c r="AV873" i="1"/>
  <c r="AV1315" i="1"/>
  <c r="AV1307" i="1" s="1"/>
  <c r="AX1315" i="1"/>
  <c r="AT1315" i="1"/>
  <c r="AT1307" i="1" s="1"/>
  <c r="AX1307" i="1"/>
  <c r="AX1301" i="1"/>
  <c r="AT1301" i="1"/>
  <c r="AV1301" i="1"/>
  <c r="AV1291" i="1"/>
  <c r="AY873" i="1"/>
  <c r="AY869" i="1"/>
  <c r="AT1002" i="1"/>
  <c r="AX1002" i="1"/>
  <c r="AT889" i="1"/>
  <c r="AX889" i="1"/>
  <c r="AT869" i="1"/>
  <c r="AT1379" i="1" s="1"/>
  <c r="AX869" i="1"/>
  <c r="AX1379" i="1" s="1"/>
  <c r="AY737" i="1"/>
  <c r="AV737" i="1"/>
  <c r="AV1377" i="1" s="1"/>
  <c r="AQ1291" i="1"/>
  <c r="AI1145" i="1"/>
  <c r="AI1282" i="1"/>
  <c r="AI1285" i="1"/>
  <c r="AI1287" i="1"/>
  <c r="AI1292" i="1"/>
  <c r="AI1295" i="1"/>
  <c r="AI1300" i="1"/>
  <c r="AI1133" i="1"/>
  <c r="AI1108" i="1"/>
  <c r="AI1028" i="1"/>
  <c r="AI1050" i="1"/>
  <c r="AI1051" i="1"/>
  <c r="AI1110" i="1"/>
  <c r="AI1111" i="1"/>
  <c r="AI1118" i="1"/>
  <c r="AI1147" i="1"/>
  <c r="AI1148" i="1"/>
  <c r="AI1109" i="1"/>
  <c r="BA1305" i="1"/>
  <c r="AI1107" i="1"/>
  <c r="AZ744" i="1"/>
  <c r="AZ747" i="1"/>
  <c r="AZ868" i="1"/>
  <c r="AZ739" i="1"/>
  <c r="AZ746" i="1"/>
  <c r="AZ659" i="1"/>
  <c r="AZ710" i="1"/>
  <c r="Z1111" i="1"/>
  <c r="AH1111" i="1"/>
  <c r="AR1111" i="1"/>
  <c r="Z1133" i="1"/>
  <c r="AH1133" i="1"/>
  <c r="AR1133" i="1"/>
  <c r="Z1282" i="1"/>
  <c r="Z1287" i="1"/>
  <c r="AR1287" i="1"/>
  <c r="AZ750" i="1"/>
  <c r="AZ694" i="1"/>
  <c r="AZ638" i="1"/>
  <c r="AZ756" i="1"/>
  <c r="AZ740" i="1"/>
  <c r="AH1028" i="1"/>
  <c r="Z1052" i="1"/>
  <c r="AH1052" i="1"/>
  <c r="AR1052" i="1"/>
  <c r="Z1107" i="1"/>
  <c r="AH1107" i="1"/>
  <c r="AR1107" i="1"/>
  <c r="Z1147" i="1"/>
  <c r="AH1147" i="1"/>
  <c r="AR1147" i="1"/>
  <c r="AZ644" i="1"/>
  <c r="AZ657" i="1"/>
  <c r="AZ655" i="1"/>
  <c r="AZ682" i="1"/>
  <c r="AZ686" i="1"/>
  <c r="AZ689" i="1"/>
  <c r="AZ692" i="1"/>
  <c r="AZ693" i="1"/>
  <c r="AZ736" i="1"/>
  <c r="AZ738" i="1"/>
  <c r="AZ762" i="1"/>
  <c r="AZ745" i="1"/>
  <c r="AZ752" i="1"/>
  <c r="AZ766" i="1"/>
  <c r="AZ1304" i="1"/>
  <c r="AZ1302" i="1"/>
  <c r="AH1287" i="1"/>
  <c r="AZ646" i="1"/>
  <c r="AZ709" i="1"/>
  <c r="AZ765" i="1"/>
  <c r="AZ628" i="1"/>
  <c r="AZ633" i="1"/>
  <c r="AI1146" i="1"/>
  <c r="AI1286" i="1"/>
  <c r="AZ630" i="1"/>
  <c r="Z1025" i="1"/>
  <c r="AR1025" i="1"/>
  <c r="Z1050" i="1"/>
  <c r="AR1050" i="1"/>
  <c r="Z1109" i="1"/>
  <c r="AR1109" i="1"/>
  <c r="AI1144" i="1"/>
  <c r="AH1145" i="1"/>
  <c r="Z1100" i="1"/>
  <c r="AJ1100" i="1" s="1"/>
  <c r="AR1100" i="1"/>
  <c r="AI1284" i="1"/>
  <c r="AZ627" i="1"/>
  <c r="AZ631" i="1"/>
  <c r="AI1290" i="1"/>
  <c r="AH1025" i="1"/>
  <c r="AI1030" i="1"/>
  <c r="AH1050" i="1"/>
  <c r="AH1109" i="1"/>
  <c r="Z1145" i="1"/>
  <c r="AR1145" i="1"/>
  <c r="Z1285" i="1"/>
  <c r="AZ1292" i="1"/>
  <c r="BA1295" i="1"/>
  <c r="AZ634" i="1"/>
  <c r="Z1290" i="1"/>
  <c r="AH1290" i="1"/>
  <c r="AR1290" i="1"/>
  <c r="BA1292" i="1"/>
  <c r="BA1300" i="1"/>
  <c r="Z1302" i="1"/>
  <c r="AH1302" i="1"/>
  <c r="AR1302" i="1"/>
  <c r="Z1303" i="1"/>
  <c r="AH1303" i="1"/>
  <c r="AR1303" i="1"/>
  <c r="Z1304" i="1"/>
  <c r="AH1304" i="1"/>
  <c r="AR1304" i="1"/>
  <c r="Z1305" i="1"/>
  <c r="AH1305" i="1"/>
  <c r="AR1305" i="1"/>
  <c r="Z1306" i="1"/>
  <c r="AH1306" i="1"/>
  <c r="AR1306" i="1"/>
  <c r="BA1304" i="1"/>
  <c r="Z1292" i="1"/>
  <c r="AH1292" i="1"/>
  <c r="AR1292" i="1"/>
  <c r="Z1295" i="1"/>
  <c r="AH1295" i="1"/>
  <c r="AR1295" i="1"/>
  <c r="AZ1295" i="1"/>
  <c r="Z1300" i="1"/>
  <c r="AH1300" i="1"/>
  <c r="AR1300" i="1"/>
  <c r="AZ1300" i="1"/>
  <c r="AI1025" i="1"/>
  <c r="Z1030" i="1"/>
  <c r="AH1030" i="1"/>
  <c r="AR1030" i="1"/>
  <c r="Z1051" i="1"/>
  <c r="AH1051" i="1"/>
  <c r="AR1051" i="1"/>
  <c r="Z1108" i="1"/>
  <c r="AH1108" i="1"/>
  <c r="AR1108" i="1"/>
  <c r="Z1110" i="1"/>
  <c r="AH1110" i="1"/>
  <c r="AR1110" i="1"/>
  <c r="Z1144" i="1"/>
  <c r="AH1144" i="1"/>
  <c r="AR1144" i="1"/>
  <c r="Z1146" i="1"/>
  <c r="AH1146" i="1"/>
  <c r="AR1146" i="1"/>
  <c r="Z1148" i="1"/>
  <c r="AH1148" i="1"/>
  <c r="AR1148" i="1"/>
  <c r="Z1284" i="1"/>
  <c r="AH1284" i="1"/>
  <c r="AR1284" i="1"/>
  <c r="Z1286" i="1"/>
  <c r="AH1286" i="1"/>
  <c r="AR1286" i="1"/>
  <c r="Z1288" i="1"/>
  <c r="AH1288" i="1"/>
  <c r="AR1288" i="1"/>
  <c r="Z1028" i="1"/>
  <c r="AR1028" i="1"/>
  <c r="BA1303" i="1"/>
  <c r="AZ1305" i="1"/>
  <c r="AZ1306" i="1"/>
  <c r="AZ1303" i="1"/>
  <c r="BA1306" i="1"/>
  <c r="BA1302" i="1"/>
  <c r="AY249" i="1"/>
  <c r="AV249" i="1"/>
  <c r="AT249" i="1"/>
  <c r="AQ249" i="1"/>
  <c r="AP249" i="1"/>
  <c r="AN249" i="1"/>
  <c r="AL249" i="1"/>
  <c r="AG249" i="1"/>
  <c r="AD249" i="1"/>
  <c r="X249" i="1"/>
  <c r="V249" i="1"/>
  <c r="AY254" i="1"/>
  <c r="AX254" i="1"/>
  <c r="AV254" i="1"/>
  <c r="AT254" i="1"/>
  <c r="AQ254" i="1"/>
  <c r="AP254" i="1"/>
  <c r="AN254" i="1"/>
  <c r="AL254" i="1"/>
  <c r="AG254" i="1"/>
  <c r="AD254" i="1"/>
  <c r="V254" i="1"/>
  <c r="AY265" i="1"/>
  <c r="AX265" i="1"/>
  <c r="AV265" i="1"/>
  <c r="AT265" i="1"/>
  <c r="AQ265" i="1"/>
  <c r="AN265" i="1"/>
  <c r="AL265" i="1"/>
  <c r="AG265" i="1"/>
  <c r="AD265" i="1"/>
  <c r="AB265" i="1"/>
  <c r="V265" i="1"/>
  <c r="AY264" i="1"/>
  <c r="AX264" i="1"/>
  <c r="AV264" i="1"/>
  <c r="AT264" i="1"/>
  <c r="AQ264" i="1"/>
  <c r="AP264" i="1"/>
  <c r="AN264" i="1"/>
  <c r="AL264" i="1"/>
  <c r="AG264" i="1"/>
  <c r="AD264" i="1"/>
  <c r="AB264" i="1"/>
  <c r="V264" i="1"/>
  <c r="AY263" i="1"/>
  <c r="AX263" i="1"/>
  <c r="AV263" i="1"/>
  <c r="AT263" i="1"/>
  <c r="AQ263" i="1"/>
  <c r="AP263" i="1"/>
  <c r="AN263" i="1"/>
  <c r="AL263" i="1"/>
  <c r="AG263" i="1"/>
  <c r="AB263" i="1"/>
  <c r="V263" i="1"/>
  <c r="AZ764" i="1" l="1"/>
  <c r="AZ1378" i="1" s="1"/>
  <c r="BA265" i="1"/>
  <c r="Q1306" i="1"/>
  <c r="Q1303" i="1"/>
  <c r="Q1305" i="1"/>
  <c r="Q1304" i="1"/>
  <c r="AY1377" i="1"/>
  <c r="AY1378" i="1"/>
  <c r="AY1379" i="1"/>
  <c r="AT1380" i="1"/>
  <c r="AT1381" i="1" s="1"/>
  <c r="AX1380" i="1"/>
  <c r="AX1381" i="1" s="1"/>
  <c r="AV1380" i="1"/>
  <c r="AV1381" i="1" s="1"/>
  <c r="AJ1028" i="1"/>
  <c r="AT874" i="1"/>
  <c r="AT931" i="1" s="1"/>
  <c r="AT1322" i="1" s="1"/>
  <c r="AV1024" i="1"/>
  <c r="BA1301" i="1"/>
  <c r="AJ1295" i="1"/>
  <c r="AH1301" i="1"/>
  <c r="AI1301" i="1"/>
  <c r="Q1302" i="1"/>
  <c r="BB1292" i="1"/>
  <c r="AR1301" i="1"/>
  <c r="AJ1286" i="1"/>
  <c r="AJ1146" i="1"/>
  <c r="AJ1288" i="1"/>
  <c r="AJ1133" i="1"/>
  <c r="AJ1292" i="1"/>
  <c r="Z1301" i="1"/>
  <c r="AX874" i="1"/>
  <c r="AX931" i="1" s="1"/>
  <c r="AX1322" i="1" s="1"/>
  <c r="AJ1285" i="1"/>
  <c r="AJ1145" i="1"/>
  <c r="AJ1118" i="1"/>
  <c r="AX1024" i="1"/>
  <c r="AZ1301" i="1"/>
  <c r="AJ1284" i="1"/>
  <c r="AJ1148" i="1"/>
  <c r="AJ1144" i="1"/>
  <c r="AJ1110" i="1"/>
  <c r="AJ1051" i="1"/>
  <c r="AI1291" i="1"/>
  <c r="AJ1290" i="1"/>
  <c r="AJ1109" i="1"/>
  <c r="AJ1147" i="1"/>
  <c r="AJ1052" i="1"/>
  <c r="AJ1287" i="1"/>
  <c r="AJ1282" i="1"/>
  <c r="AT1024" i="1"/>
  <c r="AJ1108" i="1"/>
  <c r="AJ1030" i="1"/>
  <c r="AJ1107" i="1"/>
  <c r="AJ1111" i="1"/>
  <c r="AY874" i="1"/>
  <c r="AH1291" i="1"/>
  <c r="AJ1050" i="1"/>
  <c r="AJ1025" i="1"/>
  <c r="Z1291" i="1"/>
  <c r="AZ869" i="1"/>
  <c r="AZ1379" i="1" s="1"/>
  <c r="AV874" i="1"/>
  <c r="AV931" i="1" s="1"/>
  <c r="AV1322" i="1" s="1"/>
  <c r="AZ737" i="1"/>
  <c r="AZ1377" i="1" s="1"/>
  <c r="AR1291" i="1"/>
  <c r="Q1292" i="1"/>
  <c r="Q1300" i="1"/>
  <c r="Q1295" i="1"/>
  <c r="BB1302" i="1"/>
  <c r="BB1304" i="1"/>
  <c r="BA264" i="1"/>
  <c r="BA254" i="1"/>
  <c r="AJ1306" i="1"/>
  <c r="AJ1304" i="1"/>
  <c r="AJ1302" i="1"/>
  <c r="BA263" i="1"/>
  <c r="BB1300" i="1"/>
  <c r="AJ1300" i="1"/>
  <c r="BB1295" i="1"/>
  <c r="AJ1305" i="1"/>
  <c r="AJ1303" i="1"/>
  <c r="BB1306" i="1"/>
  <c r="BB1303" i="1"/>
  <c r="BB1305" i="1"/>
  <c r="AH249" i="1"/>
  <c r="AH263" i="1"/>
  <c r="AR263" i="1"/>
  <c r="AR264" i="1"/>
  <c r="AH265" i="1"/>
  <c r="AR265" i="1"/>
  <c r="AH254" i="1"/>
  <c r="AR254" i="1"/>
  <c r="AZ263" i="1"/>
  <c r="AZ265" i="1"/>
  <c r="AZ254" i="1"/>
  <c r="BA249" i="1"/>
  <c r="AZ249" i="1"/>
  <c r="AR249" i="1"/>
  <c r="AZ264" i="1"/>
  <c r="AH264" i="1"/>
  <c r="AT1382" i="1" l="1"/>
  <c r="AX1382" i="1"/>
  <c r="AV1382" i="1"/>
  <c r="R1292" i="1"/>
  <c r="BB1301" i="1"/>
  <c r="AJ1301" i="1"/>
  <c r="AJ1291" i="1"/>
  <c r="Q1301" i="1"/>
  <c r="R1304" i="1"/>
  <c r="BB263" i="1"/>
  <c r="R1306" i="1"/>
  <c r="R1302" i="1"/>
  <c r="R1305" i="1"/>
  <c r="R1295" i="1"/>
  <c r="R1300" i="1"/>
  <c r="BB254" i="1"/>
  <c r="R1303" i="1"/>
  <c r="BB264" i="1"/>
  <c r="BB249" i="1"/>
  <c r="BB265" i="1"/>
  <c r="R1301" i="1" l="1"/>
  <c r="AT132" i="1"/>
  <c r="AB978" i="1" l="1"/>
  <c r="X978" i="1"/>
  <c r="T1001" i="1"/>
  <c r="V1001" i="1"/>
  <c r="X1001" i="1"/>
  <c r="Y1001" i="1"/>
  <c r="AB1001" i="1"/>
  <c r="AD1001" i="1"/>
  <c r="AG1001" i="1"/>
  <c r="AL1001" i="1"/>
  <c r="AN1001" i="1"/>
  <c r="AP1001" i="1"/>
  <c r="AQ1001" i="1"/>
  <c r="AY1001" i="1"/>
  <c r="AY978" i="1"/>
  <c r="AQ978" i="1"/>
  <c r="AP978" i="1"/>
  <c r="AN978" i="1"/>
  <c r="AL978" i="1"/>
  <c r="AG978" i="1"/>
  <c r="AD978" i="1"/>
  <c r="Y978" i="1"/>
  <c r="V978" i="1"/>
  <c r="AY977" i="1"/>
  <c r="AQ977" i="1"/>
  <c r="AP977" i="1"/>
  <c r="AN977" i="1"/>
  <c r="AL977" i="1"/>
  <c r="AG977" i="1"/>
  <c r="AD977" i="1"/>
  <c r="AB977" i="1"/>
  <c r="Y977" i="1"/>
  <c r="X977" i="1"/>
  <c r="V977" i="1"/>
  <c r="T977" i="1"/>
  <c r="AY976" i="1"/>
  <c r="AQ976" i="1"/>
  <c r="AG976" i="1"/>
  <c r="Y976" i="1"/>
  <c r="AN976" i="1"/>
  <c r="AD976" i="1"/>
  <c r="V976" i="1"/>
  <c r="AY975" i="1"/>
  <c r="AQ975" i="1"/>
  <c r="AG975" i="1"/>
  <c r="Y975" i="1"/>
  <c r="AN975" i="1"/>
  <c r="AB975" i="1"/>
  <c r="V975" i="1"/>
  <c r="AY974" i="1"/>
  <c r="AQ974" i="1"/>
  <c r="AP974" i="1"/>
  <c r="AN974" i="1"/>
  <c r="AL974" i="1"/>
  <c r="AG974" i="1"/>
  <c r="Y974" i="1"/>
  <c r="AD974" i="1"/>
  <c r="X974" i="1"/>
  <c r="AY973" i="1"/>
  <c r="AQ973" i="1"/>
  <c r="AP973" i="1"/>
  <c r="AN973" i="1"/>
  <c r="AL973" i="1"/>
  <c r="AG973" i="1"/>
  <c r="Y973" i="1"/>
  <c r="AB973" i="1"/>
  <c r="X973" i="1"/>
  <c r="AI974" i="1" l="1"/>
  <c r="AI977" i="1"/>
  <c r="BA1001" i="1"/>
  <c r="AI973" i="1"/>
  <c r="BA977" i="1"/>
  <c r="BA973" i="1"/>
  <c r="BA974" i="1"/>
  <c r="BA976" i="1"/>
  <c r="AR974" i="1"/>
  <c r="AZ974" i="1"/>
  <c r="AI975" i="1"/>
  <c r="AI976" i="1"/>
  <c r="AR1001" i="1"/>
  <c r="Z1001" i="1"/>
  <c r="AI1001" i="1"/>
  <c r="AZ1001" i="1"/>
  <c r="BA978" i="1"/>
  <c r="AZ975" i="1"/>
  <c r="AB976" i="1"/>
  <c r="AI978" i="1"/>
  <c r="AH1001" i="1"/>
  <c r="T978" i="1"/>
  <c r="Z978" i="1" s="1"/>
  <c r="AR973" i="1"/>
  <c r="AZ973" i="1"/>
  <c r="V973" i="1"/>
  <c r="AP975" i="1"/>
  <c r="T975" i="1"/>
  <c r="AL975" i="1"/>
  <c r="BA975" i="1"/>
  <c r="AZ976" i="1"/>
  <c r="Z977" i="1"/>
  <c r="AH977" i="1"/>
  <c r="AR977" i="1"/>
  <c r="AZ977" i="1"/>
  <c r="AH978" i="1"/>
  <c r="AR978" i="1"/>
  <c r="AZ978" i="1"/>
  <c r="V974" i="1"/>
  <c r="X975" i="1"/>
  <c r="AB974" i="1"/>
  <c r="AH974" i="1" s="1"/>
  <c r="AD975" i="1"/>
  <c r="T973" i="1"/>
  <c r="AD973" i="1"/>
  <c r="T974" i="1"/>
  <c r="T976" i="1"/>
  <c r="X976" i="1"/>
  <c r="AL976" i="1"/>
  <c r="AP976" i="1"/>
  <c r="Q976" i="1" l="1"/>
  <c r="Q1001" i="1"/>
  <c r="Q978" i="1"/>
  <c r="Q973" i="1"/>
  <c r="Q977" i="1"/>
  <c r="Q975" i="1"/>
  <c r="Q974" i="1"/>
  <c r="AJ978" i="1"/>
  <c r="AJ977" i="1"/>
  <c r="AJ1001" i="1"/>
  <c r="AH973" i="1"/>
  <c r="AR975" i="1"/>
  <c r="BB975" i="1" s="1"/>
  <c r="AH976" i="1"/>
  <c r="BB974" i="1"/>
  <c r="Z974" i="1"/>
  <c r="AJ974" i="1" s="1"/>
  <c r="BB1001" i="1"/>
  <c r="Z975" i="1"/>
  <c r="BB973" i="1"/>
  <c r="AH975" i="1"/>
  <c r="AR976" i="1"/>
  <c r="BB976" i="1" s="1"/>
  <c r="Z976" i="1"/>
  <c r="Z973" i="1"/>
  <c r="BB978" i="1"/>
  <c r="BB977" i="1"/>
  <c r="AJ976" i="1" l="1"/>
  <c r="R976" i="1" s="1"/>
  <c r="AJ973" i="1"/>
  <c r="AJ975" i="1"/>
  <c r="R975" i="1" s="1"/>
  <c r="R1001" i="1"/>
  <c r="R974" i="1"/>
  <c r="R977" i="1"/>
  <c r="R978" i="1"/>
  <c r="R973" i="1" l="1"/>
  <c r="AY877" i="1"/>
  <c r="AQ877" i="1"/>
  <c r="AN877" i="1"/>
  <c r="AL877" i="1"/>
  <c r="AG877" i="1"/>
  <c r="AD877" i="1"/>
  <c r="AB877" i="1"/>
  <c r="Y877" i="1"/>
  <c r="X877" i="1"/>
  <c r="V877" i="1"/>
  <c r="T877" i="1"/>
  <c r="AQ645" i="1"/>
  <c r="AP645" i="1"/>
  <c r="AN645" i="1"/>
  <c r="AL645" i="1"/>
  <c r="AG645" i="1"/>
  <c r="AD645" i="1"/>
  <c r="AB645" i="1"/>
  <c r="Y645" i="1"/>
  <c r="X645" i="1"/>
  <c r="V645" i="1"/>
  <c r="T645" i="1"/>
  <c r="Z645" i="1" l="1"/>
  <c r="AI645" i="1"/>
  <c r="AZ877" i="1"/>
  <c r="AH645" i="1"/>
  <c r="BA645" i="1"/>
  <c r="AI877" i="1"/>
  <c r="BA877" i="1"/>
  <c r="AH877" i="1"/>
  <c r="AR645" i="1"/>
  <c r="Z877" i="1"/>
  <c r="AR877" i="1"/>
  <c r="V141" i="1"/>
  <c r="AJ877" i="1" l="1"/>
  <c r="Q645" i="1"/>
  <c r="Q877" i="1"/>
  <c r="AJ645" i="1"/>
  <c r="BB877" i="1"/>
  <c r="BB645" i="1"/>
  <c r="V961" i="1"/>
  <c r="X961" i="1"/>
  <c r="AB961" i="1"/>
  <c r="AD961" i="1"/>
  <c r="AG961" i="1"/>
  <c r="AL961" i="1"/>
  <c r="AN961" i="1"/>
  <c r="AP961" i="1"/>
  <c r="AQ961" i="1"/>
  <c r="AY961" i="1"/>
  <c r="V959" i="1"/>
  <c r="X959" i="1"/>
  <c r="AB959" i="1"/>
  <c r="AD959" i="1"/>
  <c r="AL959" i="1"/>
  <c r="AN959" i="1"/>
  <c r="AP959" i="1"/>
  <c r="R877" i="1" l="1"/>
  <c r="R645" i="1"/>
  <c r="Z961" i="1"/>
  <c r="AZ961" i="1"/>
  <c r="AZ959" i="1"/>
  <c r="BA961" i="1"/>
  <c r="AR961" i="1"/>
  <c r="Z959" i="1"/>
  <c r="BA959" i="1"/>
  <c r="AR959" i="1"/>
  <c r="AH961" i="1"/>
  <c r="AI961" i="1"/>
  <c r="AH959" i="1"/>
  <c r="AI959" i="1"/>
  <c r="Q961" i="1" l="1"/>
  <c r="Q959" i="1"/>
  <c r="AJ961" i="1"/>
  <c r="AJ959" i="1"/>
  <c r="BB961" i="1"/>
  <c r="BB959" i="1"/>
  <c r="R961" i="1" l="1"/>
  <c r="R959" i="1"/>
  <c r="AY140" i="1"/>
  <c r="AX140" i="1"/>
  <c r="AV140" i="1"/>
  <c r="AT140" i="1"/>
  <c r="AQ140" i="1"/>
  <c r="AN140" i="1"/>
  <c r="AL140" i="1"/>
  <c r="AG140" i="1"/>
  <c r="AD140" i="1"/>
  <c r="X140" i="1"/>
  <c r="V140" i="1"/>
  <c r="BA140" i="1" l="1"/>
  <c r="AZ140" i="1"/>
  <c r="AR140" i="1"/>
  <c r="AH140" i="1"/>
  <c r="BB140" i="1" l="1"/>
  <c r="AP609" i="1" l="1"/>
  <c r="AP291" i="1"/>
  <c r="AP274" i="1"/>
  <c r="AP593" i="1"/>
  <c r="AP591" i="1"/>
  <c r="AP576" i="1"/>
  <c r="AP573" i="1"/>
  <c r="AP565" i="1"/>
  <c r="AP556" i="1"/>
  <c r="AP1005" i="1"/>
  <c r="AP1006" i="1"/>
  <c r="AP968" i="1"/>
  <c r="AP766" i="1"/>
  <c r="AP765" i="1"/>
  <c r="AP620" i="1"/>
  <c r="AP616" i="1"/>
  <c r="AP615" i="1"/>
  <c r="AP614" i="1"/>
  <c r="AP613" i="1"/>
  <c r="AP611" i="1"/>
  <c r="AP610" i="1"/>
  <c r="AP608" i="1"/>
  <c r="AP607" i="1"/>
  <c r="AP592" i="1"/>
  <c r="AP590" i="1"/>
  <c r="AP578" i="1"/>
  <c r="AP577" i="1"/>
  <c r="AP575" i="1"/>
  <c r="AP571" i="1"/>
  <c r="AP568" i="1"/>
  <c r="AP567" i="1"/>
  <c r="AP564" i="1"/>
  <c r="AP562" i="1"/>
  <c r="AP561" i="1"/>
  <c r="AP560" i="1"/>
  <c r="AP559" i="1"/>
  <c r="AP558" i="1"/>
  <c r="AP555" i="1"/>
  <c r="AP554" i="1"/>
  <c r="AP553" i="1"/>
  <c r="AP552" i="1"/>
  <c r="AP549" i="1"/>
  <c r="AP293" i="1"/>
  <c r="AP292" i="1"/>
  <c r="AP283" i="1"/>
  <c r="AP276" i="1"/>
  <c r="AP275" i="1"/>
  <c r="AP269" i="1"/>
  <c r="AP273" i="1"/>
  <c r="AP268" i="1"/>
  <c r="AP258" i="1"/>
  <c r="AP257" i="1"/>
  <c r="AP256" i="1"/>
  <c r="AP255" i="1"/>
  <c r="AP262" i="1"/>
  <c r="AP261" i="1"/>
  <c r="AP260" i="1"/>
  <c r="AP259" i="1"/>
  <c r="AP180" i="1"/>
  <c r="AP179" i="1"/>
  <c r="AP178" i="1"/>
  <c r="AP177" i="1"/>
  <c r="AP148" i="1"/>
  <c r="AP147" i="1"/>
  <c r="AP146" i="1"/>
  <c r="AP145" i="1"/>
  <c r="AP176" i="1"/>
  <c r="AP175" i="1"/>
  <c r="AP277" i="1"/>
  <c r="AP174" i="1"/>
  <c r="AP245" i="1"/>
  <c r="AP215" i="1"/>
  <c r="AP199" i="1"/>
  <c r="AP442" i="1" l="1"/>
  <c r="AP1023" i="1"/>
  <c r="AP623" i="1"/>
  <c r="AP284" i="1"/>
  <c r="AP149" i="1"/>
  <c r="AP281" i="1"/>
  <c r="AP1367" i="1" s="1"/>
  <c r="AP572" i="1"/>
  <c r="AP612" i="1"/>
  <c r="AP869" i="1"/>
  <c r="AP1379" i="1" s="1"/>
  <c r="AP250" i="1"/>
  <c r="AP267" i="1"/>
  <c r="AP1365" i="1" s="1"/>
  <c r="AP1366" i="1" s="1"/>
  <c r="AP594" i="1"/>
  <c r="AP1374" i="1" s="1"/>
  <c r="AQ215" i="1"/>
  <c r="AP519" i="1"/>
  <c r="AP1373" i="1" l="1"/>
  <c r="AP1376" i="1" s="1"/>
  <c r="AP1362" i="1"/>
  <c r="AP1363" i="1" s="1"/>
  <c r="AP626" i="1"/>
  <c r="AP1385" i="1" s="1"/>
  <c r="AP282" i="1"/>
  <c r="AY1282" i="1"/>
  <c r="AY1100" i="1"/>
  <c r="AY1111" i="1"/>
  <c r="AY1110" i="1"/>
  <c r="AY1109" i="1"/>
  <c r="AY1108" i="1"/>
  <c r="AY1107" i="1"/>
  <c r="AY1148" i="1"/>
  <c r="BA1148" i="1" l="1"/>
  <c r="BA1100" i="1"/>
  <c r="BA1107" i="1"/>
  <c r="BA1111" i="1"/>
  <c r="BA1110" i="1"/>
  <c r="BA1109" i="1"/>
  <c r="BA1282" i="1"/>
  <c r="BA1108" i="1"/>
  <c r="AZ1110" i="1"/>
  <c r="AZ1100" i="1"/>
  <c r="AZ1111" i="1"/>
  <c r="AZ1109" i="1"/>
  <c r="AZ1108" i="1"/>
  <c r="AZ1107" i="1"/>
  <c r="AZ1148" i="1"/>
  <c r="AY1051" i="1"/>
  <c r="AY215" i="1"/>
  <c r="AX215" i="1"/>
  <c r="AV215" i="1"/>
  <c r="AT215" i="1"/>
  <c r="AN215" i="1"/>
  <c r="AL215" i="1"/>
  <c r="AG215" i="1"/>
  <c r="AD215" i="1"/>
  <c r="X215" i="1"/>
  <c r="V215" i="1"/>
  <c r="AY536" i="1"/>
  <c r="AX536" i="1"/>
  <c r="AX543" i="1" s="1"/>
  <c r="AV536" i="1"/>
  <c r="AV543" i="1" s="1"/>
  <c r="AT536" i="1"/>
  <c r="AT543" i="1" s="1"/>
  <c r="AQ536" i="1"/>
  <c r="AQ543" i="1" s="1"/>
  <c r="AP536" i="1"/>
  <c r="AP543" i="1" s="1"/>
  <c r="AL536" i="1"/>
  <c r="AL543" i="1" s="1"/>
  <c r="AG536" i="1"/>
  <c r="AD536" i="1"/>
  <c r="AD543" i="1" s="1"/>
  <c r="X536" i="1"/>
  <c r="X543" i="1" s="1"/>
  <c r="V536" i="1"/>
  <c r="V543" i="1" s="1"/>
  <c r="AY519" i="1"/>
  <c r="AX519" i="1"/>
  <c r="AV519" i="1"/>
  <c r="AT519" i="1"/>
  <c r="AQ519" i="1"/>
  <c r="AL519" i="1"/>
  <c r="AG519" i="1"/>
  <c r="AD519" i="1"/>
  <c r="AB519" i="1"/>
  <c r="AB535" i="1" s="1"/>
  <c r="X519" i="1"/>
  <c r="X535" i="1" s="1"/>
  <c r="AG543" i="1" l="1"/>
  <c r="AY543" i="1"/>
  <c r="AD1371" i="1"/>
  <c r="Q1282" i="1"/>
  <c r="Q1111" i="1"/>
  <c r="Q1107" i="1"/>
  <c r="Q1109" i="1"/>
  <c r="Q1100" i="1"/>
  <c r="Q1108" i="1"/>
  <c r="Q1110" i="1"/>
  <c r="Q1148" i="1"/>
  <c r="BA215" i="1"/>
  <c r="AB1370" i="1"/>
  <c r="BB1108" i="1"/>
  <c r="R1108" i="1" s="1"/>
  <c r="BA1051" i="1"/>
  <c r="AR215" i="1"/>
  <c r="BA519" i="1"/>
  <c r="BA536" i="1"/>
  <c r="AH215" i="1"/>
  <c r="BB1282" i="1"/>
  <c r="R1282" i="1" s="1"/>
  <c r="AZ215" i="1"/>
  <c r="BB1111" i="1"/>
  <c r="R1111" i="1" s="1"/>
  <c r="BB1109" i="1"/>
  <c r="R1109" i="1" s="1"/>
  <c r="BB1100" i="1"/>
  <c r="R1100" i="1" s="1"/>
  <c r="BB1110" i="1"/>
  <c r="R1110" i="1" s="1"/>
  <c r="BB1107" i="1"/>
  <c r="R1107" i="1" s="1"/>
  <c r="BB1148" i="1"/>
  <c r="R1148" i="1" s="1"/>
  <c r="AZ1051" i="1"/>
  <c r="AH519" i="1"/>
  <c r="AR519" i="1"/>
  <c r="AZ519" i="1"/>
  <c r="AH536" i="1"/>
  <c r="AH543" i="1" s="1"/>
  <c r="AR536" i="1"/>
  <c r="AR543" i="1" s="1"/>
  <c r="AZ536" i="1"/>
  <c r="AZ543" i="1" s="1"/>
  <c r="BA543" i="1" l="1"/>
  <c r="Q1051" i="1"/>
  <c r="AQ1371" i="1"/>
  <c r="BB215" i="1"/>
  <c r="BB1051" i="1"/>
  <c r="R1051" i="1" s="1"/>
  <c r="BB519" i="1"/>
  <c r="BB536" i="1"/>
  <c r="BB543" i="1" s="1"/>
  <c r="AY142" i="1" l="1"/>
  <c r="AQ142" i="1"/>
  <c r="AQ141" i="1"/>
  <c r="AN131" i="1" l="1"/>
  <c r="AN9" i="1"/>
  <c r="AN8" i="1"/>
  <c r="AN293" i="1"/>
  <c r="AN80" i="1"/>
  <c r="AN30" i="1"/>
  <c r="AN15" i="1"/>
  <c r="AQ694" i="1"/>
  <c r="AP694" i="1"/>
  <c r="AN694" i="1"/>
  <c r="AL694" i="1"/>
  <c r="AG694" i="1"/>
  <c r="AD694" i="1"/>
  <c r="AB694" i="1"/>
  <c r="X694" i="1"/>
  <c r="V694" i="1"/>
  <c r="BA694" i="1" l="1"/>
  <c r="AH694" i="1"/>
  <c r="AR694" i="1"/>
  <c r="AY448" i="1"/>
  <c r="AX448" i="1"/>
  <c r="AV448" i="1"/>
  <c r="AT448" i="1"/>
  <c r="AQ448" i="1"/>
  <c r="AN448" i="1"/>
  <c r="AL448" i="1"/>
  <c r="AG448" i="1"/>
  <c r="AB448" i="1"/>
  <c r="X448" i="1"/>
  <c r="V448" i="1"/>
  <c r="AY447" i="1"/>
  <c r="AX447" i="1"/>
  <c r="AV447" i="1"/>
  <c r="AT447" i="1"/>
  <c r="AQ447" i="1"/>
  <c r="AN447" i="1"/>
  <c r="AL447" i="1"/>
  <c r="AG447" i="1"/>
  <c r="AD447" i="1"/>
  <c r="AB447" i="1"/>
  <c r="X447" i="1"/>
  <c r="V447" i="1"/>
  <c r="AY446" i="1"/>
  <c r="AX446" i="1"/>
  <c r="AV446" i="1"/>
  <c r="AT446" i="1"/>
  <c r="AQ446" i="1"/>
  <c r="AN446" i="1"/>
  <c r="AL446" i="1"/>
  <c r="AG446" i="1"/>
  <c r="AB446" i="1"/>
  <c r="V446" i="1"/>
  <c r="AY1050" i="1"/>
  <c r="BA1050" i="1" l="1"/>
  <c r="BA448" i="1"/>
  <c r="BA447" i="1"/>
  <c r="BA446" i="1"/>
  <c r="BB694" i="1"/>
  <c r="AZ448" i="1"/>
  <c r="AZ447" i="1"/>
  <c r="AZ446" i="1"/>
  <c r="AR448" i="1"/>
  <c r="AR447" i="1"/>
  <c r="AH447" i="1"/>
  <c r="AH448" i="1"/>
  <c r="AR446" i="1"/>
  <c r="AH446" i="1"/>
  <c r="AZ1050" i="1"/>
  <c r="Q1050" i="1" l="1"/>
  <c r="BB447" i="1"/>
  <c r="BB448" i="1"/>
  <c r="BB446" i="1"/>
  <c r="BB1050" i="1"/>
  <c r="R1050" i="1" s="1"/>
  <c r="AL174" i="1"/>
  <c r="AL20" i="1"/>
  <c r="AY245" i="1" l="1"/>
  <c r="AX245" i="1"/>
  <c r="AV245" i="1"/>
  <c r="AT245" i="1"/>
  <c r="AQ245" i="1"/>
  <c r="AN245" i="1"/>
  <c r="AL245" i="1"/>
  <c r="AG245" i="1"/>
  <c r="AD245" i="1"/>
  <c r="X245" i="1"/>
  <c r="V245" i="1"/>
  <c r="AY199" i="1"/>
  <c r="AX199" i="1"/>
  <c r="AV199" i="1"/>
  <c r="AT199" i="1"/>
  <c r="AQ199" i="1"/>
  <c r="AN199" i="1"/>
  <c r="AL199" i="1"/>
  <c r="AG199" i="1"/>
  <c r="AD199" i="1"/>
  <c r="X199" i="1"/>
  <c r="V199" i="1"/>
  <c r="AR199" i="1" l="1"/>
  <c r="AH199" i="1"/>
  <c r="BA245" i="1"/>
  <c r="BA199" i="1"/>
  <c r="AZ245" i="1"/>
  <c r="AZ199" i="1"/>
  <c r="AH245" i="1"/>
  <c r="AR245" i="1"/>
  <c r="BB199" i="1" l="1"/>
  <c r="BB245" i="1"/>
  <c r="AY578" i="1"/>
  <c r="AX578" i="1"/>
  <c r="AV578" i="1"/>
  <c r="AT578" i="1"/>
  <c r="AQ578" i="1"/>
  <c r="AN578" i="1"/>
  <c r="AL578" i="1"/>
  <c r="AG578" i="1"/>
  <c r="AD578" i="1"/>
  <c r="AB578" i="1"/>
  <c r="X578" i="1"/>
  <c r="V578" i="1"/>
  <c r="AY577" i="1"/>
  <c r="AX577" i="1"/>
  <c r="AV577" i="1"/>
  <c r="AT577" i="1"/>
  <c r="AQ577" i="1"/>
  <c r="AL577" i="1"/>
  <c r="AG577" i="1"/>
  <c r="AD577" i="1"/>
  <c r="AB577" i="1"/>
  <c r="X577" i="1"/>
  <c r="V577" i="1"/>
  <c r="AY1006" i="1"/>
  <c r="AQ1006" i="1"/>
  <c r="AN1006" i="1"/>
  <c r="AG1006" i="1"/>
  <c r="AD1006" i="1"/>
  <c r="AB1006" i="1"/>
  <c r="Y1006" i="1"/>
  <c r="X1006" i="1"/>
  <c r="V1006" i="1"/>
  <c r="T1006" i="1"/>
  <c r="AY1005" i="1"/>
  <c r="AQ1005" i="1"/>
  <c r="AN1005" i="1"/>
  <c r="AL1005" i="1"/>
  <c r="AL1023" i="1" s="1"/>
  <c r="AG1005" i="1"/>
  <c r="AD1005" i="1"/>
  <c r="AB1005" i="1"/>
  <c r="Y1005" i="1"/>
  <c r="X1005" i="1"/>
  <c r="V1005" i="1"/>
  <c r="T1005" i="1"/>
  <c r="AN1023" i="1" l="1"/>
  <c r="Y1023" i="1"/>
  <c r="T1023" i="1"/>
  <c r="AB1023" i="1"/>
  <c r="AQ1023" i="1"/>
  <c r="X1023" i="1"/>
  <c r="AG1023" i="1"/>
  <c r="V1023" i="1"/>
  <c r="AD1023" i="1"/>
  <c r="AY1023" i="1"/>
  <c r="AI1006" i="1"/>
  <c r="BA1005" i="1"/>
  <c r="BA1006" i="1"/>
  <c r="AI1005" i="1"/>
  <c r="BA578" i="1"/>
  <c r="BA577" i="1"/>
  <c r="Z1005" i="1"/>
  <c r="Z1006" i="1"/>
  <c r="AZ1005" i="1"/>
  <c r="AH577" i="1"/>
  <c r="AZ577" i="1"/>
  <c r="AH578" i="1"/>
  <c r="AZ578" i="1"/>
  <c r="AR1005" i="1"/>
  <c r="AR1006" i="1"/>
  <c r="AR577" i="1"/>
  <c r="AR578" i="1"/>
  <c r="AH1005" i="1"/>
  <c r="AH1006" i="1"/>
  <c r="AZ1006" i="1"/>
  <c r="BA1023" i="1" l="1"/>
  <c r="AH1023" i="1"/>
  <c r="AR1023" i="1"/>
  <c r="Z1023" i="1"/>
  <c r="AI1023" i="1"/>
  <c r="AZ1023" i="1"/>
  <c r="Q1005" i="1"/>
  <c r="Q1006" i="1"/>
  <c r="AJ1006" i="1"/>
  <c r="AJ1005" i="1"/>
  <c r="BB1006" i="1"/>
  <c r="BB1005" i="1"/>
  <c r="BB578" i="1"/>
  <c r="BB577" i="1"/>
  <c r="Q1023" i="1" l="1"/>
  <c r="AJ1023" i="1"/>
  <c r="BB1023" i="1"/>
  <c r="R1006" i="1"/>
  <c r="R1005" i="1"/>
  <c r="AQ750" i="1"/>
  <c r="AP750" i="1"/>
  <c r="AN750" i="1"/>
  <c r="AL750" i="1"/>
  <c r="AG750" i="1"/>
  <c r="X750" i="1"/>
  <c r="V750" i="1"/>
  <c r="AQ746" i="1"/>
  <c r="AP746" i="1"/>
  <c r="AN746" i="1"/>
  <c r="AL746" i="1"/>
  <c r="AG746" i="1"/>
  <c r="AB746" i="1"/>
  <c r="X746" i="1"/>
  <c r="V746" i="1"/>
  <c r="AY1288" i="1"/>
  <c r="AY1145" i="1"/>
  <c r="AY1144" i="1"/>
  <c r="AY983" i="1"/>
  <c r="AQ983" i="1"/>
  <c r="AP983" i="1"/>
  <c r="AN983" i="1"/>
  <c r="AL983" i="1"/>
  <c r="AG983" i="1"/>
  <c r="AD983" i="1"/>
  <c r="AB983" i="1"/>
  <c r="Y983" i="1"/>
  <c r="X983" i="1"/>
  <c r="V983" i="1"/>
  <c r="T983" i="1"/>
  <c r="AY984" i="1"/>
  <c r="AQ984" i="1"/>
  <c r="AP984" i="1"/>
  <c r="AN984" i="1"/>
  <c r="AL984" i="1"/>
  <c r="AG984" i="1"/>
  <c r="AD984" i="1"/>
  <c r="AB984" i="1"/>
  <c r="Y984" i="1"/>
  <c r="X984" i="1"/>
  <c r="V984" i="1"/>
  <c r="T984" i="1"/>
  <c r="AY995" i="1"/>
  <c r="AQ995" i="1"/>
  <c r="AP995" i="1"/>
  <c r="AN995" i="1"/>
  <c r="AL995" i="1"/>
  <c r="AG995" i="1"/>
  <c r="AD995" i="1"/>
  <c r="AB995" i="1"/>
  <c r="Y995" i="1"/>
  <c r="X995" i="1"/>
  <c r="V995" i="1"/>
  <c r="T995" i="1"/>
  <c r="AY617" i="1"/>
  <c r="AX617" i="1"/>
  <c r="AV617" i="1"/>
  <c r="AT617" i="1"/>
  <c r="AQ617" i="1"/>
  <c r="AN617" i="1"/>
  <c r="AL617" i="1"/>
  <c r="AD617" i="1"/>
  <c r="AB617" i="1"/>
  <c r="X617" i="1"/>
  <c r="V617" i="1"/>
  <c r="AX535" i="1"/>
  <c r="AV535" i="1"/>
  <c r="AP535" i="1"/>
  <c r="AL535" i="1"/>
  <c r="AD535" i="1"/>
  <c r="AY33" i="1"/>
  <c r="AX33" i="1"/>
  <c r="AV33" i="1"/>
  <c r="AT33" i="1"/>
  <c r="AQ33" i="1"/>
  <c r="AN33" i="1"/>
  <c r="AL33" i="1"/>
  <c r="AG33" i="1"/>
  <c r="AD33" i="1"/>
  <c r="X33" i="1"/>
  <c r="V33" i="1"/>
  <c r="AY135" i="1"/>
  <c r="AX135" i="1"/>
  <c r="AV135" i="1"/>
  <c r="AT135" i="1"/>
  <c r="AQ135" i="1"/>
  <c r="AN135" i="1"/>
  <c r="AL135" i="1"/>
  <c r="AG135" i="1"/>
  <c r="AD135" i="1"/>
  <c r="X135" i="1"/>
  <c r="V135" i="1"/>
  <c r="R1023" i="1" l="1"/>
  <c r="AY535" i="1"/>
  <c r="AQ535" i="1"/>
  <c r="AG535" i="1"/>
  <c r="AT535" i="1"/>
  <c r="X1370" i="1"/>
  <c r="AL1370" i="1"/>
  <c r="V1370" i="1"/>
  <c r="AP1370" i="1"/>
  <c r="AX1370" i="1"/>
  <c r="AD1370" i="1"/>
  <c r="AV1370" i="1"/>
  <c r="BA746" i="1"/>
  <c r="BA750" i="1"/>
  <c r="BA617" i="1"/>
  <c r="AI984" i="1"/>
  <c r="BA984" i="1"/>
  <c r="BA1144" i="1"/>
  <c r="AR746" i="1"/>
  <c r="BB746" i="1" s="1"/>
  <c r="AZ1145" i="1"/>
  <c r="AZ1146" i="1"/>
  <c r="AZ617" i="1"/>
  <c r="AH995" i="1"/>
  <c r="AZ995" i="1"/>
  <c r="AZ984" i="1"/>
  <c r="Z995" i="1"/>
  <c r="AR995" i="1"/>
  <c r="BA983" i="1"/>
  <c r="BA1288" i="1"/>
  <c r="Z984" i="1"/>
  <c r="AR750" i="1"/>
  <c r="AR617" i="1"/>
  <c r="AR984" i="1"/>
  <c r="AH617" i="1"/>
  <c r="BA995" i="1"/>
  <c r="BA33" i="1"/>
  <c r="AZ1144" i="1"/>
  <c r="BA1145" i="1"/>
  <c r="BA1146" i="1"/>
  <c r="AZ1288" i="1"/>
  <c r="BA135" i="1"/>
  <c r="AI983" i="1"/>
  <c r="AH750" i="1"/>
  <c r="AH746" i="1"/>
  <c r="Z983" i="1"/>
  <c r="AH983" i="1"/>
  <c r="AR983" i="1"/>
  <c r="AZ983" i="1"/>
  <c r="AH984" i="1"/>
  <c r="AI995" i="1"/>
  <c r="AR135" i="1"/>
  <c r="AZ135" i="1"/>
  <c r="AR33" i="1"/>
  <c r="AZ33" i="1"/>
  <c r="AH535" i="1"/>
  <c r="AR535" i="1"/>
  <c r="AZ535" i="1"/>
  <c r="AH33" i="1"/>
  <c r="AH135" i="1"/>
  <c r="AT1370" i="1" l="1"/>
  <c r="Q1288" i="1"/>
  <c r="AY1370" i="1"/>
  <c r="Q1146" i="1"/>
  <c r="Q1145" i="1"/>
  <c r="Q1144" i="1"/>
  <c r="AQ1370" i="1"/>
  <c r="AG1370" i="1"/>
  <c r="BA535" i="1"/>
  <c r="AH1370" i="1"/>
  <c r="AR1370" i="1"/>
  <c r="AZ1370" i="1"/>
  <c r="Q983" i="1"/>
  <c r="Q984" i="1"/>
  <c r="Q995" i="1"/>
  <c r="AJ983" i="1"/>
  <c r="AJ995" i="1"/>
  <c r="AJ984" i="1"/>
  <c r="BB1146" i="1"/>
  <c r="R1146" i="1" s="1"/>
  <c r="BB1145" i="1"/>
  <c r="R1145" i="1" s="1"/>
  <c r="BB984" i="1"/>
  <c r="BB617" i="1"/>
  <c r="BB750" i="1"/>
  <c r="BB995" i="1"/>
  <c r="BB1288" i="1"/>
  <c r="R1288" i="1" s="1"/>
  <c r="BB535" i="1"/>
  <c r="BB33" i="1"/>
  <c r="BB1144" i="1"/>
  <c r="R1144" i="1" s="1"/>
  <c r="BB135" i="1"/>
  <c r="BB983" i="1"/>
  <c r="BA1370" i="1" l="1"/>
  <c r="BB1370" i="1"/>
  <c r="R983" i="1"/>
  <c r="R984" i="1"/>
  <c r="R995" i="1"/>
  <c r="AG142" i="1" l="1"/>
  <c r="AD30" i="1" l="1"/>
  <c r="AP982" i="1" l="1"/>
  <c r="AY1287" i="1"/>
  <c r="AY1285" i="1"/>
  <c r="BA1285" i="1" l="1"/>
  <c r="BA1287" i="1"/>
  <c r="AZ1287" i="1"/>
  <c r="AD180" i="1"/>
  <c r="AY180" i="1"/>
  <c r="AX180" i="1"/>
  <c r="AV180" i="1"/>
  <c r="AT180" i="1"/>
  <c r="AQ180" i="1"/>
  <c r="AN180" i="1"/>
  <c r="AL180" i="1"/>
  <c r="AG180" i="1"/>
  <c r="X180" i="1"/>
  <c r="V180" i="1"/>
  <c r="AY13" i="1"/>
  <c r="AV13" i="1"/>
  <c r="AT13" i="1"/>
  <c r="AQ13" i="1"/>
  <c r="AG13" i="1"/>
  <c r="AB13" i="1"/>
  <c r="X13" i="1"/>
  <c r="V13" i="1"/>
  <c r="Q1287" i="1" l="1"/>
  <c r="Q1285" i="1"/>
  <c r="BB1287" i="1"/>
  <c r="R1287" i="1" s="1"/>
  <c r="BB1285" i="1"/>
  <c r="R1285" i="1" s="1"/>
  <c r="AZ13" i="1"/>
  <c r="BA13" i="1"/>
  <c r="AR180" i="1"/>
  <c r="AZ180" i="1"/>
  <c r="AH13" i="1"/>
  <c r="BA180" i="1"/>
  <c r="AH180" i="1"/>
  <c r="AB1371" i="1"/>
  <c r="AQ689" i="1"/>
  <c r="AP689" i="1"/>
  <c r="AN689" i="1"/>
  <c r="AL689" i="1"/>
  <c r="AG689" i="1"/>
  <c r="AD689" i="1"/>
  <c r="AB689" i="1"/>
  <c r="X689" i="1"/>
  <c r="V689" i="1"/>
  <c r="AY994" i="1"/>
  <c r="AQ994" i="1"/>
  <c r="AP994" i="1"/>
  <c r="AN994" i="1"/>
  <c r="AL994" i="1"/>
  <c r="AG994" i="1"/>
  <c r="AD994" i="1"/>
  <c r="Y994" i="1"/>
  <c r="X994" i="1"/>
  <c r="V994" i="1"/>
  <c r="T994" i="1"/>
  <c r="AH689" i="1" l="1"/>
  <c r="AZ994" i="1"/>
  <c r="AH994" i="1"/>
  <c r="BA689" i="1"/>
  <c r="AR689" i="1"/>
  <c r="AR994" i="1"/>
  <c r="Z994" i="1"/>
  <c r="BA994" i="1"/>
  <c r="BB180" i="1"/>
  <c r="AI994" i="1"/>
  <c r="Q994" i="1" l="1"/>
  <c r="AJ994" i="1"/>
  <c r="BB994" i="1"/>
  <c r="BB689" i="1"/>
  <c r="X1314" i="1"/>
  <c r="X1313" i="1"/>
  <c r="X1312" i="1"/>
  <c r="X1311" i="1"/>
  <c r="X1309" i="1"/>
  <c r="X1310" i="1" s="1"/>
  <c r="X969" i="1"/>
  <c r="X968" i="1"/>
  <c r="X966" i="1"/>
  <c r="X766" i="1"/>
  <c r="X765" i="1"/>
  <c r="X607" i="1"/>
  <c r="X993" i="1"/>
  <c r="X1002" i="1" s="1"/>
  <c r="X960" i="1"/>
  <c r="X958" i="1"/>
  <c r="X888" i="1"/>
  <c r="X887" i="1"/>
  <c r="X876" i="1"/>
  <c r="X868" i="1"/>
  <c r="X686" i="1"/>
  <c r="X872" i="1"/>
  <c r="X871" i="1"/>
  <c r="X870" i="1"/>
  <c r="X756" i="1"/>
  <c r="X752" i="1"/>
  <c r="X747" i="1"/>
  <c r="X745" i="1"/>
  <c r="X744" i="1"/>
  <c r="X740" i="1"/>
  <c r="X630" i="1"/>
  <c r="X762" i="1"/>
  <c r="X739" i="1"/>
  <c r="X738" i="1"/>
  <c r="X736" i="1"/>
  <c r="X709" i="1"/>
  <c r="X710" i="1"/>
  <c r="X693" i="1"/>
  <c r="X692" i="1"/>
  <c r="X682" i="1"/>
  <c r="X655" i="1"/>
  <c r="X659" i="1"/>
  <c r="X657" i="1"/>
  <c r="X646" i="1"/>
  <c r="X644" i="1"/>
  <c r="X638" i="1"/>
  <c r="X634" i="1"/>
  <c r="X633" i="1"/>
  <c r="X631" i="1"/>
  <c r="X628" i="1"/>
  <c r="X627" i="1"/>
  <c r="X445" i="1"/>
  <c r="X443" i="1"/>
  <c r="X624" i="1"/>
  <c r="X625" i="1" s="1"/>
  <c r="X622" i="1"/>
  <c r="X620" i="1"/>
  <c r="X616" i="1"/>
  <c r="X615" i="1"/>
  <c r="X614" i="1"/>
  <c r="X613" i="1"/>
  <c r="X611" i="1"/>
  <c r="X610" i="1"/>
  <c r="X609" i="1"/>
  <c r="X608" i="1"/>
  <c r="X593" i="1"/>
  <c r="X592" i="1"/>
  <c r="X591" i="1"/>
  <c r="X590" i="1"/>
  <c r="X576" i="1"/>
  <c r="X575" i="1"/>
  <c r="X574" i="1"/>
  <c r="X573" i="1"/>
  <c r="X571" i="1"/>
  <c r="X568" i="1"/>
  <c r="X567" i="1"/>
  <c r="X566" i="1"/>
  <c r="X565" i="1"/>
  <c r="X564" i="1"/>
  <c r="X562" i="1"/>
  <c r="X561" i="1"/>
  <c r="X560" i="1"/>
  <c r="X559" i="1"/>
  <c r="X558" i="1"/>
  <c r="X556" i="1"/>
  <c r="X555" i="1"/>
  <c r="X554" i="1"/>
  <c r="X553" i="1"/>
  <c r="X552" i="1"/>
  <c r="X549" i="1"/>
  <c r="X293" i="1"/>
  <c r="X292" i="1"/>
  <c r="X291" i="1"/>
  <c r="X269" i="1"/>
  <c r="X179" i="1"/>
  <c r="X178" i="1"/>
  <c r="X177" i="1"/>
  <c r="X148" i="1"/>
  <c r="X147" i="1"/>
  <c r="X146" i="1"/>
  <c r="X145" i="1"/>
  <c r="X276" i="1"/>
  <c r="X274" i="1"/>
  <c r="X273" i="1"/>
  <c r="X268" i="1"/>
  <c r="X258" i="1"/>
  <c r="X257" i="1"/>
  <c r="X256" i="1"/>
  <c r="X255" i="1"/>
  <c r="X262" i="1"/>
  <c r="X261" i="1"/>
  <c r="X260" i="1"/>
  <c r="X259" i="1"/>
  <c r="X176" i="1"/>
  <c r="X175" i="1"/>
  <c r="X277" i="1"/>
  <c r="X174" i="1"/>
  <c r="X160" i="1"/>
  <c r="X158" i="1"/>
  <c r="X155" i="1"/>
  <c r="X154" i="1"/>
  <c r="X153" i="1"/>
  <c r="X152" i="1"/>
  <c r="X151" i="1"/>
  <c r="X150" i="1"/>
  <c r="X111" i="1"/>
  <c r="X115" i="1" s="1"/>
  <c r="X89" i="1"/>
  <c r="X81" i="1"/>
  <c r="X80" i="1"/>
  <c r="X71" i="1"/>
  <c r="X142" i="1"/>
  <c r="X141" i="1"/>
  <c r="X139" i="1"/>
  <c r="X138" i="1"/>
  <c r="X134" i="1"/>
  <c r="X133" i="1"/>
  <c r="X132" i="1"/>
  <c r="X131" i="1"/>
  <c r="X130" i="1"/>
  <c r="X129" i="1"/>
  <c r="X128" i="1"/>
  <c r="X126" i="1"/>
  <c r="X125" i="1"/>
  <c r="X124" i="1"/>
  <c r="X123" i="1"/>
  <c r="X122" i="1"/>
  <c r="X121" i="1"/>
  <c r="X120" i="1"/>
  <c r="X119" i="1"/>
  <c r="X118" i="1"/>
  <c r="X116" i="1"/>
  <c r="X32" i="1"/>
  <c r="X31" i="1"/>
  <c r="X30" i="1"/>
  <c r="X23" i="1"/>
  <c r="X22" i="1"/>
  <c r="X21" i="1"/>
  <c r="X20" i="1"/>
  <c r="X19" i="1"/>
  <c r="X15" i="1"/>
  <c r="X12" i="1"/>
  <c r="X11" i="1"/>
  <c r="X10" i="1"/>
  <c r="X9" i="1"/>
  <c r="X8" i="1"/>
  <c r="X7" i="1"/>
  <c r="X442" i="1" l="1"/>
  <c r="X468" i="1"/>
  <c r="X544" i="1" s="1"/>
  <c r="X70" i="1"/>
  <c r="X1359" i="1" s="1"/>
  <c r="X764" i="1"/>
  <c r="X1378" i="1" s="1"/>
  <c r="X972" i="1"/>
  <c r="X623" i="1"/>
  <c r="X1371" i="1"/>
  <c r="X873" i="1"/>
  <c r="X889" i="1"/>
  <c r="X1315" i="1"/>
  <c r="X28" i="1"/>
  <c r="X149" i="1"/>
  <c r="X612" i="1"/>
  <c r="X572" i="1"/>
  <c r="X737" i="1"/>
  <c r="X1377" i="1" s="1"/>
  <c r="X143" i="1"/>
  <c r="X1364" i="1" s="1"/>
  <c r="X869" i="1"/>
  <c r="X1379" i="1" s="1"/>
  <c r="X110" i="1"/>
  <c r="X1361" i="1" s="1"/>
  <c r="X267" i="1"/>
  <c r="X1365" i="1" s="1"/>
  <c r="X281" i="1"/>
  <c r="X1367" i="1" s="1"/>
  <c r="X594" i="1"/>
  <c r="X1374" i="1" s="1"/>
  <c r="R994" i="1"/>
  <c r="AY1314" i="1"/>
  <c r="AY1313" i="1"/>
  <c r="AY1312" i="1"/>
  <c r="AY1311" i="1"/>
  <c r="AY1309" i="1"/>
  <c r="AY1290" i="1"/>
  <c r="AY1286" i="1"/>
  <c r="AY1284" i="1"/>
  <c r="AY1133" i="1"/>
  <c r="AY1147" i="1"/>
  <c r="AY1052" i="1"/>
  <c r="AY1030" i="1"/>
  <c r="AY1028" i="1"/>
  <c r="AY1025" i="1"/>
  <c r="AY982" i="1"/>
  <c r="AY981" i="1"/>
  <c r="AY980" i="1"/>
  <c r="AY979" i="1"/>
  <c r="AY993" i="1"/>
  <c r="AY969" i="1"/>
  <c r="AY968" i="1"/>
  <c r="AY966" i="1"/>
  <c r="AY960" i="1"/>
  <c r="AY958" i="1"/>
  <c r="AY953" i="1"/>
  <c r="AY951" i="1"/>
  <c r="AY888" i="1"/>
  <c r="AY887" i="1"/>
  <c r="AY876" i="1"/>
  <c r="AY624" i="1"/>
  <c r="AY622" i="1"/>
  <c r="AY620" i="1"/>
  <c r="AY616" i="1"/>
  <c r="AY615" i="1"/>
  <c r="AY614" i="1"/>
  <c r="AY613" i="1"/>
  <c r="AY611" i="1"/>
  <c r="AY610" i="1"/>
  <c r="AY609" i="1"/>
  <c r="AY608" i="1"/>
  <c r="AY607" i="1"/>
  <c r="AY593" i="1"/>
  <c r="AY592" i="1"/>
  <c r="AY591" i="1"/>
  <c r="AY590" i="1"/>
  <c r="AY576" i="1"/>
  <c r="AY575" i="1"/>
  <c r="AY574" i="1"/>
  <c r="AY573" i="1"/>
  <c r="AY571" i="1"/>
  <c r="AY568" i="1"/>
  <c r="AY567" i="1"/>
  <c r="AY566" i="1"/>
  <c r="AY565" i="1"/>
  <c r="AY564" i="1"/>
  <c r="AY562" i="1"/>
  <c r="AY561" i="1"/>
  <c r="AY560" i="1"/>
  <c r="AY559" i="1"/>
  <c r="AY558" i="1"/>
  <c r="AY556" i="1"/>
  <c r="AY555" i="1"/>
  <c r="AY554" i="1"/>
  <c r="AY553" i="1"/>
  <c r="AY552" i="1"/>
  <c r="AY549" i="1"/>
  <c r="AY445" i="1"/>
  <c r="AY443" i="1"/>
  <c r="AY293" i="1"/>
  <c r="AY292" i="1"/>
  <c r="AY291" i="1"/>
  <c r="AY269" i="1"/>
  <c r="AY283" i="1"/>
  <c r="AY179" i="1"/>
  <c r="AY178" i="1"/>
  <c r="AY177" i="1"/>
  <c r="AY148" i="1"/>
  <c r="AY147" i="1"/>
  <c r="AY146" i="1"/>
  <c r="AY145" i="1"/>
  <c r="AY275" i="1"/>
  <c r="AY274" i="1"/>
  <c r="AY273" i="1"/>
  <c r="AY268" i="1"/>
  <c r="AY258" i="1"/>
  <c r="AY257" i="1"/>
  <c r="AY256" i="1"/>
  <c r="AY255" i="1"/>
  <c r="AY262" i="1"/>
  <c r="AY261" i="1"/>
  <c r="AY260" i="1"/>
  <c r="AY259" i="1"/>
  <c r="AY176" i="1"/>
  <c r="AY175" i="1"/>
  <c r="AY277" i="1"/>
  <c r="AY174" i="1"/>
  <c r="AY160" i="1"/>
  <c r="AY158" i="1"/>
  <c r="AY155" i="1"/>
  <c r="AY154" i="1"/>
  <c r="AY153" i="1"/>
  <c r="AY152" i="1"/>
  <c r="AY151" i="1"/>
  <c r="AY150" i="1"/>
  <c r="AY114" i="1"/>
  <c r="AY111" i="1"/>
  <c r="AY89" i="1"/>
  <c r="AY81" i="1"/>
  <c r="AY80" i="1"/>
  <c r="AY72" i="1"/>
  <c r="AY71" i="1"/>
  <c r="AY141" i="1"/>
  <c r="AY139" i="1"/>
  <c r="AY138" i="1"/>
  <c r="AY134" i="1"/>
  <c r="AY133" i="1"/>
  <c r="AY132" i="1"/>
  <c r="AY131" i="1"/>
  <c r="AY130" i="1"/>
  <c r="AY129" i="1"/>
  <c r="AY128" i="1"/>
  <c r="AY126" i="1"/>
  <c r="AY125" i="1"/>
  <c r="AY124" i="1"/>
  <c r="AY123" i="1"/>
  <c r="AY122" i="1"/>
  <c r="AY121" i="1"/>
  <c r="AY120" i="1"/>
  <c r="AY119" i="1"/>
  <c r="AY118" i="1"/>
  <c r="AY116" i="1"/>
  <c r="AY32" i="1"/>
  <c r="AY31" i="1"/>
  <c r="AY30" i="1"/>
  <c r="AY23" i="1"/>
  <c r="AY22" i="1"/>
  <c r="AY21" i="1"/>
  <c r="AY20" i="1"/>
  <c r="AY19" i="1"/>
  <c r="AY15" i="1"/>
  <c r="AY12" i="1"/>
  <c r="AY11" i="1"/>
  <c r="AY10" i="1"/>
  <c r="AY9" i="1"/>
  <c r="AY8" i="1"/>
  <c r="AY7" i="1"/>
  <c r="AX614" i="1"/>
  <c r="AX293" i="1"/>
  <c r="AX445" i="1"/>
  <c r="AX443" i="1"/>
  <c r="AX624" i="1"/>
  <c r="AX625" i="1" s="1"/>
  <c r="AX622" i="1"/>
  <c r="AX620" i="1"/>
  <c r="AX616" i="1"/>
  <c r="AX615" i="1"/>
  <c r="AX613" i="1"/>
  <c r="AX611" i="1"/>
  <c r="AX610" i="1"/>
  <c r="AX609" i="1"/>
  <c r="AX608" i="1"/>
  <c r="AX607" i="1"/>
  <c r="AX593" i="1"/>
  <c r="AX592" i="1"/>
  <c r="AX591" i="1"/>
  <c r="AX590" i="1"/>
  <c r="AX576" i="1"/>
  <c r="AX575" i="1"/>
  <c r="AX574" i="1"/>
  <c r="AX573" i="1"/>
  <c r="AX571" i="1"/>
  <c r="AX568" i="1"/>
  <c r="AX567" i="1"/>
  <c r="AX566" i="1"/>
  <c r="AX565" i="1"/>
  <c r="AX564" i="1"/>
  <c r="AX562" i="1"/>
  <c r="AX561" i="1"/>
  <c r="AX560" i="1"/>
  <c r="AX559" i="1"/>
  <c r="AX558" i="1"/>
  <c r="AX556" i="1"/>
  <c r="AX555" i="1"/>
  <c r="AX554" i="1"/>
  <c r="AX553" i="1"/>
  <c r="AX552" i="1"/>
  <c r="AX549" i="1"/>
  <c r="AX292" i="1"/>
  <c r="AX291" i="1"/>
  <c r="AX269" i="1"/>
  <c r="AX283" i="1"/>
  <c r="AX179" i="1"/>
  <c r="AX178" i="1"/>
  <c r="AX177" i="1"/>
  <c r="AX147" i="1"/>
  <c r="AX146" i="1"/>
  <c r="AX276" i="1"/>
  <c r="AX275" i="1"/>
  <c r="AX274" i="1"/>
  <c r="AX273" i="1"/>
  <c r="AX268" i="1"/>
  <c r="AX258" i="1"/>
  <c r="AX257" i="1"/>
  <c r="AX256" i="1"/>
  <c r="AX255" i="1"/>
  <c r="AX262" i="1"/>
  <c r="AX260" i="1"/>
  <c r="AX259" i="1"/>
  <c r="AX176" i="1"/>
  <c r="AX175" i="1"/>
  <c r="AX277" i="1"/>
  <c r="AX174" i="1"/>
  <c r="AX160" i="1"/>
  <c r="AX158" i="1"/>
  <c r="AX155" i="1"/>
  <c r="AX154" i="1"/>
  <c r="AX153" i="1"/>
  <c r="AX152" i="1"/>
  <c r="AX151" i="1"/>
  <c r="AX150" i="1"/>
  <c r="AX114" i="1"/>
  <c r="AX111" i="1"/>
  <c r="AX89" i="1"/>
  <c r="AX81" i="1"/>
  <c r="AX72" i="1"/>
  <c r="AX71" i="1"/>
  <c r="AX142" i="1"/>
  <c r="AX141" i="1"/>
  <c r="AX139" i="1"/>
  <c r="AX138" i="1"/>
  <c r="AX134" i="1"/>
  <c r="AX133" i="1"/>
  <c r="AX132" i="1"/>
  <c r="AX130" i="1"/>
  <c r="AX129" i="1"/>
  <c r="AX128" i="1"/>
  <c r="AX126" i="1"/>
  <c r="AX125" i="1"/>
  <c r="AX124" i="1"/>
  <c r="AX123" i="1"/>
  <c r="AX122" i="1"/>
  <c r="AX121" i="1"/>
  <c r="AX120" i="1"/>
  <c r="AX119" i="1"/>
  <c r="AX118" i="1"/>
  <c r="AX116" i="1"/>
  <c r="AX32" i="1"/>
  <c r="AX31" i="1"/>
  <c r="AX30" i="1"/>
  <c r="AX23" i="1"/>
  <c r="AX22" i="1"/>
  <c r="AX21" i="1"/>
  <c r="AX20" i="1"/>
  <c r="AX19" i="1"/>
  <c r="AX15" i="1"/>
  <c r="AX12" i="1"/>
  <c r="AX11" i="1"/>
  <c r="AX10" i="1"/>
  <c r="AX9" i="1"/>
  <c r="AX8" i="1"/>
  <c r="AV445" i="1"/>
  <c r="AV443" i="1"/>
  <c r="AV624" i="1"/>
  <c r="AV625" i="1" s="1"/>
  <c r="AV622" i="1"/>
  <c r="AV620" i="1"/>
  <c r="AV616" i="1"/>
  <c r="AV615" i="1"/>
  <c r="AV614" i="1"/>
  <c r="AV613" i="1"/>
  <c r="AV611" i="1"/>
  <c r="AV610" i="1"/>
  <c r="AV609" i="1"/>
  <c r="AV608" i="1"/>
  <c r="AV607" i="1"/>
  <c r="AV593" i="1"/>
  <c r="AV592" i="1"/>
  <c r="AV591" i="1"/>
  <c r="AV590" i="1"/>
  <c r="AV576" i="1"/>
  <c r="AV575" i="1"/>
  <c r="AV574" i="1"/>
  <c r="AV573" i="1"/>
  <c r="AV571" i="1"/>
  <c r="AV568" i="1"/>
  <c r="AV567" i="1"/>
  <c r="AV566" i="1"/>
  <c r="AV565" i="1"/>
  <c r="AV564" i="1"/>
  <c r="AV562" i="1"/>
  <c r="AV561" i="1"/>
  <c r="AV560" i="1"/>
  <c r="AV559" i="1"/>
  <c r="AV558" i="1"/>
  <c r="AV556" i="1"/>
  <c r="AV555" i="1"/>
  <c r="AV554" i="1"/>
  <c r="AV552" i="1"/>
  <c r="AV549" i="1"/>
  <c r="AV293" i="1"/>
  <c r="AV292" i="1"/>
  <c r="AV291" i="1"/>
  <c r="AV269" i="1"/>
  <c r="AV283" i="1"/>
  <c r="AV179" i="1"/>
  <c r="AV178" i="1"/>
  <c r="AV177" i="1"/>
  <c r="AV148" i="1"/>
  <c r="AV147" i="1"/>
  <c r="AV146" i="1"/>
  <c r="AV145" i="1"/>
  <c r="AV276" i="1"/>
  <c r="AV274" i="1"/>
  <c r="AV273" i="1"/>
  <c r="AV268" i="1"/>
  <c r="AV258" i="1"/>
  <c r="AV257" i="1"/>
  <c r="AV256" i="1"/>
  <c r="AV255" i="1"/>
  <c r="AV262" i="1"/>
  <c r="AV261" i="1"/>
  <c r="AV260" i="1"/>
  <c r="AV259" i="1"/>
  <c r="AV176" i="1"/>
  <c r="AV175" i="1"/>
  <c r="AV277" i="1"/>
  <c r="AV174" i="1"/>
  <c r="AV160" i="1"/>
  <c r="AV158" i="1"/>
  <c r="AV155" i="1"/>
  <c r="AV154" i="1"/>
  <c r="AV153" i="1"/>
  <c r="AV152" i="1"/>
  <c r="AV151" i="1"/>
  <c r="AV150" i="1"/>
  <c r="AV28" i="1"/>
  <c r="AV114" i="1"/>
  <c r="AV111" i="1"/>
  <c r="AV89" i="1"/>
  <c r="AV81" i="1"/>
  <c r="AV80" i="1"/>
  <c r="AV72" i="1"/>
  <c r="AV71" i="1"/>
  <c r="AV142" i="1"/>
  <c r="AV141" i="1"/>
  <c r="AV139" i="1"/>
  <c r="AV138" i="1"/>
  <c r="AV134" i="1"/>
  <c r="AV133" i="1"/>
  <c r="AV132" i="1"/>
  <c r="AV131" i="1"/>
  <c r="AV130" i="1"/>
  <c r="AV129" i="1"/>
  <c r="AV128" i="1"/>
  <c r="AV126" i="1"/>
  <c r="AV125" i="1"/>
  <c r="AV124" i="1"/>
  <c r="AV122" i="1"/>
  <c r="AV121" i="1"/>
  <c r="AV120" i="1"/>
  <c r="AV119" i="1"/>
  <c r="AV118" i="1"/>
  <c r="AV116" i="1"/>
  <c r="AV32" i="1"/>
  <c r="AV31" i="1"/>
  <c r="AV30" i="1"/>
  <c r="AV23" i="1"/>
  <c r="AV22" i="1"/>
  <c r="AV21" i="1"/>
  <c r="AV20" i="1"/>
  <c r="AV19" i="1"/>
  <c r="AV12" i="1"/>
  <c r="AV11" i="1"/>
  <c r="AV10" i="1"/>
  <c r="AV9" i="1"/>
  <c r="AT1371" i="1"/>
  <c r="AT445" i="1"/>
  <c r="AT443" i="1"/>
  <c r="AT620" i="1"/>
  <c r="AT624" i="1"/>
  <c r="AT625" i="1" s="1"/>
  <c r="AT622" i="1"/>
  <c r="AT616" i="1"/>
  <c r="AT615" i="1"/>
  <c r="AT614" i="1"/>
  <c r="AT613" i="1"/>
  <c r="AT611" i="1"/>
  <c r="AT610" i="1"/>
  <c r="AT609" i="1"/>
  <c r="AT608" i="1"/>
  <c r="AT607" i="1"/>
  <c r="AT593" i="1"/>
  <c r="AT592" i="1"/>
  <c r="AT591" i="1"/>
  <c r="AT590" i="1"/>
  <c r="AT576" i="1"/>
  <c r="AT575" i="1"/>
  <c r="AT574" i="1"/>
  <c r="AT573" i="1"/>
  <c r="AT571" i="1"/>
  <c r="AT568" i="1"/>
  <c r="AT567" i="1"/>
  <c r="AT566" i="1"/>
  <c r="AT565" i="1"/>
  <c r="AT564" i="1"/>
  <c r="AT562" i="1"/>
  <c r="AT561" i="1"/>
  <c r="AT560" i="1"/>
  <c r="AT559" i="1"/>
  <c r="AT558" i="1"/>
  <c r="AT556" i="1"/>
  <c r="AT555" i="1"/>
  <c r="AT554" i="1"/>
  <c r="AT553" i="1"/>
  <c r="AT552" i="1"/>
  <c r="AT549" i="1"/>
  <c r="AT293" i="1"/>
  <c r="AT292" i="1"/>
  <c r="AT291" i="1"/>
  <c r="AT269" i="1"/>
  <c r="AT283" i="1"/>
  <c r="AT179" i="1"/>
  <c r="AT178" i="1"/>
  <c r="AT177" i="1"/>
  <c r="AT148" i="1"/>
  <c r="AT147" i="1"/>
  <c r="AT146" i="1"/>
  <c r="AT145" i="1"/>
  <c r="AT276" i="1"/>
  <c r="AT275" i="1"/>
  <c r="AT274" i="1"/>
  <c r="AT273" i="1"/>
  <c r="AT268" i="1"/>
  <c r="AT258" i="1"/>
  <c r="AT257" i="1"/>
  <c r="AT256" i="1"/>
  <c r="AT255" i="1"/>
  <c r="AT262" i="1"/>
  <c r="AT261" i="1"/>
  <c r="AT260" i="1"/>
  <c r="AT176" i="1"/>
  <c r="AT175" i="1"/>
  <c r="AT277" i="1"/>
  <c r="AT174" i="1"/>
  <c r="AT160" i="1"/>
  <c r="AT158" i="1"/>
  <c r="AT155" i="1"/>
  <c r="AT154" i="1"/>
  <c r="AT153" i="1"/>
  <c r="AT152" i="1"/>
  <c r="AT150" i="1"/>
  <c r="AT114" i="1"/>
  <c r="AT111" i="1"/>
  <c r="AT89" i="1"/>
  <c r="AT81" i="1"/>
  <c r="AT80" i="1"/>
  <c r="AT72" i="1"/>
  <c r="AT71" i="1"/>
  <c r="AT142" i="1"/>
  <c r="AT141" i="1"/>
  <c r="AT139" i="1"/>
  <c r="AT138" i="1"/>
  <c r="AT134" i="1"/>
  <c r="AT131" i="1"/>
  <c r="AT130" i="1"/>
  <c r="AT129" i="1"/>
  <c r="AT128" i="1"/>
  <c r="AT126" i="1"/>
  <c r="AT125" i="1"/>
  <c r="AT124" i="1"/>
  <c r="AT123" i="1"/>
  <c r="AT122" i="1"/>
  <c r="AT121" i="1"/>
  <c r="AT120" i="1"/>
  <c r="AT119" i="1"/>
  <c r="AT118" i="1"/>
  <c r="AT116" i="1"/>
  <c r="AT32" i="1"/>
  <c r="AT31" i="1"/>
  <c r="AT30" i="1"/>
  <c r="AT23" i="1"/>
  <c r="AT22" i="1"/>
  <c r="AT21" i="1"/>
  <c r="AT20" i="1"/>
  <c r="AT19" i="1"/>
  <c r="AT15" i="1"/>
  <c r="AT12" i="1"/>
  <c r="AT11" i="1"/>
  <c r="AT10" i="1"/>
  <c r="AT9" i="1"/>
  <c r="AT8" i="1"/>
  <c r="AT442" i="1" l="1"/>
  <c r="AY442" i="1"/>
  <c r="AV442" i="1"/>
  <c r="AX442" i="1"/>
  <c r="X1307" i="1"/>
  <c r="AT468" i="1"/>
  <c r="AT544" i="1" s="1"/>
  <c r="AT70" i="1"/>
  <c r="AV70" i="1"/>
  <c r="AX468" i="1"/>
  <c r="AX544" i="1" s="1"/>
  <c r="AY468" i="1"/>
  <c r="AV468" i="1"/>
  <c r="AV544" i="1" s="1"/>
  <c r="AX70" i="1"/>
  <c r="AY70" i="1"/>
  <c r="AY972" i="1"/>
  <c r="AX623" i="1"/>
  <c r="AT623" i="1"/>
  <c r="AV623" i="1"/>
  <c r="AX1371" i="1"/>
  <c r="AV1371" i="1"/>
  <c r="AY625" i="1"/>
  <c r="AY623" i="1" s="1"/>
  <c r="AY1002" i="1"/>
  <c r="AY1310" i="1"/>
  <c r="AY1371" i="1"/>
  <c r="AT284" i="1"/>
  <c r="AY284" i="1"/>
  <c r="AV284" i="1"/>
  <c r="AX284" i="1"/>
  <c r="AZ89" i="1"/>
  <c r="X1373" i="1"/>
  <c r="X1376" i="1" s="1"/>
  <c r="X1380" i="1"/>
  <c r="X1381" i="1" s="1"/>
  <c r="AY992" i="1"/>
  <c r="X1366" i="1"/>
  <c r="X1369" i="1"/>
  <c r="X1372" i="1" s="1"/>
  <c r="AY28" i="1"/>
  <c r="AY1315" i="1"/>
  <c r="AY1307" i="1" s="1"/>
  <c r="X626" i="1"/>
  <c r="X1385" i="1" s="1"/>
  <c r="AT28" i="1"/>
  <c r="X874" i="1"/>
  <c r="X931" i="1" s="1"/>
  <c r="X1322" i="1" s="1"/>
  <c r="X144" i="1"/>
  <c r="X250" i="1" s="1"/>
  <c r="X282" i="1" s="1"/>
  <c r="AX115" i="1"/>
  <c r="AV115" i="1"/>
  <c r="AX612" i="1"/>
  <c r="AX594" i="1"/>
  <c r="AX1374" i="1" s="1"/>
  <c r="AX149" i="1"/>
  <c r="AX28" i="1"/>
  <c r="AV572" i="1"/>
  <c r="AV149" i="1"/>
  <c r="AT572" i="1"/>
  <c r="AT149" i="1"/>
  <c r="AY149" i="1"/>
  <c r="AY281" i="1"/>
  <c r="AY572" i="1"/>
  <c r="AY889" i="1"/>
  <c r="AY931" i="1" s="1"/>
  <c r="AY1322" i="1" s="1"/>
  <c r="AY1291" i="1"/>
  <c r="AY267" i="1"/>
  <c r="AX572" i="1"/>
  <c r="AY143" i="1"/>
  <c r="AY110" i="1"/>
  <c r="AY115" i="1"/>
  <c r="AY594" i="1"/>
  <c r="AY612" i="1"/>
  <c r="AT612" i="1"/>
  <c r="AV612" i="1"/>
  <c r="AT594" i="1"/>
  <c r="AT1374" i="1" s="1"/>
  <c r="AV594" i="1"/>
  <c r="AV1374" i="1" s="1"/>
  <c r="AT281" i="1"/>
  <c r="AT1367" i="1" s="1"/>
  <c r="AV281" i="1"/>
  <c r="AV1367" i="1" s="1"/>
  <c r="AX281" i="1"/>
  <c r="AX1367" i="1" s="1"/>
  <c r="AT267" i="1"/>
  <c r="AT1365" i="1" s="1"/>
  <c r="AV267" i="1"/>
  <c r="AV1365" i="1" s="1"/>
  <c r="AX267" i="1"/>
  <c r="AX1365" i="1" s="1"/>
  <c r="AT143" i="1"/>
  <c r="AT1364" i="1" s="1"/>
  <c r="AV143" i="1"/>
  <c r="AV1364" i="1" s="1"/>
  <c r="AX143" i="1"/>
  <c r="AX1364" i="1" s="1"/>
  <c r="AT115" i="1"/>
  <c r="AT110" i="1"/>
  <c r="AT1361" i="1" s="1"/>
  <c r="AZ19" i="1"/>
  <c r="AZ23" i="1"/>
  <c r="AZ1284" i="1"/>
  <c r="AZ142" i="1"/>
  <c r="AZ141" i="1"/>
  <c r="AZ11" i="1"/>
  <c r="AZ123" i="1"/>
  <c r="AZ131" i="1"/>
  <c r="AZ155" i="1"/>
  <c r="AZ175" i="1"/>
  <c r="AZ257" i="1"/>
  <c r="AZ887" i="1"/>
  <c r="AZ7" i="1"/>
  <c r="AZ119" i="1"/>
  <c r="AZ128" i="1"/>
  <c r="AZ134" i="1"/>
  <c r="AZ81" i="1"/>
  <c r="AZ261" i="1"/>
  <c r="AZ177" i="1"/>
  <c r="AZ12" i="1"/>
  <c r="AZ124" i="1"/>
  <c r="AZ132" i="1"/>
  <c r="AZ71" i="1"/>
  <c r="AZ158" i="1"/>
  <c r="AZ176" i="1"/>
  <c r="AZ258" i="1"/>
  <c r="AZ146" i="1"/>
  <c r="AZ615" i="1"/>
  <c r="AZ951" i="1"/>
  <c r="AZ1286" i="1"/>
  <c r="AZ590" i="1"/>
  <c r="AZ611" i="1"/>
  <c r="AZ622" i="1"/>
  <c r="AZ573" i="1"/>
  <c r="AZ607" i="1"/>
  <c r="AZ32" i="1"/>
  <c r="AZ118" i="1"/>
  <c r="AZ126" i="1"/>
  <c r="AZ80" i="1"/>
  <c r="AZ260" i="1"/>
  <c r="AZ268" i="1"/>
  <c r="AZ148" i="1"/>
  <c r="AZ269" i="1"/>
  <c r="AZ1133" i="1"/>
  <c r="AZ1311" i="1"/>
  <c r="AZ150" i="1"/>
  <c r="AZ20" i="1"/>
  <c r="AZ120" i="1"/>
  <c r="AZ129" i="1"/>
  <c r="AZ138" i="1"/>
  <c r="AZ152" i="1"/>
  <c r="AZ174" i="1"/>
  <c r="AZ262" i="1"/>
  <c r="AZ274" i="1"/>
  <c r="AZ178" i="1"/>
  <c r="AZ8" i="1"/>
  <c r="AZ10" i="1"/>
  <c r="AZ22" i="1"/>
  <c r="AZ122" i="1"/>
  <c r="AZ111" i="1"/>
  <c r="AZ154" i="1"/>
  <c r="AZ256" i="1"/>
  <c r="AZ276" i="1"/>
  <c r="AZ283" i="1"/>
  <c r="AZ876" i="1"/>
  <c r="AZ15" i="1"/>
  <c r="AZ31" i="1"/>
  <c r="AZ116" i="1"/>
  <c r="AZ125" i="1"/>
  <c r="AZ133" i="1"/>
  <c r="AZ160" i="1"/>
  <c r="AZ147" i="1"/>
  <c r="AZ575" i="1"/>
  <c r="AZ609" i="1"/>
  <c r="AZ1052" i="1"/>
  <c r="AZ969" i="1"/>
  <c r="AZ9" i="1"/>
  <c r="AZ21" i="1"/>
  <c r="AZ121" i="1"/>
  <c r="AZ130" i="1"/>
  <c r="AZ139" i="1"/>
  <c r="AZ153" i="1"/>
  <c r="AZ277" i="1"/>
  <c r="AZ255" i="1"/>
  <c r="AZ275" i="1"/>
  <c r="AZ179" i="1"/>
  <c r="AZ293" i="1"/>
  <c r="AZ624" i="1"/>
  <c r="AZ625" i="1" s="1"/>
  <c r="AZ1290" i="1"/>
  <c r="AZ592" i="1"/>
  <c r="AZ1025" i="1"/>
  <c r="AZ1309" i="1"/>
  <c r="AZ1310" i="1" s="1"/>
  <c r="AZ443" i="1"/>
  <c r="AZ888" i="1"/>
  <c r="AZ1028" i="1"/>
  <c r="AZ958" i="1"/>
  <c r="AZ1314" i="1"/>
  <c r="AZ966" i="1"/>
  <c r="AZ1313" i="1"/>
  <c r="AZ30" i="1"/>
  <c r="AZ1030" i="1"/>
  <c r="AZ1147" i="1"/>
  <c r="AZ553" i="1"/>
  <c r="AZ555" i="1"/>
  <c r="AZ558" i="1"/>
  <c r="AZ560" i="1"/>
  <c r="AZ562" i="1"/>
  <c r="AZ565" i="1"/>
  <c r="AZ567" i="1"/>
  <c r="AZ571" i="1"/>
  <c r="AZ574" i="1"/>
  <c r="AZ576" i="1"/>
  <c r="AZ591" i="1"/>
  <c r="AZ593" i="1"/>
  <c r="AZ608" i="1"/>
  <c r="AZ610" i="1"/>
  <c r="AZ979" i="1"/>
  <c r="AZ981" i="1"/>
  <c r="AZ620" i="1"/>
  <c r="AZ292" i="1"/>
  <c r="AZ613" i="1"/>
  <c r="AZ614" i="1"/>
  <c r="AZ616" i="1"/>
  <c r="AZ953" i="1"/>
  <c r="AZ960" i="1"/>
  <c r="AZ968" i="1"/>
  <c r="AZ552" i="1"/>
  <c r="AZ554" i="1"/>
  <c r="AZ556" i="1"/>
  <c r="AZ559" i="1"/>
  <c r="AZ561" i="1"/>
  <c r="AZ564" i="1"/>
  <c r="AZ566" i="1"/>
  <c r="AZ568" i="1"/>
  <c r="AZ993" i="1"/>
  <c r="AZ1002" i="1" s="1"/>
  <c r="AZ980" i="1"/>
  <c r="AZ982" i="1"/>
  <c r="AZ72" i="1"/>
  <c r="AZ114" i="1"/>
  <c r="AZ151" i="1"/>
  <c r="AZ259" i="1"/>
  <c r="AZ273" i="1"/>
  <c r="AZ145" i="1"/>
  <c r="AZ445" i="1"/>
  <c r="AZ549" i="1"/>
  <c r="AZ291" i="1"/>
  <c r="AZ1312" i="1"/>
  <c r="AZ442" i="1" l="1"/>
  <c r="X1362" i="1"/>
  <c r="X1363" i="1" s="1"/>
  <c r="AV110" i="1"/>
  <c r="AV144" i="1" s="1"/>
  <c r="AX110" i="1"/>
  <c r="AX144" i="1" s="1"/>
  <c r="AZ468" i="1"/>
  <c r="AZ544" i="1" s="1"/>
  <c r="AZ70" i="1"/>
  <c r="AZ972" i="1"/>
  <c r="AZ623" i="1"/>
  <c r="AZ1371" i="1"/>
  <c r="AY544" i="1"/>
  <c r="AY1374" i="1"/>
  <c r="AY1365" i="1"/>
  <c r="AY1367" i="1"/>
  <c r="AY1364" i="1"/>
  <c r="AY1361" i="1"/>
  <c r="AZ284" i="1"/>
  <c r="AV1366" i="1"/>
  <c r="AY1373" i="1"/>
  <c r="AT1373" i="1"/>
  <c r="AT1376" i="1" s="1"/>
  <c r="AX1373" i="1"/>
  <c r="AX1376" i="1" s="1"/>
  <c r="AV1373" i="1"/>
  <c r="AV1376" i="1" s="1"/>
  <c r="AX1366" i="1"/>
  <c r="AZ28" i="1"/>
  <c r="AZ992" i="1"/>
  <c r="AT1366" i="1"/>
  <c r="AX1359" i="1"/>
  <c r="AV1359" i="1"/>
  <c r="AT1359" i="1"/>
  <c r="AY1380" i="1"/>
  <c r="AY1381" i="1" s="1"/>
  <c r="AT1369" i="1"/>
  <c r="AT1372" i="1" s="1"/>
  <c r="AY1369" i="1"/>
  <c r="AY1372" i="1" s="1"/>
  <c r="AV1369" i="1"/>
  <c r="AV1372" i="1" s="1"/>
  <c r="AY1359" i="1"/>
  <c r="AX1369" i="1"/>
  <c r="AX1372" i="1" s="1"/>
  <c r="AX626" i="1"/>
  <c r="AX1385" i="1" s="1"/>
  <c r="AV626" i="1"/>
  <c r="AV1385" i="1" s="1"/>
  <c r="AY1024" i="1"/>
  <c r="AY626" i="1"/>
  <c r="AZ149" i="1"/>
  <c r="AT626" i="1"/>
  <c r="AT1385" i="1" s="1"/>
  <c r="AT144" i="1"/>
  <c r="AT250" i="1" s="1"/>
  <c r="AT282" i="1" s="1"/>
  <c r="AZ1315" i="1"/>
  <c r="AZ1307" i="1" s="1"/>
  <c r="AZ1291" i="1"/>
  <c r="AZ889" i="1"/>
  <c r="AZ572" i="1"/>
  <c r="AY144" i="1"/>
  <c r="AY250" i="1" s="1"/>
  <c r="AY282" i="1" s="1"/>
  <c r="AZ612" i="1"/>
  <c r="AZ594" i="1"/>
  <c r="AZ1374" i="1" s="1"/>
  <c r="AZ281" i="1"/>
  <c r="AZ1367" i="1" s="1"/>
  <c r="AZ267" i="1"/>
  <c r="AZ1365" i="1" s="1"/>
  <c r="AZ143" i="1"/>
  <c r="AZ1364" i="1" s="1"/>
  <c r="AZ115" i="1"/>
  <c r="AZ110" i="1"/>
  <c r="AZ1361" i="1" s="1"/>
  <c r="AQ116" i="1"/>
  <c r="AT1362" i="1" l="1"/>
  <c r="AT1363" i="1" s="1"/>
  <c r="AY1362" i="1"/>
  <c r="AY1363" i="1" s="1"/>
  <c r="AX1361" i="1"/>
  <c r="AX250" i="1"/>
  <c r="AV1361" i="1"/>
  <c r="AV250" i="1"/>
  <c r="AY1376" i="1"/>
  <c r="AY1366" i="1"/>
  <c r="AY1385" i="1"/>
  <c r="AZ1373" i="1"/>
  <c r="AZ1376" i="1" s="1"/>
  <c r="AZ1366" i="1"/>
  <c r="AY1382" i="1"/>
  <c r="AZ1359" i="1"/>
  <c r="AZ1369" i="1"/>
  <c r="AZ1372" i="1" s="1"/>
  <c r="AZ1024" i="1"/>
  <c r="AZ626" i="1"/>
  <c r="AZ1385" i="1" s="1"/>
  <c r="AZ144" i="1"/>
  <c r="AZ250" i="1" s="1"/>
  <c r="AZ282" i="1" s="1"/>
  <c r="BA116" i="1"/>
  <c r="AQ1314" i="1"/>
  <c r="AQ1313" i="1"/>
  <c r="AQ1312" i="1"/>
  <c r="AQ1311" i="1"/>
  <c r="AQ1309" i="1"/>
  <c r="BA1290" i="1"/>
  <c r="BA1286" i="1"/>
  <c r="BA1284" i="1"/>
  <c r="BA1118" i="1"/>
  <c r="BA1133" i="1"/>
  <c r="BA1147" i="1"/>
  <c r="BA1052" i="1"/>
  <c r="BA1030" i="1"/>
  <c r="BA1028" i="1"/>
  <c r="AQ982" i="1"/>
  <c r="AQ981" i="1"/>
  <c r="AQ980" i="1"/>
  <c r="AQ979" i="1"/>
  <c r="AQ993" i="1"/>
  <c r="AQ969" i="1"/>
  <c r="AQ968" i="1"/>
  <c r="AQ966" i="1"/>
  <c r="AQ960" i="1"/>
  <c r="AQ953" i="1"/>
  <c r="AQ951" i="1"/>
  <c r="AQ888" i="1"/>
  <c r="AQ887" i="1"/>
  <c r="AQ876" i="1"/>
  <c r="AQ868" i="1"/>
  <c r="AQ766" i="1"/>
  <c r="AQ765" i="1"/>
  <c r="AQ872" i="1"/>
  <c r="AQ871" i="1"/>
  <c r="AQ870" i="1"/>
  <c r="AQ756" i="1"/>
  <c r="AQ752" i="1"/>
  <c r="AQ747" i="1"/>
  <c r="AQ745" i="1"/>
  <c r="AQ744" i="1"/>
  <c r="AQ740" i="1"/>
  <c r="AQ630" i="1"/>
  <c r="AQ762" i="1"/>
  <c r="AQ739" i="1"/>
  <c r="AQ738" i="1"/>
  <c r="AQ736" i="1"/>
  <c r="AQ709" i="1"/>
  <c r="AQ710" i="1"/>
  <c r="AQ693" i="1"/>
  <c r="AQ692" i="1"/>
  <c r="AQ686" i="1"/>
  <c r="AQ682" i="1"/>
  <c r="AQ655" i="1"/>
  <c r="AQ659" i="1"/>
  <c r="AQ657" i="1"/>
  <c r="AQ646" i="1"/>
  <c r="AQ644" i="1"/>
  <c r="AQ638" i="1"/>
  <c r="AQ634" i="1"/>
  <c r="AQ633" i="1"/>
  <c r="AQ631" i="1"/>
  <c r="AQ628" i="1"/>
  <c r="AQ627" i="1"/>
  <c r="AQ624" i="1"/>
  <c r="AQ622" i="1"/>
  <c r="AQ620" i="1"/>
  <c r="AQ616" i="1"/>
  <c r="AQ615" i="1"/>
  <c r="AQ614" i="1"/>
  <c r="AQ613" i="1"/>
  <c r="AQ611" i="1"/>
  <c r="AQ610" i="1"/>
  <c r="AQ609" i="1"/>
  <c r="AQ608" i="1"/>
  <c r="AQ607" i="1"/>
  <c r="AQ593" i="1"/>
  <c r="AQ592" i="1"/>
  <c r="AQ591" i="1"/>
  <c r="AQ590" i="1"/>
  <c r="AQ576" i="1"/>
  <c r="AQ575" i="1"/>
  <c r="AQ574" i="1"/>
  <c r="AQ573" i="1"/>
  <c r="AQ571" i="1"/>
  <c r="AQ568" i="1"/>
  <c r="AQ567" i="1"/>
  <c r="AQ566" i="1"/>
  <c r="AQ565" i="1"/>
  <c r="AQ564" i="1"/>
  <c r="AQ562" i="1"/>
  <c r="AQ561" i="1"/>
  <c r="AQ560" i="1"/>
  <c r="AQ559" i="1"/>
  <c r="AQ558" i="1"/>
  <c r="AQ556" i="1"/>
  <c r="AQ555" i="1"/>
  <c r="AQ554" i="1"/>
  <c r="AQ553" i="1"/>
  <c r="AQ552" i="1"/>
  <c r="AQ549" i="1"/>
  <c r="AQ445" i="1"/>
  <c r="AQ443" i="1"/>
  <c r="AQ293" i="1"/>
  <c r="AQ292" i="1"/>
  <c r="AQ291" i="1"/>
  <c r="AQ269" i="1"/>
  <c r="AQ283" i="1"/>
  <c r="AQ179" i="1"/>
  <c r="AQ178" i="1"/>
  <c r="AQ177" i="1"/>
  <c r="BA148" i="1"/>
  <c r="AQ147" i="1"/>
  <c r="AQ146" i="1"/>
  <c r="AQ145" i="1"/>
  <c r="BA276" i="1"/>
  <c r="AQ275" i="1"/>
  <c r="AQ274" i="1"/>
  <c r="AQ273" i="1"/>
  <c r="AQ268" i="1"/>
  <c r="AQ258" i="1"/>
  <c r="AQ257" i="1"/>
  <c r="AQ256" i="1"/>
  <c r="AQ255" i="1"/>
  <c r="AQ262" i="1"/>
  <c r="AQ261" i="1"/>
  <c r="AQ260" i="1"/>
  <c r="AQ259" i="1"/>
  <c r="AQ176" i="1"/>
  <c r="AQ175" i="1"/>
  <c r="AQ277" i="1"/>
  <c r="AQ174" i="1"/>
  <c r="AQ160" i="1"/>
  <c r="AQ158" i="1"/>
  <c r="AQ155" i="1"/>
  <c r="AQ154" i="1"/>
  <c r="AQ153" i="1"/>
  <c r="AQ152" i="1"/>
  <c r="AQ151" i="1"/>
  <c r="AQ150" i="1"/>
  <c r="AQ114" i="1"/>
  <c r="AQ111" i="1"/>
  <c r="AQ89" i="1"/>
  <c r="AQ81" i="1"/>
  <c r="AQ80" i="1"/>
  <c r="AQ72" i="1"/>
  <c r="AQ71" i="1"/>
  <c r="BA142" i="1"/>
  <c r="BA141" i="1"/>
  <c r="AQ139" i="1"/>
  <c r="AQ138" i="1"/>
  <c r="AQ134" i="1"/>
  <c r="AQ133" i="1"/>
  <c r="AQ132" i="1"/>
  <c r="AQ131" i="1"/>
  <c r="AQ130" i="1"/>
  <c r="AQ129" i="1"/>
  <c r="AQ128" i="1"/>
  <c r="AQ126" i="1"/>
  <c r="AQ125" i="1"/>
  <c r="AQ124" i="1"/>
  <c r="AQ123" i="1"/>
  <c r="AQ122" i="1"/>
  <c r="AQ121" i="1"/>
  <c r="AQ120" i="1"/>
  <c r="AQ119" i="1"/>
  <c r="AQ118" i="1"/>
  <c r="AQ32" i="1"/>
  <c r="AQ31" i="1"/>
  <c r="AQ30" i="1"/>
  <c r="AQ23" i="1"/>
  <c r="AQ22" i="1"/>
  <c r="AQ21" i="1"/>
  <c r="AQ20" i="1"/>
  <c r="AQ19" i="1"/>
  <c r="AQ15" i="1"/>
  <c r="AQ12" i="1"/>
  <c r="AQ11" i="1"/>
  <c r="AQ10" i="1"/>
  <c r="AQ9" i="1"/>
  <c r="AQ8" i="1"/>
  <c r="AQ7" i="1"/>
  <c r="AP1314" i="1"/>
  <c r="AP1313" i="1"/>
  <c r="AP1312" i="1"/>
  <c r="AP1311" i="1"/>
  <c r="AP1309" i="1"/>
  <c r="AP1310" i="1" s="1"/>
  <c r="AP979" i="1"/>
  <c r="AP981" i="1"/>
  <c r="AP980" i="1"/>
  <c r="AP993" i="1"/>
  <c r="AP1002" i="1" s="1"/>
  <c r="AP960" i="1"/>
  <c r="AP958" i="1"/>
  <c r="AP876" i="1"/>
  <c r="AP889" i="1" s="1"/>
  <c r="AP872" i="1"/>
  <c r="AP871" i="1"/>
  <c r="AP752" i="1"/>
  <c r="AP747" i="1"/>
  <c r="AP745" i="1"/>
  <c r="AP744" i="1"/>
  <c r="AP740" i="1"/>
  <c r="AP630" i="1"/>
  <c r="AP762" i="1"/>
  <c r="AP739" i="1"/>
  <c r="AP738" i="1"/>
  <c r="AP736" i="1"/>
  <c r="AP709" i="1"/>
  <c r="AP710" i="1"/>
  <c r="AP693" i="1"/>
  <c r="AP692" i="1"/>
  <c r="AP686" i="1"/>
  <c r="AP682" i="1"/>
  <c r="AP655" i="1"/>
  <c r="AP659" i="1"/>
  <c r="AP657" i="1"/>
  <c r="AP646" i="1"/>
  <c r="AP644" i="1"/>
  <c r="AP638" i="1"/>
  <c r="AP634" i="1"/>
  <c r="AP633" i="1"/>
  <c r="AP631" i="1"/>
  <c r="AP628" i="1"/>
  <c r="AP627" i="1"/>
  <c r="AP443" i="1"/>
  <c r="AN981" i="1"/>
  <c r="AN1311" i="1"/>
  <c r="AN1314" i="1"/>
  <c r="AN1313" i="1"/>
  <c r="AN1312" i="1"/>
  <c r="AN1309" i="1"/>
  <c r="AN1310" i="1" s="1"/>
  <c r="AN969" i="1"/>
  <c r="AN968" i="1"/>
  <c r="AN966" i="1"/>
  <c r="AN982" i="1"/>
  <c r="AN980" i="1"/>
  <c r="AN979" i="1"/>
  <c r="AN993" i="1"/>
  <c r="AN1002" i="1" s="1"/>
  <c r="AN960" i="1"/>
  <c r="AN958" i="1"/>
  <c r="AN888" i="1"/>
  <c r="AN887" i="1"/>
  <c r="AN876" i="1"/>
  <c r="AN868" i="1"/>
  <c r="AN872" i="1"/>
  <c r="AN870" i="1"/>
  <c r="AN756" i="1"/>
  <c r="AN752" i="1"/>
  <c r="AN747" i="1"/>
  <c r="AN745" i="1"/>
  <c r="AN744" i="1"/>
  <c r="AN630" i="1"/>
  <c r="AN762" i="1"/>
  <c r="AN739" i="1"/>
  <c r="AN738" i="1"/>
  <c r="AN736" i="1"/>
  <c r="AN709" i="1"/>
  <c r="AN710" i="1"/>
  <c r="AN693" i="1"/>
  <c r="AN692" i="1"/>
  <c r="AN682" i="1"/>
  <c r="AN655" i="1"/>
  <c r="AN659" i="1"/>
  <c r="AN657" i="1"/>
  <c r="AN646" i="1"/>
  <c r="AN644" i="1"/>
  <c r="AN638" i="1"/>
  <c r="AN634" i="1"/>
  <c r="AN633" i="1"/>
  <c r="AN631" i="1"/>
  <c r="AN628" i="1"/>
  <c r="AN627" i="1"/>
  <c r="AN765" i="1"/>
  <c r="AN766" i="1"/>
  <c r="AN624" i="1"/>
  <c r="AN625" i="1" s="1"/>
  <c r="AN622" i="1"/>
  <c r="AN620" i="1"/>
  <c r="AN616" i="1"/>
  <c r="AN615" i="1"/>
  <c r="AN614" i="1"/>
  <c r="AN613" i="1"/>
  <c r="AN611" i="1"/>
  <c r="AN610" i="1"/>
  <c r="AN609" i="1"/>
  <c r="AN608" i="1"/>
  <c r="AN607" i="1"/>
  <c r="AN593" i="1"/>
  <c r="AN592" i="1"/>
  <c r="AN591" i="1"/>
  <c r="AN590" i="1"/>
  <c r="AN576" i="1"/>
  <c r="AN575" i="1"/>
  <c r="AN574" i="1"/>
  <c r="AN573" i="1"/>
  <c r="AN571" i="1"/>
  <c r="AN568" i="1"/>
  <c r="AN566" i="1"/>
  <c r="AN565" i="1"/>
  <c r="AN564" i="1"/>
  <c r="AN562" i="1"/>
  <c r="AN561" i="1"/>
  <c r="AN560" i="1"/>
  <c r="AN559" i="1"/>
  <c r="AN558" i="1"/>
  <c r="AN556" i="1"/>
  <c r="AN555" i="1"/>
  <c r="AN554" i="1"/>
  <c r="AN553" i="1"/>
  <c r="AN552" i="1"/>
  <c r="AN549" i="1"/>
  <c r="AN445" i="1"/>
  <c r="AN468" i="1" s="1"/>
  <c r="AN292" i="1"/>
  <c r="AN291" i="1"/>
  <c r="AN283" i="1"/>
  <c r="AN179" i="1"/>
  <c r="AN178" i="1"/>
  <c r="AN177" i="1"/>
  <c r="AN148" i="1"/>
  <c r="AN147" i="1"/>
  <c r="AN146" i="1"/>
  <c r="AN145" i="1"/>
  <c r="AN276" i="1"/>
  <c r="AN273" i="1"/>
  <c r="AN268" i="1"/>
  <c r="AN258" i="1"/>
  <c r="AN257" i="1"/>
  <c r="AN256" i="1"/>
  <c r="AN262" i="1"/>
  <c r="AN261" i="1"/>
  <c r="AN260" i="1"/>
  <c r="AN259" i="1"/>
  <c r="AN176" i="1"/>
  <c r="AN174" i="1"/>
  <c r="AN160" i="1"/>
  <c r="AN158" i="1"/>
  <c r="AN155" i="1"/>
  <c r="AN154" i="1"/>
  <c r="AN153" i="1"/>
  <c r="AN152" i="1"/>
  <c r="AN151" i="1"/>
  <c r="AN150" i="1"/>
  <c r="AN28" i="1"/>
  <c r="AN114" i="1"/>
  <c r="AN111" i="1"/>
  <c r="AN81" i="1"/>
  <c r="AN72" i="1"/>
  <c r="AN71" i="1"/>
  <c r="AN142" i="1"/>
  <c r="AN141" i="1"/>
  <c r="AN139" i="1"/>
  <c r="AN138" i="1"/>
  <c r="AN134" i="1"/>
  <c r="AN133" i="1"/>
  <c r="AN132" i="1"/>
  <c r="AN129" i="1"/>
  <c r="AN128" i="1"/>
  <c r="AN126" i="1"/>
  <c r="AN125" i="1"/>
  <c r="AN124" i="1"/>
  <c r="AN123" i="1"/>
  <c r="AN121" i="1"/>
  <c r="AN120" i="1"/>
  <c r="AN119" i="1"/>
  <c r="AN118" i="1"/>
  <c r="AN116" i="1"/>
  <c r="AN32" i="1"/>
  <c r="AN31" i="1"/>
  <c r="AN442" i="1" l="1"/>
  <c r="AQ442" i="1"/>
  <c r="AZ1362" i="1"/>
  <c r="AZ1363" i="1" s="1"/>
  <c r="AV282" i="1"/>
  <c r="AV1362" i="1"/>
  <c r="AV1363" i="1" s="1"/>
  <c r="AX282" i="1"/>
  <c r="AX1362" i="1"/>
  <c r="AX1363" i="1" s="1"/>
  <c r="AT950" i="1"/>
  <c r="AT547" i="1"/>
  <c r="AX950" i="1"/>
  <c r="AX547" i="1"/>
  <c r="AP468" i="1"/>
  <c r="AP544" i="1" s="1"/>
  <c r="AQ468" i="1"/>
  <c r="AQ70" i="1"/>
  <c r="AN70" i="1"/>
  <c r="AN764" i="1"/>
  <c r="AN1378" i="1" s="1"/>
  <c r="AQ764" i="1"/>
  <c r="AP764" i="1"/>
  <c r="AP1378" i="1" s="1"/>
  <c r="AN544" i="1"/>
  <c r="AN972" i="1"/>
  <c r="AQ972" i="1"/>
  <c r="AP972" i="1"/>
  <c r="AQ623" i="1"/>
  <c r="AN623" i="1"/>
  <c r="AP1371" i="1"/>
  <c r="AQ625" i="1"/>
  <c r="Q1284" i="1"/>
  <c r="BA160" i="1"/>
  <c r="Q1286" i="1"/>
  <c r="BA1312" i="1"/>
  <c r="BA158" i="1"/>
  <c r="Q1290" i="1"/>
  <c r="BA1313" i="1"/>
  <c r="BA269" i="1"/>
  <c r="AQ1002" i="1"/>
  <c r="AQ1310" i="1"/>
  <c r="BA1314" i="1"/>
  <c r="BA630" i="1"/>
  <c r="Q1028" i="1"/>
  <c r="Q1147" i="1"/>
  <c r="Q1030" i="1"/>
  <c r="Q1133" i="1"/>
  <c r="Q1052" i="1"/>
  <c r="Q1118" i="1"/>
  <c r="BA887" i="1"/>
  <c r="BA951" i="1"/>
  <c r="BA888" i="1"/>
  <c r="BA953" i="1"/>
  <c r="BA968" i="1"/>
  <c r="BA980" i="1"/>
  <c r="BA871" i="1"/>
  <c r="BA958" i="1"/>
  <c r="BA969" i="1"/>
  <c r="BA981" i="1"/>
  <c r="BA872" i="1"/>
  <c r="BA960" i="1"/>
  <c r="BA982" i="1"/>
  <c r="BA9" i="1"/>
  <c r="BA564" i="1"/>
  <c r="BA555" i="1"/>
  <c r="BA560" i="1"/>
  <c r="BA565" i="1"/>
  <c r="BA571" i="1"/>
  <c r="BA576" i="1"/>
  <c r="BA593" i="1"/>
  <c r="BA610" i="1"/>
  <c r="BA615" i="1"/>
  <c r="BA633" i="1"/>
  <c r="BA646" i="1"/>
  <c r="BA682" i="1"/>
  <c r="BA710" i="1"/>
  <c r="BA739" i="1"/>
  <c r="BA744" i="1"/>
  <c r="BA756" i="1"/>
  <c r="BA592" i="1"/>
  <c r="BA552" i="1"/>
  <c r="BA556" i="1"/>
  <c r="BA561" i="1"/>
  <c r="BA566" i="1"/>
  <c r="BA590" i="1"/>
  <c r="BA611" i="1"/>
  <c r="BA616" i="1"/>
  <c r="BA634" i="1"/>
  <c r="BA657" i="1"/>
  <c r="BA686" i="1"/>
  <c r="BA762" i="1"/>
  <c r="BA745" i="1"/>
  <c r="BA766" i="1"/>
  <c r="BA575" i="1"/>
  <c r="BA553" i="1"/>
  <c r="BA558" i="1"/>
  <c r="BA562" i="1"/>
  <c r="BA567" i="1"/>
  <c r="BA574" i="1"/>
  <c r="BA591" i="1"/>
  <c r="BA608" i="1"/>
  <c r="BA620" i="1"/>
  <c r="BA628" i="1"/>
  <c r="BA638" i="1"/>
  <c r="BA692" i="1"/>
  <c r="BA736" i="1"/>
  <c r="BA747" i="1"/>
  <c r="BA554" i="1"/>
  <c r="BA559" i="1"/>
  <c r="BA568" i="1"/>
  <c r="BA609" i="1"/>
  <c r="BA614" i="1"/>
  <c r="BA622" i="1"/>
  <c r="BA631" i="1"/>
  <c r="BA644" i="1"/>
  <c r="BA655" i="1"/>
  <c r="BA693" i="1"/>
  <c r="BA740" i="1"/>
  <c r="BA752" i="1"/>
  <c r="BA445" i="1"/>
  <c r="BA1371" i="1"/>
  <c r="BA121" i="1"/>
  <c r="BA125" i="1"/>
  <c r="BA130" i="1"/>
  <c r="BA134" i="1"/>
  <c r="BA153" i="1"/>
  <c r="BA175" i="1"/>
  <c r="BA261" i="1"/>
  <c r="BA257" i="1"/>
  <c r="BA274" i="1"/>
  <c r="BA146" i="1"/>
  <c r="BA178" i="1"/>
  <c r="BA118" i="1"/>
  <c r="BA122" i="1"/>
  <c r="BA126" i="1"/>
  <c r="BA131" i="1"/>
  <c r="BA138" i="1"/>
  <c r="BA154" i="1"/>
  <c r="BA176" i="1"/>
  <c r="BA262" i="1"/>
  <c r="BA258" i="1"/>
  <c r="BA275" i="1"/>
  <c r="BA147" i="1"/>
  <c r="BA179" i="1"/>
  <c r="BA292" i="1"/>
  <c r="BA119" i="1"/>
  <c r="BA123" i="1"/>
  <c r="BA128" i="1"/>
  <c r="BA132" i="1"/>
  <c r="BA151" i="1"/>
  <c r="BA155" i="1"/>
  <c r="BA174" i="1"/>
  <c r="BA293" i="1"/>
  <c r="BA120" i="1"/>
  <c r="BA124" i="1"/>
  <c r="BA129" i="1"/>
  <c r="BA133" i="1"/>
  <c r="BA114" i="1"/>
  <c r="BA152" i="1"/>
  <c r="BA277" i="1"/>
  <c r="BA260" i="1"/>
  <c r="BA256" i="1"/>
  <c r="BA273" i="1"/>
  <c r="BA177" i="1"/>
  <c r="BA81" i="1"/>
  <c r="BA89" i="1"/>
  <c r="BA72" i="1"/>
  <c r="BA80" i="1"/>
  <c r="BA19" i="1"/>
  <c r="BA23" i="1"/>
  <c r="BA11" i="1"/>
  <c r="BA20" i="1"/>
  <c r="BA12" i="1"/>
  <c r="BA21" i="1"/>
  <c r="BA15" i="1"/>
  <c r="BA22" i="1"/>
  <c r="BA32" i="1"/>
  <c r="AN284" i="1"/>
  <c r="AQ992" i="1"/>
  <c r="AN992" i="1"/>
  <c r="AP992" i="1"/>
  <c r="AZ1382" i="1"/>
  <c r="AN572" i="1"/>
  <c r="AN281" i="1"/>
  <c r="AN1367" i="1" s="1"/>
  <c r="AP1315" i="1"/>
  <c r="AN873" i="1"/>
  <c r="AQ1315" i="1"/>
  <c r="AQ1307" i="1" s="1"/>
  <c r="AN1315" i="1"/>
  <c r="AN1307" i="1" s="1"/>
  <c r="AN115" i="1"/>
  <c r="AN149" i="1"/>
  <c r="AN869" i="1"/>
  <c r="AN1379" i="1" s="1"/>
  <c r="AN594" i="1"/>
  <c r="AN1374" i="1" s="1"/>
  <c r="AN612" i="1"/>
  <c r="AN889" i="1"/>
  <c r="AN143" i="1"/>
  <c r="AN1364" i="1" s="1"/>
  <c r="AN267" i="1"/>
  <c r="AN1365" i="1" s="1"/>
  <c r="AN737" i="1"/>
  <c r="AN1377" i="1" s="1"/>
  <c r="AP873" i="1"/>
  <c r="AP1380" i="1" s="1"/>
  <c r="AQ110" i="1"/>
  <c r="AQ115" i="1"/>
  <c r="AQ149" i="1"/>
  <c r="AQ737" i="1"/>
  <c r="AQ873" i="1"/>
  <c r="AQ889" i="1"/>
  <c r="AP737" i="1"/>
  <c r="AP1377" i="1" s="1"/>
  <c r="AQ28" i="1"/>
  <c r="AQ267" i="1"/>
  <c r="AQ281" i="1"/>
  <c r="BA283" i="1"/>
  <c r="AQ284" i="1"/>
  <c r="AQ594" i="1"/>
  <c r="AQ612" i="1"/>
  <c r="AQ869" i="1"/>
  <c r="BA7" i="1"/>
  <c r="BA549" i="1"/>
  <c r="AQ572" i="1"/>
  <c r="AQ143" i="1"/>
  <c r="BA255" i="1"/>
  <c r="BA765" i="1"/>
  <c r="BA738" i="1"/>
  <c r="BA870" i="1"/>
  <c r="BA868" i="1"/>
  <c r="BA979" i="1"/>
  <c r="BA709" i="1"/>
  <c r="BA659" i="1"/>
  <c r="BA966" i="1"/>
  <c r="BA139" i="1"/>
  <c r="BA30" i="1"/>
  <c r="BA993" i="1"/>
  <c r="BA10" i="1"/>
  <c r="BA1311" i="1"/>
  <c r="BA624" i="1"/>
  <c r="BA1309" i="1"/>
  <c r="BA31" i="1"/>
  <c r="BA8" i="1"/>
  <c r="BA71" i="1"/>
  <c r="BA111" i="1"/>
  <c r="BA150" i="1"/>
  <c r="BA259" i="1"/>
  <c r="BA268" i="1"/>
  <c r="BA145" i="1"/>
  <c r="BA291" i="1"/>
  <c r="BA1025" i="1"/>
  <c r="BA443" i="1"/>
  <c r="BA573" i="1"/>
  <c r="BA607" i="1"/>
  <c r="BA613" i="1"/>
  <c r="BA627" i="1"/>
  <c r="BA876" i="1"/>
  <c r="AL1314" i="1"/>
  <c r="AR1314" i="1" s="1"/>
  <c r="BB1314" i="1" s="1"/>
  <c r="AL1313" i="1"/>
  <c r="AL1312" i="1"/>
  <c r="AR1312" i="1" s="1"/>
  <c r="BB1312" i="1" s="1"/>
  <c r="AL1311" i="1"/>
  <c r="AL1309" i="1"/>
  <c r="BB1290" i="1"/>
  <c r="R1290" i="1" s="1"/>
  <c r="BB1286" i="1"/>
  <c r="R1286" i="1" s="1"/>
  <c r="BB1284" i="1"/>
  <c r="R1284" i="1" s="1"/>
  <c r="BB1118" i="1"/>
  <c r="R1118" i="1" s="1"/>
  <c r="BB1133" i="1"/>
  <c r="R1133" i="1" s="1"/>
  <c r="BB1147" i="1"/>
  <c r="R1147" i="1" s="1"/>
  <c r="BB1052" i="1"/>
  <c r="R1052" i="1" s="1"/>
  <c r="BB1030" i="1"/>
  <c r="R1030" i="1" s="1"/>
  <c r="BB1028" i="1"/>
  <c r="R1028" i="1" s="1"/>
  <c r="AL993" i="1"/>
  <c r="AL1002" i="1" s="1"/>
  <c r="AL982" i="1"/>
  <c r="AR982" i="1" s="1"/>
  <c r="BB982" i="1" s="1"/>
  <c r="AL981" i="1"/>
  <c r="AR981" i="1" s="1"/>
  <c r="BB981" i="1" s="1"/>
  <c r="AL980" i="1"/>
  <c r="AR980" i="1" s="1"/>
  <c r="BB980" i="1" s="1"/>
  <c r="AL979" i="1"/>
  <c r="AR960" i="1"/>
  <c r="BB960" i="1" s="1"/>
  <c r="AL958" i="1"/>
  <c r="AR953" i="1"/>
  <c r="BB953" i="1" s="1"/>
  <c r="AR951" i="1"/>
  <c r="AR966" i="1"/>
  <c r="AR969" i="1"/>
  <c r="BB969" i="1" s="1"/>
  <c r="AL968" i="1"/>
  <c r="AR765" i="1"/>
  <c r="AL766" i="1"/>
  <c r="AR888" i="1"/>
  <c r="BB888" i="1" s="1"/>
  <c r="AL887" i="1"/>
  <c r="AR887" i="1" s="1"/>
  <c r="BB887" i="1" s="1"/>
  <c r="AL876" i="1"/>
  <c r="AL868" i="1"/>
  <c r="AL872" i="1"/>
  <c r="AL873" i="1" s="1"/>
  <c r="AR871" i="1"/>
  <c r="AR870" i="1"/>
  <c r="AL756" i="1"/>
  <c r="AR756" i="1" s="1"/>
  <c r="BB756" i="1" s="1"/>
  <c r="AL752" i="1"/>
  <c r="AR752" i="1" s="1"/>
  <c r="BB752" i="1" s="1"/>
  <c r="AL747" i="1"/>
  <c r="AR747" i="1" s="1"/>
  <c r="BB747" i="1" s="1"/>
  <c r="AL745" i="1"/>
  <c r="AR745" i="1" s="1"/>
  <c r="BB745" i="1" s="1"/>
  <c r="AL744" i="1"/>
  <c r="AR744" i="1" s="1"/>
  <c r="BB744" i="1" s="1"/>
  <c r="AL740" i="1"/>
  <c r="AR740" i="1" s="1"/>
  <c r="BB740" i="1" s="1"/>
  <c r="AL630" i="1"/>
  <c r="AR630" i="1" s="1"/>
  <c r="BB630" i="1" s="1"/>
  <c r="AL762" i="1"/>
  <c r="AL739" i="1"/>
  <c r="AR739" i="1" s="1"/>
  <c r="BB739" i="1" s="1"/>
  <c r="AL738" i="1"/>
  <c r="AL736" i="1"/>
  <c r="AR736" i="1" s="1"/>
  <c r="BB736" i="1" s="1"/>
  <c r="AL709" i="1"/>
  <c r="AL710" i="1"/>
  <c r="AR710" i="1" s="1"/>
  <c r="BB710" i="1" s="1"/>
  <c r="AR693" i="1"/>
  <c r="BB693" i="1" s="1"/>
  <c r="AL692" i="1"/>
  <c r="AR692" i="1" s="1"/>
  <c r="BB692" i="1" s="1"/>
  <c r="AL686" i="1"/>
  <c r="AR686" i="1" s="1"/>
  <c r="BB686" i="1" s="1"/>
  <c r="AL682" i="1"/>
  <c r="AR682" i="1" s="1"/>
  <c r="BB682" i="1" s="1"/>
  <c r="AL655" i="1"/>
  <c r="AR655" i="1" s="1"/>
  <c r="BB655" i="1" s="1"/>
  <c r="AL659" i="1"/>
  <c r="AL657" i="1"/>
  <c r="AR657" i="1" s="1"/>
  <c r="BB657" i="1" s="1"/>
  <c r="AL646" i="1"/>
  <c r="AR646" i="1" s="1"/>
  <c r="BB646" i="1" s="1"/>
  <c r="AL644" i="1"/>
  <c r="AR644" i="1" s="1"/>
  <c r="BB644" i="1" s="1"/>
  <c r="AL638" i="1"/>
  <c r="AR638" i="1" s="1"/>
  <c r="BB638" i="1" s="1"/>
  <c r="AL634" i="1"/>
  <c r="AR634" i="1" s="1"/>
  <c r="BB634" i="1" s="1"/>
  <c r="AL633" i="1"/>
  <c r="AR633" i="1" s="1"/>
  <c r="BB633" i="1" s="1"/>
  <c r="AL631" i="1"/>
  <c r="AR631" i="1" s="1"/>
  <c r="BB631" i="1" s="1"/>
  <c r="AL628" i="1"/>
  <c r="AR628" i="1" s="1"/>
  <c r="BB628" i="1" s="1"/>
  <c r="AL627" i="1"/>
  <c r="AL624" i="1"/>
  <c r="AL622" i="1"/>
  <c r="AR622" i="1" s="1"/>
  <c r="BB622" i="1" s="1"/>
  <c r="AL620" i="1"/>
  <c r="AR620" i="1" s="1"/>
  <c r="BB620" i="1" s="1"/>
  <c r="AL616" i="1"/>
  <c r="AR616" i="1" s="1"/>
  <c r="BB616" i="1" s="1"/>
  <c r="AL615" i="1"/>
  <c r="AR615" i="1" s="1"/>
  <c r="BB615" i="1" s="1"/>
  <c r="AL614" i="1"/>
  <c r="AR614" i="1" s="1"/>
  <c r="BB614" i="1" s="1"/>
  <c r="AL613" i="1"/>
  <c r="AL611" i="1"/>
  <c r="AR611" i="1" s="1"/>
  <c r="BB611" i="1" s="1"/>
  <c r="AL610" i="1"/>
  <c r="AR610" i="1" s="1"/>
  <c r="BB610" i="1" s="1"/>
  <c r="AL609" i="1"/>
  <c r="AR609" i="1" s="1"/>
  <c r="BB609" i="1" s="1"/>
  <c r="AL608" i="1"/>
  <c r="AR608" i="1" s="1"/>
  <c r="BB608" i="1" s="1"/>
  <c r="AL607" i="1"/>
  <c r="AL593" i="1"/>
  <c r="AR593" i="1" s="1"/>
  <c r="BB593" i="1" s="1"/>
  <c r="AL592" i="1"/>
  <c r="AR592" i="1" s="1"/>
  <c r="BB592" i="1" s="1"/>
  <c r="AL591" i="1"/>
  <c r="AR591" i="1" s="1"/>
  <c r="BB591" i="1" s="1"/>
  <c r="AL590" i="1"/>
  <c r="AR590" i="1" s="1"/>
  <c r="BB590" i="1" s="1"/>
  <c r="AL576" i="1"/>
  <c r="AR576" i="1" s="1"/>
  <c r="BB576" i="1" s="1"/>
  <c r="AL575" i="1"/>
  <c r="AR575" i="1" s="1"/>
  <c r="BB575" i="1" s="1"/>
  <c r="AL574" i="1"/>
  <c r="AR574" i="1" s="1"/>
  <c r="BB574" i="1" s="1"/>
  <c r="AL573" i="1"/>
  <c r="AL571" i="1"/>
  <c r="AR571" i="1" s="1"/>
  <c r="BB571" i="1" s="1"/>
  <c r="AL568" i="1"/>
  <c r="AR568" i="1" s="1"/>
  <c r="BB568" i="1" s="1"/>
  <c r="AL567" i="1"/>
  <c r="AR567" i="1" s="1"/>
  <c r="BB567" i="1" s="1"/>
  <c r="AL566" i="1"/>
  <c r="AR566" i="1" s="1"/>
  <c r="BB566" i="1" s="1"/>
  <c r="AL565" i="1"/>
  <c r="AR565" i="1" s="1"/>
  <c r="BB565" i="1" s="1"/>
  <c r="AL564" i="1"/>
  <c r="AR564" i="1" s="1"/>
  <c r="BB564" i="1" s="1"/>
  <c r="AL562" i="1"/>
  <c r="AR562" i="1" s="1"/>
  <c r="BB562" i="1" s="1"/>
  <c r="AL561" i="1"/>
  <c r="AR561" i="1" s="1"/>
  <c r="BB561" i="1" s="1"/>
  <c r="AL560" i="1"/>
  <c r="AR560" i="1" s="1"/>
  <c r="BB560" i="1" s="1"/>
  <c r="AL559" i="1"/>
  <c r="AR559" i="1" s="1"/>
  <c r="BB559" i="1" s="1"/>
  <c r="AL558" i="1"/>
  <c r="AR558" i="1" s="1"/>
  <c r="BB558" i="1" s="1"/>
  <c r="AL556" i="1"/>
  <c r="AR556" i="1" s="1"/>
  <c r="BB556" i="1" s="1"/>
  <c r="AL555" i="1"/>
  <c r="AR555" i="1" s="1"/>
  <c r="BB555" i="1" s="1"/>
  <c r="AL554" i="1"/>
  <c r="AR554" i="1" s="1"/>
  <c r="BB554" i="1" s="1"/>
  <c r="AL553" i="1"/>
  <c r="AR553" i="1" s="1"/>
  <c r="BB553" i="1" s="1"/>
  <c r="AL552" i="1"/>
  <c r="AR552" i="1" s="1"/>
  <c r="BB552" i="1" s="1"/>
  <c r="AL549" i="1"/>
  <c r="AL445" i="1"/>
  <c r="AL443" i="1"/>
  <c r="AR443" i="1" s="1"/>
  <c r="AL291" i="1"/>
  <c r="AL293" i="1"/>
  <c r="AR293" i="1" s="1"/>
  <c r="BB293" i="1" s="1"/>
  <c r="AL292" i="1"/>
  <c r="AL269" i="1"/>
  <c r="AR269" i="1" s="1"/>
  <c r="BB269" i="1" s="1"/>
  <c r="AL283" i="1"/>
  <c r="AL179" i="1"/>
  <c r="AR179" i="1" s="1"/>
  <c r="BB179" i="1" s="1"/>
  <c r="AL178" i="1"/>
  <c r="AR178" i="1" s="1"/>
  <c r="BB178" i="1" s="1"/>
  <c r="AL177" i="1"/>
  <c r="AR177" i="1" s="1"/>
  <c r="BB177" i="1" s="1"/>
  <c r="AL148" i="1"/>
  <c r="AR148" i="1" s="1"/>
  <c r="BB148" i="1" s="1"/>
  <c r="AL147" i="1"/>
  <c r="AR147" i="1" s="1"/>
  <c r="BB147" i="1" s="1"/>
  <c r="AL146" i="1"/>
  <c r="AR146" i="1" s="1"/>
  <c r="BB146" i="1" s="1"/>
  <c r="AL145" i="1"/>
  <c r="AL276" i="1"/>
  <c r="AL275" i="1"/>
  <c r="AR275" i="1" s="1"/>
  <c r="BB275" i="1" s="1"/>
  <c r="AL274" i="1"/>
  <c r="AR274" i="1" s="1"/>
  <c r="BB274" i="1" s="1"/>
  <c r="AL273" i="1"/>
  <c r="AR273" i="1" s="1"/>
  <c r="BB273" i="1" s="1"/>
  <c r="AL268" i="1"/>
  <c r="AL258" i="1"/>
  <c r="AR258" i="1" s="1"/>
  <c r="BB258" i="1" s="1"/>
  <c r="AL257" i="1"/>
  <c r="AR257" i="1" s="1"/>
  <c r="BB257" i="1" s="1"/>
  <c r="AL256" i="1"/>
  <c r="AR256" i="1" s="1"/>
  <c r="BB256" i="1" s="1"/>
  <c r="AL255" i="1"/>
  <c r="AL262" i="1"/>
  <c r="AR262" i="1" s="1"/>
  <c r="BB262" i="1" s="1"/>
  <c r="AL261" i="1"/>
  <c r="AR261" i="1" s="1"/>
  <c r="BB261" i="1" s="1"/>
  <c r="AL260" i="1"/>
  <c r="AR260" i="1" s="1"/>
  <c r="BB260" i="1" s="1"/>
  <c r="AL259" i="1"/>
  <c r="AL176" i="1"/>
  <c r="AR176" i="1" s="1"/>
  <c r="BB176" i="1" s="1"/>
  <c r="AR175" i="1"/>
  <c r="BB175" i="1" s="1"/>
  <c r="AL277" i="1"/>
  <c r="AR277" i="1" s="1"/>
  <c r="BB277" i="1" s="1"/>
  <c r="AR174" i="1"/>
  <c r="BB174" i="1" s="1"/>
  <c r="AL160" i="1"/>
  <c r="AR160" i="1" s="1"/>
  <c r="BB160" i="1" s="1"/>
  <c r="AL158" i="1"/>
  <c r="AR158" i="1" s="1"/>
  <c r="BB158" i="1" s="1"/>
  <c r="AL155" i="1"/>
  <c r="AR155" i="1" s="1"/>
  <c r="BB155" i="1" s="1"/>
  <c r="AL154" i="1"/>
  <c r="AR154" i="1" s="1"/>
  <c r="BB154" i="1" s="1"/>
  <c r="AL153" i="1"/>
  <c r="AR153" i="1" s="1"/>
  <c r="BB153" i="1" s="1"/>
  <c r="AR152" i="1"/>
  <c r="BB152" i="1" s="1"/>
  <c r="AL151" i="1"/>
  <c r="AR151" i="1" s="1"/>
  <c r="BB151" i="1" s="1"/>
  <c r="AL150" i="1"/>
  <c r="AR114" i="1"/>
  <c r="BB114" i="1" s="1"/>
  <c r="AL111" i="1"/>
  <c r="BB89" i="1"/>
  <c r="AL81" i="1"/>
  <c r="AR81" i="1" s="1"/>
  <c r="BB81" i="1" s="1"/>
  <c r="AR80" i="1"/>
  <c r="BB80" i="1" s="1"/>
  <c r="AL72" i="1"/>
  <c r="AR72" i="1" s="1"/>
  <c r="BB72" i="1" s="1"/>
  <c r="AL71" i="1"/>
  <c r="AL142" i="1"/>
  <c r="AR142" i="1" s="1"/>
  <c r="BB142" i="1" s="1"/>
  <c r="AL141" i="1"/>
  <c r="AR141" i="1" s="1"/>
  <c r="BB141" i="1" s="1"/>
  <c r="AL139" i="1"/>
  <c r="AL138" i="1"/>
  <c r="AR138" i="1" s="1"/>
  <c r="BB138" i="1" s="1"/>
  <c r="AL134" i="1"/>
  <c r="AR134" i="1" s="1"/>
  <c r="BB134" i="1" s="1"/>
  <c r="AL133" i="1"/>
  <c r="AL132" i="1"/>
  <c r="AR132" i="1" s="1"/>
  <c r="BB132" i="1" s="1"/>
  <c r="AR131" i="1"/>
  <c r="BB131" i="1" s="1"/>
  <c r="AR130" i="1"/>
  <c r="BB130" i="1" s="1"/>
  <c r="AL129" i="1"/>
  <c r="AR129" i="1" s="1"/>
  <c r="BB129" i="1" s="1"/>
  <c r="AL128" i="1"/>
  <c r="AR128" i="1" s="1"/>
  <c r="BB128" i="1" s="1"/>
  <c r="AL126" i="1"/>
  <c r="AR126" i="1" s="1"/>
  <c r="BB126" i="1" s="1"/>
  <c r="AL125" i="1"/>
  <c r="AR125" i="1" s="1"/>
  <c r="BB125" i="1" s="1"/>
  <c r="AL124" i="1"/>
  <c r="AL123" i="1"/>
  <c r="AL122" i="1"/>
  <c r="AR122" i="1" s="1"/>
  <c r="BB122" i="1" s="1"/>
  <c r="AL121" i="1"/>
  <c r="AR121" i="1" s="1"/>
  <c r="BB121" i="1" s="1"/>
  <c r="AL120" i="1"/>
  <c r="AR120" i="1" s="1"/>
  <c r="BB120" i="1" s="1"/>
  <c r="AL119" i="1"/>
  <c r="AR119" i="1" s="1"/>
  <c r="BB119" i="1" s="1"/>
  <c r="AR118" i="1"/>
  <c r="BB118" i="1" s="1"/>
  <c r="AL116" i="1"/>
  <c r="AL32" i="1"/>
  <c r="AR32" i="1" s="1"/>
  <c r="BB32" i="1" s="1"/>
  <c r="AL31" i="1"/>
  <c r="AL30" i="1"/>
  <c r="AL23" i="1"/>
  <c r="AR23" i="1" s="1"/>
  <c r="BB23" i="1" s="1"/>
  <c r="AL22" i="1"/>
  <c r="AL21" i="1"/>
  <c r="AR20" i="1"/>
  <c r="BB20" i="1" s="1"/>
  <c r="AL19" i="1"/>
  <c r="AL15" i="1"/>
  <c r="AR9" i="1"/>
  <c r="BB9" i="1" s="1"/>
  <c r="AL8" i="1"/>
  <c r="BA442" i="1" l="1"/>
  <c r="AL442" i="1"/>
  <c r="AX602" i="1"/>
  <c r="AX1329" i="1" s="1"/>
  <c r="AX1386" i="1" s="1"/>
  <c r="AX1387" i="1"/>
  <c r="AT602" i="1"/>
  <c r="AT1329" i="1" s="1"/>
  <c r="AT1386" i="1" s="1"/>
  <c r="AT1387" i="1"/>
  <c r="AN110" i="1"/>
  <c r="AN144" i="1" s="1"/>
  <c r="AY950" i="1"/>
  <c r="AY547" i="1"/>
  <c r="AR1313" i="1"/>
  <c r="AX1308" i="1"/>
  <c r="AP1307" i="1"/>
  <c r="AT1308" i="1"/>
  <c r="BA468" i="1"/>
  <c r="AL468" i="1"/>
  <c r="AL544" i="1" s="1"/>
  <c r="AL70" i="1"/>
  <c r="BA70" i="1"/>
  <c r="BA764" i="1"/>
  <c r="AL764" i="1"/>
  <c r="AL1378" i="1" s="1"/>
  <c r="AR958" i="1"/>
  <c r="BB958" i="1" s="1"/>
  <c r="AL972" i="1"/>
  <c r="BA972" i="1"/>
  <c r="BB951" i="1"/>
  <c r="BA623" i="1"/>
  <c r="BA28" i="1"/>
  <c r="AQ544" i="1"/>
  <c r="AL1371" i="1"/>
  <c r="AR762" i="1"/>
  <c r="BA1315" i="1"/>
  <c r="BA1307" i="1" s="1"/>
  <c r="BA625" i="1"/>
  <c r="BA1002" i="1"/>
  <c r="BA1310" i="1"/>
  <c r="Q1025" i="1"/>
  <c r="Q1291" i="1" s="1"/>
  <c r="BA873" i="1"/>
  <c r="BA889" i="1"/>
  <c r="BA992" i="1"/>
  <c r="AQ1374" i="1"/>
  <c r="AQ1378" i="1"/>
  <c r="BA612" i="1"/>
  <c r="AQ1377" i="1"/>
  <c r="BA594" i="1"/>
  <c r="AQ1379" i="1"/>
  <c r="BA572" i="1"/>
  <c r="AQ1364" i="1"/>
  <c r="BA149" i="1"/>
  <c r="BA115" i="1"/>
  <c r="BA143" i="1"/>
  <c r="AQ1367" i="1"/>
  <c r="BA281" i="1"/>
  <c r="AQ1365" i="1"/>
  <c r="AQ1361" i="1"/>
  <c r="BA110" i="1"/>
  <c r="AL284" i="1"/>
  <c r="BA284" i="1"/>
  <c r="AQ1359" i="1"/>
  <c r="AN1373" i="1"/>
  <c r="AN1376" i="1" s="1"/>
  <c r="AN1359" i="1"/>
  <c r="AL992" i="1"/>
  <c r="AQ1380" i="1"/>
  <c r="AN1380" i="1"/>
  <c r="AN1381" i="1" s="1"/>
  <c r="AQ626" i="1"/>
  <c r="AP1381" i="1"/>
  <c r="AP1369" i="1"/>
  <c r="AP1372" i="1" s="1"/>
  <c r="AQ1373" i="1"/>
  <c r="AQ1369" i="1"/>
  <c r="AQ1372" i="1" s="1"/>
  <c r="AN1369" i="1"/>
  <c r="AN1372" i="1" s="1"/>
  <c r="AN1366" i="1"/>
  <c r="AN626" i="1"/>
  <c r="AN1385" i="1" s="1"/>
  <c r="AR291" i="1"/>
  <c r="AN1024" i="1"/>
  <c r="AL869" i="1"/>
  <c r="AL1379" i="1" s="1"/>
  <c r="AL28" i="1"/>
  <c r="AR624" i="1"/>
  <c r="AR625" i="1" s="1"/>
  <c r="AL625" i="1"/>
  <c r="AL623" i="1" s="1"/>
  <c r="AR1311" i="1"/>
  <c r="AL1315" i="1"/>
  <c r="AL1307" i="1" s="1"/>
  <c r="AR111" i="1"/>
  <c r="BB111" i="1" s="1"/>
  <c r="BB115" i="1" s="1"/>
  <c r="AL115" i="1"/>
  <c r="AL149" i="1"/>
  <c r="AR1309" i="1"/>
  <c r="AR1310" i="1" s="1"/>
  <c r="AL1310" i="1"/>
  <c r="AQ1024" i="1"/>
  <c r="AL267" i="1"/>
  <c r="AL1365" i="1" s="1"/>
  <c r="AL889" i="1"/>
  <c r="AL281" i="1"/>
  <c r="AL1367" i="1" s="1"/>
  <c r="AR71" i="1"/>
  <c r="AL110" i="1"/>
  <c r="AL1361" i="1" s="1"/>
  <c r="AR549" i="1"/>
  <c r="BB549" i="1" s="1"/>
  <c r="BB572" i="1" s="1"/>
  <c r="AL572" i="1"/>
  <c r="AR613" i="1"/>
  <c r="AR623" i="1" s="1"/>
  <c r="AL737" i="1"/>
  <c r="AL1377" i="1" s="1"/>
  <c r="AP874" i="1"/>
  <c r="AP931" i="1" s="1"/>
  <c r="AN874" i="1"/>
  <c r="AN931" i="1" s="1"/>
  <c r="AN1322" i="1" s="1"/>
  <c r="AR116" i="1"/>
  <c r="BB116" i="1" s="1"/>
  <c r="AL143" i="1"/>
  <c r="AL1364" i="1" s="1"/>
  <c r="AR259" i="1"/>
  <c r="BB259" i="1" s="1"/>
  <c r="AR292" i="1"/>
  <c r="BB292" i="1" s="1"/>
  <c r="AR573" i="1"/>
  <c r="BB573" i="1" s="1"/>
  <c r="BB594" i="1" s="1"/>
  <c r="BB1374" i="1" s="1"/>
  <c r="AL594" i="1"/>
  <c r="AL1374" i="1" s="1"/>
  <c r="AR607" i="1"/>
  <c r="AR612" i="1" s="1"/>
  <c r="AL612" i="1"/>
  <c r="AP1024" i="1"/>
  <c r="AQ144" i="1"/>
  <c r="AQ250" i="1" s="1"/>
  <c r="AQ282" i="1" s="1"/>
  <c r="BA737" i="1"/>
  <c r="AQ874" i="1"/>
  <c r="AQ931" i="1" s="1"/>
  <c r="AQ1322" i="1" s="1"/>
  <c r="BA1291" i="1"/>
  <c r="BA869" i="1"/>
  <c r="BA267" i="1"/>
  <c r="AR255" i="1"/>
  <c r="AR268" i="1"/>
  <c r="BB268" i="1" s="1"/>
  <c r="AR283" i="1"/>
  <c r="AR766" i="1"/>
  <c r="BB766" i="1" s="1"/>
  <c r="AR627" i="1"/>
  <c r="AR738" i="1"/>
  <c r="AR872" i="1"/>
  <c r="AR873" i="1" s="1"/>
  <c r="AR876" i="1"/>
  <c r="AR889" i="1" s="1"/>
  <c r="BB765" i="1"/>
  <c r="AR979" i="1"/>
  <c r="AR992" i="1" s="1"/>
  <c r="AR868" i="1"/>
  <c r="AR709" i="1"/>
  <c r="AR659" i="1"/>
  <c r="AR968" i="1"/>
  <c r="BB968" i="1" s="1"/>
  <c r="BB966" i="1"/>
  <c r="AR139" i="1"/>
  <c r="AR19" i="1"/>
  <c r="BB19" i="1" s="1"/>
  <c r="AR276" i="1"/>
  <c r="BB276" i="1" s="1"/>
  <c r="AR993" i="1"/>
  <c r="AR1002" i="1" s="1"/>
  <c r="BB443" i="1"/>
  <c r="AR445" i="1"/>
  <c r="BB445" i="1" s="1"/>
  <c r="AR21" i="1"/>
  <c r="BB21" i="1" s="1"/>
  <c r="AR7" i="1"/>
  <c r="AR150" i="1"/>
  <c r="AR30" i="1"/>
  <c r="AR145" i="1"/>
  <c r="AR149" i="1" s="1"/>
  <c r="AG1314" i="1"/>
  <c r="AG1313" i="1"/>
  <c r="AG1312" i="1"/>
  <c r="AG1311" i="1"/>
  <c r="AG1309" i="1"/>
  <c r="AG982" i="1"/>
  <c r="AG981" i="1"/>
  <c r="AG980" i="1"/>
  <c r="AG979" i="1"/>
  <c r="AG993" i="1"/>
  <c r="AG969" i="1"/>
  <c r="AG968" i="1"/>
  <c r="AG966" i="1"/>
  <c r="AG960" i="1"/>
  <c r="AG953" i="1"/>
  <c r="AG951" i="1"/>
  <c r="AG888" i="1"/>
  <c r="AG887" i="1"/>
  <c r="AG876" i="1"/>
  <c r="AG868" i="1"/>
  <c r="AG766" i="1"/>
  <c r="AG765" i="1"/>
  <c r="AG872" i="1"/>
  <c r="AG871" i="1"/>
  <c r="AG870" i="1"/>
  <c r="AG752" i="1"/>
  <c r="AG747" i="1"/>
  <c r="AG745" i="1"/>
  <c r="AG744" i="1"/>
  <c r="AG740" i="1"/>
  <c r="AG630" i="1"/>
  <c r="AG762" i="1"/>
  <c r="AG739" i="1"/>
  <c r="AG738" i="1"/>
  <c r="AG736" i="1"/>
  <c r="AG709" i="1"/>
  <c r="AG710" i="1"/>
  <c r="AG693" i="1"/>
  <c r="AG692" i="1"/>
  <c r="AG686" i="1"/>
  <c r="AG682" i="1"/>
  <c r="AG655" i="1"/>
  <c r="AG659" i="1"/>
  <c r="AG657" i="1"/>
  <c r="AG646" i="1"/>
  <c r="AG644" i="1"/>
  <c r="AG638" i="1"/>
  <c r="AG634" i="1"/>
  <c r="AG633" i="1"/>
  <c r="AG631" i="1"/>
  <c r="AG628" i="1"/>
  <c r="AG627" i="1"/>
  <c r="AG624" i="1"/>
  <c r="AG622" i="1"/>
  <c r="AG620" i="1"/>
  <c r="AG616" i="1"/>
  <c r="AG615" i="1"/>
  <c r="AG614" i="1"/>
  <c r="AG613" i="1"/>
  <c r="AG611" i="1"/>
  <c r="AG610" i="1"/>
  <c r="AG609" i="1"/>
  <c r="AG608" i="1"/>
  <c r="AG607" i="1"/>
  <c r="AG593" i="1"/>
  <c r="AG592" i="1"/>
  <c r="AG591" i="1"/>
  <c r="AG590" i="1"/>
  <c r="AG576" i="1"/>
  <c r="AG575" i="1"/>
  <c r="AG574" i="1"/>
  <c r="AG573" i="1"/>
  <c r="AG571" i="1"/>
  <c r="AG568" i="1"/>
  <c r="AG567" i="1"/>
  <c r="AG566" i="1"/>
  <c r="AG565" i="1"/>
  <c r="AG564" i="1"/>
  <c r="AG562" i="1"/>
  <c r="AG561" i="1"/>
  <c r="AG560" i="1"/>
  <c r="AG559" i="1"/>
  <c r="AG558" i="1"/>
  <c r="AG556" i="1"/>
  <c r="AG555" i="1"/>
  <c r="AG554" i="1"/>
  <c r="AG553" i="1"/>
  <c r="AG552" i="1"/>
  <c r="AG549" i="1"/>
  <c r="AG445" i="1"/>
  <c r="AG443" i="1"/>
  <c r="AG293" i="1"/>
  <c r="AG292" i="1"/>
  <c r="AG291" i="1"/>
  <c r="AG269" i="1"/>
  <c r="AG283" i="1"/>
  <c r="AG179" i="1"/>
  <c r="AG178" i="1"/>
  <c r="AG177" i="1"/>
  <c r="AG148" i="1"/>
  <c r="AG147" i="1"/>
  <c r="AG146" i="1"/>
  <c r="AG145" i="1"/>
  <c r="AG274" i="1"/>
  <c r="AG273" i="1"/>
  <c r="AG268" i="1"/>
  <c r="AG258" i="1"/>
  <c r="AG257" i="1"/>
  <c r="AG256" i="1"/>
  <c r="AG255" i="1"/>
  <c r="AG262" i="1"/>
  <c r="AG261" i="1"/>
  <c r="AG260" i="1"/>
  <c r="AG259" i="1"/>
  <c r="AG176" i="1"/>
  <c r="AG175" i="1"/>
  <c r="AG277" i="1"/>
  <c r="AG160" i="1"/>
  <c r="AG158" i="1"/>
  <c r="AG155" i="1"/>
  <c r="AG154" i="1"/>
  <c r="AG153" i="1"/>
  <c r="AG152" i="1"/>
  <c r="AG151" i="1"/>
  <c r="AG150" i="1"/>
  <c r="AG114" i="1"/>
  <c r="AG111" i="1"/>
  <c r="AG89" i="1"/>
  <c r="AG81" i="1"/>
  <c r="AG80" i="1"/>
  <c r="AG72" i="1"/>
  <c r="AG71" i="1"/>
  <c r="AG141" i="1"/>
  <c r="AG139" i="1"/>
  <c r="AG138" i="1"/>
  <c r="AG134" i="1"/>
  <c r="AG133" i="1"/>
  <c r="AG132" i="1"/>
  <c r="AG131" i="1"/>
  <c r="AG130" i="1"/>
  <c r="AG129" i="1"/>
  <c r="AG128" i="1"/>
  <c r="AG126" i="1"/>
  <c r="AG125" i="1"/>
  <c r="AG124" i="1"/>
  <c r="AG123" i="1"/>
  <c r="AG122" i="1"/>
  <c r="AG121" i="1"/>
  <c r="AG120" i="1"/>
  <c r="AG119" i="1"/>
  <c r="AG118" i="1"/>
  <c r="AG116" i="1"/>
  <c r="AG32" i="1"/>
  <c r="AG31" i="1"/>
  <c r="AG30" i="1"/>
  <c r="AG23" i="1"/>
  <c r="AG22" i="1"/>
  <c r="AG21" i="1"/>
  <c r="AG20" i="1"/>
  <c r="AG19" i="1"/>
  <c r="AG15" i="1"/>
  <c r="AG12" i="1"/>
  <c r="AG11" i="1"/>
  <c r="AG10" i="1"/>
  <c r="AG9" i="1"/>
  <c r="AG8" i="1"/>
  <c r="AG7" i="1"/>
  <c r="AD1309" i="1"/>
  <c r="AD1310" i="1" s="1"/>
  <c r="AD1311" i="1"/>
  <c r="AD1314" i="1"/>
  <c r="AD1313" i="1"/>
  <c r="AD1312" i="1"/>
  <c r="AD993" i="1"/>
  <c r="AD1002" i="1" s="1"/>
  <c r="AD966" i="1"/>
  <c r="AD969" i="1"/>
  <c r="AD968" i="1"/>
  <c r="AD960" i="1"/>
  <c r="AD958" i="1"/>
  <c r="AD888" i="1"/>
  <c r="AD887" i="1"/>
  <c r="AD876" i="1"/>
  <c r="AD766" i="1"/>
  <c r="AD868" i="1"/>
  <c r="AD765" i="1"/>
  <c r="AD870" i="1"/>
  <c r="AD872" i="1"/>
  <c r="AD871" i="1"/>
  <c r="AD756" i="1"/>
  <c r="AD752" i="1"/>
  <c r="AD747" i="1"/>
  <c r="AD745" i="1"/>
  <c r="AD744" i="1"/>
  <c r="AD630" i="1"/>
  <c r="AD762" i="1"/>
  <c r="AD739" i="1"/>
  <c r="AD738" i="1"/>
  <c r="AD736" i="1"/>
  <c r="AD709" i="1"/>
  <c r="AD710" i="1"/>
  <c r="AD693" i="1"/>
  <c r="AD692" i="1"/>
  <c r="AD686" i="1"/>
  <c r="AD682" i="1"/>
  <c r="AD655" i="1"/>
  <c r="AD659" i="1"/>
  <c r="AD657" i="1"/>
  <c r="AD646" i="1"/>
  <c r="AD644" i="1"/>
  <c r="AD638" i="1"/>
  <c r="AD634" i="1"/>
  <c r="AD633" i="1"/>
  <c r="AD631" i="1"/>
  <c r="AD628" i="1"/>
  <c r="AD627" i="1"/>
  <c r="AD624" i="1"/>
  <c r="AD625" i="1" s="1"/>
  <c r="AD622" i="1"/>
  <c r="AD620" i="1"/>
  <c r="AD616" i="1"/>
  <c r="AD615" i="1"/>
  <c r="AD614" i="1"/>
  <c r="AD613" i="1"/>
  <c r="AD611" i="1"/>
  <c r="AD610" i="1"/>
  <c r="AD609" i="1"/>
  <c r="AD608" i="1"/>
  <c r="AD607" i="1"/>
  <c r="AD593" i="1"/>
  <c r="AD592" i="1"/>
  <c r="AD591" i="1"/>
  <c r="AD590" i="1"/>
  <c r="AD576" i="1"/>
  <c r="AD575" i="1"/>
  <c r="AD574" i="1"/>
  <c r="AD573" i="1"/>
  <c r="AD571" i="1"/>
  <c r="AD568" i="1"/>
  <c r="AD567" i="1"/>
  <c r="AD566" i="1"/>
  <c r="AD565" i="1"/>
  <c r="AD564" i="1"/>
  <c r="AD562" i="1"/>
  <c r="AD561" i="1"/>
  <c r="AD560" i="1"/>
  <c r="AD556" i="1"/>
  <c r="AD555" i="1"/>
  <c r="AD554" i="1"/>
  <c r="AD553" i="1"/>
  <c r="AD552" i="1"/>
  <c r="AD549" i="1"/>
  <c r="AD445" i="1"/>
  <c r="AD291" i="1"/>
  <c r="AD293" i="1"/>
  <c r="AD292" i="1"/>
  <c r="AD269" i="1"/>
  <c r="AD179" i="1"/>
  <c r="AD178" i="1"/>
  <c r="AD177" i="1"/>
  <c r="AD148" i="1"/>
  <c r="AD147" i="1"/>
  <c r="AD146" i="1"/>
  <c r="AD145" i="1"/>
  <c r="AD276" i="1"/>
  <c r="AD275" i="1"/>
  <c r="AD274" i="1"/>
  <c r="AD273" i="1"/>
  <c r="AD268" i="1"/>
  <c r="AD258" i="1"/>
  <c r="AD257" i="1"/>
  <c r="AD256" i="1"/>
  <c r="AD255" i="1"/>
  <c r="AD262" i="1"/>
  <c r="AD261" i="1"/>
  <c r="AD260" i="1"/>
  <c r="AD259" i="1"/>
  <c r="AD176" i="1"/>
  <c r="AD175" i="1"/>
  <c r="AD277" i="1"/>
  <c r="AD174" i="1"/>
  <c r="AD160" i="1"/>
  <c r="AD158" i="1"/>
  <c r="AD155" i="1"/>
  <c r="AD154" i="1"/>
  <c r="AD153" i="1"/>
  <c r="AD152" i="1"/>
  <c r="AD151" i="1"/>
  <c r="AD150" i="1"/>
  <c r="AD114" i="1"/>
  <c r="AD111" i="1"/>
  <c r="AD89" i="1"/>
  <c r="AD81" i="1"/>
  <c r="AD80" i="1"/>
  <c r="AD71" i="1"/>
  <c r="AD141" i="1"/>
  <c r="AD139" i="1"/>
  <c r="AD138" i="1"/>
  <c r="AD134" i="1"/>
  <c r="AD133" i="1"/>
  <c r="AD132" i="1"/>
  <c r="AD131" i="1"/>
  <c r="AD130" i="1"/>
  <c r="AD129" i="1"/>
  <c r="AD128" i="1"/>
  <c r="AD126" i="1"/>
  <c r="AD125" i="1"/>
  <c r="AD124" i="1"/>
  <c r="AD123" i="1"/>
  <c r="AD122" i="1"/>
  <c r="AD121" i="1"/>
  <c r="AD120" i="1"/>
  <c r="AD119" i="1"/>
  <c r="AD118" i="1"/>
  <c r="AD116" i="1"/>
  <c r="AD32" i="1"/>
  <c r="AD70" i="1" s="1"/>
  <c r="AD23" i="1"/>
  <c r="AB1314" i="1"/>
  <c r="AB1313" i="1"/>
  <c r="AB1310" i="1"/>
  <c r="AB993" i="1"/>
  <c r="AB1002" i="1" s="1"/>
  <c r="AB966" i="1"/>
  <c r="AB968" i="1"/>
  <c r="AB960" i="1"/>
  <c r="AB958" i="1"/>
  <c r="AB888" i="1"/>
  <c r="AB887" i="1"/>
  <c r="AB876" i="1"/>
  <c r="AB766" i="1"/>
  <c r="AB765" i="1"/>
  <c r="AB762" i="1"/>
  <c r="AB872" i="1"/>
  <c r="AB871" i="1"/>
  <c r="AB870" i="1"/>
  <c r="AB756" i="1"/>
  <c r="AB752" i="1"/>
  <c r="AB747" i="1"/>
  <c r="AB745" i="1"/>
  <c r="AB744" i="1"/>
  <c r="AB740" i="1"/>
  <c r="AB630" i="1"/>
  <c r="AB739" i="1"/>
  <c r="AB738" i="1"/>
  <c r="AB736" i="1"/>
  <c r="AB709" i="1"/>
  <c r="AB710" i="1"/>
  <c r="AB693" i="1"/>
  <c r="AB692" i="1"/>
  <c r="AB686" i="1"/>
  <c r="AB682" i="1"/>
  <c r="AB655" i="1"/>
  <c r="AB659" i="1"/>
  <c r="AB657" i="1"/>
  <c r="AB646" i="1"/>
  <c r="AB644" i="1"/>
  <c r="AB638" i="1"/>
  <c r="AB634" i="1"/>
  <c r="AB633" i="1"/>
  <c r="AB631" i="1"/>
  <c r="AB628" i="1"/>
  <c r="AB627" i="1"/>
  <c r="AB624" i="1"/>
  <c r="AB625" i="1" s="1"/>
  <c r="AB622" i="1"/>
  <c r="AB620" i="1"/>
  <c r="AB616" i="1"/>
  <c r="AB615" i="1"/>
  <c r="AB614" i="1"/>
  <c r="AB613" i="1"/>
  <c r="AB611" i="1"/>
  <c r="AB610" i="1"/>
  <c r="AB609" i="1"/>
  <c r="AB608" i="1"/>
  <c r="AB607" i="1"/>
  <c r="AB593" i="1"/>
  <c r="AB592" i="1"/>
  <c r="AB591" i="1"/>
  <c r="AB590" i="1"/>
  <c r="AB576" i="1"/>
  <c r="AB575" i="1"/>
  <c r="AB574" i="1"/>
  <c r="AB573" i="1"/>
  <c r="AB571" i="1"/>
  <c r="AB568" i="1"/>
  <c r="AB567" i="1"/>
  <c r="AB566" i="1"/>
  <c r="AB565" i="1"/>
  <c r="AB564" i="1"/>
  <c r="AB562" i="1"/>
  <c r="AB561" i="1"/>
  <c r="AB560" i="1"/>
  <c r="AB559" i="1"/>
  <c r="AB558" i="1"/>
  <c r="AB556" i="1"/>
  <c r="AB555" i="1"/>
  <c r="AB554" i="1"/>
  <c r="AB553" i="1"/>
  <c r="AB552" i="1"/>
  <c r="AB549" i="1"/>
  <c r="AB445" i="1"/>
  <c r="AB443" i="1"/>
  <c r="AB293" i="1"/>
  <c r="AB292" i="1"/>
  <c r="AB291" i="1"/>
  <c r="AB269" i="1"/>
  <c r="AB283" i="1"/>
  <c r="AB275" i="1"/>
  <c r="AB273" i="1"/>
  <c r="AB268" i="1"/>
  <c r="AB277" i="1"/>
  <c r="AB28" i="1"/>
  <c r="AB115" i="1"/>
  <c r="AB128" i="1"/>
  <c r="AB116" i="1"/>
  <c r="AH30" i="1"/>
  <c r="AH22" i="1"/>
  <c r="AH20" i="1"/>
  <c r="AH12" i="1"/>
  <c r="AB11" i="1"/>
  <c r="AH10" i="1"/>
  <c r="V576" i="1"/>
  <c r="V445" i="1"/>
  <c r="V9" i="1"/>
  <c r="Y1314" i="1"/>
  <c r="Y1313" i="1"/>
  <c r="Y1312" i="1"/>
  <c r="Y1311" i="1"/>
  <c r="Y1309" i="1"/>
  <c r="Y982" i="1"/>
  <c r="Y981" i="1"/>
  <c r="Y980" i="1"/>
  <c r="Y979" i="1"/>
  <c r="Y993" i="1"/>
  <c r="Y969" i="1"/>
  <c r="Y968" i="1"/>
  <c r="Y966" i="1"/>
  <c r="Y960" i="1"/>
  <c r="Y958" i="1"/>
  <c r="Y953" i="1"/>
  <c r="Y951" i="1"/>
  <c r="Y888" i="1"/>
  <c r="Y887" i="1"/>
  <c r="Y876" i="1"/>
  <c r="Y738" i="1"/>
  <c r="Y682" i="1"/>
  <c r="Y655" i="1"/>
  <c r="Y659" i="1"/>
  <c r="Y657" i="1"/>
  <c r="Y646" i="1"/>
  <c r="Y633" i="1"/>
  <c r="Y607" i="1"/>
  <c r="Y592" i="1"/>
  <c r="Y591" i="1"/>
  <c r="Y590" i="1"/>
  <c r="Y576" i="1"/>
  <c r="AB442" i="1" l="1"/>
  <c r="AG442" i="1"/>
  <c r="AR442" i="1"/>
  <c r="AD442" i="1"/>
  <c r="AQ1362" i="1"/>
  <c r="AQ1363" i="1" s="1"/>
  <c r="AY602" i="1"/>
  <c r="AY1329" i="1" s="1"/>
  <c r="AY1386" i="1" s="1"/>
  <c r="AY1387" i="1"/>
  <c r="AP1322" i="1"/>
  <c r="AP11" i="1"/>
  <c r="AR11" i="1" s="1"/>
  <c r="BB11" i="1" s="1"/>
  <c r="AP12" i="1"/>
  <c r="AP10" i="1"/>
  <c r="AR10" i="1" s="1"/>
  <c r="BB10" i="1" s="1"/>
  <c r="AT1383" i="1"/>
  <c r="AT1384" i="1" s="1"/>
  <c r="AT1333" i="1"/>
  <c r="AT24" i="1" s="1"/>
  <c r="AT29" i="1" s="1"/>
  <c r="AX1383" i="1"/>
  <c r="AX1384" i="1" s="1"/>
  <c r="AX1333" i="1"/>
  <c r="AX24" i="1" s="1"/>
  <c r="AX29" i="1" s="1"/>
  <c r="BB1313" i="1"/>
  <c r="AY1308" i="1"/>
  <c r="AN1361" i="1"/>
  <c r="AN250" i="1"/>
  <c r="AL1380" i="1"/>
  <c r="AL1381" i="1" s="1"/>
  <c r="AH966" i="1"/>
  <c r="AG468" i="1"/>
  <c r="AB468" i="1"/>
  <c r="AB544" i="1" s="1"/>
  <c r="BB468" i="1"/>
  <c r="BB1369" i="1" s="1"/>
  <c r="AD468" i="1"/>
  <c r="AD544" i="1" s="1"/>
  <c r="AR468" i="1"/>
  <c r="AR544" i="1" s="1"/>
  <c r="AG70" i="1"/>
  <c r="AR764" i="1"/>
  <c r="AR1378" i="1" s="1"/>
  <c r="AH32" i="1"/>
  <c r="AG764" i="1"/>
  <c r="AB764" i="1"/>
  <c r="AB1378" i="1" s="1"/>
  <c r="AD764" i="1"/>
  <c r="AD1378" i="1" s="1"/>
  <c r="Y972" i="1"/>
  <c r="BB972" i="1"/>
  <c r="AB972" i="1"/>
  <c r="AD972" i="1"/>
  <c r="AR972" i="1"/>
  <c r="AR1024" i="1" s="1"/>
  <c r="AG972" i="1"/>
  <c r="AD623" i="1"/>
  <c r="AB623" i="1"/>
  <c r="AG623" i="1"/>
  <c r="AH958" i="1"/>
  <c r="AH960" i="1"/>
  <c r="BA1373" i="1"/>
  <c r="BA626" i="1"/>
  <c r="BA544" i="1"/>
  <c r="AR1371" i="1"/>
  <c r="BB762" i="1"/>
  <c r="Y1310" i="1"/>
  <c r="AG1002" i="1"/>
  <c r="AG1310" i="1"/>
  <c r="Y1002" i="1"/>
  <c r="AG625" i="1"/>
  <c r="BA1024" i="1"/>
  <c r="AQ1381" i="1"/>
  <c r="BA1380" i="1"/>
  <c r="AQ1376" i="1"/>
  <c r="BA1369" i="1"/>
  <c r="BA1372" i="1" s="1"/>
  <c r="BA1379" i="1"/>
  <c r="AQ1385" i="1"/>
  <c r="AQ1366" i="1"/>
  <c r="BA1374" i="1"/>
  <c r="BA1377" i="1"/>
  <c r="BA1378" i="1"/>
  <c r="AG1371" i="1"/>
  <c r="BA1367" i="1"/>
  <c r="BA1364" i="1"/>
  <c r="BA1361" i="1"/>
  <c r="AB284" i="1"/>
  <c r="BB291" i="1"/>
  <c r="BB442" i="1" s="1"/>
  <c r="AG284" i="1"/>
  <c r="AR284" i="1"/>
  <c r="AG572" i="1"/>
  <c r="AL1024" i="1"/>
  <c r="AL1373" i="1"/>
  <c r="AL1376" i="1" s="1"/>
  <c r="BB1373" i="1"/>
  <c r="BB1376" i="1" s="1"/>
  <c r="BB624" i="1"/>
  <c r="BB625" i="1" s="1"/>
  <c r="AB1359" i="1"/>
  <c r="AG992" i="1"/>
  <c r="Y992" i="1"/>
  <c r="AL1366" i="1"/>
  <c r="AL1359" i="1"/>
  <c r="AR115" i="1"/>
  <c r="AP1382" i="1"/>
  <c r="AR1380" i="1"/>
  <c r="AQ1382" i="1"/>
  <c r="AL1369" i="1"/>
  <c r="AL1372" i="1" s="1"/>
  <c r="BA144" i="1"/>
  <c r="BA250" i="1" s="1"/>
  <c r="BA1362" i="1" s="1"/>
  <c r="BA1359" i="1"/>
  <c r="BA1365" i="1"/>
  <c r="AN1382" i="1"/>
  <c r="BB613" i="1"/>
  <c r="BB623" i="1" s="1"/>
  <c r="AR594" i="1"/>
  <c r="AR1374" i="1" s="1"/>
  <c r="AH630" i="1"/>
  <c r="BB607" i="1"/>
  <c r="BB612" i="1" s="1"/>
  <c r="Y1315" i="1"/>
  <c r="Y1307" i="1" s="1"/>
  <c r="AD889" i="1"/>
  <c r="AG28" i="1"/>
  <c r="BB71" i="1"/>
  <c r="BB1309" i="1"/>
  <c r="BB1310" i="1" s="1"/>
  <c r="AR572" i="1"/>
  <c r="AB612" i="1"/>
  <c r="AB873" i="1"/>
  <c r="AB889" i="1"/>
  <c r="AB1315" i="1"/>
  <c r="AB1307" i="1" s="1"/>
  <c r="AD28" i="1"/>
  <c r="AD612" i="1"/>
  <c r="AG1315" i="1"/>
  <c r="AG1307" i="1" s="1"/>
  <c r="AD873" i="1"/>
  <c r="AD869" i="1"/>
  <c r="AD1379" i="1" s="1"/>
  <c r="BB1311" i="1"/>
  <c r="AR1315" i="1"/>
  <c r="AR1307" i="1" s="1"/>
  <c r="AD115" i="1"/>
  <c r="AD149" i="1"/>
  <c r="AD1315" i="1"/>
  <c r="AB267" i="1"/>
  <c r="AB1365" i="1" s="1"/>
  <c r="AB281" i="1"/>
  <c r="AB1367" i="1" s="1"/>
  <c r="AB149" i="1"/>
  <c r="AR267" i="1"/>
  <c r="AR1365" i="1" s="1"/>
  <c r="BA874" i="1"/>
  <c r="BA931" i="1" s="1"/>
  <c r="BA1322" i="1" s="1"/>
  <c r="Y889" i="1"/>
  <c r="AB143" i="1"/>
  <c r="AB1364" i="1" s="1"/>
  <c r="AB572" i="1"/>
  <c r="AB737" i="1"/>
  <c r="AB1377" i="1" s="1"/>
  <c r="AD737" i="1"/>
  <c r="AD1377" i="1" s="1"/>
  <c r="AG281" i="1"/>
  <c r="AG594" i="1"/>
  <c r="AG612" i="1"/>
  <c r="AG873" i="1"/>
  <c r="AG889" i="1"/>
  <c r="BB876" i="1"/>
  <c r="BB889" i="1" s="1"/>
  <c r="AR626" i="1"/>
  <c r="AR1385" i="1" s="1"/>
  <c r="AB869" i="1"/>
  <c r="AB1379" i="1" s="1"/>
  <c r="AL874" i="1"/>
  <c r="AL931" i="1" s="1"/>
  <c r="AL1322" i="1" s="1"/>
  <c r="AB110" i="1"/>
  <c r="AB1361" i="1" s="1"/>
  <c r="AB594" i="1"/>
  <c r="AB1374" i="1" s="1"/>
  <c r="AD143" i="1"/>
  <c r="AD1364" i="1" s="1"/>
  <c r="AD110" i="1"/>
  <c r="AD1361" i="1" s="1"/>
  <c r="AD267" i="1"/>
  <c r="AD1365" i="1" s="1"/>
  <c r="AD281" i="1"/>
  <c r="AD1367" i="1" s="1"/>
  <c r="AD572" i="1"/>
  <c r="AD594" i="1"/>
  <c r="AD1374" i="1" s="1"/>
  <c r="AG143" i="1"/>
  <c r="AG110" i="1"/>
  <c r="AG115" i="1"/>
  <c r="AG149" i="1"/>
  <c r="AG737" i="1"/>
  <c r="AG869" i="1"/>
  <c r="AG267" i="1"/>
  <c r="AL626" i="1"/>
  <c r="AL1385" i="1" s="1"/>
  <c r="AL144" i="1"/>
  <c r="AL250" i="1" s="1"/>
  <c r="AL282" i="1" s="1"/>
  <c r="BB283" i="1"/>
  <c r="BB281" i="1"/>
  <c r="BB1367" i="1" s="1"/>
  <c r="AR869" i="1"/>
  <c r="AR1379" i="1" s="1"/>
  <c r="AR28" i="1"/>
  <c r="AR281" i="1"/>
  <c r="AR1367" i="1" s="1"/>
  <c r="BB7" i="1"/>
  <c r="AR737" i="1"/>
  <c r="AR1377" i="1" s="1"/>
  <c r="BB255" i="1"/>
  <c r="BB267" i="1" s="1"/>
  <c r="BB1365" i="1" s="1"/>
  <c r="BB868" i="1"/>
  <c r="BB869" i="1" s="1"/>
  <c r="BB1379" i="1" s="1"/>
  <c r="AI1309" i="1"/>
  <c r="AI1312" i="1"/>
  <c r="BB738" i="1"/>
  <c r="BB627" i="1"/>
  <c r="BB979" i="1"/>
  <c r="BB992" i="1" s="1"/>
  <c r="AI576" i="1"/>
  <c r="BB709" i="1"/>
  <c r="BB659" i="1"/>
  <c r="BB139" i="1"/>
  <c r="BB150" i="1"/>
  <c r="BB993" i="1"/>
  <c r="BB1002" i="1" s="1"/>
  <c r="AH142" i="1"/>
  <c r="AI592" i="1"/>
  <c r="AI607" i="1"/>
  <c r="AI633" i="1"/>
  <c r="AI657" i="1"/>
  <c r="AI951" i="1"/>
  <c r="AI979" i="1"/>
  <c r="AH141" i="1"/>
  <c r="AH766" i="1"/>
  <c r="AI982" i="1"/>
  <c r="AI1311" i="1"/>
  <c r="AI1313" i="1"/>
  <c r="BB1025" i="1"/>
  <c r="AI738" i="1"/>
  <c r="AH870" i="1"/>
  <c r="AH283" i="1"/>
  <c r="AH443" i="1"/>
  <c r="AH8" i="1"/>
  <c r="AI591" i="1"/>
  <c r="AH747" i="1"/>
  <c r="AH756" i="1"/>
  <c r="AH868" i="1"/>
  <c r="AI958" i="1"/>
  <c r="AI981" i="1"/>
  <c r="AI1314" i="1"/>
  <c r="AH744" i="1"/>
  <c r="BB145" i="1"/>
  <c r="BB149" i="1" s="1"/>
  <c r="AI887" i="1"/>
  <c r="AI966" i="1"/>
  <c r="BB30" i="1"/>
  <c r="AH1311" i="1"/>
  <c r="AH624" i="1"/>
  <c r="AH625" i="1" s="1"/>
  <c r="AH1309" i="1"/>
  <c r="AH1310" i="1" s="1"/>
  <c r="AH118" i="1"/>
  <c r="AH120" i="1"/>
  <c r="AH122" i="1"/>
  <c r="AH124" i="1"/>
  <c r="AH126" i="1"/>
  <c r="AH129" i="1"/>
  <c r="AH132" i="1"/>
  <c r="AH138" i="1"/>
  <c r="AH71" i="1"/>
  <c r="AH80" i="1"/>
  <c r="AH89" i="1"/>
  <c r="AH111" i="1"/>
  <c r="AH150" i="1"/>
  <c r="AH152" i="1"/>
  <c r="AH154" i="1"/>
  <c r="AH158" i="1"/>
  <c r="AH174" i="1"/>
  <c r="AH176" i="1"/>
  <c r="AH260" i="1"/>
  <c r="AH262" i="1"/>
  <c r="AH256" i="1"/>
  <c r="AH258" i="1"/>
  <c r="AH268" i="1"/>
  <c r="AH274" i="1"/>
  <c r="AH276" i="1"/>
  <c r="AH146" i="1"/>
  <c r="AH148" i="1"/>
  <c r="AH178" i="1"/>
  <c r="AH269" i="1"/>
  <c r="AH552" i="1"/>
  <c r="AH554" i="1"/>
  <c r="AH556" i="1"/>
  <c r="AH559" i="1"/>
  <c r="AH561" i="1"/>
  <c r="AH564" i="1"/>
  <c r="AH566" i="1"/>
  <c r="AH568" i="1"/>
  <c r="AH573" i="1"/>
  <c r="AH575" i="1"/>
  <c r="AH590" i="1"/>
  <c r="AH592" i="1"/>
  <c r="AH607" i="1"/>
  <c r="AH609" i="1"/>
  <c r="AH611" i="1"/>
  <c r="AH615" i="1"/>
  <c r="AH620" i="1"/>
  <c r="AH628" i="1"/>
  <c r="AH633" i="1"/>
  <c r="AH634" i="1"/>
  <c r="AH644" i="1"/>
  <c r="AH657" i="1"/>
  <c r="AH655" i="1"/>
  <c r="AH686" i="1"/>
  <c r="AH693" i="1"/>
  <c r="AH709" i="1"/>
  <c r="AH738" i="1"/>
  <c r="AH871" i="1"/>
  <c r="AI682" i="1"/>
  <c r="AI590" i="1"/>
  <c r="AI968" i="1"/>
  <c r="AI993" i="1"/>
  <c r="AI980" i="1"/>
  <c r="AI646" i="1"/>
  <c r="AI659" i="1"/>
  <c r="AI876" i="1"/>
  <c r="AI888" i="1"/>
  <c r="AI953" i="1"/>
  <c r="AI960" i="1"/>
  <c r="AH7" i="1"/>
  <c r="AH9" i="1"/>
  <c r="AH11" i="1"/>
  <c r="AH15" i="1"/>
  <c r="AH19" i="1"/>
  <c r="AH21" i="1"/>
  <c r="AH23" i="1"/>
  <c r="AH31" i="1"/>
  <c r="AH116" i="1"/>
  <c r="AH119" i="1"/>
  <c r="AH121" i="1"/>
  <c r="AH123" i="1"/>
  <c r="AH125" i="1"/>
  <c r="AH128" i="1"/>
  <c r="AH130" i="1"/>
  <c r="AH131" i="1"/>
  <c r="AH133" i="1"/>
  <c r="AH134" i="1"/>
  <c r="AH139" i="1"/>
  <c r="AH72" i="1"/>
  <c r="AH81" i="1"/>
  <c r="AH114" i="1"/>
  <c r="AH151" i="1"/>
  <c r="AH153" i="1"/>
  <c r="AH155" i="1"/>
  <c r="AH160" i="1"/>
  <c r="AH277" i="1"/>
  <c r="AH175" i="1"/>
  <c r="AH259" i="1"/>
  <c r="AH261" i="1"/>
  <c r="AH255" i="1"/>
  <c r="AH257" i="1"/>
  <c r="AH273" i="1"/>
  <c r="AH275" i="1"/>
  <c r="AH145" i="1"/>
  <c r="AH147" i="1"/>
  <c r="AH177" i="1"/>
  <c r="AH179" i="1"/>
  <c r="AH291" i="1"/>
  <c r="AH549" i="1"/>
  <c r="AH553" i="1"/>
  <c r="AH555" i="1"/>
  <c r="AH558" i="1"/>
  <c r="AH560" i="1"/>
  <c r="AH562" i="1"/>
  <c r="AH565" i="1"/>
  <c r="AH567" i="1"/>
  <c r="AH571" i="1"/>
  <c r="AH574" i="1"/>
  <c r="AH576" i="1"/>
  <c r="AH591" i="1"/>
  <c r="AH593" i="1"/>
  <c r="AH608" i="1"/>
  <c r="AH610" i="1"/>
  <c r="AH613" i="1"/>
  <c r="AH614" i="1"/>
  <c r="AH616" i="1"/>
  <c r="AH622" i="1"/>
  <c r="AH740" i="1"/>
  <c r="AH745" i="1"/>
  <c r="AH752" i="1"/>
  <c r="AH888" i="1"/>
  <c r="AI655" i="1"/>
  <c r="AI969" i="1"/>
  <c r="AH293" i="1"/>
  <c r="AH762" i="1"/>
  <c r="AH887" i="1"/>
  <c r="AH292" i="1"/>
  <c r="AH627" i="1"/>
  <c r="AH631" i="1"/>
  <c r="AH638" i="1"/>
  <c r="AH646" i="1"/>
  <c r="AH659" i="1"/>
  <c r="AH682" i="1"/>
  <c r="AH692" i="1"/>
  <c r="AH710" i="1"/>
  <c r="AH736" i="1"/>
  <c r="AH739" i="1"/>
  <c r="AH872" i="1"/>
  <c r="AH765" i="1"/>
  <c r="AH993" i="1"/>
  <c r="AH1002" i="1" s="1"/>
  <c r="AH1314" i="1"/>
  <c r="AH445" i="1"/>
  <c r="AH1313" i="1"/>
  <c r="AH1312" i="1"/>
  <c r="AH876" i="1"/>
  <c r="AH969" i="1"/>
  <c r="AH968" i="1"/>
  <c r="BB1315" i="1" l="1"/>
  <c r="AH442" i="1"/>
  <c r="AT1358" i="1"/>
  <c r="AT1360" i="1" s="1"/>
  <c r="AT1368" i="1" s="1"/>
  <c r="AS1357" i="1" s="1"/>
  <c r="AT290" i="1"/>
  <c r="AT6" i="1" s="1"/>
  <c r="BA282" i="1"/>
  <c r="AL1362" i="1"/>
  <c r="AL1363" i="1" s="1"/>
  <c r="AX1358" i="1"/>
  <c r="AX1360" i="1" s="1"/>
  <c r="AX1368" i="1" s="1"/>
  <c r="AW1357" i="1" s="1"/>
  <c r="AX290" i="1"/>
  <c r="AX6" i="1" s="1"/>
  <c r="AN282" i="1"/>
  <c r="AN1362" i="1"/>
  <c r="AN1363" i="1" s="1"/>
  <c r="AY1333" i="1"/>
  <c r="AY24" i="1" s="1"/>
  <c r="AY29" i="1" s="1"/>
  <c r="AY1383" i="1"/>
  <c r="AY1384" i="1" s="1"/>
  <c r="AD1307" i="1"/>
  <c r="BB1307" i="1"/>
  <c r="AH70" i="1"/>
  <c r="AH468" i="1"/>
  <c r="AH544" i="1" s="1"/>
  <c r="BB764" i="1"/>
  <c r="BB1378" i="1" s="1"/>
  <c r="BB1024" i="1"/>
  <c r="BB1382" i="1" s="1"/>
  <c r="AH972" i="1"/>
  <c r="AH764" i="1"/>
  <c r="AH1378" i="1" s="1"/>
  <c r="AI972" i="1"/>
  <c r="AH623" i="1"/>
  <c r="BA1376" i="1"/>
  <c r="BA1385" i="1"/>
  <c r="BA1363" i="1"/>
  <c r="BB1371" i="1"/>
  <c r="BB1372" i="1" s="1"/>
  <c r="BB544" i="1"/>
  <c r="AH1371" i="1"/>
  <c r="AG544" i="1"/>
  <c r="AI1002" i="1"/>
  <c r="Q1314" i="1"/>
  <c r="Q1313" i="1"/>
  <c r="Q1311" i="1"/>
  <c r="BA1382" i="1"/>
  <c r="Q969" i="1"/>
  <c r="Q968" i="1"/>
  <c r="Q876" i="1"/>
  <c r="Q960" i="1"/>
  <c r="Q888" i="1"/>
  <c r="Q887" i="1"/>
  <c r="Q981" i="1"/>
  <c r="Q980" i="1"/>
  <c r="Q958" i="1"/>
  <c r="Q982" i="1"/>
  <c r="Q953" i="1"/>
  <c r="Q966" i="1"/>
  <c r="Q951" i="1"/>
  <c r="BA1366" i="1"/>
  <c r="BA1381" i="1"/>
  <c r="Q659" i="1"/>
  <c r="Q591" i="1"/>
  <c r="Q633" i="1"/>
  <c r="Q576" i="1"/>
  <c r="AG1379" i="1"/>
  <c r="Q655" i="1"/>
  <c r="Q646" i="1"/>
  <c r="Q590" i="1"/>
  <c r="AG1378" i="1"/>
  <c r="AG1374" i="1"/>
  <c r="Q682" i="1"/>
  <c r="Q607" i="1"/>
  <c r="AG1377" i="1"/>
  <c r="Q738" i="1"/>
  <c r="Q657" i="1"/>
  <c r="Q592" i="1"/>
  <c r="AG1364" i="1"/>
  <c r="AG1367" i="1"/>
  <c r="AG1365" i="1"/>
  <c r="AG1361" i="1"/>
  <c r="AH284" i="1"/>
  <c r="BB284" i="1"/>
  <c r="AL1382" i="1"/>
  <c r="AD1359" i="1"/>
  <c r="AB626" i="1"/>
  <c r="AB1385" i="1" s="1"/>
  <c r="AD1373" i="1"/>
  <c r="AD1376" i="1" s="1"/>
  <c r="AR1373" i="1"/>
  <c r="AR1376" i="1" s="1"/>
  <c r="AG1373" i="1"/>
  <c r="AB1373" i="1"/>
  <c r="AB1376" i="1" s="1"/>
  <c r="AD1366" i="1"/>
  <c r="AD626" i="1"/>
  <c r="AD1385" i="1" s="1"/>
  <c r="AB1380" i="1"/>
  <c r="AB1381" i="1" s="1"/>
  <c r="BB626" i="1"/>
  <c r="BB1385" i="1" s="1"/>
  <c r="Q979" i="1"/>
  <c r="AI992" i="1"/>
  <c r="AD1380" i="1"/>
  <c r="AD1381" i="1" s="1"/>
  <c r="AG1380" i="1"/>
  <c r="AR1381" i="1"/>
  <c r="AD1369" i="1"/>
  <c r="AD1372" i="1" s="1"/>
  <c r="AB1366" i="1"/>
  <c r="AG1369" i="1"/>
  <c r="AG1372" i="1" s="1"/>
  <c r="AB1369" i="1"/>
  <c r="AB1372" i="1" s="1"/>
  <c r="AG1359" i="1"/>
  <c r="AR1369" i="1"/>
  <c r="AR1372" i="1" s="1"/>
  <c r="AR1382" i="1"/>
  <c r="AG626" i="1"/>
  <c r="Q993" i="1"/>
  <c r="AH869" i="1"/>
  <c r="AH1379" i="1" s="1"/>
  <c r="AG1024" i="1"/>
  <c r="Y1024" i="1"/>
  <c r="AH889" i="1"/>
  <c r="AB144" i="1"/>
  <c r="AB250" i="1" s="1"/>
  <c r="AB282" i="1" s="1"/>
  <c r="AD874" i="1"/>
  <c r="AD931" i="1" s="1"/>
  <c r="AD1322" i="1" s="1"/>
  <c r="AH28" i="1"/>
  <c r="Q1312" i="1"/>
  <c r="AI1315" i="1"/>
  <c r="AI1307" i="1" s="1"/>
  <c r="AB874" i="1"/>
  <c r="AB931" i="1" s="1"/>
  <c r="AB1322" i="1" s="1"/>
  <c r="Q1309" i="1"/>
  <c r="AI1310" i="1"/>
  <c r="AH1315" i="1"/>
  <c r="AH1307" i="1" s="1"/>
  <c r="AI889" i="1"/>
  <c r="AH149" i="1"/>
  <c r="AH267" i="1"/>
  <c r="AH1365" i="1" s="1"/>
  <c r="AH873" i="1"/>
  <c r="AD144" i="1"/>
  <c r="AD250" i="1" s="1"/>
  <c r="AD282" i="1" s="1"/>
  <c r="AH572" i="1"/>
  <c r="AH143" i="1"/>
  <c r="AH1364" i="1" s="1"/>
  <c r="AH612" i="1"/>
  <c r="AH594" i="1"/>
  <c r="AH1374" i="1" s="1"/>
  <c r="AH110" i="1"/>
  <c r="AH1361" i="1" s="1"/>
  <c r="AR874" i="1"/>
  <c r="AR931" i="1" s="1"/>
  <c r="AR1322" i="1" s="1"/>
  <c r="AG874" i="1"/>
  <c r="AG931" i="1" s="1"/>
  <c r="AG1322" i="1" s="1"/>
  <c r="AG144" i="1"/>
  <c r="AG250" i="1" s="1"/>
  <c r="AG282" i="1" s="1"/>
  <c r="AH737" i="1"/>
  <c r="AH1377" i="1" s="1"/>
  <c r="AH281" i="1"/>
  <c r="AH1367" i="1" s="1"/>
  <c r="AH115" i="1"/>
  <c r="R1025" i="1"/>
  <c r="R1291" i="1" s="1"/>
  <c r="BB1291" i="1"/>
  <c r="BB28" i="1"/>
  <c r="BB737" i="1"/>
  <c r="BB1377" i="1" s="1"/>
  <c r="AR13" i="1"/>
  <c r="BB13" i="1" s="1"/>
  <c r="AR12" i="1"/>
  <c r="AB1362" i="1" l="1"/>
  <c r="AB1363" i="1" s="1"/>
  <c r="AD1362" i="1"/>
  <c r="AD1363" i="1" s="1"/>
  <c r="AX1355" i="1"/>
  <c r="AG1362" i="1"/>
  <c r="AG1363" i="1" s="1"/>
  <c r="AT1355" i="1"/>
  <c r="AY1358" i="1"/>
  <c r="AY1360" i="1" s="1"/>
  <c r="AY1368" i="1" s="1"/>
  <c r="AY290" i="1"/>
  <c r="AY6" i="1" s="1"/>
  <c r="BA950" i="1"/>
  <c r="BA547" i="1"/>
  <c r="AL950" i="1"/>
  <c r="AL547" i="1"/>
  <c r="AP950" i="1"/>
  <c r="AP547" i="1"/>
  <c r="AQ950" i="1"/>
  <c r="AQ547" i="1"/>
  <c r="AN950" i="1"/>
  <c r="AN547" i="1"/>
  <c r="AH1359" i="1"/>
  <c r="Q972" i="1"/>
  <c r="AG1366" i="1"/>
  <c r="AG1376" i="1"/>
  <c r="Q1315" i="1"/>
  <c r="Q1307" i="1" s="1"/>
  <c r="Q1310" i="1"/>
  <c r="AG1381" i="1"/>
  <c r="Q889" i="1"/>
  <c r="Q1002" i="1"/>
  <c r="Q992" i="1"/>
  <c r="AG1385" i="1"/>
  <c r="AH1373" i="1"/>
  <c r="AH1376" i="1" s="1"/>
  <c r="AH1380" i="1"/>
  <c r="AH1381" i="1" s="1"/>
  <c r="AH1366" i="1"/>
  <c r="Y1382" i="1"/>
  <c r="AG1382" i="1"/>
  <c r="AH1369" i="1"/>
  <c r="AH1372" i="1" s="1"/>
  <c r="AI1024" i="1"/>
  <c r="AH874" i="1"/>
  <c r="AH931" i="1" s="1"/>
  <c r="AH1322" i="1" s="1"/>
  <c r="AH144" i="1"/>
  <c r="AH250" i="1" s="1"/>
  <c r="AH282" i="1" s="1"/>
  <c r="AH626" i="1"/>
  <c r="AH1385" i="1" s="1"/>
  <c r="BB12" i="1"/>
  <c r="AR22" i="1"/>
  <c r="BB22" i="1" s="1"/>
  <c r="BA602" i="1" l="1"/>
  <c r="BA1329" i="1" s="1"/>
  <c r="BA1386" i="1" s="1"/>
  <c r="BA1387" i="1"/>
  <c r="AN602" i="1"/>
  <c r="AN1329" i="1" s="1"/>
  <c r="AN1386" i="1" s="1"/>
  <c r="AN1387" i="1"/>
  <c r="AQ602" i="1"/>
  <c r="AQ1329" i="1" s="1"/>
  <c r="AQ1386" i="1" s="1"/>
  <c r="AQ1387" i="1"/>
  <c r="AH1362" i="1"/>
  <c r="AH1363" i="1" s="1"/>
  <c r="AP602" i="1"/>
  <c r="AP1329" i="1" s="1"/>
  <c r="AP1386" i="1" s="1"/>
  <c r="AP1387" i="1"/>
  <c r="AL602" i="1"/>
  <c r="AL1329" i="1" s="1"/>
  <c r="AL1386" i="1" s="1"/>
  <c r="AL1387" i="1"/>
  <c r="AP1308" i="1"/>
  <c r="AQ1308" i="1"/>
  <c r="AL1308" i="1"/>
  <c r="BA1308" i="1"/>
  <c r="AG950" i="1"/>
  <c r="AG1308" i="1" s="1"/>
  <c r="AG1333" i="1" s="1"/>
  <c r="AG24" i="1" s="1"/>
  <c r="AG29" i="1" s="1"/>
  <c r="AG547" i="1"/>
  <c r="AN1308" i="1"/>
  <c r="Q1024" i="1"/>
  <c r="AI1382" i="1"/>
  <c r="AR15" i="1"/>
  <c r="AG1383" i="1" l="1"/>
  <c r="AG1384" i="1" s="1"/>
  <c r="AG290" i="1"/>
  <c r="AG1358" i="1"/>
  <c r="AG1360" i="1" s="1"/>
  <c r="AG1368" i="1" s="1"/>
  <c r="BA1333" i="1"/>
  <c r="BA24" i="1" s="1"/>
  <c r="BA29" i="1" s="1"/>
  <c r="BA1383" i="1"/>
  <c r="BA1384" i="1" s="1"/>
  <c r="AG602" i="1"/>
  <c r="AG1329" i="1" s="1"/>
  <c r="AG1386" i="1" s="1"/>
  <c r="AG1387" i="1"/>
  <c r="AQ1333" i="1"/>
  <c r="AQ24" i="1" s="1"/>
  <c r="AQ29" i="1" s="1"/>
  <c r="AQ1383" i="1"/>
  <c r="AQ1384" i="1" s="1"/>
  <c r="AN1383" i="1"/>
  <c r="AN1384" i="1" s="1"/>
  <c r="AN1333" i="1"/>
  <c r="AN24" i="1" s="1"/>
  <c r="AN29" i="1" s="1"/>
  <c r="AL1383" i="1"/>
  <c r="AL1384" i="1" s="1"/>
  <c r="AL1333" i="1"/>
  <c r="AL24" i="1" s="1"/>
  <c r="AL29" i="1" s="1"/>
  <c r="AP1383" i="1"/>
  <c r="AP1384" i="1" s="1"/>
  <c r="AP1333" i="1"/>
  <c r="AP24" i="1" s="1"/>
  <c r="AP29" i="1" s="1"/>
  <c r="Q1382" i="1"/>
  <c r="BB15" i="1"/>
  <c r="AR31" i="1"/>
  <c r="AR70" i="1" s="1"/>
  <c r="AG6" i="1" l="1"/>
  <c r="AQ290" i="1"/>
  <c r="AQ6" i="1" s="1"/>
  <c r="AQ1358" i="1"/>
  <c r="AQ1360" i="1" s="1"/>
  <c r="AQ1368" i="1" s="1"/>
  <c r="BA290" i="1"/>
  <c r="BA6" i="1" s="1"/>
  <c r="BA1358" i="1"/>
  <c r="BA1360" i="1" s="1"/>
  <c r="BA1368" i="1" s="1"/>
  <c r="AL1358" i="1"/>
  <c r="AL1360" i="1" s="1"/>
  <c r="AL1368" i="1" s="1"/>
  <c r="AK1357" i="1" s="1"/>
  <c r="AL290" i="1"/>
  <c r="AL6" i="1" s="1"/>
  <c r="AP1358" i="1"/>
  <c r="AP1360" i="1" s="1"/>
  <c r="AP1368" i="1" s="1"/>
  <c r="AO1357" i="1" s="1"/>
  <c r="AP290" i="1"/>
  <c r="AP6" i="1" s="1"/>
  <c r="AN1358" i="1"/>
  <c r="AN1360" i="1" s="1"/>
  <c r="AN1368" i="1" s="1"/>
  <c r="AM1357" i="1" s="1"/>
  <c r="AN290" i="1"/>
  <c r="AN6" i="1" s="1"/>
  <c r="AR1359" i="1"/>
  <c r="BB31" i="1"/>
  <c r="BB70" i="1" s="1"/>
  <c r="V131" i="1"/>
  <c r="AP1355" i="1" l="1"/>
  <c r="AN1355" i="1"/>
  <c r="AL1355" i="1"/>
  <c r="BB1359" i="1"/>
  <c r="Y644" i="1"/>
  <c r="V261" i="1"/>
  <c r="V638" i="1"/>
  <c r="V762" i="1"/>
  <c r="V870" i="1"/>
  <c r="V960" i="1"/>
  <c r="V966" i="1"/>
  <c r="V968" i="1"/>
  <c r="V1311" i="1"/>
  <c r="V1312" i="1"/>
  <c r="V23" i="1"/>
  <c r="V21" i="1"/>
  <c r="V8" i="1"/>
  <c r="V993" i="1"/>
  <c r="V1002" i="1" s="1"/>
  <c r="V958" i="1"/>
  <c r="V888" i="1"/>
  <c r="V887" i="1"/>
  <c r="V876" i="1"/>
  <c r="V872" i="1"/>
  <c r="V871" i="1"/>
  <c r="V756" i="1"/>
  <c r="V752" i="1"/>
  <c r="V747" i="1"/>
  <c r="V745" i="1"/>
  <c r="V744" i="1"/>
  <c r="V740" i="1"/>
  <c r="V630" i="1"/>
  <c r="V739" i="1"/>
  <c r="V738" i="1"/>
  <c r="V736" i="1"/>
  <c r="V709" i="1"/>
  <c r="V710" i="1"/>
  <c r="V693" i="1"/>
  <c r="V692" i="1"/>
  <c r="V686" i="1"/>
  <c r="V682" i="1"/>
  <c r="V655" i="1"/>
  <c r="V659" i="1"/>
  <c r="V657" i="1"/>
  <c r="V646" i="1"/>
  <c r="V634" i="1"/>
  <c r="V633" i="1"/>
  <c r="V631" i="1"/>
  <c r="V628" i="1"/>
  <c r="V627" i="1"/>
  <c r="V443" i="1"/>
  <c r="V1314" i="1"/>
  <c r="V1313" i="1"/>
  <c r="V1309" i="1"/>
  <c r="V1310" i="1" s="1"/>
  <c r="V969" i="1"/>
  <c r="V766" i="1"/>
  <c r="V765" i="1"/>
  <c r="V624" i="1"/>
  <c r="V625" i="1" s="1"/>
  <c r="V622" i="1"/>
  <c r="V620" i="1"/>
  <c r="V616" i="1"/>
  <c r="V615" i="1"/>
  <c r="V614" i="1"/>
  <c r="V613" i="1"/>
  <c r="V611" i="1"/>
  <c r="V610" i="1"/>
  <c r="V609" i="1"/>
  <c r="V608" i="1"/>
  <c r="V607" i="1"/>
  <c r="V593" i="1"/>
  <c r="V592" i="1"/>
  <c r="V591" i="1"/>
  <c r="V590" i="1"/>
  <c r="V575" i="1"/>
  <c r="V574" i="1"/>
  <c r="V573" i="1"/>
  <c r="V571" i="1"/>
  <c r="V568" i="1"/>
  <c r="V567" i="1"/>
  <c r="V566" i="1"/>
  <c r="V565" i="1"/>
  <c r="V564" i="1"/>
  <c r="V562" i="1"/>
  <c r="V561" i="1"/>
  <c r="V560" i="1"/>
  <c r="V559" i="1"/>
  <c r="V558" i="1"/>
  <c r="V556" i="1"/>
  <c r="V555" i="1"/>
  <c r="V554" i="1"/>
  <c r="V552" i="1"/>
  <c r="V549" i="1"/>
  <c r="V293" i="1"/>
  <c r="V292" i="1"/>
  <c r="V291" i="1"/>
  <c r="V269" i="1"/>
  <c r="V283" i="1"/>
  <c r="V179" i="1"/>
  <c r="V178" i="1"/>
  <c r="V177" i="1"/>
  <c r="V148" i="1"/>
  <c r="V147" i="1"/>
  <c r="V146" i="1"/>
  <c r="V145" i="1"/>
  <c r="V276" i="1"/>
  <c r="V275" i="1"/>
  <c r="V274" i="1"/>
  <c r="V273" i="1"/>
  <c r="V268" i="1"/>
  <c r="V258" i="1"/>
  <c r="V257" i="1"/>
  <c r="V256" i="1"/>
  <c r="V255" i="1"/>
  <c r="V262" i="1"/>
  <c r="V260" i="1"/>
  <c r="V259" i="1"/>
  <c r="V176" i="1"/>
  <c r="V175" i="1"/>
  <c r="V277" i="1"/>
  <c r="V174" i="1"/>
  <c r="V160" i="1"/>
  <c r="V158" i="1"/>
  <c r="V155" i="1"/>
  <c r="V154" i="1"/>
  <c r="V153" i="1"/>
  <c r="V152" i="1"/>
  <c r="V151" i="1"/>
  <c r="V150" i="1"/>
  <c r="V114" i="1"/>
  <c r="V111" i="1"/>
  <c r="V89" i="1"/>
  <c r="V81" i="1"/>
  <c r="V80" i="1"/>
  <c r="V72" i="1"/>
  <c r="V71" i="1"/>
  <c r="V142" i="1"/>
  <c r="V139" i="1"/>
  <c r="V138" i="1"/>
  <c r="V134" i="1"/>
  <c r="V133" i="1"/>
  <c r="V132" i="1"/>
  <c r="V130" i="1"/>
  <c r="V129" i="1"/>
  <c r="V128" i="1"/>
  <c r="V126" i="1"/>
  <c r="V125" i="1"/>
  <c r="V124" i="1"/>
  <c r="V123" i="1"/>
  <c r="V122" i="1"/>
  <c r="V121" i="1"/>
  <c r="V120" i="1"/>
  <c r="V119" i="1"/>
  <c r="V118" i="1"/>
  <c r="V116" i="1"/>
  <c r="V32" i="1"/>
  <c r="V31" i="1"/>
  <c r="V30" i="1"/>
  <c r="V22" i="1"/>
  <c r="V20" i="1"/>
  <c r="V19" i="1"/>
  <c r="V15" i="1"/>
  <c r="V12" i="1"/>
  <c r="V11" i="1"/>
  <c r="V442" i="1" l="1"/>
  <c r="V468" i="1"/>
  <c r="V544" i="1" s="1"/>
  <c r="V70" i="1"/>
  <c r="V764" i="1"/>
  <c r="V1378" i="1" s="1"/>
  <c r="V972" i="1"/>
  <c r="V623" i="1"/>
  <c r="V1371" i="1"/>
  <c r="AI644" i="1"/>
  <c r="V284" i="1"/>
  <c r="V149" i="1"/>
  <c r="V612" i="1"/>
  <c r="V889" i="1"/>
  <c r="V873" i="1"/>
  <c r="V28" i="1"/>
  <c r="V115" i="1"/>
  <c r="V1315" i="1"/>
  <c r="V1307" i="1" s="1"/>
  <c r="V572" i="1"/>
  <c r="V143" i="1"/>
  <c r="V1364" i="1" s="1"/>
  <c r="V267" i="1"/>
  <c r="V1365" i="1" s="1"/>
  <c r="V594" i="1"/>
  <c r="V1374" i="1" s="1"/>
  <c r="V869" i="1"/>
  <c r="V1379" i="1" s="1"/>
  <c r="V110" i="1"/>
  <c r="V1361" i="1" s="1"/>
  <c r="V281" i="1"/>
  <c r="V1367" i="1" s="1"/>
  <c r="V644" i="1"/>
  <c r="V737" i="1" s="1"/>
  <c r="V1377" i="1" s="1"/>
  <c r="Q644" i="1" l="1"/>
  <c r="V1373" i="1"/>
  <c r="V1376" i="1" s="1"/>
  <c r="V1380" i="1"/>
  <c r="V1381" i="1" s="1"/>
  <c r="V1359" i="1"/>
  <c r="V1366" i="1"/>
  <c r="V1369" i="1"/>
  <c r="V1372" i="1" s="1"/>
  <c r="V626" i="1"/>
  <c r="V1385" i="1" s="1"/>
  <c r="V144" i="1"/>
  <c r="V250" i="1" s="1"/>
  <c r="V282" i="1" s="1"/>
  <c r="V874" i="1"/>
  <c r="V931" i="1" s="1"/>
  <c r="V1322" i="1" s="1"/>
  <c r="V1362" i="1" l="1"/>
  <c r="V1363" i="1" s="1"/>
  <c r="Z969" i="1" l="1"/>
  <c r="Z968" i="1"/>
  <c r="T993" i="1"/>
  <c r="T1002" i="1" s="1"/>
  <c r="Z960" i="1"/>
  <c r="Z958" i="1"/>
  <c r="Z953" i="1"/>
  <c r="Z951" i="1"/>
  <c r="T888" i="1"/>
  <c r="Z888" i="1" s="1"/>
  <c r="T887" i="1"/>
  <c r="T876" i="1"/>
  <c r="T738" i="1"/>
  <c r="T682" i="1"/>
  <c r="Z682" i="1" s="1"/>
  <c r="T655" i="1"/>
  <c r="Z655" i="1" s="1"/>
  <c r="T659" i="1"/>
  <c r="Z659" i="1" s="1"/>
  <c r="T657" i="1"/>
  <c r="Z657" i="1" s="1"/>
  <c r="T646" i="1"/>
  <c r="Z646" i="1" s="1"/>
  <c r="T644" i="1"/>
  <c r="Z644" i="1" s="1"/>
  <c r="T633" i="1"/>
  <c r="Z633" i="1" s="1"/>
  <c r="T607" i="1"/>
  <c r="Z607" i="1" s="1"/>
  <c r="T592" i="1"/>
  <c r="Z592" i="1" s="1"/>
  <c r="T591" i="1"/>
  <c r="Z591" i="1" s="1"/>
  <c r="T590" i="1"/>
  <c r="Z590" i="1" s="1"/>
  <c r="T576" i="1"/>
  <c r="Z576" i="1" s="1"/>
  <c r="Z738" i="1" l="1"/>
  <c r="AZ872" i="1"/>
  <c r="BB872" i="1" s="1"/>
  <c r="AZ871" i="1"/>
  <c r="BB871" i="1" s="1"/>
  <c r="T889" i="1"/>
  <c r="AJ607" i="1"/>
  <c r="AJ953" i="1"/>
  <c r="R953" i="1" s="1"/>
  <c r="AJ960" i="1"/>
  <c r="R960" i="1" s="1"/>
  <c r="AJ969" i="1"/>
  <c r="AJ888" i="1"/>
  <c r="R888" i="1" s="1"/>
  <c r="AJ951" i="1"/>
  <c r="R951" i="1" s="1"/>
  <c r="AJ958" i="1"/>
  <c r="R958" i="1" s="1"/>
  <c r="AJ968" i="1"/>
  <c r="R968" i="1" s="1"/>
  <c r="AJ590" i="1"/>
  <c r="R590" i="1" s="1"/>
  <c r="AJ592" i="1"/>
  <c r="R592" i="1" s="1"/>
  <c r="AJ633" i="1"/>
  <c r="R633" i="1" s="1"/>
  <c r="AJ646" i="1"/>
  <c r="R646" i="1" s="1"/>
  <c r="AJ682" i="1"/>
  <c r="R682" i="1" s="1"/>
  <c r="AJ591" i="1"/>
  <c r="R591" i="1" s="1"/>
  <c r="AJ644" i="1"/>
  <c r="R644" i="1" s="1"/>
  <c r="AJ657" i="1"/>
  <c r="R657" i="1" s="1"/>
  <c r="AJ655" i="1"/>
  <c r="R655" i="1" s="1"/>
  <c r="Z876" i="1"/>
  <c r="AJ659" i="1"/>
  <c r="Z887" i="1"/>
  <c r="Z966" i="1"/>
  <c r="AJ966" i="1" s="1"/>
  <c r="AZ870" i="1"/>
  <c r="Z993" i="1"/>
  <c r="Z972" i="1" l="1"/>
  <c r="R969" i="1"/>
  <c r="AJ972" i="1"/>
  <c r="AZ873" i="1"/>
  <c r="AZ874" i="1" s="1"/>
  <c r="AZ931" i="1" s="1"/>
  <c r="AZ1322" i="1" s="1"/>
  <c r="AJ993" i="1"/>
  <c r="AJ1002" i="1" s="1"/>
  <c r="Z1002" i="1"/>
  <c r="AJ887" i="1"/>
  <c r="R887" i="1" s="1"/>
  <c r="AJ876" i="1"/>
  <c r="R876" i="1" s="1"/>
  <c r="Z889" i="1"/>
  <c r="AJ738" i="1"/>
  <c r="R607" i="1"/>
  <c r="AZ1380" i="1" l="1"/>
  <c r="AZ1381" i="1" s="1"/>
  <c r="R889" i="1"/>
  <c r="AJ889" i="1"/>
  <c r="R738" i="1"/>
  <c r="R659" i="1"/>
  <c r="R966" i="1"/>
  <c r="R993" i="1"/>
  <c r="BB870" i="1"/>
  <c r="BB873" i="1" s="1"/>
  <c r="R972" i="1" l="1"/>
  <c r="R1002" i="1"/>
  <c r="BB874" i="1"/>
  <c r="BB931" i="1" s="1"/>
  <c r="BB1322" i="1" s="1"/>
  <c r="BB1380" i="1"/>
  <c r="BB1381" i="1" s="1"/>
  <c r="X982" i="1"/>
  <c r="X981" i="1"/>
  <c r="X980" i="1"/>
  <c r="X979" i="1"/>
  <c r="X992" i="1" l="1"/>
  <c r="X1024" i="1" s="1"/>
  <c r="AB979" i="1"/>
  <c r="AD979" i="1"/>
  <c r="AD980" i="1"/>
  <c r="AB980" i="1"/>
  <c r="AB981" i="1"/>
  <c r="AD981" i="1"/>
  <c r="AD982" i="1"/>
  <c r="AB982" i="1"/>
  <c r="V979" i="1"/>
  <c r="T979" i="1"/>
  <c r="V980" i="1"/>
  <c r="T980" i="1"/>
  <c r="V981" i="1"/>
  <c r="V982" i="1"/>
  <c r="T982" i="1"/>
  <c r="AJ576" i="1" l="1"/>
  <c r="R576" i="1" s="1"/>
  <c r="T992" i="1"/>
  <c r="T1024" i="1" s="1"/>
  <c r="V992" i="1"/>
  <c r="V1024" i="1" s="1"/>
  <c r="AB992" i="1"/>
  <c r="AB1024" i="1" s="1"/>
  <c r="AD992" i="1"/>
  <c r="AD1024" i="1" s="1"/>
  <c r="X1382" i="1"/>
  <c r="AH982" i="1"/>
  <c r="Z982" i="1"/>
  <c r="Z981" i="1"/>
  <c r="Z980" i="1"/>
  <c r="Z979" i="1"/>
  <c r="AH980" i="1"/>
  <c r="AH981" i="1"/>
  <c r="AH979" i="1"/>
  <c r="AH992" i="1" l="1"/>
  <c r="AH1024" i="1" s="1"/>
  <c r="Z992" i="1"/>
  <c r="Z1024" i="1" s="1"/>
  <c r="AB1382" i="1"/>
  <c r="AD1382" i="1"/>
  <c r="V1382" i="1"/>
  <c r="T1382" i="1"/>
  <c r="AJ981" i="1"/>
  <c r="R981" i="1" s="1"/>
  <c r="AJ980" i="1"/>
  <c r="R980" i="1" s="1"/>
  <c r="AJ982" i="1"/>
  <c r="AJ979" i="1"/>
  <c r="AJ992" i="1" l="1"/>
  <c r="AJ1024" i="1" s="1"/>
  <c r="Z1382" i="1"/>
  <c r="AH1382" i="1"/>
  <c r="R982" i="1"/>
  <c r="R979" i="1"/>
  <c r="R992" i="1" l="1"/>
  <c r="AJ1382" i="1"/>
  <c r="AR8" i="1"/>
  <c r="R1024" i="1" l="1"/>
  <c r="BB8" i="1"/>
  <c r="R1382" i="1" l="1"/>
  <c r="AR133" i="1" l="1"/>
  <c r="AR123" i="1"/>
  <c r="BB133" i="1" l="1"/>
  <c r="BB123" i="1"/>
  <c r="AR124" i="1"/>
  <c r="BB124" i="1" s="1"/>
  <c r="AR143" i="1" l="1"/>
  <c r="AR110" i="1" s="1"/>
  <c r="BB143" i="1"/>
  <c r="BB110" i="1" s="1"/>
  <c r="BB1361" i="1" l="1"/>
  <c r="AR1361" i="1"/>
  <c r="AR144" i="1"/>
  <c r="AR1364" i="1"/>
  <c r="AR1366" i="1" s="1"/>
  <c r="BB144" i="1"/>
  <c r="BB1364" i="1"/>
  <c r="BB1366" i="1" s="1"/>
  <c r="AR250" i="1" l="1"/>
  <c r="AR950" i="1"/>
  <c r="AR547" i="1"/>
  <c r="BB250" i="1"/>
  <c r="AR602" i="1" l="1"/>
  <c r="AR1329" i="1" s="1"/>
  <c r="AR1386" i="1" s="1"/>
  <c r="AR1387" i="1"/>
  <c r="AR282" i="1"/>
  <c r="AR1362" i="1"/>
  <c r="AR1363" i="1" s="1"/>
  <c r="BB282" i="1"/>
  <c r="BB1362" i="1"/>
  <c r="BB1363" i="1" s="1"/>
  <c r="AR1308" i="1"/>
  <c r="AH1325" i="1"/>
  <c r="AJ1325" i="1" s="1"/>
  <c r="R1325" i="1" s="1"/>
  <c r="AH1328" i="1"/>
  <c r="AJ1328" i="1" s="1"/>
  <c r="R1328" i="1" s="1"/>
  <c r="AR1383" i="1" l="1"/>
  <c r="AR1384" i="1" s="1"/>
  <c r="AR1333" i="1"/>
  <c r="AR24" i="1" s="1"/>
  <c r="AR29" i="1" s="1"/>
  <c r="AR1358" i="1" s="1"/>
  <c r="AR1360" i="1" s="1"/>
  <c r="AR1368" i="1" s="1"/>
  <c r="AJ1323" i="1"/>
  <c r="AQ1357" i="1" l="1"/>
  <c r="AR290" i="1"/>
  <c r="AR6" i="1" s="1"/>
  <c r="AR1355" i="1" l="1"/>
  <c r="BB1323" i="1"/>
  <c r="R1323" i="1" l="1"/>
  <c r="T705" i="1" l="1"/>
  <c r="Z705" i="1" s="1"/>
  <c r="Y580" i="1"/>
  <c r="T580" i="1"/>
  <c r="Y867" i="1"/>
  <c r="T867" i="1"/>
  <c r="Y705" i="1"/>
  <c r="Y870" i="1"/>
  <c r="T870" i="1"/>
  <c r="S1377" i="1"/>
  <c r="AI867" i="1" l="1"/>
  <c r="Q867" i="1" s="1"/>
  <c r="AI705" i="1"/>
  <c r="AI580" i="1"/>
  <c r="Z870" i="1"/>
  <c r="Z867" i="1"/>
  <c r="AJ867" i="1" s="1"/>
  <c r="R867" i="1" s="1"/>
  <c r="Z580" i="1"/>
  <c r="AJ580" i="1" s="1"/>
  <c r="R580" i="1" s="1"/>
  <c r="AI870" i="1"/>
  <c r="T859" i="1" l="1"/>
  <c r="Z859" i="1" s="1"/>
  <c r="AJ859" i="1" s="1"/>
  <c r="R859" i="1" s="1"/>
  <c r="Y859" i="1"/>
  <c r="AI859" i="1" s="1"/>
  <c r="Q859" i="1" s="1"/>
  <c r="Y783" i="1"/>
  <c r="T783" i="1"/>
  <c r="Z783" i="1" s="1"/>
  <c r="AJ783" i="1" s="1"/>
  <c r="R783" i="1" s="1"/>
  <c r="Q705" i="1"/>
  <c r="Q580" i="1"/>
  <c r="T832" i="1"/>
  <c r="Z832" i="1" s="1"/>
  <c r="Y832" i="1"/>
  <c r="Y817" i="1"/>
  <c r="T817" i="1"/>
  <c r="Z817" i="1" s="1"/>
  <c r="Y762" i="1"/>
  <c r="T762" i="1"/>
  <c r="Q870" i="1"/>
  <c r="AJ870" i="1"/>
  <c r="AI783" i="1" l="1"/>
  <c r="Y630" i="1"/>
  <c r="T630" i="1"/>
  <c r="Z630" i="1" s="1"/>
  <c r="AJ630" i="1" s="1"/>
  <c r="R630" i="1" s="1"/>
  <c r="Y627" i="1"/>
  <c r="T627" i="1"/>
  <c r="Z627" i="1" s="1"/>
  <c r="AJ627" i="1" s="1"/>
  <c r="R627" i="1" s="1"/>
  <c r="Z762" i="1"/>
  <c r="AI832" i="1"/>
  <c r="AI817" i="1"/>
  <c r="Q817" i="1" s="1"/>
  <c r="AI762" i="1"/>
  <c r="R870" i="1"/>
  <c r="Q783" i="1" l="1"/>
  <c r="AI627" i="1"/>
  <c r="AI630" i="1"/>
  <c r="Q832" i="1"/>
  <c r="Q762" i="1"/>
  <c r="Q627" i="1" l="1"/>
  <c r="Q630" i="1"/>
  <c r="T578" i="1" l="1"/>
  <c r="Z578" i="1" s="1"/>
  <c r="Y578" i="1"/>
  <c r="AI578" i="1" l="1"/>
  <c r="Q578" i="1" l="1"/>
  <c r="Y359" i="1" l="1"/>
  <c r="T359" i="1"/>
  <c r="Z359" i="1" s="1"/>
  <c r="Y447" i="1"/>
  <c r="Y363" i="1"/>
  <c r="Y448" i="1"/>
  <c r="Z448" i="1"/>
  <c r="T450" i="1"/>
  <c r="Z450" i="1" s="1"/>
  <c r="T546" i="1"/>
  <c r="Z546" i="1" s="1"/>
  <c r="Y593" i="1"/>
  <c r="T686" i="1"/>
  <c r="Z686" i="1" s="1"/>
  <c r="Y686" i="1"/>
  <c r="Y693" i="1"/>
  <c r="T693" i="1"/>
  <c r="Z693" i="1" s="1"/>
  <c r="T710" i="1"/>
  <c r="Z710" i="1" s="1"/>
  <c r="Y703" i="1"/>
  <c r="T712" i="1"/>
  <c r="Z712" i="1" s="1"/>
  <c r="Y712" i="1"/>
  <c r="T740" i="1"/>
  <c r="Z740" i="1" s="1"/>
  <c r="Y740" i="1"/>
  <c r="Y746" i="1"/>
  <c r="Y750" i="1"/>
  <c r="T753" i="1"/>
  <c r="Z753" i="1" s="1"/>
  <c r="Y753" i="1"/>
  <c r="T756" i="1"/>
  <c r="Z756" i="1" s="1"/>
  <c r="T803" i="1"/>
  <c r="Z803" i="1" s="1"/>
  <c r="Y816" i="1"/>
  <c r="T816" i="1"/>
  <c r="Z816" i="1" s="1"/>
  <c r="Y820" i="1"/>
  <c r="T820" i="1"/>
  <c r="Z820" i="1" s="1"/>
  <c r="T689" i="1"/>
  <c r="Z689" i="1" s="1"/>
  <c r="Y689" i="1"/>
  <c r="T692" i="1"/>
  <c r="Z692" i="1" s="1"/>
  <c r="Y692" i="1"/>
  <c r="T694" i="1"/>
  <c r="Z694" i="1" s="1"/>
  <c r="Y699" i="1"/>
  <c r="T699" i="1"/>
  <c r="Z699" i="1" s="1"/>
  <c r="Y709" i="1"/>
  <c r="T736" i="1"/>
  <c r="Z736" i="1" s="1"/>
  <c r="Y736" i="1"/>
  <c r="T741" i="1"/>
  <c r="Z741" i="1" s="1"/>
  <c r="Y741" i="1"/>
  <c r="T743" i="1"/>
  <c r="Z743" i="1" s="1"/>
  <c r="T744" i="1"/>
  <c r="Z744" i="1" s="1"/>
  <c r="Y744" i="1"/>
  <c r="T745" i="1"/>
  <c r="Z745" i="1" s="1"/>
  <c r="T747" i="1"/>
  <c r="Z747" i="1" s="1"/>
  <c r="Y755" i="1"/>
  <c r="Y833" i="1"/>
  <c r="Y864" i="1"/>
  <c r="Y126" i="1"/>
  <c r="Y128" i="1"/>
  <c r="T126" i="1"/>
  <c r="Z126" i="1" s="1"/>
  <c r="Y710" i="1"/>
  <c r="Y742" i="1"/>
  <c r="T128" i="1"/>
  <c r="Z128" i="1" s="1"/>
  <c r="T746" i="1"/>
  <c r="Z746" i="1" s="1"/>
  <c r="T780" i="1"/>
  <c r="Z780" i="1" s="1"/>
  <c r="T742" i="1"/>
  <c r="Z742" i="1" s="1"/>
  <c r="Y125" i="1"/>
  <c r="T125" i="1"/>
  <c r="Z125" i="1" s="1"/>
  <c r="Y756" i="1"/>
  <c r="Y747" i="1"/>
  <c r="T702" i="1"/>
  <c r="Z702" i="1" s="1"/>
  <c r="Y745" i="1"/>
  <c r="Y815" i="1"/>
  <c r="Y803" i="1"/>
  <c r="Y546" i="1"/>
  <c r="Y821" i="1"/>
  <c r="T695" i="1"/>
  <c r="Z695" i="1" s="1"/>
  <c r="T833" i="1"/>
  <c r="Z833" i="1" s="1"/>
  <c r="Y743" i="1"/>
  <c r="T709" i="1"/>
  <c r="Z709" i="1" s="1"/>
  <c r="AJ709" i="1" s="1"/>
  <c r="R709" i="1" s="1"/>
  <c r="T704" i="1"/>
  <c r="Z704" i="1" s="1"/>
  <c r="Y704" i="1"/>
  <c r="Y702" i="1"/>
  <c r="T750" i="1"/>
  <c r="Z750" i="1" s="1"/>
  <c r="T703" i="1"/>
  <c r="Z703" i="1" s="1"/>
  <c r="Y752" i="1"/>
  <c r="Y694" i="1"/>
  <c r="T593" i="1"/>
  <c r="Z593" i="1" s="1"/>
  <c r="Y450" i="1"/>
  <c r="T363" i="1"/>
  <c r="Z363" i="1" s="1"/>
  <c r="T864" i="1"/>
  <c r="Z864" i="1" s="1"/>
  <c r="T821" i="1"/>
  <c r="Z821" i="1" s="1"/>
  <c r="T815" i="1"/>
  <c r="Z815" i="1" s="1"/>
  <c r="T755" i="1"/>
  <c r="Z755" i="1" s="1"/>
  <c r="T752" i="1"/>
  <c r="Z752" i="1" s="1"/>
  <c r="Y780" i="1"/>
  <c r="Y695" i="1"/>
  <c r="T447" i="1"/>
  <c r="Z447" i="1" s="1"/>
  <c r="Y545" i="1"/>
  <c r="Y739" i="1"/>
  <c r="T545" i="1"/>
  <c r="T739" i="1"/>
  <c r="Y548" i="1"/>
  <c r="Y603" i="1"/>
  <c r="Y685" i="1"/>
  <c r="T548" i="1"/>
  <c r="T603" i="1"/>
  <c r="T606" i="1" s="1"/>
  <c r="T685" i="1"/>
  <c r="Y606" i="1" l="1"/>
  <c r="AI704" i="1"/>
  <c r="AI864" i="1"/>
  <c r="AI746" i="1"/>
  <c r="AI546" i="1"/>
  <c r="AI833" i="1"/>
  <c r="AI448" i="1"/>
  <c r="AI689" i="1"/>
  <c r="AI447" i="1"/>
  <c r="AI359" i="1"/>
  <c r="Q359" i="1" s="1"/>
  <c r="AI450" i="1"/>
  <c r="AI750" i="1"/>
  <c r="AI695" i="1"/>
  <c r="AI694" i="1"/>
  <c r="AI745" i="1"/>
  <c r="AI756" i="1"/>
  <c r="Q756" i="1" s="1"/>
  <c r="AI710" i="1"/>
  <c r="AI741" i="1"/>
  <c r="AI709" i="1"/>
  <c r="AI692" i="1"/>
  <c r="AI686" i="1"/>
  <c r="AI780" i="1"/>
  <c r="AI752" i="1"/>
  <c r="AI744" i="1"/>
  <c r="AI816" i="1"/>
  <c r="AI753" i="1"/>
  <c r="AI712" i="1"/>
  <c r="AI821" i="1"/>
  <c r="AI803" i="1"/>
  <c r="AI755" i="1"/>
  <c r="AI736" i="1"/>
  <c r="AI699" i="1"/>
  <c r="AI693" i="1"/>
  <c r="AI593" i="1"/>
  <c r="AI702" i="1"/>
  <c r="Q702" i="1" s="1"/>
  <c r="AI743" i="1"/>
  <c r="AI815" i="1"/>
  <c r="AI747" i="1"/>
  <c r="AI742" i="1"/>
  <c r="AI820" i="1"/>
  <c r="AI740" i="1"/>
  <c r="AI703" i="1"/>
  <c r="AI363" i="1"/>
  <c r="AI125" i="1"/>
  <c r="AI128" i="1"/>
  <c r="AI126" i="1"/>
  <c r="AI545" i="1"/>
  <c r="Z603" i="1"/>
  <c r="Z606" i="1" s="1"/>
  <c r="AI603" i="1"/>
  <c r="Z545" i="1"/>
  <c r="Z685" i="1"/>
  <c r="Z548" i="1"/>
  <c r="Z739" i="1"/>
  <c r="AI739" i="1"/>
  <c r="AI685" i="1"/>
  <c r="AI548" i="1"/>
  <c r="Q864" i="1" l="1"/>
  <c r="Q450" i="1"/>
  <c r="Q363" i="1"/>
  <c r="Q447" i="1"/>
  <c r="Q689" i="1"/>
  <c r="Q448" i="1"/>
  <c r="Q833" i="1"/>
  <c r="AI606" i="1"/>
  <c r="Q750" i="1"/>
  <c r="Q546" i="1"/>
  <c r="Q746" i="1"/>
  <c r="Q704" i="1"/>
  <c r="Q739" i="1"/>
  <c r="Q740" i="1"/>
  <c r="Q747" i="1"/>
  <c r="Q815" i="1"/>
  <c r="Q693" i="1"/>
  <c r="Q736" i="1"/>
  <c r="Q821" i="1"/>
  <c r="Q753" i="1"/>
  <c r="Q816" i="1"/>
  <c r="Q752" i="1"/>
  <c r="Q780" i="1"/>
  <c r="Q692" i="1"/>
  <c r="Q741" i="1"/>
  <c r="Q694" i="1"/>
  <c r="Q703" i="1"/>
  <c r="Q820" i="1"/>
  <c r="Q742" i="1"/>
  <c r="Q743" i="1"/>
  <c r="Q593" i="1"/>
  <c r="Q699" i="1"/>
  <c r="Q755" i="1"/>
  <c r="Q803" i="1"/>
  <c r="Q712" i="1"/>
  <c r="Q744" i="1"/>
  <c r="Q686" i="1"/>
  <c r="Q709" i="1"/>
  <c r="Q710" i="1"/>
  <c r="Q745" i="1"/>
  <c r="Q695" i="1"/>
  <c r="Q126" i="1"/>
  <c r="Q128" i="1"/>
  <c r="Q125" i="1"/>
  <c r="AJ685" i="1"/>
  <c r="R685" i="1" s="1"/>
  <c r="Q603" i="1"/>
  <c r="Q545" i="1"/>
  <c r="AJ803" i="1"/>
  <c r="R803" i="1" s="1"/>
  <c r="Q548" i="1"/>
  <c r="Q685" i="1"/>
  <c r="Q606" i="1" l="1"/>
  <c r="AJ817" i="1" l="1"/>
  <c r="R817" i="1" s="1"/>
  <c r="AJ832" i="1"/>
  <c r="R832" i="1" s="1"/>
  <c r="AJ762" i="1"/>
  <c r="R762" i="1" l="1"/>
  <c r="AJ705" i="1"/>
  <c r="R705" i="1" s="1"/>
  <c r="AJ359" i="1"/>
  <c r="R359" i="1" s="1"/>
  <c r="AJ447" i="1"/>
  <c r="R447" i="1" s="1"/>
  <c r="AJ363" i="1"/>
  <c r="R363" i="1" s="1"/>
  <c r="AJ448" i="1"/>
  <c r="R448" i="1" s="1"/>
  <c r="AJ450" i="1"/>
  <c r="R450" i="1" s="1"/>
  <c r="AJ546" i="1"/>
  <c r="R546" i="1" s="1"/>
  <c r="AJ578" i="1"/>
  <c r="R578" i="1" s="1"/>
  <c r="AJ593" i="1"/>
  <c r="R593" i="1" s="1"/>
  <c r="AJ686" i="1"/>
  <c r="R686" i="1" s="1"/>
  <c r="AJ693" i="1"/>
  <c r="R693" i="1" s="1"/>
  <c r="AJ695" i="1"/>
  <c r="R695" i="1" s="1"/>
  <c r="AJ710" i="1"/>
  <c r="R710" i="1" s="1"/>
  <c r="AJ703" i="1"/>
  <c r="R703" i="1" s="1"/>
  <c r="AJ756" i="1"/>
  <c r="AJ702" i="1"/>
  <c r="AJ712" i="1"/>
  <c r="R712" i="1" s="1"/>
  <c r="AJ740" i="1"/>
  <c r="R740" i="1" s="1"/>
  <c r="AJ742" i="1"/>
  <c r="R742" i="1" s="1"/>
  <c r="AJ746" i="1"/>
  <c r="R746" i="1" s="1"/>
  <c r="AJ750" i="1"/>
  <c r="R750" i="1" s="1"/>
  <c r="AJ753" i="1"/>
  <c r="R753" i="1" s="1"/>
  <c r="AJ780" i="1"/>
  <c r="R780" i="1" s="1"/>
  <c r="AJ816" i="1"/>
  <c r="R816" i="1" s="1"/>
  <c r="AJ820" i="1"/>
  <c r="R820" i="1" s="1"/>
  <c r="AJ689" i="1"/>
  <c r="R689" i="1" s="1"/>
  <c r="AJ692" i="1"/>
  <c r="R692" i="1" s="1"/>
  <c r="AJ694" i="1"/>
  <c r="R694" i="1" s="1"/>
  <c r="AJ699" i="1"/>
  <c r="R699" i="1" s="1"/>
  <c r="AJ704" i="1"/>
  <c r="R704" i="1" s="1"/>
  <c r="AJ736" i="1"/>
  <c r="R736" i="1" s="1"/>
  <c r="AJ741" i="1"/>
  <c r="R741" i="1" s="1"/>
  <c r="AJ743" i="1"/>
  <c r="R743" i="1" s="1"/>
  <c r="AJ744" i="1"/>
  <c r="R744" i="1" s="1"/>
  <c r="AJ745" i="1"/>
  <c r="R745" i="1" s="1"/>
  <c r="AJ747" i="1"/>
  <c r="R747" i="1" s="1"/>
  <c r="AJ752" i="1"/>
  <c r="R752" i="1" s="1"/>
  <c r="AJ755" i="1"/>
  <c r="R755" i="1" s="1"/>
  <c r="AJ815" i="1"/>
  <c r="R815" i="1" s="1"/>
  <c r="AJ821" i="1"/>
  <c r="R821" i="1" s="1"/>
  <c r="AJ833" i="1"/>
  <c r="R833" i="1" s="1"/>
  <c r="AJ864" i="1"/>
  <c r="R864" i="1" s="1"/>
  <c r="AJ128" i="1"/>
  <c r="R128" i="1" s="1"/>
  <c r="AJ126" i="1"/>
  <c r="R126" i="1" s="1"/>
  <c r="AJ125" i="1"/>
  <c r="R125" i="1" s="1"/>
  <c r="AJ545" i="1"/>
  <c r="AJ739" i="1"/>
  <c r="AJ548" i="1"/>
  <c r="AJ603" i="1"/>
  <c r="AJ606" i="1" s="1"/>
  <c r="AJ683" i="1"/>
  <c r="R756" i="1" l="1"/>
  <c r="R702" i="1"/>
  <c r="R683" i="1"/>
  <c r="R548" i="1"/>
  <c r="R603" i="1"/>
  <c r="R739" i="1"/>
  <c r="R545" i="1"/>
  <c r="R606" i="1" l="1"/>
  <c r="Y378" i="1"/>
  <c r="AI378" i="1" s="1"/>
  <c r="Q378" i="1" s="1"/>
  <c r="Y372" i="1"/>
  <c r="AI372" i="1" s="1"/>
  <c r="Q372" i="1" s="1"/>
  <c r="Y375" i="1"/>
  <c r="AI375" i="1" s="1"/>
  <c r="Q375" i="1" s="1"/>
  <c r="Y356" i="1"/>
  <c r="AI356" i="1" s="1"/>
  <c r="Q356" i="1" s="1"/>
  <c r="Y472" i="1"/>
  <c r="AI472" i="1" s="1"/>
  <c r="Q472" i="1" s="1"/>
  <c r="Y63" i="1"/>
  <c r="AI63" i="1" s="1"/>
  <c r="Q63" i="1" s="1"/>
  <c r="Y62" i="1"/>
  <c r="AI62" i="1" s="1"/>
  <c r="Q62" i="1" s="1"/>
  <c r="T472" i="1"/>
  <c r="Z472" i="1" s="1"/>
  <c r="AJ472" i="1" s="1"/>
  <c r="R472" i="1" s="1"/>
  <c r="Y427" i="1"/>
  <c r="AI427" i="1" s="1"/>
  <c r="Q427" i="1" s="1"/>
  <c r="Y373" i="1"/>
  <c r="AI373" i="1" s="1"/>
  <c r="Q373" i="1" s="1"/>
  <c r="T426" i="1"/>
  <c r="Z426" i="1" s="1"/>
  <c r="AJ426" i="1" s="1"/>
  <c r="R426" i="1" s="1"/>
  <c r="Y190" i="1"/>
  <c r="AI190" i="1" s="1"/>
  <c r="Q190" i="1" s="1"/>
  <c r="Y808" i="1"/>
  <c r="AI808" i="1" s="1"/>
  <c r="Q808" i="1" s="1"/>
  <c r="Y381" i="1"/>
  <c r="AI381" i="1" s="1"/>
  <c r="Q381" i="1" s="1"/>
  <c r="Y380" i="1"/>
  <c r="AI380" i="1" s="1"/>
  <c r="Q380" i="1" s="1"/>
  <c r="Y69" i="1"/>
  <c r="AI69" i="1" s="1"/>
  <c r="Q69" i="1" s="1"/>
  <c r="T372" i="1"/>
  <c r="Z372" i="1" s="1"/>
  <c r="AJ372" i="1" s="1"/>
  <c r="R372" i="1" s="1"/>
  <c r="T380" i="1"/>
  <c r="Z380" i="1" s="1"/>
  <c r="AJ380" i="1" s="1"/>
  <c r="R380" i="1" s="1"/>
  <c r="Y632" i="1"/>
  <c r="AI632" i="1" s="1"/>
  <c r="Q632" i="1" s="1"/>
  <c r="Y367" i="1"/>
  <c r="AI367" i="1" s="1"/>
  <c r="Q367" i="1" s="1"/>
  <c r="T808" i="1"/>
  <c r="Z808" i="1" s="1"/>
  <c r="AJ808" i="1" s="1"/>
  <c r="R808" i="1" s="1"/>
  <c r="T432" i="1"/>
  <c r="Z432" i="1" s="1"/>
  <c r="AJ432" i="1" s="1"/>
  <c r="R432" i="1" s="1"/>
  <c r="Y186" i="1"/>
  <c r="AI186" i="1" s="1"/>
  <c r="Q186" i="1" s="1"/>
  <c r="Y430" i="1"/>
  <c r="Y429" i="1"/>
  <c r="AI429" i="1" s="1"/>
  <c r="Q429" i="1" s="1"/>
  <c r="Y471" i="1"/>
  <c r="AI471" i="1" s="1"/>
  <c r="Q471" i="1" s="1"/>
  <c r="T467" i="1"/>
  <c r="Z467" i="1" s="1"/>
  <c r="AJ467" i="1" s="1"/>
  <c r="R467" i="1" s="1"/>
  <c r="Y467" i="1"/>
  <c r="AI467" i="1" s="1"/>
  <c r="Q467" i="1" s="1"/>
  <c r="T65" i="1"/>
  <c r="Z65" i="1" s="1"/>
  <c r="AJ65" i="1" s="1"/>
  <c r="R65" i="1" s="1"/>
  <c r="Y189" i="1"/>
  <c r="AI189" i="1" s="1"/>
  <c r="Q189" i="1" s="1"/>
  <c r="T189" i="1"/>
  <c r="Z189" i="1" s="1"/>
  <c r="AJ189" i="1" s="1"/>
  <c r="R189" i="1" s="1"/>
  <c r="T63" i="1"/>
  <c r="Z63" i="1" s="1"/>
  <c r="AJ63" i="1" s="1"/>
  <c r="R63" i="1" s="1"/>
  <c r="T424" i="1"/>
  <c r="Z424" i="1" s="1"/>
  <c r="AJ424" i="1" s="1"/>
  <c r="R424" i="1" s="1"/>
  <c r="T381" i="1"/>
  <c r="Z381" i="1" s="1"/>
  <c r="AJ381" i="1" s="1"/>
  <c r="R381" i="1" s="1"/>
  <c r="T375" i="1"/>
  <c r="Z375" i="1" s="1"/>
  <c r="AJ375" i="1" s="1"/>
  <c r="R375" i="1" s="1"/>
  <c r="T373" i="1"/>
  <c r="Z373" i="1" s="1"/>
  <c r="AJ373" i="1" s="1"/>
  <c r="R373" i="1" s="1"/>
  <c r="T427" i="1"/>
  <c r="Z427" i="1" s="1"/>
  <c r="AJ427" i="1" s="1"/>
  <c r="R427" i="1" s="1"/>
  <c r="Y185" i="1"/>
  <c r="AI185" i="1" s="1"/>
  <c r="Q185" i="1" s="1"/>
  <c r="T190" i="1"/>
  <c r="Z190" i="1" s="1"/>
  <c r="AJ190" i="1" s="1"/>
  <c r="R190" i="1" s="1"/>
  <c r="T356" i="1"/>
  <c r="Z356" i="1" s="1"/>
  <c r="AJ356" i="1" s="1"/>
  <c r="R356" i="1" s="1"/>
  <c r="T632" i="1"/>
  <c r="Z632" i="1" s="1"/>
  <c r="AJ632" i="1" s="1"/>
  <c r="R632" i="1" s="1"/>
  <c r="T43" i="1"/>
  <c r="Z43" i="1" s="1"/>
  <c r="AJ43" i="1" s="1"/>
  <c r="R43" i="1" s="1"/>
  <c r="Y423" i="1"/>
  <c r="AI423" i="1" s="1"/>
  <c r="Q423" i="1" s="1"/>
  <c r="Y166" i="1"/>
  <c r="AI166" i="1" s="1"/>
  <c r="Q166" i="1" s="1"/>
  <c r="Y300" i="1"/>
  <c r="AI300" i="1" s="1"/>
  <c r="Q300" i="1" s="1"/>
  <c r="Y65" i="1"/>
  <c r="AI65" i="1" s="1"/>
  <c r="Q65" i="1" s="1"/>
  <c r="Y374" i="1"/>
  <c r="AI374" i="1" s="1"/>
  <c r="Q374" i="1" s="1"/>
  <c r="T62" i="1"/>
  <c r="Z62" i="1" s="1"/>
  <c r="AJ62" i="1" s="1"/>
  <c r="R62" i="1" s="1"/>
  <c r="T374" i="1"/>
  <c r="Z374" i="1" s="1"/>
  <c r="AJ374" i="1" s="1"/>
  <c r="R374" i="1" s="1"/>
  <c r="T67" i="1"/>
  <c r="Z67" i="1" s="1"/>
  <c r="AJ67" i="1" s="1"/>
  <c r="R67" i="1" s="1"/>
  <c r="Y243" i="1"/>
  <c r="AI243" i="1" s="1"/>
  <c r="Q243" i="1" s="1"/>
  <c r="Y172" i="1"/>
  <c r="AI172" i="1" s="1"/>
  <c r="Q172" i="1" s="1"/>
  <c r="Y43" i="1"/>
  <c r="AI43" i="1" s="1"/>
  <c r="Q43" i="1" s="1"/>
  <c r="Y432" i="1"/>
  <c r="AI432" i="1" s="1"/>
  <c r="Q432" i="1" s="1"/>
  <c r="T162" i="1"/>
  <c r="Z162" i="1" s="1"/>
  <c r="AJ162" i="1" s="1"/>
  <c r="R162" i="1" s="1"/>
  <c r="Y428" i="1"/>
  <c r="AI428" i="1" s="1"/>
  <c r="Q428" i="1" s="1"/>
  <c r="T172" i="1"/>
  <c r="Z172" i="1" s="1"/>
  <c r="AJ172" i="1" s="1"/>
  <c r="R172" i="1" s="1"/>
  <c r="Y183" i="1"/>
  <c r="AI183" i="1" s="1"/>
  <c r="Q183" i="1" s="1"/>
  <c r="T42" i="1"/>
  <c r="Z42" i="1" s="1"/>
  <c r="AJ42" i="1" s="1"/>
  <c r="R42" i="1" s="1"/>
  <c r="T181" i="1"/>
  <c r="T428" i="1"/>
  <c r="Z428" i="1" s="1"/>
  <c r="AJ428" i="1" s="1"/>
  <c r="R428" i="1" s="1"/>
  <c r="Y464" i="1"/>
  <c r="AI464" i="1" s="1"/>
  <c r="Q464" i="1" s="1"/>
  <c r="T533" i="1"/>
  <c r="Z533" i="1" s="1"/>
  <c r="AJ533" i="1" s="1"/>
  <c r="R533" i="1" s="1"/>
  <c r="Y299" i="1"/>
  <c r="AI299" i="1" s="1"/>
  <c r="Q299" i="1" s="1"/>
  <c r="Y303" i="1"/>
  <c r="AI303" i="1" s="1"/>
  <c r="Q303" i="1" s="1"/>
  <c r="Y470" i="1"/>
  <c r="AI470" i="1" s="1"/>
  <c r="Q470" i="1" s="1"/>
  <c r="Y810" i="1"/>
  <c r="AI810" i="1" s="1"/>
  <c r="Q810" i="1" s="1"/>
  <c r="Y509" i="1"/>
  <c r="AI509" i="1" s="1"/>
  <c r="Q509" i="1" s="1"/>
  <c r="T299" i="1"/>
  <c r="Z299" i="1" s="1"/>
  <c r="AJ299" i="1" s="1"/>
  <c r="R299" i="1" s="1"/>
  <c r="T302" i="1"/>
  <c r="Z302" i="1" s="1"/>
  <c r="AJ302" i="1" s="1"/>
  <c r="R302" i="1" s="1"/>
  <c r="T304" i="1"/>
  <c r="Z304" i="1" s="1"/>
  <c r="AJ304" i="1" s="1"/>
  <c r="R304" i="1" s="1"/>
  <c r="Y498" i="1"/>
  <c r="AI498" i="1" s="1"/>
  <c r="Q498" i="1" s="1"/>
  <c r="T300" i="1"/>
  <c r="Z300" i="1" s="1"/>
  <c r="AJ300" i="1" s="1"/>
  <c r="R300" i="1" s="1"/>
  <c r="T305" i="1"/>
  <c r="Z305" i="1" s="1"/>
  <c r="AJ305" i="1" s="1"/>
  <c r="R305" i="1" s="1"/>
  <c r="T471" i="1"/>
  <c r="Z471" i="1" s="1"/>
  <c r="AJ471" i="1" s="1"/>
  <c r="R471" i="1" s="1"/>
  <c r="Y426" i="1"/>
  <c r="AI426" i="1" s="1"/>
  <c r="Q426" i="1" s="1"/>
  <c r="T185" i="1"/>
  <c r="Z185" i="1" s="1"/>
  <c r="AJ185" i="1" s="1"/>
  <c r="R185" i="1" s="1"/>
  <c r="T367" i="1"/>
  <c r="Z367" i="1" s="1"/>
  <c r="AJ367" i="1" s="1"/>
  <c r="R367" i="1" s="1"/>
  <c r="T183" i="1"/>
  <c r="T429" i="1"/>
  <c r="Z429" i="1" s="1"/>
  <c r="AJ429" i="1" s="1"/>
  <c r="R429" i="1" s="1"/>
  <c r="T464" i="1"/>
  <c r="Z464" i="1" s="1"/>
  <c r="AJ464" i="1" s="1"/>
  <c r="R464" i="1" s="1"/>
  <c r="Y422" i="1"/>
  <c r="AI422" i="1" s="1"/>
  <c r="Q422" i="1" s="1"/>
  <c r="Y581" i="1"/>
  <c r="AI581" i="1" s="1"/>
  <c r="Q581" i="1" s="1"/>
  <c r="Y305" i="1"/>
  <c r="AI305" i="1" s="1"/>
  <c r="Q305" i="1" s="1"/>
  <c r="Y774" i="1"/>
  <c r="AI774" i="1" s="1"/>
  <c r="Q774" i="1" s="1"/>
  <c r="Y323" i="1"/>
  <c r="AI323" i="1" s="1"/>
  <c r="Q323" i="1" s="1"/>
  <c r="Y424" i="1"/>
  <c r="AI424" i="1" s="1"/>
  <c r="Q424" i="1" s="1"/>
  <c r="T191" i="1"/>
  <c r="Z191" i="1" s="1"/>
  <c r="AJ191" i="1" s="1"/>
  <c r="R191" i="1" s="1"/>
  <c r="T69" i="1"/>
  <c r="Z69" i="1" s="1"/>
  <c r="AJ69" i="1" s="1"/>
  <c r="R69" i="1" s="1"/>
  <c r="Y42" i="1"/>
  <c r="AI42" i="1" s="1"/>
  <c r="Q42" i="1" s="1"/>
  <c r="Y858" i="1"/>
  <c r="AI858" i="1" s="1"/>
  <c r="Q858" i="1" s="1"/>
  <c r="Y496" i="1"/>
  <c r="AI496" i="1" s="1"/>
  <c r="Q496" i="1" s="1"/>
  <c r="T496" i="1"/>
  <c r="Z496" i="1" s="1"/>
  <c r="AJ496" i="1" s="1"/>
  <c r="R496" i="1" s="1"/>
  <c r="Y302" i="1"/>
  <c r="AI302" i="1" s="1"/>
  <c r="Q302" i="1" s="1"/>
  <c r="Y304" i="1"/>
  <c r="AI304" i="1" s="1"/>
  <c r="Q304" i="1" s="1"/>
  <c r="Y541" i="1"/>
  <c r="AI541" i="1" s="1"/>
  <c r="Q541" i="1" s="1"/>
  <c r="T498" i="1"/>
  <c r="Z498" i="1" s="1"/>
  <c r="AJ498" i="1" s="1"/>
  <c r="R498" i="1" s="1"/>
  <c r="T774" i="1"/>
  <c r="Z774" i="1" s="1"/>
  <c r="AJ774" i="1" s="1"/>
  <c r="R774" i="1" s="1"/>
  <c r="Y320" i="1"/>
  <c r="AI320" i="1" s="1"/>
  <c r="Q320" i="1" s="1"/>
  <c r="Y420" i="1"/>
  <c r="AI420" i="1" s="1"/>
  <c r="Q420" i="1" s="1"/>
  <c r="Y540" i="1"/>
  <c r="AI540" i="1" s="1"/>
  <c r="Q540" i="1" s="1"/>
  <c r="Y836" i="1"/>
  <c r="AI836" i="1" s="1"/>
  <c r="Q836" i="1" s="1"/>
  <c r="Y484" i="1"/>
  <c r="AI484" i="1" s="1"/>
  <c r="Q484" i="1" s="1"/>
  <c r="T378" i="1"/>
  <c r="Z378" i="1" s="1"/>
  <c r="AJ378" i="1" s="1"/>
  <c r="R378" i="1" s="1"/>
  <c r="Y181" i="1"/>
  <c r="AI181" i="1" s="1"/>
  <c r="Q181" i="1" s="1"/>
  <c r="T186" i="1"/>
  <c r="Z186" i="1" s="1"/>
  <c r="AJ186" i="1" s="1"/>
  <c r="R186" i="1" s="1"/>
  <c r="Y463" i="1"/>
  <c r="AI463" i="1" s="1"/>
  <c r="Q463" i="1" s="1"/>
  <c r="T858" i="1"/>
  <c r="Z858" i="1" s="1"/>
  <c r="AJ858" i="1" s="1"/>
  <c r="R858" i="1" s="1"/>
  <c r="T423" i="1"/>
  <c r="Z423" i="1" s="1"/>
  <c r="AJ423" i="1" s="1"/>
  <c r="R423" i="1" s="1"/>
  <c r="T166" i="1"/>
  <c r="Z166" i="1" s="1"/>
  <c r="AJ166" i="1" s="1"/>
  <c r="R166" i="1" s="1"/>
  <c r="T303" i="1"/>
  <c r="Z303" i="1" s="1"/>
  <c r="AJ303" i="1" s="1"/>
  <c r="R303" i="1" s="1"/>
  <c r="Y76" i="1"/>
  <c r="AI76" i="1" s="1"/>
  <c r="Q76" i="1" s="1"/>
  <c r="T105" i="1"/>
  <c r="Z105" i="1" s="1"/>
  <c r="AJ105" i="1" s="1"/>
  <c r="R105" i="1" s="1"/>
  <c r="Y321" i="1"/>
  <c r="AI321" i="1" s="1"/>
  <c r="Q321" i="1" s="1"/>
  <c r="Y322" i="1"/>
  <c r="AI322" i="1" s="1"/>
  <c r="Q322" i="1" s="1"/>
  <c r="T321" i="1"/>
  <c r="Z321" i="1" s="1"/>
  <c r="AJ321" i="1" s="1"/>
  <c r="R321" i="1" s="1"/>
  <c r="Y542" i="1"/>
  <c r="AI542" i="1" s="1"/>
  <c r="Q542" i="1" s="1"/>
  <c r="T320" i="1"/>
  <c r="Z320" i="1" s="1"/>
  <c r="AJ320" i="1" s="1"/>
  <c r="R320" i="1" s="1"/>
  <c r="Y78" i="1"/>
  <c r="AI78" i="1" s="1"/>
  <c r="Q78" i="1" s="1"/>
  <c r="Y505" i="1"/>
  <c r="AI505" i="1" s="1"/>
  <c r="Q505" i="1" s="1"/>
  <c r="T371" i="1"/>
  <c r="Z371" i="1" s="1"/>
  <c r="AJ371" i="1" s="1"/>
  <c r="R371" i="1" s="1"/>
  <c r="Y167" i="1"/>
  <c r="AI167" i="1" s="1"/>
  <c r="Q167" i="1" s="1"/>
  <c r="Y163" i="1"/>
  <c r="AI163" i="1" s="1"/>
  <c r="Q163" i="1" s="1"/>
  <c r="T164" i="1"/>
  <c r="Z164" i="1" s="1"/>
  <c r="AJ164" i="1" s="1"/>
  <c r="R164" i="1" s="1"/>
  <c r="Y531" i="1"/>
  <c r="AI531" i="1" s="1"/>
  <c r="Q531" i="1" s="1"/>
  <c r="Y394" i="1"/>
  <c r="AI394" i="1" s="1"/>
  <c r="Q394" i="1" s="1"/>
  <c r="Y528" i="1"/>
  <c r="AI528" i="1" s="1"/>
  <c r="Q528" i="1" s="1"/>
  <c r="Y191" i="1"/>
  <c r="AI191" i="1" s="1"/>
  <c r="Q191" i="1" s="1"/>
  <c r="Y67" i="1"/>
  <c r="AI67" i="1" s="1"/>
  <c r="Q67" i="1" s="1"/>
  <c r="Y162" i="1"/>
  <c r="AI162" i="1" s="1"/>
  <c r="Q162" i="1" s="1"/>
  <c r="T243" i="1"/>
  <c r="Z243" i="1" s="1"/>
  <c r="AJ243" i="1" s="1"/>
  <c r="R243" i="1" s="1"/>
  <c r="T430" i="1"/>
  <c r="Z430" i="1" s="1"/>
  <c r="AJ430" i="1" s="1"/>
  <c r="R430" i="1" s="1"/>
  <c r="T463" i="1"/>
  <c r="Z463" i="1" s="1"/>
  <c r="AJ463" i="1" s="1"/>
  <c r="R463" i="1" s="1"/>
  <c r="Y533" i="1"/>
  <c r="AI533" i="1" s="1"/>
  <c r="Q533" i="1" s="1"/>
  <c r="T422" i="1"/>
  <c r="Z422" i="1" s="1"/>
  <c r="AJ422" i="1" s="1"/>
  <c r="R422" i="1" s="1"/>
  <c r="T810" i="1"/>
  <c r="Z810" i="1" s="1"/>
  <c r="AJ810" i="1" s="1"/>
  <c r="R810" i="1" s="1"/>
  <c r="T470" i="1"/>
  <c r="Z470" i="1" s="1"/>
  <c r="AJ470" i="1" s="1"/>
  <c r="R470" i="1" s="1"/>
  <c r="T581" i="1"/>
  <c r="Z581" i="1" s="1"/>
  <c r="AJ581" i="1" s="1"/>
  <c r="R581" i="1" s="1"/>
  <c r="T509" i="1"/>
  <c r="Z509" i="1" s="1"/>
  <c r="AJ509" i="1" s="1"/>
  <c r="R509" i="1" s="1"/>
  <c r="T541" i="1"/>
  <c r="Z541" i="1" s="1"/>
  <c r="AJ541" i="1" s="1"/>
  <c r="R541" i="1" s="1"/>
  <c r="Y79" i="1"/>
  <c r="AI79" i="1" s="1"/>
  <c r="Q79" i="1" s="1"/>
  <c r="T79" i="1"/>
  <c r="Z79" i="1" s="1"/>
  <c r="AJ79" i="1" s="1"/>
  <c r="R79" i="1" s="1"/>
  <c r="T99" i="1"/>
  <c r="Z99" i="1" s="1"/>
  <c r="AJ99" i="1" s="1"/>
  <c r="R99" i="1" s="1"/>
  <c r="T542" i="1"/>
  <c r="Z542" i="1" s="1"/>
  <c r="AJ542" i="1" s="1"/>
  <c r="R542" i="1" s="1"/>
  <c r="T540" i="1"/>
  <c r="Z540" i="1" s="1"/>
  <c r="AJ540" i="1" s="1"/>
  <c r="R540" i="1" s="1"/>
  <c r="T505" i="1"/>
  <c r="Z505" i="1" s="1"/>
  <c r="AJ505" i="1" s="1"/>
  <c r="R505" i="1" s="1"/>
  <c r="T836" i="1"/>
  <c r="Z836" i="1" s="1"/>
  <c r="AJ836" i="1" s="1"/>
  <c r="R836" i="1" s="1"/>
  <c r="Y100" i="1"/>
  <c r="AI100" i="1" s="1"/>
  <c r="Q100" i="1" s="1"/>
  <c r="T842" i="1"/>
  <c r="Z842" i="1" s="1"/>
  <c r="AJ842" i="1" s="1"/>
  <c r="R842" i="1" s="1"/>
  <c r="T530" i="1"/>
  <c r="Z530" i="1" s="1"/>
  <c r="AJ530" i="1" s="1"/>
  <c r="R530" i="1" s="1"/>
  <c r="Y99" i="1"/>
  <c r="AI99" i="1" s="1"/>
  <c r="Q99" i="1" s="1"/>
  <c r="Y104" i="1"/>
  <c r="AI104" i="1" s="1"/>
  <c r="Q104" i="1" s="1"/>
  <c r="T104" i="1"/>
  <c r="Z104" i="1" s="1"/>
  <c r="AJ104" i="1" s="1"/>
  <c r="R104" i="1" s="1"/>
  <c r="T76" i="1"/>
  <c r="Z76" i="1" s="1"/>
  <c r="AJ76" i="1" s="1"/>
  <c r="R76" i="1" s="1"/>
  <c r="T91" i="1"/>
  <c r="Z91" i="1" s="1"/>
  <c r="AJ91" i="1" s="1"/>
  <c r="R91" i="1" s="1"/>
  <c r="T637" i="1"/>
  <c r="Z637" i="1" s="1"/>
  <c r="AJ637" i="1" s="1"/>
  <c r="R637" i="1" s="1"/>
  <c r="T78" i="1"/>
  <c r="Z78" i="1" s="1"/>
  <c r="AJ78" i="1" s="1"/>
  <c r="R78" i="1" s="1"/>
  <c r="T838" i="1"/>
  <c r="Z838" i="1" s="1"/>
  <c r="AJ838" i="1" s="1"/>
  <c r="R838" i="1" s="1"/>
  <c r="Y168" i="1"/>
  <c r="AI168" i="1" s="1"/>
  <c r="Q168" i="1" s="1"/>
  <c r="Y164" i="1"/>
  <c r="AI164" i="1" s="1"/>
  <c r="Q164" i="1" s="1"/>
  <c r="T167" i="1"/>
  <c r="Z167" i="1" s="1"/>
  <c r="AJ167" i="1" s="1"/>
  <c r="R167" i="1" s="1"/>
  <c r="Y842" i="1"/>
  <c r="AI842" i="1" s="1"/>
  <c r="Q842" i="1" s="1"/>
  <c r="Y392" i="1"/>
  <c r="AI392" i="1" s="1"/>
  <c r="Q392" i="1" s="1"/>
  <c r="Y105" i="1"/>
  <c r="AI105" i="1" s="1"/>
  <c r="Q105" i="1" s="1"/>
  <c r="Y637" i="1"/>
  <c r="AI637" i="1" s="1"/>
  <c r="Q637" i="1" s="1"/>
  <c r="Y421" i="1"/>
  <c r="AI421" i="1" s="1"/>
  <c r="Q421" i="1" s="1"/>
  <c r="T323" i="1"/>
  <c r="Z323" i="1" s="1"/>
  <c r="AJ323" i="1" s="1"/>
  <c r="R323" i="1" s="1"/>
  <c r="T420" i="1"/>
  <c r="Z420" i="1" s="1"/>
  <c r="AJ420" i="1" s="1"/>
  <c r="R420" i="1" s="1"/>
  <c r="Y502" i="1"/>
  <c r="AI502" i="1" s="1"/>
  <c r="Q502" i="1" s="1"/>
  <c r="T502" i="1"/>
  <c r="Z502" i="1" s="1"/>
  <c r="AJ502" i="1" s="1"/>
  <c r="R502" i="1" s="1"/>
  <c r="Y503" i="1"/>
  <c r="AI503" i="1" s="1"/>
  <c r="Q503" i="1" s="1"/>
  <c r="T163" i="1"/>
  <c r="Z163" i="1" s="1"/>
  <c r="AJ163" i="1" s="1"/>
  <c r="R163" i="1" s="1"/>
  <c r="T772" i="1"/>
  <c r="Z772" i="1" s="1"/>
  <c r="AJ772" i="1" s="1"/>
  <c r="R772" i="1" s="1"/>
  <c r="T100" i="1"/>
  <c r="Z100" i="1" s="1"/>
  <c r="AJ100" i="1" s="1"/>
  <c r="R100" i="1" s="1"/>
  <c r="Y393" i="1"/>
  <c r="AI393" i="1" s="1"/>
  <c r="Q393" i="1" s="1"/>
  <c r="Y161" i="1"/>
  <c r="AI161" i="1" s="1"/>
  <c r="Q161" i="1" s="1"/>
  <c r="Y91" i="1"/>
  <c r="AI91" i="1" s="1"/>
  <c r="Q91" i="1" s="1"/>
  <c r="T322" i="1"/>
  <c r="Z322" i="1" s="1"/>
  <c r="AJ322" i="1" s="1"/>
  <c r="R322" i="1" s="1"/>
  <c r="T421" i="1"/>
  <c r="Z421" i="1" s="1"/>
  <c r="AJ421" i="1" s="1"/>
  <c r="R421" i="1" s="1"/>
  <c r="Y838" i="1"/>
  <c r="AI838" i="1" s="1"/>
  <c r="Q838" i="1" s="1"/>
  <c r="Y371" i="1"/>
  <c r="AI371" i="1" s="1"/>
  <c r="Q371" i="1" s="1"/>
  <c r="T503" i="1"/>
  <c r="Z503" i="1" s="1"/>
  <c r="AJ503" i="1" s="1"/>
  <c r="R503" i="1" s="1"/>
  <c r="T168" i="1"/>
  <c r="Z168" i="1" s="1"/>
  <c r="AJ168" i="1" s="1"/>
  <c r="R168" i="1" s="1"/>
  <c r="Y772" i="1"/>
  <c r="AI772" i="1" s="1"/>
  <c r="Q772" i="1" s="1"/>
  <c r="T484" i="1"/>
  <c r="Z484" i="1" s="1"/>
  <c r="AJ484" i="1" s="1"/>
  <c r="R484" i="1" s="1"/>
  <c r="Y530" i="1"/>
  <c r="AI530" i="1" s="1"/>
  <c r="Q530" i="1" s="1"/>
  <c r="T393" i="1"/>
  <c r="Z393" i="1" s="1"/>
  <c r="AJ393" i="1" s="1"/>
  <c r="R393" i="1" s="1"/>
  <c r="T531" i="1"/>
  <c r="Z531" i="1" s="1"/>
  <c r="AJ531" i="1" s="1"/>
  <c r="R531" i="1" s="1"/>
  <c r="T528" i="1"/>
  <c r="Z528" i="1" s="1"/>
  <c r="AJ528" i="1" s="1"/>
  <c r="R528" i="1" s="1"/>
  <c r="T394" i="1"/>
  <c r="Z394" i="1" s="1"/>
  <c r="AJ394" i="1" s="1"/>
  <c r="R394" i="1" s="1"/>
  <c r="T392" i="1"/>
  <c r="Z392" i="1" s="1"/>
  <c r="AJ392" i="1" s="1"/>
  <c r="R392" i="1" s="1"/>
  <c r="Y75" i="1"/>
  <c r="AI75" i="1" s="1"/>
  <c r="Q75" i="1" s="1"/>
  <c r="T75" i="1"/>
  <c r="Z75" i="1" s="1"/>
  <c r="AJ75" i="1" s="1"/>
  <c r="R75" i="1" s="1"/>
  <c r="Y506" i="1"/>
  <c r="AI506" i="1" s="1"/>
  <c r="Q506" i="1" s="1"/>
  <c r="T506" i="1"/>
  <c r="Z506" i="1" s="1"/>
  <c r="AJ506" i="1" s="1"/>
  <c r="R506" i="1" s="1"/>
  <c r="T773" i="1"/>
  <c r="Z773" i="1" s="1"/>
  <c r="AJ773" i="1" s="1"/>
  <c r="R773" i="1" s="1"/>
  <c r="T865" i="1"/>
  <c r="Z865" i="1" s="1"/>
  <c r="AJ865" i="1" s="1"/>
  <c r="R865" i="1" s="1"/>
  <c r="T414" i="1"/>
  <c r="Z414" i="1" s="1"/>
  <c r="AJ414" i="1" s="1"/>
  <c r="R414" i="1" s="1"/>
  <c r="T482" i="1"/>
  <c r="Z482" i="1" s="1"/>
  <c r="AJ482" i="1" s="1"/>
  <c r="R482" i="1" s="1"/>
  <c r="T474" i="1"/>
  <c r="Z474" i="1" s="1"/>
  <c r="AJ474" i="1" s="1"/>
  <c r="R474" i="1" s="1"/>
  <c r="T161" i="1"/>
  <c r="Z161" i="1" s="1"/>
  <c r="AJ161" i="1" s="1"/>
  <c r="R161" i="1" s="1"/>
  <c r="T165" i="1"/>
  <c r="Z165" i="1" s="1"/>
  <c r="AJ165" i="1" s="1"/>
  <c r="R165" i="1" s="1"/>
  <c r="Y837" i="1"/>
  <c r="AI837" i="1" s="1"/>
  <c r="Q837" i="1" s="1"/>
  <c r="Y409" i="1"/>
  <c r="AI409" i="1" s="1"/>
  <c r="Q409" i="1" s="1"/>
  <c r="T409" i="1"/>
  <c r="Z409" i="1" s="1"/>
  <c r="AJ409" i="1" s="1"/>
  <c r="R409" i="1" s="1"/>
  <c r="Y474" i="1"/>
  <c r="AI474" i="1" s="1"/>
  <c r="Q474" i="1" s="1"/>
  <c r="Y480" i="1"/>
  <c r="AI480" i="1" s="1"/>
  <c r="Q480" i="1" s="1"/>
  <c r="T476" i="1"/>
  <c r="Z476" i="1" s="1"/>
  <c r="AJ476" i="1" s="1"/>
  <c r="R476" i="1" s="1"/>
  <c r="T479" i="1"/>
  <c r="Z479" i="1" s="1"/>
  <c r="AJ479" i="1" s="1"/>
  <c r="R479" i="1" s="1"/>
  <c r="T481" i="1"/>
  <c r="Z481" i="1" s="1"/>
  <c r="AJ481" i="1" s="1"/>
  <c r="R481" i="1" s="1"/>
  <c r="Y835" i="1"/>
  <c r="AI835" i="1" s="1"/>
  <c r="Q835" i="1" s="1"/>
  <c r="Y773" i="1"/>
  <c r="AI773" i="1" s="1"/>
  <c r="Q773" i="1" s="1"/>
  <c r="Y841" i="1"/>
  <c r="AI841" i="1" s="1"/>
  <c r="Q841" i="1" s="1"/>
  <c r="T841" i="1"/>
  <c r="Z841" i="1" s="1"/>
  <c r="AJ841" i="1" s="1"/>
  <c r="R841" i="1" s="1"/>
  <c r="Y416" i="1"/>
  <c r="AI416" i="1" s="1"/>
  <c r="Q416" i="1" s="1"/>
  <c r="T416" i="1"/>
  <c r="Z416" i="1" s="1"/>
  <c r="AJ416" i="1" s="1"/>
  <c r="R416" i="1" s="1"/>
  <c r="Y479" i="1"/>
  <c r="AI479" i="1" s="1"/>
  <c r="Q479" i="1" s="1"/>
  <c r="Y476" i="1"/>
  <c r="AI476" i="1" s="1"/>
  <c r="Q476" i="1" s="1"/>
  <c r="T480" i="1"/>
  <c r="Z480" i="1" s="1"/>
  <c r="AJ480" i="1" s="1"/>
  <c r="R480" i="1" s="1"/>
  <c r="T478" i="1"/>
  <c r="Z478" i="1" s="1"/>
  <c r="AJ478" i="1" s="1"/>
  <c r="R478" i="1" s="1"/>
  <c r="Y481" i="1"/>
  <c r="AI481" i="1" s="1"/>
  <c r="Q481" i="1" s="1"/>
  <c r="Y507" i="1"/>
  <c r="AI507" i="1" s="1"/>
  <c r="Q507" i="1" s="1"/>
  <c r="T297" i="1"/>
  <c r="Z297" i="1" s="1"/>
  <c r="AJ297" i="1" s="1"/>
  <c r="R297" i="1" s="1"/>
  <c r="Y370" i="1"/>
  <c r="AI370" i="1" s="1"/>
  <c r="Q370" i="1" s="1"/>
  <c r="T370" i="1"/>
  <c r="Z370" i="1" s="1"/>
  <c r="AJ370" i="1" s="1"/>
  <c r="R370" i="1" s="1"/>
  <c r="Y495" i="1"/>
  <c r="AI495" i="1" s="1"/>
  <c r="Q495" i="1" s="1"/>
  <c r="Y40" i="1"/>
  <c r="AI40" i="1" s="1"/>
  <c r="Q40" i="1" s="1"/>
  <c r="Y92" i="1"/>
  <c r="AI92" i="1" s="1"/>
  <c r="Q92" i="1" s="1"/>
  <c r="T806" i="1"/>
  <c r="Z806" i="1" s="1"/>
  <c r="AJ806" i="1" s="1"/>
  <c r="R806" i="1" s="1"/>
  <c r="Y318" i="1"/>
  <c r="AI318" i="1" s="1"/>
  <c r="Q318" i="1" s="1"/>
  <c r="Y861" i="1"/>
  <c r="AI861" i="1" s="1"/>
  <c r="Q861" i="1" s="1"/>
  <c r="Y317" i="1"/>
  <c r="AI317" i="1" s="1"/>
  <c r="Q317" i="1" s="1"/>
  <c r="Y319" i="1"/>
  <c r="AI319" i="1" s="1"/>
  <c r="Q319" i="1" s="1"/>
  <c r="T318" i="1"/>
  <c r="Z318" i="1" s="1"/>
  <c r="AJ318" i="1" s="1"/>
  <c r="R318" i="1" s="1"/>
  <c r="T319" i="1"/>
  <c r="Z319" i="1" s="1"/>
  <c r="AJ319" i="1" s="1"/>
  <c r="R319" i="1" s="1"/>
  <c r="Y504" i="1"/>
  <c r="AI504" i="1" s="1"/>
  <c r="Q504" i="1" s="1"/>
  <c r="T504" i="1"/>
  <c r="Z504" i="1" s="1"/>
  <c r="AJ504" i="1" s="1"/>
  <c r="R504" i="1" s="1"/>
  <c r="Y165" i="1"/>
  <c r="AI165" i="1" s="1"/>
  <c r="Q165" i="1" s="1"/>
  <c r="Y532" i="1"/>
  <c r="AI532" i="1" s="1"/>
  <c r="Q532" i="1" s="1"/>
  <c r="T532" i="1"/>
  <c r="Z532" i="1" s="1"/>
  <c r="AJ532" i="1" s="1"/>
  <c r="R532" i="1" s="1"/>
  <c r="T837" i="1"/>
  <c r="Z837" i="1" s="1"/>
  <c r="AJ837" i="1" s="1"/>
  <c r="R837" i="1" s="1"/>
  <c r="Y475" i="1"/>
  <c r="AI475" i="1" s="1"/>
  <c r="Q475" i="1" s="1"/>
  <c r="Y482" i="1"/>
  <c r="AI482" i="1" s="1"/>
  <c r="Q482" i="1" s="1"/>
  <c r="Y296" i="1"/>
  <c r="AI296" i="1" s="1"/>
  <c r="Q296" i="1" s="1"/>
  <c r="T296" i="1"/>
  <c r="Z296" i="1" s="1"/>
  <c r="AJ296" i="1" s="1"/>
  <c r="R296" i="1" s="1"/>
  <c r="T511" i="1"/>
  <c r="Z511" i="1" s="1"/>
  <c r="AJ511" i="1" s="1"/>
  <c r="R511" i="1" s="1"/>
  <c r="T101" i="1"/>
  <c r="Z101" i="1" s="1"/>
  <c r="AJ101" i="1" s="1"/>
  <c r="R101" i="1" s="1"/>
  <c r="T40" i="1"/>
  <c r="Z40" i="1" s="1"/>
  <c r="AJ40" i="1" s="1"/>
  <c r="R40" i="1" s="1"/>
  <c r="T92" i="1"/>
  <c r="Z92" i="1" s="1"/>
  <c r="AJ92" i="1" s="1"/>
  <c r="R92" i="1" s="1"/>
  <c r="T835" i="1"/>
  <c r="Z835" i="1" s="1"/>
  <c r="AJ835" i="1" s="1"/>
  <c r="R835" i="1" s="1"/>
  <c r="Y839" i="1"/>
  <c r="AI839" i="1" s="1"/>
  <c r="Q839" i="1" s="1"/>
  <c r="T839" i="1"/>
  <c r="Z839" i="1" s="1"/>
  <c r="AJ839" i="1" s="1"/>
  <c r="R839" i="1" s="1"/>
  <c r="Y865" i="1"/>
  <c r="AI865" i="1" s="1"/>
  <c r="Q865" i="1" s="1"/>
  <c r="Y414" i="1"/>
  <c r="AI414" i="1" s="1"/>
  <c r="Q414" i="1" s="1"/>
  <c r="Y478" i="1"/>
  <c r="AI478" i="1" s="1"/>
  <c r="Q478" i="1" s="1"/>
  <c r="Y297" i="1"/>
  <c r="AI297" i="1" s="1"/>
  <c r="Q297" i="1" s="1"/>
  <c r="Y473" i="1"/>
  <c r="AI473" i="1" s="1"/>
  <c r="Q473" i="1" s="1"/>
  <c r="T475" i="1"/>
  <c r="Z475" i="1" s="1"/>
  <c r="AJ475" i="1" s="1"/>
  <c r="R475" i="1" s="1"/>
  <c r="T469" i="1"/>
  <c r="T473" i="1"/>
  <c r="Z473" i="1" s="1"/>
  <c r="AJ473" i="1" s="1"/>
  <c r="R473" i="1" s="1"/>
  <c r="T507" i="1"/>
  <c r="Z507" i="1" s="1"/>
  <c r="AJ507" i="1" s="1"/>
  <c r="R507" i="1" s="1"/>
  <c r="Y511" i="1"/>
  <c r="AI511" i="1" s="1"/>
  <c r="Q511" i="1" s="1"/>
  <c r="Y806" i="1"/>
  <c r="AI806" i="1" s="1"/>
  <c r="Q806" i="1" s="1"/>
  <c r="T495" i="1"/>
  <c r="Z495" i="1" s="1"/>
  <c r="AJ495" i="1" s="1"/>
  <c r="R495" i="1" s="1"/>
  <c r="Y101" i="1"/>
  <c r="AI101" i="1" s="1"/>
  <c r="Q101" i="1" s="1"/>
  <c r="Y529" i="1"/>
  <c r="AI529" i="1" s="1"/>
  <c r="Q529" i="1" s="1"/>
  <c r="Y41" i="1"/>
  <c r="AI41" i="1" s="1"/>
  <c r="Q41" i="1" s="1"/>
  <c r="Y316" i="1"/>
  <c r="AI316" i="1" s="1"/>
  <c r="Q316" i="1" s="1"/>
  <c r="Y860" i="1"/>
  <c r="AI860" i="1" s="1"/>
  <c r="Q860" i="1" s="1"/>
  <c r="T41" i="1"/>
  <c r="Z41" i="1" s="1"/>
  <c r="AJ41" i="1" s="1"/>
  <c r="R41" i="1" s="1"/>
  <c r="T860" i="1"/>
  <c r="Z860" i="1" s="1"/>
  <c r="AJ860" i="1" s="1"/>
  <c r="R860" i="1" s="1"/>
  <c r="T861" i="1"/>
  <c r="Z861" i="1" s="1"/>
  <c r="AJ861" i="1" s="1"/>
  <c r="R861" i="1" s="1"/>
  <c r="T529" i="1"/>
  <c r="Z529" i="1" s="1"/>
  <c r="AJ529" i="1" s="1"/>
  <c r="R529" i="1" s="1"/>
  <c r="T317" i="1"/>
  <c r="Z317" i="1" s="1"/>
  <c r="AJ317" i="1" s="1"/>
  <c r="R317" i="1" s="1"/>
  <c r="T316" i="1"/>
  <c r="Z316" i="1" s="1"/>
  <c r="AJ316" i="1" s="1"/>
  <c r="R316" i="1" s="1"/>
  <c r="Y801" i="1"/>
  <c r="AI801" i="1" s="1"/>
  <c r="T308" i="1"/>
  <c r="Z308" i="1" s="1"/>
  <c r="AJ308" i="1" s="1"/>
  <c r="R308" i="1" s="1"/>
  <c r="T360" i="1"/>
  <c r="Z360" i="1" s="1"/>
  <c r="AJ360" i="1" s="1"/>
  <c r="R360" i="1" s="1"/>
  <c r="Y514" i="1"/>
  <c r="AI514" i="1" s="1"/>
  <c r="Y786" i="1"/>
  <c r="Y785" i="1"/>
  <c r="Y74" i="1"/>
  <c r="Y512" i="1"/>
  <c r="Y294" i="1"/>
  <c r="Y308" i="1"/>
  <c r="AI308" i="1" s="1"/>
  <c r="T785" i="1"/>
  <c r="Z785" i="1" s="1"/>
  <c r="AJ785" i="1" s="1"/>
  <c r="R785" i="1" s="1"/>
  <c r="T786" i="1"/>
  <c r="Z786" i="1" s="1"/>
  <c r="AJ786" i="1" s="1"/>
  <c r="R786" i="1" s="1"/>
  <c r="T294" i="1"/>
  <c r="Z294" i="1" s="1"/>
  <c r="AJ294" i="1" s="1"/>
  <c r="R294" i="1" s="1"/>
  <c r="Y360" i="1"/>
  <c r="AI360" i="1" s="1"/>
  <c r="Y849" i="1"/>
  <c r="T849" i="1"/>
  <c r="Z849" i="1" s="1"/>
  <c r="AJ849" i="1" s="1"/>
  <c r="R849" i="1" s="1"/>
  <c r="T510" i="1"/>
  <c r="Z510" i="1" s="1"/>
  <c r="AJ510" i="1" s="1"/>
  <c r="R510" i="1" s="1"/>
  <c r="Y853" i="1"/>
  <c r="T854" i="1"/>
  <c r="Z854" i="1" s="1"/>
  <c r="AJ854" i="1" s="1"/>
  <c r="R854" i="1" s="1"/>
  <c r="Y515" i="1"/>
  <c r="AI515" i="1" s="1"/>
  <c r="Y169" i="1"/>
  <c r="Y787" i="1"/>
  <c r="T787" i="1"/>
  <c r="Z787" i="1" s="1"/>
  <c r="AJ787" i="1" s="1"/>
  <c r="R787" i="1" s="1"/>
  <c r="T169" i="1"/>
  <c r="Z169" i="1" s="1"/>
  <c r="AJ169" i="1" s="1"/>
  <c r="R169" i="1" s="1"/>
  <c r="Y848" i="1"/>
  <c r="T848" i="1"/>
  <c r="Z848" i="1" s="1"/>
  <c r="AJ848" i="1" s="1"/>
  <c r="R848" i="1" s="1"/>
  <c r="T74" i="1"/>
  <c r="Z74" i="1" s="1"/>
  <c r="AJ74" i="1" s="1"/>
  <c r="R74" i="1" s="1"/>
  <c r="T514" i="1"/>
  <c r="Z514" i="1" s="1"/>
  <c r="AJ514" i="1" s="1"/>
  <c r="R514" i="1" s="1"/>
  <c r="Y855" i="1"/>
  <c r="Y800" i="1"/>
  <c r="T800" i="1"/>
  <c r="Z800" i="1" s="1"/>
  <c r="AJ800" i="1" s="1"/>
  <c r="R800" i="1" s="1"/>
  <c r="Y510" i="1"/>
  <c r="T855" i="1"/>
  <c r="Z855" i="1" s="1"/>
  <c r="AJ855" i="1" s="1"/>
  <c r="R855" i="1" s="1"/>
  <c r="T801" i="1"/>
  <c r="Z801" i="1" s="1"/>
  <c r="AJ801" i="1" s="1"/>
  <c r="R801" i="1" s="1"/>
  <c r="Y804" i="1"/>
  <c r="Y516" i="1"/>
  <c r="AI516" i="1" s="1"/>
  <c r="T804" i="1"/>
  <c r="Z804" i="1" s="1"/>
  <c r="AJ804" i="1" s="1"/>
  <c r="R804" i="1" s="1"/>
  <c r="T501" i="1"/>
  <c r="Z501" i="1" s="1"/>
  <c r="AJ501" i="1" s="1"/>
  <c r="R501" i="1" s="1"/>
  <c r="Y501" i="1"/>
  <c r="Y854" i="1"/>
  <c r="Y513" i="1"/>
  <c r="T513" i="1"/>
  <c r="Z513" i="1" s="1"/>
  <c r="AJ513" i="1" s="1"/>
  <c r="R513" i="1" s="1"/>
  <c r="T512" i="1"/>
  <c r="Z512" i="1" s="1"/>
  <c r="AJ512" i="1" s="1"/>
  <c r="R512" i="1" s="1"/>
  <c r="Y857" i="1"/>
  <c r="T621" i="1"/>
  <c r="Z621" i="1" s="1"/>
  <c r="AJ621" i="1" s="1"/>
  <c r="R621" i="1" s="1"/>
  <c r="T516" i="1"/>
  <c r="Z516" i="1" s="1"/>
  <c r="AJ516" i="1" s="1"/>
  <c r="R516" i="1" s="1"/>
  <c r="T853" i="1"/>
  <c r="Z853" i="1" s="1"/>
  <c r="AJ853" i="1" s="1"/>
  <c r="R853" i="1" s="1"/>
  <c r="Y621" i="1"/>
  <c r="T857" i="1"/>
  <c r="Z857" i="1" s="1"/>
  <c r="AJ857" i="1" s="1"/>
  <c r="R857" i="1" s="1"/>
  <c r="Y497" i="1"/>
  <c r="Y500" i="1"/>
  <c r="AI500" i="1" s="1"/>
  <c r="Y97" i="1"/>
  <c r="AI97" i="1" s="1"/>
  <c r="Y17" i="1"/>
  <c r="AI17" i="1" s="1"/>
  <c r="Y524" i="1"/>
  <c r="Y384" i="1"/>
  <c r="Y462" i="1"/>
  <c r="T460" i="1"/>
  <c r="Z460" i="1" s="1"/>
  <c r="AJ460" i="1" s="1"/>
  <c r="R460" i="1" s="1"/>
  <c r="T418" i="1"/>
  <c r="Z418" i="1" s="1"/>
  <c r="AJ418" i="1" s="1"/>
  <c r="R418" i="1" s="1"/>
  <c r="Y499" i="1"/>
  <c r="AI499" i="1" s="1"/>
  <c r="T500" i="1"/>
  <c r="Z500" i="1" s="1"/>
  <c r="AJ500" i="1" s="1"/>
  <c r="R500" i="1" s="1"/>
  <c r="T97" i="1"/>
  <c r="Z97" i="1" s="1"/>
  <c r="AJ97" i="1" s="1"/>
  <c r="R97" i="1" s="1"/>
  <c r="T461" i="1"/>
  <c r="Z461" i="1" s="1"/>
  <c r="AJ461" i="1" s="1"/>
  <c r="R461" i="1" s="1"/>
  <c r="Y382" i="1"/>
  <c r="T382" i="1"/>
  <c r="Z382" i="1" s="1"/>
  <c r="AJ382" i="1" s="1"/>
  <c r="R382" i="1" s="1"/>
  <c r="Y585" i="1"/>
  <c r="T499" i="1"/>
  <c r="Z499" i="1" s="1"/>
  <c r="AJ499" i="1" s="1"/>
  <c r="R499" i="1" s="1"/>
  <c r="T515" i="1"/>
  <c r="Z515" i="1" s="1"/>
  <c r="AJ515" i="1" s="1"/>
  <c r="R515" i="1" s="1"/>
  <c r="Y106" i="1"/>
  <c r="T102" i="1"/>
  <c r="Z102" i="1" s="1"/>
  <c r="AJ102" i="1" s="1"/>
  <c r="R102" i="1" s="1"/>
  <c r="Y527" i="1"/>
  <c r="AI527" i="1" s="1"/>
  <c r="Y385" i="1"/>
  <c r="T462" i="1"/>
  <c r="Z462" i="1" s="1"/>
  <c r="AJ462" i="1" s="1"/>
  <c r="R462" i="1" s="1"/>
  <c r="Y418" i="1"/>
  <c r="Y309" i="1"/>
  <c r="Y771" i="1"/>
  <c r="T96" i="1"/>
  <c r="Z96" i="1" s="1"/>
  <c r="AJ96" i="1" s="1"/>
  <c r="R96" i="1" s="1"/>
  <c r="Y98" i="1"/>
  <c r="AI98" i="1" s="1"/>
  <c r="Y18" i="1"/>
  <c r="Y557" i="1"/>
  <c r="AI557" i="1" s="1"/>
  <c r="Y793" i="1"/>
  <c r="Y790" i="1"/>
  <c r="T616" i="1"/>
  <c r="Z616" i="1" s="1"/>
  <c r="AJ616" i="1" s="1"/>
  <c r="R616" i="1" s="1"/>
  <c r="T358" i="1"/>
  <c r="Z358" i="1" s="1"/>
  <c r="AJ358" i="1" s="1"/>
  <c r="R358" i="1" s="1"/>
  <c r="T497" i="1"/>
  <c r="Z497" i="1" s="1"/>
  <c r="AJ497" i="1" s="1"/>
  <c r="R497" i="1" s="1"/>
  <c r="Y102" i="1"/>
  <c r="T17" i="1"/>
  <c r="Z17" i="1" s="1"/>
  <c r="AJ17" i="1" s="1"/>
  <c r="R17" i="1" s="1"/>
  <c r="Y461" i="1"/>
  <c r="Y460" i="1"/>
  <c r="Y383" i="1"/>
  <c r="T383" i="1"/>
  <c r="Z383" i="1" s="1"/>
  <c r="AJ383" i="1" s="1"/>
  <c r="R383" i="1" s="1"/>
  <c r="T771" i="1"/>
  <c r="Z771" i="1" s="1"/>
  <c r="AJ771" i="1" s="1"/>
  <c r="R771" i="1" s="1"/>
  <c r="Y96" i="1"/>
  <c r="AI96" i="1" s="1"/>
  <c r="Y95" i="1"/>
  <c r="Y401" i="1"/>
  <c r="T301" i="1"/>
  <c r="Z301" i="1" s="1"/>
  <c r="AJ301" i="1" s="1"/>
  <c r="R301" i="1" s="1"/>
  <c r="Y298" i="1"/>
  <c r="Y413" i="1"/>
  <c r="AI413" i="1" s="1"/>
  <c r="T413" i="1"/>
  <c r="Z413" i="1" s="1"/>
  <c r="AJ413" i="1" s="1"/>
  <c r="R413" i="1" s="1"/>
  <c r="Y156" i="1"/>
  <c r="Y412" i="1"/>
  <c r="Y307" i="1"/>
  <c r="T307" i="1"/>
  <c r="Z307" i="1" s="1"/>
  <c r="AJ307" i="1" s="1"/>
  <c r="R307" i="1" s="1"/>
  <c r="T563" i="1"/>
  <c r="Z563" i="1" s="1"/>
  <c r="AJ563" i="1" s="1"/>
  <c r="R563" i="1" s="1"/>
  <c r="Y494" i="1"/>
  <c r="T523" i="1"/>
  <c r="Z523" i="1" s="1"/>
  <c r="AJ523" i="1" s="1"/>
  <c r="R523" i="1" s="1"/>
  <c r="Y525" i="1"/>
  <c r="T525" i="1"/>
  <c r="Z525" i="1" s="1"/>
  <c r="AJ525" i="1" s="1"/>
  <c r="R525" i="1" s="1"/>
  <c r="Y629" i="1"/>
  <c r="T792" i="1"/>
  <c r="Z792" i="1" s="1"/>
  <c r="AJ792" i="1" s="1"/>
  <c r="R792" i="1" s="1"/>
  <c r="T794" i="1"/>
  <c r="Z794" i="1" s="1"/>
  <c r="AJ794" i="1" s="1"/>
  <c r="R794" i="1" s="1"/>
  <c r="T788" i="1"/>
  <c r="Z788" i="1" s="1"/>
  <c r="AJ788" i="1" s="1"/>
  <c r="R788" i="1" s="1"/>
  <c r="Y618" i="1"/>
  <c r="T618" i="1"/>
  <c r="Z618" i="1" s="1"/>
  <c r="AJ618" i="1" s="1"/>
  <c r="R618" i="1" s="1"/>
  <c r="Y611" i="1"/>
  <c r="AI611" i="1" s="1"/>
  <c r="Y620" i="1"/>
  <c r="T615" i="1"/>
  <c r="Z615" i="1" s="1"/>
  <c r="AJ615" i="1" s="1"/>
  <c r="R615" i="1" s="1"/>
  <c r="T622" i="1"/>
  <c r="Z622" i="1" s="1"/>
  <c r="AJ622" i="1" s="1"/>
  <c r="R622" i="1" s="1"/>
  <c r="T610" i="1"/>
  <c r="Z610" i="1" s="1"/>
  <c r="AJ610" i="1" s="1"/>
  <c r="R610" i="1" s="1"/>
  <c r="T609" i="1"/>
  <c r="Z609" i="1" s="1"/>
  <c r="AJ609" i="1" s="1"/>
  <c r="R609" i="1" s="1"/>
  <c r="T634" i="1"/>
  <c r="Z634" i="1" s="1"/>
  <c r="AJ634" i="1" s="1"/>
  <c r="R634" i="1" s="1"/>
  <c r="T872" i="1"/>
  <c r="Z872" i="1" s="1"/>
  <c r="AJ872" i="1" s="1"/>
  <c r="R872" i="1" s="1"/>
  <c r="T613" i="1"/>
  <c r="Z613" i="1" s="1"/>
  <c r="T520" i="1"/>
  <c r="Z520" i="1" s="1"/>
  <c r="AJ520" i="1" s="1"/>
  <c r="R520" i="1" s="1"/>
  <c r="T524" i="1"/>
  <c r="Z524" i="1" s="1"/>
  <c r="AJ524" i="1" s="1"/>
  <c r="R524" i="1" s="1"/>
  <c r="T384" i="1"/>
  <c r="Z384" i="1" s="1"/>
  <c r="AJ384" i="1" s="1"/>
  <c r="R384" i="1" s="1"/>
  <c r="T585" i="1"/>
  <c r="Z585" i="1" s="1"/>
  <c r="AJ585" i="1" s="1"/>
  <c r="R585" i="1" s="1"/>
  <c r="T106" i="1"/>
  <c r="Z106" i="1" s="1"/>
  <c r="AJ106" i="1" s="1"/>
  <c r="R106" i="1" s="1"/>
  <c r="T309" i="1"/>
  <c r="Z309" i="1" s="1"/>
  <c r="AJ309" i="1" s="1"/>
  <c r="R309" i="1" s="1"/>
  <c r="T527" i="1"/>
  <c r="Z527" i="1" s="1"/>
  <c r="AJ527" i="1" s="1"/>
  <c r="R527" i="1" s="1"/>
  <c r="T385" i="1"/>
  <c r="Z385" i="1" s="1"/>
  <c r="AJ385" i="1" s="1"/>
  <c r="R385" i="1" s="1"/>
  <c r="Y45" i="1"/>
  <c r="Y301" i="1"/>
  <c r="Y109" i="1"/>
  <c r="T98" i="1"/>
  <c r="Z98" i="1" s="1"/>
  <c r="AJ98" i="1" s="1"/>
  <c r="R98" i="1" s="1"/>
  <c r="T95" i="1"/>
  <c r="Z95" i="1" s="1"/>
  <c r="AJ95" i="1" s="1"/>
  <c r="R95" i="1" s="1"/>
  <c r="T45" i="1"/>
  <c r="Z45" i="1" s="1"/>
  <c r="AJ45" i="1" s="1"/>
  <c r="R45" i="1" s="1"/>
  <c r="T298" i="1"/>
  <c r="Z298" i="1" s="1"/>
  <c r="AJ298" i="1" s="1"/>
  <c r="R298" i="1" s="1"/>
  <c r="T109" i="1"/>
  <c r="Z109" i="1" s="1"/>
  <c r="AJ109" i="1" s="1"/>
  <c r="R109" i="1" s="1"/>
  <c r="T401" i="1"/>
  <c r="Z401" i="1" s="1"/>
  <c r="AJ401" i="1" s="1"/>
  <c r="R401" i="1" s="1"/>
  <c r="Y103" i="1"/>
  <c r="T103" i="1"/>
  <c r="Z103" i="1" s="1"/>
  <c r="AJ103" i="1" s="1"/>
  <c r="R103" i="1" s="1"/>
  <c r="Y94" i="1"/>
  <c r="T156" i="1"/>
  <c r="Z156" i="1" s="1"/>
  <c r="AJ156" i="1" s="1"/>
  <c r="R156" i="1" s="1"/>
  <c r="T526" i="1"/>
  <c r="Z526" i="1" s="1"/>
  <c r="AJ526" i="1" s="1"/>
  <c r="R526" i="1" s="1"/>
  <c r="T557" i="1"/>
  <c r="Z557" i="1" s="1"/>
  <c r="AJ557" i="1" s="1"/>
  <c r="R557" i="1" s="1"/>
  <c r="Y526" i="1"/>
  <c r="T412" i="1"/>
  <c r="Z412" i="1" s="1"/>
  <c r="AJ412" i="1" s="1"/>
  <c r="R412" i="1" s="1"/>
  <c r="T94" i="1"/>
  <c r="Z94" i="1" s="1"/>
  <c r="AJ94" i="1" s="1"/>
  <c r="R94" i="1" s="1"/>
  <c r="T18" i="1"/>
  <c r="Z18" i="1" s="1"/>
  <c r="AJ18" i="1" s="1"/>
  <c r="R18" i="1" s="1"/>
  <c r="Y619" i="1"/>
  <c r="Y493" i="1"/>
  <c r="T493" i="1"/>
  <c r="Z493" i="1" s="1"/>
  <c r="AJ493" i="1" s="1"/>
  <c r="R493" i="1" s="1"/>
  <c r="Y77" i="1"/>
  <c r="T619" i="1"/>
  <c r="Z619" i="1" s="1"/>
  <c r="AJ619" i="1" s="1"/>
  <c r="R619" i="1" s="1"/>
  <c r="Y563" i="1"/>
  <c r="T77" i="1"/>
  <c r="Z77" i="1" s="1"/>
  <c r="AJ77" i="1" s="1"/>
  <c r="R77" i="1" s="1"/>
  <c r="Y353" i="1"/>
  <c r="T353" i="1"/>
  <c r="Z353" i="1" s="1"/>
  <c r="AJ353" i="1" s="1"/>
  <c r="R353" i="1" s="1"/>
  <c r="Y84" i="1"/>
  <c r="AI84" i="1" s="1"/>
  <c r="T84" i="1"/>
  <c r="Z84" i="1" s="1"/>
  <c r="AJ84" i="1" s="1"/>
  <c r="R84" i="1" s="1"/>
  <c r="Y410" i="1"/>
  <c r="T410" i="1"/>
  <c r="Z410" i="1" s="1"/>
  <c r="AJ410" i="1" s="1"/>
  <c r="R410" i="1" s="1"/>
  <c r="Y159" i="1"/>
  <c r="AI159" i="1" s="1"/>
  <c r="T494" i="1"/>
  <c r="Z494" i="1" s="1"/>
  <c r="AJ494" i="1" s="1"/>
  <c r="R494" i="1" s="1"/>
  <c r="T159" i="1"/>
  <c r="Z159" i="1" s="1"/>
  <c r="AJ159" i="1" s="1"/>
  <c r="R159" i="1" s="1"/>
  <c r="Y492" i="1"/>
  <c r="T492" i="1"/>
  <c r="Z492" i="1" s="1"/>
  <c r="AJ492" i="1" s="1"/>
  <c r="R492" i="1" s="1"/>
  <c r="Y522" i="1"/>
  <c r="Y523" i="1"/>
  <c r="T522" i="1"/>
  <c r="Z522" i="1" s="1"/>
  <c r="AJ522" i="1" s="1"/>
  <c r="R522" i="1" s="1"/>
  <c r="Y640" i="1"/>
  <c r="T640" i="1"/>
  <c r="Z640" i="1" s="1"/>
  <c r="AJ640" i="1" s="1"/>
  <c r="R640" i="1" s="1"/>
  <c r="Y798" i="1"/>
  <c r="T793" i="1"/>
  <c r="Z793" i="1" s="1"/>
  <c r="AJ793" i="1" s="1"/>
  <c r="R793" i="1" s="1"/>
  <c r="T635" i="1"/>
  <c r="Z635" i="1" s="1"/>
  <c r="AJ635" i="1" s="1"/>
  <c r="R635" i="1" s="1"/>
  <c r="Y635" i="1"/>
  <c r="T629" i="1"/>
  <c r="Z629" i="1" s="1"/>
  <c r="AJ629" i="1" s="1"/>
  <c r="R629" i="1" s="1"/>
  <c r="Y792" i="1"/>
  <c r="AI792" i="1" s="1"/>
  <c r="Y797" i="1"/>
  <c r="T797" i="1"/>
  <c r="Z797" i="1" s="1"/>
  <c r="AJ797" i="1" s="1"/>
  <c r="R797" i="1" s="1"/>
  <c r="Y796" i="1"/>
  <c r="T796" i="1"/>
  <c r="Z796" i="1" s="1"/>
  <c r="AJ796" i="1" s="1"/>
  <c r="R796" i="1" s="1"/>
  <c r="Y852" i="1"/>
  <c r="Y788" i="1"/>
  <c r="Y794" i="1"/>
  <c r="T795" i="1"/>
  <c r="Z795" i="1" s="1"/>
  <c r="AJ795" i="1" s="1"/>
  <c r="R795" i="1" s="1"/>
  <c r="Y795" i="1"/>
  <c r="T790" i="1"/>
  <c r="Z790" i="1" s="1"/>
  <c r="AJ790" i="1" s="1"/>
  <c r="R790" i="1" s="1"/>
  <c r="Y520" i="1"/>
  <c r="Y656" i="1"/>
  <c r="T656" i="1"/>
  <c r="Z656" i="1" s="1"/>
  <c r="AJ656" i="1" s="1"/>
  <c r="R656" i="1" s="1"/>
  <c r="Y866" i="1"/>
  <c r="Y617" i="1"/>
  <c r="T617" i="1"/>
  <c r="Z617" i="1" s="1"/>
  <c r="AJ617" i="1" s="1"/>
  <c r="R617" i="1" s="1"/>
  <c r="Y610" i="1"/>
  <c r="Y634" i="1"/>
  <c r="Y609" i="1"/>
  <c r="AI609" i="1" s="1"/>
  <c r="Y616" i="1"/>
  <c r="Y631" i="1"/>
  <c r="Y622" i="1"/>
  <c r="Y624" i="1"/>
  <c r="Y625" i="1" s="1"/>
  <c r="Y615" i="1"/>
  <c r="Y614" i="1"/>
  <c r="Y872" i="1"/>
  <c r="Y608" i="1"/>
  <c r="Y613" i="1"/>
  <c r="T638" i="1"/>
  <c r="Z638" i="1" s="1"/>
  <c r="AJ638" i="1" s="1"/>
  <c r="R638" i="1" s="1"/>
  <c r="T620" i="1"/>
  <c r="Z620" i="1" s="1"/>
  <c r="AJ620" i="1" s="1"/>
  <c r="R620" i="1" s="1"/>
  <c r="T631" i="1"/>
  <c r="Z631" i="1" s="1"/>
  <c r="AJ631" i="1" s="1"/>
  <c r="R631" i="1" s="1"/>
  <c r="T614" i="1"/>
  <c r="Z614" i="1" s="1"/>
  <c r="AJ614" i="1" s="1"/>
  <c r="R614" i="1" s="1"/>
  <c r="T611" i="1"/>
  <c r="Z611" i="1" s="1"/>
  <c r="AJ611" i="1" s="1"/>
  <c r="R611" i="1" s="1"/>
  <c r="Y638" i="1"/>
  <c r="T608" i="1"/>
  <c r="T624" i="1"/>
  <c r="T625" i="1" s="1"/>
  <c r="T852" i="1"/>
  <c r="Z852" i="1" s="1"/>
  <c r="AJ852" i="1" s="1"/>
  <c r="R852" i="1" s="1"/>
  <c r="T866" i="1"/>
  <c r="Z866" i="1" s="1"/>
  <c r="AJ866" i="1" s="1"/>
  <c r="R866" i="1" s="1"/>
  <c r="T521" i="1"/>
  <c r="Z521" i="1" s="1"/>
  <c r="AJ521" i="1" s="1"/>
  <c r="R521" i="1" s="1"/>
  <c r="Y782" i="1"/>
  <c r="AI782" i="1" s="1"/>
  <c r="T574" i="1"/>
  <c r="Z574" i="1" s="1"/>
  <c r="AJ574" i="1" s="1"/>
  <c r="R574" i="1" s="1"/>
  <c r="Y280" i="1"/>
  <c r="Y769" i="1"/>
  <c r="T847" i="1"/>
  <c r="Z847" i="1" s="1"/>
  <c r="AJ847" i="1" s="1"/>
  <c r="R847" i="1" s="1"/>
  <c r="Y565" i="1"/>
  <c r="Y539" i="1"/>
  <c r="T579" i="1"/>
  <c r="Z579" i="1" s="1"/>
  <c r="AJ579" i="1" s="1"/>
  <c r="R579" i="1" s="1"/>
  <c r="Y33" i="1"/>
  <c r="T280" i="1"/>
  <c r="Z280" i="1" s="1"/>
  <c r="AJ280" i="1" s="1"/>
  <c r="R280" i="1" s="1"/>
  <c r="Y315" i="1"/>
  <c r="Y331" i="1"/>
  <c r="T561" i="1"/>
  <c r="Z561" i="1" s="1"/>
  <c r="AJ561" i="1" s="1"/>
  <c r="R561" i="1" s="1"/>
  <c r="T791" i="1"/>
  <c r="Z791" i="1" s="1"/>
  <c r="AJ791" i="1" s="1"/>
  <c r="R791" i="1" s="1"/>
  <c r="T782" i="1"/>
  <c r="Z782" i="1" s="1"/>
  <c r="AJ782" i="1" s="1"/>
  <c r="R782" i="1" s="1"/>
  <c r="T577" i="1"/>
  <c r="Z577" i="1" s="1"/>
  <c r="AJ577" i="1" s="1"/>
  <c r="R577" i="1" s="1"/>
  <c r="Y571" i="1"/>
  <c r="Y395" i="1"/>
  <c r="Y847" i="1"/>
  <c r="Y791" i="1"/>
  <c r="Y574" i="1"/>
  <c r="Y521" i="1"/>
  <c r="Y779" i="1"/>
  <c r="Y577" i="1"/>
  <c r="Y518" i="1"/>
  <c r="Y283" i="1"/>
  <c r="T779" i="1"/>
  <c r="Z779" i="1" s="1"/>
  <c r="AJ779" i="1" s="1"/>
  <c r="R779" i="1" s="1"/>
  <c r="Y568" i="1"/>
  <c r="T571" i="1"/>
  <c r="Z571" i="1" s="1"/>
  <c r="AJ571" i="1" s="1"/>
  <c r="R571" i="1" s="1"/>
  <c r="T518" i="1"/>
  <c r="Z518" i="1" s="1"/>
  <c r="AJ518" i="1" s="1"/>
  <c r="R518" i="1" s="1"/>
  <c r="Y868" i="1"/>
  <c r="AI868" i="1" s="1"/>
  <c r="Y264" i="1"/>
  <c r="AI264" i="1" s="1"/>
  <c r="AI35" i="1"/>
  <c r="Y306" i="1"/>
  <c r="AI306" i="1" s="1"/>
  <c r="Y387" i="1"/>
  <c r="AI387" i="1" s="1"/>
  <c r="T277" i="1"/>
  <c r="Z277" i="1" s="1"/>
  <c r="AJ277" i="1" s="1"/>
  <c r="R277" i="1" s="1"/>
  <c r="T180" i="1"/>
  <c r="Z180" i="1" s="1"/>
  <c r="AJ180" i="1" s="1"/>
  <c r="R180" i="1" s="1"/>
  <c r="Y491" i="1"/>
  <c r="Y114" i="1"/>
  <c r="Y449" i="1"/>
  <c r="Y851" i="1"/>
  <c r="Y310" i="1"/>
  <c r="Y834" i="1"/>
  <c r="Y768" i="1"/>
  <c r="Y575" i="1"/>
  <c r="Y389" i="1"/>
  <c r="Y444" i="1"/>
  <c r="AI444" i="1" s="1"/>
  <c r="Y117" i="1"/>
  <c r="Y252" i="1"/>
  <c r="Y9" i="1"/>
  <c r="Y451" i="1"/>
  <c r="Y127" i="1"/>
  <c r="Y567" i="1"/>
  <c r="Y566" i="1"/>
  <c r="Y554" i="1"/>
  <c r="Y799" i="1"/>
  <c r="Y560" i="1"/>
  <c r="Y249" i="1"/>
  <c r="AI249" i="1" s="1"/>
  <c r="Y279" i="1"/>
  <c r="Y490" i="1"/>
  <c r="Y262" i="1"/>
  <c r="Y445" i="1"/>
  <c r="Y456" i="1"/>
  <c r="Y176" i="1"/>
  <c r="Y313" i="1"/>
  <c r="Y254" i="1"/>
  <c r="Y257" i="1"/>
  <c r="Y411" i="1"/>
  <c r="Y138" i="1"/>
  <c r="Y245" i="1"/>
  <c r="AI245" i="1" s="1"/>
  <c r="Y22" i="1"/>
  <c r="Y21" i="1"/>
  <c r="AI21" i="1" s="1"/>
  <c r="Y72" i="1"/>
  <c r="Y82" i="1"/>
  <c r="Y132" i="1"/>
  <c r="Y152" i="1"/>
  <c r="AI152" i="1" s="1"/>
  <c r="Y153" i="1"/>
  <c r="Y133" i="1"/>
  <c r="Y199" i="1"/>
  <c r="Y39" i="1"/>
  <c r="Y16" i="1"/>
  <c r="Y73" i="1"/>
  <c r="Y247" i="1"/>
  <c r="Y131" i="1"/>
  <c r="T834" i="1"/>
  <c r="Z834" i="1" s="1"/>
  <c r="AJ834" i="1" s="1"/>
  <c r="R834" i="1" s="1"/>
  <c r="Y579" i="1"/>
  <c r="Y559" i="1"/>
  <c r="AI559" i="1" s="1"/>
  <c r="Y551" i="1"/>
  <c r="AI551" i="1" s="1"/>
  <c r="Y789" i="1"/>
  <c r="Y766" i="1"/>
  <c r="Y556" i="1"/>
  <c r="Y244" i="1"/>
  <c r="Y170" i="1"/>
  <c r="Y292" i="1"/>
  <c r="Y271" i="1"/>
  <c r="AI271" i="1" s="1"/>
  <c r="Y177" i="1"/>
  <c r="Y446" i="1"/>
  <c r="Y93" i="1"/>
  <c r="Y154" i="1"/>
  <c r="Y147" i="1"/>
  <c r="Y295" i="1"/>
  <c r="Y454" i="1"/>
  <c r="Y160" i="1"/>
  <c r="Y314" i="1"/>
  <c r="Y150" i="1"/>
  <c r="AI150" i="1" s="1"/>
  <c r="Q150" i="1" s="1"/>
  <c r="Y777" i="1"/>
  <c r="Y767" i="1"/>
  <c r="Y550" i="1"/>
  <c r="Y277" i="1"/>
  <c r="Y275" i="1"/>
  <c r="Y455" i="1"/>
  <c r="Y270" i="1"/>
  <c r="Y273" i="1"/>
  <c r="Y31" i="1"/>
  <c r="Y23" i="1"/>
  <c r="Y19" i="1"/>
  <c r="Y148" i="1"/>
  <c r="Y140" i="1"/>
  <c r="Y130" i="1"/>
  <c r="Y136" i="1"/>
  <c r="Y141" i="1"/>
  <c r="Y134" i="1"/>
  <c r="Y11" i="1"/>
  <c r="Y14" i="1"/>
  <c r="Y88" i="1"/>
  <c r="Y137" i="1"/>
  <c r="Y763" i="1"/>
  <c r="Y764" i="1" s="1"/>
  <c r="Y269" i="1"/>
  <c r="Y778" i="1"/>
  <c r="Y457" i="1"/>
  <c r="Y25" i="1"/>
  <c r="AI25" i="1" s="1"/>
  <c r="T570" i="1"/>
  <c r="Z570" i="1" s="1"/>
  <c r="AJ570" i="1" s="1"/>
  <c r="R570" i="1" s="1"/>
  <c r="Y291" i="1"/>
  <c r="AI291" i="1" s="1"/>
  <c r="Y840" i="1"/>
  <c r="Y775" i="1"/>
  <c r="Y265" i="1"/>
  <c r="Y206" i="1"/>
  <c r="Y253" i="1"/>
  <c r="Y558" i="1"/>
  <c r="Y562" i="1"/>
  <c r="Y564" i="1"/>
  <c r="Y802" i="1"/>
  <c r="Y776" i="1"/>
  <c r="Y569" i="1"/>
  <c r="Y553" i="1"/>
  <c r="Y37" i="1"/>
  <c r="Y278" i="1"/>
  <c r="Y260" i="1"/>
  <c r="Y293" i="1"/>
  <c r="Y258" i="1"/>
  <c r="Y175" i="1"/>
  <c r="Y459" i="1"/>
  <c r="Y274" i="1"/>
  <c r="Y272" i="1"/>
  <c r="Y386" i="1"/>
  <c r="Y174" i="1"/>
  <c r="Y180" i="1"/>
  <c r="Y452" i="1"/>
  <c r="Y388" i="1"/>
  <c r="Y119" i="1"/>
  <c r="Y122" i="1"/>
  <c r="Y13" i="1"/>
  <c r="Y38" i="1"/>
  <c r="Y12" i="1"/>
  <c r="Y80" i="1"/>
  <c r="Y146" i="1"/>
  <c r="Y120" i="1"/>
  <c r="Y123" i="1"/>
  <c r="Y129" i="1"/>
  <c r="Y135" i="1"/>
  <c r="Y32" i="1"/>
  <c r="Y46" i="1"/>
  <c r="Y44" i="1"/>
  <c r="Y89" i="1"/>
  <c r="Y124" i="1"/>
  <c r="Y390" i="1"/>
  <c r="Y784" i="1"/>
  <c r="Y534" i="1"/>
  <c r="Y555" i="1"/>
  <c r="Y561" i="1"/>
  <c r="Y552" i="1"/>
  <c r="Y570" i="1"/>
  <c r="Y27" i="1"/>
  <c r="Y178" i="1"/>
  <c r="Y286" i="1"/>
  <c r="Y256" i="1"/>
  <c r="Y458" i="1"/>
  <c r="Y259" i="1"/>
  <c r="Y179" i="1"/>
  <c r="Y261" i="1"/>
  <c r="Y276" i="1"/>
  <c r="Y453" i="1"/>
  <c r="Y488" i="1"/>
  <c r="Y151" i="1"/>
  <c r="Y121" i="1"/>
  <c r="Y15" i="1"/>
  <c r="Y26" i="1"/>
  <c r="Y81" i="1"/>
  <c r="Y246" i="1"/>
  <c r="Y112" i="1"/>
  <c r="Y118" i="1"/>
  <c r="Y215" i="1"/>
  <c r="Y155" i="1"/>
  <c r="Y10" i="1"/>
  <c r="Y20" i="1"/>
  <c r="Y90" i="1"/>
  <c r="Y139" i="1"/>
  <c r="Y142" i="1"/>
  <c r="Y113" i="1"/>
  <c r="Y34" i="1"/>
  <c r="Y266" i="1"/>
  <c r="Y8" i="1"/>
  <c r="Y158" i="1"/>
  <c r="Y770" i="1"/>
  <c r="Y30" i="1"/>
  <c r="AI30" i="1" s="1"/>
  <c r="Y263" i="1"/>
  <c r="Y251" i="1"/>
  <c r="AI251" i="1" s="1"/>
  <c r="Y765" i="1"/>
  <c r="AI765" i="1" s="1"/>
  <c r="Y145" i="1"/>
  <c r="AI145" i="1" s="1"/>
  <c r="Y255" i="1"/>
  <c r="Y628" i="1"/>
  <c r="Y487" i="1"/>
  <c r="AI487" i="1" s="1"/>
  <c r="Y549" i="1"/>
  <c r="T491" i="1"/>
  <c r="Z491" i="1" s="1"/>
  <c r="AJ491" i="1" s="1"/>
  <c r="R491" i="1" s="1"/>
  <c r="T121" i="1"/>
  <c r="Z121" i="1" s="1"/>
  <c r="AJ121" i="1" s="1"/>
  <c r="R121" i="1" s="1"/>
  <c r="T457" i="1"/>
  <c r="Z457" i="1" s="1"/>
  <c r="AJ457" i="1" s="1"/>
  <c r="R457" i="1" s="1"/>
  <c r="T273" i="1"/>
  <c r="Z273" i="1" s="1"/>
  <c r="AJ273" i="1" s="1"/>
  <c r="R273" i="1" s="1"/>
  <c r="T278" i="1"/>
  <c r="Z278" i="1" s="1"/>
  <c r="AJ278" i="1" s="1"/>
  <c r="R278" i="1" s="1"/>
  <c r="T148" i="1"/>
  <c r="Z148" i="1" s="1"/>
  <c r="AJ148" i="1" s="1"/>
  <c r="R148" i="1" s="1"/>
  <c r="Y71" i="1"/>
  <c r="AI71" i="1" s="1"/>
  <c r="T488" i="1"/>
  <c r="Z488" i="1" s="1"/>
  <c r="AJ488" i="1" s="1"/>
  <c r="R488" i="1" s="1"/>
  <c r="Y519" i="1"/>
  <c r="T776" i="1"/>
  <c r="Z776" i="1" s="1"/>
  <c r="AJ776" i="1" s="1"/>
  <c r="R776" i="1" s="1"/>
  <c r="T565" i="1"/>
  <c r="Z565" i="1" s="1"/>
  <c r="AJ565" i="1" s="1"/>
  <c r="R565" i="1" s="1"/>
  <c r="T449" i="1"/>
  <c r="Z449" i="1" s="1"/>
  <c r="AJ449" i="1" s="1"/>
  <c r="R449" i="1" s="1"/>
  <c r="T551" i="1"/>
  <c r="Z551" i="1" s="1"/>
  <c r="AJ551" i="1" s="1"/>
  <c r="R551" i="1" s="1"/>
  <c r="T314" i="1"/>
  <c r="Z314" i="1" s="1"/>
  <c r="AJ314" i="1" s="1"/>
  <c r="R314" i="1" s="1"/>
  <c r="T259" i="1"/>
  <c r="Z259" i="1" s="1"/>
  <c r="AJ259" i="1" s="1"/>
  <c r="R259" i="1" s="1"/>
  <c r="T269" i="1"/>
  <c r="Z269" i="1" s="1"/>
  <c r="AJ269" i="1" s="1"/>
  <c r="R269" i="1" s="1"/>
  <c r="T246" i="1"/>
  <c r="Z246" i="1" s="1"/>
  <c r="AJ246" i="1" s="1"/>
  <c r="R246" i="1" s="1"/>
  <c r="T153" i="1"/>
  <c r="Z153" i="1" s="1"/>
  <c r="AJ153" i="1" s="1"/>
  <c r="R153" i="1" s="1"/>
  <c r="T253" i="1"/>
  <c r="Z253" i="1" s="1"/>
  <c r="AJ253" i="1" s="1"/>
  <c r="R253" i="1" s="1"/>
  <c r="Y443" i="1"/>
  <c r="T568" i="1"/>
  <c r="Z568" i="1" s="1"/>
  <c r="AJ568" i="1" s="1"/>
  <c r="R568" i="1" s="1"/>
  <c r="T770" i="1"/>
  <c r="Z770" i="1" s="1"/>
  <c r="AJ770" i="1" s="1"/>
  <c r="R770" i="1" s="1"/>
  <c r="T16" i="1"/>
  <c r="Z16" i="1" s="1"/>
  <c r="AJ16" i="1" s="1"/>
  <c r="R16" i="1" s="1"/>
  <c r="T851" i="1"/>
  <c r="Z851" i="1" s="1"/>
  <c r="AJ851" i="1" s="1"/>
  <c r="R851" i="1" s="1"/>
  <c r="T272" i="1"/>
  <c r="Z272" i="1" s="1"/>
  <c r="AJ272" i="1" s="1"/>
  <c r="R272" i="1" s="1"/>
  <c r="T137" i="1"/>
  <c r="Z137" i="1" s="1"/>
  <c r="AJ137" i="1" s="1"/>
  <c r="R137" i="1" s="1"/>
  <c r="T27" i="1"/>
  <c r="Z27" i="1" s="1"/>
  <c r="AJ27" i="1" s="1"/>
  <c r="R27" i="1" s="1"/>
  <c r="T140" i="1"/>
  <c r="Z140" i="1" s="1"/>
  <c r="AJ140" i="1" s="1"/>
  <c r="R140" i="1" s="1"/>
  <c r="T135" i="1"/>
  <c r="Z135" i="1" s="1"/>
  <c r="AJ135" i="1" s="1"/>
  <c r="R135" i="1" s="1"/>
  <c r="T355" i="1"/>
  <c r="Z355" i="1" s="1"/>
  <c r="AJ355" i="1" s="1"/>
  <c r="R355" i="1" s="1"/>
  <c r="T458" i="1"/>
  <c r="Z458" i="1" s="1"/>
  <c r="AJ458" i="1" s="1"/>
  <c r="R458" i="1" s="1"/>
  <c r="T306" i="1"/>
  <c r="Z306" i="1" s="1"/>
  <c r="AJ306" i="1" s="1"/>
  <c r="R306" i="1" s="1"/>
  <c r="T459" i="1"/>
  <c r="Z459" i="1" s="1"/>
  <c r="AJ459" i="1" s="1"/>
  <c r="R459" i="1" s="1"/>
  <c r="T789" i="1"/>
  <c r="Z789" i="1" s="1"/>
  <c r="AJ789" i="1" s="1"/>
  <c r="R789" i="1" s="1"/>
  <c r="T802" i="1"/>
  <c r="Z802" i="1" s="1"/>
  <c r="AJ802" i="1" s="1"/>
  <c r="R802" i="1" s="1"/>
  <c r="T261" i="1"/>
  <c r="Z261" i="1" s="1"/>
  <c r="AJ261" i="1" s="1"/>
  <c r="R261" i="1" s="1"/>
  <c r="T271" i="1"/>
  <c r="Z271" i="1" s="1"/>
  <c r="AJ271" i="1" s="1"/>
  <c r="R271" i="1" s="1"/>
  <c r="T39" i="1"/>
  <c r="Z39" i="1" s="1"/>
  <c r="AJ39" i="1" s="1"/>
  <c r="R39" i="1" s="1"/>
  <c r="T112" i="1"/>
  <c r="Z112" i="1" s="1"/>
  <c r="AJ112" i="1" s="1"/>
  <c r="R112" i="1" s="1"/>
  <c r="T35" i="1"/>
  <c r="Z35" i="1" s="1"/>
  <c r="AJ35" i="1" s="1"/>
  <c r="R35" i="1" s="1"/>
  <c r="T19" i="1"/>
  <c r="Z19" i="1" s="1"/>
  <c r="AJ19" i="1" s="1"/>
  <c r="R19" i="1" s="1"/>
  <c r="T390" i="1"/>
  <c r="Z390" i="1" s="1"/>
  <c r="AJ390" i="1" s="1"/>
  <c r="R390" i="1" s="1"/>
  <c r="T550" i="1"/>
  <c r="Z550" i="1" s="1"/>
  <c r="AJ550" i="1" s="1"/>
  <c r="R550" i="1" s="1"/>
  <c r="T778" i="1"/>
  <c r="Z778" i="1" s="1"/>
  <c r="AJ778" i="1" s="1"/>
  <c r="R778" i="1" s="1"/>
  <c r="T798" i="1"/>
  <c r="Z798" i="1" s="1"/>
  <c r="AJ798" i="1" s="1"/>
  <c r="R798" i="1" s="1"/>
  <c r="T117" i="1"/>
  <c r="Z117" i="1" s="1"/>
  <c r="AJ117" i="1" s="1"/>
  <c r="R117" i="1" s="1"/>
  <c r="T46" i="1"/>
  <c r="Z46" i="1" s="1"/>
  <c r="AJ46" i="1" s="1"/>
  <c r="R46" i="1" s="1"/>
  <c r="T411" i="1"/>
  <c r="Z411" i="1" s="1"/>
  <c r="AJ411" i="1" s="1"/>
  <c r="R411" i="1" s="1"/>
  <c r="T20" i="1"/>
  <c r="Z20" i="1" s="1"/>
  <c r="AJ20" i="1" s="1"/>
  <c r="R20" i="1" s="1"/>
  <c r="T769" i="1"/>
  <c r="Z769" i="1" s="1"/>
  <c r="AJ769" i="1" s="1"/>
  <c r="R769" i="1" s="1"/>
  <c r="Y352" i="1"/>
  <c r="Y573" i="1"/>
  <c r="AI573" i="1" s="1"/>
  <c r="Q573" i="1" s="1"/>
  <c r="Y111" i="1"/>
  <c r="T293" i="1"/>
  <c r="Z293" i="1" s="1"/>
  <c r="AJ293" i="1" s="1"/>
  <c r="R293" i="1" s="1"/>
  <c r="T315" i="1"/>
  <c r="Z315" i="1" s="1"/>
  <c r="AJ315" i="1" s="1"/>
  <c r="R315" i="1" s="1"/>
  <c r="T454" i="1"/>
  <c r="Z454" i="1" s="1"/>
  <c r="AJ454" i="1" s="1"/>
  <c r="R454" i="1" s="1"/>
  <c r="T490" i="1"/>
  <c r="Z490" i="1" s="1"/>
  <c r="AJ490" i="1" s="1"/>
  <c r="R490" i="1" s="1"/>
  <c r="T560" i="1"/>
  <c r="Z560" i="1" s="1"/>
  <c r="AJ560" i="1" s="1"/>
  <c r="R560" i="1" s="1"/>
  <c r="T292" i="1"/>
  <c r="Z292" i="1" s="1"/>
  <c r="AJ292" i="1" s="1"/>
  <c r="R292" i="1" s="1"/>
  <c r="T455" i="1"/>
  <c r="Z455" i="1" s="1"/>
  <c r="AJ455" i="1" s="1"/>
  <c r="R455" i="1" s="1"/>
  <c r="T552" i="1"/>
  <c r="Z552" i="1" s="1"/>
  <c r="AJ552" i="1" s="1"/>
  <c r="R552" i="1" s="1"/>
  <c r="T564" i="1"/>
  <c r="Z564" i="1" s="1"/>
  <c r="AJ564" i="1" s="1"/>
  <c r="R564" i="1" s="1"/>
  <c r="T768" i="1"/>
  <c r="Z768" i="1" s="1"/>
  <c r="AJ768" i="1" s="1"/>
  <c r="R768" i="1" s="1"/>
  <c r="T539" i="1"/>
  <c r="Z539" i="1" s="1"/>
  <c r="AJ539" i="1" s="1"/>
  <c r="R539" i="1" s="1"/>
  <c r="T114" i="1"/>
  <c r="Z114" i="1" s="1"/>
  <c r="AJ114" i="1" s="1"/>
  <c r="R114" i="1" s="1"/>
  <c r="T175" i="1"/>
  <c r="Z175" i="1" s="1"/>
  <c r="AJ175" i="1" s="1"/>
  <c r="R175" i="1" s="1"/>
  <c r="T138" i="1"/>
  <c r="Z138" i="1" s="1"/>
  <c r="AJ138" i="1" s="1"/>
  <c r="R138" i="1" s="1"/>
  <c r="T206" i="1"/>
  <c r="Z206" i="1" s="1"/>
  <c r="AJ206" i="1" s="1"/>
  <c r="R206" i="1" s="1"/>
  <c r="T142" i="1"/>
  <c r="Z142" i="1" s="1"/>
  <c r="AJ142" i="1" s="1"/>
  <c r="R142" i="1" s="1"/>
  <c r="T11" i="1"/>
  <c r="Z11" i="1" s="1"/>
  <c r="AJ11" i="1" s="1"/>
  <c r="R11" i="1" s="1"/>
  <c r="T249" i="1"/>
  <c r="Z249" i="1" s="1"/>
  <c r="AJ249" i="1" s="1"/>
  <c r="R249" i="1" s="1"/>
  <c r="T44" i="1"/>
  <c r="Z44" i="1" s="1"/>
  <c r="AJ44" i="1" s="1"/>
  <c r="R44" i="1" s="1"/>
  <c r="T32" i="1"/>
  <c r="Z32" i="1" s="1"/>
  <c r="AJ32" i="1" s="1"/>
  <c r="R32" i="1" s="1"/>
  <c r="T256" i="1"/>
  <c r="Z256" i="1" s="1"/>
  <c r="AJ256" i="1" s="1"/>
  <c r="R256" i="1" s="1"/>
  <c r="T13" i="1"/>
  <c r="Z13" i="1" s="1"/>
  <c r="AJ13" i="1" s="1"/>
  <c r="R13" i="1" s="1"/>
  <c r="T170" i="1"/>
  <c r="Z170" i="1" s="1"/>
  <c r="AJ170" i="1" s="1"/>
  <c r="R170" i="1" s="1"/>
  <c r="T12" i="1"/>
  <c r="Z12" i="1" s="1"/>
  <c r="AJ12" i="1" s="1"/>
  <c r="R12" i="1" s="1"/>
  <c r="T9" i="1"/>
  <c r="Z9" i="1" s="1"/>
  <c r="AJ9" i="1" s="1"/>
  <c r="R9" i="1" s="1"/>
  <c r="T90" i="1"/>
  <c r="Z90" i="1" s="1"/>
  <c r="AJ90" i="1" s="1"/>
  <c r="R90" i="1" s="1"/>
  <c r="T215" i="1"/>
  <c r="Z215" i="1" s="1"/>
  <c r="AJ215" i="1" s="1"/>
  <c r="R215" i="1" s="1"/>
  <c r="Y116" i="1"/>
  <c r="AI116" i="1" s="1"/>
  <c r="Y268" i="1"/>
  <c r="AI268" i="1" s="1"/>
  <c r="T295" i="1"/>
  <c r="Z295" i="1" s="1"/>
  <c r="AJ295" i="1" s="1"/>
  <c r="R295" i="1" s="1"/>
  <c r="T331" i="1"/>
  <c r="Z331" i="1" s="1"/>
  <c r="AJ331" i="1" s="1"/>
  <c r="R331" i="1" s="1"/>
  <c r="T456" i="1"/>
  <c r="Z456" i="1" s="1"/>
  <c r="AJ456" i="1" s="1"/>
  <c r="R456" i="1" s="1"/>
  <c r="T553" i="1"/>
  <c r="Z553" i="1" s="1"/>
  <c r="AJ553" i="1" s="1"/>
  <c r="R553" i="1" s="1"/>
  <c r="T562" i="1"/>
  <c r="Z562" i="1" s="1"/>
  <c r="AJ562" i="1" s="1"/>
  <c r="R562" i="1" s="1"/>
  <c r="T444" i="1"/>
  <c r="Z444" i="1" s="1"/>
  <c r="AJ444" i="1" s="1"/>
  <c r="R444" i="1" s="1"/>
  <c r="T554" i="1"/>
  <c r="Z554" i="1" s="1"/>
  <c r="AJ554" i="1" s="1"/>
  <c r="R554" i="1" s="1"/>
  <c r="T566" i="1"/>
  <c r="Z566" i="1" s="1"/>
  <c r="AJ566" i="1" s="1"/>
  <c r="R566" i="1" s="1"/>
  <c r="T139" i="1"/>
  <c r="Z139" i="1" s="1"/>
  <c r="AJ139" i="1" s="1"/>
  <c r="R139" i="1" s="1"/>
  <c r="T784" i="1"/>
  <c r="Z784" i="1" s="1"/>
  <c r="AJ784" i="1" s="1"/>
  <c r="R784" i="1" s="1"/>
  <c r="T775" i="1"/>
  <c r="Z775" i="1" s="1"/>
  <c r="AJ775" i="1" s="1"/>
  <c r="R775" i="1" s="1"/>
  <c r="T73" i="1"/>
  <c r="Z73" i="1" s="1"/>
  <c r="AJ73" i="1" s="1"/>
  <c r="R73" i="1" s="1"/>
  <c r="T82" i="1"/>
  <c r="Z82" i="1" s="1"/>
  <c r="AJ82" i="1" s="1"/>
  <c r="R82" i="1" s="1"/>
  <c r="T141" i="1"/>
  <c r="Z141" i="1" s="1"/>
  <c r="AJ141" i="1" s="1"/>
  <c r="R141" i="1" s="1"/>
  <c r="T252" i="1"/>
  <c r="Z252" i="1" s="1"/>
  <c r="AJ252" i="1" s="1"/>
  <c r="R252" i="1" s="1"/>
  <c r="T158" i="1"/>
  <c r="Z158" i="1" s="1"/>
  <c r="AJ158" i="1" s="1"/>
  <c r="R158" i="1" s="1"/>
  <c r="T254" i="1"/>
  <c r="Z254" i="1" s="1"/>
  <c r="AJ254" i="1" s="1"/>
  <c r="R254" i="1" s="1"/>
  <c r="T174" i="1"/>
  <c r="Z174" i="1" s="1"/>
  <c r="AJ174" i="1" s="1"/>
  <c r="R174" i="1" s="1"/>
  <c r="T34" i="1"/>
  <c r="Z34" i="1" s="1"/>
  <c r="AJ34" i="1" s="1"/>
  <c r="R34" i="1" s="1"/>
  <c r="T160" i="1"/>
  <c r="Z160" i="1" s="1"/>
  <c r="AJ160" i="1" s="1"/>
  <c r="R160" i="1" s="1"/>
  <c r="T264" i="1"/>
  <c r="Z264" i="1" s="1"/>
  <c r="AJ264" i="1" s="1"/>
  <c r="R264" i="1" s="1"/>
  <c r="T38" i="1"/>
  <c r="Z38" i="1" s="1"/>
  <c r="AJ38" i="1" s="1"/>
  <c r="R38" i="1" s="1"/>
  <c r="T10" i="1"/>
  <c r="Z10" i="1" s="1"/>
  <c r="AJ10" i="1" s="1"/>
  <c r="R10" i="1" s="1"/>
  <c r="T136" i="1"/>
  <c r="Z136" i="1" s="1"/>
  <c r="AJ136" i="1" s="1"/>
  <c r="R136" i="1" s="1"/>
  <c r="T133" i="1"/>
  <c r="Z133" i="1" s="1"/>
  <c r="AJ133" i="1" s="1"/>
  <c r="R133" i="1" s="1"/>
  <c r="T37" i="1"/>
  <c r="Z37" i="1" s="1"/>
  <c r="AJ37" i="1" s="1"/>
  <c r="R37" i="1" s="1"/>
  <c r="T123" i="1"/>
  <c r="Z123" i="1" s="1"/>
  <c r="AJ123" i="1" s="1"/>
  <c r="R123" i="1" s="1"/>
  <c r="T247" i="1"/>
  <c r="Z247" i="1" s="1"/>
  <c r="AJ247" i="1" s="1"/>
  <c r="R247" i="1" s="1"/>
  <c r="T179" i="1"/>
  <c r="Z179" i="1" s="1"/>
  <c r="AJ179" i="1" s="1"/>
  <c r="R179" i="1" s="1"/>
  <c r="T122" i="1"/>
  <c r="Z122" i="1" s="1"/>
  <c r="AJ122" i="1" s="1"/>
  <c r="R122" i="1" s="1"/>
  <c r="T21" i="1"/>
  <c r="Z21" i="1" s="1"/>
  <c r="AJ21" i="1" s="1"/>
  <c r="R21" i="1" s="1"/>
  <c r="T177" i="1"/>
  <c r="Z177" i="1" s="1"/>
  <c r="AJ177" i="1" s="1"/>
  <c r="R177" i="1" s="1"/>
  <c r="T388" i="1"/>
  <c r="Z388" i="1" s="1"/>
  <c r="AJ388" i="1" s="1"/>
  <c r="R388" i="1" s="1"/>
  <c r="T445" i="1"/>
  <c r="Z445" i="1" s="1"/>
  <c r="AJ445" i="1" s="1"/>
  <c r="R445" i="1" s="1"/>
  <c r="T534" i="1"/>
  <c r="Z534" i="1" s="1"/>
  <c r="AJ534" i="1" s="1"/>
  <c r="R534" i="1" s="1"/>
  <c r="T555" i="1"/>
  <c r="Z555" i="1" s="1"/>
  <c r="AJ555" i="1" s="1"/>
  <c r="R555" i="1" s="1"/>
  <c r="T567" i="1"/>
  <c r="Z567" i="1" s="1"/>
  <c r="AJ567" i="1" s="1"/>
  <c r="R567" i="1" s="1"/>
  <c r="T389" i="1"/>
  <c r="Z389" i="1" s="1"/>
  <c r="AJ389" i="1" s="1"/>
  <c r="R389" i="1" s="1"/>
  <c r="T446" i="1"/>
  <c r="Z446" i="1" s="1"/>
  <c r="AJ446" i="1" s="1"/>
  <c r="R446" i="1" s="1"/>
  <c r="T451" i="1"/>
  <c r="Z451" i="1" s="1"/>
  <c r="AJ451" i="1" s="1"/>
  <c r="R451" i="1" s="1"/>
  <c r="T556" i="1"/>
  <c r="Z556" i="1" s="1"/>
  <c r="AJ556" i="1" s="1"/>
  <c r="R556" i="1" s="1"/>
  <c r="T124" i="1"/>
  <c r="Z124" i="1" s="1"/>
  <c r="AJ124" i="1" s="1"/>
  <c r="R124" i="1" s="1"/>
  <c r="T244" i="1"/>
  <c r="Z244" i="1" s="1"/>
  <c r="AJ244" i="1" s="1"/>
  <c r="R244" i="1" s="1"/>
  <c r="T840" i="1"/>
  <c r="Z840" i="1" s="1"/>
  <c r="AJ840" i="1" s="1"/>
  <c r="R840" i="1" s="1"/>
  <c r="T767" i="1"/>
  <c r="Z767" i="1" s="1"/>
  <c r="AJ767" i="1" s="1"/>
  <c r="R767" i="1" s="1"/>
  <c r="T799" i="1"/>
  <c r="Z799" i="1" s="1"/>
  <c r="AJ799" i="1" s="1"/>
  <c r="R799" i="1" s="1"/>
  <c r="T868" i="1"/>
  <c r="Z868" i="1" s="1"/>
  <c r="AJ868" i="1" s="1"/>
  <c r="R868" i="1" s="1"/>
  <c r="T777" i="1"/>
  <c r="Z777" i="1" s="1"/>
  <c r="AJ777" i="1" s="1"/>
  <c r="R777" i="1" s="1"/>
  <c r="T263" i="1"/>
  <c r="Z263" i="1" s="1"/>
  <c r="AJ263" i="1" s="1"/>
  <c r="R263" i="1" s="1"/>
  <c r="T276" i="1"/>
  <c r="Z276" i="1" s="1"/>
  <c r="AJ276" i="1" s="1"/>
  <c r="R276" i="1" s="1"/>
  <c r="T134" i="1"/>
  <c r="Z134" i="1" s="1"/>
  <c r="AJ134" i="1" s="1"/>
  <c r="R134" i="1" s="1"/>
  <c r="T93" i="1"/>
  <c r="Z93" i="1" s="1"/>
  <c r="AJ93" i="1" s="1"/>
  <c r="R93" i="1" s="1"/>
  <c r="T118" i="1"/>
  <c r="Z118" i="1" s="1"/>
  <c r="AJ118" i="1" s="1"/>
  <c r="R118" i="1" s="1"/>
  <c r="T132" i="1"/>
  <c r="Z132" i="1" s="1"/>
  <c r="AJ132" i="1" s="1"/>
  <c r="R132" i="1" s="1"/>
  <c r="T8" i="1"/>
  <c r="Z8" i="1" s="1"/>
  <c r="AJ8" i="1" s="1"/>
  <c r="R8" i="1" s="1"/>
  <c r="T176" i="1"/>
  <c r="Z176" i="1" s="1"/>
  <c r="AJ176" i="1" s="1"/>
  <c r="R176" i="1" s="1"/>
  <c r="T72" i="1"/>
  <c r="Z72" i="1" s="1"/>
  <c r="AJ72" i="1" s="1"/>
  <c r="R72" i="1" s="1"/>
  <c r="T88" i="1"/>
  <c r="Z88" i="1" s="1"/>
  <c r="AJ88" i="1" s="1"/>
  <c r="R88" i="1" s="1"/>
  <c r="T199" i="1"/>
  <c r="Z199" i="1" s="1"/>
  <c r="AJ199" i="1" s="1"/>
  <c r="R199" i="1" s="1"/>
  <c r="T23" i="1"/>
  <c r="Z23" i="1" s="1"/>
  <c r="AJ23" i="1" s="1"/>
  <c r="R23" i="1" s="1"/>
  <c r="T130" i="1"/>
  <c r="Z130" i="1" s="1"/>
  <c r="AJ130" i="1" s="1"/>
  <c r="R130" i="1" s="1"/>
  <c r="T152" i="1"/>
  <c r="Z152" i="1" s="1"/>
  <c r="AJ152" i="1" s="1"/>
  <c r="R152" i="1" s="1"/>
  <c r="T81" i="1"/>
  <c r="Z81" i="1" s="1"/>
  <c r="AJ81" i="1" s="1"/>
  <c r="R81" i="1" s="1"/>
  <c r="T89" i="1"/>
  <c r="Z89" i="1" s="1"/>
  <c r="AJ89" i="1" s="1"/>
  <c r="R89" i="1" s="1"/>
  <c r="T155" i="1"/>
  <c r="Z155" i="1" s="1"/>
  <c r="AJ155" i="1" s="1"/>
  <c r="R155" i="1" s="1"/>
  <c r="T127" i="1"/>
  <c r="Z127" i="1" s="1"/>
  <c r="AJ127" i="1" s="1"/>
  <c r="R127" i="1" s="1"/>
  <c r="T274" i="1"/>
  <c r="Z274" i="1" s="1"/>
  <c r="AJ274" i="1" s="1"/>
  <c r="R274" i="1" s="1"/>
  <c r="T270" i="1"/>
  <c r="Z270" i="1" s="1"/>
  <c r="AJ270" i="1" s="1"/>
  <c r="R270" i="1" s="1"/>
  <c r="T14" i="1"/>
  <c r="Z14" i="1" s="1"/>
  <c r="AJ14" i="1" s="1"/>
  <c r="R14" i="1" s="1"/>
  <c r="T146" i="1"/>
  <c r="Z146" i="1" s="1"/>
  <c r="AJ146" i="1" s="1"/>
  <c r="R146" i="1" s="1"/>
  <c r="T26" i="1"/>
  <c r="Z26" i="1" s="1"/>
  <c r="AJ26" i="1" s="1"/>
  <c r="R26" i="1" s="1"/>
  <c r="T313" i="1"/>
  <c r="Z313" i="1" s="1"/>
  <c r="AJ313" i="1" s="1"/>
  <c r="R313" i="1" s="1"/>
  <c r="T395" i="1"/>
  <c r="Z395" i="1" s="1"/>
  <c r="AJ395" i="1" s="1"/>
  <c r="R395" i="1" s="1"/>
  <c r="T452" i="1"/>
  <c r="Z452" i="1" s="1"/>
  <c r="AJ452" i="1" s="1"/>
  <c r="R452" i="1" s="1"/>
  <c r="T558" i="1"/>
  <c r="Z558" i="1" s="1"/>
  <c r="AJ558" i="1" s="1"/>
  <c r="R558" i="1" s="1"/>
  <c r="T569" i="1"/>
  <c r="Z569" i="1" s="1"/>
  <c r="AJ569" i="1" s="1"/>
  <c r="R569" i="1" s="1"/>
  <c r="T310" i="1"/>
  <c r="Z310" i="1" s="1"/>
  <c r="AJ310" i="1" s="1"/>
  <c r="R310" i="1" s="1"/>
  <c r="T453" i="1"/>
  <c r="Z453" i="1" s="1"/>
  <c r="AJ453" i="1" s="1"/>
  <c r="R453" i="1" s="1"/>
  <c r="T559" i="1"/>
  <c r="Z559" i="1" s="1"/>
  <c r="AJ559" i="1" s="1"/>
  <c r="R559" i="1" s="1"/>
  <c r="T766" i="1"/>
  <c r="Z766" i="1" s="1"/>
  <c r="AJ766" i="1" s="1"/>
  <c r="R766" i="1" s="1"/>
  <c r="T265" i="1"/>
  <c r="Z265" i="1" s="1"/>
  <c r="AJ265" i="1" s="1"/>
  <c r="R265" i="1" s="1"/>
  <c r="T147" i="1"/>
  <c r="Z147" i="1" s="1"/>
  <c r="AJ147" i="1" s="1"/>
  <c r="R147" i="1" s="1"/>
  <c r="T113" i="1"/>
  <c r="Z113" i="1" s="1"/>
  <c r="AJ113" i="1" s="1"/>
  <c r="R113" i="1" s="1"/>
  <c r="T245" i="1"/>
  <c r="Z245" i="1" s="1"/>
  <c r="AJ245" i="1" s="1"/>
  <c r="R245" i="1" s="1"/>
  <c r="T131" i="1"/>
  <c r="Z131" i="1" s="1"/>
  <c r="AJ131" i="1" s="1"/>
  <c r="R131" i="1" s="1"/>
  <c r="T279" i="1"/>
  <c r="Z279" i="1" s="1"/>
  <c r="AJ279" i="1" s="1"/>
  <c r="R279" i="1" s="1"/>
  <c r="T33" i="1"/>
  <c r="Z33" i="1" s="1"/>
  <c r="AJ33" i="1" s="1"/>
  <c r="R33" i="1" s="1"/>
  <c r="T80" i="1"/>
  <c r="Z80" i="1" s="1"/>
  <c r="AJ80" i="1" s="1"/>
  <c r="R80" i="1" s="1"/>
  <c r="T15" i="1"/>
  <c r="Z15" i="1" s="1"/>
  <c r="AJ15" i="1" s="1"/>
  <c r="R15" i="1" s="1"/>
  <c r="T260" i="1"/>
  <c r="Z260" i="1" s="1"/>
  <c r="AJ260" i="1" s="1"/>
  <c r="R260" i="1" s="1"/>
  <c r="T120" i="1"/>
  <c r="Z120" i="1" s="1"/>
  <c r="AJ120" i="1" s="1"/>
  <c r="R120" i="1" s="1"/>
  <c r="T266" i="1"/>
  <c r="Z266" i="1" s="1"/>
  <c r="AJ266" i="1" s="1"/>
  <c r="R266" i="1" s="1"/>
  <c r="T22" i="1"/>
  <c r="Z22" i="1" s="1"/>
  <c r="AJ22" i="1" s="1"/>
  <c r="R22" i="1" s="1"/>
  <c r="T119" i="1"/>
  <c r="Z119" i="1" s="1"/>
  <c r="AJ119" i="1" s="1"/>
  <c r="R119" i="1" s="1"/>
  <c r="T262" i="1"/>
  <c r="Z262" i="1" s="1"/>
  <c r="AJ262" i="1" s="1"/>
  <c r="R262" i="1" s="1"/>
  <c r="T258" i="1"/>
  <c r="Z258" i="1" s="1"/>
  <c r="AJ258" i="1" s="1"/>
  <c r="R258" i="1" s="1"/>
  <c r="T31" i="1"/>
  <c r="Z31" i="1" s="1"/>
  <c r="AJ31" i="1" s="1"/>
  <c r="R31" i="1" s="1"/>
  <c r="T25" i="1"/>
  <c r="T765" i="1"/>
  <c r="Z765" i="1" s="1"/>
  <c r="T150" i="1"/>
  <c r="Z150" i="1" s="1"/>
  <c r="AJ150" i="1" s="1"/>
  <c r="T257" i="1"/>
  <c r="Z257" i="1" s="1"/>
  <c r="AJ257" i="1" s="1"/>
  <c r="R257" i="1" s="1"/>
  <c r="T154" i="1"/>
  <c r="Z154" i="1" s="1"/>
  <c r="AJ154" i="1" s="1"/>
  <c r="R154" i="1" s="1"/>
  <c r="Y871" i="1"/>
  <c r="AI871" i="1" s="1"/>
  <c r="T387" i="1"/>
  <c r="Z387" i="1" s="1"/>
  <c r="AJ387" i="1" s="1"/>
  <c r="R387" i="1" s="1"/>
  <c r="T487" i="1"/>
  <c r="T268" i="1"/>
  <c r="Z268" i="1" s="1"/>
  <c r="T763" i="1"/>
  <c r="T764" i="1" s="1"/>
  <c r="T1378" i="1" s="1"/>
  <c r="T111" i="1"/>
  <c r="Z111" i="1" s="1"/>
  <c r="T549" i="1"/>
  <c r="Z549" i="1" s="1"/>
  <c r="AJ549" i="1" s="1"/>
  <c r="T871" i="1"/>
  <c r="Y285" i="1"/>
  <c r="AI285" i="1" s="1"/>
  <c r="Q285" i="1" s="1"/>
  <c r="T275" i="1"/>
  <c r="Z275" i="1" s="1"/>
  <c r="AJ275" i="1" s="1"/>
  <c r="R275" i="1" s="1"/>
  <c r="T178" i="1"/>
  <c r="Z178" i="1" s="1"/>
  <c r="AJ178" i="1" s="1"/>
  <c r="R178" i="1" s="1"/>
  <c r="T129" i="1"/>
  <c r="Z129" i="1" s="1"/>
  <c r="AJ129" i="1" s="1"/>
  <c r="R129" i="1" s="1"/>
  <c r="Y7" i="1"/>
  <c r="AI7" i="1" s="1"/>
  <c r="T285" i="1"/>
  <c r="Z285" i="1" s="1"/>
  <c r="AJ285" i="1" s="1"/>
  <c r="T352" i="1"/>
  <c r="Z352" i="1" s="1"/>
  <c r="AJ352" i="1" s="1"/>
  <c r="R352" i="1" s="1"/>
  <c r="T288" i="1"/>
  <c r="Z288" i="1" s="1"/>
  <c r="AJ288" i="1" s="1"/>
  <c r="R288" i="1" s="1"/>
  <c r="T386" i="1"/>
  <c r="Z386" i="1" s="1"/>
  <c r="AJ386" i="1" s="1"/>
  <c r="R386" i="1" s="1"/>
  <c r="T283" i="1"/>
  <c r="T284" i="1" s="1"/>
  <c r="S1359" i="1"/>
  <c r="S1361" i="1"/>
  <c r="T287" i="1"/>
  <c r="Z287" i="1" s="1"/>
  <c r="AJ287" i="1" s="1"/>
  <c r="R287" i="1" s="1"/>
  <c r="T519" i="1"/>
  <c r="Z519" i="1" s="1"/>
  <c r="AJ519" i="1" s="1"/>
  <c r="R519" i="1" s="1"/>
  <c r="T255" i="1"/>
  <c r="Z255" i="1" s="1"/>
  <c r="AJ255" i="1" s="1"/>
  <c r="R255" i="1" s="1"/>
  <c r="S1362" i="1"/>
  <c r="T286" i="1"/>
  <c r="Z286" i="1" s="1"/>
  <c r="AJ286" i="1" s="1"/>
  <c r="R286" i="1" s="1"/>
  <c r="T628" i="1"/>
  <c r="T291" i="1"/>
  <c r="T71" i="1"/>
  <c r="T30" i="1"/>
  <c r="T536" i="1"/>
  <c r="T251" i="1"/>
  <c r="Z251" i="1" s="1"/>
  <c r="S1364" i="1"/>
  <c r="S1366" i="1" s="1"/>
  <c r="S1370" i="1"/>
  <c r="T443" i="1"/>
  <c r="T151" i="1"/>
  <c r="Z151" i="1" s="1"/>
  <c r="AJ151" i="1" s="1"/>
  <c r="R151" i="1" s="1"/>
  <c r="S1373" i="1"/>
  <c r="S1376" i="1" s="1"/>
  <c r="S1385" i="1"/>
  <c r="S1379" i="1"/>
  <c r="T575" i="1"/>
  <c r="Z575" i="1" s="1"/>
  <c r="AJ575" i="1" s="1"/>
  <c r="R575" i="1" s="1"/>
  <c r="S1378" i="1"/>
  <c r="T573" i="1"/>
  <c r="Z573" i="1" s="1"/>
  <c r="T145" i="1"/>
  <c r="S1365" i="1"/>
  <c r="T116" i="1"/>
  <c r="S1371" i="1"/>
  <c r="S1369" i="1"/>
  <c r="Y469" i="1"/>
  <c r="Y536" i="1"/>
  <c r="AI536" i="1" s="1"/>
  <c r="S1367" i="1"/>
  <c r="T7" i="1"/>
  <c r="Z7" i="1" s="1"/>
  <c r="Z291" i="1" l="1"/>
  <c r="AJ291" i="1" s="1"/>
  <c r="AJ442" i="1" s="1"/>
  <c r="T442" i="1"/>
  <c r="AI430" i="1"/>
  <c r="Y442" i="1"/>
  <c r="Z183" i="1"/>
  <c r="AJ183" i="1" s="1"/>
  <c r="R183" i="1" s="1"/>
  <c r="Y486" i="1"/>
  <c r="T737" i="1"/>
  <c r="T1377" i="1" s="1"/>
  <c r="T873" i="1"/>
  <c r="T1380" i="1" s="1"/>
  <c r="T543" i="1"/>
  <c r="T1371" i="1" s="1"/>
  <c r="AI550" i="1"/>
  <c r="Q550" i="1" s="1"/>
  <c r="AI618" i="1"/>
  <c r="Q618" i="1" s="1"/>
  <c r="Z181" i="1"/>
  <c r="AJ181" i="1" s="1"/>
  <c r="AI122" i="1"/>
  <c r="AI621" i="1"/>
  <c r="Q621" i="1" s="1"/>
  <c r="T149" i="1"/>
  <c r="T468" i="1"/>
  <c r="T1369" i="1" s="1"/>
  <c r="Z536" i="1"/>
  <c r="AJ536" i="1" s="1"/>
  <c r="R536" i="1" s="1"/>
  <c r="AI553" i="1"/>
  <c r="AI33" i="1"/>
  <c r="Q33" i="1" s="1"/>
  <c r="AI539" i="1"/>
  <c r="AI543" i="1" s="1"/>
  <c r="AI501" i="1"/>
  <c r="AI778" i="1"/>
  <c r="Z763" i="1"/>
  <c r="Z764" i="1" s="1"/>
  <c r="Z1378" i="1" s="1"/>
  <c r="AI32" i="1"/>
  <c r="Q32" i="1" s="1"/>
  <c r="AI274" i="1"/>
  <c r="AI577" i="1"/>
  <c r="AI624" i="1"/>
  <c r="AI625" i="1" s="1"/>
  <c r="AI301" i="1"/>
  <c r="S1372" i="1"/>
  <c r="AI215" i="1"/>
  <c r="Q215" i="1" s="1"/>
  <c r="AI276" i="1"/>
  <c r="AI179" i="1"/>
  <c r="AI570" i="1"/>
  <c r="Q570" i="1" s="1"/>
  <c r="AI136" i="1"/>
  <c r="Q136" i="1" s="1"/>
  <c r="AI518" i="1"/>
  <c r="AI608" i="1"/>
  <c r="AI631" i="1"/>
  <c r="AI384" i="1"/>
  <c r="Q384" i="1" s="1"/>
  <c r="AI785" i="1"/>
  <c r="T486" i="1"/>
  <c r="AI147" i="1"/>
  <c r="Q147" i="1" s="1"/>
  <c r="S1381" i="1"/>
  <c r="T143" i="1"/>
  <c r="T1364" i="1" s="1"/>
  <c r="T1366" i="1" s="1"/>
  <c r="S1363" i="1"/>
  <c r="T28" i="1"/>
  <c r="AI352" i="1"/>
  <c r="Q352" i="1" s="1"/>
  <c r="AI142" i="1"/>
  <c r="AI81" i="1"/>
  <c r="AI121" i="1"/>
  <c r="AI293" i="1"/>
  <c r="Q293" i="1" s="1"/>
  <c r="AI275" i="1"/>
  <c r="AI579" i="1"/>
  <c r="Q579" i="1" s="1"/>
  <c r="AI247" i="1"/>
  <c r="AI574" i="1"/>
  <c r="Q574" i="1" s="1"/>
  <c r="AI610" i="1"/>
  <c r="Q610" i="1" s="1"/>
  <c r="AI788" i="1"/>
  <c r="Q788" i="1" s="1"/>
  <c r="AI852" i="1"/>
  <c r="Q852" i="1" s="1"/>
  <c r="AI796" i="1"/>
  <c r="Q796" i="1" s="1"/>
  <c r="AI512" i="1"/>
  <c r="Q512" i="1" s="1"/>
  <c r="AI177" i="1"/>
  <c r="Q177" i="1" s="1"/>
  <c r="AI132" i="1"/>
  <c r="Q132" i="1" s="1"/>
  <c r="AI262" i="1"/>
  <c r="AI460" i="1"/>
  <c r="AI770" i="1"/>
  <c r="Q770" i="1" s="1"/>
  <c r="AI784" i="1"/>
  <c r="AI120" i="1"/>
  <c r="AI180" i="1"/>
  <c r="AI802" i="1"/>
  <c r="AI314" i="1"/>
  <c r="AI521" i="1"/>
  <c r="AI794" i="1"/>
  <c r="AI787" i="1"/>
  <c r="AI786" i="1"/>
  <c r="Q786" i="1" s="1"/>
  <c r="AI410" i="1"/>
  <c r="AI585" i="1"/>
  <c r="AI524" i="1"/>
  <c r="Q524" i="1" s="1"/>
  <c r="Z443" i="1"/>
  <c r="AJ443" i="1" s="1"/>
  <c r="AJ468" i="1" s="1"/>
  <c r="AJ1369" i="1" s="1"/>
  <c r="AI519" i="1"/>
  <c r="Q519" i="1" s="1"/>
  <c r="AI158" i="1"/>
  <c r="AI34" i="1"/>
  <c r="AI90" i="1"/>
  <c r="AI112" i="1"/>
  <c r="AI458" i="1"/>
  <c r="Q458" i="1" s="1"/>
  <c r="AI178" i="1"/>
  <c r="AI124" i="1"/>
  <c r="AI129" i="1"/>
  <c r="Q129" i="1" s="1"/>
  <c r="AI386" i="1"/>
  <c r="AI278" i="1"/>
  <c r="AI562" i="1"/>
  <c r="AI206" i="1"/>
  <c r="AI73" i="1"/>
  <c r="AI298" i="1"/>
  <c r="AI804" i="1"/>
  <c r="Z869" i="1"/>
  <c r="Z1379" i="1" s="1"/>
  <c r="AI273" i="1"/>
  <c r="Q273" i="1" s="1"/>
  <c r="AI153" i="1"/>
  <c r="Q153" i="1" s="1"/>
  <c r="AI634" i="1"/>
  <c r="Q634" i="1" s="1"/>
  <c r="AI619" i="1"/>
  <c r="Q619" i="1" s="1"/>
  <c r="AI383" i="1"/>
  <c r="Q383" i="1" s="1"/>
  <c r="AI497" i="1"/>
  <c r="Q497" i="1" s="1"/>
  <c r="Z628" i="1"/>
  <c r="Z737" i="1" s="1"/>
  <c r="Z1377" i="1" s="1"/>
  <c r="T535" i="1"/>
  <c r="T1370" i="1" s="1"/>
  <c r="AI263" i="1"/>
  <c r="AI488" i="1"/>
  <c r="AI561" i="1"/>
  <c r="AI80" i="1"/>
  <c r="AI388" i="1"/>
  <c r="AI175" i="1"/>
  <c r="AI569" i="1"/>
  <c r="Q569" i="1" s="1"/>
  <c r="AI137" i="1"/>
  <c r="AI454" i="1"/>
  <c r="Q454" i="1" s="1"/>
  <c r="AI310" i="1"/>
  <c r="AI640" i="1"/>
  <c r="AI412" i="1"/>
  <c r="AI401" i="1"/>
  <c r="Q401" i="1" s="1"/>
  <c r="AI418" i="1"/>
  <c r="AI775" i="1"/>
  <c r="AI777" i="1"/>
  <c r="AI244" i="1"/>
  <c r="Q244" i="1" s="1"/>
  <c r="AI872" i="1"/>
  <c r="AI873" i="1" s="1"/>
  <c r="AI616" i="1"/>
  <c r="AI853" i="1"/>
  <c r="Q853" i="1" s="1"/>
  <c r="AI358" i="1"/>
  <c r="AI851" i="1"/>
  <c r="Q851" i="1" s="1"/>
  <c r="AI622" i="1"/>
  <c r="AI795" i="1"/>
  <c r="AI523" i="1"/>
  <c r="AI77" i="1"/>
  <c r="Q77" i="1" s="1"/>
  <c r="AI493" i="1"/>
  <c r="AI109" i="1"/>
  <c r="AI620" i="1"/>
  <c r="Q620" i="1" s="1"/>
  <c r="AI307" i="1"/>
  <c r="Q307" i="1" s="1"/>
  <c r="AI156" i="1"/>
  <c r="AI309" i="1"/>
  <c r="AI854" i="1"/>
  <c r="Q854" i="1" s="1"/>
  <c r="AI510" i="1"/>
  <c r="AI800" i="1"/>
  <c r="AI848" i="1"/>
  <c r="AI45" i="1"/>
  <c r="Q45" i="1" s="1"/>
  <c r="T70" i="1"/>
  <c r="AI44" i="1"/>
  <c r="AI38" i="1"/>
  <c r="AI19" i="1"/>
  <c r="AI14" i="1"/>
  <c r="AI18" i="1"/>
  <c r="Q18" i="1" s="1"/>
  <c r="AI10" i="1"/>
  <c r="AI15" i="1"/>
  <c r="AI16" i="1"/>
  <c r="T612" i="1"/>
  <c r="T572" i="1"/>
  <c r="T1373" i="1" s="1"/>
  <c r="Z25" i="1"/>
  <c r="AJ25" i="1" s="1"/>
  <c r="AJ28" i="1" s="1"/>
  <c r="T623" i="1"/>
  <c r="Z624" i="1"/>
  <c r="Z625" i="1" s="1"/>
  <c r="T289" i="1"/>
  <c r="T115" i="1"/>
  <c r="Q7" i="1"/>
  <c r="AJ572" i="1"/>
  <c r="R549" i="1"/>
  <c r="R150" i="1"/>
  <c r="Z594" i="1"/>
  <c r="Z1374" i="1" s="1"/>
  <c r="AJ573" i="1"/>
  <c r="Q536" i="1"/>
  <c r="R285" i="1"/>
  <c r="AJ289" i="1"/>
  <c r="AJ268" i="1"/>
  <c r="Z281" i="1"/>
  <c r="Q871" i="1"/>
  <c r="Q268" i="1"/>
  <c r="Q116" i="1"/>
  <c r="Z267" i="1"/>
  <c r="Z1365" i="1" s="1"/>
  <c r="Z115" i="1"/>
  <c r="AJ7" i="1"/>
  <c r="Z145" i="1"/>
  <c r="T267" i="1"/>
  <c r="T1365" i="1" s="1"/>
  <c r="Z71" i="1"/>
  <c r="Z283" i="1"/>
  <c r="AJ765" i="1"/>
  <c r="Y115" i="1"/>
  <c r="AI111" i="1"/>
  <c r="Q71" i="1"/>
  <c r="Q30" i="1"/>
  <c r="Q25" i="1"/>
  <c r="Y543" i="1"/>
  <c r="Z289" i="1"/>
  <c r="Z572" i="1"/>
  <c r="T281" i="1"/>
  <c r="Y873" i="1"/>
  <c r="Q487" i="1"/>
  <c r="AI469" i="1"/>
  <c r="Z116" i="1"/>
  <c r="T594" i="1"/>
  <c r="T1374" i="1" s="1"/>
  <c r="AJ251" i="1"/>
  <c r="Z30" i="1"/>
  <c r="Y289" i="1"/>
  <c r="Z871" i="1"/>
  <c r="AJ111" i="1"/>
  <c r="Z487" i="1"/>
  <c r="T869" i="1"/>
  <c r="T1379" i="1" s="1"/>
  <c r="Y143" i="1"/>
  <c r="Q291" i="1"/>
  <c r="Y281" i="1"/>
  <c r="AI549" i="1"/>
  <c r="Y149" i="1"/>
  <c r="Q765" i="1"/>
  <c r="Y267" i="1"/>
  <c r="AI8" i="1"/>
  <c r="AI266" i="1"/>
  <c r="AI139" i="1"/>
  <c r="AI155" i="1"/>
  <c r="AI246" i="1"/>
  <c r="AI151" i="1"/>
  <c r="AI261" i="1"/>
  <c r="AI256" i="1"/>
  <c r="AI286" i="1"/>
  <c r="AI552" i="1"/>
  <c r="AI534" i="1"/>
  <c r="AI390" i="1"/>
  <c r="AI89" i="1"/>
  <c r="AI135" i="1"/>
  <c r="AI146" i="1"/>
  <c r="AI13" i="1"/>
  <c r="AI452" i="1"/>
  <c r="AI272" i="1"/>
  <c r="AI258" i="1"/>
  <c r="AI37" i="1"/>
  <c r="AI776" i="1"/>
  <c r="AI558" i="1"/>
  <c r="AI253" i="1"/>
  <c r="AI840" i="1"/>
  <c r="AI457" i="1"/>
  <c r="AI11" i="1"/>
  <c r="AI130" i="1"/>
  <c r="AI23" i="1"/>
  <c r="AI270" i="1"/>
  <c r="AI295" i="1"/>
  <c r="AI154" i="1"/>
  <c r="Q35" i="1"/>
  <c r="Y594" i="1"/>
  <c r="Y110" i="1"/>
  <c r="Y70" i="1"/>
  <c r="AI134" i="1"/>
  <c r="AI140" i="1"/>
  <c r="AI31" i="1"/>
  <c r="AI455" i="1"/>
  <c r="AI277" i="1"/>
  <c r="AI767" i="1"/>
  <c r="AI93" i="1"/>
  <c r="Q245" i="1"/>
  <c r="Q444" i="1"/>
  <c r="Q387" i="1"/>
  <c r="Q264" i="1"/>
  <c r="AI443" i="1"/>
  <c r="AI628" i="1"/>
  <c r="AI255" i="1"/>
  <c r="Q145" i="1"/>
  <c r="Y869" i="1"/>
  <c r="Q251" i="1"/>
  <c r="AI113" i="1"/>
  <c r="AI20" i="1"/>
  <c r="AI118" i="1"/>
  <c r="AI26" i="1"/>
  <c r="AI453" i="1"/>
  <c r="AI259" i="1"/>
  <c r="AI27" i="1"/>
  <c r="AI555" i="1"/>
  <c r="AI46" i="1"/>
  <c r="AI123" i="1"/>
  <c r="AI12" i="1"/>
  <c r="AI119" i="1"/>
  <c r="AI174" i="1"/>
  <c r="AI459" i="1"/>
  <c r="AI260" i="1"/>
  <c r="AI564" i="1"/>
  <c r="AI265" i="1"/>
  <c r="AI269" i="1"/>
  <c r="AI763" i="1"/>
  <c r="AI88" i="1"/>
  <c r="AI141" i="1"/>
  <c r="AI148" i="1"/>
  <c r="AI160" i="1"/>
  <c r="AI446" i="1"/>
  <c r="Q271" i="1"/>
  <c r="Q551" i="1"/>
  <c r="Q152" i="1"/>
  <c r="Q306" i="1"/>
  <c r="Q868" i="1"/>
  <c r="Y535" i="1"/>
  <c r="Y572" i="1"/>
  <c r="Y28" i="1"/>
  <c r="Y1378" i="1"/>
  <c r="Y737" i="1"/>
  <c r="Y468" i="1"/>
  <c r="Q559" i="1"/>
  <c r="Q21" i="1"/>
  <c r="Q249" i="1"/>
  <c r="AI292" i="1"/>
  <c r="AI766" i="1"/>
  <c r="AI72" i="1"/>
  <c r="AI138" i="1"/>
  <c r="AI257" i="1"/>
  <c r="AI456" i="1"/>
  <c r="AI490" i="1"/>
  <c r="AI560" i="1"/>
  <c r="AI554" i="1"/>
  <c r="AI9" i="1"/>
  <c r="AI389" i="1"/>
  <c r="AI575" i="1"/>
  <c r="AI834" i="1"/>
  <c r="AI449" i="1"/>
  <c r="AI491" i="1"/>
  <c r="AI568" i="1"/>
  <c r="AI355" i="1"/>
  <c r="AI280" i="1"/>
  <c r="Q609" i="1"/>
  <c r="AI170" i="1"/>
  <c r="AI789" i="1"/>
  <c r="AI131" i="1"/>
  <c r="AI39" i="1"/>
  <c r="AI254" i="1"/>
  <c r="AI445" i="1"/>
  <c r="AI279" i="1"/>
  <c r="AI799" i="1"/>
  <c r="AI566" i="1"/>
  <c r="AI252" i="1"/>
  <c r="Y284" i="1"/>
  <c r="AI779" i="1"/>
  <c r="AI791" i="1"/>
  <c r="AI847" i="1"/>
  <c r="AI283" i="1"/>
  <c r="Q159" i="1"/>
  <c r="AJ613" i="1"/>
  <c r="AI199" i="1"/>
  <c r="AI22" i="1"/>
  <c r="AI411" i="1"/>
  <c r="AI313" i="1"/>
  <c r="AI567" i="1"/>
  <c r="AI127" i="1"/>
  <c r="AI117" i="1"/>
  <c r="AI114" i="1"/>
  <c r="AI395" i="1"/>
  <c r="AI571" i="1"/>
  <c r="AI331" i="1"/>
  <c r="Q782" i="1"/>
  <c r="AI556" i="1"/>
  <c r="AI133" i="1"/>
  <c r="AI82" i="1"/>
  <c r="AI176" i="1"/>
  <c r="AI451" i="1"/>
  <c r="AI768" i="1"/>
  <c r="AI315" i="1"/>
  <c r="AI565" i="1"/>
  <c r="AI769" i="1"/>
  <c r="Q611" i="1"/>
  <c r="AI638" i="1"/>
  <c r="AI613" i="1"/>
  <c r="AI615" i="1"/>
  <c r="AI866" i="1"/>
  <c r="AI520" i="1"/>
  <c r="AI797" i="1"/>
  <c r="Q792" i="1"/>
  <c r="AI798" i="1"/>
  <c r="AI522" i="1"/>
  <c r="AI492" i="1"/>
  <c r="AI563" i="1"/>
  <c r="AI94" i="1"/>
  <c r="AI103" i="1"/>
  <c r="Y623" i="1"/>
  <c r="AI617" i="1"/>
  <c r="Q413" i="1"/>
  <c r="Q557" i="1"/>
  <c r="Q98" i="1"/>
  <c r="Z608" i="1"/>
  <c r="AI614" i="1"/>
  <c r="Y612" i="1"/>
  <c r="AI656" i="1"/>
  <c r="AI635" i="1"/>
  <c r="Q84" i="1"/>
  <c r="AI353" i="1"/>
  <c r="AI526" i="1"/>
  <c r="AI525" i="1"/>
  <c r="AI95" i="1"/>
  <c r="Q500" i="1"/>
  <c r="Q515" i="1"/>
  <c r="Q360" i="1"/>
  <c r="Q308" i="1"/>
  <c r="AI494" i="1"/>
  <c r="AI793" i="1"/>
  <c r="Q96" i="1"/>
  <c r="AI385" i="1"/>
  <c r="AI106" i="1"/>
  <c r="Q17" i="1"/>
  <c r="Q97" i="1"/>
  <c r="Q801" i="1"/>
  <c r="AI629" i="1"/>
  <c r="AI461" i="1"/>
  <c r="AI102" i="1"/>
  <c r="AI790" i="1"/>
  <c r="Q527" i="1"/>
  <c r="Q499" i="1"/>
  <c r="Q514" i="1"/>
  <c r="AI771" i="1"/>
  <c r="AI382" i="1"/>
  <c r="Q516" i="1"/>
  <c r="AI857" i="1"/>
  <c r="AI513" i="1"/>
  <c r="AI169" i="1"/>
  <c r="AI855" i="1"/>
  <c r="AI849" i="1"/>
  <c r="AI74" i="1"/>
  <c r="AI462" i="1"/>
  <c r="AI294" i="1"/>
  <c r="Z469" i="1"/>
  <c r="Z543" i="1" l="1"/>
  <c r="Z1371" i="1" s="1"/>
  <c r="Z442" i="1"/>
  <c r="Q430" i="1"/>
  <c r="AI442" i="1"/>
  <c r="Q539" i="1"/>
  <c r="Q543" i="1" s="1"/>
  <c r="Z623" i="1"/>
  <c r="T110" i="1"/>
  <c r="T1361" i="1" s="1"/>
  <c r="T626" i="1"/>
  <c r="T1385" i="1" s="1"/>
  <c r="Q310" i="1"/>
  <c r="Q121" i="1"/>
  <c r="Q298" i="1"/>
  <c r="Q624" i="1"/>
  <c r="Q625" i="1" s="1"/>
  <c r="AJ543" i="1"/>
  <c r="AJ1371" i="1" s="1"/>
  <c r="Q309" i="1"/>
  <c r="Q785" i="1"/>
  <c r="Q778" i="1"/>
  <c r="Q460" i="1"/>
  <c r="Q410" i="1"/>
  <c r="AJ624" i="1"/>
  <c r="R624" i="1" s="1"/>
  <c r="Q137" i="1"/>
  <c r="Q179" i="1"/>
  <c r="Q122" i="1"/>
  <c r="Q314" i="1"/>
  <c r="Q278" i="1"/>
  <c r="Q418" i="1"/>
  <c r="Q412" i="1"/>
  <c r="Q523" i="1"/>
  <c r="Q120" i="1"/>
  <c r="Q124" i="1"/>
  <c r="Z468" i="1"/>
  <c r="Z1369" i="1" s="1"/>
  <c r="R443" i="1"/>
  <c r="Q521" i="1"/>
  <c r="Q178" i="1"/>
  <c r="AJ628" i="1"/>
  <c r="AJ737" i="1" s="1"/>
  <c r="AJ1377" i="1" s="1"/>
  <c r="Q175" i="1"/>
  <c r="Q38" i="1"/>
  <c r="Q34" i="1"/>
  <c r="Q263" i="1"/>
  <c r="Q608" i="1"/>
  <c r="Q612" i="1" s="1"/>
  <c r="AJ763" i="1"/>
  <c r="R763" i="1" s="1"/>
  <c r="R764" i="1" s="1"/>
  <c r="R181" i="1"/>
  <c r="Q784" i="1"/>
  <c r="Q577" i="1"/>
  <c r="Q562" i="1"/>
  <c r="Q553" i="1"/>
  <c r="Q777" i="1"/>
  <c r="Q10" i="1"/>
  <c r="Q206" i="1"/>
  <c r="Q274" i="1"/>
  <c r="Q804" i="1"/>
  <c r="Q585" i="1"/>
  <c r="Q794" i="1"/>
  <c r="Q622" i="1"/>
  <c r="Q501" i="1"/>
  <c r="AI612" i="1"/>
  <c r="Q262" i="1"/>
  <c r="Q275" i="1"/>
  <c r="Q276" i="1"/>
  <c r="Q112" i="1"/>
  <c r="Q142" i="1"/>
  <c r="Q180" i="1"/>
  <c r="Q301" i="1"/>
  <c r="Q631" i="1"/>
  <c r="Q518" i="1"/>
  <c r="T1376" i="1"/>
  <c r="AI149" i="1"/>
  <c r="Q388" i="1"/>
  <c r="Q44" i="1"/>
  <c r="Q561" i="1"/>
  <c r="Q488" i="1"/>
  <c r="Q81" i="1"/>
  <c r="Q90" i="1"/>
  <c r="Q109" i="1"/>
  <c r="T544" i="1"/>
  <c r="R25" i="1"/>
  <c r="R28" i="1" s="1"/>
  <c r="Q156" i="1"/>
  <c r="Q247" i="1"/>
  <c r="Q386" i="1"/>
  <c r="T1372" i="1"/>
  <c r="Q787" i="1"/>
  <c r="Q510" i="1"/>
  <c r="Q775" i="1"/>
  <c r="Q158" i="1"/>
  <c r="Q802" i="1"/>
  <c r="Q80" i="1"/>
  <c r="T1359" i="1"/>
  <c r="T1381" i="1"/>
  <c r="Q795" i="1"/>
  <c r="Q358" i="1"/>
  <c r="Q872" i="1"/>
  <c r="Q873" i="1" s="1"/>
  <c r="AI110" i="1"/>
  <c r="AI1361" i="1" s="1"/>
  <c r="Q493" i="1"/>
  <c r="Q73" i="1"/>
  <c r="Q848" i="1"/>
  <c r="Q616" i="1"/>
  <c r="Q800" i="1"/>
  <c r="Q640" i="1"/>
  <c r="Q19" i="1"/>
  <c r="Q14" i="1"/>
  <c r="Q16" i="1"/>
  <c r="Q15" i="1"/>
  <c r="Z28" i="1"/>
  <c r="Q294" i="1"/>
  <c r="Q74" i="1"/>
  <c r="Q169" i="1"/>
  <c r="Q857" i="1"/>
  <c r="Q382" i="1"/>
  <c r="Q102" i="1"/>
  <c r="Q629" i="1"/>
  <c r="Q385" i="1"/>
  <c r="Q526" i="1"/>
  <c r="Q656" i="1"/>
  <c r="Q614" i="1"/>
  <c r="Q522" i="1"/>
  <c r="Q797" i="1"/>
  <c r="Q615" i="1"/>
  <c r="Q638" i="1"/>
  <c r="Q315" i="1"/>
  <c r="Q82" i="1"/>
  <c r="Q127" i="1"/>
  <c r="Q22" i="1"/>
  <c r="Q847" i="1"/>
  <c r="Q566" i="1"/>
  <c r="Q445" i="1"/>
  <c r="Q131" i="1"/>
  <c r="Q355" i="1"/>
  <c r="Q491" i="1"/>
  <c r="Q575" i="1"/>
  <c r="Q560" i="1"/>
  <c r="Q138" i="1"/>
  <c r="Y1369" i="1"/>
  <c r="Y1373" i="1"/>
  <c r="AI764" i="1"/>
  <c r="Q763" i="1"/>
  <c r="Q764" i="1" s="1"/>
  <c r="Q27" i="1"/>
  <c r="Q453" i="1"/>
  <c r="Q93" i="1"/>
  <c r="Q455" i="1"/>
  <c r="Y1359" i="1"/>
  <c r="Q11" i="1"/>
  <c r="Q457" i="1"/>
  <c r="Q558" i="1"/>
  <c r="Q37" i="1"/>
  <c r="Q272" i="1"/>
  <c r="Q13" i="1"/>
  <c r="Q135" i="1"/>
  <c r="Q390" i="1"/>
  <c r="Q8" i="1"/>
  <c r="Q549" i="1"/>
  <c r="AI572" i="1"/>
  <c r="AJ115" i="1"/>
  <c r="R111" i="1"/>
  <c r="AJ267" i="1"/>
  <c r="AJ1365" i="1" s="1"/>
  <c r="R251" i="1"/>
  <c r="Y1380" i="1"/>
  <c r="Y874" i="1"/>
  <c r="Y931" i="1" s="1"/>
  <c r="Y1322" i="1" s="1"/>
  <c r="Z1373" i="1"/>
  <c r="Z1376" i="1" s="1"/>
  <c r="R765" i="1"/>
  <c r="AJ869" i="1"/>
  <c r="AJ1379" i="1" s="1"/>
  <c r="AI1380" i="1"/>
  <c r="AJ281" i="1"/>
  <c r="R268" i="1"/>
  <c r="Q462" i="1"/>
  <c r="Q461" i="1"/>
  <c r="Q793" i="1"/>
  <c r="Q95" i="1"/>
  <c r="Q353" i="1"/>
  <c r="Z612" i="1"/>
  <c r="AJ608" i="1"/>
  <c r="Q103" i="1"/>
  <c r="Q563" i="1"/>
  <c r="Q798" i="1"/>
  <c r="Q520" i="1"/>
  <c r="Q768" i="1"/>
  <c r="Q133" i="1"/>
  <c r="Y626" i="1"/>
  <c r="Q331" i="1"/>
  <c r="Q567" i="1"/>
  <c r="Q199" i="1"/>
  <c r="R613" i="1"/>
  <c r="Q791" i="1"/>
  <c r="Q799" i="1"/>
  <c r="Q254" i="1"/>
  <c r="Q789" i="1"/>
  <c r="Q568" i="1"/>
  <c r="Q449" i="1"/>
  <c r="Q389" i="1"/>
  <c r="Q490" i="1"/>
  <c r="Q72" i="1"/>
  <c r="Y1377" i="1"/>
  <c r="Y1370" i="1"/>
  <c r="Q141" i="1"/>
  <c r="Q269" i="1"/>
  <c r="Q564" i="1"/>
  <c r="Q260" i="1"/>
  <c r="Q174" i="1"/>
  <c r="Q12" i="1"/>
  <c r="Q46" i="1"/>
  <c r="Q118" i="1"/>
  <c r="Q255" i="1"/>
  <c r="Q31" i="1"/>
  <c r="Y1374" i="1"/>
  <c r="Q154" i="1"/>
  <c r="Q270" i="1"/>
  <c r="Q840" i="1"/>
  <c r="Q534" i="1"/>
  <c r="Q286" i="1"/>
  <c r="Q261" i="1"/>
  <c r="Q246" i="1"/>
  <c r="Q139" i="1"/>
  <c r="Y1364" i="1"/>
  <c r="Y1366" i="1" s="1"/>
  <c r="AI535" i="1"/>
  <c r="AI289" i="1"/>
  <c r="Y1371" i="1"/>
  <c r="Y544" i="1"/>
  <c r="AI70" i="1"/>
  <c r="AI115" i="1"/>
  <c r="Q111" i="1"/>
  <c r="AJ71" i="1"/>
  <c r="R7" i="1"/>
  <c r="AJ594" i="1"/>
  <c r="AJ1374" i="1" s="1"/>
  <c r="R573" i="1"/>
  <c r="R543" i="1"/>
  <c r="Q849" i="1"/>
  <c r="Q525" i="1"/>
  <c r="Q635" i="1"/>
  <c r="Q617" i="1"/>
  <c r="Q866" i="1"/>
  <c r="Q769" i="1"/>
  <c r="Q451" i="1"/>
  <c r="Q556" i="1"/>
  <c r="Q571" i="1"/>
  <c r="Q114" i="1"/>
  <c r="Q313" i="1"/>
  <c r="AI284" i="1"/>
  <c r="Q283" i="1"/>
  <c r="Q279" i="1"/>
  <c r="Q39" i="1"/>
  <c r="Q170" i="1"/>
  <c r="Q834" i="1"/>
  <c r="Q9" i="1"/>
  <c r="Q456" i="1"/>
  <c r="Q766" i="1"/>
  <c r="Q160" i="1"/>
  <c r="Q555" i="1"/>
  <c r="Q259" i="1"/>
  <c r="Q113" i="1"/>
  <c r="Y1379" i="1"/>
  <c r="AI737" i="1"/>
  <c r="Q628" i="1"/>
  <c r="Q767" i="1"/>
  <c r="Q140" i="1"/>
  <c r="AI869" i="1"/>
  <c r="Q295" i="1"/>
  <c r="Q23" i="1"/>
  <c r="Q776" i="1"/>
  <c r="Q258" i="1"/>
  <c r="Q452" i="1"/>
  <c r="Q146" i="1"/>
  <c r="Q89" i="1"/>
  <c r="Q256" i="1"/>
  <c r="Y1367" i="1"/>
  <c r="Z535" i="1"/>
  <c r="Z1370" i="1" s="1"/>
  <c r="AJ487" i="1"/>
  <c r="Z143" i="1"/>
  <c r="Z1364" i="1" s="1"/>
  <c r="Z1366" i="1" s="1"/>
  <c r="AJ116" i="1"/>
  <c r="Y144" i="1"/>
  <c r="Y250" i="1" s="1"/>
  <c r="Y282" i="1" s="1"/>
  <c r="Z149" i="1"/>
  <c r="AJ145" i="1"/>
  <c r="AI281" i="1"/>
  <c r="R289" i="1"/>
  <c r="R572" i="1"/>
  <c r="Z486" i="1"/>
  <c r="AJ469" i="1"/>
  <c r="Q855" i="1"/>
  <c r="Q513" i="1"/>
  <c r="Q771" i="1"/>
  <c r="Q790" i="1"/>
  <c r="Q106" i="1"/>
  <c r="Q494" i="1"/>
  <c r="Q94" i="1"/>
  <c r="Q492" i="1"/>
  <c r="Q613" i="1"/>
  <c r="AI623" i="1"/>
  <c r="Q565" i="1"/>
  <c r="Q176" i="1"/>
  <c r="Q395" i="1"/>
  <c r="Q117" i="1"/>
  <c r="Q411" i="1"/>
  <c r="Q779" i="1"/>
  <c r="Q252" i="1"/>
  <c r="Q280" i="1"/>
  <c r="Q554" i="1"/>
  <c r="Q257" i="1"/>
  <c r="Q292" i="1"/>
  <c r="Q446" i="1"/>
  <c r="Q148" i="1"/>
  <c r="Q88" i="1"/>
  <c r="Q265" i="1"/>
  <c r="Q459" i="1"/>
  <c r="Q119" i="1"/>
  <c r="Q123" i="1"/>
  <c r="Q26" i="1"/>
  <c r="Q20" i="1"/>
  <c r="AI468" i="1"/>
  <c r="Q443" i="1"/>
  <c r="Q277" i="1"/>
  <c r="Q134" i="1"/>
  <c r="Y1361" i="1"/>
  <c r="Q130" i="1"/>
  <c r="Q253" i="1"/>
  <c r="AI267" i="1"/>
  <c r="Q552" i="1"/>
  <c r="Q151" i="1"/>
  <c r="Q155" i="1"/>
  <c r="Q266" i="1"/>
  <c r="Y1365" i="1"/>
  <c r="AI594" i="1"/>
  <c r="Z873" i="1"/>
  <c r="AJ871" i="1"/>
  <c r="Z70" i="1"/>
  <c r="Z1359" i="1" s="1"/>
  <c r="AJ30" i="1"/>
  <c r="AI486" i="1"/>
  <c r="Q469" i="1"/>
  <c r="T1367" i="1"/>
  <c r="AI28" i="1"/>
  <c r="Z284" i="1"/>
  <c r="AJ283" i="1"/>
  <c r="T874" i="1"/>
  <c r="T931" i="1" s="1"/>
  <c r="T1322" i="1" s="1"/>
  <c r="AI143" i="1"/>
  <c r="Z1367" i="1"/>
  <c r="AI1371" i="1"/>
  <c r="AJ1373" i="1"/>
  <c r="R291" i="1"/>
  <c r="R442" i="1" s="1"/>
  <c r="Q28" i="1" l="1"/>
  <c r="Q442" i="1"/>
  <c r="Z626" i="1"/>
  <c r="Z1385" i="1" s="1"/>
  <c r="T144" i="1"/>
  <c r="Y1362" i="1"/>
  <c r="Y1363" i="1" s="1"/>
  <c r="T250" i="1"/>
  <c r="Z110" i="1"/>
  <c r="Z144" i="1" s="1"/>
  <c r="Q70" i="1"/>
  <c r="R628" i="1"/>
  <c r="R737" i="1" s="1"/>
  <c r="AJ625" i="1"/>
  <c r="AJ623" i="1" s="1"/>
  <c r="AJ764" i="1"/>
  <c r="AJ1378" i="1" s="1"/>
  <c r="R468" i="1"/>
  <c r="R1369" i="1" s="1"/>
  <c r="Q486" i="1"/>
  <c r="Z1372" i="1"/>
  <c r="AJ1376" i="1"/>
  <c r="Q281" i="1"/>
  <c r="AI544" i="1"/>
  <c r="AJ284" i="1"/>
  <c r="R283" i="1"/>
  <c r="AJ873" i="1"/>
  <c r="R871" i="1"/>
  <c r="AI1365" i="1"/>
  <c r="AI1369" i="1"/>
  <c r="AI626" i="1"/>
  <c r="AI1367" i="1"/>
  <c r="AJ143" i="1"/>
  <c r="AJ1364" i="1" s="1"/>
  <c r="AJ1366" i="1" s="1"/>
  <c r="R116" i="1"/>
  <c r="Q737" i="1"/>
  <c r="Q284" i="1"/>
  <c r="Q115" i="1"/>
  <c r="Q110" i="1"/>
  <c r="Q289" i="1"/>
  <c r="Q267" i="1"/>
  <c r="R623" i="1"/>
  <c r="AJ612" i="1"/>
  <c r="R608" i="1"/>
  <c r="R281" i="1"/>
  <c r="R115" i="1"/>
  <c r="AI1378" i="1"/>
  <c r="AI1364" i="1"/>
  <c r="AI1366" i="1" s="1"/>
  <c r="Z1380" i="1"/>
  <c r="Z1381" i="1" s="1"/>
  <c r="Z874" i="1"/>
  <c r="Z931" i="1" s="1"/>
  <c r="Z1322" i="1" s="1"/>
  <c r="Q623" i="1"/>
  <c r="AI1379" i="1"/>
  <c r="AI1377" i="1"/>
  <c r="R594" i="1"/>
  <c r="Q1380" i="1"/>
  <c r="AI144" i="1"/>
  <c r="AI250" i="1" s="1"/>
  <c r="AI282" i="1" s="1"/>
  <c r="AI1370" i="1"/>
  <c r="Y1381" i="1"/>
  <c r="R625" i="1"/>
  <c r="AJ1367" i="1"/>
  <c r="Q535" i="1"/>
  <c r="AI1373" i="1"/>
  <c r="R30" i="1"/>
  <c r="R70" i="1" s="1"/>
  <c r="AJ70" i="1"/>
  <c r="AJ1359" i="1" s="1"/>
  <c r="R1378" i="1"/>
  <c r="AI1374" i="1"/>
  <c r="Q143" i="1"/>
  <c r="R145" i="1"/>
  <c r="AJ149" i="1"/>
  <c r="Z544" i="1"/>
  <c r="AJ535" i="1"/>
  <c r="R487" i="1"/>
  <c r="R1371" i="1"/>
  <c r="AJ110" i="1"/>
  <c r="R71" i="1"/>
  <c r="AI1359" i="1"/>
  <c r="Q869" i="1"/>
  <c r="Y1385" i="1"/>
  <c r="AI874" i="1"/>
  <c r="AI931" i="1" s="1"/>
  <c r="AI1322" i="1" s="1"/>
  <c r="R869" i="1"/>
  <c r="Q572" i="1"/>
  <c r="Q149" i="1"/>
  <c r="Y1372" i="1"/>
  <c r="Q594" i="1"/>
  <c r="Q468" i="1"/>
  <c r="AJ486" i="1"/>
  <c r="R469" i="1"/>
  <c r="R486" i="1" s="1"/>
  <c r="R1373" i="1"/>
  <c r="Q1371" i="1"/>
  <c r="R267" i="1"/>
  <c r="Q1378" i="1"/>
  <c r="Y1376" i="1"/>
  <c r="AI1362" i="1" l="1"/>
  <c r="AI1363" i="1" s="1"/>
  <c r="T282" i="1"/>
  <c r="T1362" i="1"/>
  <c r="T1363" i="1" s="1"/>
  <c r="AJ1361" i="1"/>
  <c r="Z1361" i="1"/>
  <c r="Z250" i="1"/>
  <c r="Y950" i="1"/>
  <c r="Y547" i="1"/>
  <c r="AJ626" i="1"/>
  <c r="AJ1385" i="1" s="1"/>
  <c r="Q1367" i="1"/>
  <c r="Q544" i="1"/>
  <c r="AI1376" i="1"/>
  <c r="Q1374" i="1"/>
  <c r="Q1379" i="1"/>
  <c r="R535" i="1"/>
  <c r="R149" i="1"/>
  <c r="Q1370" i="1"/>
  <c r="R612" i="1"/>
  <c r="Q1361" i="1"/>
  <c r="AI1385" i="1"/>
  <c r="AJ874" i="1"/>
  <c r="AJ931" i="1" s="1"/>
  <c r="AJ1322" i="1" s="1"/>
  <c r="AJ1380" i="1"/>
  <c r="AJ1381" i="1" s="1"/>
  <c r="R1365" i="1"/>
  <c r="R1379" i="1"/>
  <c r="AJ1370" i="1"/>
  <c r="AJ1372" i="1" s="1"/>
  <c r="AJ544" i="1"/>
  <c r="Q1364" i="1"/>
  <c r="AI1381" i="1"/>
  <c r="R1367" i="1"/>
  <c r="Q144" i="1"/>
  <c r="Q250" i="1" s="1"/>
  <c r="Q282" i="1" s="1"/>
  <c r="Q1359" i="1"/>
  <c r="Q1369" i="1"/>
  <c r="AJ144" i="1"/>
  <c r="AJ250" i="1" s="1"/>
  <c r="AJ282" i="1" s="1"/>
  <c r="Q874" i="1"/>
  <c r="Q931" i="1" s="1"/>
  <c r="Q1322" i="1" s="1"/>
  <c r="R1374" i="1"/>
  <c r="R1377" i="1"/>
  <c r="Q1377" i="1"/>
  <c r="AI1372" i="1"/>
  <c r="Q1373" i="1"/>
  <c r="Q1365" i="1"/>
  <c r="R143" i="1"/>
  <c r="R110" i="1" s="1"/>
  <c r="Q626" i="1"/>
  <c r="R873" i="1"/>
  <c r="R284" i="1"/>
  <c r="Y602" i="1" l="1"/>
  <c r="Y1329" i="1" s="1"/>
  <c r="Y1386" i="1" s="1"/>
  <c r="Y1387" i="1"/>
  <c r="Z282" i="1"/>
  <c r="Z1362" i="1"/>
  <c r="Z1363" i="1" s="1"/>
  <c r="Q1362" i="1"/>
  <c r="Q1363" i="1" s="1"/>
  <c r="AJ1362" i="1"/>
  <c r="AJ1363" i="1" s="1"/>
  <c r="Y1308" i="1"/>
  <c r="AI950" i="1"/>
  <c r="AI547" i="1"/>
  <c r="R1376" i="1"/>
  <c r="R144" i="1"/>
  <c r="R250" i="1" s="1"/>
  <c r="R282" i="1" s="1"/>
  <c r="R626" i="1"/>
  <c r="Q1381" i="1"/>
  <c r="Q1366" i="1"/>
  <c r="R1370" i="1"/>
  <c r="R544" i="1"/>
  <c r="Q1376" i="1"/>
  <c r="R1364" i="1"/>
  <c r="R1380" i="1"/>
  <c r="R1381" i="1" s="1"/>
  <c r="R874" i="1"/>
  <c r="R931" i="1" s="1"/>
  <c r="R1322" i="1" s="1"/>
  <c r="Q1385" i="1"/>
  <c r="R1361" i="1"/>
  <c r="R1359" i="1"/>
  <c r="Q1372" i="1"/>
  <c r="R1362" i="1" l="1"/>
  <c r="R1363" i="1" s="1"/>
  <c r="AI602" i="1"/>
  <c r="AI1329" i="1" s="1"/>
  <c r="AI1386" i="1" s="1"/>
  <c r="AI1387" i="1"/>
  <c r="Y1333" i="1"/>
  <c r="Y24" i="1" s="1"/>
  <c r="Y29" i="1" s="1"/>
  <c r="Y1383" i="1"/>
  <c r="Y1384" i="1" s="1"/>
  <c r="AI1308" i="1"/>
  <c r="Q950" i="1"/>
  <c r="Q547" i="1"/>
  <c r="R1385" i="1"/>
  <c r="R1366" i="1"/>
  <c r="R1372" i="1"/>
  <c r="AI1333" i="1" l="1"/>
  <c r="AI24" i="1" s="1"/>
  <c r="AI29" i="1" s="1"/>
  <c r="AI1383" i="1"/>
  <c r="AI1384" i="1" s="1"/>
  <c r="Y290" i="1"/>
  <c r="Y6" i="1" s="1"/>
  <c r="Y1358" i="1"/>
  <c r="Y1360" i="1" s="1"/>
  <c r="Y1368" i="1" s="1"/>
  <c r="Q602" i="1"/>
  <c r="Q1329" i="1" s="1"/>
  <c r="Q1386" i="1" s="1"/>
  <c r="Q1387" i="1"/>
  <c r="Q1308" i="1"/>
  <c r="Q1333" i="1" l="1"/>
  <c r="Q24" i="1" s="1"/>
  <c r="Q29" i="1" s="1"/>
  <c r="Q1383" i="1"/>
  <c r="Q1384" i="1" s="1"/>
  <c r="AI1358" i="1"/>
  <c r="AI1360" i="1" s="1"/>
  <c r="AI1368" i="1" s="1"/>
  <c r="AI290" i="1"/>
  <c r="AI6" i="1" s="1"/>
  <c r="Q290" i="1" l="1"/>
  <c r="Q6" i="1" s="1"/>
  <c r="Q1358" i="1"/>
  <c r="Q1360" i="1" s="1"/>
  <c r="Q1368" i="1" s="1"/>
  <c r="R547" i="1" l="1"/>
  <c r="R602" i="1"/>
  <c r="AJ547" i="1"/>
  <c r="AJ602" i="1"/>
  <c r="R950" i="1"/>
  <c r="R1333" i="1"/>
  <c r="R24" i="1"/>
  <c r="R29" i="1" s="1"/>
  <c r="Z950" i="1"/>
  <c r="Z1333" i="1"/>
  <c r="Z24" i="1"/>
  <c r="Z29" i="1" s="1"/>
  <c r="T950" i="1"/>
  <c r="T1333" i="1"/>
  <c r="T24" i="1"/>
  <c r="T29" i="1" s="1"/>
  <c r="Z547" i="1"/>
  <c r="Z602" i="1"/>
  <c r="AJ950" i="1"/>
  <c r="AJ1333" i="1"/>
  <c r="AJ24" i="1"/>
  <c r="AJ29" i="1" s="1"/>
  <c r="T547" i="1"/>
  <c r="T602" i="1"/>
  <c r="R1329" i="1"/>
  <c r="R1386" i="1" s="1"/>
  <c r="BB547" i="1"/>
  <c r="BB602" i="1"/>
  <c r="BB1329" i="1"/>
  <c r="BB1386" i="1" s="1"/>
  <c r="AV547" i="1"/>
  <c r="AV602" i="1"/>
  <c r="AV1329" i="1"/>
  <c r="AV1386" i="1" s="1"/>
  <c r="AZ547" i="1"/>
  <c r="AZ602" i="1"/>
  <c r="AZ1329" i="1"/>
  <c r="AZ1386" i="1" s="1"/>
  <c r="AJ1329" i="1"/>
  <c r="AJ1386" i="1" s="1"/>
  <c r="AH547" i="1"/>
  <c r="AH602" i="1"/>
  <c r="AH1329" i="1"/>
  <c r="AH1386" i="1" s="1"/>
  <c r="AB547" i="1"/>
  <c r="AB602" i="1"/>
  <c r="AB1329" i="1"/>
  <c r="AB1386" i="1" s="1"/>
  <c r="BB950" i="1"/>
  <c r="BB1308" i="1"/>
  <c r="BB1383" i="1" s="1"/>
  <c r="BB1384" i="1" s="1"/>
  <c r="BB1333" i="1"/>
  <c r="BB24" i="1"/>
  <c r="BB29" i="1" s="1"/>
  <c r="AH950" i="1"/>
  <c r="AH1308" i="1"/>
  <c r="AH1383" i="1" s="1"/>
  <c r="AH1384" i="1" s="1"/>
  <c r="AD950" i="1"/>
  <c r="AD1308" i="1"/>
  <c r="AD1383" i="1" s="1"/>
  <c r="AD1384" i="1" s="1"/>
  <c r="AB950" i="1"/>
  <c r="AB1308" i="1"/>
  <c r="AB1383" i="1" s="1"/>
  <c r="AB1384" i="1" s="1"/>
  <c r="V950" i="1"/>
  <c r="V1308" i="1"/>
  <c r="V1383" i="1" s="1"/>
  <c r="V1384" i="1" s="1"/>
  <c r="X950" i="1"/>
  <c r="X1308" i="1"/>
  <c r="X1383" i="1" s="1"/>
  <c r="X1384" i="1" s="1"/>
  <c r="V1333" i="1"/>
  <c r="V24" i="1"/>
  <c r="V29" i="1" s="1"/>
  <c r="V290" i="1" s="1"/>
  <c r="V547" i="1"/>
  <c r="V602" i="1"/>
  <c r="AH1333" i="1"/>
  <c r="AH24" i="1"/>
  <c r="AH29" i="1" s="1"/>
  <c r="AD1333" i="1"/>
  <c r="AD24" i="1"/>
  <c r="AD29" i="1" s="1"/>
  <c r="AD290" i="1" s="1"/>
  <c r="AD547" i="1"/>
  <c r="AD602" i="1"/>
  <c r="AB1333" i="1"/>
  <c r="AB24" i="1"/>
  <c r="AB29" i="1" s="1"/>
  <c r="AZ950" i="1"/>
  <c r="AZ1308" i="1"/>
  <c r="AZ1383" i="1" s="1"/>
  <c r="AZ1384" i="1" s="1"/>
  <c r="AZ1333" i="1"/>
  <c r="AZ24" i="1"/>
  <c r="AZ29" i="1" s="1"/>
  <c r="AV950" i="1"/>
  <c r="AV1308" i="1"/>
  <c r="AV1383" i="1" s="1"/>
  <c r="AV1384" i="1" s="1"/>
  <c r="AV1333" i="1"/>
  <c r="AV24" i="1"/>
  <c r="AV29" i="1" s="1"/>
  <c r="X547" i="1"/>
  <c r="X602" i="1"/>
  <c r="X1333" i="1"/>
  <c r="X24" i="1"/>
  <c r="X29" i="1" s="1"/>
  <c r="R1307" i="1"/>
  <c r="R1308" i="1" s="1"/>
  <c r="R1383" i="1" s="1"/>
  <c r="R1384" i="1" s="1"/>
  <c r="AJ1307" i="1"/>
  <c r="AJ1308" i="1" s="1"/>
  <c r="AJ1383" i="1" s="1"/>
  <c r="AJ1384" i="1" s="1"/>
  <c r="Z1307" i="1"/>
  <c r="Z1308" i="1" s="1"/>
  <c r="Z1383" i="1" s="1"/>
  <c r="Z1384" i="1" s="1"/>
  <c r="T1307" i="1"/>
  <c r="T1308" i="1" s="1"/>
  <c r="AF950" i="1"/>
  <c r="AF1308" i="1"/>
  <c r="AF1383" i="1" s="1"/>
  <c r="AF1384" i="1" s="1"/>
  <c r="AF547" i="1"/>
  <c r="AF602" i="1"/>
  <c r="AF1333" i="1"/>
  <c r="AF24" i="1"/>
  <c r="AF29" i="1" s="1"/>
  <c r="S950" i="1"/>
  <c r="S1308" i="1"/>
  <c r="S1383" i="1" s="1"/>
  <c r="S1384" i="1" s="1"/>
  <c r="Z1329" i="1"/>
  <c r="Z1386" i="1" s="1"/>
  <c r="AD1329" i="1"/>
  <c r="AD1386" i="1" s="1"/>
  <c r="V1329" i="1"/>
  <c r="V1386" i="1" s="1"/>
  <c r="AF1329" i="1"/>
  <c r="AF1386" i="1" s="1"/>
  <c r="T1329" i="1"/>
  <c r="T1386" i="1" s="1"/>
  <c r="X1329" i="1"/>
  <c r="X1386" i="1" s="1"/>
  <c r="S547" i="1"/>
  <c r="S602" i="1"/>
  <c r="S1329" i="1"/>
  <c r="S1386" i="1" s="1"/>
  <c r="S1333" i="1"/>
  <c r="S24" i="1"/>
  <c r="S29" i="1" s="1"/>
  <c r="AD6" i="1" l="1"/>
  <c r="V6" i="1"/>
  <c r="X1387" i="1"/>
  <c r="AB1387" i="1"/>
  <c r="V1387" i="1"/>
  <c r="AH1387" i="1"/>
  <c r="AZ1387" i="1"/>
  <c r="AJ290" i="1"/>
  <c r="AJ1358" i="1"/>
  <c r="AJ1360" i="1" s="1"/>
  <c r="AJ1368" i="1" s="1"/>
  <c r="T1383" i="1"/>
  <c r="T1384" i="1" s="1"/>
  <c r="S290" i="1"/>
  <c r="S6" i="1" s="1"/>
  <c r="S1358" i="1"/>
  <c r="S1360" i="1" s="1"/>
  <c r="S1368" i="1" s="1"/>
  <c r="AH290" i="1"/>
  <c r="AH6" i="1" s="1"/>
  <c r="AH1358" i="1"/>
  <c r="AH1360" i="1" s="1"/>
  <c r="AH1368" i="1" s="1"/>
  <c r="AZ290" i="1"/>
  <c r="AZ6" i="1" s="1"/>
  <c r="AZ1358" i="1"/>
  <c r="AZ1360" i="1" s="1"/>
  <c r="AZ1368" i="1" s="1"/>
  <c r="X290" i="1"/>
  <c r="X6" i="1" s="1"/>
  <c r="X1358" i="1"/>
  <c r="X1360" i="1" s="1"/>
  <c r="X1368" i="1" s="1"/>
  <c r="T290" i="1"/>
  <c r="T1358" i="1"/>
  <c r="T1360" i="1" s="1"/>
  <c r="T1368" i="1" s="1"/>
  <c r="BB290" i="1"/>
  <c r="BB6" i="1" s="1"/>
  <c r="BB1358" i="1"/>
  <c r="BB1360" i="1" s="1"/>
  <c r="BB1368" i="1" s="1"/>
  <c r="Z290" i="1"/>
  <c r="Z1358" i="1"/>
  <c r="Z1360" i="1" s="1"/>
  <c r="Z1368" i="1" s="1"/>
  <c r="AV290" i="1"/>
  <c r="AV6" i="1" s="1"/>
  <c r="AV1358" i="1"/>
  <c r="AV1360" i="1" s="1"/>
  <c r="AV1368" i="1" s="1"/>
  <c r="R1358" i="1"/>
  <c r="R1360" i="1" s="1"/>
  <c r="R1368" i="1" s="1"/>
  <c r="R290" i="1"/>
  <c r="AB290" i="1"/>
  <c r="AB6" i="1" s="1"/>
  <c r="AB1358" i="1"/>
  <c r="AB1360" i="1" s="1"/>
  <c r="AB1368" i="1" s="1"/>
  <c r="BB1387" i="1"/>
  <c r="AD1387" i="1"/>
  <c r="AV1387" i="1"/>
  <c r="AD1358" i="1"/>
  <c r="AD1360" i="1" s="1"/>
  <c r="AD1368" i="1" s="1"/>
  <c r="S1387" i="1"/>
  <c r="AF1358" i="1"/>
  <c r="AF1360" i="1" s="1"/>
  <c r="AF1368" i="1" s="1"/>
  <c r="AF290" i="1"/>
  <c r="AF6" i="1" s="1"/>
  <c r="AF1387" i="1"/>
  <c r="V1358" i="1"/>
  <c r="V1360" i="1" s="1"/>
  <c r="V1368" i="1" s="1"/>
  <c r="AG1357" i="1" l="1"/>
  <c r="AH1355" i="1" s="1"/>
  <c r="W1357" i="1"/>
  <c r="X1355" i="1" s="1"/>
  <c r="AA1357" i="1"/>
  <c r="AB1355" i="1" s="1"/>
  <c r="U1357" i="1"/>
  <c r="V1355" i="1" s="1"/>
  <c r="AC1357" i="1"/>
  <c r="AD1355" i="1" s="1"/>
  <c r="AU1357" i="1"/>
  <c r="AV1355" i="1" s="1"/>
  <c r="BA1357" i="1"/>
  <c r="BB1355" i="1" s="1"/>
  <c r="AY1357" i="1"/>
  <c r="AZ1355" i="1" s="1"/>
  <c r="AE1357" i="1"/>
  <c r="AF1355" i="1" s="1"/>
  <c r="T1310" i="1"/>
  <c r="T6" i="1" s="1"/>
  <c r="Z1309" i="1"/>
  <c r="Z1311" i="1" l="1"/>
  <c r="AJ1309" i="1"/>
  <c r="Z1310" i="1"/>
  <c r="Z1312" i="1" l="1"/>
  <c r="AJ1312" i="1" s="1"/>
  <c r="R1312" i="1" s="1"/>
  <c r="R1309" i="1"/>
  <c r="R1310" i="1" s="1"/>
  <c r="AJ1310" i="1"/>
  <c r="AJ1311" i="1"/>
  <c r="R1311" i="1" l="1"/>
  <c r="Z1313" i="1"/>
  <c r="AJ1313" i="1" l="1"/>
  <c r="Z1314" i="1"/>
  <c r="AJ1314" i="1" s="1"/>
  <c r="R1314" i="1" s="1"/>
  <c r="T1387" i="1" l="1"/>
  <c r="S1357" i="1" s="1"/>
  <c r="Z1315" i="1"/>
  <c r="Z6" i="1" s="1"/>
  <c r="R1313" i="1"/>
  <c r="R1315" i="1" s="1"/>
  <c r="R6" i="1" s="1"/>
  <c r="AJ1315" i="1"/>
  <c r="AJ6" i="1" s="1"/>
  <c r="AJ1387" i="1" l="1"/>
  <c r="AI1357" i="1" s="1"/>
  <c r="R1387" i="1"/>
  <c r="Q1357" i="1" s="1"/>
  <c r="Z1387" i="1"/>
  <c r="Y1357" i="1" s="1"/>
  <c r="T1355" i="1"/>
  <c r="R1355" i="1" l="1"/>
  <c r="Z1355" i="1"/>
  <c r="AJ13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송나래</author>
  </authors>
  <commentList>
    <comment ref="U361" authorId="0" shapeId="0" xr:uid="{022FD00A-75B0-46B7-88FD-51BA1A50E84A}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10EA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>VD</t>
        </r>
        <r>
          <rPr>
            <sz val="9"/>
            <color indexed="81"/>
            <rFont val="돋움"/>
            <family val="3"/>
            <charset val="129"/>
          </rPr>
          <t>본사</t>
        </r>
      </text>
    </comment>
    <comment ref="U362" authorId="0" shapeId="0" xr:uid="{F503F34E-2758-4DC4-B503-A969BEF91EC6}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10EA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>VD</t>
        </r>
        <r>
          <rPr>
            <sz val="9"/>
            <color indexed="81"/>
            <rFont val="돋움"/>
            <family val="3"/>
            <charset val="129"/>
          </rPr>
          <t>본사</t>
        </r>
      </text>
    </comment>
    <comment ref="U397" authorId="0" shapeId="0" xr:uid="{15D1BC86-9E4D-4579-9413-F073F1D8CB03}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420ea </t>
        </r>
        <r>
          <rPr>
            <sz val="9"/>
            <color indexed="81"/>
            <rFont val="돋움"/>
            <family val="3"/>
            <charset val="129"/>
          </rPr>
          <t>삼성</t>
        </r>
        <r>
          <rPr>
            <sz val="9"/>
            <color indexed="81"/>
            <rFont val="Tahoma"/>
            <family val="2"/>
          </rPr>
          <t>VD</t>
        </r>
        <r>
          <rPr>
            <sz val="9"/>
            <color indexed="81"/>
            <rFont val="돋움"/>
            <family val="3"/>
            <charset val="129"/>
          </rPr>
          <t>본사</t>
        </r>
      </text>
    </comment>
    <comment ref="AA911" authorId="0" shapeId="0" xr:uid="{1802141D-6239-4BA0-B9AF-02BECBDB9280}">
      <text>
        <r>
          <rPr>
            <b/>
            <sz val="9"/>
            <color indexed="81"/>
            <rFont val="돋움"/>
            <family val="3"/>
            <charset val="129"/>
          </rPr>
          <t>송나래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12ea </t>
        </r>
        <r>
          <rPr>
            <sz val="9"/>
            <color indexed="81"/>
            <rFont val="돋움"/>
            <family val="3"/>
            <charset val="129"/>
          </rPr>
          <t>샘플</t>
        </r>
      </text>
    </comment>
  </commentList>
</comments>
</file>

<file path=xl/sharedStrings.xml><?xml version="1.0" encoding="utf-8"?>
<sst xmlns="http://schemas.openxmlformats.org/spreadsheetml/2006/main" count="11778" uniqueCount="2644">
  <si>
    <t>거래선</t>
  </si>
  <si>
    <t>제품</t>
  </si>
  <si>
    <t>Set</t>
  </si>
  <si>
    <t>모델</t>
  </si>
  <si>
    <t>Code</t>
  </si>
  <si>
    <t>L22S0Q_EPN</t>
  </si>
  <si>
    <t>692A</t>
  </si>
  <si>
    <t>L23S0D_EPN</t>
  </si>
  <si>
    <t>746A</t>
  </si>
  <si>
    <t>746B</t>
  </si>
  <si>
    <t>746C</t>
  </si>
  <si>
    <t>L32S0X_EPN</t>
  </si>
  <si>
    <t>750A</t>
  </si>
  <si>
    <t>SMPS</t>
  </si>
  <si>
    <t>F8014_EPN</t>
  </si>
  <si>
    <t>MNT</t>
  </si>
  <si>
    <t>749A</t>
  </si>
  <si>
    <t>297B</t>
  </si>
  <si>
    <t>V170S_DPN(VE)</t>
  </si>
  <si>
    <t>296A</t>
  </si>
  <si>
    <t>298D</t>
  </si>
  <si>
    <t>V50S_EPN</t>
  </si>
  <si>
    <t>311A</t>
  </si>
  <si>
    <t>V1000S_EPN</t>
  </si>
  <si>
    <t>313A</t>
  </si>
  <si>
    <t>V1000SN_EPN</t>
  </si>
  <si>
    <t>313B</t>
  </si>
  <si>
    <t>V170S_EPN</t>
  </si>
  <si>
    <t>316A</t>
  </si>
  <si>
    <t>V170SN_EPN</t>
  </si>
  <si>
    <t>316B</t>
  </si>
  <si>
    <t>V200S_EPN</t>
  </si>
  <si>
    <t>323A</t>
  </si>
  <si>
    <t>Adaptor</t>
  </si>
  <si>
    <t>394M</t>
  </si>
  <si>
    <t>590C</t>
  </si>
  <si>
    <t>A2514_DPN</t>
  </si>
  <si>
    <t>592B</t>
  </si>
  <si>
    <t>592D</t>
  </si>
  <si>
    <t>596A</t>
  </si>
  <si>
    <t>719B</t>
  </si>
  <si>
    <t>719C</t>
  </si>
  <si>
    <t>A5814_FPN</t>
  </si>
  <si>
    <t>832A</t>
  </si>
  <si>
    <t>098C</t>
  </si>
  <si>
    <t>PN24U-12J10L</t>
  </si>
  <si>
    <t>110B</t>
  </si>
  <si>
    <t>112A</t>
  </si>
  <si>
    <t>CCD</t>
  </si>
  <si>
    <t>PN020STCA-NWF</t>
  </si>
  <si>
    <t>164A</t>
  </si>
  <si>
    <t>PD-Board</t>
  </si>
  <si>
    <t>CCTV</t>
  </si>
  <si>
    <t>557A</t>
  </si>
  <si>
    <t>220A</t>
  </si>
  <si>
    <t>PWL2704STCCM</t>
  </si>
  <si>
    <t>232C</t>
  </si>
  <si>
    <t>PWL1704STCCM</t>
  </si>
  <si>
    <t>정수기</t>
  </si>
  <si>
    <t>797A</t>
  </si>
  <si>
    <t>A4514_FPN</t>
  </si>
  <si>
    <t>P32SF_FPN</t>
  </si>
  <si>
    <t>1월</t>
    <phoneticPr fontId="3" type="noConversion"/>
  </si>
  <si>
    <t>금액</t>
    <phoneticPr fontId="3" type="noConversion"/>
  </si>
  <si>
    <t>수량</t>
    <phoneticPr fontId="3" type="noConversion"/>
  </si>
  <si>
    <t>2월</t>
  </si>
  <si>
    <t>3월</t>
  </si>
  <si>
    <t>합      계</t>
    <phoneticPr fontId="3" type="noConversion"/>
  </si>
  <si>
    <t>P32SFN_FPN</t>
  </si>
  <si>
    <t>V140SN_FPN</t>
  </si>
  <si>
    <t>V100L_DPN2</t>
  </si>
  <si>
    <t>A3514_FPNP</t>
  </si>
  <si>
    <t>P3514Z_FPN(VE)</t>
  </si>
  <si>
    <t>A6024N_FPN(VE)</t>
  </si>
  <si>
    <t>A6024_FPNS(VE)</t>
  </si>
  <si>
    <t>A6024_FPNW(VE)</t>
  </si>
  <si>
    <t>PWL2204STCCM</t>
  </si>
  <si>
    <t>PN22-220A</t>
  </si>
  <si>
    <t>PN020HTCA-HCP6320(OUTDOOR)</t>
  </si>
  <si>
    <t>SEC VD</t>
  </si>
  <si>
    <t>L23S0DN_EPN</t>
    <phoneticPr fontId="12" type="noConversion"/>
  </si>
  <si>
    <t>L23S0DS_EPN</t>
  </si>
  <si>
    <t>L23S0DMN_FPN</t>
  </si>
  <si>
    <t>746D</t>
  </si>
  <si>
    <t>L23S0DF_FPN</t>
  </si>
  <si>
    <t>746E</t>
  </si>
  <si>
    <t>L23S0T_EPN</t>
    <phoneticPr fontId="12" type="noConversion"/>
  </si>
  <si>
    <t>793A</t>
  </si>
  <si>
    <t>L32E1P_KPN</t>
  </si>
  <si>
    <t>L32E1N_KPN</t>
  </si>
  <si>
    <t>제품계</t>
  </si>
  <si>
    <t>844A</t>
  </si>
  <si>
    <t>844B</t>
  </si>
  <si>
    <t>P32MF_KPN</t>
    <phoneticPr fontId="12" type="noConversion"/>
  </si>
  <si>
    <t>844C</t>
    <phoneticPr fontId="12" type="noConversion"/>
  </si>
  <si>
    <t xml:space="preserve">
AV</t>
  </si>
  <si>
    <t>307C</t>
  </si>
  <si>
    <t>307D</t>
  </si>
  <si>
    <t>V170L_D2PN(E)</t>
    <phoneticPr fontId="12" type="noConversion"/>
  </si>
  <si>
    <t>V50S_KPN</t>
    <phoneticPr fontId="12" type="noConversion"/>
  </si>
  <si>
    <t>335A</t>
    <phoneticPr fontId="12" type="noConversion"/>
  </si>
  <si>
    <t>V170L_KPN</t>
    <phoneticPr fontId="12" type="noConversion"/>
  </si>
  <si>
    <t>337A</t>
    <phoneticPr fontId="12" type="noConversion"/>
  </si>
  <si>
    <t>V200S_EPN V</t>
  </si>
  <si>
    <t>323C</t>
  </si>
  <si>
    <t>V200SR_EPN V</t>
    <phoneticPr fontId="12" type="noConversion"/>
  </si>
  <si>
    <t>323D</t>
    <phoneticPr fontId="12" type="noConversion"/>
  </si>
  <si>
    <t>V200SRN_EPN V</t>
    <phoneticPr fontId="12" type="noConversion"/>
  </si>
  <si>
    <t>323E</t>
    <phoneticPr fontId="12" type="noConversion"/>
  </si>
  <si>
    <t>V200SN_EPN</t>
  </si>
  <si>
    <t>323B</t>
  </si>
  <si>
    <t>339A</t>
    <phoneticPr fontId="12" type="noConversion"/>
  </si>
  <si>
    <t>V220S_MPN(VE)</t>
    <phoneticPr fontId="12" type="noConversion"/>
  </si>
  <si>
    <t>V140S_FPN</t>
  </si>
  <si>
    <t>328A</t>
  </si>
  <si>
    <t>328B</t>
  </si>
  <si>
    <t>V170S_DPN(VE)_CKD</t>
    <phoneticPr fontId="12" type="noConversion"/>
  </si>
  <si>
    <t>296A</t>
    <phoneticPr fontId="12" type="noConversion"/>
  </si>
  <si>
    <t>V200S_EPN V_CKD</t>
  </si>
  <si>
    <t>SD25</t>
    <phoneticPr fontId="12" type="noConversion"/>
  </si>
  <si>
    <t>SD25  C</t>
  </si>
  <si>
    <t>749C</t>
    <phoneticPr fontId="12" type="noConversion"/>
  </si>
  <si>
    <t>P2514Z_FPN(VE)</t>
    <phoneticPr fontId="12" type="noConversion"/>
  </si>
  <si>
    <t>842A</t>
    <phoneticPr fontId="12" type="noConversion"/>
  </si>
  <si>
    <t>P2514Z_FPN  C</t>
    <phoneticPr fontId="12" type="noConversion"/>
  </si>
  <si>
    <t>842B</t>
    <phoneticPr fontId="12" type="noConversion"/>
  </si>
  <si>
    <t>843A</t>
    <phoneticPr fontId="12" type="noConversion"/>
  </si>
  <si>
    <t>LFD</t>
    <phoneticPr fontId="12" type="noConversion"/>
  </si>
  <si>
    <t>481B</t>
    <phoneticPr fontId="12" type="noConversion"/>
  </si>
  <si>
    <t>SD45</t>
    <phoneticPr fontId="12" type="noConversion"/>
  </si>
  <si>
    <t>753A</t>
  </si>
  <si>
    <t>신규</t>
    <phoneticPr fontId="12" type="noConversion"/>
  </si>
  <si>
    <t>F24AF_FPN</t>
    <phoneticPr fontId="12" type="noConversion"/>
  </si>
  <si>
    <t>861A</t>
    <phoneticPr fontId="12" type="noConversion"/>
  </si>
  <si>
    <t>제품계</t>
    <phoneticPr fontId="12" type="noConversion"/>
  </si>
  <si>
    <t>Adaptor</t>
    <phoneticPr fontId="12" type="noConversion"/>
  </si>
  <si>
    <t>PS30W-14J1</t>
    <phoneticPr fontId="12" type="noConversion"/>
  </si>
  <si>
    <t>591B</t>
    <phoneticPr fontId="12" type="noConversion"/>
  </si>
  <si>
    <t>A3514_DPN</t>
    <phoneticPr fontId="12" type="noConversion"/>
  </si>
  <si>
    <t>A3514_DPNC</t>
  </si>
  <si>
    <t>A2514_DPN-14</t>
    <phoneticPr fontId="12" type="noConversion"/>
  </si>
  <si>
    <t>A2514_DPNI</t>
  </si>
  <si>
    <t>A10024S_EPN</t>
    <phoneticPr fontId="12" type="noConversion"/>
  </si>
  <si>
    <t>794D</t>
    <phoneticPr fontId="12" type="noConversion"/>
  </si>
  <si>
    <t>832B</t>
    <phoneticPr fontId="12" type="noConversion"/>
  </si>
  <si>
    <t>A3514_FPNI</t>
    <phoneticPr fontId="12" type="noConversion"/>
  </si>
  <si>
    <t>832C</t>
    <phoneticPr fontId="12" type="noConversion"/>
  </si>
  <si>
    <t>800B</t>
    <phoneticPr fontId="12" type="noConversion"/>
  </si>
  <si>
    <t>800A</t>
  </si>
  <si>
    <t>A4514N_FPNA</t>
  </si>
  <si>
    <t>A6024_FPN(VE)</t>
  </si>
  <si>
    <t>A3612_DPNW</t>
  </si>
  <si>
    <t>A4812_DPN</t>
  </si>
  <si>
    <t>거래선 계</t>
    <phoneticPr fontId="12" type="noConversion"/>
  </si>
  <si>
    <t>BOE</t>
  </si>
  <si>
    <t>A1514_EPN</t>
  </si>
  <si>
    <t>A2514_FPN</t>
    <phoneticPr fontId="12" type="noConversion"/>
  </si>
  <si>
    <t>생활가전</t>
    <phoneticPr fontId="12" type="noConversion"/>
  </si>
  <si>
    <t>HVPS</t>
    <phoneticPr fontId="12" type="noConversion"/>
  </si>
  <si>
    <t>Aircon</t>
  </si>
  <si>
    <t>Printer</t>
    <phoneticPr fontId="12" type="noConversion"/>
  </si>
  <si>
    <t>PN018SPR-HV</t>
    <phoneticPr fontId="12" type="noConversion"/>
  </si>
  <si>
    <t>237A</t>
    <phoneticPr fontId="12" type="noConversion"/>
  </si>
  <si>
    <t>PN019SPR-HV</t>
    <phoneticPr fontId="12" type="noConversion"/>
  </si>
  <si>
    <t>239A</t>
    <phoneticPr fontId="12" type="noConversion"/>
  </si>
  <si>
    <t>PNM4530-HV</t>
    <phoneticPr fontId="12" type="noConversion"/>
  </si>
  <si>
    <t>239B</t>
    <phoneticPr fontId="12" type="noConversion"/>
  </si>
  <si>
    <t>PN023SPR-HV</t>
    <phoneticPr fontId="12" type="noConversion"/>
  </si>
  <si>
    <t>238A</t>
    <phoneticPr fontId="12" type="noConversion"/>
  </si>
  <si>
    <t>PN029SPR-HV</t>
    <phoneticPr fontId="12" type="noConversion"/>
  </si>
  <si>
    <t>240A</t>
    <phoneticPr fontId="12" type="noConversion"/>
  </si>
  <si>
    <t>PNX7600-HV</t>
    <phoneticPr fontId="12" type="noConversion"/>
  </si>
  <si>
    <t>240B</t>
    <phoneticPr fontId="12" type="noConversion"/>
  </si>
  <si>
    <t>PNK7600-HV</t>
    <phoneticPr fontId="12" type="noConversion"/>
  </si>
  <si>
    <t>241A</t>
    <phoneticPr fontId="12" type="noConversion"/>
  </si>
  <si>
    <t>K7600-TIGER-HVPS</t>
    <phoneticPr fontId="12" type="noConversion"/>
  </si>
  <si>
    <t>241B</t>
    <phoneticPr fontId="12" type="noConversion"/>
  </si>
  <si>
    <t>PNC3010-HV</t>
    <phoneticPr fontId="12" type="noConversion"/>
  </si>
  <si>
    <t>242A</t>
    <phoneticPr fontId="12" type="noConversion"/>
  </si>
  <si>
    <t>PNC3020-HV</t>
    <phoneticPr fontId="12" type="noConversion"/>
  </si>
  <si>
    <t>243A</t>
    <phoneticPr fontId="12" type="noConversion"/>
  </si>
  <si>
    <t>PNC3030-HV</t>
    <phoneticPr fontId="12" type="noConversion"/>
  </si>
  <si>
    <t>244A</t>
    <phoneticPr fontId="12" type="noConversion"/>
  </si>
  <si>
    <t>PN035SPR-HV</t>
    <phoneticPr fontId="12" type="noConversion"/>
  </si>
  <si>
    <t>177A</t>
    <phoneticPr fontId="12" type="noConversion"/>
  </si>
  <si>
    <t>PN032SPR-HV</t>
    <phoneticPr fontId="12" type="noConversion"/>
  </si>
  <si>
    <t>196A</t>
    <phoneticPr fontId="12" type="noConversion"/>
  </si>
  <si>
    <t>PN031SPR-HV</t>
  </si>
  <si>
    <t>205A</t>
  </si>
  <si>
    <t>PNX4300-HV</t>
    <phoneticPr fontId="12" type="noConversion"/>
  </si>
  <si>
    <t>212C</t>
    <phoneticPr fontId="12" type="noConversion"/>
  </si>
  <si>
    <t>PNK4350-HV</t>
    <phoneticPr fontId="12" type="noConversion"/>
  </si>
  <si>
    <t>237B</t>
    <phoneticPr fontId="12" type="noConversion"/>
  </si>
  <si>
    <t>PSPN2-TYPE3-V1</t>
    <phoneticPr fontId="12" type="noConversion"/>
  </si>
  <si>
    <t>097H</t>
    <phoneticPr fontId="12" type="noConversion"/>
  </si>
  <si>
    <t>PSPN2-TYPE3-V2</t>
    <phoneticPr fontId="12" type="noConversion"/>
  </si>
  <si>
    <t>090H</t>
    <phoneticPr fontId="12" type="noConversion"/>
  </si>
  <si>
    <t>PSPN2-TYPE3R-V1</t>
    <phoneticPr fontId="12" type="noConversion"/>
  </si>
  <si>
    <t>222D</t>
    <phoneticPr fontId="12" type="noConversion"/>
  </si>
  <si>
    <t>PSPN2-TYPE3R-V2</t>
    <phoneticPr fontId="12" type="noConversion"/>
  </si>
  <si>
    <t>223D</t>
    <phoneticPr fontId="12" type="noConversion"/>
  </si>
  <si>
    <t>PSPN2-TYPE4H-V2</t>
  </si>
  <si>
    <t>248A</t>
    <phoneticPr fontId="12" type="noConversion"/>
  </si>
  <si>
    <t>PSPN2-TYPE5H-V1</t>
    <phoneticPr fontId="12" type="noConversion"/>
  </si>
  <si>
    <t>249A</t>
    <phoneticPr fontId="12" type="noConversion"/>
  </si>
  <si>
    <t>PSPN2-TYPE5H-V2</t>
    <phoneticPr fontId="12" type="noConversion"/>
  </si>
  <si>
    <t>250A</t>
    <phoneticPr fontId="12" type="noConversion"/>
  </si>
  <si>
    <t>한화테크윈</t>
    <phoneticPr fontId="12" type="noConversion"/>
  </si>
  <si>
    <t>PD-Board</t>
    <phoneticPr fontId="12" type="noConversion"/>
  </si>
  <si>
    <t>232E</t>
    <phoneticPr fontId="12" type="noConversion"/>
  </si>
  <si>
    <t>Coway</t>
    <phoneticPr fontId="12" type="noConversion"/>
  </si>
  <si>
    <t>SMPS</t>
    <phoneticPr fontId="12" type="noConversion"/>
  </si>
  <si>
    <t>PN010MWJ-VF</t>
    <phoneticPr fontId="12" type="noConversion"/>
  </si>
  <si>
    <t>PN035MWJ-VF(C)</t>
    <phoneticPr fontId="12" type="noConversion"/>
  </si>
  <si>
    <t>PN036MWJ-VF</t>
    <phoneticPr fontId="12" type="noConversion"/>
  </si>
  <si>
    <t>PN022WWJ-VF(A)</t>
    <phoneticPr fontId="12" type="noConversion"/>
  </si>
  <si>
    <t>루시II</t>
    <phoneticPr fontId="12" type="noConversion"/>
  </si>
  <si>
    <t>미주향</t>
    <phoneticPr fontId="12" type="noConversion"/>
  </si>
  <si>
    <t>PN053WWJ-VF</t>
    <phoneticPr fontId="12" type="noConversion"/>
  </si>
  <si>
    <t>PN053WWJ-VF(A)</t>
    <phoneticPr fontId="12" type="noConversion"/>
  </si>
  <si>
    <t>비데</t>
  </si>
  <si>
    <t>PN020BWJ-VDC(A)</t>
    <phoneticPr fontId="12" type="noConversion"/>
  </si>
  <si>
    <t>PN020WWJ-VDC</t>
    <phoneticPr fontId="12" type="noConversion"/>
  </si>
  <si>
    <t>쥬서기</t>
  </si>
  <si>
    <t>기타</t>
  </si>
  <si>
    <t>PN20U-24J11</t>
  </si>
  <si>
    <t>대덕 GDS</t>
    <phoneticPr fontId="12" type="noConversion"/>
  </si>
  <si>
    <t>PLL035-D15</t>
    <phoneticPr fontId="12" type="noConversion"/>
  </si>
  <si>
    <t>PLL035-D18-47M</t>
    <phoneticPr fontId="12" type="noConversion"/>
  </si>
  <si>
    <t>내장형</t>
    <phoneticPr fontId="12" type="noConversion"/>
  </si>
  <si>
    <t>내장형</t>
  </si>
  <si>
    <t>PLL024-P13</t>
    <phoneticPr fontId="12" type="noConversion"/>
  </si>
  <si>
    <t>PLL024-P17</t>
    <phoneticPr fontId="12" type="noConversion"/>
  </si>
  <si>
    <t>PLL024-P18</t>
    <phoneticPr fontId="12" type="noConversion"/>
  </si>
  <si>
    <t>580mm, 5K</t>
    <phoneticPr fontId="12" type="noConversion"/>
  </si>
  <si>
    <t>T08</t>
    <phoneticPr fontId="12" type="noConversion"/>
  </si>
  <si>
    <t>AV</t>
    <phoneticPr fontId="12" type="noConversion"/>
  </si>
  <si>
    <t>A4514_FPNA</t>
    <phoneticPr fontId="12" type="noConversion"/>
  </si>
  <si>
    <t>800C</t>
    <phoneticPr fontId="12" type="noConversion"/>
  </si>
  <si>
    <t>799A</t>
    <phoneticPr fontId="12" type="noConversion"/>
  </si>
  <si>
    <t>799B</t>
    <phoneticPr fontId="12" type="noConversion"/>
  </si>
  <si>
    <t>799C</t>
    <phoneticPr fontId="12" type="noConversion"/>
  </si>
  <si>
    <t>799D</t>
    <phoneticPr fontId="12" type="noConversion"/>
  </si>
  <si>
    <t>PN4012NL</t>
    <phoneticPr fontId="12" type="noConversion"/>
  </si>
  <si>
    <t>A4012_FPN</t>
    <phoneticPr fontId="12" type="noConversion"/>
  </si>
  <si>
    <t>116A</t>
    <phoneticPr fontId="12" type="noConversion"/>
  </si>
  <si>
    <t>A5919_KPNL</t>
    <phoneticPr fontId="12" type="noConversion"/>
  </si>
  <si>
    <t>A5919N_KPNL</t>
    <phoneticPr fontId="12" type="noConversion"/>
  </si>
  <si>
    <t>A5919_KPNL_TH</t>
    <phoneticPr fontId="12" type="noConversion"/>
  </si>
  <si>
    <t>887C</t>
    <phoneticPr fontId="12" type="noConversion"/>
  </si>
  <si>
    <t>A5919_KPNL_WW</t>
    <phoneticPr fontId="12" type="noConversion"/>
  </si>
  <si>
    <t>887D</t>
    <phoneticPr fontId="12" type="noConversion"/>
  </si>
  <si>
    <t>A5919_KPNL_WW(W)</t>
    <phoneticPr fontId="12" type="noConversion"/>
  </si>
  <si>
    <t>887E</t>
    <phoneticPr fontId="12" type="noConversion"/>
  </si>
  <si>
    <t>A5919_KPNL(W)</t>
    <phoneticPr fontId="12" type="noConversion"/>
  </si>
  <si>
    <t>887F</t>
    <phoneticPr fontId="12" type="noConversion"/>
  </si>
  <si>
    <t>A5919N_KPNL_ITE</t>
    <phoneticPr fontId="12" type="noConversion"/>
  </si>
  <si>
    <t>887G</t>
    <phoneticPr fontId="12" type="noConversion"/>
  </si>
  <si>
    <t>POE</t>
    <phoneticPr fontId="12" type="noConversion"/>
  </si>
  <si>
    <t>P3014P_FPN</t>
    <phoneticPr fontId="12" type="noConversion"/>
  </si>
  <si>
    <t>850A</t>
    <phoneticPr fontId="12" type="noConversion"/>
  </si>
  <si>
    <t>기타</t>
    <phoneticPr fontId="12" type="noConversion"/>
  </si>
  <si>
    <t>PN3012AL</t>
    <phoneticPr fontId="12" type="noConversion"/>
  </si>
  <si>
    <t>013A</t>
    <phoneticPr fontId="12" type="noConversion"/>
  </si>
  <si>
    <t>PWL2204STCCM(K)</t>
    <phoneticPr fontId="12" type="noConversion"/>
  </si>
  <si>
    <t>232F</t>
    <phoneticPr fontId="12" type="noConversion"/>
  </si>
  <si>
    <t>W4(PN005STCA(N))</t>
    <phoneticPr fontId="12" type="noConversion"/>
  </si>
  <si>
    <t>PN020HTCA-9020V</t>
    <phoneticPr fontId="12" type="noConversion"/>
  </si>
  <si>
    <t>PN020HTCA-HCP6320(INDOOR)</t>
    <phoneticPr fontId="12" type="noConversion"/>
  </si>
  <si>
    <t>2745A</t>
    <phoneticPr fontId="12" type="noConversion"/>
  </si>
  <si>
    <t>2746A</t>
    <phoneticPr fontId="12" type="noConversion"/>
  </si>
  <si>
    <t>PN020STCA-NWF(A)</t>
    <phoneticPr fontId="12" type="noConversion"/>
  </si>
  <si>
    <t>APN-1105EBWW</t>
    <phoneticPr fontId="12" type="noConversion"/>
  </si>
  <si>
    <t>PN026BWJ-S1200</t>
    <phoneticPr fontId="12" type="noConversion"/>
  </si>
  <si>
    <t>PN026BWJ-S1400</t>
    <phoneticPr fontId="12" type="noConversion"/>
  </si>
  <si>
    <t>PN026BWJ-VF(A)</t>
    <phoneticPr fontId="12" type="noConversion"/>
  </si>
  <si>
    <t>PN038BWJ-VF</t>
    <phoneticPr fontId="12" type="noConversion"/>
  </si>
  <si>
    <t>PN007MWJ-V2</t>
    <phoneticPr fontId="12" type="noConversion"/>
  </si>
  <si>
    <t>PN007MWJ-V4</t>
    <phoneticPr fontId="12" type="noConversion"/>
  </si>
  <si>
    <t>청정기</t>
    <phoneticPr fontId="12" type="noConversion"/>
  </si>
  <si>
    <t>정수기</t>
    <phoneticPr fontId="12" type="noConversion"/>
  </si>
  <si>
    <t>1200mm, 3K</t>
    <phoneticPr fontId="12" type="noConversion"/>
  </si>
  <si>
    <t>OKI</t>
    <phoneticPr fontId="12" type="noConversion"/>
  </si>
  <si>
    <t>PN020POK-V2</t>
    <phoneticPr fontId="12" type="noConversion"/>
  </si>
  <si>
    <t>PN086POK-V1</t>
    <phoneticPr fontId="12" type="noConversion"/>
  </si>
  <si>
    <t>PN086POK-V2(A)</t>
    <phoneticPr fontId="12" type="noConversion"/>
  </si>
  <si>
    <t>PN086POK-V2(C)</t>
    <phoneticPr fontId="12" type="noConversion"/>
  </si>
  <si>
    <t>기타(관세, 환차 외)</t>
    <phoneticPr fontId="12" type="noConversion"/>
  </si>
  <si>
    <t>USD</t>
  </si>
  <si>
    <t>KRW</t>
  </si>
  <si>
    <t>1Q</t>
    <phoneticPr fontId="3" type="noConversion"/>
  </si>
  <si>
    <t>2Q</t>
    <phoneticPr fontId="3" type="noConversion"/>
  </si>
  <si>
    <t>3Q</t>
    <phoneticPr fontId="3" type="noConversion"/>
  </si>
  <si>
    <t>4Q</t>
    <phoneticPr fontId="3" type="noConversion"/>
  </si>
  <si>
    <t>단가</t>
    <phoneticPr fontId="3" type="noConversion"/>
  </si>
  <si>
    <t>PN002SHA(A)</t>
    <phoneticPr fontId="12" type="noConversion"/>
  </si>
  <si>
    <t>1375A</t>
    <phoneticPr fontId="12" type="noConversion"/>
  </si>
  <si>
    <t>PN003SHA(A)</t>
    <phoneticPr fontId="12" type="noConversion"/>
  </si>
  <si>
    <t>3190A</t>
    <phoneticPr fontId="12" type="noConversion"/>
  </si>
  <si>
    <t>A4012_FPNDA</t>
    <phoneticPr fontId="12" type="noConversion"/>
  </si>
  <si>
    <t>0009A</t>
    <phoneticPr fontId="12" type="noConversion"/>
  </si>
  <si>
    <t>1분기</t>
    <phoneticPr fontId="12" type="noConversion"/>
  </si>
  <si>
    <t>4월</t>
    <phoneticPr fontId="12" type="noConversion"/>
  </si>
  <si>
    <t>5월</t>
    <phoneticPr fontId="12" type="noConversion"/>
  </si>
  <si>
    <t>6월</t>
    <phoneticPr fontId="12" type="noConversion"/>
  </si>
  <si>
    <t>2분기</t>
    <phoneticPr fontId="12" type="noConversion"/>
  </si>
  <si>
    <t>상반기</t>
    <phoneticPr fontId="12" type="noConversion"/>
  </si>
  <si>
    <t>7월</t>
    <phoneticPr fontId="12" type="noConversion"/>
  </si>
  <si>
    <t>8월</t>
    <phoneticPr fontId="12" type="noConversion"/>
  </si>
  <si>
    <t>3분기</t>
    <phoneticPr fontId="12" type="noConversion"/>
  </si>
  <si>
    <t>11월</t>
    <phoneticPr fontId="12" type="noConversion"/>
  </si>
  <si>
    <t>12월</t>
    <phoneticPr fontId="12" type="noConversion"/>
  </si>
  <si>
    <t>4분기</t>
    <phoneticPr fontId="12" type="noConversion"/>
  </si>
  <si>
    <t>하반기</t>
    <phoneticPr fontId="12" type="noConversion"/>
  </si>
  <si>
    <t>PLF020-D33</t>
    <phoneticPr fontId="12" type="noConversion"/>
  </si>
  <si>
    <t>746F</t>
    <phoneticPr fontId="12" type="noConversion"/>
  </si>
  <si>
    <t>L23S0DSR_MPN</t>
    <phoneticPr fontId="12" type="noConversion"/>
  </si>
  <si>
    <t>887H</t>
    <phoneticPr fontId="12" type="noConversion"/>
  </si>
  <si>
    <t>A5919_KPNL_AR</t>
    <phoneticPr fontId="12" type="noConversion"/>
  </si>
  <si>
    <t>339B</t>
    <phoneticPr fontId="12" type="noConversion"/>
  </si>
  <si>
    <t>V220SN_MPN</t>
    <phoneticPr fontId="12" type="noConversion"/>
  </si>
  <si>
    <t>844D</t>
    <phoneticPr fontId="12" type="noConversion"/>
  </si>
  <si>
    <t>P32SF_MPN</t>
    <phoneticPr fontId="12" type="noConversion"/>
  </si>
  <si>
    <t>PLF020-D44</t>
    <phoneticPr fontId="12" type="noConversion"/>
  </si>
  <si>
    <t>PLL024-P12(A)</t>
    <phoneticPr fontId="12" type="noConversion"/>
  </si>
  <si>
    <t>PLL024-P15(A)</t>
    <phoneticPr fontId="12" type="noConversion"/>
  </si>
  <si>
    <t>PN026BWJ-S1400(A)</t>
    <phoneticPr fontId="12" type="noConversion"/>
  </si>
  <si>
    <t>827B</t>
    <phoneticPr fontId="12" type="noConversion"/>
  </si>
  <si>
    <t>887A</t>
    <phoneticPr fontId="12" type="noConversion"/>
  </si>
  <si>
    <t>887B</t>
    <phoneticPr fontId="12" type="noConversion"/>
  </si>
  <si>
    <t>소   계</t>
    <phoneticPr fontId="12" type="noConversion"/>
  </si>
  <si>
    <t>869A</t>
    <phoneticPr fontId="12" type="noConversion"/>
  </si>
  <si>
    <t>869B</t>
    <phoneticPr fontId="12" type="noConversion"/>
  </si>
  <si>
    <t>870A</t>
    <phoneticPr fontId="12" type="noConversion"/>
  </si>
  <si>
    <t>공장등</t>
    <phoneticPr fontId="12" type="noConversion"/>
  </si>
  <si>
    <t>PLS013-P100-48</t>
    <phoneticPr fontId="12" type="noConversion"/>
  </si>
  <si>
    <t>PLS013-P120-48</t>
    <phoneticPr fontId="12" type="noConversion"/>
  </si>
  <si>
    <t>PLS013-P150-48</t>
    <phoneticPr fontId="12" type="noConversion"/>
  </si>
  <si>
    <t>PSPN2-TYPE3R Lite-V1</t>
  </si>
  <si>
    <t>222F</t>
  </si>
  <si>
    <t>PSPN2-TYPE3R Lite-V2</t>
  </si>
  <si>
    <t>223G</t>
  </si>
  <si>
    <t>832D</t>
    <phoneticPr fontId="12" type="noConversion"/>
  </si>
  <si>
    <t>A3514_FPNT</t>
    <phoneticPr fontId="12" type="noConversion"/>
  </si>
  <si>
    <t>PN003SHA(B)</t>
    <phoneticPr fontId="12" type="noConversion"/>
  </si>
  <si>
    <t>PN003SHA(C)</t>
    <phoneticPr fontId="12" type="noConversion"/>
  </si>
  <si>
    <t>PN003SHA(D)</t>
    <phoneticPr fontId="12" type="noConversion"/>
  </si>
  <si>
    <t>3190B</t>
    <phoneticPr fontId="12" type="noConversion"/>
  </si>
  <si>
    <t>3190C</t>
    <phoneticPr fontId="12" type="noConversion"/>
  </si>
  <si>
    <t>3190D</t>
    <phoneticPr fontId="12" type="noConversion"/>
  </si>
  <si>
    <t>PN033BWJ-VF</t>
    <phoneticPr fontId="12" type="noConversion"/>
  </si>
  <si>
    <t>PN053WWJ-VF(B)</t>
    <phoneticPr fontId="12" type="noConversion"/>
  </si>
  <si>
    <t>년계</t>
    <phoneticPr fontId="3" type="noConversion"/>
  </si>
  <si>
    <t>80W</t>
    <phoneticPr fontId="12" type="noConversion"/>
  </si>
  <si>
    <t>100W</t>
    <phoneticPr fontId="12" type="noConversion"/>
  </si>
  <si>
    <t>120W</t>
    <phoneticPr fontId="12" type="noConversion"/>
  </si>
  <si>
    <t>제조지</t>
    <phoneticPr fontId="12" type="noConversion"/>
  </si>
  <si>
    <t>QD</t>
  </si>
  <si>
    <t>SY</t>
  </si>
  <si>
    <t>SY</t>
    <phoneticPr fontId="12" type="noConversion"/>
  </si>
  <si>
    <t>SY</t>
    <phoneticPr fontId="12" type="noConversion"/>
  </si>
  <si>
    <t>QD</t>
    <phoneticPr fontId="12" type="noConversion"/>
  </si>
  <si>
    <t>SY</t>
    <phoneticPr fontId="12" type="noConversion"/>
  </si>
  <si>
    <t>SY</t>
    <phoneticPr fontId="12" type="noConversion"/>
  </si>
  <si>
    <t>기타</t>
    <phoneticPr fontId="12" type="noConversion"/>
  </si>
  <si>
    <t>SMPS</t>
    <phoneticPr fontId="12" type="noConversion"/>
  </si>
  <si>
    <t>1200mm, 5K</t>
    <phoneticPr fontId="12" type="noConversion"/>
  </si>
  <si>
    <t>580mm, 3K</t>
    <phoneticPr fontId="12" type="noConversion"/>
  </si>
  <si>
    <t>T08</t>
    <phoneticPr fontId="12" type="noConversion"/>
  </si>
  <si>
    <t>580mm, 5K</t>
    <phoneticPr fontId="12" type="noConversion"/>
  </si>
  <si>
    <t>PLN021-T0809150T4R-562</t>
    <phoneticPr fontId="12" type="noConversion"/>
  </si>
  <si>
    <t>T08</t>
    <phoneticPr fontId="12" type="noConversion"/>
  </si>
  <si>
    <t>1200mm, 4K</t>
    <phoneticPr fontId="12" type="noConversion"/>
  </si>
  <si>
    <t>T08</t>
    <phoneticPr fontId="12" type="noConversion"/>
  </si>
  <si>
    <t>1200mm, 5K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</si>
  <si>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</si>
  <si>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</si>
  <si>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</si>
  <si>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T09</t>
    <phoneticPr fontId="12" type="noConversion"/>
  </si>
  <si>
    <t>1200mm, 3.5K</t>
    <phoneticPr fontId="12" type="noConversion"/>
  </si>
  <si>
    <t>T09</t>
    <phoneticPr fontId="12" type="noConversion"/>
  </si>
  <si>
    <t>1200mm, 5K</t>
    <phoneticPr fontId="12" type="noConversion"/>
  </si>
  <si>
    <t>PLN021-T0917350N2R-562</t>
    <phoneticPr fontId="12" type="noConversion"/>
  </si>
  <si>
    <t>1200mm, 5K</t>
    <phoneticPr fontId="12" type="noConversion"/>
  </si>
  <si>
    <t>T09</t>
    <phoneticPr fontId="12" type="noConversion"/>
  </si>
  <si>
    <t>PLN021-T0912340N2R-562</t>
    <phoneticPr fontId="12" type="noConversion"/>
  </si>
  <si>
    <t>PLN021-T0912350N2R-562</t>
    <phoneticPr fontId="12" type="noConversion"/>
  </si>
  <si>
    <t>PLN021-T0912365N2R-562</t>
    <phoneticPr fontId="12" type="noConversion"/>
  </si>
  <si>
    <t>2400mm, 5K</t>
    <phoneticPr fontId="12" type="noConversion"/>
  </si>
  <si>
    <t>580mm, 5K</t>
    <phoneticPr fontId="12" type="noConversion"/>
  </si>
  <si>
    <t>PLN021-T1010150T4S-562</t>
    <phoneticPr fontId="12" type="noConversion"/>
  </si>
  <si>
    <t>T10</t>
    <phoneticPr fontId="12" type="noConversion"/>
  </si>
  <si>
    <t>630mm, 5K</t>
    <phoneticPr fontId="12" type="noConversion"/>
  </si>
  <si>
    <t>PLN021-T1010650T4S-562</t>
    <phoneticPr fontId="12" type="noConversion"/>
  </si>
  <si>
    <t>PLN021-T1010665T4S-562</t>
    <phoneticPr fontId="12" type="noConversion"/>
  </si>
  <si>
    <t>830mm, 5K</t>
    <phoneticPr fontId="12" type="noConversion"/>
  </si>
  <si>
    <t>PLN021-T1015750T4S-562</t>
    <phoneticPr fontId="12" type="noConversion"/>
  </si>
  <si>
    <t>PLN021-T1015765T4S-562</t>
    <phoneticPr fontId="12" type="noConversion"/>
  </si>
  <si>
    <t>1200mm, 6.5K</t>
    <phoneticPr fontId="12" type="noConversion"/>
  </si>
  <si>
    <t>PLN021-T1038450T2C-562</t>
    <phoneticPr fontId="12" type="noConversion"/>
  </si>
  <si>
    <t>T09</t>
    <phoneticPr fontId="12" type="noConversion"/>
  </si>
  <si>
    <t>P230NQ_NPN</t>
  </si>
  <si>
    <t>934A</t>
    <phoneticPr fontId="12" type="noConversion"/>
  </si>
  <si>
    <t>P270NQ_NPN</t>
    <phoneticPr fontId="12" type="noConversion"/>
  </si>
  <si>
    <t>933A</t>
    <phoneticPr fontId="12" type="noConversion"/>
  </si>
  <si>
    <t>SY</t>
    <phoneticPr fontId="12" type="noConversion"/>
  </si>
  <si>
    <t>870B</t>
    <phoneticPr fontId="12" type="noConversion"/>
  </si>
  <si>
    <t>L32E1NR_KPN</t>
    <phoneticPr fontId="12" type="noConversion"/>
  </si>
  <si>
    <t>PN085SHA-VF</t>
    <phoneticPr fontId="12" type="noConversion"/>
  </si>
  <si>
    <t>0795B</t>
    <phoneticPr fontId="12" type="noConversion"/>
  </si>
  <si>
    <t>SY</t>
    <phoneticPr fontId="12" type="noConversion"/>
  </si>
  <si>
    <t>PLL035-D14A</t>
  </si>
  <si>
    <t>PLL029-D09A</t>
    <phoneticPr fontId="12" type="noConversion"/>
  </si>
  <si>
    <t>9월</t>
    <phoneticPr fontId="12" type="noConversion"/>
  </si>
  <si>
    <t>수량</t>
    <phoneticPr fontId="3" type="noConversion"/>
  </si>
  <si>
    <t>금액</t>
    <phoneticPr fontId="3" type="noConversion"/>
  </si>
  <si>
    <t>SMPS</t>
    <phoneticPr fontId="12" type="noConversion"/>
  </si>
  <si>
    <t>PLL031-P08</t>
  </si>
  <si>
    <t>PLL031-P12(A)</t>
  </si>
  <si>
    <t>PLL031-P13</t>
  </si>
  <si>
    <t>PLL031-P15(A)</t>
  </si>
  <si>
    <t>PLL031-P17</t>
  </si>
  <si>
    <t>PLL031-P18</t>
  </si>
  <si>
    <t>PLL038-P08</t>
  </si>
  <si>
    <t>928D</t>
  </si>
  <si>
    <t>928A</t>
  </si>
  <si>
    <t>794E</t>
  </si>
  <si>
    <t xml:space="preserve">SOCKET BASE </t>
    <phoneticPr fontId="12" type="noConversion"/>
  </si>
  <si>
    <t>SY</t>
    <phoneticPr fontId="12" type="noConversion"/>
  </si>
  <si>
    <t>BRACKET (80W)</t>
    <phoneticPr fontId="12" type="noConversion"/>
  </si>
  <si>
    <t>BRACKET (100W)</t>
    <phoneticPr fontId="12" type="noConversion"/>
  </si>
  <si>
    <t>CHAIN</t>
    <phoneticPr fontId="12" type="noConversion"/>
  </si>
  <si>
    <t xml:space="preserve">PENDANT </t>
    <phoneticPr fontId="12" type="noConversion"/>
  </si>
  <si>
    <t>SY</t>
    <phoneticPr fontId="12" type="noConversion"/>
  </si>
  <si>
    <t>120도</t>
    <phoneticPr fontId="12" type="noConversion"/>
  </si>
  <si>
    <t>PLN044-HB10150T412-563</t>
    <phoneticPr fontId="12" type="noConversion"/>
  </si>
  <si>
    <t>HVPS</t>
    <phoneticPr fontId="12" type="noConversion"/>
  </si>
  <si>
    <t>Printer</t>
    <phoneticPr fontId="12" type="noConversion"/>
  </si>
  <si>
    <t>PN015SPR-HV</t>
    <phoneticPr fontId="12" type="noConversion"/>
  </si>
  <si>
    <t>234A</t>
    <phoneticPr fontId="12" type="noConversion"/>
  </si>
  <si>
    <t>10월</t>
    <phoneticPr fontId="12" type="noConversion"/>
  </si>
  <si>
    <t>832E</t>
    <phoneticPr fontId="12" type="noConversion"/>
  </si>
  <si>
    <t>A3514_FPN  HF</t>
    <phoneticPr fontId="12" type="noConversion"/>
  </si>
  <si>
    <t>842D</t>
    <phoneticPr fontId="12" type="noConversion"/>
  </si>
  <si>
    <t>843D</t>
    <phoneticPr fontId="12" type="noConversion"/>
  </si>
  <si>
    <t>P2514Z_FPN  HF</t>
    <phoneticPr fontId="12" type="noConversion"/>
  </si>
  <si>
    <t>P3514Z_FPN  HF</t>
    <phoneticPr fontId="12" type="noConversion"/>
  </si>
  <si>
    <t>80도</t>
    <phoneticPr fontId="12" type="noConversion"/>
  </si>
  <si>
    <t>PLN044-HB10150T480-563</t>
    <phoneticPr fontId="12" type="noConversion"/>
  </si>
  <si>
    <t>80도</t>
    <phoneticPr fontId="12" type="noConversion"/>
  </si>
  <si>
    <t>PLN044-HB12150T480-563</t>
    <phoneticPr fontId="12" type="noConversion"/>
  </si>
  <si>
    <t>PN003SHA(E)</t>
    <phoneticPr fontId="12" type="noConversion"/>
  </si>
  <si>
    <t>3190E</t>
    <phoneticPr fontId="12" type="noConversion"/>
  </si>
  <si>
    <t>PN006SHA(A)</t>
    <phoneticPr fontId="12" type="noConversion"/>
  </si>
  <si>
    <t>PN006SHA(B)</t>
    <phoneticPr fontId="12" type="noConversion"/>
  </si>
  <si>
    <t>PN006SHA(C)</t>
    <phoneticPr fontId="12" type="noConversion"/>
  </si>
  <si>
    <t>4432A</t>
    <phoneticPr fontId="12" type="noConversion"/>
  </si>
  <si>
    <t>4432C</t>
    <phoneticPr fontId="12" type="noConversion"/>
  </si>
  <si>
    <t>4432B</t>
    <phoneticPr fontId="12" type="noConversion"/>
  </si>
  <si>
    <t>PLN021-T0916350N2R-563</t>
    <phoneticPr fontId="12" type="noConversion"/>
  </si>
  <si>
    <t>794G</t>
    <phoneticPr fontId="12" type="noConversion"/>
  </si>
  <si>
    <t>794H</t>
    <phoneticPr fontId="12" type="noConversion"/>
  </si>
  <si>
    <t>A10024_NPNT</t>
    <phoneticPr fontId="12" type="noConversion"/>
  </si>
  <si>
    <t>A10024_NPNF</t>
    <phoneticPr fontId="12" type="noConversion"/>
  </si>
  <si>
    <t>A5924_NPNF_WW</t>
    <phoneticPr fontId="12" type="noConversion"/>
  </si>
  <si>
    <t>A5924_NPNF</t>
    <phoneticPr fontId="12" type="noConversion"/>
  </si>
  <si>
    <t>A10024N_NPNT</t>
    <phoneticPr fontId="12" type="noConversion"/>
  </si>
  <si>
    <t>A6524_NPNL</t>
    <phoneticPr fontId="12" type="noConversion"/>
  </si>
  <si>
    <t>7772A</t>
    <phoneticPr fontId="12" type="noConversion"/>
  </si>
  <si>
    <t>PN110SHA-VF</t>
    <phoneticPr fontId="12" type="noConversion"/>
  </si>
  <si>
    <t>1064A</t>
    <phoneticPr fontId="12" type="noConversion"/>
  </si>
  <si>
    <t>237C</t>
    <phoneticPr fontId="12" type="noConversion"/>
  </si>
  <si>
    <t>PNK4350-R-HV</t>
    <phoneticPr fontId="12" type="noConversion"/>
  </si>
  <si>
    <t>2630A</t>
    <phoneticPr fontId="12" type="noConversion"/>
  </si>
  <si>
    <t>PN078AWJ-VF</t>
    <phoneticPr fontId="12" type="noConversion"/>
  </si>
  <si>
    <t>PLN044-HB08150T460-563</t>
    <phoneticPr fontId="12" type="noConversion"/>
  </si>
  <si>
    <t>60도</t>
    <phoneticPr fontId="12" type="noConversion"/>
  </si>
  <si>
    <t>PLN044-HB10150T460-563</t>
    <phoneticPr fontId="12" type="noConversion"/>
  </si>
  <si>
    <t>60도</t>
    <phoneticPr fontId="12" type="noConversion"/>
  </si>
  <si>
    <t>PLN044-HB12150T460-563</t>
    <phoneticPr fontId="12" type="noConversion"/>
  </si>
  <si>
    <t>PLN021-T0809165T4R-562</t>
    <phoneticPr fontId="12" type="noConversion"/>
  </si>
  <si>
    <t>PLN021-T0911350N2R-563</t>
    <phoneticPr fontId="12" type="noConversion"/>
  </si>
  <si>
    <t>PLN021-T0911365N2R-563</t>
    <phoneticPr fontId="12" type="noConversion"/>
  </si>
  <si>
    <t>1200mm, 5K</t>
    <phoneticPr fontId="12" type="noConversion"/>
  </si>
  <si>
    <t>1200mm, 6.5K</t>
    <phoneticPr fontId="12" type="noConversion"/>
  </si>
  <si>
    <t>1200mm, 3K</t>
    <phoneticPr fontId="12" type="noConversion"/>
  </si>
  <si>
    <t>1200mm, 3.5K</t>
    <phoneticPr fontId="12" type="noConversion"/>
  </si>
  <si>
    <t>1200mm, 4K</t>
    <phoneticPr fontId="12" type="noConversion"/>
  </si>
  <si>
    <t>PLN021-T0916365N2R-563</t>
    <phoneticPr fontId="12" type="noConversion"/>
  </si>
  <si>
    <t xml:space="preserve">T9 회전소켓 </t>
  </si>
  <si>
    <t>T9 R17D</t>
    <phoneticPr fontId="12" type="noConversion"/>
  </si>
  <si>
    <t>T10 일반</t>
    <phoneticPr fontId="12" type="noConversion"/>
  </si>
  <si>
    <t>2400mm, 3K</t>
    <phoneticPr fontId="12" type="noConversion"/>
  </si>
  <si>
    <t>2400mm, 4K</t>
    <phoneticPr fontId="12" type="noConversion"/>
  </si>
  <si>
    <t>630mm, 6.5K</t>
    <phoneticPr fontId="12" type="noConversion"/>
  </si>
  <si>
    <t>830mm, 6.5K</t>
    <phoneticPr fontId="12" type="noConversion"/>
  </si>
  <si>
    <t>PLN021-T1019350T4S-562</t>
    <phoneticPr fontId="12" type="noConversion"/>
  </si>
  <si>
    <t>공장등</t>
    <phoneticPr fontId="12" type="noConversion"/>
  </si>
  <si>
    <t>T8 회전소켓</t>
    <phoneticPr fontId="12" type="noConversion"/>
  </si>
  <si>
    <t>T8 R17D</t>
    <phoneticPr fontId="12" type="noConversion"/>
  </si>
  <si>
    <t>2400mm, 5K</t>
    <phoneticPr fontId="12" type="noConversion"/>
  </si>
  <si>
    <t>2400mm, 6.5K</t>
    <phoneticPr fontId="12" type="noConversion"/>
  </si>
  <si>
    <t>신도리코</t>
    <phoneticPr fontId="12" type="noConversion"/>
  </si>
  <si>
    <t>Printer</t>
    <phoneticPr fontId="12" type="noConversion"/>
  </si>
  <si>
    <t>Printer</t>
    <phoneticPr fontId="12" type="noConversion"/>
  </si>
  <si>
    <t>금액</t>
    <phoneticPr fontId="3" type="noConversion"/>
  </si>
  <si>
    <t>844E</t>
    <phoneticPr fontId="12" type="noConversion"/>
  </si>
  <si>
    <t>P32SFN_MPN</t>
    <phoneticPr fontId="12" type="noConversion"/>
  </si>
  <si>
    <t>PS30W-14J2</t>
    <phoneticPr fontId="12" type="noConversion"/>
  </si>
  <si>
    <t>566A</t>
    <phoneticPr fontId="12" type="noConversion"/>
  </si>
  <si>
    <t>794F</t>
    <phoneticPr fontId="12" type="noConversion"/>
  </si>
  <si>
    <t>A10024N_NPNF</t>
    <phoneticPr fontId="12" type="noConversion"/>
  </si>
  <si>
    <t>928B</t>
    <phoneticPr fontId="12" type="noConversion"/>
  </si>
  <si>
    <t>A5924N_NPNF</t>
    <phoneticPr fontId="12" type="noConversion"/>
  </si>
  <si>
    <t>PLN021-T0911340N2R-563</t>
    <phoneticPr fontId="12" type="noConversion"/>
  </si>
  <si>
    <t>1200mm, 4K</t>
    <phoneticPr fontId="12" type="noConversion"/>
  </si>
  <si>
    <t>PN1702CWM-600KR</t>
    <phoneticPr fontId="12" type="noConversion"/>
  </si>
  <si>
    <t>PN180WWJ-VF</t>
    <phoneticPr fontId="12" type="noConversion"/>
  </si>
  <si>
    <t>PN130ACW-VF</t>
    <phoneticPr fontId="12" type="noConversion"/>
  </si>
  <si>
    <t>PN080MCW-VF</t>
    <phoneticPr fontId="12" type="noConversion"/>
  </si>
  <si>
    <t>PLL019-D15-39M</t>
    <phoneticPr fontId="12" type="noConversion"/>
  </si>
  <si>
    <t>1200mm, 4K</t>
    <phoneticPr fontId="12" type="noConversion"/>
  </si>
  <si>
    <t>PLN044-HB08150T480-563</t>
    <phoneticPr fontId="12" type="noConversion"/>
  </si>
  <si>
    <t>PLN044-HB-B80</t>
    <phoneticPr fontId="12" type="noConversion"/>
  </si>
  <si>
    <t>PLN044-HB-B100</t>
    <phoneticPr fontId="12" type="noConversion"/>
  </si>
  <si>
    <t>PLN044-HB-P</t>
    <phoneticPr fontId="12" type="noConversion"/>
  </si>
  <si>
    <t>PLN044-HB-C</t>
    <phoneticPr fontId="12" type="noConversion"/>
  </si>
  <si>
    <t>PN105WCW-VF(A)</t>
    <phoneticPr fontId="12" type="noConversion"/>
  </si>
  <si>
    <t>339C</t>
    <phoneticPr fontId="12" type="noConversion"/>
  </si>
  <si>
    <t>V220S_MPN</t>
    <phoneticPr fontId="12" type="noConversion"/>
  </si>
  <si>
    <t>934B</t>
    <phoneticPr fontId="12" type="noConversion"/>
  </si>
  <si>
    <t>P270NQB_NPN</t>
    <phoneticPr fontId="12" type="noConversion"/>
  </si>
  <si>
    <t>PLF045-D30</t>
    <phoneticPr fontId="12" type="noConversion"/>
  </si>
  <si>
    <t>PLF045-D40</t>
    <phoneticPr fontId="12" type="noConversion"/>
  </si>
  <si>
    <t>Base Light</t>
  </si>
  <si>
    <t>PN037WCW-RY(A)</t>
    <phoneticPr fontId="12" type="noConversion"/>
  </si>
  <si>
    <t>PN037WCW-VF(A)</t>
    <phoneticPr fontId="12" type="noConversion"/>
  </si>
  <si>
    <t>PN048WWJ-VF(A)</t>
    <phoneticPr fontId="12" type="noConversion"/>
  </si>
  <si>
    <t>PN048WWJ-VF(B)</t>
    <phoneticPr fontId="12" type="noConversion"/>
  </si>
  <si>
    <t>L32S0XN_EPN</t>
    <phoneticPr fontId="12" type="noConversion"/>
  </si>
  <si>
    <t>750B</t>
    <phoneticPr fontId="12" type="noConversion"/>
  </si>
  <si>
    <t>V220SN_MPN_VE</t>
    <phoneticPr fontId="12" type="noConversion"/>
  </si>
  <si>
    <t>339D</t>
    <phoneticPr fontId="12" type="noConversion"/>
  </si>
  <si>
    <t>3190F</t>
    <phoneticPr fontId="12" type="noConversion"/>
  </si>
  <si>
    <t>PN003SHA(F)</t>
    <phoneticPr fontId="12" type="noConversion"/>
  </si>
  <si>
    <t>HP 프린팅</t>
    <phoneticPr fontId="12" type="noConversion"/>
  </si>
  <si>
    <t>PN048HTCA-9320VQP</t>
    <phoneticPr fontId="12" type="noConversion"/>
  </si>
  <si>
    <t>PN045WCW-FILTER</t>
    <phoneticPr fontId="12" type="noConversion"/>
  </si>
  <si>
    <t>PN120MWJ-VF(A)</t>
    <phoneticPr fontId="12" type="noConversion"/>
  </si>
  <si>
    <t>PLF020-D25</t>
    <phoneticPr fontId="12" type="noConversion"/>
  </si>
  <si>
    <t>PLF027-D13</t>
    <phoneticPr fontId="12" type="noConversion"/>
  </si>
  <si>
    <t>1200mm, 3K</t>
    <phoneticPr fontId="12" type="noConversion"/>
  </si>
  <si>
    <t>1200mm, 5K</t>
    <phoneticPr fontId="12" type="noConversion"/>
  </si>
  <si>
    <t>PLN021-T0813350T4R-563</t>
    <phoneticPr fontId="12" type="noConversion"/>
  </si>
  <si>
    <t>PLN021-T0912330N2R-562</t>
    <phoneticPr fontId="12" type="noConversion"/>
  </si>
  <si>
    <t>PLN021-T0916340N2R-563</t>
    <phoneticPr fontId="12" type="noConversion"/>
  </si>
  <si>
    <t>PLN044-HB-S</t>
    <phoneticPr fontId="12" type="noConversion"/>
  </si>
  <si>
    <t>PLF027-D17</t>
    <phoneticPr fontId="12" type="noConversion"/>
  </si>
  <si>
    <t>588mm, 高</t>
    <phoneticPr fontId="12" type="noConversion"/>
  </si>
  <si>
    <t>588mm, 50K</t>
    <phoneticPr fontId="12" type="noConversion"/>
  </si>
  <si>
    <t>1200mm, 高</t>
    <phoneticPr fontId="12" type="noConversion"/>
  </si>
  <si>
    <t>1200mm, 3.5K</t>
    <phoneticPr fontId="12" type="noConversion"/>
  </si>
  <si>
    <t>PN039BCW-VF</t>
    <phoneticPr fontId="12" type="noConversion"/>
  </si>
  <si>
    <t>PN052MWJ-VF(C)</t>
    <phoneticPr fontId="12" type="noConversion"/>
  </si>
  <si>
    <t>PN054ACW-LED</t>
    <phoneticPr fontId="12" type="noConversion"/>
  </si>
  <si>
    <t>PN054ACW-LKEY</t>
    <phoneticPr fontId="12" type="noConversion"/>
  </si>
  <si>
    <t>PN054ACW-LMAIN</t>
    <phoneticPr fontId="12" type="noConversion"/>
  </si>
  <si>
    <t>PN1703CWM-600JP</t>
    <phoneticPr fontId="12" type="noConversion"/>
  </si>
  <si>
    <t>TV/MFM</t>
  </si>
  <si>
    <t>LFD</t>
  </si>
  <si>
    <t>TV</t>
  </si>
  <si>
    <t>TV</t>
    <phoneticPr fontId="12" type="noConversion"/>
  </si>
  <si>
    <t>MNT</t>
    <phoneticPr fontId="12" type="noConversion"/>
  </si>
  <si>
    <t>MNT</t>
    <phoneticPr fontId="12" type="noConversion"/>
  </si>
  <si>
    <t>STB</t>
  </si>
  <si>
    <t>직관 내장</t>
    <phoneticPr fontId="12" type="noConversion"/>
  </si>
  <si>
    <t>PN054ACW-HKEY</t>
    <phoneticPr fontId="12" type="noConversion"/>
  </si>
  <si>
    <t>PN054ACW-LMAIN(A)</t>
    <phoneticPr fontId="12" type="noConversion"/>
  </si>
  <si>
    <t>PN054ACW-HMAIN(A)</t>
    <phoneticPr fontId="12" type="noConversion"/>
  </si>
  <si>
    <t>PN054ACW-HMAIN</t>
    <phoneticPr fontId="12" type="noConversion"/>
  </si>
  <si>
    <t>PN120MWJ-VF(B)</t>
    <phoneticPr fontId="12" type="noConversion"/>
  </si>
  <si>
    <t>PN120MWJ-VF(C)</t>
    <phoneticPr fontId="12" type="noConversion"/>
  </si>
  <si>
    <t>PLN021-T0835450T2C-563</t>
    <phoneticPr fontId="12" type="noConversion"/>
  </si>
  <si>
    <t>588mm, 3K</t>
    <phoneticPr fontId="12" type="noConversion"/>
  </si>
  <si>
    <t>588mm, 5K</t>
    <phoneticPr fontId="12" type="noConversion"/>
  </si>
  <si>
    <t>990A</t>
    <phoneticPr fontId="12" type="noConversion"/>
  </si>
  <si>
    <t>A3514_RPN</t>
    <phoneticPr fontId="12" type="noConversion"/>
  </si>
  <si>
    <t>PN007SHA(A)</t>
    <phoneticPr fontId="12" type="noConversion"/>
  </si>
  <si>
    <t>4704A</t>
    <phoneticPr fontId="12" type="noConversion"/>
  </si>
  <si>
    <t>Printer</t>
    <phoneticPr fontId="12" type="noConversion"/>
  </si>
  <si>
    <t>A2514_RPN</t>
    <phoneticPr fontId="12" type="noConversion"/>
  </si>
  <si>
    <t>989A</t>
    <phoneticPr fontId="12" type="noConversion"/>
  </si>
  <si>
    <t>PN005SHA(A)</t>
    <phoneticPr fontId="12" type="noConversion"/>
  </si>
  <si>
    <t>4695A</t>
    <phoneticPr fontId="12" type="noConversion"/>
  </si>
  <si>
    <t>PN053WWJ-VF(C)</t>
    <phoneticPr fontId="12" type="noConversion"/>
  </si>
  <si>
    <t>PN005MWJ-VF(A)</t>
    <phoneticPr fontId="12" type="noConversion"/>
  </si>
  <si>
    <t>PN054ACW-JAGUAR</t>
    <phoneticPr fontId="12" type="noConversion"/>
  </si>
  <si>
    <t>PN019AWJ-V2</t>
    <phoneticPr fontId="12" type="noConversion"/>
  </si>
  <si>
    <t>PLL019-D19-48</t>
    <phoneticPr fontId="12" type="noConversion"/>
  </si>
  <si>
    <t>PLL019-D19-48M</t>
    <phoneticPr fontId="12" type="noConversion"/>
  </si>
  <si>
    <t>PLL029-D09</t>
    <phoneticPr fontId="12" type="noConversion"/>
  </si>
  <si>
    <t>PLL035-D14-37M</t>
    <phoneticPr fontId="12" type="noConversion"/>
  </si>
  <si>
    <t>PLF045-D27</t>
    <phoneticPr fontId="12" type="noConversion"/>
  </si>
  <si>
    <t>PLS013-P80-48</t>
    <phoneticPr fontId="12" type="noConversion"/>
  </si>
  <si>
    <t>PLN021-T0838430T2C-562</t>
    <phoneticPr fontId="12" type="noConversion"/>
  </si>
  <si>
    <t>PLN021-T0838450T2C-562</t>
    <phoneticPr fontId="12" type="noConversion"/>
  </si>
  <si>
    <t>PLN021-T0838465T2C-562</t>
    <phoneticPr fontId="12" type="noConversion"/>
  </si>
  <si>
    <t>PLN021-T0809130T4R-562</t>
    <phoneticPr fontId="12" type="noConversion"/>
  </si>
  <si>
    <t>PLN021-T0809140T4R-563</t>
    <phoneticPr fontId="12" type="noConversion"/>
  </si>
  <si>
    <t>PLN021-T0813330T4R-563</t>
    <phoneticPr fontId="12" type="noConversion"/>
  </si>
  <si>
    <t>PLN021-T0813340T4R-563</t>
    <phoneticPr fontId="12" type="noConversion"/>
  </si>
  <si>
    <t>PLN021-T0815330T4R-562</t>
    <phoneticPr fontId="12" type="noConversion"/>
  </si>
  <si>
    <t>PLN021-T0815340T4R-562</t>
    <phoneticPr fontId="12" type="noConversion"/>
  </si>
  <si>
    <t>PLN021-T0815350T4R-562</t>
    <phoneticPr fontId="12" type="noConversion"/>
  </si>
  <si>
    <t>PLN021-T0815365T4R-562</t>
    <phoneticPr fontId="12" type="noConversion"/>
  </si>
  <si>
    <t>PLN021-T0925430N2C-562</t>
    <phoneticPr fontId="12" type="noConversion"/>
  </si>
  <si>
    <t>PLN021-T0925440N2C-562</t>
    <phoneticPr fontId="12" type="noConversion"/>
  </si>
  <si>
    <t>PLN021-T0925450N2C-562</t>
    <phoneticPr fontId="12" type="noConversion"/>
  </si>
  <si>
    <t>PLN021-T0917330N2R-562</t>
    <phoneticPr fontId="12" type="noConversion"/>
  </si>
  <si>
    <t>PLN021-T0917335N2R-562</t>
    <phoneticPr fontId="12" type="noConversion"/>
  </si>
  <si>
    <t>PLN021-T0917340N2R-562</t>
    <phoneticPr fontId="12" type="noConversion"/>
  </si>
  <si>
    <t>PLN021-T0907150N2R-563</t>
    <phoneticPr fontId="12" type="noConversion"/>
  </si>
  <si>
    <t>PLN021-T0916330N2R-563</t>
    <phoneticPr fontId="12" type="noConversion"/>
  </si>
  <si>
    <t>PLN021-T0912335N2R-562</t>
    <phoneticPr fontId="12" type="noConversion"/>
  </si>
  <si>
    <t>PLN021-T0916330N2R-562</t>
    <phoneticPr fontId="12" type="noConversion"/>
  </si>
  <si>
    <t>PLN021-T0916335N2R-563</t>
    <phoneticPr fontId="12" type="noConversion"/>
  </si>
  <si>
    <t>PLN044-HB08150T412-563</t>
    <phoneticPr fontId="12" type="noConversion"/>
  </si>
  <si>
    <t>PLN044-HB12150T412-563</t>
    <phoneticPr fontId="12" type="noConversion"/>
  </si>
  <si>
    <t>SDH-SDPW2(SDH-SDPW1)</t>
    <phoneticPr fontId="12" type="noConversion"/>
  </si>
  <si>
    <t>신재생에너지</t>
    <phoneticPr fontId="12" type="noConversion"/>
  </si>
  <si>
    <t>태양광</t>
    <phoneticPr fontId="12" type="noConversion"/>
  </si>
  <si>
    <t>300W</t>
  </si>
  <si>
    <t>3KW</t>
  </si>
  <si>
    <t>PIP101-3K</t>
  </si>
  <si>
    <t>10KW</t>
  </si>
  <si>
    <t>PIP301-10K</t>
  </si>
  <si>
    <t>PN006SHA(D)</t>
    <phoneticPr fontId="12" type="noConversion"/>
  </si>
  <si>
    <t>4432D</t>
    <phoneticPr fontId="12" type="noConversion"/>
  </si>
  <si>
    <t>4735A</t>
    <phoneticPr fontId="12" type="noConversion"/>
  </si>
  <si>
    <t>PN008SHA(A)</t>
    <phoneticPr fontId="12" type="noConversion"/>
  </si>
  <si>
    <t>KINGBIRD-V1 N</t>
  </si>
  <si>
    <t>207D</t>
  </si>
  <si>
    <t>KINGBIRD-V2 N</t>
  </si>
  <si>
    <t>206D</t>
  </si>
  <si>
    <t>1200mm, 3K</t>
    <phoneticPr fontId="12" type="noConversion"/>
  </si>
  <si>
    <t>PLN021-T0813365T4R-563</t>
    <phoneticPr fontId="12" type="noConversion"/>
  </si>
  <si>
    <t>1200mm, 6.5K</t>
    <phoneticPr fontId="12" type="noConversion"/>
  </si>
  <si>
    <t>2400mm, 6.5K</t>
    <phoneticPr fontId="12" type="noConversion"/>
  </si>
  <si>
    <t>PN054ACW-HMAIN(TW)</t>
    <phoneticPr fontId="12" type="noConversion"/>
  </si>
  <si>
    <t>PN054ACW-JAGUAR(A)</t>
    <phoneticPr fontId="12" type="noConversion"/>
  </si>
  <si>
    <t>HKC</t>
    <phoneticPr fontId="12" type="noConversion"/>
  </si>
  <si>
    <t>A3514_FPN(VE)</t>
  </si>
  <si>
    <t>800C</t>
  </si>
  <si>
    <t>동아</t>
    <phoneticPr fontId="12" type="noConversion"/>
  </si>
  <si>
    <t>SMPS</t>
    <phoneticPr fontId="12" type="noConversion"/>
  </si>
  <si>
    <t>AV</t>
    <phoneticPr fontId="12" type="noConversion"/>
  </si>
  <si>
    <t>V200SR_EPN V</t>
  </si>
  <si>
    <t>323D</t>
  </si>
  <si>
    <t>V200SRN_EPN V</t>
  </si>
  <si>
    <t>323E</t>
  </si>
  <si>
    <t>799B</t>
  </si>
  <si>
    <t>범진</t>
    <phoneticPr fontId="12" type="noConversion"/>
  </si>
  <si>
    <t>323C</t>
    <phoneticPr fontId="12" type="noConversion"/>
  </si>
  <si>
    <t>323D</t>
    <phoneticPr fontId="12" type="noConversion"/>
  </si>
  <si>
    <t>323E</t>
    <phoneticPr fontId="12" type="noConversion"/>
  </si>
  <si>
    <t>P64QF_EPN</t>
  </si>
  <si>
    <t>690A</t>
  </si>
  <si>
    <t>L32S0Z_EPN</t>
  </si>
  <si>
    <t>786A</t>
  </si>
  <si>
    <t>A3514N_RPN</t>
    <phoneticPr fontId="12" type="noConversion"/>
  </si>
  <si>
    <t>990B</t>
    <phoneticPr fontId="12" type="noConversion"/>
  </si>
  <si>
    <t>PN052MWJ-VF(D)</t>
    <phoneticPr fontId="12" type="noConversion"/>
  </si>
  <si>
    <t>PN054ACW-HMAIN(CEE)</t>
    <phoneticPr fontId="12" type="noConversion"/>
  </si>
  <si>
    <t>PN054ACW-LKEY(A)</t>
    <phoneticPr fontId="12" type="noConversion"/>
  </si>
  <si>
    <t>PN054ACW-LMAIN(B)</t>
    <phoneticPr fontId="12" type="noConversion"/>
  </si>
  <si>
    <t>PN054ACW-LMAIN(CEE)</t>
    <phoneticPr fontId="12" type="noConversion"/>
  </si>
  <si>
    <t>989A</t>
  </si>
  <si>
    <t>989B</t>
  </si>
  <si>
    <t>말타니</t>
    <phoneticPr fontId="12" type="noConversion"/>
  </si>
  <si>
    <t>에어컨</t>
  </si>
  <si>
    <t>A4012_FPNDA</t>
  </si>
  <si>
    <t>0009A</t>
  </si>
  <si>
    <t>A4012_MT</t>
    <phoneticPr fontId="12" type="noConversion"/>
  </si>
  <si>
    <t>400W</t>
  </si>
  <si>
    <t>3.6KW</t>
  </si>
  <si>
    <t>PIP104-3K6</t>
  </si>
  <si>
    <t>V100LN_DPN2</t>
    <phoneticPr fontId="12" type="noConversion"/>
  </si>
  <si>
    <t>L46SF_DPN</t>
  </si>
  <si>
    <t>610B</t>
  </si>
  <si>
    <t>PN011MWJ-VF</t>
    <phoneticPr fontId="12" type="noConversion"/>
  </si>
  <si>
    <t>PN011MWJ-VF(A)</t>
    <phoneticPr fontId="12" type="noConversion"/>
  </si>
  <si>
    <t>PN020ACW-V2</t>
    <phoneticPr fontId="12" type="noConversion"/>
  </si>
  <si>
    <t>PN036MWJ-VF(A)</t>
    <phoneticPr fontId="12" type="noConversion"/>
  </si>
  <si>
    <t>PN054ACW-HMAIN(HK)</t>
    <phoneticPr fontId="12" type="noConversion"/>
  </si>
  <si>
    <t>PN054ACW-LMAIN(DACH)</t>
    <phoneticPr fontId="12" type="noConversion"/>
  </si>
  <si>
    <t>PN1702CWM-500WIFI</t>
    <phoneticPr fontId="12" type="noConversion"/>
  </si>
  <si>
    <t>990A</t>
    <phoneticPr fontId="12" type="noConversion"/>
  </si>
  <si>
    <t>1200mm, 5K</t>
    <phoneticPr fontId="12" type="noConversion"/>
  </si>
  <si>
    <t>PN045WCW-FILTER(A)</t>
    <phoneticPr fontId="12" type="noConversion"/>
  </si>
  <si>
    <t>V70D_DPN(E)</t>
    <phoneticPr fontId="12" type="noConversion"/>
  </si>
  <si>
    <t>297C</t>
    <phoneticPr fontId="12" type="noConversion"/>
  </si>
  <si>
    <t>V170LN_FPN</t>
  </si>
  <si>
    <t>325B</t>
    <phoneticPr fontId="12" type="noConversion"/>
  </si>
  <si>
    <t>101B</t>
    <phoneticPr fontId="12" type="noConversion"/>
  </si>
  <si>
    <t>PN3012NL</t>
  </si>
  <si>
    <t>PLF027-D22</t>
    <phoneticPr fontId="12" type="noConversion"/>
  </si>
  <si>
    <t>PN021BWJ-VF(A)</t>
    <phoneticPr fontId="12" type="noConversion"/>
  </si>
  <si>
    <t>PN021BWJ-VF(B)</t>
    <phoneticPr fontId="12" type="noConversion"/>
  </si>
  <si>
    <t>A2514N_RPN</t>
    <phoneticPr fontId="12" type="noConversion"/>
  </si>
  <si>
    <t>989B</t>
    <phoneticPr fontId="12" type="noConversion"/>
  </si>
  <si>
    <t>PN045WCW-VDC(B)</t>
    <phoneticPr fontId="12" type="noConversion"/>
  </si>
  <si>
    <t>PN053WWJ-VF(D)</t>
    <phoneticPr fontId="12" type="noConversion"/>
  </si>
  <si>
    <t>1200mm, 3.5K</t>
    <phoneticPr fontId="12" type="noConversion"/>
  </si>
  <si>
    <t>PLN021-T0813335T4R-563</t>
    <phoneticPr fontId="12" type="noConversion"/>
  </si>
  <si>
    <t>1200mm, 3.5K</t>
    <phoneticPr fontId="12" type="noConversion"/>
  </si>
  <si>
    <t>PLN021-T0911335N2R-563</t>
    <phoneticPr fontId="12" type="noConversion"/>
  </si>
  <si>
    <t>PN020ACW-V2(A)</t>
    <phoneticPr fontId="12" type="noConversion"/>
  </si>
  <si>
    <t>A1514_EPN2</t>
    <phoneticPr fontId="12" type="noConversion"/>
  </si>
  <si>
    <t>590D</t>
    <phoneticPr fontId="12" type="noConversion"/>
  </si>
  <si>
    <t>PN002SHA(B)</t>
    <phoneticPr fontId="12" type="noConversion"/>
  </si>
  <si>
    <t>1375B</t>
    <phoneticPr fontId="12" type="noConversion"/>
  </si>
  <si>
    <t>PN3012NL-KT</t>
    <phoneticPr fontId="12" type="noConversion"/>
  </si>
  <si>
    <t>101J</t>
    <phoneticPr fontId="12" type="noConversion"/>
  </si>
  <si>
    <t>PN24E-12J10L</t>
    <phoneticPr fontId="12" type="noConversion"/>
  </si>
  <si>
    <t>110A</t>
    <phoneticPr fontId="12" type="noConversion"/>
  </si>
  <si>
    <t>SMPS</t>
    <phoneticPr fontId="3" type="noConversion"/>
  </si>
  <si>
    <t>Adapt</t>
    <phoneticPr fontId="3" type="noConversion"/>
  </si>
  <si>
    <t>거래선계</t>
    <phoneticPr fontId="3" type="noConversion"/>
  </si>
  <si>
    <t>SEC 가전</t>
    <phoneticPr fontId="3" type="noConversion"/>
  </si>
  <si>
    <t>에어컨외</t>
    <phoneticPr fontId="3" type="noConversion"/>
  </si>
  <si>
    <t>HVPS</t>
    <phoneticPr fontId="3" type="noConversion"/>
  </si>
  <si>
    <t>냉장고</t>
    <phoneticPr fontId="3" type="noConversion"/>
  </si>
  <si>
    <t>HP</t>
    <phoneticPr fontId="3" type="noConversion"/>
  </si>
  <si>
    <t>Laser-Print</t>
    <phoneticPr fontId="3" type="noConversion"/>
  </si>
  <si>
    <t>LVPS</t>
    <phoneticPr fontId="3" type="noConversion"/>
  </si>
  <si>
    <t>일체형</t>
    <phoneticPr fontId="3" type="noConversion"/>
  </si>
  <si>
    <t>코웨이</t>
    <phoneticPr fontId="3" type="noConversion"/>
  </si>
  <si>
    <t>청정기</t>
  </si>
  <si>
    <t>대덕-C</t>
    <phoneticPr fontId="3" type="noConversion"/>
  </si>
  <si>
    <t>LED 조명</t>
    <phoneticPr fontId="3" type="noConversion"/>
  </si>
  <si>
    <t>SET</t>
    <phoneticPr fontId="3" type="noConversion"/>
  </si>
  <si>
    <t>한화테크윈</t>
    <phoneticPr fontId="3" type="noConversion"/>
  </si>
  <si>
    <t>CCD</t>
    <phoneticPr fontId="3" type="noConversion"/>
  </si>
  <si>
    <t>SMPS외</t>
    <phoneticPr fontId="3" type="noConversion"/>
  </si>
  <si>
    <t>신사업</t>
    <phoneticPr fontId="3" type="noConversion"/>
  </si>
  <si>
    <t>태양광</t>
    <phoneticPr fontId="3" type="noConversion"/>
  </si>
  <si>
    <t>인버터외</t>
    <phoneticPr fontId="3" type="noConversion"/>
  </si>
  <si>
    <t>기타(신도,OKI, 말타니, 위니아)</t>
    <phoneticPr fontId="3" type="noConversion"/>
  </si>
  <si>
    <t>SEC VD</t>
    <phoneticPr fontId="3" type="noConversion"/>
  </si>
  <si>
    <t>TV</t>
    <phoneticPr fontId="3" type="noConversion"/>
  </si>
  <si>
    <t>PD-B'D</t>
    <phoneticPr fontId="3" type="noConversion"/>
  </si>
  <si>
    <t>SMPS</t>
    <phoneticPr fontId="3" type="noConversion"/>
  </si>
  <si>
    <t>계</t>
    <phoneticPr fontId="3" type="noConversion"/>
  </si>
  <si>
    <t>MNT</t>
    <phoneticPr fontId="3" type="noConversion"/>
  </si>
  <si>
    <t>Adapt</t>
    <phoneticPr fontId="3" type="noConversion"/>
  </si>
  <si>
    <t>계</t>
    <phoneticPr fontId="3" type="noConversion"/>
  </si>
  <si>
    <t>AV</t>
    <phoneticPr fontId="3" type="noConversion"/>
  </si>
  <si>
    <t>STB</t>
    <phoneticPr fontId="3" type="noConversion"/>
  </si>
  <si>
    <t>거래선계</t>
    <phoneticPr fontId="3" type="noConversion"/>
  </si>
  <si>
    <t>청정기외</t>
    <phoneticPr fontId="3" type="noConversion"/>
  </si>
  <si>
    <t>합 계</t>
    <phoneticPr fontId="12" type="noConversion"/>
  </si>
  <si>
    <t>구분</t>
    <phoneticPr fontId="3" type="noConversion"/>
  </si>
  <si>
    <t>212D</t>
    <phoneticPr fontId="12" type="noConversion"/>
  </si>
  <si>
    <t>PNX4300-CITRINE</t>
    <phoneticPr fontId="12" type="noConversion"/>
  </si>
  <si>
    <t>237D</t>
    <phoneticPr fontId="12" type="noConversion"/>
  </si>
  <si>
    <t>PNK4350-PEARL</t>
    <phoneticPr fontId="12" type="noConversion"/>
  </si>
  <si>
    <t>PN039BCW-V1</t>
    <phoneticPr fontId="12" type="noConversion"/>
  </si>
  <si>
    <t>L32E1P_KPN V</t>
    <phoneticPr fontId="12" type="noConversion"/>
  </si>
  <si>
    <t>V70DN_DPN(E)</t>
    <phoneticPr fontId="12" type="noConversion"/>
  </si>
  <si>
    <t>746G</t>
    <phoneticPr fontId="12" type="noConversion"/>
  </si>
  <si>
    <t>843C</t>
    <phoneticPr fontId="12" type="noConversion"/>
  </si>
  <si>
    <t>P3514ZN_FPN</t>
    <phoneticPr fontId="12" type="noConversion"/>
  </si>
  <si>
    <t>A6524_NPNL_TH</t>
    <phoneticPr fontId="12" type="noConversion"/>
  </si>
  <si>
    <t>A6524_NPNL_POL</t>
    <phoneticPr fontId="12" type="noConversion"/>
  </si>
  <si>
    <t>7772B</t>
    <phoneticPr fontId="12" type="noConversion"/>
  </si>
  <si>
    <t>7772C</t>
    <phoneticPr fontId="12" type="noConversion"/>
  </si>
  <si>
    <t>2400mm, 3.5K</t>
    <phoneticPr fontId="12" type="noConversion"/>
  </si>
  <si>
    <t>PLN021-T1019365T4S-562</t>
    <phoneticPr fontId="12" type="noConversion"/>
  </si>
  <si>
    <t>1200mm, 6.5K</t>
    <phoneticPr fontId="12" type="noConversion"/>
  </si>
  <si>
    <t>L23S0DSR_RPN</t>
    <phoneticPr fontId="12" type="noConversion"/>
  </si>
  <si>
    <t>A2514N_RPN(BOE)</t>
    <phoneticPr fontId="12" type="noConversion"/>
  </si>
  <si>
    <t>A6524_RPN</t>
    <phoneticPr fontId="12" type="noConversion"/>
  </si>
  <si>
    <t>7772D</t>
    <phoneticPr fontId="12" type="noConversion"/>
  </si>
  <si>
    <t>PN020BWJ-VDC</t>
    <phoneticPr fontId="12" type="noConversion"/>
  </si>
  <si>
    <t>PN026BWJ-VF(E)</t>
    <phoneticPr fontId="12" type="noConversion"/>
  </si>
  <si>
    <t>PLL029-D09-24M</t>
    <phoneticPr fontId="12" type="noConversion"/>
  </si>
  <si>
    <t>PLL024-P08</t>
    <phoneticPr fontId="12" type="noConversion"/>
  </si>
  <si>
    <t>PLL048-P08</t>
    <phoneticPr fontId="12" type="noConversion"/>
  </si>
  <si>
    <t>PLL048-P12</t>
    <phoneticPr fontId="12" type="noConversion"/>
  </si>
  <si>
    <t>PLL048-P17</t>
    <phoneticPr fontId="12" type="noConversion"/>
  </si>
  <si>
    <t>PN002ACW-CHARGER(A)</t>
    <phoneticPr fontId="12" type="noConversion"/>
  </si>
  <si>
    <t>PN002ACW-KEY</t>
    <phoneticPr fontId="12" type="noConversion"/>
  </si>
  <si>
    <t>PIP102-300</t>
    <phoneticPr fontId="12" type="noConversion"/>
  </si>
  <si>
    <t>PLL048-P18</t>
    <phoneticPr fontId="12" type="noConversion"/>
  </si>
  <si>
    <t>580mm, 5K</t>
  </si>
  <si>
    <t>PLN021-T0907150N2R-563B</t>
    <phoneticPr fontId="12" type="noConversion"/>
  </si>
  <si>
    <t>1200mm, 5K</t>
  </si>
  <si>
    <t>PLN021-T0920350N2R-564</t>
    <phoneticPr fontId="12" type="noConversion"/>
  </si>
  <si>
    <t>PN105WCW-VF(C)</t>
    <phoneticPr fontId="12" type="noConversion"/>
  </si>
  <si>
    <t>PN105WCW-VF(D)</t>
    <phoneticPr fontId="12" type="noConversion"/>
  </si>
  <si>
    <t>882B</t>
    <phoneticPr fontId="12" type="noConversion"/>
  </si>
  <si>
    <t>F32E1P_RPN</t>
    <phoneticPr fontId="12" type="noConversion"/>
  </si>
  <si>
    <t>P230NQ_TPN</t>
    <phoneticPr fontId="12" type="noConversion"/>
  </si>
  <si>
    <t>1066B</t>
    <phoneticPr fontId="12" type="noConversion"/>
  </si>
  <si>
    <t>P270NQ_TPN</t>
    <phoneticPr fontId="12" type="noConversion"/>
  </si>
  <si>
    <t>1066A</t>
    <phoneticPr fontId="12" type="noConversion"/>
  </si>
  <si>
    <t>A14024_TPN</t>
    <phoneticPr fontId="12" type="noConversion"/>
  </si>
  <si>
    <t>1024A</t>
    <phoneticPr fontId="12" type="noConversion"/>
  </si>
  <si>
    <t>PN009SHA(B)</t>
    <phoneticPr fontId="12" type="noConversion"/>
  </si>
  <si>
    <t>4704C</t>
    <phoneticPr fontId="12" type="noConversion"/>
  </si>
  <si>
    <t>PLL048-P11</t>
    <phoneticPr fontId="12" type="noConversion"/>
  </si>
  <si>
    <t>PLL048-P14</t>
    <phoneticPr fontId="12" type="noConversion"/>
  </si>
  <si>
    <t>PLN021-T0907150N2R-564B</t>
    <phoneticPr fontId="12" type="noConversion"/>
  </si>
  <si>
    <t>PN054ACW-JAGUAR(B)</t>
    <phoneticPr fontId="12" type="noConversion"/>
  </si>
  <si>
    <t>0007C</t>
  </si>
  <si>
    <t>3446B</t>
    <phoneticPr fontId="12" type="noConversion"/>
  </si>
  <si>
    <t>PN012DWJ-V2</t>
    <phoneticPr fontId="12" type="noConversion"/>
  </si>
  <si>
    <t>PN120MWJ-VF</t>
    <phoneticPr fontId="12" type="noConversion"/>
  </si>
  <si>
    <t>PN052MWJ-VF</t>
    <phoneticPr fontId="12" type="noConversion"/>
  </si>
  <si>
    <t>PN001ACW-MAIN</t>
  </si>
  <si>
    <t>PN001ACW-KEY</t>
  </si>
  <si>
    <t>PN001ACW-FND</t>
  </si>
  <si>
    <t>PN008SHA(B)</t>
    <phoneticPr fontId="12" type="noConversion"/>
  </si>
  <si>
    <t>4735B</t>
    <phoneticPr fontId="12" type="noConversion"/>
  </si>
  <si>
    <t>0007A</t>
    <phoneticPr fontId="12" type="noConversion"/>
  </si>
  <si>
    <t>0007B</t>
    <phoneticPr fontId="12" type="noConversion"/>
  </si>
  <si>
    <t>0007D</t>
    <phoneticPr fontId="12" type="noConversion"/>
  </si>
  <si>
    <t>A3026U_RPN</t>
    <phoneticPr fontId="12" type="noConversion"/>
  </si>
  <si>
    <t>A3026H_RPN</t>
    <phoneticPr fontId="12" type="noConversion"/>
  </si>
  <si>
    <t>A3026T_RPN</t>
    <phoneticPr fontId="12" type="noConversion"/>
  </si>
  <si>
    <t>PLN021-T0907130N2R-564B</t>
    <phoneticPr fontId="12" type="noConversion"/>
  </si>
  <si>
    <t>580mm, 3K</t>
    <phoneticPr fontId="12" type="noConversion"/>
  </si>
  <si>
    <t>580mm, 4K</t>
    <phoneticPr fontId="12" type="noConversion"/>
  </si>
  <si>
    <t>580mm, 6.5K</t>
    <phoneticPr fontId="12" type="noConversion"/>
  </si>
  <si>
    <t>PN130ACW-VF(A)</t>
    <phoneticPr fontId="12" type="noConversion"/>
  </si>
  <si>
    <t>A14024N_TPN</t>
  </si>
  <si>
    <t>1024B</t>
    <phoneticPr fontId="12" type="noConversion"/>
  </si>
  <si>
    <t>X4300-GEM-HVPS</t>
  </si>
  <si>
    <t>8GR98-60001</t>
  </si>
  <si>
    <t>삼성 IM</t>
    <phoneticPr fontId="12" type="noConversion"/>
  </si>
  <si>
    <t>N/PC</t>
  </si>
  <si>
    <t>A65PD_TPN</t>
  </si>
  <si>
    <t>361A</t>
    <phoneticPr fontId="12" type="noConversion"/>
  </si>
  <si>
    <t>A3026A_RPN</t>
    <phoneticPr fontId="12" type="noConversion"/>
  </si>
  <si>
    <t>0007E</t>
    <phoneticPr fontId="12" type="noConversion"/>
  </si>
  <si>
    <t>PLN021-T0916340N2R-564</t>
    <phoneticPr fontId="12" type="noConversion"/>
  </si>
  <si>
    <t>PN054ACW-JAGUAR(TW)</t>
    <phoneticPr fontId="12" type="noConversion"/>
  </si>
  <si>
    <t>PN120MWJ-VF(D)</t>
    <phoneticPr fontId="12" type="noConversion"/>
  </si>
  <si>
    <t>P2514Z_TPN</t>
    <phoneticPr fontId="12" type="noConversion"/>
  </si>
  <si>
    <t>842E</t>
    <phoneticPr fontId="12" type="noConversion"/>
  </si>
  <si>
    <t>749D</t>
    <phoneticPr fontId="12" type="noConversion"/>
  </si>
  <si>
    <t>A10024_NPNTA</t>
    <phoneticPr fontId="12" type="noConversion"/>
  </si>
  <si>
    <t>PESI</t>
    <phoneticPr fontId="12" type="noConversion"/>
  </si>
  <si>
    <t>A3514_FPN(PS)</t>
  </si>
  <si>
    <t>PN037WCW-VF(M)</t>
    <phoneticPr fontId="12" type="noConversion"/>
  </si>
  <si>
    <t>PN048WWJ-VF(A)R</t>
    <phoneticPr fontId="12" type="noConversion"/>
  </si>
  <si>
    <t>PN270WCW-VF</t>
    <phoneticPr fontId="12" type="noConversion"/>
  </si>
  <si>
    <t>PN054ACW-JAGUAR(IN)</t>
    <phoneticPr fontId="12" type="noConversion"/>
  </si>
  <si>
    <t>PN001ACW-MAIN(EU)</t>
    <phoneticPr fontId="12" type="noConversion"/>
  </si>
  <si>
    <t>머큐리</t>
    <phoneticPr fontId="12" type="noConversion"/>
  </si>
  <si>
    <t>AP공유기</t>
    <phoneticPr fontId="12" type="noConversion"/>
  </si>
  <si>
    <t>STB</t>
    <phoneticPr fontId="12" type="noConversion"/>
  </si>
  <si>
    <t>QD</t>
    <phoneticPr fontId="3" type="noConversion"/>
  </si>
  <si>
    <t>거래선 계</t>
    <phoneticPr fontId="12" type="noConversion"/>
  </si>
  <si>
    <t>1200mm, 5K</t>
    <phoneticPr fontId="12" type="noConversion"/>
  </si>
  <si>
    <t>A6524_RPN_TAI</t>
  </si>
  <si>
    <t>7772E</t>
  </si>
  <si>
    <t>A6524_RPN_AUS</t>
  </si>
  <si>
    <t>7772F</t>
  </si>
  <si>
    <t>A9024_TPN</t>
  </si>
  <si>
    <t>A65PD_TPN EU</t>
  </si>
  <si>
    <t>361B</t>
    <phoneticPr fontId="12" type="noConversion"/>
  </si>
  <si>
    <t>P2514_TPN</t>
    <phoneticPr fontId="12" type="noConversion"/>
  </si>
  <si>
    <t>PN031BCW-KEY</t>
  </si>
  <si>
    <t>PN031BCW-VF</t>
  </si>
  <si>
    <t>A2626_TPN</t>
  </si>
  <si>
    <t>A6526_TPN_W</t>
  </si>
  <si>
    <t>323B</t>
    <phoneticPr fontId="12" type="noConversion"/>
  </si>
  <si>
    <t>V200SN_EPN</t>
    <phoneticPr fontId="12" type="noConversion"/>
  </si>
  <si>
    <t>794B</t>
    <phoneticPr fontId="12" type="noConversion"/>
  </si>
  <si>
    <t>A10024N_EPN</t>
  </si>
  <si>
    <t>0007F</t>
    <phoneticPr fontId="12" type="noConversion"/>
  </si>
  <si>
    <t>0007H</t>
    <phoneticPr fontId="12" type="noConversion"/>
  </si>
  <si>
    <t>A3026K_RPN</t>
    <phoneticPr fontId="12" type="noConversion"/>
  </si>
  <si>
    <t>A3026U_RPN_UAE</t>
    <phoneticPr fontId="12" type="noConversion"/>
  </si>
  <si>
    <t>A10024_NPNTE</t>
    <phoneticPr fontId="12" type="noConversion"/>
  </si>
  <si>
    <t>749F</t>
    <phoneticPr fontId="12" type="noConversion"/>
  </si>
  <si>
    <t>P2514_TPNC</t>
    <phoneticPr fontId="12" type="noConversion"/>
  </si>
  <si>
    <t>842F</t>
    <phoneticPr fontId="12" type="noConversion"/>
  </si>
  <si>
    <t>P2514Z_TPNC</t>
    <phoneticPr fontId="12" type="noConversion"/>
  </si>
  <si>
    <t>FPL</t>
    <phoneticPr fontId="12" type="noConversion"/>
  </si>
  <si>
    <t>PLN039-F3612250N2S-564</t>
    <phoneticPr fontId="12" type="noConversion"/>
  </si>
  <si>
    <t>PLN039-F2707150N2S-564</t>
    <phoneticPr fontId="12" type="noConversion"/>
  </si>
  <si>
    <t>27形</t>
    <phoneticPr fontId="12" type="noConversion"/>
  </si>
  <si>
    <t>V200SR_EPN V (CKD)</t>
    <phoneticPr fontId="12" type="noConversion"/>
  </si>
  <si>
    <t>323D</t>
    <phoneticPr fontId="12" type="noConversion"/>
  </si>
  <si>
    <t>PN120MWJ-VF(E)</t>
    <phoneticPr fontId="12" type="noConversion"/>
  </si>
  <si>
    <t>PN037WCW-RY</t>
    <phoneticPr fontId="12" type="noConversion"/>
  </si>
  <si>
    <t>PN052MWJ-VF(E)</t>
    <phoneticPr fontId="12" type="noConversion"/>
  </si>
  <si>
    <t>FDB</t>
    <phoneticPr fontId="12" type="noConversion"/>
  </si>
  <si>
    <t>JADE-FDB-V1</t>
    <phoneticPr fontId="12" type="noConversion"/>
  </si>
  <si>
    <t>JADE-FDB-V2</t>
    <phoneticPr fontId="12" type="noConversion"/>
  </si>
  <si>
    <t>8GR94-60001</t>
  </si>
  <si>
    <t>8GR94-60002</t>
  </si>
  <si>
    <t>749E</t>
    <phoneticPr fontId="12" type="noConversion"/>
  </si>
  <si>
    <t>P2514N_TPN</t>
    <phoneticPr fontId="12" type="noConversion"/>
  </si>
  <si>
    <t>0007G</t>
    <phoneticPr fontId="12" type="noConversion"/>
  </si>
  <si>
    <t>A3026D_RPN</t>
    <phoneticPr fontId="12" type="noConversion"/>
  </si>
  <si>
    <t>PN053HTCA-9300RW</t>
    <phoneticPr fontId="12" type="noConversion"/>
  </si>
  <si>
    <t>PLN021-T0911365N2R-564</t>
    <phoneticPr fontId="12" type="noConversion"/>
  </si>
  <si>
    <t>PLN021-T0916330N2R-564</t>
    <phoneticPr fontId="12" type="noConversion"/>
  </si>
  <si>
    <t>PLN021-T0916335N2R-564B</t>
    <phoneticPr fontId="12" type="noConversion"/>
  </si>
  <si>
    <t>PLN021-T0916365N2R-564</t>
    <phoneticPr fontId="12" type="noConversion"/>
  </si>
  <si>
    <t>A2514_RPN(BOE)</t>
    <phoneticPr fontId="12" type="noConversion"/>
  </si>
  <si>
    <t>PLN021-T0907530N2R-564</t>
    <phoneticPr fontId="12" type="noConversion"/>
  </si>
  <si>
    <t>PLN021-T0907565N2R-564</t>
    <phoneticPr fontId="12" type="noConversion"/>
  </si>
  <si>
    <t>PLN021-T0911335N2R-564B</t>
    <phoneticPr fontId="12" type="noConversion"/>
  </si>
  <si>
    <t>PLN039-F5515335N2S-564</t>
    <phoneticPr fontId="12" type="noConversion"/>
  </si>
  <si>
    <t>A10024_APN</t>
    <phoneticPr fontId="12" type="noConversion"/>
  </si>
  <si>
    <t>A11024_TPN</t>
    <phoneticPr fontId="12" type="noConversion"/>
  </si>
  <si>
    <t>A10024_NPNTH</t>
    <phoneticPr fontId="12" type="noConversion"/>
  </si>
  <si>
    <t>A10024_NPNTE(UK)</t>
    <phoneticPr fontId="12" type="noConversion"/>
  </si>
  <si>
    <t>1098A</t>
    <phoneticPr fontId="12" type="noConversion"/>
  </si>
  <si>
    <t>P4519_APN</t>
    <phoneticPr fontId="12" type="noConversion"/>
  </si>
  <si>
    <t>1122A</t>
    <phoneticPr fontId="12" type="noConversion"/>
  </si>
  <si>
    <t>F24SFD_APN</t>
    <phoneticPr fontId="12" type="noConversion"/>
  </si>
  <si>
    <t>240C</t>
    <phoneticPr fontId="12" type="noConversion"/>
  </si>
  <si>
    <t>L55SA8NA_APN</t>
  </si>
  <si>
    <t>L55SA9NA_APN</t>
  </si>
  <si>
    <t>다운라이트</t>
    <phoneticPr fontId="12" type="noConversion"/>
  </si>
  <si>
    <t>PLD052-D05</t>
  </si>
  <si>
    <t>PLD052-D08</t>
  </si>
  <si>
    <t>PLD052-D11</t>
  </si>
  <si>
    <t>PLD052-D15</t>
  </si>
  <si>
    <t>PLN065-D750550-565</t>
  </si>
  <si>
    <t>PLN065-D750850-565</t>
  </si>
  <si>
    <t>PLN065-D751150-565</t>
  </si>
  <si>
    <t>PLN065-D751550-565</t>
  </si>
  <si>
    <t>7.5W</t>
  </si>
  <si>
    <t>12.7W</t>
  </si>
  <si>
    <t>15.8W</t>
  </si>
  <si>
    <t>19.8W</t>
  </si>
  <si>
    <t>25.2W</t>
  </si>
  <si>
    <t>31.8W</t>
  </si>
  <si>
    <t>39.8W</t>
  </si>
  <si>
    <t>20形</t>
  </si>
  <si>
    <t>400形</t>
  </si>
  <si>
    <t>베이스라이트</t>
    <phoneticPr fontId="12" type="noConversion"/>
  </si>
  <si>
    <t>5.5W</t>
    <phoneticPr fontId="12" type="noConversion"/>
  </si>
  <si>
    <t>8.4W</t>
    <phoneticPr fontId="12" type="noConversion"/>
  </si>
  <si>
    <t>11.7W</t>
    <phoneticPr fontId="12" type="noConversion"/>
  </si>
  <si>
    <t>15.2W</t>
    <phoneticPr fontId="12" type="noConversion"/>
  </si>
  <si>
    <t>1114A</t>
    <phoneticPr fontId="12" type="noConversion"/>
  </si>
  <si>
    <t>1114B</t>
    <phoneticPr fontId="12" type="noConversion"/>
  </si>
  <si>
    <t>P55SA9N_APN</t>
  </si>
  <si>
    <t>1123A</t>
  </si>
  <si>
    <t>P4519S_APN</t>
  </si>
  <si>
    <t>1139A</t>
  </si>
  <si>
    <t>P6519_APN</t>
  </si>
  <si>
    <t>1132A</t>
  </si>
  <si>
    <t>P10020_APN</t>
  </si>
  <si>
    <t>1138A</t>
  </si>
  <si>
    <t>1137A</t>
    <phoneticPr fontId="12" type="noConversion"/>
  </si>
  <si>
    <t>V250S_APND</t>
  </si>
  <si>
    <t>-</t>
    <phoneticPr fontId="12" type="noConversion"/>
  </si>
  <si>
    <t>PN120MWJ-VF(F)</t>
    <phoneticPr fontId="12" type="noConversion"/>
  </si>
  <si>
    <t>P4519N_APN</t>
    <phoneticPr fontId="12" type="noConversion"/>
  </si>
  <si>
    <t>1098B</t>
    <phoneticPr fontId="12" type="noConversion"/>
  </si>
  <si>
    <t>PN052MWJ-VF(G)</t>
    <phoneticPr fontId="12" type="noConversion"/>
  </si>
  <si>
    <t>7432A</t>
    <phoneticPr fontId="12" type="noConversion"/>
  </si>
  <si>
    <t>PLD052-D04</t>
    <phoneticPr fontId="12" type="noConversion"/>
  </si>
  <si>
    <t>PLD052-D07</t>
    <phoneticPr fontId="12" type="noConversion"/>
  </si>
  <si>
    <t>V100S_APN</t>
  </si>
  <si>
    <t>V125S_APN</t>
  </si>
  <si>
    <t>3870A</t>
    <phoneticPr fontId="12" type="noConversion"/>
  </si>
  <si>
    <t>3871A</t>
    <phoneticPr fontId="12" type="noConversion"/>
  </si>
  <si>
    <t>862A</t>
    <phoneticPr fontId="12" type="noConversion"/>
  </si>
  <si>
    <t>A6524_NPNL_BESPOKE</t>
    <phoneticPr fontId="12" type="noConversion"/>
  </si>
  <si>
    <t>PN009SHA(D)</t>
    <phoneticPr fontId="12" type="noConversion"/>
  </si>
  <si>
    <t>4704D</t>
    <phoneticPr fontId="12" type="noConversion"/>
  </si>
  <si>
    <t>PN011SHA(A)</t>
  </si>
  <si>
    <t>5049A</t>
  </si>
  <si>
    <t>PN011SHA(B)</t>
  </si>
  <si>
    <t>5049B</t>
  </si>
  <si>
    <t>39211A</t>
    <phoneticPr fontId="12" type="noConversion"/>
  </si>
  <si>
    <t>PJB01-22</t>
    <phoneticPr fontId="12" type="noConversion"/>
  </si>
  <si>
    <t>PLN065-D750540-565</t>
    <phoneticPr fontId="12" type="noConversion"/>
  </si>
  <si>
    <t>PLN065-D750830-565</t>
    <phoneticPr fontId="12" type="noConversion"/>
  </si>
  <si>
    <t>PLN065-D750840-565</t>
    <phoneticPr fontId="12" type="noConversion"/>
  </si>
  <si>
    <t>PLN065-D751130-565</t>
    <phoneticPr fontId="12" type="noConversion"/>
  </si>
  <si>
    <t>PLN065-D751140-565</t>
    <phoneticPr fontId="12" type="noConversion"/>
  </si>
  <si>
    <t>PLN065-D751530-565</t>
    <phoneticPr fontId="12" type="noConversion"/>
  </si>
  <si>
    <t>F24SFDN_APN</t>
  </si>
  <si>
    <t>1122B</t>
  </si>
  <si>
    <t>P4519SN_APN</t>
  </si>
  <si>
    <t>1139B</t>
  </si>
  <si>
    <t>P6519N_APN</t>
  </si>
  <si>
    <t>1132B</t>
  </si>
  <si>
    <t>P10020N_APN</t>
  </si>
  <si>
    <t>1138B</t>
  </si>
  <si>
    <t>832A</t>
    <phoneticPr fontId="12" type="noConversion"/>
  </si>
  <si>
    <t>V250SN_APND</t>
    <phoneticPr fontId="12" type="noConversion"/>
  </si>
  <si>
    <t>3870B</t>
    <phoneticPr fontId="12" type="noConversion"/>
  </si>
  <si>
    <t>V100SN_APN</t>
    <phoneticPr fontId="12" type="noConversion"/>
  </si>
  <si>
    <t>V125SN_APN</t>
  </si>
  <si>
    <t>3871B</t>
  </si>
  <si>
    <t>A2626A_APN</t>
  </si>
  <si>
    <t>0010A</t>
    <phoneticPr fontId="12" type="noConversion"/>
  </si>
  <si>
    <t>0011A</t>
    <phoneticPr fontId="12" type="noConversion"/>
  </si>
  <si>
    <t>0012A</t>
    <phoneticPr fontId="12" type="noConversion"/>
  </si>
  <si>
    <t>0014G</t>
    <phoneticPr fontId="12" type="noConversion"/>
  </si>
  <si>
    <t>A6524_RPN_CIS</t>
  </si>
  <si>
    <t>7772H</t>
  </si>
  <si>
    <t>CARLSEN-V1 Rebadge</t>
  </si>
  <si>
    <t>213C</t>
  </si>
  <si>
    <t>CARLSEN-V2 Rebadge</t>
  </si>
  <si>
    <t>214C</t>
  </si>
  <si>
    <t>A6019N_APN</t>
  </si>
  <si>
    <t>373A</t>
  </si>
  <si>
    <t>PN045WCW-VDC(C)</t>
    <phoneticPr fontId="12" type="noConversion"/>
  </si>
  <si>
    <t>PN016ACW-VF</t>
  </si>
  <si>
    <t>PN001ACW-MAIN(NCO)</t>
  </si>
  <si>
    <t>PN007MWJ-V1</t>
    <phoneticPr fontId="12" type="noConversion"/>
  </si>
  <si>
    <t>PN20K-24J11</t>
  </si>
  <si>
    <t>PN20K-24J22</t>
  </si>
  <si>
    <t>PN20E-24J11(A)</t>
  </si>
  <si>
    <t>PN20U-24J22</t>
  </si>
  <si>
    <t>PN20T-24J22</t>
  </si>
  <si>
    <t>PN20E-24J22</t>
  </si>
  <si>
    <t>PN20U-24J22(A)</t>
  </si>
  <si>
    <t>RUSH-329AC</t>
  </si>
  <si>
    <t>RUSH-329AC-A</t>
  </si>
  <si>
    <t>KM15-103H (GWH 11ax PI2.0)</t>
  </si>
  <si>
    <t>접속반</t>
  </si>
  <si>
    <t>39211B</t>
    <phoneticPr fontId="12" type="noConversion"/>
  </si>
  <si>
    <t>A2626U_APN</t>
  </si>
  <si>
    <t>A2626T_APN</t>
  </si>
  <si>
    <t>0014D</t>
    <phoneticPr fontId="12" type="noConversion"/>
  </si>
  <si>
    <t>0014E</t>
    <phoneticPr fontId="12" type="noConversion"/>
  </si>
  <si>
    <t>0014H</t>
    <phoneticPr fontId="12" type="noConversion"/>
  </si>
  <si>
    <t>A2626E_APN</t>
    <phoneticPr fontId="12" type="noConversion"/>
  </si>
  <si>
    <t>PN020STCA-NWF(B)</t>
    <phoneticPr fontId="12" type="noConversion"/>
  </si>
  <si>
    <t>4667A</t>
    <phoneticPr fontId="12" type="noConversion"/>
  </si>
  <si>
    <t>PN050ACW-VF</t>
  </si>
  <si>
    <t>PN050ACW-AMKEY</t>
  </si>
  <si>
    <t>0013A</t>
    <phoneticPr fontId="12" type="noConversion"/>
  </si>
  <si>
    <t>A3630K_TPN</t>
    <phoneticPr fontId="12" type="noConversion"/>
  </si>
  <si>
    <t>PN004WCW-MAIN</t>
  </si>
  <si>
    <t>PN005WCW-FRONT</t>
  </si>
  <si>
    <t>PN005WCW-MAIN</t>
  </si>
  <si>
    <t>PN037WCW-V1</t>
    <phoneticPr fontId="12" type="noConversion"/>
  </si>
  <si>
    <t>PN1703CWM-600TW</t>
    <phoneticPr fontId="12" type="noConversion"/>
  </si>
  <si>
    <t xml:space="preserve">P3514_APN </t>
  </si>
  <si>
    <t>1150A</t>
    <phoneticPr fontId="12" type="noConversion"/>
  </si>
  <si>
    <t>구분</t>
    <phoneticPr fontId="12" type="noConversion"/>
  </si>
  <si>
    <t>신</t>
  </si>
  <si>
    <t>신</t>
    <phoneticPr fontId="12" type="noConversion"/>
  </si>
  <si>
    <t>신</t>
    <phoneticPr fontId="12" type="noConversion"/>
  </si>
  <si>
    <t>신</t>
    <phoneticPr fontId="12" type="noConversion"/>
  </si>
  <si>
    <t>구</t>
  </si>
  <si>
    <t>구</t>
    <phoneticPr fontId="12" type="noConversion"/>
  </si>
  <si>
    <t>구</t>
    <phoneticPr fontId="12" type="noConversion"/>
  </si>
  <si>
    <t>신</t>
    <phoneticPr fontId="12" type="noConversion"/>
  </si>
  <si>
    <t>구</t>
    <phoneticPr fontId="12" type="noConversion"/>
  </si>
  <si>
    <t>구</t>
    <phoneticPr fontId="12" type="noConversion"/>
  </si>
  <si>
    <t>달</t>
    <phoneticPr fontId="12" type="noConversion"/>
  </si>
  <si>
    <t>원</t>
    <phoneticPr fontId="12" type="noConversion"/>
  </si>
  <si>
    <t>A2626K_APN</t>
  </si>
  <si>
    <t>0014A</t>
    <phoneticPr fontId="12" type="noConversion"/>
  </si>
  <si>
    <t>신</t>
    <phoneticPr fontId="12" type="noConversion"/>
  </si>
  <si>
    <t>PN1702CWM-600ID</t>
  </si>
  <si>
    <t>PN1702CWM-600US</t>
  </si>
  <si>
    <t>PN050ACW-VF(A)</t>
  </si>
  <si>
    <t>SY</t>
    <phoneticPr fontId="12" type="noConversion"/>
  </si>
  <si>
    <t>0014F</t>
    <phoneticPr fontId="12" type="noConversion"/>
  </si>
  <si>
    <t>A2626H_APN</t>
  </si>
  <si>
    <t>MCR-WMSBE-CWP(40)</t>
    <phoneticPr fontId="12" type="noConversion"/>
  </si>
  <si>
    <t>신</t>
    <phoneticPr fontId="12" type="noConversion"/>
  </si>
  <si>
    <t>QD</t>
    <phoneticPr fontId="12" type="noConversion"/>
  </si>
  <si>
    <t>PLN021-T0911350N2R-565</t>
  </si>
  <si>
    <t>SY</t>
    <phoneticPr fontId="12" type="noConversion"/>
  </si>
  <si>
    <t>PLN021-T0916350N2R-565</t>
  </si>
  <si>
    <t>580mm, 6.5K</t>
  </si>
  <si>
    <t>PLN021-T1010165T4S-562</t>
  </si>
  <si>
    <t>PLN051-B4039230N2S-564 (PLF045-D40W)</t>
  </si>
  <si>
    <t>PN003ACW-CLASSIC(TW)</t>
    <phoneticPr fontId="12" type="noConversion"/>
  </si>
  <si>
    <t>구</t>
    <phoneticPr fontId="12" type="noConversion"/>
  </si>
  <si>
    <t>PLN021-T0907150N2R-565</t>
    <phoneticPr fontId="12" type="noConversion"/>
  </si>
  <si>
    <t>PLN051-B4039250N2S-565 (PLF045-D40W)</t>
    <phoneticPr fontId="12" type="noConversion"/>
  </si>
  <si>
    <t>PN003ACW-CLASSIC</t>
    <phoneticPr fontId="12" type="noConversion"/>
  </si>
  <si>
    <t>PN003ACW-CLASSIC(EU)</t>
    <phoneticPr fontId="12" type="noConversion"/>
  </si>
  <si>
    <t>PN105WCW-VF(E)</t>
  </si>
  <si>
    <t>PN105WCW-VF(F)</t>
  </si>
  <si>
    <t>PN20K-24J33</t>
    <phoneticPr fontId="12" type="noConversion"/>
  </si>
  <si>
    <t>2828A</t>
    <phoneticPr fontId="12" type="noConversion"/>
  </si>
  <si>
    <t>2828C</t>
    <phoneticPr fontId="12" type="noConversion"/>
  </si>
  <si>
    <t>2828D</t>
    <phoneticPr fontId="12" type="noConversion"/>
  </si>
  <si>
    <t>2828E</t>
    <phoneticPr fontId="12" type="noConversion"/>
  </si>
  <si>
    <t>PN003ACW-CLASSIC(BO)</t>
    <phoneticPr fontId="12" type="noConversion"/>
  </si>
  <si>
    <t>PN018ACW-VF(A)</t>
    <phoneticPr fontId="12" type="noConversion"/>
  </si>
  <si>
    <t>PN018ACW-PLASMA</t>
    <phoneticPr fontId="12" type="noConversion"/>
  </si>
  <si>
    <t>V250S_APND (CKD)</t>
    <phoneticPr fontId="12" type="noConversion"/>
  </si>
  <si>
    <t>-</t>
    <phoneticPr fontId="12" type="noConversion"/>
  </si>
  <si>
    <t>PN054ACW-HPOC(HK)</t>
  </si>
  <si>
    <t>PN054ACW-HPOC(TW)</t>
  </si>
  <si>
    <t>PN054ACW-LPOC(B)</t>
    <phoneticPr fontId="12" type="noConversion"/>
  </si>
  <si>
    <t>PN20E-24J33</t>
    <phoneticPr fontId="12" type="noConversion"/>
  </si>
  <si>
    <t>PN20T-24J33</t>
    <phoneticPr fontId="12" type="noConversion"/>
  </si>
  <si>
    <t>PIP105-400</t>
    <phoneticPr fontId="12" type="noConversion"/>
  </si>
  <si>
    <t>한화테크윈</t>
    <phoneticPr fontId="12" type="noConversion"/>
  </si>
  <si>
    <t>990A</t>
  </si>
  <si>
    <t>990B</t>
  </si>
  <si>
    <t>PLN051-B4019250N2S-565 (PLF050-D20W)</t>
  </si>
  <si>
    <t>PLN051-B4025250N2S-565 (PLF045-D25W)</t>
  </si>
  <si>
    <t>P230NQ_TPN (CKD)</t>
  </si>
  <si>
    <t>P270NQ_TPN (CKD)</t>
  </si>
  <si>
    <t>P270NQ_APN</t>
  </si>
  <si>
    <t>1066C</t>
  </si>
  <si>
    <t>1066B</t>
  </si>
  <si>
    <t>1066A</t>
  </si>
  <si>
    <t>P3514N_APN</t>
  </si>
  <si>
    <t>1150B</t>
    <phoneticPr fontId="12" type="noConversion"/>
  </si>
  <si>
    <t>AUO</t>
    <phoneticPr fontId="12" type="noConversion"/>
  </si>
  <si>
    <t>Adaptor</t>
    <phoneticPr fontId="12" type="noConversion"/>
  </si>
  <si>
    <t>MNT</t>
    <phoneticPr fontId="12" type="noConversion"/>
  </si>
  <si>
    <t>A6524_RPN_BESPOKE</t>
  </si>
  <si>
    <t>PNMX7N-HV</t>
    <phoneticPr fontId="12" type="noConversion"/>
  </si>
  <si>
    <t>PN120MWJ-VF(G)</t>
    <phoneticPr fontId="12" type="noConversion"/>
  </si>
  <si>
    <t>PN013MCW-V2</t>
    <phoneticPr fontId="12" type="noConversion"/>
  </si>
  <si>
    <t>PN022WWJ-VF</t>
    <phoneticPr fontId="12" type="noConversion"/>
  </si>
  <si>
    <t>PN037WCW-VF</t>
    <phoneticPr fontId="12" type="noConversion"/>
  </si>
  <si>
    <t>PN048WWJ-VF</t>
    <phoneticPr fontId="12" type="noConversion"/>
  </si>
  <si>
    <t>PN105WCW-VF</t>
    <phoneticPr fontId="12" type="noConversion"/>
  </si>
  <si>
    <t>PN040WWJ-V2</t>
    <phoneticPr fontId="12" type="noConversion"/>
  </si>
  <si>
    <t>PN021BWJ-VF</t>
    <phoneticPr fontId="12" type="noConversion"/>
  </si>
  <si>
    <t>PN052MWJ-VF(B)</t>
    <phoneticPr fontId="12" type="noConversion"/>
  </si>
  <si>
    <t>PN054ACW-LKEY(P)</t>
    <phoneticPr fontId="12" type="noConversion"/>
  </si>
  <si>
    <t>PN054ACW-LKEY(PA)</t>
    <phoneticPr fontId="12" type="noConversion"/>
  </si>
  <si>
    <t>PN002ACW-CHARGER</t>
    <phoneticPr fontId="12" type="noConversion"/>
  </si>
  <si>
    <t>PN018ACW-VF</t>
    <phoneticPr fontId="12" type="noConversion"/>
  </si>
  <si>
    <t>PI500DCW-V2</t>
  </si>
  <si>
    <t>PN050DCW-V2</t>
  </si>
  <si>
    <t>PN050DCW-FILTER</t>
  </si>
  <si>
    <t>신</t>
    <phoneticPr fontId="12" type="noConversion"/>
  </si>
  <si>
    <t>PLN021-T0814350T4R-565</t>
    <phoneticPr fontId="12" type="noConversion"/>
  </si>
  <si>
    <t>PLN021-T0822350T4R-560</t>
    <phoneticPr fontId="12" type="noConversion"/>
  </si>
  <si>
    <t>PLN021-T0819350T4R-560</t>
    <phoneticPr fontId="12" type="noConversion"/>
  </si>
  <si>
    <t>PLN021-T0907150N2R-564</t>
    <phoneticPr fontId="12" type="noConversion"/>
  </si>
  <si>
    <t>PLN021-T0911350N2R-564</t>
    <phoneticPr fontId="12" type="noConversion"/>
  </si>
  <si>
    <t>PLN021-T0916350N2R-564</t>
    <phoneticPr fontId="12" type="noConversion"/>
  </si>
  <si>
    <t>PLN065-D750530-565</t>
    <phoneticPr fontId="12" type="noConversion"/>
  </si>
  <si>
    <t>39211C</t>
    <phoneticPr fontId="12" type="noConversion"/>
  </si>
  <si>
    <t>PLL028-D14-35M</t>
    <phoneticPr fontId="12" type="noConversion"/>
  </si>
  <si>
    <t>PLN021-T0936465N2C-565</t>
    <phoneticPr fontId="12" type="noConversion"/>
  </si>
  <si>
    <t>신</t>
    <phoneticPr fontId="12" type="noConversion"/>
  </si>
  <si>
    <t>PN001ACW-MAIN(CO)</t>
    <phoneticPr fontId="12" type="noConversion"/>
  </si>
  <si>
    <t>PN016ACW-WIFI(CO)</t>
    <phoneticPr fontId="12" type="noConversion"/>
  </si>
  <si>
    <t>A3026N_APN</t>
    <phoneticPr fontId="12" type="noConversion"/>
  </si>
  <si>
    <t>0007J</t>
    <phoneticPr fontId="12" type="noConversion"/>
  </si>
  <si>
    <t>신</t>
    <phoneticPr fontId="12" type="noConversion"/>
  </si>
  <si>
    <t>1066D</t>
    <phoneticPr fontId="12" type="noConversion"/>
  </si>
  <si>
    <t>P270NQ_APND</t>
    <phoneticPr fontId="12" type="noConversion"/>
  </si>
  <si>
    <t>PLN021-T0814330T4R-565</t>
    <phoneticPr fontId="12" type="noConversion"/>
  </si>
  <si>
    <t>PLN039-F3612240N2S-565</t>
    <phoneticPr fontId="12" type="noConversion"/>
  </si>
  <si>
    <t>PLN039-F9632450N2S-565</t>
    <phoneticPr fontId="12" type="noConversion"/>
  </si>
  <si>
    <t>PN003ACW-CLASSIC(MY)</t>
    <phoneticPr fontId="12" type="noConversion"/>
  </si>
  <si>
    <t>PN051BCW-VF(A)</t>
    <phoneticPr fontId="12" type="noConversion"/>
  </si>
  <si>
    <t>PN110WCW-VF</t>
  </si>
  <si>
    <t>PN110WCW-VF(A)</t>
  </si>
  <si>
    <t>PN120MWJ-VF(H)</t>
  </si>
  <si>
    <t>PN20A-24J33</t>
    <phoneticPr fontId="12" type="noConversion"/>
  </si>
  <si>
    <t>PN20U-24J33</t>
    <phoneticPr fontId="12" type="noConversion"/>
  </si>
  <si>
    <t>A2626U_APN(UAE)</t>
    <phoneticPr fontId="12" type="noConversion"/>
  </si>
  <si>
    <t>0014B</t>
    <phoneticPr fontId="12" type="noConversion"/>
  </si>
  <si>
    <t>신</t>
    <phoneticPr fontId="12" type="noConversion"/>
  </si>
  <si>
    <t>SY</t>
    <phoneticPr fontId="12" type="noConversion"/>
  </si>
  <si>
    <t>A3630A_TPN</t>
  </si>
  <si>
    <t>A3630E_TPN</t>
  </si>
  <si>
    <t>0013G</t>
    <phoneticPr fontId="12" type="noConversion"/>
  </si>
  <si>
    <t>0013H</t>
    <phoneticPr fontId="12" type="noConversion"/>
  </si>
  <si>
    <t>A6024N_FPN_C(DA)</t>
  </si>
  <si>
    <t>A4024_FPN_C(DA)</t>
  </si>
  <si>
    <t>990A</t>
    <phoneticPr fontId="12" type="noConversion"/>
  </si>
  <si>
    <t>990B</t>
    <phoneticPr fontId="12" type="noConversion"/>
  </si>
  <si>
    <t>MCR-WMSBE-CWP(48M)</t>
    <phoneticPr fontId="12" type="noConversion"/>
  </si>
  <si>
    <t>Display(냉장고)</t>
  </si>
  <si>
    <t>PN027SHA-Basic</t>
  </si>
  <si>
    <t>PN027SHA-19962K</t>
  </si>
  <si>
    <t>PN027SHA-19962L</t>
  </si>
  <si>
    <t>PN027SHA-19962M</t>
  </si>
  <si>
    <t>PN027SHA-19962N</t>
  </si>
  <si>
    <t>PN027SHA-19962Q</t>
  </si>
  <si>
    <t>PN027SHA-19962R</t>
  </si>
  <si>
    <t>PN027SHA-19962S</t>
  </si>
  <si>
    <t>PN027SHA-19962T</t>
  </si>
  <si>
    <t>PN027SHA-19962U</t>
  </si>
  <si>
    <t>19962K</t>
    <phoneticPr fontId="12" type="noConversion"/>
  </si>
  <si>
    <t>19962L</t>
    <phoneticPr fontId="12" type="noConversion"/>
  </si>
  <si>
    <t>19962M</t>
    <phoneticPr fontId="12" type="noConversion"/>
  </si>
  <si>
    <t>19962N</t>
    <phoneticPr fontId="12" type="noConversion"/>
  </si>
  <si>
    <t>19962Q</t>
    <phoneticPr fontId="12" type="noConversion"/>
  </si>
  <si>
    <t>19962R</t>
    <phoneticPr fontId="12" type="noConversion"/>
  </si>
  <si>
    <t>19962S</t>
    <phoneticPr fontId="12" type="noConversion"/>
  </si>
  <si>
    <t>19962T</t>
    <phoneticPr fontId="12" type="noConversion"/>
  </si>
  <si>
    <t>19962U</t>
    <phoneticPr fontId="12" type="noConversion"/>
  </si>
  <si>
    <t>PN036MWJ-VF(B)</t>
    <phoneticPr fontId="12" type="noConversion"/>
  </si>
  <si>
    <t>PN120MWJ-VF(I)</t>
    <phoneticPr fontId="12" type="noConversion"/>
  </si>
  <si>
    <t>PN120MWJ-VF(J)</t>
    <phoneticPr fontId="12" type="noConversion"/>
  </si>
  <si>
    <t>A6024N_FPN_C(BJ)</t>
  </si>
  <si>
    <t>14824A</t>
  </si>
  <si>
    <t>A4024_FPN_C(BJ)</t>
    <phoneticPr fontId="12" type="noConversion"/>
  </si>
  <si>
    <t>14826A</t>
    <phoneticPr fontId="12" type="noConversion"/>
  </si>
  <si>
    <t>A4024_FPN_TH_C(BJ)</t>
  </si>
  <si>
    <t>14825A</t>
    <phoneticPr fontId="12" type="noConversion"/>
  </si>
  <si>
    <t>A6524_NPNL_BESPOKE_TH</t>
    <phoneticPr fontId="12" type="noConversion"/>
  </si>
  <si>
    <t>39211F</t>
    <phoneticPr fontId="12" type="noConversion"/>
  </si>
  <si>
    <t>신</t>
    <phoneticPr fontId="12" type="noConversion"/>
  </si>
  <si>
    <t>SY</t>
    <phoneticPr fontId="12" type="noConversion"/>
  </si>
  <si>
    <t>PLN021-T0809150T4R-565</t>
    <phoneticPr fontId="12" type="noConversion"/>
  </si>
  <si>
    <t>PLN021-T0911340N2R-565</t>
    <phoneticPr fontId="12" type="noConversion"/>
  </si>
  <si>
    <t>PN001ACW-MAIN(NKR)</t>
    <phoneticPr fontId="12" type="noConversion"/>
  </si>
  <si>
    <t>PN006WCW-FND</t>
    <phoneticPr fontId="12" type="noConversion"/>
  </si>
  <si>
    <t>PN028HCW-VF</t>
    <phoneticPr fontId="12" type="noConversion"/>
  </si>
  <si>
    <t>PN051BCW-VF</t>
    <phoneticPr fontId="12" type="noConversion"/>
  </si>
  <si>
    <t>PN051BCW-HEATER</t>
    <phoneticPr fontId="12" type="noConversion"/>
  </si>
  <si>
    <t>PNC03ACW-VF</t>
  </si>
  <si>
    <t>PNC08ACW-VF</t>
  </si>
  <si>
    <t>이랜텍</t>
    <phoneticPr fontId="12" type="noConversion"/>
  </si>
  <si>
    <t>AV</t>
    <phoneticPr fontId="12" type="noConversion"/>
  </si>
  <si>
    <t>A4024_FPNT</t>
  </si>
  <si>
    <t>A6024N_FPNT</t>
  </si>
  <si>
    <t>-</t>
    <phoneticPr fontId="12" type="noConversion"/>
  </si>
  <si>
    <t>091A</t>
    <phoneticPr fontId="12" type="noConversion"/>
  </si>
  <si>
    <t>MCR-WMSBE-CWP(40W)</t>
    <phoneticPr fontId="12" type="noConversion"/>
  </si>
  <si>
    <t>신</t>
    <phoneticPr fontId="12" type="noConversion"/>
  </si>
  <si>
    <t>QD</t>
    <phoneticPr fontId="12" type="noConversion"/>
  </si>
  <si>
    <t>PLN039-F2707150N2S-565</t>
    <phoneticPr fontId="12" type="noConversion"/>
  </si>
  <si>
    <t>PN011MWJ-V1</t>
    <phoneticPr fontId="12" type="noConversion"/>
  </si>
  <si>
    <t>PN120MWJ-VF(K)</t>
    <phoneticPr fontId="12" type="noConversion"/>
  </si>
  <si>
    <t>PN20E-24J11</t>
    <phoneticPr fontId="12" type="noConversion"/>
  </si>
  <si>
    <t>PNC04ACW-VF</t>
  </si>
  <si>
    <t>PNC06ACW-VF</t>
  </si>
  <si>
    <t>PSPN2-TYPE5H-V1-SR</t>
  </si>
  <si>
    <t>PSPN2-TYPE5H-V2-SR</t>
  </si>
  <si>
    <t>PSPN2-TYPE5H-V1 A-SR</t>
  </si>
  <si>
    <t>PSPN2-TYPE5H-V2 A-SR</t>
  </si>
  <si>
    <t>5QJ83-60002</t>
  </si>
  <si>
    <t>5QJ83-60003</t>
  </si>
  <si>
    <t>5QJ90-60014</t>
  </si>
  <si>
    <t>5QJ90-60015</t>
  </si>
  <si>
    <t>청정기</t>
    <phoneticPr fontId="12" type="noConversion"/>
  </si>
  <si>
    <t>Aircon</t>
    <phoneticPr fontId="12" type="noConversion"/>
  </si>
  <si>
    <t>냉장고</t>
  </si>
  <si>
    <t>냉장고</t>
    <phoneticPr fontId="12" type="noConversion"/>
  </si>
  <si>
    <t>청소기</t>
  </si>
  <si>
    <t>청소기</t>
    <phoneticPr fontId="12" type="noConversion"/>
  </si>
  <si>
    <t>냉장고</t>
    <phoneticPr fontId="12" type="noConversion"/>
  </si>
  <si>
    <t>A14020_BPNW</t>
  </si>
  <si>
    <t>1187A</t>
  </si>
  <si>
    <t>A14020N_BPNW</t>
  </si>
  <si>
    <t>1187B</t>
  </si>
  <si>
    <t>A14020_BPN</t>
  </si>
  <si>
    <t>1187C</t>
  </si>
  <si>
    <t>A3630H_TPN</t>
  </si>
  <si>
    <t>0013F</t>
    <phoneticPr fontId="12" type="noConversion"/>
  </si>
  <si>
    <t>신</t>
    <phoneticPr fontId="12" type="noConversion"/>
  </si>
  <si>
    <t>A3630U_TPN</t>
  </si>
  <si>
    <t>0013D</t>
    <phoneticPr fontId="12" type="noConversion"/>
  </si>
  <si>
    <t>P2514_BPN</t>
  </si>
  <si>
    <t>749G</t>
    <phoneticPr fontId="12" type="noConversion"/>
  </si>
  <si>
    <t>MCR-WMDBE-CWP(40)</t>
    <phoneticPr fontId="12" type="noConversion"/>
  </si>
  <si>
    <t>PLN021-T0911330N2R-565</t>
    <phoneticPr fontId="12" type="noConversion"/>
  </si>
  <si>
    <t>PLN021-T0911365N2R-565</t>
    <phoneticPr fontId="12" type="noConversion"/>
  </si>
  <si>
    <t>PLN021-T0916340N2R-565</t>
    <phoneticPr fontId="12" type="noConversion"/>
  </si>
  <si>
    <t>PN185WCW-VF</t>
  </si>
  <si>
    <t>PN185WCW-VF(A)</t>
  </si>
  <si>
    <t>PN185WCW-MAIN</t>
  </si>
  <si>
    <t>PN185WCW-CON</t>
  </si>
  <si>
    <t>PNC01ACW-VF</t>
    <phoneticPr fontId="12" type="noConversion"/>
  </si>
  <si>
    <t>PNC12ACW-VF</t>
    <phoneticPr fontId="12" type="noConversion"/>
  </si>
  <si>
    <t>PNC05ACW-VFQ</t>
  </si>
  <si>
    <t>PNC07ACW-VFQ</t>
  </si>
  <si>
    <t>신</t>
    <phoneticPr fontId="12" type="noConversion"/>
  </si>
  <si>
    <t>V220S_MPNA</t>
  </si>
  <si>
    <t>V220SN_MPNA</t>
  </si>
  <si>
    <t>5505A</t>
    <phoneticPr fontId="12" type="noConversion"/>
  </si>
  <si>
    <t>5505B</t>
    <phoneticPr fontId="12" type="noConversion"/>
  </si>
  <si>
    <t>V220S_BPNA</t>
  </si>
  <si>
    <t>V220SN_BPNA</t>
  </si>
  <si>
    <t>5048C</t>
  </si>
  <si>
    <t>5048D</t>
  </si>
  <si>
    <t>A6524_RPN_BESPOKE_MAS</t>
  </si>
  <si>
    <t>39211E</t>
    <phoneticPr fontId="12" type="noConversion"/>
  </si>
  <si>
    <t>A6524_RPN_BESPOKE_INA</t>
  </si>
  <si>
    <t>A6524_RPN_BESPOKE_AUS</t>
  </si>
  <si>
    <t>39211G</t>
    <phoneticPr fontId="12" type="noConversion"/>
  </si>
  <si>
    <t>39211H</t>
    <phoneticPr fontId="12" type="noConversion"/>
  </si>
  <si>
    <t>4364B</t>
    <phoneticPr fontId="12" type="noConversion"/>
  </si>
  <si>
    <t>PN185WCW-VF(B)</t>
    <phoneticPr fontId="12" type="noConversion"/>
  </si>
  <si>
    <t>PN185WCW-VF(C)</t>
    <phoneticPr fontId="12" type="noConversion"/>
  </si>
  <si>
    <t>PN021BWJ-VF(D)</t>
    <phoneticPr fontId="12" type="noConversion"/>
  </si>
  <si>
    <t>PN052MWJ-VF(J)</t>
    <phoneticPr fontId="12" type="noConversion"/>
  </si>
  <si>
    <t>PLN021-T0936450N2C-565</t>
    <phoneticPr fontId="12" type="noConversion"/>
  </si>
  <si>
    <t>PLN021-T0916330N2R-565</t>
    <phoneticPr fontId="12" type="noConversion"/>
  </si>
  <si>
    <t>PLN021-T0916365N2R-565</t>
    <phoneticPr fontId="12" type="noConversion"/>
  </si>
  <si>
    <t>PLN051-B4039230N2S-565 (PLF045-D40W)</t>
    <phoneticPr fontId="12" type="noConversion"/>
  </si>
  <si>
    <t>PLN039-F3612250N2S-565</t>
    <phoneticPr fontId="12" type="noConversion"/>
  </si>
  <si>
    <t>PLN021-T0920350N2R-565</t>
    <phoneticPr fontId="12" type="noConversion"/>
  </si>
  <si>
    <t>PLN021-T0927850N2R-565</t>
    <phoneticPr fontId="12" type="noConversion"/>
  </si>
  <si>
    <t>PLN051-B2007130N2S-565 (PLF050-D07W)</t>
    <phoneticPr fontId="12" type="noConversion"/>
  </si>
  <si>
    <t>PLN051-B2011150N2S-565 (PLF050-D12W)</t>
    <phoneticPr fontId="12" type="noConversion"/>
  </si>
  <si>
    <t>PLN051-B2015130N2S-565 (PLF050-D16W)</t>
  </si>
  <si>
    <t>PLN051-B2015150N2S-565 (PLF050-D16W)</t>
  </si>
  <si>
    <t>PLN051-B2019130N2S-565 (PLF050-D20W)</t>
  </si>
  <si>
    <t>PLN051-B2019150N2S-565 (PLF050-D20W)</t>
  </si>
  <si>
    <t>PLN051-B4012230N2S-565 (PLF050-D12W)</t>
  </si>
  <si>
    <t>PLN051-B4012250N2S-565 (PLF050-D12W)</t>
  </si>
  <si>
    <t>PLN051-B4015230N2S-565 (PLF050-D16W)</t>
    <phoneticPr fontId="12" type="noConversion"/>
  </si>
  <si>
    <t>PLN051-B4019230N2S-565 (PLF050-D20W)</t>
  </si>
  <si>
    <t>PLN051-B4025230N2S-565 (PLF045-D25W)</t>
  </si>
  <si>
    <t>PLN051-B4025240N2S-565 (PLF045-D25W)</t>
  </si>
  <si>
    <t>PLN051-B4025265N2S-565 (PLF045-D25W)</t>
  </si>
  <si>
    <t>PLN051-B4031230N2S-565 (PLF045-D32W)</t>
  </si>
  <si>
    <t>PLN051-B4031240N2S-565 (PLF045-D32W)</t>
  </si>
  <si>
    <t>PLN051-B4031250N2S-565 (PLF045-D32W)</t>
  </si>
  <si>
    <t>PLN051-B4031265N2S-565 (PLF045-D32W)</t>
  </si>
  <si>
    <t>PN022WWJ-VF(A-1)</t>
    <phoneticPr fontId="12" type="noConversion"/>
  </si>
  <si>
    <t>PNC09ACW-VF</t>
    <phoneticPr fontId="12" type="noConversion"/>
  </si>
  <si>
    <t>P5015_APN</t>
  </si>
  <si>
    <t>P5015N_APN</t>
  </si>
  <si>
    <t>VG-FSA3BA/ZA</t>
  </si>
  <si>
    <t>VG-FSA3BA/XL</t>
  </si>
  <si>
    <t>PLN021-T0907130N2R-565</t>
    <phoneticPr fontId="12" type="noConversion"/>
  </si>
  <si>
    <t>PLN021-T0905650N2R-565</t>
  </si>
  <si>
    <t>PLN021-T0905750N2R-565</t>
  </si>
  <si>
    <t>330mm, 5K</t>
  </si>
  <si>
    <t>436mm, 5K</t>
  </si>
  <si>
    <t>PLN021-T0907140N2R-565</t>
    <phoneticPr fontId="12" type="noConversion"/>
  </si>
  <si>
    <t>PLN021-T0907165N2R-565</t>
    <phoneticPr fontId="12" type="noConversion"/>
  </si>
  <si>
    <t>PLN039-F5515350N2S-565</t>
    <phoneticPr fontId="12" type="noConversion"/>
  </si>
  <si>
    <t>PLN051-B4015250N2S-565 (PLF050-D16W)</t>
    <phoneticPr fontId="12" type="noConversion"/>
  </si>
  <si>
    <t>PN028SHA-20552R</t>
  </si>
  <si>
    <t>20552R</t>
  </si>
  <si>
    <t>PLN021-T0809130T4R-565</t>
    <phoneticPr fontId="12" type="noConversion"/>
  </si>
  <si>
    <t>PLN021-T0814340T4R-565</t>
    <phoneticPr fontId="12" type="noConversion"/>
  </si>
  <si>
    <t>PLN021-T0905630N2R-565</t>
    <phoneticPr fontId="12" type="noConversion"/>
  </si>
  <si>
    <t>PLN021-T0905730N2R-565</t>
    <phoneticPr fontId="12" type="noConversion"/>
  </si>
  <si>
    <t>PLN039-F9632430N2S-565</t>
    <phoneticPr fontId="12" type="noConversion"/>
  </si>
  <si>
    <t>PLN051-B2007150N2S-565</t>
    <phoneticPr fontId="12" type="noConversion"/>
  </si>
  <si>
    <t>PN052MWJ-VF(H)</t>
    <phoneticPr fontId="12" type="noConversion"/>
  </si>
  <si>
    <t>PN180WWJ-VF(A)</t>
    <phoneticPr fontId="12" type="noConversion"/>
  </si>
  <si>
    <t>V220S_BPNA</t>
    <phoneticPr fontId="12" type="noConversion"/>
  </si>
  <si>
    <t>5048C</t>
    <phoneticPr fontId="12" type="noConversion"/>
  </si>
  <si>
    <t>V220SN_BPNA</t>
    <phoneticPr fontId="12" type="noConversion"/>
  </si>
  <si>
    <t>5048D</t>
    <phoneticPr fontId="12" type="noConversion"/>
  </si>
  <si>
    <t>PLA064-D40</t>
  </si>
  <si>
    <t>PLA064-D60</t>
  </si>
  <si>
    <t>A14020_BPNW(SAMEX)</t>
    <phoneticPr fontId="12" type="noConversion"/>
  </si>
  <si>
    <t>A14020_BPN(SAMEX)</t>
    <phoneticPr fontId="12" type="noConversion"/>
  </si>
  <si>
    <t>1187C</t>
    <phoneticPr fontId="12" type="noConversion"/>
  </si>
  <si>
    <t>A3630D_TPN</t>
    <phoneticPr fontId="12" type="noConversion"/>
  </si>
  <si>
    <t>0013C</t>
    <phoneticPr fontId="12" type="noConversion"/>
  </si>
  <si>
    <t>1187D</t>
    <phoneticPr fontId="12" type="noConversion"/>
  </si>
  <si>
    <t>A14020N_BPN</t>
    <phoneticPr fontId="12" type="noConversion"/>
  </si>
  <si>
    <t>PN001ACW-MAIN(NEU)</t>
    <phoneticPr fontId="12" type="noConversion"/>
  </si>
  <si>
    <t>PN047WCW-VF</t>
    <phoneticPr fontId="12" type="noConversion"/>
  </si>
  <si>
    <t>PN060WCW-VF</t>
    <phoneticPr fontId="12" type="noConversion"/>
  </si>
  <si>
    <t>PNC02ACW-VF</t>
    <phoneticPr fontId="12" type="noConversion"/>
  </si>
  <si>
    <t>KINGBIRD-V2 N-TOEC</t>
    <phoneticPr fontId="12" type="noConversion"/>
  </si>
  <si>
    <t>4G156-60018</t>
  </si>
  <si>
    <t>PLN021-T0911350N2R-565A</t>
    <phoneticPr fontId="12" type="noConversion"/>
  </si>
  <si>
    <t>PLN021-T0916350N2R-565A</t>
    <phoneticPr fontId="12" type="noConversion"/>
  </si>
  <si>
    <t>PN185WCW-VF(D)</t>
    <phoneticPr fontId="12" type="noConversion"/>
  </si>
  <si>
    <t>A3026E_RPN</t>
    <phoneticPr fontId="12" type="noConversion"/>
  </si>
  <si>
    <t>A22020_BPN</t>
    <phoneticPr fontId="12" type="noConversion"/>
  </si>
  <si>
    <t>A3630T_TPN</t>
    <phoneticPr fontId="12" type="noConversion"/>
  </si>
  <si>
    <t>0013E</t>
    <phoneticPr fontId="12" type="noConversion"/>
  </si>
  <si>
    <t>A3630U_TPN(UAE)</t>
    <phoneticPr fontId="12" type="noConversion"/>
  </si>
  <si>
    <t>0013B</t>
    <phoneticPr fontId="12" type="noConversion"/>
  </si>
  <si>
    <t>MCR-WMSBE-CWP(40WI)</t>
  </si>
  <si>
    <t>PNC03ACW-VF(IN)</t>
    <phoneticPr fontId="12" type="noConversion"/>
  </si>
  <si>
    <t>1207A</t>
    <phoneticPr fontId="12" type="noConversion"/>
  </si>
  <si>
    <t>749H</t>
    <phoneticPr fontId="12" type="noConversion"/>
  </si>
  <si>
    <t>P2514N_BPN</t>
  </si>
  <si>
    <t>PLN051-B2007140N2S-565</t>
    <phoneticPr fontId="12" type="noConversion"/>
  </si>
  <si>
    <t>PLN051-B2015165N2S-565 (PLF050-D16W)</t>
    <phoneticPr fontId="12" type="noConversion"/>
  </si>
  <si>
    <t>PLN051-B4015265N2S-565 (PLF050-D16W)</t>
    <phoneticPr fontId="12" type="noConversion"/>
  </si>
  <si>
    <t>PLN051-B4039265N2S-565 (PLF045-D40W)</t>
    <phoneticPr fontId="12" type="noConversion"/>
  </si>
  <si>
    <t>PLN021-T0907530N2R-565</t>
    <phoneticPr fontId="12" type="noConversion"/>
  </si>
  <si>
    <t>PLN021-T0907550N2R-565</t>
    <phoneticPr fontId="12" type="noConversion"/>
  </si>
  <si>
    <t>PLN039-F2707130N2S-565</t>
    <phoneticPr fontId="12" type="noConversion"/>
  </si>
  <si>
    <t>PLN039-F2707140N2S-565</t>
    <phoneticPr fontId="12" type="noConversion"/>
  </si>
  <si>
    <t>PN001ACW-MAIN(NJP)</t>
    <phoneticPr fontId="12" type="noConversion"/>
  </si>
  <si>
    <t>PN022WWJ-VF(B)</t>
    <phoneticPr fontId="12" type="noConversion"/>
  </si>
  <si>
    <t>PN022WWJ-VF(B-1)</t>
    <phoneticPr fontId="12" type="noConversion"/>
  </si>
  <si>
    <t>삼진</t>
    <phoneticPr fontId="12" type="noConversion"/>
  </si>
  <si>
    <t>SMPS</t>
    <phoneticPr fontId="12" type="noConversion"/>
  </si>
  <si>
    <t>AV</t>
    <phoneticPr fontId="12" type="noConversion"/>
  </si>
  <si>
    <t>A4024_FPN_C(SJ)</t>
    <phoneticPr fontId="12" type="noConversion"/>
  </si>
  <si>
    <t>V250S_APND(SJ)</t>
    <phoneticPr fontId="12" type="noConversion"/>
  </si>
  <si>
    <t>-</t>
    <phoneticPr fontId="12" type="noConversion"/>
  </si>
  <si>
    <t>-</t>
    <phoneticPr fontId="12" type="noConversion"/>
  </si>
  <si>
    <t>PLN021-T0927830N2R-565</t>
    <phoneticPr fontId="12" type="noConversion"/>
  </si>
  <si>
    <t>PLN021-T0936430N2C-565</t>
    <phoneticPr fontId="12" type="noConversion"/>
  </si>
  <si>
    <t>PN001ACW-MAIN(CN)</t>
    <phoneticPr fontId="12" type="noConversion"/>
  </si>
  <si>
    <t>PN016ACW-VF(A)</t>
    <phoneticPr fontId="12" type="noConversion"/>
  </si>
  <si>
    <t>PN036MWJ-VF(C)</t>
    <phoneticPr fontId="12" type="noConversion"/>
  </si>
  <si>
    <t>PN037WCW-VF(EU)</t>
    <phoneticPr fontId="12" type="noConversion"/>
  </si>
  <si>
    <t>PN180WWJ-VF(B)</t>
    <phoneticPr fontId="12" type="noConversion"/>
  </si>
  <si>
    <t>SLPS-602FCOT</t>
  </si>
  <si>
    <t>SLPS-A00FEOT</t>
  </si>
  <si>
    <t>0610B</t>
    <phoneticPr fontId="12" type="noConversion"/>
  </si>
  <si>
    <t>0795A</t>
    <phoneticPr fontId="12" type="noConversion"/>
  </si>
  <si>
    <t>P2514_BPN HF</t>
    <phoneticPr fontId="12" type="noConversion"/>
  </si>
  <si>
    <t>749K</t>
    <phoneticPr fontId="12" type="noConversion"/>
  </si>
  <si>
    <t>P2514N_BPN HF</t>
    <phoneticPr fontId="12" type="noConversion"/>
  </si>
  <si>
    <t>749J</t>
    <phoneticPr fontId="12" type="noConversion"/>
  </si>
  <si>
    <t>1150C</t>
    <phoneticPr fontId="12" type="noConversion"/>
  </si>
  <si>
    <t>P3514_APN HF</t>
    <phoneticPr fontId="12" type="noConversion"/>
  </si>
  <si>
    <t>P4519S_APN HF</t>
    <phoneticPr fontId="12" type="noConversion"/>
  </si>
  <si>
    <t>1139C</t>
    <phoneticPr fontId="12" type="noConversion"/>
  </si>
  <si>
    <t>P6519_APN HF</t>
    <phoneticPr fontId="12" type="noConversion"/>
  </si>
  <si>
    <t>1132C</t>
    <phoneticPr fontId="12" type="noConversion"/>
  </si>
  <si>
    <t>P10020_APN HF</t>
    <phoneticPr fontId="12" type="noConversion"/>
  </si>
  <si>
    <t>1138C</t>
    <phoneticPr fontId="12" type="noConversion"/>
  </si>
  <si>
    <t>FOXCONN</t>
    <phoneticPr fontId="12" type="noConversion"/>
  </si>
  <si>
    <t xml:space="preserve">KG4100_GBOX </t>
    <phoneticPr fontId="12" type="noConversion"/>
  </si>
  <si>
    <t>PLD070-D17</t>
    <phoneticPr fontId="12" type="noConversion"/>
  </si>
  <si>
    <t>PLD074-D27</t>
    <phoneticPr fontId="12" type="noConversion"/>
  </si>
  <si>
    <t>제균용</t>
    <phoneticPr fontId="12" type="noConversion"/>
  </si>
  <si>
    <t>PLN065-D751750-560</t>
    <phoneticPr fontId="12" type="noConversion"/>
  </si>
  <si>
    <t>PLN065-D752750-560</t>
    <phoneticPr fontId="12" type="noConversion"/>
  </si>
  <si>
    <t>PN034WCW-PUMP(A)</t>
    <phoneticPr fontId="12" type="noConversion"/>
  </si>
  <si>
    <t>PN115WCW-VF(M)</t>
    <phoneticPr fontId="12" type="noConversion"/>
  </si>
  <si>
    <t>A2626N_BPN_W</t>
    <phoneticPr fontId="12" type="noConversion"/>
  </si>
  <si>
    <t>0010B</t>
    <phoneticPr fontId="12" type="noConversion"/>
  </si>
  <si>
    <t>A3630N_BPN</t>
    <phoneticPr fontId="12" type="noConversion"/>
  </si>
  <si>
    <t>0013J</t>
    <phoneticPr fontId="12" type="noConversion"/>
  </si>
  <si>
    <t>PLN021-T0809530T4R-565</t>
    <phoneticPr fontId="12" type="noConversion"/>
  </si>
  <si>
    <t>PLN021-T0809540T4R-565</t>
    <phoneticPr fontId="12" type="noConversion"/>
  </si>
  <si>
    <t>PLN021-T0809550T4R-565</t>
    <phoneticPr fontId="12" type="noConversion"/>
  </si>
  <si>
    <t>PLN021-T0814365T4R-565</t>
    <phoneticPr fontId="12" type="noConversion"/>
  </si>
  <si>
    <t>PN001ACW-MAIN(TW)</t>
    <phoneticPr fontId="12" type="noConversion"/>
  </si>
  <si>
    <t>PN052MWJ-VF(EU)</t>
    <phoneticPr fontId="12" type="noConversion"/>
  </si>
  <si>
    <t>PN185WCW-MAIN(BORK)</t>
    <phoneticPr fontId="12" type="noConversion"/>
  </si>
  <si>
    <t>PN185WCW-VF(BORK)</t>
    <phoneticPr fontId="12" type="noConversion"/>
  </si>
  <si>
    <t>SLPS-250FEOT</t>
    <phoneticPr fontId="12" type="noConversion"/>
  </si>
  <si>
    <t>0675A</t>
    <phoneticPr fontId="12" type="noConversion"/>
  </si>
  <si>
    <t>A14020_BPNW(EU)</t>
    <phoneticPr fontId="12" type="noConversion"/>
  </si>
  <si>
    <t>A14020_BPN(EU)</t>
    <phoneticPr fontId="12" type="noConversion"/>
  </si>
  <si>
    <t>AMTRAN VN</t>
    <phoneticPr fontId="12" type="noConversion"/>
  </si>
  <si>
    <t>KINGBIRD-V2 N GWI</t>
    <phoneticPr fontId="12" type="noConversion"/>
  </si>
  <si>
    <t>635F4-60009</t>
    <phoneticPr fontId="12" type="noConversion"/>
  </si>
  <si>
    <t>PN025SHA-21808V(EN2)</t>
  </si>
  <si>
    <t>PN025SHA-21808X(KR3)</t>
  </si>
  <si>
    <t>21808V</t>
  </si>
  <si>
    <t>21808X</t>
  </si>
  <si>
    <t>PLN039-F3612230N2S-565</t>
    <phoneticPr fontId="12" type="noConversion"/>
  </si>
  <si>
    <t>PLN039-F5515330N2S-565</t>
    <phoneticPr fontId="12" type="noConversion"/>
  </si>
  <si>
    <t>PLN051-B4012240N2S-565 (PLF050-D12W)</t>
    <phoneticPr fontId="12" type="noConversion"/>
  </si>
  <si>
    <t>PLN051-B4015240N2S-565 (PLF050-D16W)</t>
    <phoneticPr fontId="12" type="noConversion"/>
  </si>
  <si>
    <t>PLN051-B4039240N2S-565 (PLF045-D40W)</t>
    <phoneticPr fontId="12" type="noConversion"/>
  </si>
  <si>
    <t>0007K</t>
    <phoneticPr fontId="12" type="noConversion"/>
  </si>
  <si>
    <t>A3026G_RPN</t>
    <phoneticPr fontId="12" type="noConversion"/>
  </si>
  <si>
    <t>자이럭스</t>
    <phoneticPr fontId="12" type="noConversion"/>
  </si>
  <si>
    <t>A4024_FPN_C(ZY)</t>
  </si>
  <si>
    <t>V200SR_EPN V(ZY)</t>
  </si>
  <si>
    <t>GW-ME6110</t>
    <phoneticPr fontId="12" type="noConversion"/>
  </si>
  <si>
    <t>PLN039-F5515340N2S-565</t>
    <phoneticPr fontId="12" type="noConversion"/>
  </si>
  <si>
    <t>PLN051-B2015140N2S-565 (PLF050-D16W)</t>
    <phoneticPr fontId="12" type="noConversion"/>
  </si>
  <si>
    <t>PN003ACW-CLASSIC(JP)</t>
    <phoneticPr fontId="12" type="noConversion"/>
  </si>
  <si>
    <t>PN038BWJ-VF(A)</t>
    <phoneticPr fontId="12" type="noConversion"/>
  </si>
  <si>
    <t>A2626_TPN_W</t>
    <phoneticPr fontId="12" type="noConversion"/>
  </si>
  <si>
    <t>A6524_RPN_BESPOKE_TAI</t>
    <phoneticPr fontId="12" type="noConversion"/>
  </si>
  <si>
    <t>39211K</t>
    <phoneticPr fontId="12" type="noConversion"/>
  </si>
  <si>
    <t>A22020_BPN(EI)</t>
    <phoneticPr fontId="12" type="noConversion"/>
  </si>
  <si>
    <t>1207B</t>
    <phoneticPr fontId="12" type="noConversion"/>
  </si>
  <si>
    <t>PLN051-B4052250N2U-560</t>
    <phoneticPr fontId="12" type="noConversion"/>
  </si>
  <si>
    <t>PLN065-D751740-560</t>
    <phoneticPr fontId="12" type="noConversion"/>
  </si>
  <si>
    <t>PN003ACW-CLASSIC2</t>
    <phoneticPr fontId="12" type="noConversion"/>
  </si>
  <si>
    <t>PLN072-T0807150N2R-565</t>
    <phoneticPr fontId="12" type="noConversion"/>
  </si>
  <si>
    <t>PLN072-T0811350N2R-565</t>
    <phoneticPr fontId="12" type="noConversion"/>
  </si>
  <si>
    <t>PLN072-T0816350N2R-565</t>
    <phoneticPr fontId="12" type="noConversion"/>
  </si>
  <si>
    <t>1200mm</t>
    <phoneticPr fontId="12" type="noConversion"/>
  </si>
  <si>
    <t>1200mm</t>
    <phoneticPr fontId="12" type="noConversion"/>
  </si>
  <si>
    <t>600mm</t>
    <phoneticPr fontId="12" type="noConversion"/>
  </si>
  <si>
    <t>PN029WCW-TANK(A)</t>
  </si>
  <si>
    <t>PN029WCW-TANK(A-1)</t>
  </si>
  <si>
    <t>PN029WCW-TANK(B)</t>
  </si>
  <si>
    <t>PN029WCW-TANK(B-1)</t>
  </si>
  <si>
    <t>PN048WWJ-VF(CN)</t>
    <phoneticPr fontId="12" type="noConversion"/>
  </si>
  <si>
    <t>PN050ACW-AMKEY(A)</t>
    <phoneticPr fontId="12" type="noConversion"/>
  </si>
  <si>
    <t>경동나비엔</t>
    <phoneticPr fontId="12" type="noConversion"/>
  </si>
  <si>
    <t>Adaptor</t>
    <phoneticPr fontId="12" type="noConversion"/>
  </si>
  <si>
    <t>온열매트</t>
    <phoneticPr fontId="12" type="noConversion"/>
  </si>
  <si>
    <t>A150KDN-VF</t>
    <phoneticPr fontId="12" type="noConversion"/>
  </si>
  <si>
    <t>MCR-WMSBI-CWP(40)</t>
    <phoneticPr fontId="12" type="noConversion"/>
  </si>
  <si>
    <t>PLL035-D14-37MN</t>
    <phoneticPr fontId="12" type="noConversion"/>
  </si>
  <si>
    <t>PLL035-D18-47MN</t>
    <phoneticPr fontId="12" type="noConversion"/>
  </si>
  <si>
    <t>PN037WCW-VF(T)</t>
    <phoneticPr fontId="12" type="noConversion"/>
  </si>
  <si>
    <t>PN011SHA(C)</t>
    <phoneticPr fontId="12" type="noConversion"/>
  </si>
  <si>
    <t>PN011SHA(D)</t>
    <phoneticPr fontId="12" type="noConversion"/>
  </si>
  <si>
    <t>5049C</t>
    <phoneticPr fontId="12" type="noConversion"/>
  </si>
  <si>
    <t>5049D</t>
    <phoneticPr fontId="12" type="noConversion"/>
  </si>
  <si>
    <t>PLN065-D752740-560</t>
    <phoneticPr fontId="12" type="noConversion"/>
  </si>
  <si>
    <t>PLN072-T0820350N2R-565</t>
    <phoneticPr fontId="12" type="noConversion"/>
  </si>
  <si>
    <t>1200mm</t>
    <phoneticPr fontId="12" type="noConversion"/>
  </si>
  <si>
    <t>PLN073-B2007150N2W-565</t>
  </si>
  <si>
    <t>PLN073-B2011150N2W-565</t>
  </si>
  <si>
    <t>PLN073-B4012250N2W-565</t>
  </si>
  <si>
    <t>PLN073-B4015250N2W-565</t>
  </si>
  <si>
    <t>PLN073-B4025250N2W-565</t>
  </si>
  <si>
    <t>PLN073-B4031250N2W-565</t>
  </si>
  <si>
    <t>PLN074-F3612230N2S-565</t>
  </si>
  <si>
    <t>PLN074-F3612240N2S-565</t>
  </si>
  <si>
    <t>PLN074-F3612250N2S-565</t>
  </si>
  <si>
    <t>PLN074-F5515350N2S-565</t>
  </si>
  <si>
    <t>PN029WCW-VF</t>
    <phoneticPr fontId="12" type="noConversion"/>
  </si>
  <si>
    <t>PN048WWJ-VF(M)</t>
    <phoneticPr fontId="12" type="noConversion"/>
  </si>
  <si>
    <t>PN051BCW-VF(B)</t>
    <phoneticPr fontId="12" type="noConversion"/>
  </si>
  <si>
    <t>PLD070-D15</t>
    <phoneticPr fontId="12" type="noConversion"/>
  </si>
  <si>
    <t>PLD077-D11</t>
    <phoneticPr fontId="12" type="noConversion"/>
  </si>
  <si>
    <t>PLD077-D05</t>
    <phoneticPr fontId="12" type="noConversion"/>
  </si>
  <si>
    <t>PLD077-D08</t>
    <phoneticPr fontId="12" type="noConversion"/>
  </si>
  <si>
    <t>PN049BCW-VF</t>
    <phoneticPr fontId="12" type="noConversion"/>
  </si>
  <si>
    <t>PN054HTCA-3440RQPZ</t>
    <phoneticPr fontId="12" type="noConversion"/>
  </si>
  <si>
    <t>5401A</t>
    <phoneticPr fontId="12" type="noConversion"/>
  </si>
  <si>
    <t>Tonly</t>
    <phoneticPr fontId="12" type="noConversion"/>
  </si>
  <si>
    <t>GGEC</t>
    <phoneticPr fontId="12" type="noConversion"/>
  </si>
  <si>
    <t>A6024N_FPN_C</t>
    <phoneticPr fontId="12" type="noConversion"/>
  </si>
  <si>
    <t>A5919_DPN V</t>
    <phoneticPr fontId="12" type="noConversion"/>
  </si>
  <si>
    <t>A5919_DPNS V</t>
    <phoneticPr fontId="12" type="noConversion"/>
  </si>
  <si>
    <t>A5919_DPNT V</t>
    <phoneticPr fontId="12" type="noConversion"/>
  </si>
  <si>
    <t>-</t>
    <phoneticPr fontId="12" type="noConversion"/>
  </si>
  <si>
    <t>F32E6_CPN</t>
    <phoneticPr fontId="12" type="noConversion"/>
  </si>
  <si>
    <t>1256A</t>
    <phoneticPr fontId="12" type="noConversion"/>
  </si>
  <si>
    <t>PLL028-D14-35MN</t>
    <phoneticPr fontId="12" type="noConversion"/>
  </si>
  <si>
    <t>PLL028-D14D</t>
    <phoneticPr fontId="12" type="noConversion"/>
  </si>
  <si>
    <t>PLL030-P28DN</t>
    <phoneticPr fontId="12" type="noConversion"/>
  </si>
  <si>
    <t>PLN072-T0807550N2R-565</t>
    <phoneticPr fontId="12" type="noConversion"/>
  </si>
  <si>
    <t>PLN072-T0811330N2R-565</t>
    <phoneticPr fontId="12" type="noConversion"/>
  </si>
  <si>
    <t>PLN072-T0811340N2R-565</t>
    <phoneticPr fontId="12" type="noConversion"/>
  </si>
  <si>
    <t>PLN072-T0816330N2R-565</t>
    <phoneticPr fontId="12" type="noConversion"/>
  </si>
  <si>
    <t>PLN072-T0816340N2R-565</t>
    <phoneticPr fontId="12" type="noConversion"/>
  </si>
  <si>
    <t>PLN072-T0827830N2R-565</t>
    <phoneticPr fontId="12" type="noConversion"/>
  </si>
  <si>
    <t>PLN072-T0827850N2R-565</t>
    <phoneticPr fontId="12" type="noConversion"/>
  </si>
  <si>
    <t>PN035MWJ-VF</t>
    <phoneticPr fontId="12" type="noConversion"/>
  </si>
  <si>
    <t>PN043WCW-TANK(SA)</t>
    <phoneticPr fontId="12" type="noConversion"/>
  </si>
  <si>
    <t>PN048WWJ-V1</t>
    <phoneticPr fontId="12" type="noConversion"/>
  </si>
  <si>
    <t>PN048WWJ-V2</t>
    <phoneticPr fontId="12" type="noConversion"/>
  </si>
  <si>
    <t>V200SR_CPN</t>
    <phoneticPr fontId="12" type="noConversion"/>
  </si>
  <si>
    <t>16912A</t>
    <phoneticPr fontId="12" type="noConversion"/>
  </si>
  <si>
    <t>A150KDN-VF(GRAY)</t>
    <phoneticPr fontId="12" type="noConversion"/>
  </si>
  <si>
    <t>L50F7_DPN</t>
    <phoneticPr fontId="12" type="noConversion"/>
  </si>
  <si>
    <t>L55F8_DPN</t>
    <phoneticPr fontId="12" type="noConversion"/>
  </si>
  <si>
    <t>PLD070-D15L</t>
    <phoneticPr fontId="12" type="noConversion"/>
  </si>
  <si>
    <t>PLD077-D05L</t>
    <phoneticPr fontId="12" type="noConversion"/>
  </si>
  <si>
    <t>PLD077-D08L</t>
    <phoneticPr fontId="12" type="noConversion"/>
  </si>
  <si>
    <t>PLD077-D11L</t>
    <phoneticPr fontId="12" type="noConversion"/>
  </si>
  <si>
    <t>PLL029-D09-24MN</t>
    <phoneticPr fontId="12" type="noConversion"/>
  </si>
  <si>
    <t>PLL030-P28-35MN</t>
    <phoneticPr fontId="12" type="noConversion"/>
  </si>
  <si>
    <t>PLN021-T0911350N2R-565F</t>
    <phoneticPr fontId="12" type="noConversion"/>
  </si>
  <si>
    <t>PLN021-T0916350N2R-565F</t>
    <phoneticPr fontId="12" type="noConversion"/>
  </si>
  <si>
    <t>`</t>
    <phoneticPr fontId="12" type="noConversion"/>
  </si>
  <si>
    <t>PLN065-D750530-565L</t>
    <phoneticPr fontId="12" type="noConversion"/>
  </si>
  <si>
    <t>PLN065-D750550-565L</t>
    <phoneticPr fontId="12" type="noConversion"/>
  </si>
  <si>
    <t>PLN065-D750830-565L</t>
    <phoneticPr fontId="12" type="noConversion"/>
  </si>
  <si>
    <t>PLN065-D750850-565L</t>
    <phoneticPr fontId="12" type="noConversion"/>
  </si>
  <si>
    <t>PLN065-D751150-565L</t>
    <phoneticPr fontId="12" type="noConversion"/>
  </si>
  <si>
    <t>PLN065-D751530-565L</t>
    <phoneticPr fontId="12" type="noConversion"/>
  </si>
  <si>
    <t>PLN065-D751550-565L</t>
    <phoneticPr fontId="12" type="noConversion"/>
  </si>
  <si>
    <t>PLN072-T0805750N2R-565</t>
    <phoneticPr fontId="12" type="noConversion"/>
  </si>
  <si>
    <t>PLN072-T0807130N2R-565</t>
    <phoneticPr fontId="12" type="noConversion"/>
  </si>
  <si>
    <t>PLN072-T0811365N2R-565</t>
    <phoneticPr fontId="12" type="noConversion"/>
  </si>
  <si>
    <t>PLN072-T0816365N2R-565</t>
    <phoneticPr fontId="12" type="noConversion"/>
  </si>
  <si>
    <t>PLN074-F2707150N2S-565</t>
    <phoneticPr fontId="12" type="noConversion"/>
  </si>
  <si>
    <t>PN016ACW-VF(B)</t>
    <phoneticPr fontId="12" type="noConversion"/>
  </si>
  <si>
    <t>PN016ACW-MAIN(KEY)</t>
    <phoneticPr fontId="12" type="noConversion"/>
  </si>
  <si>
    <t>V200SR_CPN</t>
    <phoneticPr fontId="12" type="noConversion"/>
  </si>
  <si>
    <t>16912A</t>
    <phoneticPr fontId="12" type="noConversion"/>
  </si>
  <si>
    <t>V220S_MPNA</t>
    <phoneticPr fontId="12" type="noConversion"/>
  </si>
  <si>
    <t>5505A</t>
    <phoneticPr fontId="12" type="noConversion"/>
  </si>
  <si>
    <t>L43F7_DPN</t>
    <phoneticPr fontId="12" type="noConversion"/>
  </si>
  <si>
    <t>1117C</t>
    <phoneticPr fontId="12" type="noConversion"/>
  </si>
  <si>
    <t>1118C</t>
    <phoneticPr fontId="12" type="noConversion"/>
  </si>
  <si>
    <t>1119C</t>
    <phoneticPr fontId="12" type="noConversion"/>
  </si>
  <si>
    <t>V250S_DPNB</t>
    <phoneticPr fontId="12" type="noConversion"/>
  </si>
  <si>
    <t>PLN074-F9632450N2S-565</t>
    <phoneticPr fontId="12" type="noConversion"/>
  </si>
  <si>
    <t>A5919_DPNSW V</t>
    <phoneticPr fontId="12" type="noConversion"/>
  </si>
  <si>
    <t>A5919_DPNTW V</t>
    <phoneticPr fontId="12" type="noConversion"/>
  </si>
  <si>
    <t>A5919_DPNW V</t>
    <phoneticPr fontId="12" type="noConversion"/>
  </si>
  <si>
    <t>L55S6_DVD</t>
    <phoneticPr fontId="12" type="noConversion"/>
  </si>
  <si>
    <t>L65S6N_DVD</t>
    <phoneticPr fontId="12" type="noConversion"/>
  </si>
  <si>
    <t>L75S6N_DVD</t>
    <phoneticPr fontId="12" type="noConversion"/>
  </si>
  <si>
    <t>L85S6N_DVD</t>
    <phoneticPr fontId="12" type="noConversion"/>
  </si>
  <si>
    <t>PN185WCW-VF(E)</t>
    <phoneticPr fontId="12" type="noConversion"/>
  </si>
  <si>
    <t>PNC13ACW-VF</t>
    <phoneticPr fontId="12" type="noConversion"/>
  </si>
  <si>
    <t>A5919_DPN V</t>
  </si>
  <si>
    <t>A5919_DPNW V</t>
  </si>
  <si>
    <t>A5919_DPNS V</t>
  </si>
  <si>
    <t>A5919_DPNSW V</t>
  </si>
  <si>
    <t>A5919_DPNT V</t>
  </si>
  <si>
    <t>A5919_DPNTW V</t>
  </si>
  <si>
    <t>A5919_DPNC V</t>
  </si>
  <si>
    <t>17317A</t>
  </si>
  <si>
    <t>17317B</t>
  </si>
  <si>
    <t>17247A</t>
  </si>
  <si>
    <t>17247B</t>
  </si>
  <si>
    <t>17248A</t>
  </si>
  <si>
    <t>17248B</t>
  </si>
  <si>
    <t>17297A</t>
  </si>
  <si>
    <t>A5919_DPNC V</t>
    <phoneticPr fontId="12" type="noConversion"/>
  </si>
  <si>
    <t>L43S6_DVD</t>
  </si>
  <si>
    <t>L43S6N_DVD</t>
  </si>
  <si>
    <t>PLN065-D751735-560</t>
    <phoneticPr fontId="12" type="noConversion"/>
  </si>
  <si>
    <t>PLN072-T0805650N2R-565</t>
    <phoneticPr fontId="12" type="noConversion"/>
  </si>
  <si>
    <t>PLN072-T0807565N2R-565</t>
    <phoneticPr fontId="12" type="noConversion"/>
  </si>
  <si>
    <t>PLN074-F5515330N2S-565</t>
    <phoneticPr fontId="12" type="noConversion"/>
  </si>
  <si>
    <t>PLN074-F5515340N2S-565</t>
    <phoneticPr fontId="12" type="noConversion"/>
  </si>
  <si>
    <t>PN036MWJ-VF(D)</t>
    <phoneticPr fontId="12" type="noConversion"/>
  </si>
  <si>
    <t>PN185WCW-VF(M)</t>
    <phoneticPr fontId="12" type="noConversion"/>
  </si>
  <si>
    <t>V200SR_CPN</t>
  </si>
  <si>
    <t>PLN051-B4031350N2S-565</t>
    <phoneticPr fontId="12" type="noConversion"/>
  </si>
  <si>
    <t>PLN072-T0816350N2D-565</t>
    <phoneticPr fontId="12" type="noConversion"/>
  </si>
  <si>
    <t>`</t>
    <phoneticPr fontId="12" type="noConversion"/>
  </si>
  <si>
    <t>PLN074-F2707130N2S-565</t>
    <phoneticPr fontId="12" type="noConversion"/>
  </si>
  <si>
    <t>PLN074-F5520350T2S-565</t>
    <phoneticPr fontId="12" type="noConversion"/>
  </si>
  <si>
    <t>PN001SHA-V2</t>
    <phoneticPr fontId="12" type="noConversion"/>
  </si>
  <si>
    <t xml:space="preserve">PN015SHA(A) </t>
    <phoneticPr fontId="12" type="noConversion"/>
  </si>
  <si>
    <t>5705A</t>
    <phoneticPr fontId="12" type="noConversion"/>
  </si>
  <si>
    <t>Basic</t>
    <phoneticPr fontId="12" type="noConversion"/>
  </si>
  <si>
    <t>PN025SHA-24205D</t>
    <phoneticPr fontId="12" type="noConversion"/>
  </si>
  <si>
    <t>PN025SHA-24205G</t>
    <phoneticPr fontId="12" type="noConversion"/>
  </si>
  <si>
    <t>24205D</t>
    <phoneticPr fontId="12" type="noConversion"/>
  </si>
  <si>
    <t>24205G</t>
    <phoneticPr fontId="12" type="noConversion"/>
  </si>
  <si>
    <t>PN031BCW-VF(A)</t>
    <phoneticPr fontId="12" type="noConversion"/>
  </si>
  <si>
    <t>EMS</t>
    <phoneticPr fontId="12" type="noConversion"/>
  </si>
  <si>
    <t>마이티 청정기</t>
    <phoneticPr fontId="12" type="noConversion"/>
  </si>
  <si>
    <t>1266A</t>
    <phoneticPr fontId="12" type="noConversion"/>
  </si>
  <si>
    <t>1266B</t>
    <phoneticPr fontId="12" type="noConversion"/>
  </si>
  <si>
    <t>1267A</t>
    <phoneticPr fontId="12" type="noConversion"/>
  </si>
  <si>
    <t>L55S6N_DVD</t>
    <phoneticPr fontId="12" type="noConversion"/>
  </si>
  <si>
    <t>1267B</t>
    <phoneticPr fontId="12" type="noConversion"/>
  </si>
  <si>
    <t>L65S6_DVD</t>
    <phoneticPr fontId="12" type="noConversion"/>
  </si>
  <si>
    <t>1268A</t>
    <phoneticPr fontId="12" type="noConversion"/>
  </si>
  <si>
    <t>1268B</t>
    <phoneticPr fontId="12" type="noConversion"/>
  </si>
  <si>
    <t>1269A</t>
    <phoneticPr fontId="12" type="noConversion"/>
  </si>
  <si>
    <t>1270A</t>
    <phoneticPr fontId="12" type="noConversion"/>
  </si>
  <si>
    <t>RAKEN</t>
    <phoneticPr fontId="12" type="noConversion"/>
  </si>
  <si>
    <t>A2514_RPN(RAKEN)</t>
    <phoneticPr fontId="12" type="noConversion"/>
  </si>
  <si>
    <t>A2514N_RPN(RAKEN)</t>
    <phoneticPr fontId="12" type="noConversion"/>
  </si>
  <si>
    <t>A2514_RPN(AMTRAN)</t>
    <phoneticPr fontId="12" type="noConversion"/>
  </si>
  <si>
    <t>A2514N_RPN(AMTRAN)</t>
    <phoneticPr fontId="12" type="noConversion"/>
  </si>
  <si>
    <t>A2514_RPN(HKC)</t>
    <phoneticPr fontId="12" type="noConversion"/>
  </si>
  <si>
    <t>A2514N_RPN(HKC)</t>
    <phoneticPr fontId="12" type="noConversion"/>
  </si>
  <si>
    <t>A3514_RPN(HKC)</t>
    <phoneticPr fontId="12" type="noConversion"/>
  </si>
  <si>
    <t>A3514N_RPN(HKC)</t>
    <phoneticPr fontId="12" type="noConversion"/>
  </si>
  <si>
    <t>A2514_RPN(AUO)</t>
    <phoneticPr fontId="12" type="noConversion"/>
  </si>
  <si>
    <t>A2514N_RPN(AUO)</t>
    <phoneticPr fontId="12" type="noConversion"/>
  </si>
  <si>
    <t>A3514_RPN(AUO)</t>
    <phoneticPr fontId="12" type="noConversion"/>
  </si>
  <si>
    <t>A3514N_RPN(AUO)</t>
    <phoneticPr fontId="12" type="noConversion"/>
  </si>
  <si>
    <t>A2514_RPN(Foxconn)</t>
    <phoneticPr fontId="12" type="noConversion"/>
  </si>
  <si>
    <t>A2514N_RPN(Foxconn)</t>
    <phoneticPr fontId="12" type="noConversion"/>
  </si>
  <si>
    <t>A3514_RPN(Foxconn)</t>
    <phoneticPr fontId="12" type="noConversion"/>
  </si>
  <si>
    <t>A3514N_RPN(Foxconn)</t>
    <phoneticPr fontId="12" type="noConversion"/>
  </si>
  <si>
    <t>TPV</t>
    <phoneticPr fontId="12" type="noConversion"/>
  </si>
  <si>
    <t>A2514_RPN(TPV)</t>
    <phoneticPr fontId="12" type="noConversion"/>
  </si>
  <si>
    <t>A2514N_RPN(TPV)</t>
    <phoneticPr fontId="12" type="noConversion"/>
  </si>
  <si>
    <t>A4024_FPN_C(TL)</t>
    <phoneticPr fontId="12" type="noConversion"/>
  </si>
  <si>
    <t>A6024N_FPN_C(TL)</t>
    <phoneticPr fontId="12" type="noConversion"/>
  </si>
  <si>
    <t>A4024_FPN_C(GGEC)</t>
    <phoneticPr fontId="12" type="noConversion"/>
  </si>
  <si>
    <t>A10020_DPN</t>
    <phoneticPr fontId="12" type="noConversion"/>
  </si>
  <si>
    <t>-</t>
    <phoneticPr fontId="12" type="noConversion"/>
  </si>
  <si>
    <t>PN029WCW-TANK(C)</t>
    <phoneticPr fontId="12" type="noConversion"/>
  </si>
  <si>
    <t>PN105WCW-RY</t>
    <phoneticPr fontId="12" type="noConversion"/>
  </si>
  <si>
    <t>PN185WCW-VF(TW)</t>
    <phoneticPr fontId="12" type="noConversion"/>
  </si>
  <si>
    <t>PLN072-T0805630N2R-565</t>
    <phoneticPr fontId="12" type="noConversion"/>
  </si>
  <si>
    <t>V125S_APN</t>
    <phoneticPr fontId="12" type="noConversion"/>
  </si>
  <si>
    <t>V200SRN_CPN</t>
    <phoneticPr fontId="12" type="noConversion"/>
  </si>
  <si>
    <t>16913A</t>
    <phoneticPr fontId="12" type="noConversion"/>
  </si>
  <si>
    <t>CORETRONIC</t>
    <phoneticPr fontId="12" type="noConversion"/>
  </si>
  <si>
    <t>A5919N_DPNT V</t>
    <phoneticPr fontId="12" type="noConversion"/>
  </si>
  <si>
    <t>17248C</t>
    <phoneticPr fontId="12" type="noConversion"/>
  </si>
  <si>
    <t>PLN072-T0807630N2R-565</t>
    <phoneticPr fontId="12" type="noConversion"/>
  </si>
  <si>
    <t>PLN072-T0807650N2R-565</t>
    <phoneticPr fontId="12" type="noConversion"/>
  </si>
  <si>
    <t>PLN072-T0811730N2R-565</t>
    <phoneticPr fontId="12" type="noConversion"/>
  </si>
  <si>
    <t>PLN072-T0811750N2R-565</t>
    <phoneticPr fontId="12" type="noConversion"/>
  </si>
  <si>
    <t>V250SN_DPNB</t>
    <phoneticPr fontId="12" type="noConversion"/>
  </si>
  <si>
    <t>A150KDN-VF_USA</t>
    <phoneticPr fontId="12" type="noConversion"/>
  </si>
  <si>
    <t>MCR-WMDBE-CWP(40W)</t>
    <phoneticPr fontId="12" type="noConversion"/>
  </si>
  <si>
    <t>990A</t>
    <phoneticPr fontId="12" type="noConversion"/>
  </si>
  <si>
    <t>A3514_RPN(TPV)</t>
    <phoneticPr fontId="12" type="noConversion"/>
  </si>
  <si>
    <t>A3514N_RPN(TPV)</t>
    <phoneticPr fontId="12" type="noConversion"/>
  </si>
  <si>
    <t>A4024_FPN_C(BJ_CKD)</t>
    <phoneticPr fontId="12" type="noConversion"/>
  </si>
  <si>
    <t>990C</t>
    <phoneticPr fontId="12" type="noConversion"/>
  </si>
  <si>
    <t>A3514_RPN(CC)</t>
    <phoneticPr fontId="12" type="noConversion"/>
  </si>
  <si>
    <t>A5919N_DPNS V</t>
    <phoneticPr fontId="12" type="noConversion"/>
  </si>
  <si>
    <t>A5919N_DPNSW V</t>
    <phoneticPr fontId="12" type="noConversion"/>
  </si>
  <si>
    <t>17247C</t>
    <phoneticPr fontId="12" type="noConversion"/>
  </si>
  <si>
    <t>17247D</t>
    <phoneticPr fontId="12" type="noConversion"/>
  </si>
  <si>
    <t>PN185WCW-VF(SG)</t>
    <phoneticPr fontId="12" type="noConversion"/>
  </si>
  <si>
    <t>17248A</t>
    <phoneticPr fontId="12" type="noConversion"/>
  </si>
  <si>
    <t>PLN073-B4025250N2U-560</t>
    <phoneticPr fontId="12" type="noConversion"/>
  </si>
  <si>
    <t>PLN073-B4048250N2U-560</t>
    <phoneticPr fontId="12" type="noConversion"/>
  </si>
  <si>
    <t>PN048WWJ-V3</t>
    <phoneticPr fontId="12" type="noConversion"/>
  </si>
  <si>
    <t>KTC</t>
    <phoneticPr fontId="12" type="noConversion"/>
  </si>
  <si>
    <t>A2514_RPN(KTC)</t>
    <phoneticPr fontId="12" type="noConversion"/>
  </si>
  <si>
    <t>A2514N_RPN(KTC)</t>
    <phoneticPr fontId="12" type="noConversion"/>
  </si>
  <si>
    <t>P2514_DPN</t>
    <phoneticPr fontId="12" type="noConversion"/>
  </si>
  <si>
    <t>PN029WCW-TANK(M)</t>
    <phoneticPr fontId="12" type="noConversion"/>
  </si>
  <si>
    <t>L55S6N_DVD_CKD</t>
  </si>
  <si>
    <t>L65S6N_DVD_CKD</t>
  </si>
  <si>
    <t>1266B</t>
  </si>
  <si>
    <t>1267B</t>
  </si>
  <si>
    <t>1268B</t>
  </si>
  <si>
    <t>구</t>
    <phoneticPr fontId="12" type="noConversion"/>
  </si>
  <si>
    <t>X</t>
    <phoneticPr fontId="12" type="noConversion"/>
  </si>
  <si>
    <t>신</t>
    <phoneticPr fontId="12" type="noConversion"/>
  </si>
  <si>
    <t>구</t>
    <phoneticPr fontId="12" type="noConversion"/>
  </si>
  <si>
    <t>X</t>
    <phoneticPr fontId="12" type="noConversion"/>
  </si>
  <si>
    <t>L43S6_DVD_CKD_SEASA</t>
  </si>
  <si>
    <t>1266A</t>
  </si>
  <si>
    <t>L55S6_DVD_CKD_SEASA</t>
  </si>
  <si>
    <t>1267A</t>
  </si>
  <si>
    <t>L65S6_DVD_CKD_SEASA</t>
  </si>
  <si>
    <t>1268A</t>
  </si>
  <si>
    <t>L75S6N_DVD_CKD_SEASA</t>
  </si>
  <si>
    <t>1269A</t>
  </si>
  <si>
    <t>A3514_RPN(AMTRAN)</t>
  </si>
  <si>
    <t>A3514N_RPN(AMTRAN)</t>
  </si>
  <si>
    <t>A3514_RPN(BOE)</t>
  </si>
  <si>
    <t>A3514N_RPN(BOE)</t>
  </si>
  <si>
    <t>PLN021-T0936440N2C-565</t>
    <phoneticPr fontId="12" type="noConversion"/>
  </si>
  <si>
    <t>PLN072-T0811350N2R-565F</t>
    <phoneticPr fontId="12" type="noConversion"/>
  </si>
  <si>
    <t>PLN072-T0816350N2R-565F</t>
    <phoneticPr fontId="12" type="noConversion"/>
  </si>
  <si>
    <t>PN041WCW-TANK(A)</t>
    <phoneticPr fontId="12" type="noConversion"/>
  </si>
  <si>
    <t>0715A</t>
    <phoneticPr fontId="12" type="noConversion"/>
  </si>
  <si>
    <t>0715B</t>
    <phoneticPr fontId="12" type="noConversion"/>
  </si>
  <si>
    <t>0715C</t>
    <phoneticPr fontId="12" type="noConversion"/>
  </si>
  <si>
    <t>0715D</t>
    <phoneticPr fontId="12" type="noConversion"/>
  </si>
  <si>
    <t>0715E</t>
    <phoneticPr fontId="12" type="noConversion"/>
  </si>
  <si>
    <t>0715F</t>
    <phoneticPr fontId="12" type="noConversion"/>
  </si>
  <si>
    <t>0715G</t>
    <phoneticPr fontId="12" type="noConversion"/>
  </si>
  <si>
    <t>0715H</t>
    <phoneticPr fontId="12" type="noConversion"/>
  </si>
  <si>
    <t>0715J</t>
    <phoneticPr fontId="12" type="noConversion"/>
  </si>
  <si>
    <t>0715K</t>
    <phoneticPr fontId="12" type="noConversion"/>
  </si>
  <si>
    <t>A2515_FPN</t>
  </si>
  <si>
    <t>A2515_FPNW</t>
  </si>
  <si>
    <t>A4520_FPN</t>
  </si>
  <si>
    <t>P2514N_DPN</t>
  </si>
  <si>
    <t>P2514Z_DPN</t>
  </si>
  <si>
    <t>PN048WCW-TANK(M)</t>
    <phoneticPr fontId="12" type="noConversion"/>
  </si>
  <si>
    <t>PN085SHA-VF(PI)</t>
    <phoneticPr fontId="12" type="noConversion"/>
  </si>
  <si>
    <t>0795C</t>
    <phoneticPr fontId="12" type="noConversion"/>
  </si>
  <si>
    <t>PNA-CHAMP_USA WH</t>
  </si>
  <si>
    <t>PNA-CHAMP_USA BG</t>
  </si>
  <si>
    <t>PNA-MAGNUM_USA WH(WIFI)</t>
  </si>
  <si>
    <t>PNA-MAGNUM_USA BG(WIFI)</t>
  </si>
  <si>
    <t>챔프</t>
    <phoneticPr fontId="12" type="noConversion"/>
  </si>
  <si>
    <t>매그넘</t>
    <phoneticPr fontId="12" type="noConversion"/>
  </si>
  <si>
    <t>APR</t>
    <phoneticPr fontId="12" type="noConversion"/>
  </si>
  <si>
    <t>배터리</t>
    <phoneticPr fontId="12" type="noConversion"/>
  </si>
  <si>
    <t>CEL 602053-700mAh</t>
  </si>
  <si>
    <t>CEL 3S1P-603063-1400mAh</t>
  </si>
  <si>
    <t>CEL 113840-1900mAh</t>
    <phoneticPr fontId="12" type="noConversion"/>
  </si>
  <si>
    <t>PLN021-T0809140T4R-565</t>
    <phoneticPr fontId="12" type="noConversion"/>
  </si>
  <si>
    <t>V220SB_FPN</t>
    <phoneticPr fontId="12" type="noConversion"/>
  </si>
  <si>
    <t>V380SW_FPN</t>
    <phoneticPr fontId="12" type="noConversion"/>
  </si>
  <si>
    <t>A2514_RPN_CKD</t>
  </si>
  <si>
    <t>A3514_RPN_CKD</t>
  </si>
  <si>
    <t>업    체</t>
  </si>
  <si>
    <t>모델명</t>
  </si>
  <si>
    <t>합계 : 수량</t>
  </si>
  <si>
    <t>합계 : 금액</t>
  </si>
  <si>
    <t xml:space="preserve"> EASTECH(동아)
(혜주)</t>
  </si>
  <si>
    <t>16912A</t>
  </si>
  <si>
    <t>AH81-15048C</t>
  </si>
  <si>
    <t>AH81-15505A</t>
  </si>
  <si>
    <t xml:space="preserve"> SAMEX
 (멕시코)</t>
  </si>
  <si>
    <t>P230NQ_TPN</t>
  </si>
  <si>
    <t>1098A</t>
  </si>
  <si>
    <t>1117C</t>
  </si>
  <si>
    <t>L43F7_DPN</t>
  </si>
  <si>
    <t>1118C</t>
  </si>
  <si>
    <t>L50F7_DPN</t>
  </si>
  <si>
    <t>1137A</t>
  </si>
  <si>
    <t>A10024_APN</t>
  </si>
  <si>
    <t>1207B</t>
  </si>
  <si>
    <t>A22020_BPN(EI)</t>
  </si>
  <si>
    <t>887A</t>
  </si>
  <si>
    <t>A2514_RPN</t>
  </si>
  <si>
    <t xml:space="preserve"> SEH
(헝가리)</t>
  </si>
  <si>
    <t>1119C</t>
  </si>
  <si>
    <t>L55F8_DPN</t>
  </si>
  <si>
    <t>746F</t>
  </si>
  <si>
    <t>746G</t>
  </si>
  <si>
    <t xml:space="preserve"> SESK
(슬로바키아)</t>
  </si>
  <si>
    <t xml:space="preserve"> SIEL C
(인도)</t>
  </si>
  <si>
    <t>P270NQ_TPN</t>
  </si>
  <si>
    <t xml:space="preserve"> 기타</t>
  </si>
  <si>
    <t>AUO</t>
  </si>
  <si>
    <t>A2514_RPN(BOE)</t>
  </si>
  <si>
    <t>BUMJIN
(혜주)</t>
  </si>
  <si>
    <t>AH81-09783A</t>
  </si>
  <si>
    <t>A4024_FPN_C(BJ)</t>
  </si>
  <si>
    <t>V250S_DPNB</t>
  </si>
  <si>
    <t>CORETRONICS</t>
  </si>
  <si>
    <t>A10020_DPN</t>
  </si>
  <si>
    <t>FOXCONN</t>
  </si>
  <si>
    <t>GUOGUANG</t>
  </si>
  <si>
    <t>HKC</t>
  </si>
  <si>
    <t>HVV</t>
  </si>
  <si>
    <t>EP06-004364B</t>
  </si>
  <si>
    <t>PN053HTCA-9300RW</t>
  </si>
  <si>
    <t>RAKEN VN</t>
  </si>
  <si>
    <t>Raymond
(레이몬드)</t>
  </si>
  <si>
    <t>PN052MWJ-VF(B)</t>
  </si>
  <si>
    <t>PN052MWJ-VF(C)</t>
  </si>
  <si>
    <t>PN054ACW-JAGUAR(B)</t>
  </si>
  <si>
    <t>PN054ACW-JAGUAR(TW)</t>
  </si>
  <si>
    <t>SEDA M</t>
  </si>
  <si>
    <t>L55S6_DVD</t>
  </si>
  <si>
    <t>L65S6_DVD</t>
  </si>
  <si>
    <t>L75S6N_DVD</t>
  </si>
  <si>
    <t>SEEG
(이집트)</t>
  </si>
  <si>
    <t>1098B</t>
  </si>
  <si>
    <t>P4519N_APN</t>
  </si>
  <si>
    <t>L55S6N_DVD</t>
  </si>
  <si>
    <t>L65S6N_DVD</t>
  </si>
  <si>
    <t>1270A</t>
  </si>
  <si>
    <t>L85S6N_DVD</t>
  </si>
  <si>
    <t>749K</t>
  </si>
  <si>
    <t>887D</t>
  </si>
  <si>
    <t>SEHC</t>
  </si>
  <si>
    <t>1122A</t>
  </si>
  <si>
    <t>F24SFD_APN</t>
  </si>
  <si>
    <t>1150C</t>
  </si>
  <si>
    <t>1256A</t>
  </si>
  <si>
    <t>F32E6_CPN</t>
  </si>
  <si>
    <t>749J</t>
  </si>
  <si>
    <t>842F</t>
  </si>
  <si>
    <t>882B</t>
  </si>
  <si>
    <t>F32E1P_RPN</t>
  </si>
  <si>
    <t>SEHC(가전)</t>
  </si>
  <si>
    <t>A3026E_RPN  v</t>
  </si>
  <si>
    <t>A3026K_RPN  v</t>
  </si>
  <si>
    <t>A3630E_TPN  v</t>
  </si>
  <si>
    <t>South Africa(남아공)</t>
  </si>
  <si>
    <t>A2514N_RPN</t>
  </si>
  <si>
    <t>SSEC(가전)</t>
  </si>
  <si>
    <t>TONLY</t>
  </si>
  <si>
    <t>TPV</t>
  </si>
  <si>
    <t>WHF</t>
  </si>
  <si>
    <t>JC44-00090H</t>
  </si>
  <si>
    <t>PSPN2-TYPE3-V2</t>
  </si>
  <si>
    <t>JC44-00206D</t>
  </si>
  <si>
    <t>JC44-00212D</t>
  </si>
  <si>
    <t>PNX4300-CITRINE</t>
  </si>
  <si>
    <t>JC44-00214C</t>
  </si>
  <si>
    <t>CARLSEN-V2 R</t>
  </si>
  <si>
    <t>JC44-00223G</t>
  </si>
  <si>
    <t>PSPN2-TYPE3R-V2 A(Lite)</t>
  </si>
  <si>
    <t>JC44-00242A</t>
  </si>
  <si>
    <t>PNC3010-HV</t>
  </si>
  <si>
    <t>ZYLUX</t>
  </si>
  <si>
    <t>경동나비엔</t>
  </si>
  <si>
    <t>뉴모텍</t>
  </si>
  <si>
    <t>A3630K_TPN  v</t>
  </si>
  <si>
    <t>대덕코퍼레이션</t>
  </si>
  <si>
    <t>PLN072-T0807150N2R-565</t>
  </si>
  <si>
    <t>대덕코퍼레이션(중계)</t>
  </si>
  <si>
    <t>두영실업</t>
  </si>
  <si>
    <t>머큐리</t>
  </si>
  <si>
    <t>삼성 VD</t>
  </si>
  <si>
    <t>삼성생활가전</t>
  </si>
  <si>
    <t>PN003SHA(B)</t>
  </si>
  <si>
    <t>PN003SHA(C)</t>
  </si>
  <si>
    <t>PN003SHA(D)</t>
  </si>
  <si>
    <t>PN003SHA(E)</t>
  </si>
  <si>
    <t>PN003SHA(F)</t>
  </si>
  <si>
    <t>PN005SHA(A)</t>
  </si>
  <si>
    <t>PN008SHA(A)</t>
  </si>
  <si>
    <t>PN015SHA(A)</t>
  </si>
  <si>
    <t>관세환급금</t>
  </si>
  <si>
    <t>세고스</t>
  </si>
  <si>
    <t>워피온</t>
  </si>
  <si>
    <t>재원정밀</t>
  </si>
  <si>
    <t>PN050ACW-AMKEY(A)</t>
  </si>
  <si>
    <t>코웨이(유구)</t>
  </si>
  <si>
    <t>PN003ACW-CLASSIC</t>
  </si>
  <si>
    <t>PN003ACW-CLASSIC(BO)</t>
  </si>
  <si>
    <t>PN003ACW-CLASSIC(MY)</t>
  </si>
  <si>
    <t>PN003ACW-CLASSIC2</t>
  </si>
  <si>
    <t>PN006WCW-FND</t>
  </si>
  <si>
    <t>PN011MWJ-VF(A)</t>
  </si>
  <si>
    <t>PN020ACW-V2(A)</t>
  </si>
  <si>
    <t>PN022WWJ-VF(A-1)</t>
  </si>
  <si>
    <t>PN022WWJ-VF(B-1)</t>
  </si>
  <si>
    <t>PN029WCW-TANK(C)</t>
  </si>
  <si>
    <t>PN036MWJ-VF</t>
  </si>
  <si>
    <t>PN036MWJ-VF(A)</t>
  </si>
  <si>
    <t>PN036MWJ-VF(C)</t>
  </si>
  <si>
    <t>PN037WCW-VF</t>
  </si>
  <si>
    <t>PN037WCW-VF(A)</t>
  </si>
  <si>
    <t>PN037WCW-VF(EU)</t>
  </si>
  <si>
    <t>PN037WCW-VF(M)</t>
  </si>
  <si>
    <t>PN045WCW-FILTER</t>
  </si>
  <si>
    <t>PN045WCW-VDC(B)</t>
  </si>
  <si>
    <t>PN047WCW-VF</t>
  </si>
  <si>
    <t>PN048WWJ-V1</t>
  </si>
  <si>
    <t>PN048WWJ-VF</t>
  </si>
  <si>
    <t>PN048WWJ-VF(A)</t>
  </si>
  <si>
    <t>PN048WWJ-VF(M)</t>
  </si>
  <si>
    <t>PN052MWJ-VF(J)</t>
  </si>
  <si>
    <t>PN053WWJ-VF(C)</t>
  </si>
  <si>
    <t>PN060WCW-VF</t>
  </si>
  <si>
    <t>PN105WCW-RY</t>
  </si>
  <si>
    <t>PN120MWJ-VF(D)</t>
  </si>
  <si>
    <t>PN120MWJ-VF(G)</t>
  </si>
  <si>
    <t>PN120MWJ-VF(I)</t>
  </si>
  <si>
    <t>PN120MWJ-VF(J)</t>
  </si>
  <si>
    <t>PN130ACW-VF</t>
  </si>
  <si>
    <t>PN180WWJ-VF(B)</t>
  </si>
  <si>
    <t>PN185WCW-VF(B)</t>
  </si>
  <si>
    <t>PN185WCW-VF(TW)</t>
  </si>
  <si>
    <t>PN20K-24J33</t>
  </si>
  <si>
    <t>PN20U-24J33</t>
  </si>
  <si>
    <t>PN270WCW-VF</t>
  </si>
  <si>
    <t>PNC12ACW-VF</t>
  </si>
  <si>
    <t>코웨이(인천)</t>
  </si>
  <si>
    <t>PN021BWJ-VF(A)</t>
  </si>
  <si>
    <t>PN021BWJ-VF(B)</t>
  </si>
  <si>
    <t>PN031BCW-VF(A)</t>
  </si>
  <si>
    <t>PN038BWJ-VF(A)</t>
  </si>
  <si>
    <t>PN039BCW-VF</t>
  </si>
  <si>
    <t>PN049BCW-VF</t>
  </si>
  <si>
    <t>PN051BCW-VF</t>
  </si>
  <si>
    <t>PN051BCW-VF(A)</t>
  </si>
  <si>
    <t>PN051BCW-VF(B)</t>
  </si>
  <si>
    <t>PN185WCW-VF(C)</t>
  </si>
  <si>
    <t>PN185WCW-VF(D)</t>
  </si>
  <si>
    <t>코웨이(포천)</t>
  </si>
  <si>
    <t>PN036MWJ-VF(D)</t>
  </si>
  <si>
    <t>파세코</t>
  </si>
  <si>
    <t>PN080MCW-VF</t>
  </si>
  <si>
    <t>파츠플러스</t>
  </si>
  <si>
    <t>PN110SHA-VF</t>
  </si>
  <si>
    <t>SLPS_602FCOT</t>
  </si>
  <si>
    <t>플라텔</t>
  </si>
  <si>
    <t>한화비전</t>
  </si>
  <si>
    <t>월</t>
    <phoneticPr fontId="3" type="noConversion"/>
  </si>
  <si>
    <t>업체</t>
    <phoneticPr fontId="3" type="noConversion"/>
  </si>
  <si>
    <t>AV JDM</t>
    <phoneticPr fontId="3" type="noConversion"/>
  </si>
  <si>
    <t>기타</t>
    <phoneticPr fontId="3" type="noConversion"/>
  </si>
  <si>
    <t>MNT JDM</t>
    <phoneticPr fontId="3" type="noConversion"/>
  </si>
  <si>
    <t>JDM</t>
    <phoneticPr fontId="3" type="noConversion"/>
  </si>
  <si>
    <t>한화비전</t>
    <phoneticPr fontId="3" type="noConversion"/>
  </si>
  <si>
    <t>경동나비엔</t>
    <phoneticPr fontId="3" type="noConversion"/>
  </si>
  <si>
    <t>대덕</t>
    <phoneticPr fontId="3" type="noConversion"/>
  </si>
  <si>
    <t>머큐리</t>
    <phoneticPr fontId="3" type="noConversion"/>
  </si>
  <si>
    <t>대분류</t>
    <phoneticPr fontId="3" type="noConversion"/>
  </si>
  <si>
    <t>16913A</t>
  </si>
  <si>
    <t>V200SRN_CPN</t>
  </si>
  <si>
    <t>AMTRAN VN</t>
  </si>
  <si>
    <t>A2514_RPN(AMTRAN)</t>
  </si>
  <si>
    <t>A3514_RPN(HKC)</t>
  </si>
  <si>
    <t>EP06-000337</t>
  </si>
  <si>
    <t>W4(PN005STCA(N))</t>
  </si>
  <si>
    <t>1024A</t>
  </si>
  <si>
    <t>A14024_TPN</t>
  </si>
  <si>
    <t>1024B</t>
  </si>
  <si>
    <t>A2514_RPN(TPV)</t>
  </si>
  <si>
    <t>JC44-00205A</t>
  </si>
  <si>
    <t>JC44-00237D</t>
  </si>
  <si>
    <t>PNK4350-PEARL</t>
  </si>
  <si>
    <t>JC44-00243A</t>
  </si>
  <si>
    <t>PNC3020-HV</t>
  </si>
  <si>
    <t>XINBAO
(동림전자)</t>
  </si>
  <si>
    <t>PN001ACW-MAIN(EU)</t>
  </si>
  <si>
    <t>동인하이텍</t>
  </si>
  <si>
    <t>PN051BCW-HEATER</t>
  </si>
  <si>
    <t>무등스크린</t>
  </si>
  <si>
    <t>에이치피프린팅코리아</t>
  </si>
  <si>
    <t>PN130ACW-VF(A)</t>
  </si>
  <si>
    <t>PN20E-24J33</t>
  </si>
  <si>
    <t>PN021BWJ-VF</t>
  </si>
  <si>
    <t>A5919N_DPNT V</t>
  </si>
  <si>
    <t>V250SN_DPNB</t>
  </si>
  <si>
    <t>PN054ACW-JAGUAR(IN)</t>
  </si>
  <si>
    <t>JC44-00240C</t>
  </si>
  <si>
    <t>PNMX7N-HV</t>
  </si>
  <si>
    <t>대창</t>
  </si>
  <si>
    <t>무궁화전자</t>
  </si>
  <si>
    <t>알비코리아
(코웨이)</t>
  </si>
  <si>
    <t>제성</t>
  </si>
  <si>
    <t>코웨이 EMS</t>
  </si>
  <si>
    <t>PNA-MIGHTY_USA BK2</t>
  </si>
  <si>
    <t>PNA-MIGHTY_USA WH2</t>
  </si>
  <si>
    <t>PN011MWJ-V1</t>
  </si>
  <si>
    <t>PN20A-24J33</t>
  </si>
  <si>
    <t>PN026BWJ-S1400</t>
  </si>
  <si>
    <t>PN026BWJ-VF(A)</t>
  </si>
  <si>
    <t>PN185WCW-VF(M)</t>
  </si>
  <si>
    <t>PN009SHA(B)</t>
  </si>
  <si>
    <t>플로우웨이</t>
  </si>
  <si>
    <t>A5919N_DPNS V</t>
  </si>
  <si>
    <t>A3630T_TPN  v</t>
  </si>
  <si>
    <t>PLN072-T0805750N2R-565</t>
  </si>
  <si>
    <t>PN018ACW-PLASMA</t>
  </si>
  <si>
    <t>PN018ACW-VF(A)</t>
  </si>
  <si>
    <t>990C</t>
  </si>
  <si>
    <t>A3514_RPN(CC)</t>
  </si>
  <si>
    <t>A3026T_RPN  v</t>
  </si>
  <si>
    <t>A3514_RPN(TPV)</t>
  </si>
  <si>
    <t>PN048WWJ-V3</t>
  </si>
  <si>
    <t>태양광</t>
  </si>
  <si>
    <t>KTC</t>
  </si>
  <si>
    <t>1266B CKD</t>
  </si>
  <si>
    <t>A3630H_TPN  v</t>
  </si>
  <si>
    <t>A3630U_TPN  v</t>
  </si>
  <si>
    <t>P2514_DPN</t>
  </si>
  <si>
    <t>PN029WCW-TANK(M)</t>
  </si>
  <si>
    <t>1266A CKD</t>
  </si>
  <si>
    <t>A3026H_RPN  v</t>
  </si>
  <si>
    <t>A3026U_RPN  v</t>
  </si>
  <si>
    <t>PLD077-D11</t>
  </si>
  <si>
    <t>V220SB_FPN</t>
  </si>
  <si>
    <t>V380SW_FPN</t>
  </si>
  <si>
    <t>오비오</t>
  </si>
  <si>
    <t>BP81-00715A</t>
  </si>
  <si>
    <t>BP81-00715D</t>
  </si>
  <si>
    <t>BP81-00715E</t>
  </si>
  <si>
    <t>BP81-00715F</t>
  </si>
  <si>
    <t>PN085SHA-VF(PI)</t>
  </si>
  <si>
    <t>PN029WCW-VF</t>
  </si>
  <si>
    <t>PN048WCW-TANK(M)</t>
  </si>
  <si>
    <t>HP Singapore</t>
  </si>
  <si>
    <t>Lite-on</t>
  </si>
  <si>
    <t>989A CKD</t>
  </si>
  <si>
    <t>PLD077-D08</t>
  </si>
  <si>
    <t>에이피알</t>
  </si>
  <si>
    <t>에이피알팩토리</t>
  </si>
  <si>
    <t>베터리</t>
    <phoneticPr fontId="3" type="noConversion"/>
  </si>
  <si>
    <t>삼성 VD</t>
    <phoneticPr fontId="3" type="noConversion"/>
  </si>
  <si>
    <t>삼성 생활가전</t>
    <phoneticPr fontId="3" type="noConversion"/>
  </si>
  <si>
    <t>1291A</t>
    <phoneticPr fontId="12" type="noConversion"/>
  </si>
  <si>
    <t>1291B</t>
    <phoneticPr fontId="12" type="noConversion"/>
  </si>
  <si>
    <t>1291C</t>
    <phoneticPr fontId="12" type="noConversion"/>
  </si>
  <si>
    <t>PN110WCW-VF(SG)</t>
    <phoneticPr fontId="12" type="noConversion"/>
  </si>
  <si>
    <t>V120SB_FPNB</t>
    <phoneticPr fontId="12" type="noConversion"/>
  </si>
  <si>
    <t>V150SB_FPNB</t>
    <phoneticPr fontId="12" type="noConversion"/>
  </si>
  <si>
    <t>1291A</t>
  </si>
  <si>
    <t>V120SB_FPNB</t>
  </si>
  <si>
    <t>V150SB_FPNB</t>
  </si>
  <si>
    <t>1291C</t>
  </si>
  <si>
    <t>PLD077-D05</t>
  </si>
  <si>
    <t>PLN065-D750530-565</t>
  </si>
  <si>
    <t>PLN065-D750830-565</t>
  </si>
  <si>
    <t>PLN051-B2007150N2S-565A</t>
    <phoneticPr fontId="12" type="noConversion"/>
  </si>
  <si>
    <t>PN050ACW-VF(A-1)</t>
    <phoneticPr fontId="12" type="noConversion"/>
  </si>
  <si>
    <t>PLN021-T1019350T4S-562</t>
  </si>
  <si>
    <t>PN050ACW-VF(A-1)</t>
  </si>
  <si>
    <t>MCR-WMDBE-CWP(402BI)</t>
  </si>
  <si>
    <t>MCR-WMDBE-CWP(402WI)</t>
  </si>
  <si>
    <t>PNA-MAGNUM_USA BG</t>
  </si>
  <si>
    <t>PNA-MAGNUM_USA WH</t>
  </si>
  <si>
    <t>PLN072-T0807165N2R-565</t>
    <phoneticPr fontId="12" type="noConversion"/>
  </si>
  <si>
    <t>L43S6N_DVD_CKD</t>
    <phoneticPr fontId="12" type="noConversion"/>
  </si>
  <si>
    <t>P2514_DPN_CKD</t>
    <phoneticPr fontId="12" type="noConversion"/>
  </si>
  <si>
    <t>A2515_FPN(BN44-01347A)</t>
  </si>
  <si>
    <t>1347A</t>
  </si>
  <si>
    <t>A2515_FPN(BN44-01347B)</t>
  </si>
  <si>
    <t>1347B</t>
  </si>
  <si>
    <t>A2515_FPN(BN44-01347D)</t>
  </si>
  <si>
    <t>1347D</t>
  </si>
  <si>
    <t>A2515_FPN(BN44-01347E)</t>
  </si>
  <si>
    <t>1347E</t>
  </si>
  <si>
    <t>A2515_FPN(BN44-01347F)</t>
  </si>
  <si>
    <t>1347F</t>
  </si>
  <si>
    <t>A2515_FPN(BN44-01347G)</t>
  </si>
  <si>
    <t>1347G</t>
  </si>
  <si>
    <t>A2515_FPN(BN44-01347H)</t>
  </si>
  <si>
    <t>1347H</t>
  </si>
  <si>
    <t>A2515_FPN(BN44-01347J)</t>
  </si>
  <si>
    <t>1347J</t>
  </si>
  <si>
    <t>A2515_FPN(BN44-01347K)</t>
  </si>
  <si>
    <t>1347K</t>
  </si>
  <si>
    <t>A2515_FPNW(BN44-01348A)</t>
  </si>
  <si>
    <t>1348A</t>
  </si>
  <si>
    <t>A2515_FPNW(BN44-01348B)</t>
  </si>
  <si>
    <t>1348B</t>
  </si>
  <si>
    <t>A2515_FPNW(BN44-01348D)</t>
  </si>
  <si>
    <t>1348D</t>
  </si>
  <si>
    <t>A2515_FPNW(BN44-01348E)</t>
  </si>
  <si>
    <t>1348E</t>
  </si>
  <si>
    <t>A2515_FPNW(BN44-01348F)</t>
  </si>
  <si>
    <t>1348F</t>
  </si>
  <si>
    <t>A2515_FPNW(BN44-01348G)</t>
  </si>
  <si>
    <t>1348G</t>
  </si>
  <si>
    <t>A2515_FPNW(BN44-01348H)</t>
  </si>
  <si>
    <t>1348H</t>
  </si>
  <si>
    <t>A2515_FPNW(BN44-01348J)</t>
  </si>
  <si>
    <t>1348J</t>
  </si>
  <si>
    <t>A2515_FPNW(BN44-01348K)</t>
  </si>
  <si>
    <t>1348K</t>
  </si>
  <si>
    <t>A4520_FPN(BN44-01345A)</t>
  </si>
  <si>
    <t>1345A</t>
  </si>
  <si>
    <t>A4520_FPN(BN44-01345B)</t>
  </si>
  <si>
    <t>1345B</t>
  </si>
  <si>
    <t>A4520_FPN(BN44-01345D)</t>
  </si>
  <si>
    <t>1345D</t>
  </si>
  <si>
    <t>A4520_FPN(BN44-01345E)</t>
  </si>
  <si>
    <t>1345E</t>
  </si>
  <si>
    <t>A4520_FPN(BN44-01345F)</t>
  </si>
  <si>
    <t>1345F</t>
  </si>
  <si>
    <t>A4520_FPN(BN44-01345G)</t>
  </si>
  <si>
    <t>1345G</t>
  </si>
  <si>
    <t>A4520_FPN(BN44-01345H)</t>
  </si>
  <si>
    <t>1345H</t>
  </si>
  <si>
    <t>A4520_FPN(BN44-01345J)</t>
  </si>
  <si>
    <t>1345J</t>
  </si>
  <si>
    <t>A4520_FPN(BN44-01345K)</t>
  </si>
  <si>
    <t>1345K</t>
  </si>
  <si>
    <t>A4520_FPNW(BN44-01346A)</t>
  </si>
  <si>
    <t>1346A</t>
  </si>
  <si>
    <t>A4520_FPNW(BN44-01346B)</t>
  </si>
  <si>
    <t>1346B</t>
  </si>
  <si>
    <t>A4520_FPNW(BN44-01346D)</t>
  </si>
  <si>
    <t>1346D</t>
  </si>
  <si>
    <t>A4520_FPNW(BN44-01346E)</t>
  </si>
  <si>
    <t>1346E</t>
  </si>
  <si>
    <t>A4520_FPNW(BN44-01346F)</t>
  </si>
  <si>
    <t>1346F</t>
  </si>
  <si>
    <t>A4520_FPNW(BN44-01346G)</t>
  </si>
  <si>
    <t>1346G</t>
  </si>
  <si>
    <t>A4520_FPNW(BN44-01346H)</t>
  </si>
  <si>
    <t>1346H</t>
  </si>
  <si>
    <t>A4520_FPNW(BN44-01346J)</t>
  </si>
  <si>
    <t>1346J</t>
  </si>
  <si>
    <t>A4520_FPNW(BN44-01346K)</t>
  </si>
  <si>
    <t>1346K</t>
  </si>
  <si>
    <t>PN016SHA(A)</t>
    <phoneticPr fontId="12" type="noConversion"/>
  </si>
  <si>
    <t>5049E</t>
    <phoneticPr fontId="12" type="noConversion"/>
  </si>
  <si>
    <t>PN120MWJ-VF(H)</t>
    <phoneticPr fontId="12" type="noConversion"/>
  </si>
  <si>
    <t>PN001ACW-MAIN(US)</t>
    <phoneticPr fontId="12" type="noConversion"/>
  </si>
  <si>
    <t>PN049BCW-VF(M)</t>
    <phoneticPr fontId="12" type="noConversion"/>
  </si>
  <si>
    <t>PLN051-B2007165N2S-565A</t>
    <phoneticPr fontId="12" type="noConversion"/>
  </si>
  <si>
    <t>PLN051-B4019250N2S-565A</t>
    <phoneticPr fontId="12" type="noConversion"/>
  </si>
  <si>
    <t>PLN051-B4025250N2S-565A</t>
    <phoneticPr fontId="12" type="noConversion"/>
  </si>
  <si>
    <t>PLN051-B4025265N2S-565A</t>
    <phoneticPr fontId="12" type="noConversion"/>
  </si>
  <si>
    <t>PLN051-B4031250N2S-565A</t>
    <phoneticPr fontId="12" type="noConversion"/>
  </si>
  <si>
    <t>PLN072-T0816335N2R-565</t>
    <phoneticPr fontId="12" type="noConversion"/>
  </si>
  <si>
    <t>PLN072-T0820330N2R-565</t>
    <phoneticPr fontId="12" type="noConversion"/>
  </si>
  <si>
    <t>PLN074-F2707135N2S-565</t>
    <phoneticPr fontId="12" type="noConversion"/>
  </si>
  <si>
    <t>PNA-MIGHTY_USA WH</t>
    <phoneticPr fontId="12" type="noConversion"/>
  </si>
  <si>
    <t>PNA-MIGHTY_USA BK</t>
    <phoneticPr fontId="12" type="noConversion"/>
  </si>
  <si>
    <t>BN44-01345E</t>
  </si>
  <si>
    <t>BN44-01345D</t>
  </si>
  <si>
    <t>BN44-01345F</t>
  </si>
  <si>
    <t>BN44-01345H</t>
  </si>
  <si>
    <t>BN44-01345J</t>
  </si>
  <si>
    <t>자강산업</t>
  </si>
  <si>
    <t>PN016SHA(A)</t>
  </si>
  <si>
    <t>PN049BCW-VF(M)</t>
  </si>
  <si>
    <t>BN44-01348E</t>
  </si>
  <si>
    <t>57A37-60019</t>
  </si>
  <si>
    <t>PLN051-B4025250N2S-565A</t>
  </si>
  <si>
    <t>PLN051-B4025265N2S-565A</t>
  </si>
  <si>
    <t>PLN051-B4031250N2S-565A</t>
  </si>
  <si>
    <t>BN44-01347D</t>
  </si>
  <si>
    <t>BN44-01347F</t>
  </si>
  <si>
    <t>BN44-01347G</t>
  </si>
  <si>
    <t>BN44-01347H</t>
  </si>
  <si>
    <t>BN44-01347K</t>
  </si>
  <si>
    <t>BN44-01348F</t>
  </si>
  <si>
    <t>V220SBN_FPN</t>
  </si>
  <si>
    <t>ANAM</t>
  </si>
  <si>
    <t>VOP13351D</t>
  </si>
  <si>
    <t>BEREX</t>
  </si>
  <si>
    <t>V120SBN_FPNB</t>
  </si>
  <si>
    <t>V150SBN_FPNB</t>
  </si>
  <si>
    <t>V380SWN_FPN</t>
  </si>
  <si>
    <t>1291A CKD</t>
  </si>
  <si>
    <t>P2514_DPN CKD</t>
  </si>
  <si>
    <t>1291B</t>
  </si>
  <si>
    <t>1369A</t>
  </si>
  <si>
    <t>A24024_FPN</t>
  </si>
  <si>
    <t>PLN083-T0820350N2R-565</t>
  </si>
  <si>
    <t>PLN051-B2015150N2S-565A</t>
  </si>
  <si>
    <t>PLN065-D751130-565</t>
  </si>
  <si>
    <t>PLN083-T0816350N2R-565</t>
  </si>
  <si>
    <t>MCR-WMSBE-CWP(40WBNT)</t>
  </si>
  <si>
    <t>아이젠</t>
  </si>
  <si>
    <t>ANAM</t>
    <phoneticPr fontId="3" type="noConversion"/>
  </si>
  <si>
    <t>TV</t>
    <phoneticPr fontId="3" type="noConversion"/>
  </si>
  <si>
    <t>MNT</t>
    <phoneticPr fontId="3" type="noConversion"/>
  </si>
  <si>
    <t>CODE</t>
    <phoneticPr fontId="3" type="noConversion"/>
  </si>
  <si>
    <t>구분</t>
    <phoneticPr fontId="3" type="noConversion"/>
  </si>
  <si>
    <t>제품</t>
    <phoneticPr fontId="3" type="noConversion"/>
  </si>
  <si>
    <t>기타</t>
    <phoneticPr fontId="3" type="noConversion"/>
  </si>
  <si>
    <t>AV</t>
    <phoneticPr fontId="3" type="noConversion"/>
  </si>
  <si>
    <t>아남</t>
    <phoneticPr fontId="12" type="noConversion"/>
  </si>
  <si>
    <t>VOP13351D</t>
    <phoneticPr fontId="12" type="noConversion"/>
  </si>
  <si>
    <t>-</t>
    <phoneticPr fontId="12" type="noConversion"/>
  </si>
  <si>
    <t>A24024_FPN</t>
    <phoneticPr fontId="12" type="noConversion"/>
  </si>
  <si>
    <t>1369A</t>
    <phoneticPr fontId="12" type="noConversion"/>
  </si>
  <si>
    <t>MCR-WMSBE-CWP(40WBNT)</t>
    <phoneticPr fontId="12" type="noConversion"/>
  </si>
  <si>
    <t>PLN021-T0809165T4R-565</t>
    <phoneticPr fontId="12" type="noConversion"/>
  </si>
  <si>
    <t>PLN051-B2015150N2S-565A</t>
    <phoneticPr fontId="12" type="noConversion"/>
  </si>
  <si>
    <t>PLN072-T0807540N2R-565</t>
    <phoneticPr fontId="12" type="noConversion"/>
  </si>
  <si>
    <t>V120SBN_FPNB</t>
    <phoneticPr fontId="12" type="noConversion"/>
  </si>
  <si>
    <t>V150SBN_FPNB</t>
    <phoneticPr fontId="12" type="noConversion"/>
  </si>
  <si>
    <t>V220SBN_FPN</t>
    <phoneticPr fontId="12" type="noConversion"/>
  </si>
  <si>
    <t>V380SWN_FPN</t>
    <phoneticPr fontId="12" type="noConversion"/>
  </si>
  <si>
    <t>A10024_APN(BN44-01137B)</t>
    <phoneticPr fontId="12" type="noConversion"/>
  </si>
  <si>
    <t>1137B</t>
    <phoneticPr fontId="12" type="noConversion"/>
  </si>
  <si>
    <t>A5919_DPN(BN44-01366A) V</t>
    <phoneticPr fontId="12" type="noConversion"/>
  </si>
  <si>
    <t>사계절매트</t>
    <phoneticPr fontId="12" type="noConversion"/>
  </si>
  <si>
    <t>PN220KDN-VF</t>
    <phoneticPr fontId="12" type="noConversion"/>
  </si>
  <si>
    <t>A5919_DPN V</t>
    <phoneticPr fontId="12" type="noConversion"/>
  </si>
  <si>
    <t>PLN072-T0807530N2R-565</t>
    <phoneticPr fontId="12" type="noConversion"/>
  </si>
  <si>
    <t>PLN083-T0811350N2R-565</t>
  </si>
  <si>
    <t>PLN083-T0816330N2R-565</t>
  </si>
  <si>
    <t>PN100WCW-VF</t>
    <phoneticPr fontId="12" type="noConversion"/>
  </si>
  <si>
    <t>V380SW_FPN</t>
    <phoneticPr fontId="12" type="noConversion"/>
  </si>
  <si>
    <t>V380SWN_FPN</t>
    <phoneticPr fontId="12" type="noConversion"/>
  </si>
  <si>
    <t>BP81-00715G</t>
  </si>
  <si>
    <t>BP81-00715H</t>
  </si>
  <si>
    <t>BP81-00715J</t>
  </si>
  <si>
    <t>1132C</t>
  </si>
  <si>
    <t>PLD070-D15</t>
  </si>
  <si>
    <t>PLN065-D751750-560</t>
  </si>
  <si>
    <t>PLN072-T0811750N2R-565</t>
  </si>
  <si>
    <t>PN001SHA-V2</t>
  </si>
  <si>
    <t>PN105WCW-VF</t>
  </si>
  <si>
    <t>PN028HCW-VF</t>
  </si>
  <si>
    <t>PN100WCW-VF</t>
  </si>
  <si>
    <t>AV</t>
    <phoneticPr fontId="3" type="noConversion"/>
  </si>
  <si>
    <t>BN44-01345A</t>
    <phoneticPr fontId="3" type="noConversion"/>
  </si>
  <si>
    <t>Qisda</t>
    <phoneticPr fontId="12" type="noConversion"/>
  </si>
  <si>
    <t>A2515N_FPNW(BN44-01348C)</t>
  </si>
  <si>
    <t>1348C</t>
  </si>
  <si>
    <t>PLN051-B4012250N2S-565A</t>
    <phoneticPr fontId="12" type="noConversion"/>
  </si>
  <si>
    <t>PLN051-B4015250N2S-565A</t>
    <phoneticPr fontId="12" type="noConversion"/>
  </si>
  <si>
    <t>PLN051-B4039250N2S-565A</t>
    <phoneticPr fontId="12" type="noConversion"/>
  </si>
  <si>
    <t>PLN083-T0811330N2R-565</t>
  </si>
  <si>
    <t>PLN083-T0811340N2R-565</t>
  </si>
  <si>
    <t>PLN083-T0811365N2R-565</t>
    <phoneticPr fontId="12" type="noConversion"/>
  </si>
  <si>
    <t>PLN083-T0816365N2R-565</t>
    <phoneticPr fontId="12" type="noConversion"/>
  </si>
  <si>
    <t>PN099WCW-HEATER</t>
  </si>
  <si>
    <t>PN099WCW-VF</t>
    <phoneticPr fontId="12" type="noConversion"/>
  </si>
  <si>
    <t>BP81-00715K</t>
  </si>
  <si>
    <t>1366A</t>
  </si>
  <si>
    <t>PLN051-B4012250N2S-565A</t>
  </si>
  <si>
    <t>PLN051-B4015250N2S-565A</t>
  </si>
  <si>
    <t>PLN051-B4039250N2S-565A</t>
  </si>
  <si>
    <t>PLN065-D751735-560</t>
  </si>
  <si>
    <t>PN048WWJ-VF(CN)</t>
  </si>
  <si>
    <t>PN099WCW-VF</t>
  </si>
  <si>
    <t>QISDA</t>
    <phoneticPr fontId="3" type="noConversion"/>
  </si>
  <si>
    <t>3AC</t>
  </si>
  <si>
    <t>A5919N_DPN V</t>
  </si>
  <si>
    <t>BP81-00715B</t>
  </si>
  <si>
    <t>1020F</t>
  </si>
  <si>
    <t>A5919_DPN(BN44-01366A) V</t>
  </si>
  <si>
    <t>1366B</t>
  </si>
  <si>
    <t>A5919N_DPN(BN44-01366B) V</t>
  </si>
  <si>
    <t>A10024_APN(BN44-01137B)</t>
  </si>
  <si>
    <t>PLN072-T0814650N2D-565</t>
  </si>
  <si>
    <t>PLN072-T0814750N2D-565</t>
  </si>
  <si>
    <t>A10024_APN(BN44-01137C)</t>
  </si>
  <si>
    <t>A14024_TPN HF</t>
  </si>
  <si>
    <t>CHAMP FILTER_3118099</t>
  </si>
  <si>
    <t>CHAMP FILTER_3118108</t>
  </si>
  <si>
    <t>MAGNUM FILTER_3118104</t>
  </si>
  <si>
    <t>MAGNUM FILTER_3118109</t>
  </si>
  <si>
    <t>TV</t>
    <phoneticPr fontId="3" type="noConversion"/>
  </si>
  <si>
    <t>MNT</t>
    <phoneticPr fontId="3" type="noConversion"/>
  </si>
  <si>
    <t>AV</t>
    <phoneticPr fontId="3" type="noConversion"/>
  </si>
  <si>
    <t>A10020_DPN(BP44-01020F)  v</t>
    <phoneticPr fontId="12" type="noConversion"/>
  </si>
  <si>
    <t>1020F</t>
    <phoneticPr fontId="12" type="noConversion"/>
  </si>
  <si>
    <t>A10024_APN(BN44-01137C)</t>
    <phoneticPr fontId="12" type="noConversion"/>
  </si>
  <si>
    <t>1137C</t>
    <phoneticPr fontId="12" type="noConversion"/>
  </si>
  <si>
    <t>A14024_TPN HF</t>
    <phoneticPr fontId="12" type="noConversion"/>
  </si>
  <si>
    <t>-</t>
    <phoneticPr fontId="12" type="noConversion"/>
  </si>
  <si>
    <t>A5919N_DPN V</t>
    <phoneticPr fontId="12" type="noConversion"/>
  </si>
  <si>
    <t>A5919N_DPN(BN44-01366B) V</t>
    <phoneticPr fontId="12" type="noConversion"/>
  </si>
  <si>
    <t>MCR-SCM50</t>
    <phoneticPr fontId="12" type="noConversion"/>
  </si>
  <si>
    <t>MCR-WMSBE-CWP(40WI2)</t>
    <phoneticPr fontId="12" type="noConversion"/>
  </si>
  <si>
    <t>893mm</t>
  </si>
  <si>
    <t>830mm</t>
  </si>
  <si>
    <t>A2514N_RPN(BOE)</t>
  </si>
  <si>
    <t>58D75-60031</t>
  </si>
  <si>
    <t>PSPN2-TYPE4H-V1 A SC</t>
  </si>
  <si>
    <t>58D75-60032</t>
  </si>
  <si>
    <t>PSPN2-TYPE4H-V2 A SC</t>
  </si>
  <si>
    <t>리트코</t>
  </si>
  <si>
    <t>PN65GAZDP(KO-PD1C-ADP)</t>
  </si>
  <si>
    <t>BP44-01020F</t>
  </si>
  <si>
    <t>PN005SHA-VF</t>
  </si>
  <si>
    <t>PN008SHA(B)</t>
  </si>
  <si>
    <t>이엔크리에이티브</t>
  </si>
  <si>
    <t>PN65GAZTG(KO-PD1C-ADP)</t>
  </si>
  <si>
    <t>지티엔에스</t>
  </si>
  <si>
    <t>PN035ACW-HEATER</t>
  </si>
  <si>
    <t>PN035ACW-VF</t>
  </si>
  <si>
    <t>상품A</t>
    <phoneticPr fontId="3" type="noConversion"/>
  </si>
  <si>
    <t>기타</t>
    <phoneticPr fontId="3" type="noConversion"/>
  </si>
  <si>
    <t>세탁기</t>
    <phoneticPr fontId="12" type="noConversion"/>
  </si>
  <si>
    <t>PN005SHA-VF</t>
    <phoneticPr fontId="12" type="noConversion"/>
  </si>
  <si>
    <t>BATGIRL-HV</t>
    <phoneticPr fontId="12" type="noConversion"/>
  </si>
  <si>
    <t>GAMORA-HVPS</t>
    <phoneticPr fontId="12" type="noConversion"/>
  </si>
  <si>
    <t>5B220-60002</t>
    <phoneticPr fontId="12" type="noConversion"/>
  </si>
  <si>
    <t>PLN083-T0816340N2R-565</t>
  </si>
  <si>
    <t>PLN065-D751530-565</t>
  </si>
  <si>
    <t>PLN083-T0816335N2R-565</t>
  </si>
  <si>
    <t>PN005ACW-VF</t>
  </si>
  <si>
    <t>1345C</t>
  </si>
  <si>
    <t>BP44-01020A</t>
  </si>
  <si>
    <t>PN055BCW-VF</t>
  </si>
  <si>
    <t>A10020_DPN(BP44-01020A)  v</t>
    <phoneticPr fontId="12" type="noConversion"/>
  </si>
  <si>
    <t>1020A</t>
    <phoneticPr fontId="12" type="noConversion"/>
  </si>
  <si>
    <t>A4520N_FPN(BN44-01345C)</t>
    <phoneticPr fontId="12" type="noConversion"/>
  </si>
  <si>
    <t>1345C</t>
    <phoneticPr fontId="12" type="noConversion"/>
  </si>
  <si>
    <t>PLN051-B4031250N2A-560A</t>
    <phoneticPr fontId="12" type="noConversion"/>
  </si>
  <si>
    <t>PN005ACW-VF</t>
    <phoneticPr fontId="12" type="noConversion"/>
  </si>
  <si>
    <t>PN055BCW-VF</t>
    <phoneticPr fontId="12" type="noConversion"/>
  </si>
  <si>
    <t xml:space="preserve"> EASTECH</t>
  </si>
  <si>
    <t>PN022WWJ-FRONT</t>
  </si>
  <si>
    <t>BUMJIN</t>
  </si>
  <si>
    <t>MCR-WMSBI-CWP(A)</t>
  </si>
  <si>
    <t>1347C</t>
  </si>
  <si>
    <t>영림테크</t>
  </si>
  <si>
    <t>EP06-003446B</t>
  </si>
  <si>
    <t>PN048HTCA-9320VQP</t>
  </si>
  <si>
    <t>BUMJIN</t>
    <phoneticPr fontId="3" type="noConversion"/>
  </si>
  <si>
    <t>A2515N_FPN(BN44-01347C)</t>
    <phoneticPr fontId="12" type="noConversion"/>
  </si>
  <si>
    <t>1347C</t>
    <phoneticPr fontId="12" type="noConversion"/>
  </si>
  <si>
    <t>MCR-WMSBI-CWP(A)</t>
    <phoneticPr fontId="12" type="noConversion"/>
  </si>
  <si>
    <t>PLN072-T0807135N2R-565</t>
    <phoneticPr fontId="12" type="noConversion"/>
  </si>
  <si>
    <t>PLN074-F5515335N2S-565</t>
    <phoneticPr fontId="12" type="noConversion"/>
  </si>
  <si>
    <t>PN022WWJ-FRONT</t>
    <phoneticPr fontId="12" type="noConversion"/>
  </si>
  <si>
    <t>PNA-MIGHTY_FL_WH_W</t>
    <phoneticPr fontId="12" type="noConversion"/>
  </si>
  <si>
    <t>다이소</t>
    <phoneticPr fontId="12" type="noConversion"/>
  </si>
  <si>
    <t>PN10LDC-BP(K)</t>
  </si>
  <si>
    <t>PN10LDC-BP(Y)</t>
  </si>
  <si>
    <t>PN10LD8-BP(W)</t>
  </si>
  <si>
    <t>PN15RDW-WC</t>
  </si>
  <si>
    <t>PN15SDB-WC</t>
  </si>
  <si>
    <t>PN60CAB-CC</t>
  </si>
  <si>
    <t>PN60CCB-CC</t>
  </si>
  <si>
    <t>PN03AW-WC(A)</t>
  </si>
  <si>
    <t>PN03AW-WC(C)</t>
  </si>
  <si>
    <t>PN03SW-WC(C)</t>
  </si>
  <si>
    <t>배터리팩</t>
    <phoneticPr fontId="12" type="noConversion"/>
  </si>
  <si>
    <t>C-type(그린)</t>
    <phoneticPr fontId="12" type="noConversion"/>
  </si>
  <si>
    <t>C-type(엘로우)</t>
    <phoneticPr fontId="12" type="noConversion"/>
  </si>
  <si>
    <t>8 Pin(화이트)</t>
    <phoneticPr fontId="12" type="noConversion"/>
  </si>
  <si>
    <t>원형</t>
    <phoneticPr fontId="12" type="noConversion"/>
  </si>
  <si>
    <t>거치형</t>
    <phoneticPr fontId="12" type="noConversion"/>
  </si>
  <si>
    <t>무선충전기</t>
    <phoneticPr fontId="12" type="noConversion"/>
  </si>
  <si>
    <t>시가잭</t>
    <phoneticPr fontId="12" type="noConversion"/>
  </si>
  <si>
    <t>C+A</t>
    <phoneticPr fontId="12" type="noConversion"/>
  </si>
  <si>
    <t>C+C</t>
    <phoneticPr fontId="12" type="noConversion"/>
  </si>
  <si>
    <t>워치충전기</t>
    <phoneticPr fontId="12" type="noConversion"/>
  </si>
  <si>
    <t>애플 A</t>
    <phoneticPr fontId="12" type="noConversion"/>
  </si>
  <si>
    <t>애플 C</t>
    <phoneticPr fontId="12" type="noConversion"/>
  </si>
  <si>
    <t>삼성 A</t>
    <phoneticPr fontId="12" type="noConversion"/>
  </si>
  <si>
    <t>삼성 C</t>
    <phoneticPr fontId="12" type="noConversion"/>
  </si>
  <si>
    <t>PNA-MIGHTY_CON_BK</t>
    <phoneticPr fontId="12" type="noConversion"/>
  </si>
  <si>
    <t>PNA-MIGHTY_FL_BK</t>
    <phoneticPr fontId="12" type="noConversion"/>
  </si>
  <si>
    <t>PNA-MAGNUM_EU WH</t>
    <phoneticPr fontId="12" type="noConversion"/>
  </si>
  <si>
    <t>PNA-MAGNUM_EU BG</t>
    <phoneticPr fontId="12" type="noConversion"/>
  </si>
  <si>
    <t>PNA-MAGNUM_UK WH</t>
    <phoneticPr fontId="12" type="noConversion"/>
  </si>
  <si>
    <t>PNA-MAGNUM_UK BG</t>
    <phoneticPr fontId="12" type="noConversion"/>
  </si>
  <si>
    <t>PNA-MAGNUM_ME BG</t>
    <phoneticPr fontId="12" type="noConversion"/>
  </si>
  <si>
    <t>PNA-MAGNUM_MY WH</t>
    <phoneticPr fontId="12" type="noConversion"/>
  </si>
  <si>
    <t>PNA-MAGNUM_MY BG</t>
    <phoneticPr fontId="12" type="noConversion"/>
  </si>
  <si>
    <t>PNA-MAGNUM_KR WH</t>
    <phoneticPr fontId="12" type="noConversion"/>
  </si>
  <si>
    <t>PNA-MAGNUM_KR BG</t>
    <phoneticPr fontId="12" type="noConversion"/>
  </si>
  <si>
    <t>PNA-CHAMP_EU WH</t>
    <phoneticPr fontId="12" type="noConversion"/>
  </si>
  <si>
    <t>PNA-CHAMP_EU BG</t>
    <phoneticPr fontId="12" type="noConversion"/>
  </si>
  <si>
    <t>PNA-CHAMP_UK WH</t>
    <phoneticPr fontId="12" type="noConversion"/>
  </si>
  <si>
    <t>PNA-CHAMP_UK BG</t>
    <phoneticPr fontId="12" type="noConversion"/>
  </si>
  <si>
    <t>PNA-CHAMP_AU WH</t>
    <phoneticPr fontId="12" type="noConversion"/>
  </si>
  <si>
    <t>PNA-CHAMP_AU BG</t>
    <phoneticPr fontId="12" type="noConversion"/>
  </si>
  <si>
    <t>PNA-CHAMP_ME WH</t>
    <phoneticPr fontId="12" type="noConversion"/>
  </si>
  <si>
    <t>PNA-CHAMP_TW WH</t>
    <phoneticPr fontId="12" type="noConversion"/>
  </si>
  <si>
    <t>PNA-CHAMP_MY WH</t>
    <phoneticPr fontId="12" type="noConversion"/>
  </si>
  <si>
    <t>PNA-CHAMP_MY BG</t>
    <phoneticPr fontId="12" type="noConversion"/>
  </si>
  <si>
    <t>PNA-CHAMP_KR WH</t>
    <phoneticPr fontId="12" type="noConversion"/>
  </si>
  <si>
    <t>PNA-CHAMP_KR BG</t>
    <phoneticPr fontId="12" type="noConversion"/>
  </si>
  <si>
    <t>PLN051-B4031265N2S-565A</t>
    <phoneticPr fontId="12" type="noConversion"/>
  </si>
  <si>
    <t>PN03SW-WC(A)</t>
    <phoneticPr fontId="12" type="noConversion"/>
  </si>
  <si>
    <t>PNC10ACW-VFQ</t>
    <phoneticPr fontId="12" type="noConversion"/>
  </si>
  <si>
    <t>아성</t>
  </si>
  <si>
    <t>PN03SW-WC(A)</t>
  </si>
  <si>
    <t>에프에이솔루션</t>
  </si>
  <si>
    <t>PNA-MAGNUM_MY BG</t>
  </si>
  <si>
    <t>PNA-MAGNUM_MY WH</t>
  </si>
  <si>
    <t>E-Mob</t>
  </si>
  <si>
    <t>신규</t>
    <phoneticPr fontId="3" type="noConversion"/>
  </si>
  <si>
    <t>V200SI_HPN</t>
  </si>
  <si>
    <t>V400SB_HPN</t>
  </si>
  <si>
    <t>두영실업(생활가전)</t>
  </si>
  <si>
    <t>두영실업(코웨이)</t>
  </si>
  <si>
    <t>CHAMP FILTER_3118097</t>
  </si>
  <si>
    <t>MAGNUM FILTER_3118101</t>
  </si>
  <si>
    <t>PN118WCW-VF</t>
  </si>
  <si>
    <t>코웨이</t>
    <phoneticPr fontId="3" type="noConversion"/>
  </si>
  <si>
    <t>PN118WCW-VF</t>
    <phoneticPr fontId="12" type="noConversion"/>
  </si>
  <si>
    <t>V200SI_HPN</t>
    <phoneticPr fontId="12" type="noConversion"/>
  </si>
  <si>
    <t>V400SB_HPN</t>
    <phoneticPr fontId="12" type="noConversion"/>
  </si>
  <si>
    <t>AS필터</t>
    <phoneticPr fontId="12" type="noConversion"/>
  </si>
  <si>
    <t>1432A</t>
  </si>
  <si>
    <t>L55S8_HVD</t>
  </si>
  <si>
    <t>VOP13078B</t>
  </si>
  <si>
    <t>ANPS-902FHOT</t>
  </si>
  <si>
    <t>VOP13126B</t>
  </si>
  <si>
    <t>ANPS-903FHOT</t>
  </si>
  <si>
    <t>1366D</t>
  </si>
  <si>
    <t>A5919_DPNW(BN44-01366D) V</t>
  </si>
  <si>
    <t>1366E</t>
  </si>
  <si>
    <t>A5919N_DPNW(BN44-01366E) V</t>
  </si>
  <si>
    <t>A2622_FPN</t>
  </si>
  <si>
    <t>PLN074-F9632450N2S-565</t>
  </si>
  <si>
    <t>PN01FCW-IONIZER</t>
  </si>
  <si>
    <t>A2622_FPN</t>
    <phoneticPr fontId="12" type="noConversion"/>
  </si>
  <si>
    <t>0015A</t>
    <phoneticPr fontId="12" type="noConversion"/>
  </si>
  <si>
    <t>A5919_DPNW(BN44-01366D) V</t>
    <phoneticPr fontId="12" type="noConversion"/>
  </si>
  <si>
    <t>A5919N_DPNW(BN44-01366E) V</t>
    <phoneticPr fontId="12" type="noConversion"/>
  </si>
  <si>
    <t>ANPS-902FHOT(VOP13078B)</t>
    <phoneticPr fontId="12" type="noConversion"/>
  </si>
  <si>
    <t>ANPS-903FHOT(VOP13126B)</t>
    <phoneticPr fontId="12" type="noConversion"/>
  </si>
  <si>
    <t>L55S8_HVD</t>
    <phoneticPr fontId="12" type="noConversion"/>
  </si>
  <si>
    <t>1432A</t>
    <phoneticPr fontId="12" type="noConversion"/>
  </si>
  <si>
    <t>PN01FCW-IONIZER</t>
    <phoneticPr fontId="12" type="noConversion"/>
  </si>
  <si>
    <t xml:space="preserve"> </t>
    <phoneticPr fontId="12" type="noConversion"/>
  </si>
  <si>
    <t>▣ 26년 매출 마감현황</t>
    <phoneticPr fontId="12" type="noConversion"/>
  </si>
  <si>
    <t>L55S8N_HVD</t>
  </si>
  <si>
    <t>L55S8W_HVD</t>
  </si>
  <si>
    <t>L55FE8N_HPN</t>
  </si>
  <si>
    <t>1432B</t>
  </si>
  <si>
    <t>1432C</t>
  </si>
  <si>
    <t>1440A</t>
  </si>
  <si>
    <t>V150SB_HPNB</t>
    <phoneticPr fontId="12" type="noConversion"/>
  </si>
  <si>
    <t>PLL019-D22-52M</t>
    <phoneticPr fontId="12" type="noConversion"/>
  </si>
  <si>
    <t>PLN051-B4012240N2S-565A</t>
    <phoneticPr fontId="12" type="noConversion"/>
  </si>
  <si>
    <t>PLN051-B4015350N2S-565A</t>
    <phoneticPr fontId="12" type="noConversion"/>
  </si>
  <si>
    <t>PLN051-B4025250N2U-560A</t>
    <phoneticPr fontId="12" type="noConversion"/>
  </si>
  <si>
    <t>PLN073-B4019250N2W-565</t>
    <phoneticPr fontId="12" type="noConversion"/>
  </si>
  <si>
    <t>PLN073-B4039250N2W-565</t>
    <phoneticPr fontId="12" type="noConversion"/>
  </si>
  <si>
    <t>PN016SHA(B)</t>
  </si>
  <si>
    <t>5049F</t>
    <phoneticPr fontId="12" type="noConversion"/>
  </si>
  <si>
    <t>PN099WCW-HEATER(A)</t>
    <phoneticPr fontId="12" type="noConversion"/>
  </si>
  <si>
    <t>V200SR_CPN  HF</t>
    <phoneticPr fontId="12" type="noConversion"/>
  </si>
  <si>
    <t>V220S_MPN  HF</t>
    <phoneticPr fontId="12" type="noConversion"/>
  </si>
  <si>
    <t>V200SR_CPN  HF</t>
  </si>
  <si>
    <t>V220S_MPN  HF</t>
  </si>
  <si>
    <t>BN44-01440A</t>
  </si>
  <si>
    <t>PLN051-B4012240N2S-565A</t>
  </si>
  <si>
    <t>PLN073-B4019250N2W-565</t>
  </si>
  <si>
    <t>PLN073-B4039250N2W-565</t>
  </si>
  <si>
    <t>PLL019-D22-52M</t>
  </si>
  <si>
    <t>PLN051-B4015350N2S-565A</t>
  </si>
  <si>
    <t>PLN051-B4025250N2U-560A</t>
  </si>
  <si>
    <t>PLN051-B4052250N2U-560</t>
  </si>
  <si>
    <t>PLN073-B4048250N2U-560</t>
  </si>
  <si>
    <t>PN185WCW-MAIN(BORK)</t>
  </si>
  <si>
    <t>PN099WCW-HEATER(A)</t>
  </si>
  <si>
    <t>EMS</t>
    <phoneticPr fontId="3" type="noConversion"/>
  </si>
  <si>
    <t>A5919_KPNL</t>
  </si>
  <si>
    <t>PN001ACW-MAIN(US)</t>
  </si>
  <si>
    <t>PN016ACW-VF(A)</t>
  </si>
  <si>
    <t>VOP13068B</t>
  </si>
  <si>
    <t>ANPS-901FHOT</t>
  </si>
  <si>
    <t>VOP13287D</t>
  </si>
  <si>
    <t>PMA900HNE</t>
  </si>
  <si>
    <t>A2514_RPN(AUO)</t>
  </si>
  <si>
    <t>A3514_RPN(AUO)</t>
  </si>
  <si>
    <t>AH81-15048D</t>
  </si>
  <si>
    <t>AH81-15505B</t>
  </si>
  <si>
    <t>V100SN_APN</t>
  </si>
  <si>
    <t>A2514_RPN(HKC)</t>
  </si>
  <si>
    <t>EP06-001005</t>
  </si>
  <si>
    <t>PN020STCA-NWF(A)</t>
  </si>
  <si>
    <t>EP06-004667A</t>
  </si>
  <si>
    <t>PN020STCA-NWF(B)</t>
  </si>
  <si>
    <t>EP06-005401A</t>
  </si>
  <si>
    <t>PN054HTCA-3440RQPZ</t>
  </si>
  <si>
    <t>QISDA</t>
  </si>
  <si>
    <t>A3026A_RPN</t>
  </si>
  <si>
    <t>A2514N_RPN(TPV)</t>
  </si>
  <si>
    <t>A3514N_RPN(TPV)</t>
  </si>
  <si>
    <t>BATGIRL-HV</t>
  </si>
  <si>
    <t>5B220-60002</t>
  </si>
  <si>
    <t>GAMORA-HVPS</t>
  </si>
  <si>
    <t>JC44-00213C</t>
  </si>
  <si>
    <t>CARLSEN-V1 R</t>
  </si>
  <si>
    <t>Wise</t>
  </si>
  <si>
    <t>PN65GAZDP(EU-PD1C-ADP)</t>
  </si>
  <si>
    <t>PN65GAZTG(EU-PD1C-ADP)</t>
  </si>
  <si>
    <t>A150KDN-VF(GRAY)</t>
  </si>
  <si>
    <t>PLN051-B4025240N2S-565A</t>
  </si>
  <si>
    <t>PLN065-D751140-565</t>
  </si>
  <si>
    <t>PN011SHA(C)</t>
  </si>
  <si>
    <t>A2515N_FPN</t>
  </si>
  <si>
    <t>A2626K_APN  v</t>
  </si>
  <si>
    <t>SLPS-250FEOT</t>
  </si>
  <si>
    <t>PN013MCW-V2</t>
  </si>
  <si>
    <t>PNA-MIGHTY_CON_BK</t>
  </si>
  <si>
    <t>PNA-MIGHTY_FL_WH_W</t>
  </si>
  <si>
    <t>PN022WWJ-VF</t>
  </si>
  <si>
    <t>PN043WCW-TANK(SA)</t>
  </si>
  <si>
    <t>PN048WWJ-VF(B)</t>
  </si>
  <si>
    <t>PN053WWJ-VF</t>
  </si>
  <si>
    <t>PN120MWJ-VF</t>
  </si>
  <si>
    <t>PN120MWJ-VF(E)</t>
  </si>
  <si>
    <t>PN026BWJ-S1400(A)</t>
  </si>
  <si>
    <t>PN026BWJ-VF(E)</t>
  </si>
  <si>
    <t>PN020ACW-V2</t>
  </si>
  <si>
    <t>AV</t>
    <phoneticPr fontId="3" type="noConversion"/>
  </si>
  <si>
    <t>ANPS-901FHOT(VOP13068B)</t>
    <phoneticPr fontId="12" type="noConversion"/>
  </si>
  <si>
    <t>PMA900(VOP13287D)</t>
    <phoneticPr fontId="12" type="noConversion"/>
  </si>
  <si>
    <t>PLN051-B4025240N2S-565A</t>
    <phoneticPr fontId="12" type="noConversion"/>
  </si>
  <si>
    <t>A5919N_DPNSW V</t>
  </si>
  <si>
    <t>VOP13595B</t>
  </si>
  <si>
    <t>V230SN_HPNA</t>
  </si>
  <si>
    <t>VOP13595C</t>
  </si>
  <si>
    <t>V230S_HPNA</t>
  </si>
  <si>
    <t>JC44-00223D</t>
  </si>
  <si>
    <t>PSPN2-TYPE3R-V2</t>
  </si>
  <si>
    <t>PLN051-B2011165N2S-565A</t>
  </si>
  <si>
    <t>PLN051-B2019165N2S-565A</t>
  </si>
  <si>
    <t>PLN051-B4031265N2S-565A</t>
  </si>
  <si>
    <t>PLN021-T0814335T4R-565</t>
  </si>
  <si>
    <t>PLN051-B2007150N2S-565A</t>
  </si>
  <si>
    <t>PLN072-T0805650N2R-565</t>
  </si>
  <si>
    <t>PLN072-T0807165N2R-565</t>
  </si>
  <si>
    <t>PLN072-T0807535N2R-565</t>
  </si>
  <si>
    <t>PLN074-F2707135N2S-565</t>
  </si>
  <si>
    <t>PLN074-F3612235N2S-565</t>
  </si>
  <si>
    <t>PLN074-F5515335N2S-565</t>
  </si>
  <si>
    <t>PN005ACW-V1</t>
  </si>
  <si>
    <t>PN011SHA(D)</t>
  </si>
  <si>
    <t>V200SIN_HPN</t>
  </si>
  <si>
    <t>V400SBN_HPN</t>
  </si>
  <si>
    <t>PN028SHA-24282U</t>
  </si>
  <si>
    <t>PNA-CHAMP_KR BG</t>
  </si>
  <si>
    <t>PNA-CHAMP_KR WH</t>
  </si>
  <si>
    <t>PNA-CHAMP_MY BG</t>
  </si>
  <si>
    <t>PNA-CHAMP_MY WT</t>
  </si>
  <si>
    <t>PNA-CHAMP_TW WH</t>
  </si>
  <si>
    <t>PNA-CHAMP_TW WH(D)</t>
  </si>
  <si>
    <t>PNA-MAGNUM_KR BG</t>
  </si>
  <si>
    <t>PNA-MAGNUM_KR WH</t>
  </si>
  <si>
    <t>PNA-MIGHTY_USA BG</t>
  </si>
  <si>
    <t>PN048WWJ-V2</t>
  </si>
  <si>
    <t>PNC01ACW-VF</t>
  </si>
  <si>
    <t>PN034WCW-PUMP(A)</t>
  </si>
  <si>
    <t>PLN021-T0814335T4R-565</t>
    <phoneticPr fontId="12" type="noConversion"/>
  </si>
  <si>
    <t>PLN051-B2011165N2S-565A</t>
    <phoneticPr fontId="12" type="noConversion"/>
  </si>
  <si>
    <t>PLN051-B2019165N2S-565A</t>
    <phoneticPr fontId="12" type="noConversion"/>
  </si>
  <si>
    <t>PLN072-T0807535N2R-565</t>
    <phoneticPr fontId="12" type="noConversion"/>
  </si>
  <si>
    <t>PLN074-F3612235N2S-565</t>
    <phoneticPr fontId="12" type="noConversion"/>
  </si>
  <si>
    <t>PN005ACW-V1</t>
    <phoneticPr fontId="12" type="noConversion"/>
  </si>
  <si>
    <t>PN028SHA-24282U</t>
    <phoneticPr fontId="12" type="noConversion"/>
  </si>
  <si>
    <t>24282U</t>
    <phoneticPr fontId="12" type="noConversion"/>
  </si>
  <si>
    <t>PNA-CHAMP_TW WH(D)</t>
    <phoneticPr fontId="12" type="noConversion"/>
  </si>
  <si>
    <t>PNA-MIGHTY_USA BG</t>
    <phoneticPr fontId="12" type="noConversion"/>
  </si>
  <si>
    <t>V230S_HPNA</t>
    <phoneticPr fontId="12" type="noConversion"/>
  </si>
  <si>
    <t>V230SN_HPNA</t>
    <phoneticPr fontId="12" type="noConversion"/>
  </si>
  <si>
    <t>V200SIN_HPN</t>
    <phoneticPr fontId="12" type="noConversion"/>
  </si>
  <si>
    <t>-</t>
    <phoneticPr fontId="12" type="noConversion"/>
  </si>
  <si>
    <t>V400SBN_HPN</t>
    <phoneticPr fontId="12" type="noConversion"/>
  </si>
  <si>
    <t>PN001ACW-MAIN(NKR)</t>
  </si>
  <si>
    <t>VOP13287E</t>
  </si>
  <si>
    <t>V150SB_HPNB</t>
  </si>
  <si>
    <t>A3514N_RPN(HKC)</t>
  </si>
  <si>
    <t>989A</t>
    <phoneticPr fontId="3" type="noConversion"/>
  </si>
  <si>
    <t>A2514_RPN(W_TPV)</t>
  </si>
  <si>
    <t>PN220KDN-VF(A)</t>
  </si>
  <si>
    <t>PN220KDN-VF(B)</t>
  </si>
  <si>
    <t>A3026E_RPN</t>
  </si>
  <si>
    <t>PLN072-T0807550N2R-565</t>
  </si>
  <si>
    <t>PLN051-B4031230N2S-565A</t>
  </si>
  <si>
    <t>PLN051-B4039250N2S-565B</t>
  </si>
  <si>
    <t>PLN065-D751135-565</t>
  </si>
  <si>
    <t>PLN072-T0807630N2R-565</t>
  </si>
  <si>
    <t>PLN072-T0827850N2R-565</t>
  </si>
  <si>
    <t>PLN083-T0811365N2R-565</t>
  </si>
  <si>
    <t>레이바로</t>
  </si>
  <si>
    <t>MCR-WMDBE-CWP(40W)</t>
  </si>
  <si>
    <t>MCR-WMSBE-CWP(40W)</t>
  </si>
  <si>
    <t>MCR-WMSBE-CWP(40WI2)</t>
  </si>
  <si>
    <t>MCR-WMSBI-CWP(40)</t>
  </si>
  <si>
    <t>BP81-00715A</t>
    <phoneticPr fontId="3" type="noConversion"/>
  </si>
  <si>
    <t>A10020_DPN(BP81-00715A)  v</t>
  </si>
  <si>
    <t>BP81-00715E</t>
    <phoneticPr fontId="3" type="noConversion"/>
  </si>
  <si>
    <t>A10020_DPN(BP81-00715E)  v</t>
  </si>
  <si>
    <t>BP81-00715F</t>
    <phoneticPr fontId="3" type="noConversion"/>
  </si>
  <si>
    <t>A10020_DPN(BP81-00715F)  v</t>
  </si>
  <si>
    <t>A10020_DPN(BP81-00715J)  v</t>
  </si>
  <si>
    <t>세스코</t>
  </si>
  <si>
    <t>PN15MB-WC</t>
  </si>
  <si>
    <t>PNA-CHAMP_EU WH</t>
  </si>
  <si>
    <t>PNA-CHAMP_UK WH</t>
  </si>
  <si>
    <t>PNA-MAGNUM_EU WH</t>
  </si>
  <si>
    <t>PNA-MAGNUM_UK WH</t>
  </si>
  <si>
    <t>PNA-MIGHTY_FL_BK</t>
  </si>
  <si>
    <t>PN105WCW-VF(C)</t>
  </si>
  <si>
    <t>PN110WCW-VF(SG)</t>
  </si>
  <si>
    <t>PN20T-24J33</t>
  </si>
  <si>
    <t>PN100WCW-VF(CF)</t>
  </si>
  <si>
    <t>EP06-001004</t>
  </si>
  <si>
    <t>L43S6N_HVD</t>
    <phoneticPr fontId="12" type="noConversion"/>
  </si>
  <si>
    <t>1451A</t>
    <phoneticPr fontId="12" type="noConversion"/>
  </si>
  <si>
    <t>A5919_DPN(HKC)</t>
    <phoneticPr fontId="12" type="noConversion"/>
  </si>
  <si>
    <t>A5919N_DPN(HKC)</t>
    <phoneticPr fontId="12" type="noConversion"/>
  </si>
  <si>
    <t>1366A</t>
    <phoneticPr fontId="12" type="noConversion"/>
  </si>
  <si>
    <t>1366B</t>
    <phoneticPr fontId="12" type="noConversion"/>
  </si>
  <si>
    <t>A2514_RPN(W_TPV)</t>
    <phoneticPr fontId="12" type="noConversion"/>
  </si>
  <si>
    <t>989A</t>
    <phoneticPr fontId="12" type="noConversion"/>
  </si>
  <si>
    <t>PMA900(VOP13287E)</t>
    <phoneticPr fontId="12" type="noConversion"/>
  </si>
  <si>
    <t>2026. 05. 22</t>
    <phoneticPr fontId="12" type="noConversion"/>
  </si>
  <si>
    <t>PLN051-B4031230N2S-565A</t>
    <phoneticPr fontId="12" type="noConversion"/>
  </si>
  <si>
    <t>PLN051-B4039250N2S-565B</t>
    <phoneticPr fontId="12" type="noConversion"/>
  </si>
  <si>
    <t>PLN065-D751135-565</t>
    <phoneticPr fontId="12" type="noConversion"/>
  </si>
  <si>
    <t>PN100WCW-VF(CF)</t>
    <phoneticPr fontId="12" type="noConversion"/>
  </si>
  <si>
    <t>PN15MB-WC</t>
    <phoneticPr fontId="12" type="noConversion"/>
  </si>
  <si>
    <t>맥세이프 차량충전기</t>
    <phoneticPr fontId="12" type="noConversion"/>
  </si>
  <si>
    <t>A3514N_RPN</t>
  </si>
  <si>
    <t>A150KDN-VF</t>
  </si>
  <si>
    <t>PLL035-D14-37MN</t>
  </si>
  <si>
    <t>PLL035-D18-47MN</t>
  </si>
  <si>
    <t>PLN051-B4015230N2S-565A</t>
  </si>
  <si>
    <t>PLN065-D751540-565</t>
  </si>
  <si>
    <t>PLN072-T0816350N2D-565</t>
  </si>
  <si>
    <t>1451A</t>
  </si>
  <si>
    <t>L43S6N_HVD</t>
  </si>
  <si>
    <t>PN009SHA(D)</t>
  </si>
  <si>
    <t>PNA-CHAMP_MY WH</t>
  </si>
  <si>
    <t>PN020WWJ-VDC</t>
  </si>
  <si>
    <t>PN037WCW-V1</t>
  </si>
  <si>
    <t>PN052MWJ-VF(E)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</si>
</sst>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\$#,##0.00"/>
    <numFmt numFmtId="177" formatCode="_-* #,##0.00_-;\-* #,##0.00_-;_-* &quot;-&quot;_-;_-@_-"/>
    <numFmt numFmtId="178" formatCode="0.0"/>
    <numFmt numFmtId="179" formatCode="_ * #,##0_ ;_ * \-#,##0_ ;_ * &quot;-&quot;_ ;_ @_ "/>
    <numFmt numFmtId="180" formatCode="_ * #,##0.00_ ;_ * \-#,##0.00_ ;_ * &quot;-&quot;??_ ;_ @_ "/>
    <numFmt numFmtId="181" formatCode="_ * #,##0_ ;_ * \-#,##0_ ;_ * &quot;-&quot;??_ ;_ @_ "/>
    <numFmt numFmtId="182" formatCode="m&quot;월&quot;\ d&quot;일&quot;;@"/>
    <numFmt numFmtId="183" formatCode="_-&quot;NT$&quot;* #,##0_-;\-&quot;NT$&quot;* #,##0_-;_-&quot;NT$&quot;* &quot;-&quot;_-;_-@_-"/>
    <numFmt numFmtId="184" formatCode="#,##0_ "/>
    <numFmt numFmtId="185" formatCode="#,##0_);[Red]\(#,##0\)"/>
    <numFmt numFmtId="186" formatCode="0_);[Red]\(0\)"/>
    <numFmt numFmtId="187" formatCode="[$￥-804]#,##0.0000_);[Red]\([$￥-804]#,##0.0000\)"/>
    <numFmt numFmtId="188" formatCode="0&quot;일&quot;"/>
    <numFmt numFmtId="189" formatCode="0_ "/>
    <numFmt numFmtId="190" formatCode="\$#,##0.000"/>
    <numFmt numFmtId="191" formatCode="#,##0.000000_ "/>
  </numFmts>
  <fonts count="5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宋体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indexed="10"/>
      <name val="宋体"/>
      <family val="3"/>
      <charset val="129"/>
    </font>
    <font>
      <sz val="11"/>
      <color indexed="8"/>
      <name val="宋体"/>
      <family val="3"/>
      <charset val="129"/>
    </font>
    <font>
      <sz val="11"/>
      <color indexed="9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sz val="11"/>
      <color indexed="20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b/>
      <sz val="11"/>
      <color indexed="52"/>
      <name val="宋体"/>
      <family val="3"/>
      <charset val="129"/>
    </font>
    <font>
      <b/>
      <sz val="11"/>
      <color indexed="9"/>
      <name val="宋体"/>
      <family val="3"/>
      <charset val="129"/>
    </font>
    <font>
      <i/>
      <sz val="11"/>
      <color indexed="23"/>
      <name val="宋体"/>
      <family val="3"/>
      <charset val="129"/>
    </font>
    <font>
      <sz val="11"/>
      <color indexed="5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color indexed="62"/>
      <name val="宋体"/>
      <family val="3"/>
      <charset val="129"/>
    </font>
    <font>
      <sz val="11"/>
      <color indexed="60"/>
      <name val="맑은 고딕"/>
      <family val="3"/>
      <charset val="129"/>
    </font>
    <font>
      <sz val="12"/>
      <name val="Times New Roman"/>
      <family val="1"/>
    </font>
    <font>
      <sz val="11"/>
      <color theme="1"/>
      <name val="宋体"/>
      <family val="3"/>
      <charset val="129"/>
    </font>
    <font>
      <sz val="11"/>
      <color rgb="FF000000"/>
      <name val="맑은 고딕"/>
      <family val="3"/>
      <charset val="129"/>
    </font>
    <font>
      <sz val="7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6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hair">
        <color auto="1"/>
      </left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thin">
        <color theme="0" tint="-0.34998626667073579"/>
      </bottom>
      <diagonal/>
    </border>
    <border>
      <left style="hair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hair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auto="1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24994659260841701"/>
      </top>
      <bottom/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hair">
        <color auto="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1" tint="0.34998626667073579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34998626667073579"/>
      </top>
      <bottom/>
      <diagonal/>
    </border>
    <border>
      <left style="hair">
        <color indexed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0" tint="-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1499679555650502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1" tint="0.34998626667073579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499984740745262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14996795556505021"/>
      </bottom>
      <diagonal/>
    </border>
  </borders>
  <cellStyleXfs count="37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7" fillId="0" borderId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7" fillId="5" borderId="11" applyNumberFormat="0" applyFont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7" fillId="0" borderId="0"/>
    <xf numFmtId="0" fontId="10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1" fontId="17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182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180" fontId="17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179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3" fontId="19" fillId="0" borderId="0" applyFont="0" applyFill="0" applyBorder="0" applyAlignment="0" applyProtection="0">
      <alignment vertical="center"/>
    </xf>
    <xf numFmtId="0" fontId="17" fillId="0" borderId="0"/>
    <xf numFmtId="0" fontId="19" fillId="0" borderId="0"/>
    <xf numFmtId="0" fontId="9" fillId="0" borderId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87" fontId="25" fillId="11" borderId="0" applyNumberFormat="0" applyBorder="0" applyAlignment="0" applyProtection="0">
      <alignment vertical="center"/>
    </xf>
    <xf numFmtId="187" fontId="25" fillId="11" borderId="0" applyNumberFormat="0" applyBorder="0" applyAlignment="0" applyProtection="0">
      <alignment vertical="center"/>
    </xf>
    <xf numFmtId="187" fontId="25" fillId="11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2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3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5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6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8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9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4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17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5" fillId="20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21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8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19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4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5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6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7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2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3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6" fillId="28" borderId="0" applyNumberFormat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24" fillId="0" borderId="0" applyNumberFormat="0" applyFill="0" applyBorder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34" fillId="29" borderId="138" applyNumberFormat="0" applyAlignment="0" applyProtection="0">
      <alignment vertical="center"/>
    </xf>
    <xf numFmtId="187" fontId="40" fillId="30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7" fontId="8" fillId="0" borderId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186" fontId="7" fillId="0" borderId="0"/>
    <xf numFmtId="187" fontId="7" fillId="0" borderId="0"/>
    <xf numFmtId="187" fontId="7" fillId="0" borderId="0"/>
    <xf numFmtId="181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187" fontId="7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187" fontId="8" fillId="0" borderId="0"/>
    <xf numFmtId="187" fontId="21" fillId="0" borderId="0">
      <alignment vertical="center"/>
    </xf>
    <xf numFmtId="187" fontId="8" fillId="0" borderId="0"/>
    <xf numFmtId="187" fontId="8" fillId="0" borderId="0"/>
    <xf numFmtId="0" fontId="8" fillId="0" borderId="0"/>
    <xf numFmtId="187" fontId="42" fillId="0" borderId="0"/>
    <xf numFmtId="187" fontId="19" fillId="0" borderId="0"/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6" fillId="0" borderId="0" applyNumberFormat="0" applyFill="0" applyBorder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187" fontId="35" fillId="31" borderId="139" applyNumberFormat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3" fontId="19" fillId="0" borderId="96" applyFont="0">
      <alignment vertical="center"/>
    </xf>
    <xf numFmtId="43" fontId="17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187" fontId="7" fillId="0" borderId="0"/>
    <xf numFmtId="187" fontId="41" fillId="0" borderId="0"/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7" fillId="0" borderId="140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3" fillId="0" borderId="141" applyNumberFormat="0" applyFill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39" fillId="16" borderId="138" applyNumberFormat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8" fillId="0" borderId="142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29" fillId="0" borderId="143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144" applyNumberFormat="0" applyFill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30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27" fillId="0" borderId="0" applyNumberFormat="0" applyFill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187" fontId="31" fillId="1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87" fontId="38" fillId="29" borderId="145" applyNumberFormat="0" applyAlignment="0" applyProtection="0">
      <alignment vertical="center"/>
    </xf>
    <xf numFmtId="187" fontId="38" fillId="29" borderId="145" applyNumberFormat="0" applyAlignment="0" applyProtection="0">
      <alignment vertical="center"/>
    </xf>
    <xf numFmtId="187" fontId="38" fillId="29" borderId="145" applyNumberFormat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7" fillId="0" borderId="0"/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25" fillId="0" borderId="0">
      <alignment vertical="center"/>
    </xf>
    <xf numFmtId="187" fontId="19" fillId="0" borderId="0"/>
    <xf numFmtId="187" fontId="7" fillId="0" borderId="0"/>
    <xf numFmtId="187" fontId="25" fillId="0" borderId="0">
      <alignment vertical="center"/>
    </xf>
    <xf numFmtId="187" fontId="25" fillId="0" borderId="0">
      <alignment vertical="center"/>
    </xf>
    <xf numFmtId="187" fontId="7" fillId="0" borderId="0">
      <alignment vertical="center"/>
    </xf>
    <xf numFmtId="187" fontId="8" fillId="0" borderId="0"/>
    <xf numFmtId="187" fontId="25" fillId="0" borderId="0" applyProtection="0">
      <alignment vertical="center"/>
    </xf>
    <xf numFmtId="187" fontId="19" fillId="0" borderId="0"/>
    <xf numFmtId="187" fontId="32" fillId="13" borderId="0" applyNumberFormat="0" applyBorder="0" applyAlignment="0" applyProtection="0">
      <alignment vertical="center"/>
    </xf>
    <xf numFmtId="187" fontId="32" fillId="13" borderId="0" applyNumberFormat="0" applyBorder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187" fontId="19" fillId="5" borderId="11" applyNumberFormat="0" applyFont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188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9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184" fontId="19" fillId="0" borderId="0">
      <alignment vertical="center"/>
    </xf>
    <xf numFmtId="0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7" fontId="19" fillId="0" borderId="0"/>
    <xf numFmtId="186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5" fontId="19" fillId="0" borderId="0"/>
    <xf numFmtId="0" fontId="19" fillId="0" borderId="0"/>
    <xf numFmtId="187" fontId="19" fillId="0" borderId="0"/>
    <xf numFmtId="189" fontId="19" fillId="0" borderId="0"/>
    <xf numFmtId="189" fontId="19" fillId="0" borderId="0"/>
    <xf numFmtId="189" fontId="19" fillId="0" borderId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3" fontId="19" fillId="0" borderId="96" applyFont="0">
      <alignment vertical="center"/>
    </xf>
    <xf numFmtId="41" fontId="19" fillId="0" borderId="0" applyFont="0" applyFill="0" applyBorder="0" applyAlignment="0" applyProtection="0">
      <alignment vertical="center"/>
    </xf>
    <xf numFmtId="183" fontId="1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3" fillId="0" borderId="0">
      <alignment vertical="center"/>
    </xf>
    <xf numFmtId="41" fontId="43" fillId="0" borderId="0">
      <alignment vertical="center"/>
    </xf>
    <xf numFmtId="9" fontId="43" fillId="0" borderId="0">
      <alignment vertical="center"/>
    </xf>
    <xf numFmtId="41" fontId="4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632">
    <xf numFmtId="0" fontId="0" fillId="0" borderId="0" xfId="0">
      <alignment vertical="center"/>
    </xf>
    <xf numFmtId="0" fontId="2" fillId="0" borderId="0" xfId="0" applyFont="1">
      <alignment vertical="center"/>
    </xf>
    <xf numFmtId="41" fontId="2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2" fillId="6" borderId="0" xfId="0" applyFont="1" applyFill="1">
      <alignment vertical="center"/>
    </xf>
    <xf numFmtId="3" fontId="2" fillId="0" borderId="0" xfId="0" applyNumberFormat="1" applyFont="1">
      <alignment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5" xfId="1" applyFont="1" applyFill="1" applyBorder="1" applyAlignment="1">
      <alignment horizontal="center" vertical="center"/>
    </xf>
    <xf numFmtId="41" fontId="5" fillId="2" borderId="16" xfId="1" applyFont="1" applyFill="1" applyBorder="1" applyAlignment="1">
      <alignment horizontal="center" vertical="center"/>
    </xf>
    <xf numFmtId="41" fontId="5" fillId="2" borderId="18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21" xfId="0" applyFont="1" applyBorder="1">
      <alignment vertical="center"/>
    </xf>
    <xf numFmtId="0" fontId="11" fillId="6" borderId="21" xfId="0" applyFont="1" applyFill="1" applyBorder="1">
      <alignment vertical="center"/>
    </xf>
    <xf numFmtId="0" fontId="11" fillId="0" borderId="22" xfId="0" applyFont="1" applyBorder="1">
      <alignment vertical="center"/>
    </xf>
    <xf numFmtId="0" fontId="11" fillId="6" borderId="23" xfId="0" applyFont="1" applyFill="1" applyBorder="1">
      <alignment vertical="center"/>
    </xf>
    <xf numFmtId="0" fontId="11" fillId="6" borderId="24" xfId="0" applyFont="1" applyFill="1" applyBorder="1" applyAlignment="1">
      <alignment horizontal="center" vertical="center"/>
    </xf>
    <xf numFmtId="26" fontId="11" fillId="0" borderId="23" xfId="0" applyNumberFormat="1" applyFont="1" applyBorder="1">
      <alignment vertical="center"/>
    </xf>
    <xf numFmtId="0" fontId="11" fillId="0" borderId="24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1" fillId="0" borderId="23" xfId="0" applyFont="1" applyBorder="1">
      <alignment vertical="center"/>
    </xf>
    <xf numFmtId="0" fontId="11" fillId="0" borderId="2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5" xfId="0" applyFont="1" applyBorder="1">
      <alignment vertical="center"/>
    </xf>
    <xf numFmtId="0" fontId="11" fillId="6" borderId="27" xfId="0" applyFont="1" applyFill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14" fillId="0" borderId="28" xfId="0" applyFont="1" applyBorder="1">
      <alignment vertical="center"/>
    </xf>
    <xf numFmtId="0" fontId="14" fillId="0" borderId="29" xfId="0" applyFont="1" applyBorder="1">
      <alignment vertical="center"/>
    </xf>
    <xf numFmtId="38" fontId="14" fillId="0" borderId="25" xfId="16" applyNumberFormat="1" applyFont="1" applyFill="1" applyBorder="1">
      <alignment vertical="center"/>
    </xf>
    <xf numFmtId="38" fontId="14" fillId="0" borderId="10" xfId="16" applyNumberFormat="1" applyFont="1" applyFill="1" applyBorder="1">
      <alignment vertical="center"/>
    </xf>
    <xf numFmtId="0" fontId="11" fillId="0" borderId="30" xfId="0" applyFont="1" applyBorder="1">
      <alignment vertical="center"/>
    </xf>
    <xf numFmtId="0" fontId="11" fillId="0" borderId="31" xfId="0" applyFont="1" applyBorder="1" applyAlignment="1">
      <alignment horizontal="center" vertical="center"/>
    </xf>
    <xf numFmtId="0" fontId="13" fillId="0" borderId="21" xfId="0" applyFont="1" applyBorder="1">
      <alignment vertical="center"/>
    </xf>
    <xf numFmtId="0" fontId="13" fillId="6" borderId="21" xfId="0" applyFont="1" applyFill="1" applyBorder="1">
      <alignment vertical="center"/>
    </xf>
    <xf numFmtId="0" fontId="13" fillId="6" borderId="22" xfId="0" applyFont="1" applyFill="1" applyBorder="1">
      <alignment vertical="center"/>
    </xf>
    <xf numFmtId="26" fontId="11" fillId="0" borderId="22" xfId="0" applyNumberFormat="1" applyFont="1" applyBorder="1">
      <alignment vertical="center"/>
    </xf>
    <xf numFmtId="0" fontId="11" fillId="0" borderId="27" xfId="0" applyFont="1" applyBorder="1" applyAlignment="1">
      <alignment horizontal="center" vertical="center"/>
    </xf>
    <xf numFmtId="26" fontId="11" fillId="0" borderId="26" xfId="0" applyNumberFormat="1" applyFont="1" applyBorder="1">
      <alignment vertical="center"/>
    </xf>
    <xf numFmtId="0" fontId="11" fillId="6" borderId="22" xfId="0" applyFont="1" applyFill="1" applyBorder="1" applyAlignment="1">
      <alignment horizontal="center" vertical="center"/>
    </xf>
    <xf numFmtId="0" fontId="11" fillId="6" borderId="22" xfId="0" applyFont="1" applyFill="1" applyBorder="1">
      <alignment vertical="center"/>
    </xf>
    <xf numFmtId="0" fontId="14" fillId="6" borderId="21" xfId="0" applyFont="1" applyFill="1" applyBorder="1">
      <alignment vertical="center"/>
    </xf>
    <xf numFmtId="0" fontId="14" fillId="6" borderId="35" xfId="0" applyFont="1" applyFill="1" applyBorder="1">
      <alignment vertical="center"/>
    </xf>
    <xf numFmtId="26" fontId="11" fillId="0" borderId="30" xfId="0" applyNumberFormat="1" applyFont="1" applyBorder="1">
      <alignment vertical="center"/>
    </xf>
    <xf numFmtId="0" fontId="11" fillId="6" borderId="2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26" fontId="11" fillId="6" borderId="22" xfId="0" applyNumberFormat="1" applyFont="1" applyFill="1" applyBorder="1">
      <alignment vertical="center"/>
    </xf>
    <xf numFmtId="38" fontId="14" fillId="0" borderId="21" xfId="16" applyNumberFormat="1" applyFont="1" applyFill="1" applyBorder="1">
      <alignment vertical="center"/>
    </xf>
    <xf numFmtId="0" fontId="11" fillId="6" borderId="30" xfId="0" applyFont="1" applyFill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1" fillId="0" borderId="26" xfId="0" applyFont="1" applyBorder="1">
      <alignment vertical="center"/>
    </xf>
    <xf numFmtId="0" fontId="14" fillId="0" borderId="35" xfId="0" applyFont="1" applyBorder="1">
      <alignment vertical="center"/>
    </xf>
    <xf numFmtId="0" fontId="11" fillId="0" borderId="32" xfId="0" applyFont="1" applyBorder="1">
      <alignment vertical="center"/>
    </xf>
    <xf numFmtId="176" fontId="11" fillId="0" borderId="32" xfId="0" applyNumberFormat="1" applyFont="1" applyBorder="1">
      <alignment vertical="center"/>
    </xf>
    <xf numFmtId="176" fontId="11" fillId="0" borderId="23" xfId="0" applyNumberFormat="1" applyFont="1" applyBorder="1">
      <alignment vertical="center"/>
    </xf>
    <xf numFmtId="0" fontId="11" fillId="0" borderId="34" xfId="0" applyFont="1" applyBorder="1" applyAlignment="1">
      <alignment horizontal="center" vertical="center"/>
    </xf>
    <xf numFmtId="176" fontId="11" fillId="0" borderId="10" xfId="0" applyNumberFormat="1" applyFont="1" applyBorder="1">
      <alignment vertical="center"/>
    </xf>
    <xf numFmtId="176" fontId="11" fillId="0" borderId="26" xfId="0" applyNumberFormat="1" applyFont="1" applyBorder="1">
      <alignment vertical="center"/>
    </xf>
    <xf numFmtId="0" fontId="14" fillId="7" borderId="28" xfId="0" applyFont="1" applyFill="1" applyBorder="1">
      <alignment vertical="center"/>
    </xf>
    <xf numFmtId="0" fontId="14" fillId="7" borderId="29" xfId="0" applyFont="1" applyFill="1" applyBorder="1">
      <alignment vertical="center"/>
    </xf>
    <xf numFmtId="38" fontId="14" fillId="7" borderId="10" xfId="16" applyNumberFormat="1" applyFont="1" applyFill="1" applyBorder="1">
      <alignment vertical="center"/>
    </xf>
    <xf numFmtId="176" fontId="11" fillId="0" borderId="30" xfId="0" applyNumberFormat="1" applyFont="1" applyBorder="1">
      <alignment vertical="center"/>
    </xf>
    <xf numFmtId="0" fontId="11" fillId="0" borderId="38" xfId="0" applyFont="1" applyBorder="1">
      <alignment vertical="center"/>
    </xf>
    <xf numFmtId="0" fontId="11" fillId="0" borderId="3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8" fontId="14" fillId="6" borderId="10" xfId="16" applyNumberFormat="1" applyFont="1" applyFill="1" applyBorder="1">
      <alignment vertical="center"/>
    </xf>
    <xf numFmtId="176" fontId="11" fillId="0" borderId="38" xfId="0" applyNumberFormat="1" applyFont="1" applyBorder="1">
      <alignment vertical="center"/>
    </xf>
    <xf numFmtId="38" fontId="14" fillId="7" borderId="25" xfId="16" applyNumberFormat="1" applyFont="1" applyFill="1" applyBorder="1">
      <alignment vertical="center"/>
    </xf>
    <xf numFmtId="0" fontId="11" fillId="6" borderId="25" xfId="0" applyFont="1" applyFill="1" applyBorder="1">
      <alignment vertical="center"/>
    </xf>
    <xf numFmtId="0" fontId="11" fillId="6" borderId="26" xfId="0" applyFont="1" applyFill="1" applyBorder="1">
      <alignment vertical="center"/>
    </xf>
    <xf numFmtId="0" fontId="14" fillId="6" borderId="28" xfId="0" applyFont="1" applyFill="1" applyBorder="1">
      <alignment vertical="center"/>
    </xf>
    <xf numFmtId="0" fontId="14" fillId="6" borderId="29" xfId="0" applyFont="1" applyFill="1" applyBorder="1">
      <alignment vertical="center"/>
    </xf>
    <xf numFmtId="176" fontId="14" fillId="0" borderId="25" xfId="0" applyNumberFormat="1" applyFont="1" applyBorder="1">
      <alignment vertical="center"/>
    </xf>
    <xf numFmtId="176" fontId="11" fillId="0" borderId="21" xfId="0" applyNumberFormat="1" applyFont="1" applyBorder="1">
      <alignment vertical="center"/>
    </xf>
    <xf numFmtId="176" fontId="14" fillId="0" borderId="10" xfId="0" applyNumberFormat="1" applyFont="1" applyBorder="1">
      <alignment vertical="center"/>
    </xf>
    <xf numFmtId="176" fontId="11" fillId="0" borderId="41" xfId="0" applyNumberFormat="1" applyFont="1" applyBorder="1">
      <alignment vertical="center"/>
    </xf>
    <xf numFmtId="38" fontId="14" fillId="6" borderId="25" xfId="16" applyNumberFormat="1" applyFont="1" applyFill="1" applyBorder="1">
      <alignment vertical="center"/>
    </xf>
    <xf numFmtId="176" fontId="14" fillId="7" borderId="10" xfId="0" applyNumberFormat="1" applyFont="1" applyFill="1" applyBorder="1">
      <alignment vertical="center"/>
    </xf>
    <xf numFmtId="176" fontId="11" fillId="0" borderId="44" xfId="0" applyNumberFormat="1" applyFont="1" applyBorder="1">
      <alignment vertical="center"/>
    </xf>
    <xf numFmtId="176" fontId="11" fillId="0" borderId="25" xfId="0" applyNumberFormat="1" applyFont="1" applyBorder="1">
      <alignment vertical="center"/>
    </xf>
    <xf numFmtId="0" fontId="14" fillId="7" borderId="0" xfId="0" applyFont="1" applyFill="1">
      <alignment vertical="center"/>
    </xf>
    <xf numFmtId="0" fontId="14" fillId="7" borderId="25" xfId="0" applyFont="1" applyFill="1" applyBorder="1">
      <alignment vertical="center"/>
    </xf>
    <xf numFmtId="0" fontId="11" fillId="0" borderId="10" xfId="0" applyFont="1" applyBorder="1">
      <alignment vertical="center"/>
    </xf>
    <xf numFmtId="0" fontId="11" fillId="0" borderId="28" xfId="0" applyFon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41" fontId="5" fillId="2" borderId="46" xfId="1" applyFont="1" applyFill="1" applyBorder="1" applyAlignment="1">
      <alignment horizontal="center" vertical="center"/>
    </xf>
    <xf numFmtId="41" fontId="5" fillId="2" borderId="47" xfId="1" applyFont="1" applyFill="1" applyBorder="1" applyAlignment="1">
      <alignment horizontal="center" vertical="center"/>
    </xf>
    <xf numFmtId="0" fontId="15" fillId="0" borderId="21" xfId="0" applyFont="1" applyBorder="1">
      <alignment vertical="center"/>
    </xf>
    <xf numFmtId="0" fontId="14" fillId="0" borderId="40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2" xfId="0" applyFont="1" applyBorder="1" applyAlignment="1">
      <alignment horizontal="center" vertical="center"/>
    </xf>
    <xf numFmtId="0" fontId="14" fillId="0" borderId="43" xfId="0" applyFont="1" applyBorder="1">
      <alignment vertical="center"/>
    </xf>
    <xf numFmtId="0" fontId="11" fillId="0" borderId="44" xfId="0" applyFont="1" applyBorder="1">
      <alignment vertical="center"/>
    </xf>
    <xf numFmtId="0" fontId="11" fillId="0" borderId="45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right" vertical="center"/>
    </xf>
    <xf numFmtId="3" fontId="11" fillId="6" borderId="23" xfId="0" applyNumberFormat="1" applyFont="1" applyFill="1" applyBorder="1" applyAlignment="1">
      <alignment horizontal="right" vertical="center"/>
    </xf>
    <xf numFmtId="3" fontId="11" fillId="0" borderId="23" xfId="0" applyNumberFormat="1" applyFont="1" applyBorder="1" applyAlignment="1">
      <alignment horizontal="right" vertical="center"/>
    </xf>
    <xf numFmtId="3" fontId="11" fillId="0" borderId="10" xfId="0" applyNumberFormat="1" applyFont="1" applyBorder="1" applyAlignment="1">
      <alignment horizontal="right" vertical="center"/>
    </xf>
    <xf numFmtId="177" fontId="14" fillId="0" borderId="28" xfId="16" applyNumberFormat="1" applyFont="1" applyFill="1" applyBorder="1">
      <alignment vertical="center"/>
    </xf>
    <xf numFmtId="177" fontId="14" fillId="0" borderId="34" xfId="16" applyNumberFormat="1" applyFont="1" applyFill="1" applyBorder="1">
      <alignment vertical="center"/>
    </xf>
    <xf numFmtId="38" fontId="14" fillId="0" borderId="34" xfId="16" applyNumberFormat="1" applyFont="1" applyFill="1" applyBorder="1">
      <alignment vertical="center"/>
    </xf>
    <xf numFmtId="41" fontId="11" fillId="0" borderId="24" xfId="16" applyFont="1" applyFill="1" applyBorder="1">
      <alignment vertical="center"/>
    </xf>
    <xf numFmtId="38" fontId="14" fillId="0" borderId="28" xfId="16" applyNumberFormat="1" applyFont="1" applyFill="1" applyBorder="1">
      <alignment vertical="center"/>
    </xf>
    <xf numFmtId="38" fontId="14" fillId="7" borderId="34" xfId="16" applyNumberFormat="1" applyFont="1" applyFill="1" applyBorder="1">
      <alignment vertical="center"/>
    </xf>
    <xf numFmtId="41" fontId="11" fillId="0" borderId="31" xfId="16" applyFont="1" applyFill="1" applyBorder="1">
      <alignment vertical="center"/>
    </xf>
    <xf numFmtId="177" fontId="14" fillId="6" borderId="34" xfId="16" applyNumberFormat="1" applyFont="1" applyFill="1" applyBorder="1">
      <alignment vertical="center"/>
    </xf>
    <xf numFmtId="41" fontId="11" fillId="0" borderId="39" xfId="16" applyFont="1" applyFill="1" applyBorder="1">
      <alignment vertical="center"/>
    </xf>
    <xf numFmtId="41" fontId="11" fillId="0" borderId="27" xfId="16" applyFont="1" applyFill="1" applyBorder="1">
      <alignment vertical="center"/>
    </xf>
    <xf numFmtId="38" fontId="14" fillId="7" borderId="28" xfId="16" applyNumberFormat="1" applyFont="1" applyFill="1" applyBorder="1">
      <alignment vertical="center"/>
    </xf>
    <xf numFmtId="38" fontId="14" fillId="6" borderId="28" xfId="16" applyNumberFormat="1" applyFont="1" applyFill="1" applyBorder="1">
      <alignment vertical="center"/>
    </xf>
    <xf numFmtId="38" fontId="14" fillId="6" borderId="34" xfId="16" applyNumberFormat="1" applyFont="1" applyFill="1" applyBorder="1">
      <alignment vertical="center"/>
    </xf>
    <xf numFmtId="41" fontId="11" fillId="0" borderId="42" xfId="16" applyFont="1" applyFill="1" applyBorder="1">
      <alignment vertical="center"/>
    </xf>
    <xf numFmtId="41" fontId="11" fillId="0" borderId="45" xfId="16" applyFont="1" applyFill="1" applyBorder="1">
      <alignment vertical="center"/>
    </xf>
    <xf numFmtId="41" fontId="11" fillId="0" borderId="37" xfId="16" applyFont="1" applyFill="1" applyBorder="1">
      <alignment vertical="center"/>
    </xf>
    <xf numFmtId="41" fontId="11" fillId="0" borderId="22" xfId="16" applyFont="1" applyFill="1" applyBorder="1">
      <alignment vertical="center"/>
    </xf>
    <xf numFmtId="41" fontId="11" fillId="0" borderId="28" xfId="16" applyFont="1" applyFill="1" applyBorder="1">
      <alignment vertical="center"/>
    </xf>
    <xf numFmtId="41" fontId="11" fillId="0" borderId="34" xfId="16" applyFont="1" applyFill="1" applyBorder="1">
      <alignment vertical="center"/>
    </xf>
    <xf numFmtId="41" fontId="14" fillId="0" borderId="28" xfId="16" applyFont="1" applyBorder="1">
      <alignment vertical="center"/>
    </xf>
    <xf numFmtId="3" fontId="11" fillId="0" borderId="21" xfId="0" applyNumberFormat="1" applyFont="1" applyBorder="1" applyAlignment="1">
      <alignment horizontal="right" vertical="center"/>
    </xf>
    <xf numFmtId="3" fontId="11" fillId="6" borderId="26" xfId="0" applyNumberFormat="1" applyFont="1" applyFill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1" fillId="0" borderId="30" xfId="0" applyNumberFormat="1" applyFont="1" applyBorder="1" applyAlignment="1">
      <alignment horizontal="right" vertical="center"/>
    </xf>
    <xf numFmtId="3" fontId="14" fillId="0" borderId="21" xfId="0" applyNumberFormat="1" applyFont="1" applyBorder="1" applyAlignment="1">
      <alignment horizontal="right" vertical="center"/>
    </xf>
    <xf numFmtId="3" fontId="14" fillId="6" borderId="10" xfId="0" applyNumberFormat="1" applyFont="1" applyFill="1" applyBorder="1" applyAlignment="1">
      <alignment horizontal="right" vertical="center"/>
    </xf>
    <xf numFmtId="3" fontId="11" fillId="6" borderId="30" xfId="0" applyNumberFormat="1" applyFont="1" applyFill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3" fontId="14" fillId="7" borderId="25" xfId="0" applyNumberFormat="1" applyFont="1" applyFill="1" applyBorder="1" applyAlignment="1">
      <alignment horizontal="right" vertical="center"/>
    </xf>
    <xf numFmtId="3" fontId="11" fillId="0" borderId="32" xfId="0" applyNumberFormat="1" applyFont="1" applyBorder="1" applyAlignment="1">
      <alignment horizontal="right" vertical="center"/>
    </xf>
    <xf numFmtId="3" fontId="11" fillId="0" borderId="38" xfId="0" applyNumberFormat="1" applyFont="1" applyBorder="1" applyAlignment="1">
      <alignment horizontal="right" vertical="center"/>
    </xf>
    <xf numFmtId="3" fontId="14" fillId="6" borderId="25" xfId="0" applyNumberFormat="1" applyFont="1" applyFill="1" applyBorder="1" applyAlignment="1">
      <alignment horizontal="right" vertical="center"/>
    </xf>
    <xf numFmtId="3" fontId="11" fillId="0" borderId="41" xfId="0" applyNumberFormat="1" applyFont="1" applyBorder="1" applyAlignment="1">
      <alignment horizontal="right" vertical="center"/>
    </xf>
    <xf numFmtId="3" fontId="11" fillId="0" borderId="44" xfId="0" applyNumberFormat="1" applyFont="1" applyBorder="1" applyAlignment="1">
      <alignment horizontal="right" vertical="center"/>
    </xf>
    <xf numFmtId="3" fontId="14" fillId="7" borderId="21" xfId="0" applyNumberFormat="1" applyFont="1" applyFill="1" applyBorder="1" applyAlignment="1">
      <alignment horizontal="right" vertical="center"/>
    </xf>
    <xf numFmtId="3" fontId="11" fillId="0" borderId="25" xfId="0" applyNumberFormat="1" applyFont="1" applyBorder="1" applyAlignment="1">
      <alignment horizontal="right" vertical="center"/>
    </xf>
    <xf numFmtId="0" fontId="14" fillId="7" borderId="21" xfId="0" applyFont="1" applyFill="1" applyBorder="1">
      <alignment vertical="center"/>
    </xf>
    <xf numFmtId="38" fontId="14" fillId="7" borderId="22" xfId="16" applyNumberFormat="1" applyFont="1" applyFill="1" applyBorder="1">
      <alignment vertical="center"/>
    </xf>
    <xf numFmtId="41" fontId="5" fillId="2" borderId="9" xfId="1" applyFont="1" applyFill="1" applyBorder="1" applyAlignment="1">
      <alignment horizontal="center" vertical="center"/>
    </xf>
    <xf numFmtId="26" fontId="11" fillId="6" borderId="23" xfId="0" applyNumberFormat="1" applyFont="1" applyFill="1" applyBorder="1">
      <alignment vertical="center"/>
    </xf>
    <xf numFmtId="38" fontId="14" fillId="0" borderId="43" xfId="16" applyNumberFormat="1" applyFont="1" applyFill="1" applyBorder="1">
      <alignment vertical="center"/>
    </xf>
    <xf numFmtId="38" fontId="14" fillId="0" borderId="40" xfId="16" applyNumberFormat="1" applyFont="1" applyFill="1" applyBorder="1">
      <alignment vertical="center"/>
    </xf>
    <xf numFmtId="38" fontId="14" fillId="0" borderId="53" xfId="16" applyNumberFormat="1" applyFont="1" applyFill="1" applyBorder="1">
      <alignment vertical="center"/>
    </xf>
    <xf numFmtId="176" fontId="11" fillId="0" borderId="50" xfId="0" applyNumberFormat="1" applyFont="1" applyBorder="1">
      <alignment vertical="center"/>
    </xf>
    <xf numFmtId="176" fontId="11" fillId="0" borderId="49" xfId="0" applyNumberFormat="1" applyFont="1" applyBorder="1">
      <alignment vertical="center"/>
    </xf>
    <xf numFmtId="176" fontId="11" fillId="0" borderId="40" xfId="0" applyNumberFormat="1" applyFont="1" applyBorder="1">
      <alignment vertical="center"/>
    </xf>
    <xf numFmtId="176" fontId="11" fillId="0" borderId="51" xfId="0" applyNumberFormat="1" applyFont="1" applyBorder="1">
      <alignment vertical="center"/>
    </xf>
    <xf numFmtId="38" fontId="14" fillId="7" borderId="40" xfId="16" applyNumberFormat="1" applyFont="1" applyFill="1" applyBorder="1">
      <alignment vertical="center"/>
    </xf>
    <xf numFmtId="176" fontId="11" fillId="0" borderId="52" xfId="0" applyNumberFormat="1" applyFont="1" applyBorder="1">
      <alignment vertical="center"/>
    </xf>
    <xf numFmtId="176" fontId="11" fillId="0" borderId="54" xfId="0" applyNumberFormat="1" applyFont="1" applyBorder="1">
      <alignment vertical="center"/>
    </xf>
    <xf numFmtId="38" fontId="14" fillId="6" borderId="40" xfId="16" applyNumberFormat="1" applyFont="1" applyFill="1" applyBorder="1">
      <alignment vertical="center"/>
    </xf>
    <xf numFmtId="38" fontId="14" fillId="7" borderId="43" xfId="16" applyNumberFormat="1" applyFont="1" applyFill="1" applyBorder="1">
      <alignment vertical="center"/>
    </xf>
    <xf numFmtId="176" fontId="14" fillId="0" borderId="43" xfId="0" applyNumberFormat="1" applyFont="1" applyBorder="1">
      <alignment vertical="center"/>
    </xf>
    <xf numFmtId="176" fontId="11" fillId="0" borderId="53" xfId="0" applyNumberFormat="1" applyFont="1" applyBorder="1">
      <alignment vertical="center"/>
    </xf>
    <xf numFmtId="176" fontId="14" fillId="0" borderId="40" xfId="0" applyNumberFormat="1" applyFont="1" applyBorder="1">
      <alignment vertical="center"/>
    </xf>
    <xf numFmtId="176" fontId="11" fillId="0" borderId="55" xfId="0" applyNumberFormat="1" applyFont="1" applyBorder="1">
      <alignment vertical="center"/>
    </xf>
    <xf numFmtId="176" fontId="14" fillId="7" borderId="40" xfId="0" applyNumberFormat="1" applyFont="1" applyFill="1" applyBorder="1">
      <alignment vertical="center"/>
    </xf>
    <xf numFmtId="176" fontId="11" fillId="0" borderId="56" xfId="0" applyNumberFormat="1" applyFont="1" applyBorder="1">
      <alignment vertical="center"/>
    </xf>
    <xf numFmtId="0" fontId="14" fillId="7" borderId="53" xfId="0" applyFont="1" applyFill="1" applyBorder="1">
      <alignment vertical="center"/>
    </xf>
    <xf numFmtId="177" fontId="11" fillId="0" borderId="23" xfId="16" applyNumberFormat="1" applyFont="1" applyFill="1" applyBorder="1">
      <alignment vertical="center"/>
    </xf>
    <xf numFmtId="177" fontId="11" fillId="0" borderId="26" xfId="16" applyNumberFormat="1" applyFont="1" applyFill="1" applyBorder="1">
      <alignment vertical="center"/>
    </xf>
    <xf numFmtId="177" fontId="14" fillId="0" borderId="25" xfId="16" applyNumberFormat="1" applyFont="1" applyFill="1" applyBorder="1">
      <alignment vertical="center"/>
    </xf>
    <xf numFmtId="177" fontId="14" fillId="0" borderId="10" xfId="16" applyNumberFormat="1" applyFont="1" applyFill="1" applyBorder="1">
      <alignment vertical="center"/>
    </xf>
    <xf numFmtId="177" fontId="11" fillId="0" borderId="30" xfId="16" applyNumberFormat="1" applyFont="1" applyFill="1" applyBorder="1">
      <alignment vertical="center"/>
    </xf>
    <xf numFmtId="41" fontId="11" fillId="0" borderId="23" xfId="16" applyFont="1" applyFill="1" applyBorder="1">
      <alignment vertical="center"/>
    </xf>
    <xf numFmtId="41" fontId="11" fillId="0" borderId="30" xfId="16" applyFont="1" applyFill="1" applyBorder="1">
      <alignment vertical="center"/>
    </xf>
    <xf numFmtId="177" fontId="14" fillId="6" borderId="10" xfId="16" applyNumberFormat="1" applyFont="1" applyFill="1" applyBorder="1">
      <alignment vertical="center"/>
    </xf>
    <xf numFmtId="41" fontId="11" fillId="0" borderId="38" xfId="16" applyFont="1" applyFill="1" applyBorder="1">
      <alignment vertical="center"/>
    </xf>
    <xf numFmtId="41" fontId="11" fillId="0" borderId="26" xfId="16" applyFont="1" applyFill="1" applyBorder="1">
      <alignment vertical="center"/>
    </xf>
    <xf numFmtId="41" fontId="11" fillId="0" borderId="41" xfId="16" applyFont="1" applyFill="1" applyBorder="1">
      <alignment vertical="center"/>
    </xf>
    <xf numFmtId="41" fontId="11" fillId="0" borderId="44" xfId="16" applyFont="1" applyFill="1" applyBorder="1">
      <alignment vertical="center"/>
    </xf>
    <xf numFmtId="41" fontId="11" fillId="0" borderId="32" xfId="16" applyFont="1" applyFill="1" applyBorder="1">
      <alignment vertical="center"/>
    </xf>
    <xf numFmtId="41" fontId="11" fillId="0" borderId="21" xfId="16" applyFont="1" applyFill="1" applyBorder="1">
      <alignment vertical="center"/>
    </xf>
    <xf numFmtId="41" fontId="11" fillId="0" borderId="25" xfId="16" applyFont="1" applyFill="1" applyBorder="1">
      <alignment vertical="center"/>
    </xf>
    <xf numFmtId="41" fontId="11" fillId="0" borderId="10" xfId="16" applyFont="1" applyFill="1" applyBorder="1">
      <alignment vertical="center"/>
    </xf>
    <xf numFmtId="41" fontId="14" fillId="0" borderId="25" xfId="16" applyFont="1" applyBorder="1">
      <alignment vertical="center"/>
    </xf>
    <xf numFmtId="38" fontId="14" fillId="7" borderId="21" xfId="16" applyNumberFormat="1" applyFont="1" applyFill="1" applyBorder="1">
      <alignment vertical="center"/>
    </xf>
    <xf numFmtId="3" fontId="11" fillId="6" borderId="24" xfId="0" applyNumberFormat="1" applyFont="1" applyFill="1" applyBorder="1" applyAlignment="1">
      <alignment horizontal="right" vertical="center"/>
    </xf>
    <xf numFmtId="3" fontId="11" fillId="0" borderId="24" xfId="0" applyNumberFormat="1" applyFont="1" applyBorder="1" applyAlignment="1">
      <alignment horizontal="right" vertical="center"/>
    </xf>
    <xf numFmtId="3" fontId="11" fillId="0" borderId="22" xfId="0" applyNumberFormat="1" applyFont="1" applyBorder="1" applyAlignment="1">
      <alignment horizontal="right" vertical="center"/>
    </xf>
    <xf numFmtId="3" fontId="11" fillId="6" borderId="27" xfId="0" applyNumberFormat="1" applyFont="1" applyFill="1" applyBorder="1" applyAlignment="1">
      <alignment horizontal="right" vertical="center"/>
    </xf>
    <xf numFmtId="3" fontId="11" fillId="0" borderId="31" xfId="0" applyNumberFormat="1" applyFont="1" applyBorder="1" applyAlignment="1">
      <alignment horizontal="right" vertical="center"/>
    </xf>
    <xf numFmtId="3" fontId="11" fillId="0" borderId="27" xfId="0" applyNumberFormat="1" applyFont="1" applyBorder="1" applyAlignment="1">
      <alignment horizontal="right" vertical="center"/>
    </xf>
    <xf numFmtId="3" fontId="11" fillId="6" borderId="31" xfId="0" applyNumberFormat="1" applyFont="1" applyFill="1" applyBorder="1" applyAlignment="1">
      <alignment horizontal="right" vertical="center"/>
    </xf>
    <xf numFmtId="3" fontId="11" fillId="0" borderId="37" xfId="0" applyNumberFormat="1" applyFont="1" applyBorder="1" applyAlignment="1">
      <alignment horizontal="right" vertical="center"/>
    </xf>
    <xf numFmtId="3" fontId="11" fillId="0" borderId="39" xfId="0" applyNumberFormat="1" applyFont="1" applyBorder="1" applyAlignment="1">
      <alignment horizontal="right" vertical="center"/>
    </xf>
    <xf numFmtId="3" fontId="11" fillId="0" borderId="42" xfId="0" applyNumberFormat="1" applyFont="1" applyBorder="1" applyAlignment="1">
      <alignment horizontal="right" vertical="center"/>
    </xf>
    <xf numFmtId="3" fontId="11" fillId="0" borderId="45" xfId="0" applyNumberFormat="1" applyFont="1" applyBorder="1" applyAlignment="1">
      <alignment horizontal="right" vertical="center"/>
    </xf>
    <xf numFmtId="3" fontId="11" fillId="0" borderId="28" xfId="0" applyNumberFormat="1" applyFont="1" applyBorder="1" applyAlignment="1">
      <alignment horizontal="right" vertical="center"/>
    </xf>
    <xf numFmtId="41" fontId="5" fillId="2" borderId="6" xfId="1" applyFont="1" applyFill="1" applyBorder="1" applyAlignment="1">
      <alignment horizontal="center" vertical="center"/>
    </xf>
    <xf numFmtId="3" fontId="11" fillId="0" borderId="49" xfId="0" applyNumberFormat="1" applyFont="1" applyBorder="1" applyAlignment="1">
      <alignment horizontal="right" vertical="center"/>
    </xf>
    <xf numFmtId="3" fontId="11" fillId="6" borderId="51" xfId="0" applyNumberFormat="1" applyFont="1" applyFill="1" applyBorder="1" applyAlignment="1">
      <alignment horizontal="right" vertical="center"/>
    </xf>
    <xf numFmtId="3" fontId="11" fillId="0" borderId="52" xfId="0" applyNumberFormat="1" applyFont="1" applyBorder="1" applyAlignment="1">
      <alignment horizontal="right" vertical="center"/>
    </xf>
    <xf numFmtId="3" fontId="11" fillId="6" borderId="49" xfId="0" applyNumberFormat="1" applyFont="1" applyFill="1" applyBorder="1" applyAlignment="1">
      <alignment horizontal="right" vertical="center"/>
    </xf>
    <xf numFmtId="3" fontId="11" fillId="0" borderId="51" xfId="0" applyNumberFormat="1" applyFont="1" applyBorder="1" applyAlignment="1">
      <alignment horizontal="right" vertical="center"/>
    </xf>
    <xf numFmtId="3" fontId="11" fillId="6" borderId="52" xfId="0" applyNumberFormat="1" applyFont="1" applyFill="1" applyBorder="1" applyAlignment="1">
      <alignment horizontal="right" vertical="center"/>
    </xf>
    <xf numFmtId="3" fontId="11" fillId="0" borderId="40" xfId="0" applyNumberFormat="1" applyFont="1" applyBorder="1" applyAlignment="1">
      <alignment horizontal="right" vertical="center"/>
    </xf>
    <xf numFmtId="3" fontId="11" fillId="0" borderId="50" xfId="0" applyNumberFormat="1" applyFont="1" applyBorder="1" applyAlignment="1">
      <alignment horizontal="right" vertical="center"/>
    </xf>
    <xf numFmtId="3" fontId="11" fillId="0" borderId="54" xfId="0" applyNumberFormat="1" applyFont="1" applyBorder="1" applyAlignment="1">
      <alignment horizontal="right" vertical="center"/>
    </xf>
    <xf numFmtId="3" fontId="11" fillId="0" borderId="55" xfId="0" applyNumberFormat="1" applyFont="1" applyBorder="1" applyAlignment="1">
      <alignment horizontal="right" vertical="center"/>
    </xf>
    <xf numFmtId="3" fontId="11" fillId="0" borderId="56" xfId="0" applyNumberFormat="1" applyFont="1" applyBorder="1" applyAlignment="1">
      <alignment horizontal="right" vertical="center"/>
    </xf>
    <xf numFmtId="3" fontId="11" fillId="0" borderId="43" xfId="0" applyNumberFormat="1" applyFont="1" applyBorder="1" applyAlignment="1">
      <alignment horizontal="right" vertical="center"/>
    </xf>
    <xf numFmtId="0" fontId="14" fillId="7" borderId="22" xfId="0" applyFont="1" applyFill="1" applyBorder="1">
      <alignment vertical="center"/>
    </xf>
    <xf numFmtId="177" fontId="11" fillId="6" borderId="23" xfId="16" applyNumberFormat="1" applyFont="1" applyFill="1" applyBorder="1">
      <alignment vertical="center"/>
    </xf>
    <xf numFmtId="41" fontId="5" fillId="2" borderId="4" xfId="1" applyFont="1" applyFill="1" applyBorder="1" applyAlignment="1">
      <alignment horizontal="center" vertical="center"/>
    </xf>
    <xf numFmtId="3" fontId="11" fillId="6" borderId="59" xfId="0" applyNumberFormat="1" applyFont="1" applyFill="1" applyBorder="1" applyAlignment="1">
      <alignment horizontal="right" vertical="center"/>
    </xf>
    <xf numFmtId="3" fontId="11" fillId="6" borderId="60" xfId="0" applyNumberFormat="1" applyFont="1" applyFill="1" applyBorder="1" applyAlignment="1">
      <alignment horizontal="right" vertical="center"/>
    </xf>
    <xf numFmtId="3" fontId="11" fillId="0" borderId="60" xfId="0" applyNumberFormat="1" applyFont="1" applyBorder="1" applyAlignment="1">
      <alignment horizontal="right" vertical="center"/>
    </xf>
    <xf numFmtId="3" fontId="11" fillId="0" borderId="59" xfId="0" applyNumberFormat="1" applyFont="1" applyBorder="1" applyAlignment="1">
      <alignment horizontal="right" vertical="center"/>
    </xf>
    <xf numFmtId="3" fontId="11" fillId="0" borderId="61" xfId="0" applyNumberFormat="1" applyFont="1" applyBorder="1" applyAlignment="1">
      <alignment horizontal="right" vertical="center"/>
    </xf>
    <xf numFmtId="3" fontId="11" fillId="0" borderId="62" xfId="0" applyNumberFormat="1" applyFont="1" applyBorder="1" applyAlignment="1">
      <alignment horizontal="right" vertical="center"/>
    </xf>
    <xf numFmtId="3" fontId="11" fillId="6" borderId="63" xfId="0" applyNumberFormat="1" applyFont="1" applyFill="1" applyBorder="1" applyAlignment="1">
      <alignment horizontal="right" vertical="center"/>
    </xf>
    <xf numFmtId="3" fontId="11" fillId="6" borderId="64" xfId="0" applyNumberFormat="1" applyFont="1" applyFill="1" applyBorder="1" applyAlignment="1">
      <alignment horizontal="right" vertical="center"/>
    </xf>
    <xf numFmtId="3" fontId="11" fillId="0" borderId="66" xfId="0" applyNumberFormat="1" applyFont="1" applyBorder="1" applyAlignment="1">
      <alignment horizontal="right" vertical="center"/>
    </xf>
    <xf numFmtId="3" fontId="11" fillId="0" borderId="67" xfId="0" applyNumberFormat="1" applyFont="1" applyBorder="1" applyAlignment="1">
      <alignment horizontal="right" vertical="center"/>
    </xf>
    <xf numFmtId="3" fontId="11" fillId="0" borderId="63" xfId="0" applyNumberFormat="1" applyFont="1" applyBorder="1" applyAlignment="1">
      <alignment horizontal="right" vertical="center"/>
    </xf>
    <xf numFmtId="3" fontId="11" fillId="0" borderId="64" xfId="0" applyNumberFormat="1" applyFont="1" applyBorder="1" applyAlignment="1">
      <alignment horizontal="right" vertical="center"/>
    </xf>
    <xf numFmtId="3" fontId="11" fillId="6" borderId="66" xfId="0" applyNumberFormat="1" applyFont="1" applyFill="1" applyBorder="1" applyAlignment="1">
      <alignment horizontal="right" vertical="center"/>
    </xf>
    <xf numFmtId="3" fontId="11" fillId="6" borderId="67" xfId="0" applyNumberFormat="1" applyFont="1" applyFill="1" applyBorder="1" applyAlignment="1">
      <alignment horizontal="right" vertical="center"/>
    </xf>
    <xf numFmtId="3" fontId="11" fillId="0" borderId="68" xfId="0" applyNumberFormat="1" applyFont="1" applyBorder="1" applyAlignment="1">
      <alignment horizontal="right" vertical="center"/>
    </xf>
    <xf numFmtId="3" fontId="11" fillId="0" borderId="72" xfId="0" applyNumberFormat="1" applyFont="1" applyBorder="1" applyAlignment="1">
      <alignment horizontal="right" vertical="center"/>
    </xf>
    <xf numFmtId="3" fontId="11" fillId="0" borderId="33" xfId="0" applyNumberFormat="1" applyFont="1" applyBorder="1" applyAlignment="1">
      <alignment horizontal="right" vertical="center"/>
    </xf>
    <xf numFmtId="3" fontId="11" fillId="0" borderId="73" xfId="0" applyNumberFormat="1" applyFont="1" applyBorder="1" applyAlignment="1">
      <alignment horizontal="right" vertical="center"/>
    </xf>
    <xf numFmtId="3" fontId="11" fillId="0" borderId="74" xfId="0" applyNumberFormat="1" applyFont="1" applyBorder="1" applyAlignment="1">
      <alignment horizontal="right" vertical="center"/>
    </xf>
    <xf numFmtId="3" fontId="11" fillId="0" borderId="75" xfId="0" applyNumberFormat="1" applyFont="1" applyBorder="1" applyAlignment="1">
      <alignment horizontal="right" vertical="center"/>
    </xf>
    <xf numFmtId="3" fontId="11" fillId="0" borderId="76" xfId="0" applyNumberFormat="1" applyFont="1" applyBorder="1" applyAlignment="1">
      <alignment horizontal="right" vertical="center"/>
    </xf>
    <xf numFmtId="3" fontId="11" fillId="0" borderId="77" xfId="0" applyNumberFormat="1" applyFont="1" applyBorder="1" applyAlignment="1">
      <alignment horizontal="right" vertical="center"/>
    </xf>
    <xf numFmtId="3" fontId="11" fillId="0" borderId="78" xfId="0" applyNumberFormat="1" applyFont="1" applyBorder="1" applyAlignment="1">
      <alignment horizontal="right" vertical="center"/>
    </xf>
    <xf numFmtId="3" fontId="11" fillId="6" borderId="69" xfId="0" applyNumberFormat="1" applyFont="1" applyFill="1" applyBorder="1" applyAlignment="1">
      <alignment horizontal="right" vertical="center"/>
    </xf>
    <xf numFmtId="3" fontId="11" fillId="0" borderId="70" xfId="0" applyNumberFormat="1" applyFont="1" applyBorder="1" applyAlignment="1">
      <alignment horizontal="right" vertical="center"/>
    </xf>
    <xf numFmtId="3" fontId="11" fillId="0" borderId="71" xfId="0" applyNumberFormat="1" applyFont="1" applyBorder="1" applyAlignment="1">
      <alignment horizontal="right" vertical="center"/>
    </xf>
    <xf numFmtId="41" fontId="5" fillId="2" borderId="5" xfId="1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26" fontId="11" fillId="6" borderId="30" xfId="0" applyNumberFormat="1" applyFont="1" applyFill="1" applyBorder="1">
      <alignment vertical="center"/>
    </xf>
    <xf numFmtId="176" fontId="11" fillId="6" borderId="23" xfId="0" applyNumberFormat="1" applyFont="1" applyFill="1" applyBorder="1">
      <alignment vertical="center"/>
    </xf>
    <xf numFmtId="3" fontId="11" fillId="0" borderId="36" xfId="0" applyNumberFormat="1" applyFont="1" applyBorder="1" applyAlignment="1">
      <alignment horizontal="right" vertical="center"/>
    </xf>
    <xf numFmtId="0" fontId="11" fillId="0" borderId="22" xfId="0" applyFont="1" applyBorder="1" applyAlignment="1">
      <alignment horizontal="center" vertical="center"/>
    </xf>
    <xf numFmtId="176" fontId="11" fillId="6" borderId="32" xfId="0" applyNumberFormat="1" applyFont="1" applyFill="1" applyBorder="1">
      <alignment vertical="center"/>
    </xf>
    <xf numFmtId="41" fontId="11" fillId="6" borderId="37" xfId="16" applyFont="1" applyFill="1" applyBorder="1">
      <alignment vertical="center"/>
    </xf>
    <xf numFmtId="41" fontId="11" fillId="6" borderId="32" xfId="16" applyFont="1" applyFill="1" applyBorder="1">
      <alignment vertical="center"/>
    </xf>
    <xf numFmtId="176" fontId="11" fillId="6" borderId="50" xfId="0" applyNumberFormat="1" applyFont="1" applyFill="1" applyBorder="1">
      <alignment vertical="center"/>
    </xf>
    <xf numFmtId="41" fontId="11" fillId="6" borderId="23" xfId="16" applyFont="1" applyFill="1" applyBorder="1">
      <alignment vertical="center"/>
    </xf>
    <xf numFmtId="176" fontId="11" fillId="6" borderId="49" xfId="0" applyNumberFormat="1" applyFont="1" applyFill="1" applyBorder="1">
      <alignment vertical="center"/>
    </xf>
    <xf numFmtId="41" fontId="5" fillId="2" borderId="81" xfId="1" applyFont="1" applyFill="1" applyBorder="1" applyAlignment="1">
      <alignment horizontal="center" vertical="center"/>
    </xf>
    <xf numFmtId="3" fontId="11" fillId="6" borderId="82" xfId="0" applyNumberFormat="1" applyFont="1" applyFill="1" applyBorder="1" applyAlignment="1">
      <alignment horizontal="right" vertical="center"/>
    </xf>
    <xf numFmtId="3" fontId="11" fillId="0" borderId="82" xfId="0" applyNumberFormat="1" applyFont="1" applyBorder="1" applyAlignment="1">
      <alignment horizontal="right" vertical="center"/>
    </xf>
    <xf numFmtId="3" fontId="11" fillId="0" borderId="83" xfId="0" applyNumberFormat="1" applyFont="1" applyBorder="1" applyAlignment="1">
      <alignment horizontal="right" vertical="center"/>
    </xf>
    <xf numFmtId="3" fontId="11" fillId="6" borderId="84" xfId="0" applyNumberFormat="1" applyFont="1" applyFill="1" applyBorder="1" applyAlignment="1">
      <alignment horizontal="right" vertical="center"/>
    </xf>
    <xf numFmtId="3" fontId="11" fillId="0" borderId="87" xfId="0" applyNumberFormat="1" applyFont="1" applyBorder="1" applyAlignment="1">
      <alignment horizontal="right" vertical="center"/>
    </xf>
    <xf numFmtId="3" fontId="11" fillId="0" borderId="84" xfId="0" applyNumberFormat="1" applyFont="1" applyBorder="1" applyAlignment="1">
      <alignment horizontal="right" vertical="center"/>
    </xf>
    <xf numFmtId="3" fontId="11" fillId="0" borderId="88" xfId="0" applyNumberFormat="1" applyFont="1" applyBorder="1" applyAlignment="1">
      <alignment horizontal="right" vertical="center"/>
    </xf>
    <xf numFmtId="3" fontId="11" fillId="6" borderId="87" xfId="0" applyNumberFormat="1" applyFont="1" applyFill="1" applyBorder="1" applyAlignment="1">
      <alignment horizontal="right" vertical="center"/>
    </xf>
    <xf numFmtId="3" fontId="11" fillId="0" borderId="89" xfId="0" applyNumberFormat="1" applyFont="1" applyBorder="1" applyAlignment="1">
      <alignment horizontal="right" vertical="center"/>
    </xf>
    <xf numFmtId="3" fontId="11" fillId="0" borderId="86" xfId="0" applyNumberFormat="1" applyFont="1" applyBorder="1" applyAlignment="1">
      <alignment horizontal="right" vertical="center"/>
    </xf>
    <xf numFmtId="3" fontId="11" fillId="0" borderId="90" xfId="0" applyNumberFormat="1" applyFont="1" applyBorder="1" applyAlignment="1">
      <alignment horizontal="right" vertical="center"/>
    </xf>
    <xf numFmtId="0" fontId="11" fillId="0" borderId="91" xfId="0" applyFont="1" applyBorder="1" applyAlignment="1">
      <alignment horizontal="center" vertical="center"/>
    </xf>
    <xf numFmtId="176" fontId="11" fillId="0" borderId="92" xfId="0" applyNumberFormat="1" applyFont="1" applyBorder="1">
      <alignment vertical="center"/>
    </xf>
    <xf numFmtId="41" fontId="11" fillId="0" borderId="93" xfId="16" applyFont="1" applyFill="1" applyBorder="1">
      <alignment vertical="center"/>
    </xf>
    <xf numFmtId="41" fontId="11" fillId="0" borderId="92" xfId="16" applyFont="1" applyFill="1" applyBorder="1">
      <alignment vertical="center"/>
    </xf>
    <xf numFmtId="176" fontId="11" fillId="0" borderId="94" xfId="0" applyNumberFormat="1" applyFont="1" applyBorder="1">
      <alignment vertical="center"/>
    </xf>
    <xf numFmtId="0" fontId="11" fillId="0" borderId="48" xfId="0" applyFont="1" applyBorder="1">
      <alignment vertical="center"/>
    </xf>
    <xf numFmtId="0" fontId="11" fillId="0" borderId="48" xfId="0" applyFont="1" applyBorder="1" applyAlignment="1">
      <alignment horizontal="center" vertical="center"/>
    </xf>
    <xf numFmtId="3" fontId="11" fillId="0" borderId="53" xfId="0" applyNumberFormat="1" applyFont="1" applyBorder="1" applyAlignment="1">
      <alignment horizontal="right" vertical="center"/>
    </xf>
    <xf numFmtId="0" fontId="11" fillId="0" borderId="95" xfId="0" applyFont="1" applyBorder="1">
      <alignment vertical="center"/>
    </xf>
    <xf numFmtId="176" fontId="11" fillId="0" borderId="48" xfId="0" applyNumberFormat="1" applyFont="1" applyBorder="1">
      <alignment vertical="center"/>
    </xf>
    <xf numFmtId="41" fontId="11" fillId="0" borderId="48" xfId="16" applyFont="1" applyFill="1" applyBorder="1">
      <alignment vertical="center"/>
    </xf>
    <xf numFmtId="3" fontId="11" fillId="6" borderId="23" xfId="0" applyNumberFormat="1" applyFont="1" applyFill="1" applyBorder="1" applyAlignment="1">
      <alignment horizontal="center" vertical="center"/>
    </xf>
    <xf numFmtId="3" fontId="11" fillId="0" borderId="23" xfId="0" applyNumberFormat="1" applyFont="1" applyBorder="1" applyAlignment="1">
      <alignment horizontal="center" vertical="center"/>
    </xf>
    <xf numFmtId="3" fontId="11" fillId="0" borderId="21" xfId="0" applyNumberFormat="1" applyFont="1" applyBorder="1" applyAlignment="1">
      <alignment horizontal="center" vertical="center"/>
    </xf>
    <xf numFmtId="3" fontId="11" fillId="6" borderId="26" xfId="0" applyNumberFormat="1" applyFont="1" applyFill="1" applyBorder="1" applyAlignment="1">
      <alignment horizontal="center" vertical="center"/>
    </xf>
    <xf numFmtId="3" fontId="14" fillId="6" borderId="10" xfId="0" applyNumberFormat="1" applyFont="1" applyFill="1" applyBorder="1" applyAlignment="1">
      <alignment horizontal="center" vertical="center"/>
    </xf>
    <xf numFmtId="3" fontId="14" fillId="0" borderId="25" xfId="0" applyNumberFormat="1" applyFont="1" applyBorder="1" applyAlignment="1">
      <alignment horizontal="center" vertical="center"/>
    </xf>
    <xf numFmtId="3" fontId="11" fillId="6" borderId="38" xfId="0" applyNumberFormat="1" applyFont="1" applyFill="1" applyBorder="1" applyAlignment="1">
      <alignment horizontal="center" vertical="center"/>
    </xf>
    <xf numFmtId="3" fontId="11" fillId="0" borderId="30" xfId="0" applyNumberFormat="1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3" fontId="14" fillId="0" borderId="21" xfId="0" applyNumberFormat="1" applyFont="1" applyBorder="1" applyAlignment="1">
      <alignment horizontal="center" vertical="center"/>
    </xf>
    <xf numFmtId="3" fontId="11" fillId="0" borderId="48" xfId="0" applyNumberFormat="1" applyFont="1" applyBorder="1" applyAlignment="1">
      <alignment horizontal="center" vertical="center"/>
    </xf>
    <xf numFmtId="3" fontId="11" fillId="0" borderId="44" xfId="0" applyNumberFormat="1" applyFont="1" applyBorder="1" applyAlignment="1">
      <alignment horizontal="center" vertical="center"/>
    </xf>
    <xf numFmtId="3" fontId="11" fillId="6" borderId="30" xfId="0" applyNumberFormat="1" applyFont="1" applyFill="1" applyBorder="1" applyAlignment="1">
      <alignment horizontal="center" vertical="center"/>
    </xf>
    <xf numFmtId="3" fontId="14" fillId="0" borderId="10" xfId="0" applyNumberFormat="1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center" vertical="center"/>
    </xf>
    <xf numFmtId="3" fontId="14" fillId="7" borderId="25" xfId="0" applyNumberFormat="1" applyFont="1" applyFill="1" applyBorder="1" applyAlignment="1">
      <alignment horizontal="center" vertical="center"/>
    </xf>
    <xf numFmtId="3" fontId="11" fillId="0" borderId="32" xfId="0" applyNumberFormat="1" applyFont="1" applyBorder="1" applyAlignment="1">
      <alignment horizontal="center" vertical="center"/>
    </xf>
    <xf numFmtId="3" fontId="11" fillId="0" borderId="38" xfId="0" applyNumberFormat="1" applyFont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14" fillId="6" borderId="25" xfId="0" applyNumberFormat="1" applyFont="1" applyFill="1" applyBorder="1" applyAlignment="1">
      <alignment horizontal="center" vertical="center"/>
    </xf>
    <xf numFmtId="3" fontId="11" fillId="0" borderId="41" xfId="0" applyNumberFormat="1" applyFont="1" applyBorder="1" applyAlignment="1">
      <alignment horizontal="center" vertical="center"/>
    </xf>
    <xf numFmtId="3" fontId="14" fillId="7" borderId="21" xfId="0" applyNumberFormat="1" applyFont="1" applyFill="1" applyBorder="1" applyAlignment="1">
      <alignment horizontal="center" vertical="center"/>
    </xf>
    <xf numFmtId="0" fontId="11" fillId="0" borderId="29" xfId="0" applyFont="1" applyBorder="1">
      <alignment vertical="center"/>
    </xf>
    <xf numFmtId="0" fontId="11" fillId="6" borderId="41" xfId="0" applyFont="1" applyFill="1" applyBorder="1">
      <alignment vertical="center"/>
    </xf>
    <xf numFmtId="41" fontId="11" fillId="6" borderId="40" xfId="16" applyFont="1" applyFill="1" applyBorder="1">
      <alignment vertical="center"/>
    </xf>
    <xf numFmtId="0" fontId="11" fillId="0" borderId="35" xfId="0" applyFont="1" applyBorder="1">
      <alignment vertical="center"/>
    </xf>
    <xf numFmtId="3" fontId="14" fillId="0" borderId="32" xfId="0" applyNumberFormat="1" applyFont="1" applyBorder="1" applyAlignment="1">
      <alignment horizontal="right" vertical="center"/>
    </xf>
    <xf numFmtId="38" fontId="11" fillId="0" borderId="38" xfId="16" applyNumberFormat="1" applyFont="1" applyFill="1" applyBorder="1">
      <alignment vertical="center"/>
    </xf>
    <xf numFmtId="1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38" fontId="11" fillId="0" borderId="59" xfId="16" applyNumberFormat="1" applyFont="1" applyFill="1" applyBorder="1">
      <alignment vertical="center"/>
    </xf>
    <xf numFmtId="41" fontId="11" fillId="0" borderId="32" xfId="16" applyFont="1" applyFill="1" applyBorder="1" applyAlignment="1">
      <alignment horizontal="left" vertical="center"/>
    </xf>
    <xf numFmtId="0" fontId="11" fillId="0" borderId="38" xfId="0" applyFont="1" applyBorder="1" applyAlignment="1">
      <alignment vertical="center" wrapText="1"/>
    </xf>
    <xf numFmtId="41" fontId="11" fillId="0" borderId="21" xfId="16" applyFont="1" applyFill="1" applyBorder="1" applyAlignment="1">
      <alignment vertical="center"/>
    </xf>
    <xf numFmtId="0" fontId="11" fillId="0" borderId="97" xfId="0" applyFont="1" applyBorder="1">
      <alignment vertical="center"/>
    </xf>
    <xf numFmtId="41" fontId="11" fillId="0" borderId="98" xfId="16" applyFont="1" applyFill="1" applyBorder="1" applyAlignment="1">
      <alignment vertical="center"/>
    </xf>
    <xf numFmtId="41" fontId="11" fillId="0" borderId="97" xfId="16" applyFont="1" applyFill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6" borderId="98" xfId="0" applyFont="1" applyFill="1" applyBorder="1">
      <alignment vertical="center"/>
    </xf>
    <xf numFmtId="0" fontId="11" fillId="6" borderId="21" xfId="0" applyFont="1" applyFill="1" applyBorder="1" applyAlignment="1">
      <alignment horizontal="left" vertical="center"/>
    </xf>
    <xf numFmtId="26" fontId="11" fillId="0" borderId="25" xfId="0" applyNumberFormat="1" applyFont="1" applyBorder="1">
      <alignment vertical="center"/>
    </xf>
    <xf numFmtId="177" fontId="11" fillId="0" borderId="25" xfId="16" applyNumberFormat="1" applyFont="1" applyFill="1" applyBorder="1">
      <alignment vertical="center"/>
    </xf>
    <xf numFmtId="26" fontId="11" fillId="6" borderId="25" xfId="0" applyNumberFormat="1" applyFont="1" applyFill="1" applyBorder="1">
      <alignment vertical="center"/>
    </xf>
    <xf numFmtId="0" fontId="11" fillId="6" borderId="37" xfId="0" applyFont="1" applyFill="1" applyBorder="1">
      <alignment vertical="center"/>
    </xf>
    <xf numFmtId="0" fontId="11" fillId="0" borderId="30" xfId="0" applyFont="1" applyBorder="1" applyAlignment="1">
      <alignment horizontal="center" vertical="center"/>
    </xf>
    <xf numFmtId="0" fontId="13" fillId="6" borderId="23" xfId="0" applyFont="1" applyFill="1" applyBorder="1">
      <alignment vertical="center"/>
    </xf>
    <xf numFmtId="0" fontId="11" fillId="6" borderId="30" xfId="0" applyFont="1" applyFill="1" applyBorder="1" applyAlignment="1">
      <alignment horizontal="center" vertical="center"/>
    </xf>
    <xf numFmtId="0" fontId="11" fillId="6" borderId="26" xfId="0" applyFont="1" applyFill="1" applyBorder="1" applyAlignment="1">
      <alignment horizontal="center" vertical="center"/>
    </xf>
    <xf numFmtId="177" fontId="14" fillId="0" borderId="22" xfId="16" applyNumberFormat="1" applyFont="1" applyFill="1" applyBorder="1">
      <alignment vertical="center"/>
    </xf>
    <xf numFmtId="177" fontId="14" fillId="0" borderId="21" xfId="16" applyNumberFormat="1" applyFont="1" applyFill="1" applyBorder="1">
      <alignment vertical="center"/>
    </xf>
    <xf numFmtId="3" fontId="14" fillId="6" borderId="21" xfId="0" applyNumberFormat="1" applyFont="1" applyFill="1" applyBorder="1" applyAlignment="1">
      <alignment horizontal="center" vertical="center"/>
    </xf>
    <xf numFmtId="3" fontId="14" fillId="6" borderId="21" xfId="0" applyNumberFormat="1" applyFont="1" applyFill="1" applyBorder="1" applyAlignment="1">
      <alignment horizontal="right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4" fillId="3" borderId="2" xfId="1" applyFont="1" applyFill="1" applyBorder="1" applyAlignment="1">
      <alignment horizontal="center" vertical="center"/>
    </xf>
    <xf numFmtId="176" fontId="13" fillId="0" borderId="30" xfId="0" applyNumberFormat="1" applyFont="1" applyBorder="1">
      <alignment vertical="center"/>
    </xf>
    <xf numFmtId="176" fontId="11" fillId="6" borderId="26" xfId="0" applyNumberFormat="1" applyFont="1" applyFill="1" applyBorder="1">
      <alignment vertical="center"/>
    </xf>
    <xf numFmtId="41" fontId="11" fillId="6" borderId="26" xfId="16" applyFont="1" applyFill="1" applyBorder="1">
      <alignment vertical="center"/>
    </xf>
    <xf numFmtId="0" fontId="14" fillId="6" borderId="29" xfId="0" applyFont="1" applyFill="1" applyBorder="1" applyAlignment="1">
      <alignment horizontal="center" vertical="center"/>
    </xf>
    <xf numFmtId="176" fontId="14" fillId="0" borderId="21" xfId="0" applyNumberFormat="1" applyFont="1" applyBorder="1">
      <alignment vertical="center"/>
    </xf>
    <xf numFmtId="176" fontId="14" fillId="0" borderId="53" xfId="0" applyNumberFormat="1" applyFont="1" applyBorder="1">
      <alignment vertical="center"/>
    </xf>
    <xf numFmtId="41" fontId="14" fillId="0" borderId="22" xfId="16" applyFont="1" applyFill="1" applyBorder="1">
      <alignment vertical="center"/>
    </xf>
    <xf numFmtId="41" fontId="14" fillId="0" borderId="21" xfId="16" applyFont="1" applyFill="1" applyBorder="1">
      <alignment vertical="center"/>
    </xf>
    <xf numFmtId="176" fontId="14" fillId="0" borderId="32" xfId="0" applyNumberFormat="1" applyFont="1" applyBorder="1">
      <alignment vertical="center"/>
    </xf>
    <xf numFmtId="41" fontId="14" fillId="0" borderId="32" xfId="16" applyFont="1" applyFill="1" applyBorder="1">
      <alignment vertical="center"/>
    </xf>
    <xf numFmtId="41" fontId="14" fillId="0" borderId="37" xfId="16" applyFont="1" applyFill="1" applyBorder="1">
      <alignment vertical="center"/>
    </xf>
    <xf numFmtId="176" fontId="14" fillId="0" borderId="50" xfId="0" applyNumberFormat="1" applyFont="1" applyBorder="1">
      <alignment vertical="center"/>
    </xf>
    <xf numFmtId="41" fontId="11" fillId="6" borderId="21" xfId="16" applyFont="1" applyFill="1" applyBorder="1" applyAlignment="1">
      <alignment horizontal="center" vertical="center"/>
    </xf>
    <xf numFmtId="41" fontId="11" fillId="6" borderId="30" xfId="1" applyFont="1" applyFill="1" applyBorder="1" applyAlignment="1">
      <alignment horizontal="right" vertical="center"/>
    </xf>
    <xf numFmtId="41" fontId="11" fillId="6" borderId="23" xfId="1" applyFont="1" applyFill="1" applyBorder="1" applyAlignment="1">
      <alignment horizontal="right" vertical="center"/>
    </xf>
    <xf numFmtId="41" fontId="11" fillId="0" borderId="23" xfId="1" applyFont="1" applyBorder="1" applyAlignment="1">
      <alignment horizontal="right" vertical="center"/>
    </xf>
    <xf numFmtId="41" fontId="11" fillId="0" borderId="23" xfId="1" applyFont="1" applyFill="1" applyBorder="1" applyAlignment="1">
      <alignment horizontal="right" vertical="center"/>
    </xf>
    <xf numFmtId="41" fontId="11" fillId="0" borderId="26" xfId="1" applyFont="1" applyFill="1" applyBorder="1" applyAlignment="1">
      <alignment horizontal="right" vertical="center"/>
    </xf>
    <xf numFmtId="41" fontId="11" fillId="6" borderId="26" xfId="1" applyFont="1" applyFill="1" applyBorder="1" applyAlignment="1">
      <alignment horizontal="right" vertical="center"/>
    </xf>
    <xf numFmtId="41" fontId="11" fillId="0" borderId="30" xfId="1" applyFont="1" applyBorder="1" applyAlignment="1">
      <alignment horizontal="right" vertical="center"/>
    </xf>
    <xf numFmtId="41" fontId="11" fillId="0" borderId="30" xfId="1" applyFont="1" applyFill="1" applyBorder="1" applyAlignment="1">
      <alignment horizontal="right" vertical="center"/>
    </xf>
    <xf numFmtId="41" fontId="11" fillId="0" borderId="25" xfId="1" applyFont="1" applyFill="1" applyBorder="1" applyAlignment="1">
      <alignment horizontal="right" vertical="center"/>
    </xf>
    <xf numFmtId="41" fontId="11" fillId="0" borderId="32" xfId="1" applyFont="1" applyFill="1" applyBorder="1" applyAlignment="1">
      <alignment horizontal="right" vertical="center"/>
    </xf>
    <xf numFmtId="41" fontId="11" fillId="0" borderId="21" xfId="1" applyFont="1" applyFill="1" applyBorder="1" applyAlignment="1">
      <alignment horizontal="right" vertical="center"/>
    </xf>
    <xf numFmtId="41" fontId="11" fillId="0" borderId="38" xfId="1" applyFont="1" applyFill="1" applyBorder="1" applyAlignment="1">
      <alignment horizontal="right" vertical="center"/>
    </xf>
    <xf numFmtId="41" fontId="11" fillId="0" borderId="44" xfId="1" applyFont="1" applyFill="1" applyBorder="1" applyAlignment="1">
      <alignment horizontal="right" vertical="center"/>
    </xf>
    <xf numFmtId="41" fontId="11" fillId="0" borderId="41" xfId="1" applyFont="1" applyFill="1" applyBorder="1" applyAlignment="1">
      <alignment horizontal="right" vertical="center"/>
    </xf>
    <xf numFmtId="41" fontId="11" fillId="0" borderId="25" xfId="1" applyFont="1" applyBorder="1" applyAlignment="1">
      <alignment horizontal="right" vertical="center"/>
    </xf>
    <xf numFmtId="0" fontId="14" fillId="0" borderId="29" xfId="0" applyFont="1" applyBorder="1" applyAlignment="1">
      <alignment horizontal="center" vertical="center"/>
    </xf>
    <xf numFmtId="26" fontId="11" fillId="0" borderId="21" xfId="0" applyNumberFormat="1" applyFont="1" applyBorder="1">
      <alignment vertical="center"/>
    </xf>
    <xf numFmtId="0" fontId="11" fillId="0" borderId="23" xfId="0" applyFont="1" applyBorder="1" applyAlignment="1">
      <alignment vertical="center" wrapText="1"/>
    </xf>
    <xf numFmtId="0" fontId="16" fillId="0" borderId="32" xfId="0" applyFont="1" applyBorder="1">
      <alignment vertical="center"/>
    </xf>
    <xf numFmtId="0" fontId="13" fillId="0" borderId="22" xfId="0" applyFont="1" applyBorder="1">
      <alignment vertical="center"/>
    </xf>
    <xf numFmtId="0" fontId="13" fillId="0" borderId="23" xfId="0" applyFont="1" applyBorder="1">
      <alignment vertical="center"/>
    </xf>
    <xf numFmtId="0" fontId="13" fillId="0" borderId="26" xfId="0" applyFont="1" applyBorder="1">
      <alignment vertical="center"/>
    </xf>
    <xf numFmtId="0" fontId="11" fillId="0" borderId="34" xfId="0" applyFont="1" applyBorder="1">
      <alignment vertical="center"/>
    </xf>
    <xf numFmtId="177" fontId="11" fillId="0" borderId="34" xfId="16" applyNumberFormat="1" applyFont="1" applyFill="1" applyBorder="1">
      <alignment vertical="center"/>
    </xf>
    <xf numFmtId="177" fontId="11" fillId="0" borderId="10" xfId="16" applyNumberFormat="1" applyFont="1" applyFill="1" applyBorder="1">
      <alignment vertical="center"/>
    </xf>
    <xf numFmtId="41" fontId="11" fillId="0" borderId="10" xfId="1" applyFont="1" applyFill="1" applyBorder="1" applyAlignment="1">
      <alignment horizontal="right" vertical="center"/>
    </xf>
    <xf numFmtId="3" fontId="11" fillId="0" borderId="34" xfId="0" applyNumberFormat="1" applyFont="1" applyBorder="1" applyAlignment="1">
      <alignment horizontal="right" vertical="center"/>
    </xf>
    <xf numFmtId="3" fontId="11" fillId="0" borderId="69" xfId="0" applyNumberFormat="1" applyFont="1" applyBorder="1" applyAlignment="1">
      <alignment horizontal="right" vertical="center"/>
    </xf>
    <xf numFmtId="3" fontId="11" fillId="0" borderId="85" xfId="0" applyNumberFormat="1" applyFont="1" applyBorder="1" applyAlignment="1">
      <alignment horizontal="right" vertical="center"/>
    </xf>
    <xf numFmtId="0" fontId="11" fillId="6" borderId="32" xfId="0" applyFont="1" applyFill="1" applyBorder="1" applyAlignment="1">
      <alignment horizontal="center" vertical="center"/>
    </xf>
    <xf numFmtId="0" fontId="11" fillId="0" borderId="54" xfId="0" applyFont="1" applyBorder="1">
      <alignment vertical="center"/>
    </xf>
    <xf numFmtId="0" fontId="14" fillId="7" borderId="35" xfId="0" applyFont="1" applyFill="1" applyBorder="1">
      <alignment vertical="center"/>
    </xf>
    <xf numFmtId="0" fontId="11" fillId="0" borderId="25" xfId="0" applyFont="1" applyBorder="1" applyAlignment="1">
      <alignment horizontal="center" vertical="center"/>
    </xf>
    <xf numFmtId="49" fontId="11" fillId="0" borderId="23" xfId="0" applyNumberFormat="1" applyFont="1" applyBorder="1">
      <alignment vertical="center"/>
    </xf>
    <xf numFmtId="3" fontId="11" fillId="0" borderId="100" xfId="0" applyNumberFormat="1" applyFont="1" applyBorder="1" applyAlignment="1">
      <alignment horizontal="right" vertical="center"/>
    </xf>
    <xf numFmtId="3" fontId="11" fillId="0" borderId="65" xfId="0" applyNumberFormat="1" applyFont="1" applyBorder="1" applyAlignment="1">
      <alignment horizontal="right" vertical="center"/>
    </xf>
    <xf numFmtId="3" fontId="11" fillId="0" borderId="101" xfId="0" applyNumberFormat="1" applyFont="1" applyBorder="1" applyAlignment="1">
      <alignment horizontal="right" vertical="center"/>
    </xf>
    <xf numFmtId="0" fontId="23" fillId="0" borderId="103" xfId="0" applyFont="1" applyBorder="1">
      <alignment vertical="center"/>
    </xf>
    <xf numFmtId="0" fontId="23" fillId="0" borderId="102" xfId="0" applyFont="1" applyBorder="1">
      <alignment vertical="center"/>
    </xf>
    <xf numFmtId="0" fontId="23" fillId="0" borderId="104" xfId="0" applyFont="1" applyBorder="1">
      <alignment vertical="center"/>
    </xf>
    <xf numFmtId="0" fontId="22" fillId="0" borderId="105" xfId="0" applyFont="1" applyBorder="1">
      <alignment vertical="center"/>
    </xf>
    <xf numFmtId="0" fontId="23" fillId="0" borderId="107" xfId="0" applyFont="1" applyBorder="1">
      <alignment vertical="center"/>
    </xf>
    <xf numFmtId="0" fontId="22" fillId="0" borderId="109" xfId="0" applyFont="1" applyBorder="1">
      <alignment vertical="center"/>
    </xf>
    <xf numFmtId="0" fontId="23" fillId="0" borderId="109" xfId="0" applyFont="1" applyBorder="1">
      <alignment vertical="center"/>
    </xf>
    <xf numFmtId="0" fontId="22" fillId="0" borderId="28" xfId="0" applyFont="1" applyBorder="1">
      <alignment vertical="center"/>
    </xf>
    <xf numFmtId="3" fontId="2" fillId="0" borderId="10" xfId="0" applyNumberFormat="1" applyFont="1" applyBorder="1">
      <alignment vertical="center"/>
    </xf>
    <xf numFmtId="0" fontId="4" fillId="0" borderId="0" xfId="0" applyFont="1">
      <alignment vertical="center"/>
    </xf>
    <xf numFmtId="0" fontId="4" fillId="9" borderId="0" xfId="0" applyFont="1" applyFill="1">
      <alignment vertical="center"/>
    </xf>
    <xf numFmtId="3" fontId="4" fillId="9" borderId="10" xfId="0" applyNumberFormat="1" applyFont="1" applyFill="1" applyBorder="1">
      <alignment vertical="center"/>
    </xf>
    <xf numFmtId="3" fontId="4" fillId="0" borderId="10" xfId="0" applyNumberFormat="1" applyFont="1" applyBorder="1">
      <alignment vertical="center"/>
    </xf>
    <xf numFmtId="3" fontId="4" fillId="0" borderId="10" xfId="1" applyNumberFormat="1" applyFont="1" applyBorder="1">
      <alignment vertical="center"/>
    </xf>
    <xf numFmtId="3" fontId="2" fillId="0" borderId="25" xfId="0" applyNumberFormat="1" applyFont="1" applyBorder="1">
      <alignment vertical="center"/>
    </xf>
    <xf numFmtId="0" fontId="22" fillId="10" borderId="113" xfId="0" applyFont="1" applyFill="1" applyBorder="1" applyAlignment="1">
      <alignment horizontal="center" vertical="center"/>
    </xf>
    <xf numFmtId="0" fontId="22" fillId="10" borderId="114" xfId="0" applyFont="1" applyFill="1" applyBorder="1" applyAlignment="1">
      <alignment horizontal="center" vertical="center"/>
    </xf>
    <xf numFmtId="0" fontId="4" fillId="10" borderId="114" xfId="0" applyFont="1" applyFill="1" applyBorder="1">
      <alignment vertical="center"/>
    </xf>
    <xf numFmtId="3" fontId="2" fillId="0" borderId="43" xfId="0" applyNumberFormat="1" applyFont="1" applyBorder="1">
      <alignment vertical="center"/>
    </xf>
    <xf numFmtId="3" fontId="2" fillId="0" borderId="40" xfId="0" applyNumberFormat="1" applyFont="1" applyBorder="1">
      <alignment vertical="center"/>
    </xf>
    <xf numFmtId="3" fontId="4" fillId="0" borderId="40" xfId="0" applyNumberFormat="1" applyFont="1" applyBorder="1">
      <alignment vertical="center"/>
    </xf>
    <xf numFmtId="3" fontId="4" fillId="0" borderId="40" xfId="1" applyNumberFormat="1" applyFont="1" applyBorder="1">
      <alignment vertical="center"/>
    </xf>
    <xf numFmtId="3" fontId="4" fillId="9" borderId="40" xfId="0" applyNumberFormat="1" applyFont="1" applyFill="1" applyBorder="1">
      <alignment vertical="center"/>
    </xf>
    <xf numFmtId="3" fontId="2" fillId="0" borderId="122" xfId="0" applyNumberFormat="1" applyFont="1" applyBorder="1">
      <alignment vertical="center"/>
    </xf>
    <xf numFmtId="3" fontId="2" fillId="0" borderId="123" xfId="0" applyNumberFormat="1" applyFont="1" applyBorder="1">
      <alignment vertical="center"/>
    </xf>
    <xf numFmtId="3" fontId="2" fillId="0" borderId="124" xfId="0" applyNumberFormat="1" applyFont="1" applyBorder="1">
      <alignment vertical="center"/>
    </xf>
    <xf numFmtId="3" fontId="2" fillId="0" borderId="125" xfId="0" applyNumberFormat="1" applyFont="1" applyBorder="1">
      <alignment vertical="center"/>
    </xf>
    <xf numFmtId="3" fontId="4" fillId="0" borderId="124" xfId="0" applyNumberFormat="1" applyFont="1" applyBorder="1">
      <alignment vertical="center"/>
    </xf>
    <xf numFmtId="3" fontId="4" fillId="0" borderId="125" xfId="0" applyNumberFormat="1" applyFont="1" applyBorder="1">
      <alignment vertical="center"/>
    </xf>
    <xf numFmtId="3" fontId="4" fillId="0" borderId="124" xfId="1" applyNumberFormat="1" applyFont="1" applyBorder="1">
      <alignment vertical="center"/>
    </xf>
    <xf numFmtId="3" fontId="4" fillId="0" borderId="125" xfId="1" applyNumberFormat="1" applyFont="1" applyBorder="1">
      <alignment vertical="center"/>
    </xf>
    <xf numFmtId="3" fontId="4" fillId="9" borderId="124" xfId="0" applyNumberFormat="1" applyFont="1" applyFill="1" applyBorder="1">
      <alignment vertical="center"/>
    </xf>
    <xf numFmtId="3" fontId="4" fillId="9" borderId="125" xfId="0" applyNumberFormat="1" applyFont="1" applyFill="1" applyBorder="1">
      <alignment vertical="center"/>
    </xf>
    <xf numFmtId="3" fontId="2" fillId="0" borderId="126" xfId="0" applyNumberFormat="1" applyFont="1" applyBorder="1">
      <alignment vertical="center"/>
    </xf>
    <xf numFmtId="3" fontId="11" fillId="6" borderId="25" xfId="0" applyNumberFormat="1" applyFont="1" applyFill="1" applyBorder="1" applyAlignment="1">
      <alignment horizontal="right" vertical="center"/>
    </xf>
    <xf numFmtId="0" fontId="14" fillId="6" borderId="22" xfId="0" applyFont="1" applyFill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3" fontId="11" fillId="0" borderId="92" xfId="0" applyNumberFormat="1" applyFont="1" applyBorder="1" applyAlignment="1">
      <alignment horizontal="center" vertical="center"/>
    </xf>
    <xf numFmtId="3" fontId="11" fillId="0" borderId="92" xfId="0" applyNumberFormat="1" applyFont="1" applyBorder="1" applyAlignment="1">
      <alignment horizontal="right" vertical="center"/>
    </xf>
    <xf numFmtId="41" fontId="11" fillId="0" borderId="92" xfId="1" applyFont="1" applyFill="1" applyBorder="1" applyAlignment="1">
      <alignment horizontal="right" vertical="center"/>
    </xf>
    <xf numFmtId="3" fontId="11" fillId="0" borderId="127" xfId="0" applyNumberFormat="1" applyFont="1" applyBorder="1" applyAlignment="1">
      <alignment horizontal="right" vertical="center"/>
    </xf>
    <xf numFmtId="3" fontId="11" fillId="0" borderId="94" xfId="0" applyNumberFormat="1" applyFont="1" applyBorder="1" applyAlignment="1">
      <alignment horizontal="right" vertical="center"/>
    </xf>
    <xf numFmtId="3" fontId="11" fillId="0" borderId="93" xfId="0" applyNumberFormat="1" applyFont="1" applyBorder="1" applyAlignment="1">
      <alignment horizontal="right" vertical="center"/>
    </xf>
    <xf numFmtId="3" fontId="11" fillId="0" borderId="128" xfId="0" applyNumberFormat="1" applyFont="1" applyBorder="1" applyAlignment="1">
      <alignment horizontal="right" vertical="center"/>
    </xf>
    <xf numFmtId="3" fontId="11" fillId="0" borderId="129" xfId="0" applyNumberFormat="1" applyFont="1" applyBorder="1" applyAlignment="1">
      <alignment horizontal="right" vertical="center"/>
    </xf>
    <xf numFmtId="0" fontId="11" fillId="0" borderId="39" xfId="0" applyFont="1" applyBorder="1" applyAlignment="1">
      <alignment horizontal="left" vertical="center"/>
    </xf>
    <xf numFmtId="3" fontId="11" fillId="6" borderId="76" xfId="0" applyNumberFormat="1" applyFont="1" applyFill="1" applyBorder="1" applyAlignment="1">
      <alignment horizontal="right" vertical="center"/>
    </xf>
    <xf numFmtId="0" fontId="11" fillId="0" borderId="38" xfId="0" applyFont="1" applyBorder="1" applyAlignment="1">
      <alignment horizontal="center" vertical="center"/>
    </xf>
    <xf numFmtId="26" fontId="11" fillId="0" borderId="38" xfId="0" applyNumberFormat="1" applyFont="1" applyBorder="1">
      <alignment vertical="center"/>
    </xf>
    <xf numFmtId="177" fontId="11" fillId="0" borderId="38" xfId="16" applyNumberFormat="1" applyFont="1" applyFill="1" applyBorder="1">
      <alignment vertical="center"/>
    </xf>
    <xf numFmtId="3" fontId="11" fillId="6" borderId="38" xfId="0" applyNumberFormat="1" applyFont="1" applyFill="1" applyBorder="1" applyAlignment="1">
      <alignment horizontal="right" vertical="center"/>
    </xf>
    <xf numFmtId="41" fontId="11" fillId="0" borderId="21" xfId="16" applyFont="1" applyFill="1" applyBorder="1" applyAlignment="1">
      <alignment horizontal="left" vertical="center"/>
    </xf>
    <xf numFmtId="0" fontId="11" fillId="0" borderId="41" xfId="0" applyFont="1" applyBorder="1" applyAlignment="1">
      <alignment horizontal="center" vertical="center"/>
    </xf>
    <xf numFmtId="176" fontId="11" fillId="6" borderId="41" xfId="0" applyNumberFormat="1" applyFont="1" applyFill="1" applyBorder="1">
      <alignment vertical="center"/>
    </xf>
    <xf numFmtId="26" fontId="11" fillId="0" borderId="41" xfId="0" applyNumberFormat="1" applyFont="1" applyBorder="1">
      <alignment vertical="center"/>
    </xf>
    <xf numFmtId="177" fontId="11" fillId="0" borderId="41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right" vertical="center"/>
    </xf>
    <xf numFmtId="3" fontId="11" fillId="6" borderId="62" xfId="0" applyNumberFormat="1" applyFont="1" applyFill="1" applyBorder="1" applyAlignment="1">
      <alignment horizontal="right" vertical="center"/>
    </xf>
    <xf numFmtId="3" fontId="11" fillId="0" borderId="130" xfId="0" applyNumberFormat="1" applyFont="1" applyBorder="1" applyAlignment="1">
      <alignment horizontal="right" vertical="center"/>
    </xf>
    <xf numFmtId="176" fontId="11" fillId="6" borderId="25" xfId="0" applyNumberFormat="1" applyFont="1" applyFill="1" applyBorder="1">
      <alignment vertical="center"/>
    </xf>
    <xf numFmtId="0" fontId="11" fillId="0" borderId="21" xfId="0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41" fontId="11" fillId="0" borderId="67" xfId="0" applyNumberFormat="1" applyFont="1" applyBorder="1" applyAlignment="1">
      <alignment horizontal="right" vertical="center"/>
    </xf>
    <xf numFmtId="3" fontId="11" fillId="0" borderId="132" xfId="0" applyNumberFormat="1" applyFont="1" applyBorder="1" applyAlignment="1">
      <alignment horizontal="right" vertical="center"/>
    </xf>
    <xf numFmtId="3" fontId="11" fillId="0" borderId="131" xfId="0" applyNumberFormat="1" applyFont="1" applyBorder="1" applyAlignment="1">
      <alignment horizontal="right" vertical="center"/>
    </xf>
    <xf numFmtId="3" fontId="11" fillId="0" borderId="134" xfId="0" applyNumberFormat="1" applyFont="1" applyBorder="1" applyAlignment="1">
      <alignment horizontal="right" vertical="center"/>
    </xf>
    <xf numFmtId="3" fontId="11" fillId="0" borderId="133" xfId="0" applyNumberFormat="1" applyFont="1" applyBorder="1" applyAlignment="1">
      <alignment horizontal="right" vertical="center"/>
    </xf>
    <xf numFmtId="3" fontId="11" fillId="0" borderId="136" xfId="0" applyNumberFormat="1" applyFont="1" applyBorder="1" applyAlignment="1">
      <alignment horizontal="right" vertical="center"/>
    </xf>
    <xf numFmtId="3" fontId="11" fillId="0" borderId="135" xfId="0" applyNumberFormat="1" applyFont="1" applyBorder="1" applyAlignment="1">
      <alignment horizontal="right" vertical="center"/>
    </xf>
    <xf numFmtId="0" fontId="11" fillId="6" borderId="32" xfId="0" applyFont="1" applyFill="1" applyBorder="1" applyAlignment="1">
      <alignment horizontal="left" vertical="center"/>
    </xf>
    <xf numFmtId="0" fontId="11" fillId="0" borderId="137" xfId="0" applyFont="1" applyBorder="1">
      <alignment vertical="center"/>
    </xf>
    <xf numFmtId="3" fontId="11" fillId="0" borderId="146" xfId="0" applyNumberFormat="1" applyFont="1" applyBorder="1" applyAlignment="1">
      <alignment horizontal="right" vertical="center"/>
    </xf>
    <xf numFmtId="3" fontId="11" fillId="6" borderId="25" xfId="0" applyNumberFormat="1" applyFont="1" applyFill="1" applyBorder="1" applyAlignment="1">
      <alignment horizontal="center" vertical="center"/>
    </xf>
    <xf numFmtId="177" fontId="11" fillId="6" borderId="25" xfId="16" applyNumberFormat="1" applyFont="1" applyFill="1" applyBorder="1">
      <alignment vertical="center"/>
    </xf>
    <xf numFmtId="3" fontId="11" fillId="6" borderId="41" xfId="0" applyNumberFormat="1" applyFont="1" applyFill="1" applyBorder="1" applyAlignment="1">
      <alignment horizontal="center" vertical="center"/>
    </xf>
    <xf numFmtId="26" fontId="11" fillId="6" borderId="41" xfId="0" applyNumberFormat="1" applyFont="1" applyFill="1" applyBorder="1">
      <alignment vertical="center"/>
    </xf>
    <xf numFmtId="177" fontId="11" fillId="6" borderId="41" xfId="16" applyNumberFormat="1" applyFont="1" applyFill="1" applyBorder="1">
      <alignment vertical="center"/>
    </xf>
    <xf numFmtId="41" fontId="11" fillId="6" borderId="41" xfId="1" applyFont="1" applyFill="1" applyBorder="1" applyAlignment="1">
      <alignment horizontal="right" vertical="center"/>
    </xf>
    <xf numFmtId="3" fontId="11" fillId="0" borderId="147" xfId="0" applyNumberFormat="1" applyFont="1" applyBorder="1" applyAlignment="1">
      <alignment horizontal="right" vertical="center"/>
    </xf>
    <xf numFmtId="0" fontId="11" fillId="6" borderId="32" xfId="0" applyFont="1" applyFill="1" applyBorder="1">
      <alignment vertical="center"/>
    </xf>
    <xf numFmtId="0" fontId="11" fillId="6" borderId="22" xfId="0" applyFont="1" applyFill="1" applyBorder="1" applyAlignment="1">
      <alignment horizontal="left" vertical="center"/>
    </xf>
    <xf numFmtId="26" fontId="11" fillId="6" borderId="38" xfId="0" applyNumberFormat="1" applyFont="1" applyFill="1" applyBorder="1">
      <alignment vertical="center"/>
    </xf>
    <xf numFmtId="177" fontId="11" fillId="6" borderId="38" xfId="16" applyNumberFormat="1" applyFont="1" applyFill="1" applyBorder="1">
      <alignment vertical="center"/>
    </xf>
    <xf numFmtId="0" fontId="11" fillId="0" borderId="24" xfId="0" applyFont="1" applyBorder="1" applyAlignment="1">
      <alignment horizontal="left" vertical="center"/>
    </xf>
    <xf numFmtId="41" fontId="11" fillId="0" borderId="60" xfId="0" applyNumberFormat="1" applyFont="1" applyBorder="1" applyAlignment="1">
      <alignment horizontal="right" vertical="center"/>
    </xf>
    <xf numFmtId="3" fontId="14" fillId="6" borderId="148" xfId="0" applyNumberFormat="1" applyFont="1" applyFill="1" applyBorder="1" applyAlignment="1">
      <alignment horizontal="right" vertical="center"/>
    </xf>
    <xf numFmtId="176" fontId="11" fillId="0" borderId="149" xfId="0" applyNumberFormat="1" applyFont="1" applyBorder="1">
      <alignment vertical="center"/>
    </xf>
    <xf numFmtId="26" fontId="11" fillId="0" borderId="150" xfId="0" applyNumberFormat="1" applyFont="1" applyBorder="1">
      <alignment vertical="center"/>
    </xf>
    <xf numFmtId="26" fontId="11" fillId="0" borderId="151" xfId="0" applyNumberFormat="1" applyFont="1" applyBorder="1">
      <alignment vertical="center"/>
    </xf>
    <xf numFmtId="0" fontId="44" fillId="0" borderId="25" xfId="0" applyFont="1" applyBorder="1" applyAlignment="1">
      <alignment horizontal="left" vertical="center"/>
    </xf>
    <xf numFmtId="0" fontId="44" fillId="0" borderId="30" xfId="0" applyFont="1" applyBorder="1" applyAlignment="1">
      <alignment horizontal="left" vertical="center"/>
    </xf>
    <xf numFmtId="38" fontId="11" fillId="0" borderId="61" xfId="16" applyNumberFormat="1" applyFont="1" applyFill="1" applyBorder="1">
      <alignment vertical="center"/>
    </xf>
    <xf numFmtId="41" fontId="11" fillId="6" borderId="25" xfId="1" applyFont="1" applyFill="1" applyBorder="1" applyAlignment="1">
      <alignment horizontal="right" vertical="center"/>
    </xf>
    <xf numFmtId="3" fontId="11" fillId="0" borderId="153" xfId="0" applyNumberFormat="1" applyFont="1" applyBorder="1" applyAlignment="1">
      <alignment horizontal="right" vertical="center"/>
    </xf>
    <xf numFmtId="0" fontId="14" fillId="6" borderId="35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1" fontId="45" fillId="0" borderId="10" xfId="16" applyFont="1" applyFill="1" applyBorder="1">
      <alignment vertical="center"/>
    </xf>
    <xf numFmtId="176" fontId="11" fillId="0" borderId="0" xfId="0" applyNumberFormat="1" applyFont="1">
      <alignment vertical="center"/>
    </xf>
    <xf numFmtId="41" fontId="11" fillId="0" borderId="0" xfId="16" applyFont="1" applyFill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41" fontId="11" fillId="0" borderId="0" xfId="1" applyFont="1" applyBorder="1" applyAlignment="1">
      <alignment horizontal="right" vertical="center"/>
    </xf>
    <xf numFmtId="176" fontId="44" fillId="0" borderId="23" xfId="0" applyNumberFormat="1" applyFont="1" applyBorder="1">
      <alignment vertical="center"/>
    </xf>
    <xf numFmtId="41" fontId="44" fillId="0" borderId="23" xfId="16" applyFont="1" applyFill="1" applyBorder="1">
      <alignment vertical="center"/>
    </xf>
    <xf numFmtId="176" fontId="44" fillId="0" borderId="49" xfId="0" applyNumberFormat="1" applyFont="1" applyBorder="1">
      <alignment vertical="center"/>
    </xf>
    <xf numFmtId="0" fontId="11" fillId="6" borderId="38" xfId="0" applyFont="1" applyFill="1" applyBorder="1">
      <alignment vertical="center"/>
    </xf>
    <xf numFmtId="0" fontId="11" fillId="6" borderId="38" xfId="0" applyFont="1" applyFill="1" applyBorder="1" applyAlignment="1">
      <alignment horizontal="center" vertical="center"/>
    </xf>
    <xf numFmtId="176" fontId="11" fillId="6" borderId="38" xfId="0" applyNumberFormat="1" applyFont="1" applyFill="1" applyBorder="1">
      <alignment vertical="center"/>
    </xf>
    <xf numFmtId="41" fontId="11" fillId="6" borderId="38" xfId="16" applyFont="1" applyFill="1" applyBorder="1">
      <alignment vertical="center"/>
    </xf>
    <xf numFmtId="41" fontId="11" fillId="6" borderId="38" xfId="1" applyFont="1" applyFill="1" applyBorder="1" applyAlignment="1">
      <alignment horizontal="right" vertical="center"/>
    </xf>
    <xf numFmtId="0" fontId="11" fillId="0" borderId="154" xfId="0" applyFont="1" applyBorder="1">
      <alignment vertical="center"/>
    </xf>
    <xf numFmtId="0" fontId="11" fillId="0" borderId="154" xfId="0" applyFont="1" applyBorder="1" applyAlignment="1">
      <alignment horizontal="center" vertical="center"/>
    </xf>
    <xf numFmtId="3" fontId="11" fillId="0" borderId="154" xfId="0" applyNumberFormat="1" applyFont="1" applyBorder="1" applyAlignment="1">
      <alignment horizontal="center" vertical="center"/>
    </xf>
    <xf numFmtId="176" fontId="11" fillId="0" borderId="154" xfId="0" applyNumberFormat="1" applyFont="1" applyBorder="1">
      <alignment vertical="center"/>
    </xf>
    <xf numFmtId="41" fontId="11" fillId="0" borderId="154" xfId="16" applyFont="1" applyFill="1" applyBorder="1">
      <alignment vertical="center"/>
    </xf>
    <xf numFmtId="3" fontId="11" fillId="0" borderId="154" xfId="0" applyNumberFormat="1" applyFont="1" applyBorder="1" applyAlignment="1">
      <alignment horizontal="right" vertical="center"/>
    </xf>
    <xf numFmtId="41" fontId="11" fillId="0" borderId="154" xfId="1" applyFont="1" applyFill="1" applyBorder="1" applyAlignment="1">
      <alignment horizontal="right" vertical="center"/>
    </xf>
    <xf numFmtId="0" fontId="46" fillId="6" borderId="0" xfId="0" applyFont="1" applyFill="1">
      <alignment vertical="center"/>
    </xf>
    <xf numFmtId="41" fontId="11" fillId="6" borderId="41" xfId="16" applyFont="1" applyFill="1" applyBorder="1">
      <alignment vertical="center"/>
    </xf>
    <xf numFmtId="41" fontId="11" fillId="6" borderId="25" xfId="16" applyFont="1" applyFill="1" applyBorder="1">
      <alignment vertical="center"/>
    </xf>
    <xf numFmtId="0" fontId="11" fillId="6" borderId="42" xfId="0" applyFont="1" applyFill="1" applyBorder="1" applyAlignment="1">
      <alignment horizontal="center" vertical="center"/>
    </xf>
    <xf numFmtId="176" fontId="11" fillId="6" borderId="55" xfId="0" applyNumberFormat="1" applyFont="1" applyFill="1" applyBorder="1">
      <alignment vertical="center"/>
    </xf>
    <xf numFmtId="0" fontId="11" fillId="0" borderId="155" xfId="0" applyFont="1" applyBorder="1">
      <alignment vertical="center"/>
    </xf>
    <xf numFmtId="176" fontId="11" fillId="0" borderId="156" xfId="0" applyNumberFormat="1" applyFont="1" applyBorder="1">
      <alignment vertical="center"/>
    </xf>
    <xf numFmtId="41" fontId="11" fillId="0" borderId="156" xfId="16" applyFont="1" applyFill="1" applyBorder="1">
      <alignment vertical="center"/>
    </xf>
    <xf numFmtId="176" fontId="11" fillId="0" borderId="157" xfId="0" applyNumberFormat="1" applyFont="1" applyBorder="1">
      <alignment vertical="center"/>
    </xf>
    <xf numFmtId="0" fontId="11" fillId="0" borderId="155" xfId="0" applyFont="1" applyBorder="1" applyAlignment="1">
      <alignment horizontal="center" vertical="center"/>
    </xf>
    <xf numFmtId="3" fontId="11" fillId="0" borderId="155" xfId="0" applyNumberFormat="1" applyFont="1" applyBorder="1" applyAlignment="1">
      <alignment horizontal="center" vertical="center"/>
    </xf>
    <xf numFmtId="176" fontId="11" fillId="0" borderId="155" xfId="0" applyNumberFormat="1" applyFont="1" applyBorder="1">
      <alignment vertical="center"/>
    </xf>
    <xf numFmtId="41" fontId="11" fillId="0" borderId="155" xfId="16" applyFont="1" applyFill="1" applyBorder="1">
      <alignment vertical="center"/>
    </xf>
    <xf numFmtId="0" fontId="11" fillId="6" borderId="41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0" fontId="11" fillId="0" borderId="149" xfId="0" applyFont="1" applyBorder="1" applyAlignment="1">
      <alignment horizontal="center" vertical="center"/>
    </xf>
    <xf numFmtId="0" fontId="11" fillId="0" borderId="158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1" fillId="6" borderId="57" xfId="0" applyFont="1" applyFill="1" applyBorder="1" applyAlignment="1">
      <alignment horizontal="center" vertical="center"/>
    </xf>
    <xf numFmtId="3" fontId="11" fillId="6" borderId="48" xfId="0" applyNumberFormat="1" applyFont="1" applyFill="1" applyBorder="1" applyAlignment="1">
      <alignment horizontal="center" vertical="center"/>
    </xf>
    <xf numFmtId="176" fontId="11" fillId="6" borderId="48" xfId="0" applyNumberFormat="1" applyFont="1" applyFill="1" applyBorder="1">
      <alignment vertical="center"/>
    </xf>
    <xf numFmtId="41" fontId="11" fillId="6" borderId="48" xfId="16" applyFont="1" applyFill="1" applyBorder="1">
      <alignment vertical="center"/>
    </xf>
    <xf numFmtId="176" fontId="11" fillId="6" borderId="159" xfId="0" applyNumberFormat="1" applyFont="1" applyFill="1" applyBorder="1">
      <alignment vertical="center"/>
    </xf>
    <xf numFmtId="3" fontId="11" fillId="6" borderId="21" xfId="0" applyNumberFormat="1" applyFont="1" applyFill="1" applyBorder="1" applyAlignment="1">
      <alignment horizontal="right" vertical="center"/>
    </xf>
    <xf numFmtId="0" fontId="11" fillId="0" borderId="156" xfId="0" applyFont="1" applyBorder="1">
      <alignment vertical="center"/>
    </xf>
    <xf numFmtId="0" fontId="11" fillId="0" borderId="160" xfId="0" applyFont="1" applyBorder="1" applyAlignment="1">
      <alignment horizontal="center" vertical="center"/>
    </xf>
    <xf numFmtId="0" fontId="11" fillId="0" borderId="156" xfId="0" applyFont="1" applyBorder="1" applyAlignment="1">
      <alignment horizontal="center" vertical="center"/>
    </xf>
    <xf numFmtId="3" fontId="11" fillId="0" borderId="156" xfId="0" applyNumberFormat="1" applyFont="1" applyBorder="1" applyAlignment="1">
      <alignment horizontal="center" vertical="center"/>
    </xf>
    <xf numFmtId="41" fontId="11" fillId="0" borderId="160" xfId="16" applyFont="1" applyFill="1" applyBorder="1">
      <alignment vertical="center"/>
    </xf>
    <xf numFmtId="3" fontId="11" fillId="0" borderId="156" xfId="0" applyNumberFormat="1" applyFont="1" applyBorder="1" applyAlignment="1">
      <alignment horizontal="right" vertical="center"/>
    </xf>
    <xf numFmtId="41" fontId="11" fillId="0" borderId="156" xfId="1" applyFont="1" applyFill="1" applyBorder="1" applyAlignment="1">
      <alignment horizontal="right" vertical="center"/>
    </xf>
    <xf numFmtId="3" fontId="11" fillId="0" borderId="160" xfId="0" applyNumberFormat="1" applyFont="1" applyBorder="1" applyAlignment="1">
      <alignment horizontal="right" vertical="center"/>
    </xf>
    <xf numFmtId="3" fontId="11" fillId="0" borderId="161" xfId="0" applyNumberFormat="1" applyFont="1" applyBorder="1" applyAlignment="1">
      <alignment horizontal="right" vertical="center"/>
    </xf>
    <xf numFmtId="3" fontId="11" fillId="0" borderId="162" xfId="0" applyNumberFormat="1" applyFont="1" applyBorder="1" applyAlignment="1">
      <alignment horizontal="right" vertical="center"/>
    </xf>
    <xf numFmtId="3" fontId="11" fillId="0" borderId="157" xfId="0" applyNumberFormat="1" applyFont="1" applyBorder="1" applyAlignment="1">
      <alignment horizontal="right" vertical="center"/>
    </xf>
    <xf numFmtId="3" fontId="11" fillId="0" borderId="163" xfId="0" applyNumberFormat="1" applyFont="1" applyBorder="1" applyAlignment="1">
      <alignment horizontal="right" vertical="center"/>
    </xf>
    <xf numFmtId="3" fontId="11" fillId="6" borderId="42" xfId="0" applyNumberFormat="1" applyFont="1" applyFill="1" applyBorder="1" applyAlignment="1">
      <alignment horizontal="right" vertical="center"/>
    </xf>
    <xf numFmtId="3" fontId="11" fillId="6" borderId="75" xfId="0" applyNumberFormat="1" applyFont="1" applyFill="1" applyBorder="1" applyAlignment="1">
      <alignment horizontal="right" vertical="center"/>
    </xf>
    <xf numFmtId="3" fontId="11" fillId="6" borderId="55" xfId="0" applyNumberFormat="1" applyFont="1" applyFill="1" applyBorder="1" applyAlignment="1">
      <alignment horizontal="right" vertical="center"/>
    </xf>
    <xf numFmtId="3" fontId="11" fillId="6" borderId="90" xfId="0" applyNumberFormat="1" applyFont="1" applyFill="1" applyBorder="1" applyAlignment="1">
      <alignment horizontal="right" vertical="center"/>
    </xf>
    <xf numFmtId="0" fontId="11" fillId="0" borderId="82" xfId="0" applyFont="1" applyBorder="1">
      <alignment vertical="center"/>
    </xf>
    <xf numFmtId="26" fontId="11" fillId="6" borderId="156" xfId="0" applyNumberFormat="1" applyFont="1" applyFill="1" applyBorder="1">
      <alignment vertical="center"/>
    </xf>
    <xf numFmtId="177" fontId="11" fillId="0" borderId="156" xfId="16" applyNumberFormat="1" applyFont="1" applyFill="1" applyBorder="1">
      <alignment vertical="center"/>
    </xf>
    <xf numFmtId="177" fontId="11" fillId="6" borderId="156" xfId="16" applyNumberFormat="1" applyFont="1" applyFill="1" applyBorder="1">
      <alignment vertical="center"/>
    </xf>
    <xf numFmtId="3" fontId="11" fillId="6" borderId="156" xfId="0" applyNumberFormat="1" applyFont="1" applyFill="1" applyBorder="1" applyAlignment="1">
      <alignment horizontal="right" vertical="center"/>
    </xf>
    <xf numFmtId="0" fontId="11" fillId="0" borderId="25" xfId="0" applyFont="1" applyBorder="1" applyAlignment="1">
      <alignment horizontal="left" vertical="center"/>
    </xf>
    <xf numFmtId="26" fontId="11" fillId="0" borderId="10" xfId="0" applyNumberFormat="1" applyFont="1" applyBorder="1">
      <alignment vertical="center"/>
    </xf>
    <xf numFmtId="3" fontId="14" fillId="0" borderId="69" xfId="0" applyNumberFormat="1" applyFont="1" applyBorder="1" applyAlignment="1">
      <alignment horizontal="right" vertical="center"/>
    </xf>
    <xf numFmtId="3" fontId="14" fillId="6" borderId="69" xfId="0" applyNumberFormat="1" applyFont="1" applyFill="1" applyBorder="1" applyAlignment="1">
      <alignment horizontal="right" vertical="center"/>
    </xf>
    <xf numFmtId="41" fontId="11" fillId="0" borderId="49" xfId="1" applyFont="1" applyFill="1" applyBorder="1" applyAlignment="1">
      <alignment horizontal="right" vertical="center"/>
    </xf>
    <xf numFmtId="0" fontId="44" fillId="0" borderId="39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18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164" xfId="0" applyFont="1" applyBorder="1" applyAlignment="1">
      <alignment horizontal="center" vertical="center"/>
    </xf>
    <xf numFmtId="0" fontId="11" fillId="0" borderId="165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>
      <alignment vertical="center"/>
    </xf>
    <xf numFmtId="190" fontId="11" fillId="0" borderId="23" xfId="0" applyNumberFormat="1" applyFont="1" applyBorder="1">
      <alignment vertical="center"/>
    </xf>
    <xf numFmtId="191" fontId="0" fillId="0" borderId="0" xfId="0" applyNumberFormat="1">
      <alignment vertical="center"/>
    </xf>
    <xf numFmtId="0" fontId="11" fillId="0" borderId="167" xfId="0" applyFont="1" applyBorder="1">
      <alignment vertical="center"/>
    </xf>
    <xf numFmtId="0" fontId="11" fillId="0" borderId="167" xfId="0" applyFont="1" applyBorder="1" applyAlignment="1">
      <alignment horizontal="center" vertical="center"/>
    </xf>
    <xf numFmtId="3" fontId="11" fillId="0" borderId="167" xfId="0" applyNumberFormat="1" applyFont="1" applyBorder="1" applyAlignment="1">
      <alignment horizontal="center" vertical="center"/>
    </xf>
    <xf numFmtId="176" fontId="11" fillId="0" borderId="167" xfId="0" applyNumberFormat="1" applyFont="1" applyBorder="1">
      <alignment vertical="center"/>
    </xf>
    <xf numFmtId="41" fontId="11" fillId="0" borderId="167" xfId="16" applyFont="1" applyFill="1" applyBorder="1">
      <alignment vertical="center"/>
    </xf>
    <xf numFmtId="3" fontId="11" fillId="0" borderId="167" xfId="0" applyNumberFormat="1" applyFont="1" applyBorder="1" applyAlignment="1">
      <alignment horizontal="right" vertical="center"/>
    </xf>
    <xf numFmtId="41" fontId="11" fillId="0" borderId="167" xfId="1" applyFont="1" applyFill="1" applyBorder="1" applyAlignment="1">
      <alignment horizontal="right" vertical="center"/>
    </xf>
    <xf numFmtId="3" fontId="11" fillId="6" borderId="167" xfId="0" applyNumberFormat="1" applyFont="1" applyFill="1" applyBorder="1" applyAlignment="1">
      <alignment horizontal="right" vertical="center"/>
    </xf>
    <xf numFmtId="0" fontId="2" fillId="0" borderId="166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>
      <alignment vertical="center"/>
    </xf>
    <xf numFmtId="41" fontId="11" fillId="0" borderId="1" xfId="16" applyFont="1" applyFill="1" applyBorder="1">
      <alignment vertical="center"/>
    </xf>
    <xf numFmtId="0" fontId="13" fillId="0" borderId="41" xfId="0" applyFont="1" applyBorder="1">
      <alignment vertical="center"/>
    </xf>
    <xf numFmtId="3" fontId="14" fillId="0" borderId="65" xfId="0" applyNumberFormat="1" applyFont="1" applyBorder="1" applyAlignment="1">
      <alignment horizontal="right" vertical="center"/>
    </xf>
    <xf numFmtId="3" fontId="14" fillId="6" borderId="65" xfId="0" applyNumberFormat="1" applyFont="1" applyFill="1" applyBorder="1" applyAlignment="1">
      <alignment horizontal="right" vertical="center"/>
    </xf>
    <xf numFmtId="0" fontId="11" fillId="0" borderId="137" xfId="0" applyFont="1" applyBorder="1" applyAlignment="1">
      <alignment horizontal="center" vertical="center"/>
    </xf>
    <xf numFmtId="3" fontId="11" fillId="6" borderId="137" xfId="0" applyNumberFormat="1" applyFont="1" applyFill="1" applyBorder="1" applyAlignment="1">
      <alignment horizontal="center" vertical="center"/>
    </xf>
    <xf numFmtId="26" fontId="11" fillId="6" borderId="137" xfId="0" applyNumberFormat="1" applyFont="1" applyFill="1" applyBorder="1">
      <alignment vertical="center"/>
    </xf>
    <xf numFmtId="177" fontId="11" fillId="6" borderId="137" xfId="16" applyNumberFormat="1" applyFont="1" applyFill="1" applyBorder="1">
      <alignment vertical="center"/>
    </xf>
    <xf numFmtId="3" fontId="11" fillId="6" borderId="137" xfId="0" applyNumberFormat="1" applyFont="1" applyFill="1" applyBorder="1" applyAlignment="1">
      <alignment horizontal="right" vertical="center"/>
    </xf>
    <xf numFmtId="41" fontId="11" fillId="6" borderId="137" xfId="1" applyFont="1" applyFill="1" applyBorder="1" applyAlignment="1">
      <alignment horizontal="right" vertical="center"/>
    </xf>
    <xf numFmtId="26" fontId="11" fillId="6" borderId="48" xfId="0" applyNumberFormat="1" applyFont="1" applyFill="1" applyBorder="1">
      <alignment vertical="center"/>
    </xf>
    <xf numFmtId="177" fontId="11" fillId="6" borderId="48" xfId="16" applyNumberFormat="1" applyFont="1" applyFill="1" applyBorder="1">
      <alignment vertical="center"/>
    </xf>
    <xf numFmtId="3" fontId="11" fillId="6" borderId="48" xfId="0" applyNumberFormat="1" applyFont="1" applyFill="1" applyBorder="1" applyAlignment="1">
      <alignment horizontal="right" vertical="center"/>
    </xf>
    <xf numFmtId="41" fontId="11" fillId="6" borderId="48" xfId="1" applyFont="1" applyFill="1" applyBorder="1" applyAlignment="1">
      <alignment horizontal="right" vertical="center"/>
    </xf>
    <xf numFmtId="41" fontId="4" fillId="10" borderId="115" xfId="1" applyFont="1" applyFill="1" applyBorder="1" applyAlignment="1">
      <alignment horizontal="center" vertical="center"/>
    </xf>
    <xf numFmtId="41" fontId="4" fillId="10" borderId="116" xfId="1" applyFont="1" applyFill="1" applyBorder="1" applyAlignment="1">
      <alignment horizontal="center" vertical="center"/>
    </xf>
    <xf numFmtId="41" fontId="4" fillId="8" borderId="37" xfId="1" applyFont="1" applyFill="1" applyBorder="1" applyAlignment="1">
      <alignment horizontal="center" vertical="center"/>
    </xf>
    <xf numFmtId="41" fontId="4" fillId="8" borderId="50" xfId="1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center" vertical="center"/>
    </xf>
    <xf numFmtId="0" fontId="23" fillId="0" borderId="152" xfId="0" applyFont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/>
    </xf>
    <xf numFmtId="0" fontId="23" fillId="0" borderId="10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9" borderId="35" xfId="0" applyFont="1" applyFill="1" applyBorder="1" applyAlignment="1">
      <alignment horizontal="center" vertical="center"/>
    </xf>
    <xf numFmtId="0" fontId="22" fillId="9" borderId="40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8" borderId="110" xfId="0" applyFont="1" applyFill="1" applyBorder="1" applyAlignment="1">
      <alignment horizontal="center" vertical="center"/>
    </xf>
    <xf numFmtId="0" fontId="22" fillId="8" borderId="111" xfId="0" applyFont="1" applyFill="1" applyBorder="1" applyAlignment="1">
      <alignment horizontal="center" vertical="center"/>
    </xf>
    <xf numFmtId="0" fontId="22" fillId="8" borderId="112" xfId="0" applyFont="1" applyFill="1" applyBorder="1" applyAlignment="1">
      <alignment horizontal="center" vertical="center"/>
    </xf>
    <xf numFmtId="41" fontId="4" fillId="10" borderId="114" xfId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41" fontId="4" fillId="8" borderId="118" xfId="1" applyFont="1" applyFill="1" applyBorder="1" applyAlignment="1">
      <alignment horizontal="center" vertical="center"/>
    </xf>
    <xf numFmtId="41" fontId="4" fillId="8" borderId="119" xfId="1" applyFont="1" applyFill="1" applyBorder="1" applyAlignment="1">
      <alignment horizontal="center" vertical="center"/>
    </xf>
    <xf numFmtId="41" fontId="4" fillId="8" borderId="117" xfId="1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41" fontId="4" fillId="10" borderId="120" xfId="1" applyFont="1" applyFill="1" applyBorder="1" applyAlignment="1">
      <alignment horizontal="center" vertical="center"/>
    </xf>
    <xf numFmtId="41" fontId="4" fillId="10" borderId="121" xfId="1" applyFont="1" applyFill="1" applyBorder="1" applyAlignment="1">
      <alignment horizontal="center" vertical="center"/>
    </xf>
    <xf numFmtId="41" fontId="5" fillId="2" borderId="13" xfId="1" applyFont="1" applyFill="1" applyBorder="1" applyAlignment="1">
      <alignment horizontal="center" vertical="center"/>
    </xf>
    <xf numFmtId="41" fontId="5" fillId="2" borderId="79" xfId="1" applyFont="1" applyFill="1" applyBorder="1" applyAlignment="1">
      <alignment horizontal="center" vertical="center"/>
    </xf>
    <xf numFmtId="41" fontId="5" fillId="2" borderId="58" xfId="1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41" fontId="5" fillId="2" borderId="7" xfId="1" applyFont="1" applyFill="1" applyBorder="1" applyAlignment="1">
      <alignment horizontal="center" vertical="center"/>
    </xf>
    <xf numFmtId="41" fontId="5" fillId="2" borderId="14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41" fontId="5" fillId="2" borderId="19" xfId="1" applyFont="1" applyFill="1" applyBorder="1" applyAlignment="1">
      <alignment horizontal="center" vertical="center"/>
    </xf>
  </cellXfs>
  <cellStyles count="378">
    <cellStyle name="20% - 강조색1 2" xfId="73" xr:uid="{00000000-0005-0000-0000-000000000000}"/>
    <cellStyle name="20% - 강조색1 2 2" xfId="74" xr:uid="{00000000-0005-0000-0000-000001000000}"/>
    <cellStyle name="20% - 강조색1 3" xfId="75" xr:uid="{00000000-0005-0000-0000-000002000000}"/>
    <cellStyle name="20% - 강조색2 2" xfId="76" xr:uid="{00000000-0005-0000-0000-000003000000}"/>
    <cellStyle name="20% - 강조색2 2 2" xfId="77" xr:uid="{00000000-0005-0000-0000-000004000000}"/>
    <cellStyle name="20% - 강조색2 3" xfId="78" xr:uid="{00000000-0005-0000-0000-000005000000}"/>
    <cellStyle name="20% - 강조색3 2" xfId="79" xr:uid="{00000000-0005-0000-0000-000006000000}"/>
    <cellStyle name="20% - 강조색3 2 2" xfId="80" xr:uid="{00000000-0005-0000-0000-000007000000}"/>
    <cellStyle name="20% - 강조색3 3" xfId="81" xr:uid="{00000000-0005-0000-0000-000008000000}"/>
    <cellStyle name="20% - 강조색4 2" xfId="82" xr:uid="{00000000-0005-0000-0000-000009000000}"/>
    <cellStyle name="20% - 강조색4 2 2" xfId="83" xr:uid="{00000000-0005-0000-0000-00000A000000}"/>
    <cellStyle name="20% - 강조색4 3" xfId="84" xr:uid="{00000000-0005-0000-0000-00000B000000}"/>
    <cellStyle name="20% - 강조색5 2" xfId="85" xr:uid="{00000000-0005-0000-0000-00000C000000}"/>
    <cellStyle name="20% - 강조색5 2 2" xfId="86" xr:uid="{00000000-0005-0000-0000-00000D000000}"/>
    <cellStyle name="20% - 강조색5 3" xfId="87" xr:uid="{00000000-0005-0000-0000-00000E000000}"/>
    <cellStyle name="20% - 강조색6 2" xfId="88" xr:uid="{00000000-0005-0000-0000-00000F000000}"/>
    <cellStyle name="20% - 강조색6 2 2" xfId="89" xr:uid="{00000000-0005-0000-0000-000010000000}"/>
    <cellStyle name="20% - 강조색6 3" xfId="90" xr:uid="{00000000-0005-0000-0000-000011000000}"/>
    <cellStyle name="40% - 강조색1 2" xfId="91" xr:uid="{00000000-0005-0000-0000-000012000000}"/>
    <cellStyle name="40% - 강조색1 2 2" xfId="92" xr:uid="{00000000-0005-0000-0000-000013000000}"/>
    <cellStyle name="40% - 강조색1 3" xfId="93" xr:uid="{00000000-0005-0000-0000-000014000000}"/>
    <cellStyle name="40% - 강조색2 2" xfId="94" xr:uid="{00000000-0005-0000-0000-000015000000}"/>
    <cellStyle name="40% - 강조색2 2 2" xfId="95" xr:uid="{00000000-0005-0000-0000-000016000000}"/>
    <cellStyle name="40% - 강조색2 3" xfId="96" xr:uid="{00000000-0005-0000-0000-000017000000}"/>
    <cellStyle name="40% - 강조색3 2" xfId="97" xr:uid="{00000000-0005-0000-0000-000018000000}"/>
    <cellStyle name="40% - 강조색3 2 2" xfId="98" xr:uid="{00000000-0005-0000-0000-000019000000}"/>
    <cellStyle name="40% - 강조색3 3" xfId="99" xr:uid="{00000000-0005-0000-0000-00001A000000}"/>
    <cellStyle name="40% - 강조색4 2" xfId="100" xr:uid="{00000000-0005-0000-0000-00001B000000}"/>
    <cellStyle name="40% - 강조색4 2 2" xfId="101" xr:uid="{00000000-0005-0000-0000-00001C000000}"/>
    <cellStyle name="40% - 강조색4 3" xfId="102" xr:uid="{00000000-0005-0000-0000-00001D000000}"/>
    <cellStyle name="40% - 강조색5 2" xfId="103" xr:uid="{00000000-0005-0000-0000-00001E000000}"/>
    <cellStyle name="40% - 강조색5 2 2" xfId="104" xr:uid="{00000000-0005-0000-0000-00001F000000}"/>
    <cellStyle name="40% - 강조색5 3" xfId="105" xr:uid="{00000000-0005-0000-0000-000020000000}"/>
    <cellStyle name="40% - 강조색6 2" xfId="106" xr:uid="{00000000-0005-0000-0000-000021000000}"/>
    <cellStyle name="40% - 강조색6 2 2" xfId="107" xr:uid="{00000000-0005-0000-0000-000022000000}"/>
    <cellStyle name="40% - 강조색6 3" xfId="108" xr:uid="{00000000-0005-0000-0000-000023000000}"/>
    <cellStyle name="60% - 강조색1 2" xfId="109" xr:uid="{00000000-0005-0000-0000-000024000000}"/>
    <cellStyle name="60% - 강조색1 2 2" xfId="110" xr:uid="{00000000-0005-0000-0000-000025000000}"/>
    <cellStyle name="60% - 강조색1 3" xfId="111" xr:uid="{00000000-0005-0000-0000-000026000000}"/>
    <cellStyle name="60% - 강조색2 2" xfId="112" xr:uid="{00000000-0005-0000-0000-000027000000}"/>
    <cellStyle name="60% - 강조색2 2 2" xfId="113" xr:uid="{00000000-0005-0000-0000-000028000000}"/>
    <cellStyle name="60% - 강조색2 3" xfId="114" xr:uid="{00000000-0005-0000-0000-000029000000}"/>
    <cellStyle name="60% - 강조색3 2" xfId="115" xr:uid="{00000000-0005-0000-0000-00002A000000}"/>
    <cellStyle name="60% - 강조색3 2 2" xfId="116" xr:uid="{00000000-0005-0000-0000-00002B000000}"/>
    <cellStyle name="60% - 강조색3 3" xfId="117" xr:uid="{00000000-0005-0000-0000-00002C000000}"/>
    <cellStyle name="60% - 강조색4 2" xfId="118" xr:uid="{00000000-0005-0000-0000-00002D000000}"/>
    <cellStyle name="60% - 강조색4 2 2" xfId="119" xr:uid="{00000000-0005-0000-0000-00002E000000}"/>
    <cellStyle name="60% - 강조색4 3" xfId="120" xr:uid="{00000000-0005-0000-0000-00002F000000}"/>
    <cellStyle name="60% - 강조색5 2" xfId="121" xr:uid="{00000000-0005-0000-0000-000030000000}"/>
    <cellStyle name="60% - 강조색5 2 2" xfId="122" xr:uid="{00000000-0005-0000-0000-000031000000}"/>
    <cellStyle name="60% - 강조색5 3" xfId="123" xr:uid="{00000000-0005-0000-0000-000032000000}"/>
    <cellStyle name="60% - 강조색6 2" xfId="124" xr:uid="{00000000-0005-0000-0000-000033000000}"/>
    <cellStyle name="60% - 강조색6 2 2" xfId="125" xr:uid="{00000000-0005-0000-0000-000034000000}"/>
    <cellStyle name="60% - 강조색6 3" xfId="126" xr:uid="{00000000-0005-0000-0000-000035000000}"/>
    <cellStyle name="Normal_2008년 마감진행(공장별출고, 선적) (1)" xfId="18" xr:uid="{00000000-0005-0000-0000-000036000000}"/>
    <cellStyle name="Normál_C03(12.09)" xfId="7" xr:uid="{00000000-0005-0000-0000-000037000000}"/>
    <cellStyle name="강조색1 2" xfId="127" xr:uid="{00000000-0005-0000-0000-000038000000}"/>
    <cellStyle name="강조색1 2 2" xfId="128" xr:uid="{00000000-0005-0000-0000-000039000000}"/>
    <cellStyle name="강조색1 3" xfId="129" xr:uid="{00000000-0005-0000-0000-00003A000000}"/>
    <cellStyle name="강조색2 2" xfId="130" xr:uid="{00000000-0005-0000-0000-00003B000000}"/>
    <cellStyle name="강조색2 2 2" xfId="131" xr:uid="{00000000-0005-0000-0000-00003C000000}"/>
    <cellStyle name="강조색2 3" xfId="132" xr:uid="{00000000-0005-0000-0000-00003D000000}"/>
    <cellStyle name="강조색3 2" xfId="19" xr:uid="{00000000-0005-0000-0000-00003E000000}"/>
    <cellStyle name="강조색3 2 2" xfId="134" xr:uid="{00000000-0005-0000-0000-00003F000000}"/>
    <cellStyle name="강조색3 2 3" xfId="133" xr:uid="{00000000-0005-0000-0000-000040000000}"/>
    <cellStyle name="강조색3 3" xfId="135" xr:uid="{00000000-0005-0000-0000-000041000000}"/>
    <cellStyle name="강조색4 2" xfId="136" xr:uid="{00000000-0005-0000-0000-000042000000}"/>
    <cellStyle name="강조색4 2 2" xfId="137" xr:uid="{00000000-0005-0000-0000-000043000000}"/>
    <cellStyle name="강조색4 3" xfId="138" xr:uid="{00000000-0005-0000-0000-000044000000}"/>
    <cellStyle name="강조색5 2" xfId="139" xr:uid="{00000000-0005-0000-0000-000045000000}"/>
    <cellStyle name="강조색5 2 2" xfId="140" xr:uid="{00000000-0005-0000-0000-000046000000}"/>
    <cellStyle name="강조색5 3" xfId="141" xr:uid="{00000000-0005-0000-0000-000047000000}"/>
    <cellStyle name="강조색6 2" xfId="142" xr:uid="{00000000-0005-0000-0000-000048000000}"/>
    <cellStyle name="강조색6 2 2" xfId="143" xr:uid="{00000000-0005-0000-0000-000049000000}"/>
    <cellStyle name="강조색6 3" xfId="144" xr:uid="{00000000-0005-0000-0000-00004A000000}"/>
    <cellStyle name="경고문 2" xfId="145" xr:uid="{00000000-0005-0000-0000-00004B000000}"/>
    <cellStyle name="경고문 2 2" xfId="146" xr:uid="{00000000-0005-0000-0000-00004C000000}"/>
    <cellStyle name="경고문 3" xfId="147" xr:uid="{00000000-0005-0000-0000-00004D000000}"/>
    <cellStyle name="계산 2" xfId="148" xr:uid="{00000000-0005-0000-0000-00004E000000}"/>
    <cellStyle name="계산 2 2" xfId="149" xr:uid="{00000000-0005-0000-0000-00004F000000}"/>
    <cellStyle name="계산 3" xfId="150" xr:uid="{00000000-0005-0000-0000-000050000000}"/>
    <cellStyle name="适中" xfId="151" xr:uid="{00000000-0005-0000-0000-000051000000}"/>
    <cellStyle name="나쁨 2" xfId="152" xr:uid="{00000000-0005-0000-0000-000052000000}"/>
    <cellStyle name="나쁨 2 2" xfId="153" xr:uid="{00000000-0005-0000-0000-000053000000}"/>
    <cellStyle name="나쁨 3" xfId="154" xr:uid="{00000000-0005-0000-0000-000054000000}"/>
    <cellStyle name="메모 2" xfId="11" xr:uid="{00000000-0005-0000-0000-000055000000}"/>
    <cellStyle name="메모 2 2" xfId="156" xr:uid="{00000000-0005-0000-0000-000056000000}"/>
    <cellStyle name="메모 2 2 2" xfId="322" xr:uid="{00000000-0005-0000-0000-000057000000}"/>
    <cellStyle name="메모 2 3" xfId="321" xr:uid="{00000000-0005-0000-0000-000058000000}"/>
    <cellStyle name="메모 2 4" xfId="155" xr:uid="{00000000-0005-0000-0000-000059000000}"/>
    <cellStyle name="메모 3" xfId="8" xr:uid="{00000000-0005-0000-0000-00005A000000}"/>
    <cellStyle name="메모 3 2" xfId="323" xr:uid="{00000000-0005-0000-0000-00005B000000}"/>
    <cellStyle name="메모 3 3" xfId="157" xr:uid="{00000000-0005-0000-0000-00005C000000}"/>
    <cellStyle name="百分比 2" xfId="158" xr:uid="{00000000-0005-0000-0000-00005D000000}"/>
    <cellStyle name="百分比 2 2" xfId="324" xr:uid="{00000000-0005-0000-0000-00005E000000}"/>
    <cellStyle name="百分比 3" xfId="159" xr:uid="{00000000-0005-0000-0000-00005F000000}"/>
    <cellStyle name="百分比 3 2" xfId="325" xr:uid="{00000000-0005-0000-0000-000060000000}"/>
    <cellStyle name="백분율 2" xfId="5" xr:uid="{00000000-0005-0000-0000-000062000000}"/>
    <cellStyle name="백분율 2 2" xfId="20" xr:uid="{00000000-0005-0000-0000-000063000000}"/>
    <cellStyle name="백분율 2 2 2" xfId="161" xr:uid="{00000000-0005-0000-0000-000064000000}"/>
    <cellStyle name="백분율 2 2 3" xfId="160" xr:uid="{00000000-0005-0000-0000-000065000000}"/>
    <cellStyle name="백분율 2 3" xfId="162" xr:uid="{00000000-0005-0000-0000-000066000000}"/>
    <cellStyle name="백분율 2 4" xfId="374" xr:uid="{00000000-0005-0000-0000-000067000000}"/>
    <cellStyle name="백분율 2 5" xfId="56" xr:uid="{00000000-0005-0000-0000-000068000000}"/>
    <cellStyle name="백분율 3" xfId="57" xr:uid="{00000000-0005-0000-0000-000069000000}"/>
    <cellStyle name="백분율 3 2" xfId="163" xr:uid="{00000000-0005-0000-0000-00006A000000}"/>
    <cellStyle name="백분율 3 2 2" xfId="326" xr:uid="{00000000-0005-0000-0000-00006B000000}"/>
    <cellStyle name="백분율 4" xfId="58" xr:uid="{00000000-0005-0000-0000-00006C000000}"/>
    <cellStyle name="백분율 4 2" xfId="165" xr:uid="{00000000-0005-0000-0000-00006D000000}"/>
    <cellStyle name="백분율 4 2 2" xfId="328" xr:uid="{00000000-0005-0000-0000-00006E000000}"/>
    <cellStyle name="백분율 4 3" xfId="164" xr:uid="{00000000-0005-0000-0000-00006F000000}"/>
    <cellStyle name="백분율 4 3 2" xfId="327" xr:uid="{00000000-0005-0000-0000-000070000000}"/>
    <cellStyle name="백분율 5" xfId="55" xr:uid="{00000000-0005-0000-0000-000071000000}"/>
    <cellStyle name="백분율 5 2" xfId="166" xr:uid="{00000000-0005-0000-0000-000072000000}"/>
    <cellStyle name="백분율 5 2 2" xfId="329" xr:uid="{00000000-0005-0000-0000-000073000000}"/>
    <cellStyle name="백분율 6" xfId="370" xr:uid="{00000000-0005-0000-0000-000074000000}"/>
    <cellStyle name="常规 10" xfId="167" xr:uid="{00000000-0005-0000-0000-000075000000}"/>
    <cellStyle name="常规 11" xfId="168" xr:uid="{00000000-0005-0000-0000-000076000000}"/>
    <cellStyle name="常规 11 2" xfId="169" xr:uid="{00000000-0005-0000-0000-000077000000}"/>
    <cellStyle name="常规 11 2 2" xfId="331" xr:uid="{00000000-0005-0000-0000-000078000000}"/>
    <cellStyle name="常规 11 3" xfId="170" xr:uid="{00000000-0005-0000-0000-000079000000}"/>
    <cellStyle name="常规 11 3 2" xfId="332" xr:uid="{00000000-0005-0000-0000-00007A000000}"/>
    <cellStyle name="常规 11 4" xfId="171" xr:uid="{00000000-0005-0000-0000-00007B000000}"/>
    <cellStyle name="常规 11 4 2" xfId="333" xr:uid="{00000000-0005-0000-0000-00007C000000}"/>
    <cellStyle name="常规 11 5" xfId="330" xr:uid="{00000000-0005-0000-0000-00007D000000}"/>
    <cellStyle name="常规 12" xfId="172" xr:uid="{00000000-0005-0000-0000-00007E000000}"/>
    <cellStyle name="常规 12 2" xfId="334" xr:uid="{00000000-0005-0000-0000-00007F000000}"/>
    <cellStyle name="常规 13" xfId="173" xr:uid="{00000000-0005-0000-0000-000080000000}"/>
    <cellStyle name="常规 13 2" xfId="335" xr:uid="{00000000-0005-0000-0000-000081000000}"/>
    <cellStyle name="常规 14" xfId="174" xr:uid="{00000000-0005-0000-0000-000082000000}"/>
    <cellStyle name="常规 14 2" xfId="336" xr:uid="{00000000-0005-0000-0000-000083000000}"/>
    <cellStyle name="常规 2" xfId="30" xr:uid="{00000000-0005-0000-0000-000084000000}"/>
    <cellStyle name="常规 2 10" xfId="175" xr:uid="{00000000-0005-0000-0000-000085000000}"/>
    <cellStyle name="常规 2 11" xfId="176" xr:uid="{00000000-0005-0000-0000-000086000000}"/>
    <cellStyle name="常规 2 12" xfId="177" xr:uid="{00000000-0005-0000-0000-000087000000}"/>
    <cellStyle name="常规 2 13" xfId="178" xr:uid="{00000000-0005-0000-0000-000088000000}"/>
    <cellStyle name="常规 2 14" xfId="179" xr:uid="{00000000-0005-0000-0000-000089000000}"/>
    <cellStyle name="常规 2 15" xfId="180" xr:uid="{00000000-0005-0000-0000-00008A000000}"/>
    <cellStyle name="常规 2 16" xfId="181" xr:uid="{00000000-0005-0000-0000-00008B000000}"/>
    <cellStyle name="常规 2 17" xfId="182" xr:uid="{00000000-0005-0000-0000-00008C000000}"/>
    <cellStyle name="常规 2 18" xfId="183" xr:uid="{00000000-0005-0000-0000-00008D000000}"/>
    <cellStyle name="常规 2 19" xfId="184" xr:uid="{00000000-0005-0000-0000-00008E000000}"/>
    <cellStyle name="常规 2 2" xfId="185" xr:uid="{00000000-0005-0000-0000-00008F000000}"/>
    <cellStyle name="常规 2 2 10" xfId="186" xr:uid="{00000000-0005-0000-0000-000090000000}"/>
    <cellStyle name="常规 2 2 10 2" xfId="187" xr:uid="{00000000-0005-0000-0000-000091000000}"/>
    <cellStyle name="常规 2 2 10 2 2" xfId="339" xr:uid="{00000000-0005-0000-0000-000092000000}"/>
    <cellStyle name="常规 2 2 10 3" xfId="188" xr:uid="{00000000-0005-0000-0000-000093000000}"/>
    <cellStyle name="常规 2 2 10 3 2" xfId="340" xr:uid="{00000000-0005-0000-0000-000094000000}"/>
    <cellStyle name="常规 2 2 10 4" xfId="338" xr:uid="{00000000-0005-0000-0000-000095000000}"/>
    <cellStyle name="常规 2 2 11" xfId="189" xr:uid="{00000000-0005-0000-0000-000096000000}"/>
    <cellStyle name="常规 2 2 11 2" xfId="341" xr:uid="{00000000-0005-0000-0000-000097000000}"/>
    <cellStyle name="常规 2 2 12" xfId="190" xr:uid="{00000000-0005-0000-0000-000098000000}"/>
    <cellStyle name="常规 2 2 12 2" xfId="342" xr:uid="{00000000-0005-0000-0000-000099000000}"/>
    <cellStyle name="常规 2 2 13" xfId="337" xr:uid="{00000000-0005-0000-0000-00009A000000}"/>
    <cellStyle name="常规 2 2 2" xfId="191" xr:uid="{00000000-0005-0000-0000-00009B000000}"/>
    <cellStyle name="常规 2 2 2 2" xfId="343" xr:uid="{00000000-0005-0000-0000-00009C000000}"/>
    <cellStyle name="常规 2 2 3" xfId="192" xr:uid="{00000000-0005-0000-0000-00009D000000}"/>
    <cellStyle name="常规 2 2 3 2" xfId="344" xr:uid="{00000000-0005-0000-0000-00009E000000}"/>
    <cellStyle name="常规 2 2 4" xfId="193" xr:uid="{00000000-0005-0000-0000-00009F000000}"/>
    <cellStyle name="常规 2 2 4 2" xfId="345" xr:uid="{00000000-0005-0000-0000-0000A0000000}"/>
    <cellStyle name="常规 2 2 5" xfId="194" xr:uid="{00000000-0005-0000-0000-0000A1000000}"/>
    <cellStyle name="常规 2 2 5 2" xfId="346" xr:uid="{00000000-0005-0000-0000-0000A2000000}"/>
    <cellStyle name="常规 2 2 6" xfId="195" xr:uid="{00000000-0005-0000-0000-0000A3000000}"/>
    <cellStyle name="常规 2 2 6 2" xfId="347" xr:uid="{00000000-0005-0000-0000-0000A4000000}"/>
    <cellStyle name="常规 2 2 7" xfId="196" xr:uid="{00000000-0005-0000-0000-0000A5000000}"/>
    <cellStyle name="常规 2 2 7 2" xfId="348" xr:uid="{00000000-0005-0000-0000-0000A6000000}"/>
    <cellStyle name="常规 2 2 8" xfId="197" xr:uid="{00000000-0005-0000-0000-0000A7000000}"/>
    <cellStyle name="常规 2 2 8 2" xfId="349" xr:uid="{00000000-0005-0000-0000-0000A8000000}"/>
    <cellStyle name="常规 2 2 9" xfId="198" xr:uid="{00000000-0005-0000-0000-0000A9000000}"/>
    <cellStyle name="常规 2 2 9 2" xfId="350" xr:uid="{00000000-0005-0000-0000-0000AA000000}"/>
    <cellStyle name="常规 2 20" xfId="199" xr:uid="{00000000-0005-0000-0000-0000AB000000}"/>
    <cellStyle name="常规 2 21" xfId="200" xr:uid="{00000000-0005-0000-0000-0000AC000000}"/>
    <cellStyle name="常规 2 21 2" xfId="201" xr:uid="{00000000-0005-0000-0000-0000AD000000}"/>
    <cellStyle name="常规 2 22" xfId="202" xr:uid="{00000000-0005-0000-0000-0000AE000000}"/>
    <cellStyle name="常规 2 23" xfId="203" xr:uid="{00000000-0005-0000-0000-0000AF000000}"/>
    <cellStyle name="常规 2 3" xfId="204" xr:uid="{00000000-0005-0000-0000-0000B0000000}"/>
    <cellStyle name="常规 2 4" xfId="205" xr:uid="{00000000-0005-0000-0000-0000B1000000}"/>
    <cellStyle name="常规 2 5" xfId="206" xr:uid="{00000000-0005-0000-0000-0000B2000000}"/>
    <cellStyle name="常规 2 6" xfId="207" xr:uid="{00000000-0005-0000-0000-0000B3000000}"/>
    <cellStyle name="常规 2 7" xfId="208" xr:uid="{00000000-0005-0000-0000-0000B4000000}"/>
    <cellStyle name="常规 2 8" xfId="209" xr:uid="{00000000-0005-0000-0000-0000B5000000}"/>
    <cellStyle name="常规 2 9" xfId="210" xr:uid="{00000000-0005-0000-0000-0000B6000000}"/>
    <cellStyle name="常规 3" xfId="31" xr:uid="{00000000-0005-0000-0000-0000B7000000}"/>
    <cellStyle name="常规 3 2" xfId="211" xr:uid="{00000000-0005-0000-0000-0000B8000000}"/>
    <cellStyle name="常规 3 2 2" xfId="212" xr:uid="{00000000-0005-0000-0000-0000B9000000}"/>
    <cellStyle name="常规 3 2 2 2" xfId="352" xr:uid="{00000000-0005-0000-0000-0000BA000000}"/>
    <cellStyle name="常规 3 2 3" xfId="351" xr:uid="{00000000-0005-0000-0000-0000BB000000}"/>
    <cellStyle name="常规 3 3" xfId="213" xr:uid="{00000000-0005-0000-0000-0000BC000000}"/>
    <cellStyle name="常规 3 3 2" xfId="353" xr:uid="{00000000-0005-0000-0000-0000BD000000}"/>
    <cellStyle name="常规 4" xfId="32" xr:uid="{00000000-0005-0000-0000-0000BE000000}"/>
    <cellStyle name="常规 4 2" xfId="214" xr:uid="{00000000-0005-0000-0000-0000BF000000}"/>
    <cellStyle name="常规 4 2 2" xfId="215" xr:uid="{00000000-0005-0000-0000-0000C0000000}"/>
    <cellStyle name="常规 4 2 2 2" xfId="355" xr:uid="{00000000-0005-0000-0000-0000C1000000}"/>
    <cellStyle name="常规 4 2 3" xfId="354" xr:uid="{00000000-0005-0000-0000-0000C2000000}"/>
    <cellStyle name="常规 4 3" xfId="216" xr:uid="{00000000-0005-0000-0000-0000C3000000}"/>
    <cellStyle name="常规 4 3 2" xfId="356" xr:uid="{00000000-0005-0000-0000-0000C4000000}"/>
    <cellStyle name="常规 5" xfId="33" xr:uid="{00000000-0005-0000-0000-0000C5000000}"/>
    <cellStyle name="常规 5 2" xfId="217" xr:uid="{00000000-0005-0000-0000-0000C6000000}"/>
    <cellStyle name="常规 5 2 2" xfId="218" xr:uid="{00000000-0005-0000-0000-0000C7000000}"/>
    <cellStyle name="常规 5 2 2 2" xfId="358" xr:uid="{00000000-0005-0000-0000-0000C8000000}"/>
    <cellStyle name="常规 5 2 3" xfId="357" xr:uid="{00000000-0005-0000-0000-0000C9000000}"/>
    <cellStyle name="常规 5 3" xfId="219" xr:uid="{00000000-0005-0000-0000-0000CA000000}"/>
    <cellStyle name="常规 5 3 2" xfId="220" xr:uid="{00000000-0005-0000-0000-0000CB000000}"/>
    <cellStyle name="常规 5 3 2 2" xfId="360" xr:uid="{00000000-0005-0000-0000-0000CC000000}"/>
    <cellStyle name="常规 5 3 3" xfId="359" xr:uid="{00000000-0005-0000-0000-0000CD000000}"/>
    <cellStyle name="常规 5 4" xfId="221" xr:uid="{00000000-0005-0000-0000-0000CE000000}"/>
    <cellStyle name="常规 5 4 2" xfId="361" xr:uid="{00000000-0005-0000-0000-0000CF000000}"/>
    <cellStyle name="常规 6" xfId="34" xr:uid="{00000000-0005-0000-0000-0000D0000000}"/>
    <cellStyle name="常规 6 2" xfId="222" xr:uid="{00000000-0005-0000-0000-0000D1000000}"/>
    <cellStyle name="常规 7" xfId="35" xr:uid="{00000000-0005-0000-0000-0000D2000000}"/>
    <cellStyle name="常规 7 2" xfId="223" xr:uid="{00000000-0005-0000-0000-0000D3000000}"/>
    <cellStyle name="常规 8" xfId="224" xr:uid="{00000000-0005-0000-0000-0000D4000000}"/>
    <cellStyle name="常规 8 2" xfId="225" xr:uid="{00000000-0005-0000-0000-0000D5000000}"/>
    <cellStyle name="常规 8 3" xfId="226" xr:uid="{00000000-0005-0000-0000-0000D6000000}"/>
    <cellStyle name="常规 9" xfId="227" xr:uid="{00000000-0005-0000-0000-0000D7000000}"/>
    <cellStyle name="常规_0706-14制造编码管理台帐" xfId="228" xr:uid="{00000000-0005-0000-0000-0000D8000000}"/>
    <cellStyle name="설명 텍스트 2" xfId="229" xr:uid="{00000000-0005-0000-0000-0000D9000000}"/>
    <cellStyle name="설명 텍스트 2 2" xfId="230" xr:uid="{00000000-0005-0000-0000-0000DA000000}"/>
    <cellStyle name="설명 텍스트 3" xfId="231" xr:uid="{00000000-0005-0000-0000-0000DB000000}"/>
    <cellStyle name="셀 확인 2" xfId="232" xr:uid="{00000000-0005-0000-0000-0000DC000000}"/>
    <cellStyle name="셀 확인 2 2" xfId="233" xr:uid="{00000000-0005-0000-0000-0000DD000000}"/>
    <cellStyle name="셀 확인 3" xfId="234" xr:uid="{00000000-0005-0000-0000-0000DE000000}"/>
    <cellStyle name="쉼표 [0]" xfId="1" builtinId="6"/>
    <cellStyle name="쉼표 [0] 2" xfId="2" xr:uid="{00000000-0005-0000-0000-0000E0000000}"/>
    <cellStyle name="쉼표 [0] 2 13" xfId="376" xr:uid="{00000000-0005-0000-0000-0000E1000000}"/>
    <cellStyle name="쉼표 [0] 2 2" xfId="12" xr:uid="{00000000-0005-0000-0000-0000E2000000}"/>
    <cellStyle name="쉼표 [0] 2 2 2" xfId="37" xr:uid="{00000000-0005-0000-0000-0000E3000000}"/>
    <cellStyle name="쉼표 [0] 2 2 3" xfId="236" xr:uid="{00000000-0005-0000-0000-0000E4000000}"/>
    <cellStyle name="쉼표 [0] 2 2 4" xfId="53" xr:uid="{00000000-0005-0000-0000-0000E5000000}"/>
    <cellStyle name="쉼표 [0] 2 3" xfId="22" xr:uid="{00000000-0005-0000-0000-0000E6000000}"/>
    <cellStyle name="쉼표 [0] 2 3 2" xfId="38" xr:uid="{00000000-0005-0000-0000-0000E7000000}"/>
    <cellStyle name="쉼표 [0] 2 3 2 2" xfId="238" xr:uid="{00000000-0005-0000-0000-0000E8000000}"/>
    <cellStyle name="쉼표 [0] 2 3 2 2 2" xfId="362" xr:uid="{00000000-0005-0000-0000-0000E9000000}"/>
    <cellStyle name="쉼표 [0] 2 3 3" xfId="239" xr:uid="{00000000-0005-0000-0000-0000EA000000}"/>
    <cellStyle name="쉼표 [0] 2 3 4" xfId="237" xr:uid="{00000000-0005-0000-0000-0000EB000000}"/>
    <cellStyle name="쉼표 [0] 2 4" xfId="36" xr:uid="{00000000-0005-0000-0000-0000EC000000}"/>
    <cellStyle name="쉼표 [0] 2 4 2" xfId="241" xr:uid="{00000000-0005-0000-0000-0000ED000000}"/>
    <cellStyle name="쉼표 [0] 2 4 3" xfId="240" xr:uid="{00000000-0005-0000-0000-0000EE000000}"/>
    <cellStyle name="쉼표 [0] 2 5" xfId="242" xr:uid="{00000000-0005-0000-0000-0000EF000000}"/>
    <cellStyle name="쉼표 [0] 2 6" xfId="235" xr:uid="{00000000-0005-0000-0000-0000F0000000}"/>
    <cellStyle name="쉼표 [0] 2 7" xfId="373" xr:uid="{00000000-0005-0000-0000-0000F1000000}"/>
    <cellStyle name="쉼표 [0] 2 8" xfId="59" xr:uid="{00000000-0005-0000-0000-0000F2000000}"/>
    <cellStyle name="쉼표 [0] 3" xfId="9" xr:uid="{00000000-0005-0000-0000-0000F3000000}"/>
    <cellStyle name="쉼표 [0] 3 2" xfId="13" xr:uid="{00000000-0005-0000-0000-0000F4000000}"/>
    <cellStyle name="쉼표 [0] 3 2 2" xfId="243" xr:uid="{00000000-0005-0000-0000-0000F5000000}"/>
    <cellStyle name="쉼표 [0] 3 2 3" xfId="60" xr:uid="{00000000-0005-0000-0000-0000F6000000}"/>
    <cellStyle name="쉼표 [0] 3 3" xfId="16" xr:uid="{00000000-0005-0000-0000-0000F7000000}"/>
    <cellStyle name="쉼표 [0] 3 3 2" xfId="244" xr:uid="{00000000-0005-0000-0000-0000F8000000}"/>
    <cellStyle name="쉼표 [0] 3 4" xfId="23" xr:uid="{00000000-0005-0000-0000-0000F9000000}"/>
    <cellStyle name="쉼표 [0] 3 4 2" xfId="245" xr:uid="{00000000-0005-0000-0000-0000FA000000}"/>
    <cellStyle name="쉼표 [0] 3 5" xfId="39" xr:uid="{00000000-0005-0000-0000-0000FB000000}"/>
    <cellStyle name="쉼표 [0] 4" xfId="6" xr:uid="{00000000-0005-0000-0000-0000FC000000}"/>
    <cellStyle name="쉼표 [0] 4 2" xfId="24" xr:uid="{00000000-0005-0000-0000-0000FD000000}"/>
    <cellStyle name="쉼표 [0] 4 2 2" xfId="247" xr:uid="{00000000-0005-0000-0000-0000FE000000}"/>
    <cellStyle name="쉼표 [0] 4 3" xfId="40" xr:uid="{00000000-0005-0000-0000-0000FF000000}"/>
    <cellStyle name="쉼표 [0] 4 3 2" xfId="248" xr:uid="{00000000-0005-0000-0000-000000010000}"/>
    <cellStyle name="쉼표 [0] 4 4" xfId="246" xr:uid="{00000000-0005-0000-0000-000001010000}"/>
    <cellStyle name="쉼표 [0] 5" xfId="25" xr:uid="{00000000-0005-0000-0000-000002010000}"/>
    <cellStyle name="쉼표 [0] 5 2" xfId="250" xr:uid="{00000000-0005-0000-0000-000003010000}"/>
    <cellStyle name="쉼표 [0] 5 3" xfId="249" xr:uid="{00000000-0005-0000-0000-000004010000}"/>
    <cellStyle name="쉼표 [0] 5 4" xfId="61" xr:uid="{00000000-0005-0000-0000-000005010000}"/>
    <cellStyle name="쉼표 [0] 6" xfId="21" xr:uid="{00000000-0005-0000-0000-000006010000}"/>
    <cellStyle name="쉼표 [0] 6 2" xfId="251" xr:uid="{00000000-0005-0000-0000-000007010000}"/>
    <cellStyle name="쉼표 [0] 6 3" xfId="371" xr:uid="{00000000-0005-0000-0000-000008010000}"/>
    <cellStyle name="쉼표 [0] 6 4" xfId="62" xr:uid="{00000000-0005-0000-0000-000009010000}"/>
    <cellStyle name="쉼표 [0] 7" xfId="252" xr:uid="{00000000-0005-0000-0000-00000A010000}"/>
    <cellStyle name="쉼표 [0] 8" xfId="253" xr:uid="{00000000-0005-0000-0000-00000B010000}"/>
    <cellStyle name="쉼표 [0] 8 2" xfId="363" xr:uid="{00000000-0005-0000-0000-00000C010000}"/>
    <cellStyle name="쉼표 [0] 9" xfId="369" xr:uid="{00000000-0005-0000-0000-00000D010000}"/>
    <cellStyle name="쉼표 2" xfId="26" xr:uid="{00000000-0005-0000-0000-00000E010000}"/>
    <cellStyle name="쉼표 2 2" xfId="42" xr:uid="{00000000-0005-0000-0000-00000F010000}"/>
    <cellStyle name="쉼표 2 2 2" xfId="255" xr:uid="{00000000-0005-0000-0000-000010010000}"/>
    <cellStyle name="쉼표 2 2 2 2" xfId="256" xr:uid="{00000000-0005-0000-0000-000011010000}"/>
    <cellStyle name="쉼표 2 2 2 2 2" xfId="364" xr:uid="{00000000-0005-0000-0000-000012010000}"/>
    <cellStyle name="쉼표 2 2 3" xfId="257" xr:uid="{00000000-0005-0000-0000-000013010000}"/>
    <cellStyle name="쉼표 2 2 4" xfId="254" xr:uid="{00000000-0005-0000-0000-000014010000}"/>
    <cellStyle name="쉼표 2 3" xfId="41" xr:uid="{00000000-0005-0000-0000-000015010000}"/>
    <cellStyle name="쉼표 2 4" xfId="258" xr:uid="{00000000-0005-0000-0000-000016010000}"/>
    <cellStyle name="쉼표 3" xfId="43" xr:uid="{00000000-0005-0000-0000-000017010000}"/>
    <cellStyle name="쉼표 3 2" xfId="259" xr:uid="{00000000-0005-0000-0000-000018010000}"/>
    <cellStyle name="스타일 1" xfId="44" xr:uid="{00000000-0005-0000-0000-000019010000}"/>
    <cellStyle name="스타일 1 2" xfId="260" xr:uid="{00000000-0005-0000-0000-00001A010000}"/>
    <cellStyle name="样式 1" xfId="45" xr:uid="{00000000-0005-0000-0000-00001B010000}"/>
    <cellStyle name="样式 1 2" xfId="261" xr:uid="{00000000-0005-0000-0000-00001C010000}"/>
    <cellStyle name="연결된 셀 2" xfId="262" xr:uid="{00000000-0005-0000-0000-00001D010000}"/>
    <cellStyle name="연결된 셀 2 2" xfId="263" xr:uid="{00000000-0005-0000-0000-00001E010000}"/>
    <cellStyle name="연결된 셀 3" xfId="264" xr:uid="{00000000-0005-0000-0000-00001F010000}"/>
    <cellStyle name="요약 2" xfId="265" xr:uid="{00000000-0005-0000-0000-000020010000}"/>
    <cellStyle name="요약 2 2" xfId="266" xr:uid="{00000000-0005-0000-0000-000021010000}"/>
    <cellStyle name="요약 3" xfId="267" xr:uid="{00000000-0005-0000-0000-000022010000}"/>
    <cellStyle name="입력 2" xfId="268" xr:uid="{00000000-0005-0000-0000-000023010000}"/>
    <cellStyle name="입력 2 2" xfId="269" xr:uid="{00000000-0005-0000-0000-000024010000}"/>
    <cellStyle name="입력 3" xfId="270" xr:uid="{00000000-0005-0000-0000-000025010000}"/>
    <cellStyle name="제목 1 2" xfId="271" xr:uid="{00000000-0005-0000-0000-000026010000}"/>
    <cellStyle name="제목 1 2 2" xfId="272" xr:uid="{00000000-0005-0000-0000-000027010000}"/>
    <cellStyle name="제목 1 3" xfId="273" xr:uid="{00000000-0005-0000-0000-000028010000}"/>
    <cellStyle name="제목 2 2" xfId="274" xr:uid="{00000000-0005-0000-0000-000029010000}"/>
    <cellStyle name="제목 2 2 2" xfId="275" xr:uid="{00000000-0005-0000-0000-00002A010000}"/>
    <cellStyle name="제목 2 3" xfId="276" xr:uid="{00000000-0005-0000-0000-00002B010000}"/>
    <cellStyle name="제목 3 2" xfId="277" xr:uid="{00000000-0005-0000-0000-00002C010000}"/>
    <cellStyle name="제목 3 2 2" xfId="278" xr:uid="{00000000-0005-0000-0000-00002D010000}"/>
    <cellStyle name="제목 3 3" xfId="279" xr:uid="{00000000-0005-0000-0000-00002E010000}"/>
    <cellStyle name="제목 4 2" xfId="280" xr:uid="{00000000-0005-0000-0000-00002F010000}"/>
    <cellStyle name="제목 4 2 2" xfId="281" xr:uid="{00000000-0005-0000-0000-000030010000}"/>
    <cellStyle name="제목 4 3" xfId="282" xr:uid="{00000000-0005-0000-0000-000031010000}"/>
    <cellStyle name="제목 5" xfId="283" xr:uid="{00000000-0005-0000-0000-000032010000}"/>
    <cellStyle name="제목 5 2" xfId="284" xr:uid="{00000000-0005-0000-0000-000033010000}"/>
    <cellStyle name="제목 6" xfId="285" xr:uid="{00000000-0005-0000-0000-000034010000}"/>
    <cellStyle name="좋음 2" xfId="286" xr:uid="{00000000-0005-0000-0000-000035010000}"/>
    <cellStyle name="좋음 2 2" xfId="287" xr:uid="{00000000-0005-0000-0000-000036010000}"/>
    <cellStyle name="좋음 3" xfId="288" xr:uid="{00000000-0005-0000-0000-000037010000}"/>
    <cellStyle name="差_2012년 경영계획 (제조지별 물량배분-가공비) 111006 - 생산관리" xfId="289" xr:uid="{00000000-0005-0000-0000-000038010000}"/>
    <cellStyle name="差_2012년 경영계획 (제조지별 물량배분-가공비) 111006 - 생산관리_2012年8月营业计划" xfId="290" xr:uid="{00000000-0005-0000-0000-000039010000}"/>
    <cellStyle name="千位分隔[0] 2" xfId="291" xr:uid="{00000000-0005-0000-0000-00003A010000}"/>
    <cellStyle name="千位分隔[0] 2 2" xfId="365" xr:uid="{00000000-0005-0000-0000-00003B010000}"/>
    <cellStyle name="千位分隔[0] 3" xfId="292" xr:uid="{00000000-0005-0000-0000-00003C010000}"/>
    <cellStyle name="千位分隔[0] 4" xfId="293" xr:uid="{00000000-0005-0000-0000-00003D010000}"/>
    <cellStyle name="千位分隔[0] 5" xfId="294" xr:uid="{00000000-0005-0000-0000-00003E010000}"/>
    <cellStyle name="千位分隔[0]_2008年9月份计划" xfId="295" xr:uid="{00000000-0005-0000-0000-00003F010000}"/>
    <cellStyle name="출력 2" xfId="296" xr:uid="{00000000-0005-0000-0000-000040010000}"/>
    <cellStyle name="출력 2 2" xfId="297" xr:uid="{00000000-0005-0000-0000-000041010000}"/>
    <cellStyle name="출력 3" xfId="298" xr:uid="{00000000-0005-0000-0000-000042010000}"/>
    <cellStyle name="콤마 [0]_laroux" xfId="46" xr:uid="{00000000-0005-0000-0000-000043010000}"/>
    <cellStyle name="콤마_laroux" xfId="47" xr:uid="{00000000-0005-0000-0000-000044010000}"/>
    <cellStyle name="통화 [0] 2" xfId="4" xr:uid="{00000000-0005-0000-0000-000045010000}"/>
    <cellStyle name="통화 [0] 2 2" xfId="48" xr:uid="{00000000-0005-0000-0000-000046010000}"/>
    <cellStyle name="통화 [0] 2 2 2" xfId="299" xr:uid="{00000000-0005-0000-0000-000047010000}"/>
    <cellStyle name="통화 [0] 2 2 2 2" xfId="366" xr:uid="{00000000-0005-0000-0000-000048010000}"/>
    <cellStyle name="통화 [0] 2 2 3" xfId="63" xr:uid="{00000000-0005-0000-0000-000049010000}"/>
    <cellStyle name="통화 [0] 3" xfId="27" xr:uid="{00000000-0005-0000-0000-00004A010000}"/>
    <cellStyle name="표준" xfId="0" builtinId="0"/>
    <cellStyle name="표준 10" xfId="72" xr:uid="{00000000-0005-0000-0000-00004C010000}"/>
    <cellStyle name="표준 10 2 2" xfId="375" xr:uid="{00000000-0005-0000-0000-00004D010000}"/>
    <cellStyle name="표준 11" xfId="367" xr:uid="{00000000-0005-0000-0000-00004E010000}"/>
    <cellStyle name="표준 12" xfId="368" xr:uid="{00000000-0005-0000-0000-00004F010000}"/>
    <cellStyle name="표준 191" xfId="15" xr:uid="{00000000-0005-0000-0000-000050010000}"/>
    <cellStyle name="표준 2" xfId="3" xr:uid="{00000000-0005-0000-0000-000051010000}"/>
    <cellStyle name="표준 2 19" xfId="64" xr:uid="{00000000-0005-0000-0000-000052010000}"/>
    <cellStyle name="표준 2 2" xfId="14" xr:uid="{00000000-0005-0000-0000-000053010000}"/>
    <cellStyle name="표준 2 2 2" xfId="50" xr:uid="{00000000-0005-0000-0000-000054010000}"/>
    <cellStyle name="표준 2 2 2 2" xfId="302" xr:uid="{00000000-0005-0000-0000-000055010000}"/>
    <cellStyle name="표준 2 2 3" xfId="303" xr:uid="{00000000-0005-0000-0000-000056010000}"/>
    <cellStyle name="표준 2 2 3 2" xfId="377" xr:uid="{00000000-0005-0000-0000-000057010000}"/>
    <cellStyle name="표준 2 2 4" xfId="301" xr:uid="{00000000-0005-0000-0000-000058010000}"/>
    <cellStyle name="표준 2 2_2012年8月营业计划" xfId="304" xr:uid="{00000000-0005-0000-0000-000059010000}"/>
    <cellStyle name="표준 2 3" xfId="49" xr:uid="{00000000-0005-0000-0000-00005A010000}"/>
    <cellStyle name="표준 2 3 2" xfId="305" xr:uid="{00000000-0005-0000-0000-00005B010000}"/>
    <cellStyle name="표준 2 4" xfId="306" xr:uid="{00000000-0005-0000-0000-00005C010000}"/>
    <cellStyle name="표준 2 5" xfId="300" xr:uid="{00000000-0005-0000-0000-00005D010000}"/>
    <cellStyle name="표준 2 6" xfId="372" xr:uid="{00000000-0005-0000-0000-00005E010000}"/>
    <cellStyle name="표준 2_2012年8月营业计划" xfId="307" xr:uid="{00000000-0005-0000-0000-00005F010000}"/>
    <cellStyle name="표준 3" xfId="10" xr:uid="{00000000-0005-0000-0000-000060010000}"/>
    <cellStyle name="표준 3 2" xfId="51" xr:uid="{00000000-0005-0000-0000-000061010000}"/>
    <cellStyle name="표준 3 2 2" xfId="66" xr:uid="{00000000-0005-0000-0000-000062010000}"/>
    <cellStyle name="표준 3 2 3" xfId="308" xr:uid="{00000000-0005-0000-0000-000063010000}"/>
    <cellStyle name="표준 3 3" xfId="67" xr:uid="{00000000-0005-0000-0000-000064010000}"/>
    <cellStyle name="표준 3 3 2" xfId="309" xr:uid="{00000000-0005-0000-0000-000065010000}"/>
    <cellStyle name="표준 3 4" xfId="65" xr:uid="{00000000-0005-0000-0000-000066010000}"/>
    <cellStyle name="표준 3_2012年8月营业计划" xfId="310" xr:uid="{00000000-0005-0000-0000-000067010000}"/>
    <cellStyle name="표준 4" xfId="28" xr:uid="{00000000-0005-0000-0000-000068010000}"/>
    <cellStyle name="표준 4 2" xfId="52" xr:uid="{00000000-0005-0000-0000-000069010000}"/>
    <cellStyle name="표준 4 2 2" xfId="69" xr:uid="{00000000-0005-0000-0000-00006A010000}"/>
    <cellStyle name="표준 4 2 2 2" xfId="312" xr:uid="{00000000-0005-0000-0000-00006B010000}"/>
    <cellStyle name="표준 4 3" xfId="313" xr:uid="{00000000-0005-0000-0000-00006C010000}"/>
    <cellStyle name="표준 4 4" xfId="311" xr:uid="{00000000-0005-0000-0000-00006D010000}"/>
    <cellStyle name="표준 4 5" xfId="68" xr:uid="{00000000-0005-0000-0000-00006E010000}"/>
    <cellStyle name="표준 5" xfId="29" xr:uid="{00000000-0005-0000-0000-00006F010000}"/>
    <cellStyle name="표준 5 2" xfId="314" xr:uid="{00000000-0005-0000-0000-000070010000}"/>
    <cellStyle name="표준 5 3" xfId="54" xr:uid="{00000000-0005-0000-0000-000071010000}"/>
    <cellStyle name="표준 6" xfId="17" xr:uid="{00000000-0005-0000-0000-000072010000}"/>
    <cellStyle name="표준 6 2" xfId="315" xr:uid="{00000000-0005-0000-0000-000073010000}"/>
    <cellStyle name="표준 6 3" xfId="70" xr:uid="{00000000-0005-0000-0000-000074010000}"/>
    <cellStyle name="표준 7" xfId="71" xr:uid="{00000000-0005-0000-0000-000075010000}"/>
    <cellStyle name="표준 7 2" xfId="316" xr:uid="{00000000-0005-0000-0000-000076010000}"/>
    <cellStyle name="표준 8" xfId="317" xr:uid="{00000000-0005-0000-0000-000077010000}"/>
    <cellStyle name="표준 9" xfId="318" xr:uid="{00000000-0005-0000-0000-000078010000}"/>
    <cellStyle name="好_2012년 경영계획 (제조지별 물량배분-가공비) 111006 - 생산관리" xfId="319" xr:uid="{00000000-0005-0000-0000-000079010000}"/>
    <cellStyle name="好_2012년 경영계획 (제조지별 물량배분-가공비) 111006 - 생산관리_2012年8月营业计划" xfId="320" xr:uid="{00000000-0005-0000-0000-00007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93"/>
  <sheetViews>
    <sheetView showGridLines="0" tabSelected="1" zoomScaleNormal="100" workbookViewId="0">
      <pane xSplit="18" ySplit="6" topLeftCell="S7" activePane="bottomRight" state="frozen"/>
      <selection activeCell="B1" sqref="B1"/>
      <selection pane="topRight" activeCell="R1" sqref="R1"/>
      <selection pane="bottomLeft" activeCell="B7" sqref="B7"/>
      <selection pane="bottomRight" activeCell="E44" sqref="E44"/>
    </sheetView>
  </sheetViews>
  <sheetFormatPr defaultColWidth="9" defaultRowHeight="12" outlineLevelRow="1" outlineLevelCol="2"/>
  <cols>
    <col min="1" max="1" width="3" style="1" customWidth="1"/>
    <col min="2" max="2" width="11.25" style="1" customWidth="1"/>
    <col min="3" max="3" width="15.875" style="1" customWidth="1"/>
    <col min="4" max="4" width="14.125" style="1" customWidth="1"/>
    <col min="5" max="5" width="21.75" style="1" customWidth="1"/>
    <col min="6" max="6" width="6.875" style="3" bestFit="1" customWidth="1"/>
    <col min="7" max="7" width="6.875" style="3" hidden="1" customWidth="1"/>
    <col min="8" max="8" width="7.625" style="3" hidden="1" customWidth="1"/>
    <col min="9" max="16" width="6.75" style="1" hidden="1" customWidth="1" outlineLevel="1"/>
    <col min="17" max="17" width="6.625" style="2" customWidth="1" collapsed="1"/>
    <col min="18" max="18" width="8.375" style="2" customWidth="1"/>
    <col min="19" max="19" width="6.625" style="2" hidden="1" customWidth="1" outlineLevel="2"/>
    <col min="20" max="20" width="7.5" style="2" hidden="1" customWidth="1" outlineLevel="2"/>
    <col min="21" max="21" width="6.625" style="2" hidden="1" customWidth="1" outlineLevel="2"/>
    <col min="22" max="22" width="7.5" style="1" hidden="1" customWidth="1" outlineLevel="2"/>
    <col min="23" max="23" width="6.625" style="1" hidden="1" customWidth="1" outlineLevel="2"/>
    <col min="24" max="24" width="7.5" style="1" hidden="1" customWidth="1" outlineLevel="2"/>
    <col min="25" max="25" width="6.625" style="1" hidden="1" customWidth="1" outlineLevel="2"/>
    <col min="26" max="26" width="7.5" style="1" hidden="1" customWidth="1" outlineLevel="2"/>
    <col min="27" max="27" width="6.625" style="1" customWidth="1" outlineLevel="2" collapsed="1"/>
    <col min="28" max="28" width="7.5" style="1" customWidth="1" outlineLevel="2"/>
    <col min="29" max="29" width="6.625" style="1" customWidth="1" outlineLevel="2"/>
    <col min="30" max="30" width="7.5" style="1" customWidth="1" outlineLevel="2"/>
    <col min="31" max="31" width="6.625" style="1" customWidth="1" outlineLevel="2"/>
    <col min="32" max="32" width="7.5" style="1" customWidth="1" outlineLevel="2"/>
    <col min="33" max="33" width="6.625" style="1" customWidth="1" outlineLevel="2"/>
    <col min="34" max="34" width="7.5" style="1" customWidth="1" outlineLevel="2"/>
    <col min="35" max="36" width="7.5" style="1" customWidth="1" outlineLevel="1"/>
    <col min="37" max="37" width="6.625" style="1" customWidth="1" outlineLevel="1"/>
    <col min="38" max="38" width="7.5" style="1" customWidth="1" outlineLevel="1"/>
    <col min="39" max="39" width="6.625" style="1" customWidth="1" outlineLevel="1" collapsed="1"/>
    <col min="40" max="40" width="7.5" style="1" customWidth="1" outlineLevel="1"/>
    <col min="41" max="41" width="6.625" style="1" customWidth="1" outlineLevel="1"/>
    <col min="42" max="42" width="7.5" style="1" customWidth="1" outlineLevel="1"/>
    <col min="43" max="43" width="6.625" style="1" customWidth="1" outlineLevel="1"/>
    <col min="44" max="44" width="7.5" style="1" customWidth="1" outlineLevel="1"/>
    <col min="45" max="46" width="6.625" style="1" customWidth="1"/>
    <col min="47" max="47" width="5.75" style="1" customWidth="1"/>
    <col min="48" max="48" width="6.625" style="1" customWidth="1"/>
    <col min="49" max="50" width="6.625" style="1" bestFit="1" customWidth="1"/>
    <col min="51" max="51" width="6.625" style="1" customWidth="1"/>
    <col min="52" max="52" width="7.5" style="1" customWidth="1"/>
    <col min="53" max="53" width="6.625" style="1" customWidth="1"/>
    <col min="54" max="54" width="7.5" style="1" customWidth="1"/>
    <col min="55" max="56" width="9" style="1" customWidth="1"/>
    <col min="57" max="16384" width="9" style="1"/>
  </cols>
  <sheetData>
    <row r="1" spans="1:56" ht="22.5" customHeight="1">
      <c r="B1" s="5" t="s">
        <v>2437</v>
      </c>
      <c r="D1" s="7"/>
      <c r="E1" s="7"/>
      <c r="V1" s="2"/>
      <c r="W1" s="292"/>
      <c r="X1" s="2"/>
      <c r="Y1" s="292"/>
      <c r="Z1" s="2"/>
      <c r="AA1" s="292"/>
      <c r="AB1" s="2"/>
      <c r="AC1" s="292"/>
      <c r="AD1" s="2"/>
      <c r="AE1" s="292"/>
      <c r="AF1" s="294"/>
      <c r="AG1" s="292"/>
      <c r="AH1" s="292"/>
      <c r="AI1" s="292"/>
      <c r="AJ1" s="292"/>
      <c r="AL1" s="293"/>
      <c r="AM1" s="293"/>
      <c r="AN1" s="293"/>
      <c r="AO1" s="293"/>
      <c r="AP1" s="293"/>
    </row>
    <row r="2" spans="1:56">
      <c r="B2" s="1" t="s">
        <v>2623</v>
      </c>
      <c r="D2" s="7"/>
      <c r="E2" s="2"/>
      <c r="T2" s="2">
        <v>1443.65</v>
      </c>
      <c r="V2" s="2">
        <v>1438.26</v>
      </c>
      <c r="X2" s="7">
        <v>1502.37</v>
      </c>
      <c r="Z2" s="7"/>
      <c r="AB2" s="7">
        <v>1480.76</v>
      </c>
      <c r="AD2" s="7"/>
      <c r="AF2" s="7"/>
      <c r="AH2" s="7"/>
      <c r="AJ2" s="7"/>
      <c r="AL2" s="7"/>
      <c r="AN2" s="7"/>
      <c r="AP2" s="7"/>
      <c r="AR2" s="7"/>
      <c r="AT2" s="7"/>
      <c r="AV2" s="7"/>
      <c r="AX2" s="7"/>
      <c r="AZ2" s="7"/>
      <c r="BB2" s="7"/>
    </row>
    <row r="3" spans="1:56">
      <c r="B3" s="621" t="s">
        <v>0</v>
      </c>
      <c r="C3" s="621" t="s">
        <v>1</v>
      </c>
      <c r="D3" s="621" t="s">
        <v>2</v>
      </c>
      <c r="E3" s="621" t="s">
        <v>3</v>
      </c>
      <c r="F3" s="621" t="s">
        <v>4</v>
      </c>
      <c r="G3" s="622" t="s">
        <v>1054</v>
      </c>
      <c r="H3" s="622" t="s">
        <v>356</v>
      </c>
      <c r="I3" s="627" t="s">
        <v>294</v>
      </c>
      <c r="J3" s="628"/>
      <c r="K3" s="628"/>
      <c r="L3" s="628"/>
      <c r="M3" s="628"/>
      <c r="N3" s="628"/>
      <c r="O3" s="628"/>
      <c r="P3" s="629"/>
      <c r="Q3" s="618" t="s">
        <v>352</v>
      </c>
      <c r="R3" s="618"/>
      <c r="S3" s="618" t="s">
        <v>62</v>
      </c>
      <c r="T3" s="618"/>
      <c r="U3" s="618" t="s">
        <v>65</v>
      </c>
      <c r="V3" s="619"/>
      <c r="W3" s="618" t="s">
        <v>66</v>
      </c>
      <c r="X3" s="618"/>
      <c r="Y3" s="617" t="s">
        <v>301</v>
      </c>
      <c r="Z3" s="616"/>
      <c r="AA3" s="618" t="s">
        <v>302</v>
      </c>
      <c r="AB3" s="618"/>
      <c r="AC3" s="618" t="s">
        <v>303</v>
      </c>
      <c r="AD3" s="619"/>
      <c r="AE3" s="618" t="s">
        <v>304</v>
      </c>
      <c r="AF3" s="618"/>
      <c r="AG3" s="617" t="s">
        <v>305</v>
      </c>
      <c r="AH3" s="620"/>
      <c r="AI3" s="615" t="s">
        <v>306</v>
      </c>
      <c r="AJ3" s="616"/>
      <c r="AK3" s="618" t="s">
        <v>307</v>
      </c>
      <c r="AL3" s="619"/>
      <c r="AM3" s="630" t="s">
        <v>308</v>
      </c>
      <c r="AN3" s="631"/>
      <c r="AO3" s="618" t="s">
        <v>413</v>
      </c>
      <c r="AP3" s="618"/>
      <c r="AQ3" s="617" t="s">
        <v>309</v>
      </c>
      <c r="AR3" s="620"/>
      <c r="AS3" s="615" t="s">
        <v>440</v>
      </c>
      <c r="AT3" s="616"/>
      <c r="AU3" s="618" t="s">
        <v>310</v>
      </c>
      <c r="AV3" s="619"/>
      <c r="AW3" s="618" t="s">
        <v>311</v>
      </c>
      <c r="AX3" s="618"/>
      <c r="AY3" s="617" t="s">
        <v>312</v>
      </c>
      <c r="AZ3" s="620"/>
      <c r="BA3" s="615" t="s">
        <v>313</v>
      </c>
      <c r="BB3" s="620"/>
    </row>
    <row r="4" spans="1:56">
      <c r="B4" s="621"/>
      <c r="C4" s="621"/>
      <c r="D4" s="621"/>
      <c r="E4" s="621"/>
      <c r="F4" s="621"/>
      <c r="G4" s="623"/>
      <c r="H4" s="623"/>
      <c r="I4" s="625" t="s">
        <v>290</v>
      </c>
      <c r="J4" s="626"/>
      <c r="K4" s="625" t="s">
        <v>291</v>
      </c>
      <c r="L4" s="626"/>
      <c r="M4" s="625" t="s">
        <v>292</v>
      </c>
      <c r="N4" s="626"/>
      <c r="O4" s="625" t="s">
        <v>293</v>
      </c>
      <c r="P4" s="626"/>
      <c r="Q4" s="4"/>
      <c r="R4" s="4"/>
      <c r="S4" s="4"/>
      <c r="T4" s="4"/>
      <c r="U4" s="4"/>
      <c r="V4" s="8"/>
      <c r="W4" s="202"/>
      <c r="X4" s="202"/>
      <c r="Y4" s="187"/>
      <c r="Z4" s="229"/>
      <c r="AA4" s="202"/>
      <c r="AB4" s="202"/>
      <c r="AC4" s="202"/>
      <c r="AD4" s="229"/>
      <c r="AE4" s="202"/>
      <c r="AF4" s="202"/>
      <c r="AG4" s="187"/>
      <c r="AH4" s="86"/>
      <c r="AI4" s="85"/>
      <c r="AJ4" s="229"/>
      <c r="AK4" s="202"/>
      <c r="AL4" s="229"/>
      <c r="AM4" s="241"/>
      <c r="AN4" s="229"/>
      <c r="AO4" s="202"/>
      <c r="AP4" s="202"/>
      <c r="AQ4" s="187"/>
      <c r="AR4" s="86"/>
      <c r="AS4" s="85"/>
      <c r="AT4" s="229"/>
      <c r="AU4" s="202"/>
      <c r="AV4" s="229"/>
      <c r="AW4" s="202"/>
      <c r="AX4" s="202"/>
      <c r="AY4" s="187"/>
      <c r="AZ4" s="86"/>
      <c r="BA4" s="85"/>
      <c r="BB4" s="86"/>
    </row>
    <row r="5" spans="1:56" ht="18" customHeight="1">
      <c r="B5" s="621"/>
      <c r="C5" s="621"/>
      <c r="D5" s="621"/>
      <c r="E5" s="621"/>
      <c r="F5" s="621"/>
      <c r="G5" s="624"/>
      <c r="H5" s="624"/>
      <c r="I5" s="84" t="s">
        <v>288</v>
      </c>
      <c r="J5" s="12" t="s">
        <v>289</v>
      </c>
      <c r="K5" s="84" t="s">
        <v>288</v>
      </c>
      <c r="L5" s="12" t="s">
        <v>289</v>
      </c>
      <c r="M5" s="84" t="s">
        <v>288</v>
      </c>
      <c r="N5" s="12" t="s">
        <v>289</v>
      </c>
      <c r="O5" s="84" t="s">
        <v>288</v>
      </c>
      <c r="P5" s="12" t="s">
        <v>289</v>
      </c>
      <c r="Q5" s="4" t="s">
        <v>64</v>
      </c>
      <c r="R5" s="4" t="s">
        <v>63</v>
      </c>
      <c r="S5" s="4" t="s">
        <v>64</v>
      </c>
      <c r="T5" s="4" t="s">
        <v>505</v>
      </c>
      <c r="U5" s="4" t="s">
        <v>64</v>
      </c>
      <c r="V5" s="8" t="s">
        <v>63</v>
      </c>
      <c r="W5" s="4" t="s">
        <v>64</v>
      </c>
      <c r="X5" s="4" t="s">
        <v>63</v>
      </c>
      <c r="Y5" s="136" t="s">
        <v>64</v>
      </c>
      <c r="Z5" s="8" t="s">
        <v>63</v>
      </c>
      <c r="AA5" s="4" t="s">
        <v>64</v>
      </c>
      <c r="AB5" s="4" t="s">
        <v>63</v>
      </c>
      <c r="AC5" s="4" t="s">
        <v>64</v>
      </c>
      <c r="AD5" s="8" t="s">
        <v>63</v>
      </c>
      <c r="AE5" s="4" t="s">
        <v>64</v>
      </c>
      <c r="AF5" s="4" t="s">
        <v>63</v>
      </c>
      <c r="AG5" s="136" t="s">
        <v>64</v>
      </c>
      <c r="AH5" s="10" t="s">
        <v>63</v>
      </c>
      <c r="AI5" s="9" t="s">
        <v>64</v>
      </c>
      <c r="AJ5" s="8" t="s">
        <v>63</v>
      </c>
      <c r="AK5" s="4" t="s">
        <v>64</v>
      </c>
      <c r="AL5" s="8" t="s">
        <v>63</v>
      </c>
      <c r="AM5" s="11" t="s">
        <v>64</v>
      </c>
      <c r="AN5" s="8" t="s">
        <v>63</v>
      </c>
      <c r="AO5" s="4" t="s">
        <v>414</v>
      </c>
      <c r="AP5" s="4" t="s">
        <v>415</v>
      </c>
      <c r="AQ5" s="136" t="s">
        <v>414</v>
      </c>
      <c r="AR5" s="10" t="s">
        <v>63</v>
      </c>
      <c r="AS5" s="9" t="s">
        <v>64</v>
      </c>
      <c r="AT5" s="8" t="s">
        <v>63</v>
      </c>
      <c r="AU5" s="4" t="s">
        <v>64</v>
      </c>
      <c r="AV5" s="8" t="s">
        <v>63</v>
      </c>
      <c r="AW5" s="4" t="s">
        <v>64</v>
      </c>
      <c r="AX5" s="4" t="s">
        <v>63</v>
      </c>
      <c r="AY5" s="136" t="s">
        <v>64</v>
      </c>
      <c r="AZ5" s="10" t="s">
        <v>63</v>
      </c>
      <c r="BA5" s="9" t="s">
        <v>64</v>
      </c>
      <c r="BB5" s="10" t="s">
        <v>63</v>
      </c>
    </row>
    <row r="6" spans="1:56">
      <c r="B6" s="599" t="s">
        <v>67</v>
      </c>
      <c r="C6" s="600"/>
      <c r="D6" s="600"/>
      <c r="E6" s="601"/>
      <c r="F6" s="602"/>
      <c r="G6" s="318"/>
      <c r="H6" s="318"/>
      <c r="I6" s="319"/>
      <c r="J6" s="319"/>
      <c r="K6" s="319"/>
      <c r="L6" s="319"/>
      <c r="M6" s="319"/>
      <c r="N6" s="319"/>
      <c r="O6" s="319"/>
      <c r="P6" s="319"/>
      <c r="Q6" s="320">
        <f t="shared" ref="Q6:BB6" si="0">SUM(Q290,Q442,Q544,Q547,Q602,Q606,Q626,Q931,Q950,Q1315,Q1347,Q1308,Q1310,Q1322,Q1329,Q1333,Q1346)</f>
        <v>7305.0949999999993</v>
      </c>
      <c r="R6" s="320">
        <f t="shared" si="0"/>
        <v>70528.290792719446</v>
      </c>
      <c r="S6" s="320">
        <f t="shared" si="0"/>
        <v>2270.627</v>
      </c>
      <c r="T6" s="320">
        <f t="shared" si="0"/>
        <v>20548.930872811998</v>
      </c>
      <c r="U6" s="320">
        <f t="shared" si="0"/>
        <v>1917.3320000000001</v>
      </c>
      <c r="V6" s="320">
        <f t="shared" si="0"/>
        <v>18592.849786392999</v>
      </c>
      <c r="W6" s="320">
        <f t="shared" si="0"/>
        <v>1884.7070000000001</v>
      </c>
      <c r="X6" s="320">
        <f t="shared" si="0"/>
        <v>18719.140185542401</v>
      </c>
      <c r="Y6" s="320">
        <f t="shared" si="0"/>
        <v>6072.6659999999983</v>
      </c>
      <c r="Z6" s="320">
        <f t="shared" si="0"/>
        <v>57860.920844747401</v>
      </c>
      <c r="AA6" s="320">
        <f t="shared" si="0"/>
        <v>1232.4290000000003</v>
      </c>
      <c r="AB6" s="320">
        <f t="shared" si="0"/>
        <v>12667.369947972002</v>
      </c>
      <c r="AC6" s="320">
        <f t="shared" si="0"/>
        <v>0</v>
      </c>
      <c r="AD6" s="320">
        <f t="shared" si="0"/>
        <v>0</v>
      </c>
      <c r="AE6" s="320">
        <f t="shared" si="0"/>
        <v>0</v>
      </c>
      <c r="AF6" s="320">
        <f t="shared" si="0"/>
        <v>0</v>
      </c>
      <c r="AG6" s="320">
        <f t="shared" si="0"/>
        <v>1232.4290000000003</v>
      </c>
      <c r="AH6" s="320">
        <f t="shared" si="0"/>
        <v>12667.369947972002</v>
      </c>
      <c r="AI6" s="320">
        <f t="shared" si="0"/>
        <v>7305.0949999999993</v>
      </c>
      <c r="AJ6" s="320">
        <f t="shared" si="0"/>
        <v>70528.290792719446</v>
      </c>
      <c r="AK6" s="320">
        <f t="shared" si="0"/>
        <v>0</v>
      </c>
      <c r="AL6" s="320">
        <f t="shared" si="0"/>
        <v>0</v>
      </c>
      <c r="AM6" s="320">
        <f t="shared" si="0"/>
        <v>0</v>
      </c>
      <c r="AN6" s="320">
        <f t="shared" si="0"/>
        <v>0</v>
      </c>
      <c r="AO6" s="320">
        <f t="shared" si="0"/>
        <v>0</v>
      </c>
      <c r="AP6" s="320">
        <f t="shared" si="0"/>
        <v>0</v>
      </c>
      <c r="AQ6" s="320">
        <f t="shared" si="0"/>
        <v>0</v>
      </c>
      <c r="AR6" s="320">
        <f t="shared" si="0"/>
        <v>0</v>
      </c>
      <c r="AS6" s="320">
        <f t="shared" si="0"/>
        <v>0</v>
      </c>
      <c r="AT6" s="320">
        <f t="shared" si="0"/>
        <v>0</v>
      </c>
      <c r="AU6" s="320">
        <f t="shared" si="0"/>
        <v>0</v>
      </c>
      <c r="AV6" s="320">
        <f t="shared" si="0"/>
        <v>0</v>
      </c>
      <c r="AW6" s="320">
        <f t="shared" si="0"/>
        <v>0</v>
      </c>
      <c r="AX6" s="320">
        <f t="shared" si="0"/>
        <v>0</v>
      </c>
      <c r="AY6" s="320">
        <f t="shared" si="0"/>
        <v>0</v>
      </c>
      <c r="AZ6" s="320">
        <f t="shared" si="0"/>
        <v>0</v>
      </c>
      <c r="BA6" s="320">
        <f t="shared" si="0"/>
        <v>0</v>
      </c>
      <c r="BB6" s="320">
        <f t="shared" si="0"/>
        <v>0</v>
      </c>
      <c r="BC6" s="295"/>
      <c r="BD6" s="295"/>
    </row>
    <row r="7" spans="1:56">
      <c r="A7" s="492">
        <v>1</v>
      </c>
      <c r="B7" s="13" t="s">
        <v>79</v>
      </c>
      <c r="C7" s="13" t="s">
        <v>51</v>
      </c>
      <c r="D7" s="13" t="s">
        <v>568</v>
      </c>
      <c r="E7" s="48" t="s">
        <v>5</v>
      </c>
      <c r="F7" s="310" t="s">
        <v>6</v>
      </c>
      <c r="G7" s="310" t="s">
        <v>1059</v>
      </c>
      <c r="H7" s="276" t="s">
        <v>357</v>
      </c>
      <c r="I7" s="231">
        <v>4.12</v>
      </c>
      <c r="J7" s="161"/>
      <c r="K7" s="231">
        <v>4.12</v>
      </c>
      <c r="L7" s="161"/>
      <c r="M7" s="231"/>
      <c r="N7" s="161"/>
      <c r="O7" s="231"/>
      <c r="P7" s="161"/>
      <c r="Q7" s="124">
        <f t="shared" ref="Q7" si="1">SUM(AI7+BA7)</f>
        <v>0</v>
      </c>
      <c r="R7" s="334">
        <f t="shared" ref="R7" si="2">SUM(AJ7+BB7)</f>
        <v>0</v>
      </c>
      <c r="S7" s="124"/>
      <c r="T7" s="124">
        <f t="shared" ref="T7:T23" si="3">I7*S7*$T$2/1000</f>
        <v>0</v>
      </c>
      <c r="U7" s="124"/>
      <c r="V7" s="124">
        <f t="shared" ref="V7:V23" si="4">I7*U7*$V$2/1000</f>
        <v>0</v>
      </c>
      <c r="W7" s="124"/>
      <c r="X7" s="124">
        <f t="shared" ref="X7" si="5">I7*W7*$X$2/1000</f>
        <v>0</v>
      </c>
      <c r="Y7" s="121">
        <f t="shared" ref="Y7" si="6">SUM(S7+U7+W7)</f>
        <v>0</v>
      </c>
      <c r="Z7" s="121">
        <f t="shared" ref="Z7" si="7">SUM(T7,V7,X7)</f>
        <v>0</v>
      </c>
      <c r="AA7" s="124"/>
      <c r="AB7" s="124">
        <f t="shared" ref="AB7:AB23" si="8">K7*AA7*$AB$2/1000</f>
        <v>0</v>
      </c>
      <c r="AC7" s="124"/>
      <c r="AD7" s="124">
        <f t="shared" ref="AD7:AD23" si="9">K7*AC7*$AD$2/1000</f>
        <v>0</v>
      </c>
      <c r="AE7" s="124"/>
      <c r="AF7" s="121">
        <f t="shared" ref="AF7" si="10">K7*AE7*$AF$2/1000</f>
        <v>0</v>
      </c>
      <c r="AG7" s="121">
        <f t="shared" ref="AG7" si="11">SUM(AA7+AC7+AE7)</f>
        <v>0</v>
      </c>
      <c r="AH7" s="121">
        <f t="shared" ref="AH7" si="12">SUM(AB7,AD7,AF7)</f>
        <v>0</v>
      </c>
      <c r="AI7" s="121">
        <f t="shared" ref="AI7" si="13">SUM(Y7+AG7)</f>
        <v>0</v>
      </c>
      <c r="AJ7" s="121">
        <f t="shared" ref="AJ7" si="14">SUM(Z7,AH7)</f>
        <v>0</v>
      </c>
      <c r="AK7" s="124"/>
      <c r="AL7" s="124">
        <f t="shared" ref="AL7:AL23" si="15">M7*AK7*$AL$2/1000</f>
        <v>0</v>
      </c>
      <c r="AM7" s="124"/>
      <c r="AN7" s="124">
        <f t="shared" ref="AN7" si="16">M7*AM7*$AN$2/1000</f>
        <v>0</v>
      </c>
      <c r="AO7" s="124"/>
      <c r="AP7" s="124">
        <f>M7*AO7*AP2/1000</f>
        <v>0</v>
      </c>
      <c r="AQ7" s="121">
        <f t="shared" ref="AQ7" si="17">SUM(AK7+AM7+AO7)</f>
        <v>0</v>
      </c>
      <c r="AR7" s="121">
        <f t="shared" ref="AR7" si="18">SUM(AL7,AN7,AP7)</f>
        <v>0</v>
      </c>
      <c r="AS7" s="124"/>
      <c r="AT7" s="124">
        <f t="shared" ref="AT7:AT23" si="19">O7*AS7*$AT$2/1000</f>
        <v>0</v>
      </c>
      <c r="AU7" s="124"/>
      <c r="AV7" s="124">
        <f t="shared" ref="AV7:AV23" si="20">O7*AU7*$AV$2/1000</f>
        <v>0</v>
      </c>
      <c r="AW7" s="124"/>
      <c r="AX7" s="124">
        <f t="shared" ref="AX7:AX23" si="21">O7*AW7*$AX$2/1000</f>
        <v>0</v>
      </c>
      <c r="AY7" s="121">
        <f t="shared" ref="AY7" si="22">SUM(AS7+AU7+AW7)</f>
        <v>0</v>
      </c>
      <c r="AZ7" s="121">
        <f t="shared" ref="AZ7" si="23">SUM(AT7,AV7,AX7)</f>
        <v>0</v>
      </c>
      <c r="BA7" s="121">
        <f t="shared" ref="BA7" si="24">SUM(AQ7+AY7)</f>
        <v>0</v>
      </c>
      <c r="BB7" s="121">
        <f t="shared" ref="BB7" si="25">SUM(AR7,AZ7)</f>
        <v>0</v>
      </c>
    </row>
    <row r="8" spans="1:56" hidden="1">
      <c r="A8" s="492">
        <v>2</v>
      </c>
      <c r="B8" s="13"/>
      <c r="C8" s="13"/>
      <c r="D8" s="13"/>
      <c r="E8" s="21" t="s">
        <v>7</v>
      </c>
      <c r="F8" s="45" t="s">
        <v>8</v>
      </c>
      <c r="G8" s="45" t="s">
        <v>1059</v>
      </c>
      <c r="H8" s="264" t="s">
        <v>357</v>
      </c>
      <c r="I8" s="137">
        <v>4.13</v>
      </c>
      <c r="J8" s="157"/>
      <c r="K8" s="137">
        <v>4.13</v>
      </c>
      <c r="L8" s="157"/>
      <c r="M8" s="137"/>
      <c r="N8" s="157"/>
      <c r="O8" s="137"/>
      <c r="P8" s="157"/>
      <c r="Q8" s="95">
        <f t="shared" ref="Q8:Q23" si="26">SUM(AI8+BA8)</f>
        <v>0</v>
      </c>
      <c r="R8" s="335">
        <f t="shared" ref="R8:R23" si="27">SUM(AJ8+BB8)</f>
        <v>0</v>
      </c>
      <c r="S8" s="95"/>
      <c r="T8" s="95">
        <f t="shared" si="3"/>
        <v>0</v>
      </c>
      <c r="U8" s="95"/>
      <c r="V8" s="95">
        <f t="shared" si="4"/>
        <v>0</v>
      </c>
      <c r="W8" s="95"/>
      <c r="X8" s="95">
        <f t="shared" ref="X8:X23" si="28">I8*W8*$X$2/1000</f>
        <v>0</v>
      </c>
      <c r="Y8" s="96">
        <f t="shared" ref="Y8:Y23" si="29">SUM(S8+U8+W8)</f>
        <v>0</v>
      </c>
      <c r="Z8" s="96">
        <f t="shared" ref="Z8:Z23" si="30">SUM(T8,V8,X8)</f>
        <v>0</v>
      </c>
      <c r="AA8" s="95"/>
      <c r="AB8" s="95">
        <f t="shared" si="8"/>
        <v>0</v>
      </c>
      <c r="AC8" s="95"/>
      <c r="AD8" s="95">
        <f t="shared" si="9"/>
        <v>0</v>
      </c>
      <c r="AE8" s="95"/>
      <c r="AF8" s="95">
        <f t="shared" ref="AF8:AF23" si="31">K8*AE8*$AF$2/1000</f>
        <v>0</v>
      </c>
      <c r="AG8" s="96">
        <f t="shared" ref="AG8:AG23" si="32">SUM(AA8+AC8+AE8)</f>
        <v>0</v>
      </c>
      <c r="AH8" s="96">
        <f t="shared" ref="AH8:AH23" si="33">SUM(AB8,AD8,AF8)</f>
        <v>0</v>
      </c>
      <c r="AI8" s="96">
        <f t="shared" ref="AI8:AI23" si="34">SUM(Y8+AG8)</f>
        <v>0</v>
      </c>
      <c r="AJ8" s="96">
        <f t="shared" ref="AJ8:AJ23" si="35">SUM(Z8,AH8)</f>
        <v>0</v>
      </c>
      <c r="AK8" s="95"/>
      <c r="AL8" s="95">
        <f t="shared" si="15"/>
        <v>0</v>
      </c>
      <c r="AM8" s="95"/>
      <c r="AN8" s="95">
        <f>K8*AM8*$AN$2/1000</f>
        <v>0</v>
      </c>
      <c r="AO8" s="95"/>
      <c r="AP8" s="95">
        <f>M8*AO8*$AP$2/1000</f>
        <v>0</v>
      </c>
      <c r="AQ8" s="96">
        <f t="shared" ref="AQ8:AQ23" si="36">SUM(AK8+AM8+AO8)</f>
        <v>0</v>
      </c>
      <c r="AR8" s="96">
        <f t="shared" ref="AR8:AR23" si="37">SUM(AL8,AN8,AP8)</f>
        <v>0</v>
      </c>
      <c r="AS8" s="95"/>
      <c r="AT8" s="95">
        <f t="shared" si="19"/>
        <v>0</v>
      </c>
      <c r="AU8" s="95"/>
      <c r="AV8" s="95">
        <f t="shared" si="20"/>
        <v>0</v>
      </c>
      <c r="AW8" s="95"/>
      <c r="AX8" s="95">
        <f t="shared" si="21"/>
        <v>0</v>
      </c>
      <c r="AY8" s="96">
        <f t="shared" ref="AY8:AY23" si="38">SUM(AS8+AU8+AW8)</f>
        <v>0</v>
      </c>
      <c r="AZ8" s="96">
        <f t="shared" ref="AZ8:AZ23" si="39">SUM(AT8,AV8,AX8)</f>
        <v>0</v>
      </c>
      <c r="BA8" s="96">
        <f t="shared" ref="BA8:BA23" si="40">SUM(AQ8+AY8)</f>
        <v>0</v>
      </c>
      <c r="BB8" s="96">
        <f t="shared" ref="BB8:BB23" si="41">SUM(AR8,AZ8)</f>
        <v>0</v>
      </c>
      <c r="BC8" s="1" t="s">
        <v>1715</v>
      </c>
    </row>
    <row r="9" spans="1:56" hidden="1">
      <c r="A9" s="492">
        <v>3</v>
      </c>
      <c r="B9" s="13"/>
      <c r="C9" s="14"/>
      <c r="D9" s="15"/>
      <c r="E9" s="21" t="s">
        <v>80</v>
      </c>
      <c r="F9" s="45" t="s">
        <v>9</v>
      </c>
      <c r="G9" s="45" t="s">
        <v>1059</v>
      </c>
      <c r="H9" s="264" t="s">
        <v>361</v>
      </c>
      <c r="I9" s="137">
        <v>4.2699999999999996</v>
      </c>
      <c r="J9" s="157"/>
      <c r="K9" s="137">
        <v>4.2699999999999996</v>
      </c>
      <c r="L9" s="157"/>
      <c r="M9" s="137"/>
      <c r="N9" s="157"/>
      <c r="O9" s="137"/>
      <c r="P9" s="157"/>
      <c r="Q9" s="95">
        <f t="shared" si="26"/>
        <v>0</v>
      </c>
      <c r="R9" s="335">
        <f t="shared" si="27"/>
        <v>0</v>
      </c>
      <c r="S9" s="95"/>
      <c r="T9" s="95">
        <f t="shared" si="3"/>
        <v>0</v>
      </c>
      <c r="U9" s="95"/>
      <c r="V9" s="95">
        <f t="shared" si="4"/>
        <v>0</v>
      </c>
      <c r="W9" s="95"/>
      <c r="X9" s="95">
        <f t="shared" si="28"/>
        <v>0</v>
      </c>
      <c r="Y9" s="96">
        <f t="shared" si="29"/>
        <v>0</v>
      </c>
      <c r="Z9" s="96">
        <f t="shared" si="30"/>
        <v>0</v>
      </c>
      <c r="AA9" s="95"/>
      <c r="AB9" s="95">
        <f t="shared" si="8"/>
        <v>0</v>
      </c>
      <c r="AC9" s="95"/>
      <c r="AD9" s="95">
        <f t="shared" si="9"/>
        <v>0</v>
      </c>
      <c r="AE9" s="95"/>
      <c r="AF9" s="95">
        <f t="shared" si="31"/>
        <v>0</v>
      </c>
      <c r="AG9" s="96">
        <f t="shared" si="32"/>
        <v>0</v>
      </c>
      <c r="AH9" s="96">
        <f t="shared" si="33"/>
        <v>0</v>
      </c>
      <c r="AI9" s="96">
        <f t="shared" si="34"/>
        <v>0</v>
      </c>
      <c r="AJ9" s="96">
        <f t="shared" si="35"/>
        <v>0</v>
      </c>
      <c r="AK9" s="95"/>
      <c r="AL9" s="95">
        <f t="shared" si="15"/>
        <v>0</v>
      </c>
      <c r="AM9" s="95"/>
      <c r="AN9" s="95">
        <f>K9*AM9*$AN$2/1000</f>
        <v>0</v>
      </c>
      <c r="AO9" s="95"/>
      <c r="AP9" s="95">
        <f>M9*AO9*$AP$2/1000</f>
        <v>0</v>
      </c>
      <c r="AQ9" s="96">
        <f t="shared" si="36"/>
        <v>0</v>
      </c>
      <c r="AR9" s="96">
        <f t="shared" si="37"/>
        <v>0</v>
      </c>
      <c r="AS9" s="95"/>
      <c r="AT9" s="95">
        <f t="shared" si="19"/>
        <v>0</v>
      </c>
      <c r="AU9" s="95"/>
      <c r="AV9" s="95">
        <f t="shared" si="20"/>
        <v>0</v>
      </c>
      <c r="AW9" s="95"/>
      <c r="AX9" s="95">
        <f t="shared" si="21"/>
        <v>0</v>
      </c>
      <c r="AY9" s="96">
        <f t="shared" si="38"/>
        <v>0</v>
      </c>
      <c r="AZ9" s="96">
        <f t="shared" si="39"/>
        <v>0</v>
      </c>
      <c r="BA9" s="96">
        <f t="shared" si="40"/>
        <v>0</v>
      </c>
      <c r="BB9" s="96">
        <f t="shared" si="41"/>
        <v>0</v>
      </c>
      <c r="BC9" s="1" t="s">
        <v>1715</v>
      </c>
    </row>
    <row r="10" spans="1:56" hidden="1">
      <c r="A10" s="492">
        <v>4</v>
      </c>
      <c r="B10" s="13"/>
      <c r="C10" s="20"/>
      <c r="D10" s="15"/>
      <c r="E10" s="21" t="s">
        <v>81</v>
      </c>
      <c r="F10" s="45" t="s">
        <v>10</v>
      </c>
      <c r="G10" s="45" t="s">
        <v>1059</v>
      </c>
      <c r="H10" s="264" t="s">
        <v>357</v>
      </c>
      <c r="I10" s="18">
        <v>4.2699999999999996</v>
      </c>
      <c r="J10" s="157"/>
      <c r="K10" s="18">
        <v>4.2699999999999996</v>
      </c>
      <c r="L10" s="157"/>
      <c r="M10" s="18"/>
      <c r="N10" s="157"/>
      <c r="O10" s="18"/>
      <c r="P10" s="157"/>
      <c r="Q10" s="95">
        <f t="shared" si="26"/>
        <v>0</v>
      </c>
      <c r="R10" s="335">
        <f t="shared" si="27"/>
        <v>0</v>
      </c>
      <c r="S10" s="95"/>
      <c r="T10" s="95">
        <f t="shared" si="3"/>
        <v>0</v>
      </c>
      <c r="U10" s="95"/>
      <c r="V10" s="95">
        <f t="shared" si="4"/>
        <v>0</v>
      </c>
      <c r="W10" s="95"/>
      <c r="X10" s="95">
        <f t="shared" si="28"/>
        <v>0</v>
      </c>
      <c r="Y10" s="96">
        <f t="shared" si="29"/>
        <v>0</v>
      </c>
      <c r="Z10" s="96">
        <f t="shared" si="30"/>
        <v>0</v>
      </c>
      <c r="AA10" s="95"/>
      <c r="AB10" s="95">
        <f t="shared" si="8"/>
        <v>0</v>
      </c>
      <c r="AC10" s="95"/>
      <c r="AD10" s="95">
        <f t="shared" si="9"/>
        <v>0</v>
      </c>
      <c r="AE10" s="95"/>
      <c r="AF10" s="96">
        <f t="shared" si="31"/>
        <v>0</v>
      </c>
      <c r="AG10" s="96">
        <f t="shared" si="32"/>
        <v>0</v>
      </c>
      <c r="AH10" s="96">
        <f t="shared" si="33"/>
        <v>0</v>
      </c>
      <c r="AI10" s="96">
        <f t="shared" si="34"/>
        <v>0</v>
      </c>
      <c r="AJ10" s="96">
        <f t="shared" si="35"/>
        <v>0</v>
      </c>
      <c r="AK10" s="95"/>
      <c r="AL10" s="95">
        <f t="shared" si="15"/>
        <v>0</v>
      </c>
      <c r="AM10" s="95"/>
      <c r="AN10" s="95">
        <f t="shared" ref="AN10:AN23" si="42">M10*AM10*$AN$2/1000</f>
        <v>0</v>
      </c>
      <c r="AO10" s="95"/>
      <c r="AP10" s="95">
        <f>M10*AO10*AP2/1000</f>
        <v>0</v>
      </c>
      <c r="AQ10" s="96">
        <f t="shared" si="36"/>
        <v>0</v>
      </c>
      <c r="AR10" s="96">
        <f t="shared" si="37"/>
        <v>0</v>
      </c>
      <c r="AS10" s="95"/>
      <c r="AT10" s="95">
        <f t="shared" si="19"/>
        <v>0</v>
      </c>
      <c r="AU10" s="95"/>
      <c r="AV10" s="95">
        <f t="shared" si="20"/>
        <v>0</v>
      </c>
      <c r="AW10" s="95"/>
      <c r="AX10" s="95">
        <f t="shared" si="21"/>
        <v>0</v>
      </c>
      <c r="AY10" s="96">
        <f t="shared" si="38"/>
        <v>0</v>
      </c>
      <c r="AZ10" s="96">
        <f t="shared" si="39"/>
        <v>0</v>
      </c>
      <c r="BA10" s="96">
        <f t="shared" si="40"/>
        <v>0</v>
      </c>
      <c r="BB10" s="96">
        <f t="shared" si="41"/>
        <v>0</v>
      </c>
      <c r="BC10" s="1" t="s">
        <v>1715</v>
      </c>
    </row>
    <row r="11" spans="1:56" hidden="1">
      <c r="A11" s="492">
        <v>5</v>
      </c>
      <c r="B11" s="13"/>
      <c r="C11" s="13"/>
      <c r="D11" s="15"/>
      <c r="E11" s="21" t="s">
        <v>82</v>
      </c>
      <c r="F11" s="45" t="s">
        <v>83</v>
      </c>
      <c r="G11" s="45" t="s">
        <v>1059</v>
      </c>
      <c r="H11" s="265" t="s">
        <v>357</v>
      </c>
      <c r="I11" s="137">
        <v>5.21</v>
      </c>
      <c r="J11" s="157"/>
      <c r="K11" s="137">
        <v>5.21</v>
      </c>
      <c r="L11" s="157"/>
      <c r="M11" s="137"/>
      <c r="N11" s="157"/>
      <c r="O11" s="137"/>
      <c r="P11" s="157"/>
      <c r="Q11" s="96">
        <f t="shared" si="26"/>
        <v>0</v>
      </c>
      <c r="R11" s="336">
        <f t="shared" si="27"/>
        <v>0</v>
      </c>
      <c r="S11" s="96"/>
      <c r="T11" s="96">
        <f t="shared" si="3"/>
        <v>0</v>
      </c>
      <c r="U11" s="96"/>
      <c r="V11" s="96">
        <f t="shared" si="4"/>
        <v>0</v>
      </c>
      <c r="W11" s="96"/>
      <c r="X11" s="96">
        <f t="shared" si="28"/>
        <v>0</v>
      </c>
      <c r="Y11" s="96">
        <f t="shared" si="29"/>
        <v>0</v>
      </c>
      <c r="Z11" s="96">
        <f t="shared" si="30"/>
        <v>0</v>
      </c>
      <c r="AA11" s="96"/>
      <c r="AB11" s="96">
        <f t="shared" si="8"/>
        <v>0</v>
      </c>
      <c r="AC11" s="96"/>
      <c r="AD11" s="95">
        <f t="shared" si="9"/>
        <v>0</v>
      </c>
      <c r="AE11" s="96"/>
      <c r="AF11" s="96">
        <f t="shared" si="31"/>
        <v>0</v>
      </c>
      <c r="AG11" s="96">
        <f t="shared" si="32"/>
        <v>0</v>
      </c>
      <c r="AH11" s="96">
        <f t="shared" si="33"/>
        <v>0</v>
      </c>
      <c r="AI11" s="96">
        <f t="shared" si="34"/>
        <v>0</v>
      </c>
      <c r="AJ11" s="96">
        <f t="shared" si="35"/>
        <v>0</v>
      </c>
      <c r="AK11" s="96"/>
      <c r="AL11" s="96">
        <f t="shared" si="15"/>
        <v>0</v>
      </c>
      <c r="AM11" s="96"/>
      <c r="AN11" s="96">
        <f t="shared" si="42"/>
        <v>0</v>
      </c>
      <c r="AO11" s="96"/>
      <c r="AP11" s="96">
        <f>M11*AO11*AP2/1000</f>
        <v>0</v>
      </c>
      <c r="AQ11" s="96">
        <f t="shared" si="36"/>
        <v>0</v>
      </c>
      <c r="AR11" s="96">
        <f t="shared" si="37"/>
        <v>0</v>
      </c>
      <c r="AS11" s="96"/>
      <c r="AT11" s="96">
        <f t="shared" si="19"/>
        <v>0</v>
      </c>
      <c r="AU11" s="96"/>
      <c r="AV11" s="96">
        <f t="shared" si="20"/>
        <v>0</v>
      </c>
      <c r="AW11" s="96"/>
      <c r="AX11" s="96">
        <f t="shared" si="21"/>
        <v>0</v>
      </c>
      <c r="AY11" s="96">
        <f t="shared" si="38"/>
        <v>0</v>
      </c>
      <c r="AZ11" s="96">
        <f t="shared" si="39"/>
        <v>0</v>
      </c>
      <c r="BA11" s="96">
        <f t="shared" si="40"/>
        <v>0</v>
      </c>
      <c r="BB11" s="96">
        <f t="shared" si="41"/>
        <v>0</v>
      </c>
      <c r="BC11" s="1" t="s">
        <v>1715</v>
      </c>
    </row>
    <row r="12" spans="1:56" hidden="1">
      <c r="A12" s="492">
        <v>6</v>
      </c>
      <c r="B12" s="13"/>
      <c r="C12" s="13"/>
      <c r="D12" s="13"/>
      <c r="E12" s="21" t="s">
        <v>84</v>
      </c>
      <c r="F12" s="45" t="s">
        <v>85</v>
      </c>
      <c r="G12" s="45" t="s">
        <v>1059</v>
      </c>
      <c r="H12" s="265" t="s">
        <v>357</v>
      </c>
      <c r="I12" s="137">
        <v>6.32</v>
      </c>
      <c r="J12" s="157"/>
      <c r="K12" s="137">
        <v>6.32</v>
      </c>
      <c r="L12" s="157"/>
      <c r="M12" s="137"/>
      <c r="N12" s="157"/>
      <c r="O12" s="137"/>
      <c r="P12" s="157"/>
      <c r="Q12" s="96">
        <f t="shared" si="26"/>
        <v>0</v>
      </c>
      <c r="R12" s="336">
        <f t="shared" si="27"/>
        <v>0</v>
      </c>
      <c r="S12" s="96"/>
      <c r="T12" s="96">
        <f t="shared" si="3"/>
        <v>0</v>
      </c>
      <c r="U12" s="96"/>
      <c r="V12" s="96">
        <f t="shared" si="4"/>
        <v>0</v>
      </c>
      <c r="W12" s="96"/>
      <c r="X12" s="96">
        <f t="shared" si="28"/>
        <v>0</v>
      </c>
      <c r="Y12" s="96">
        <f t="shared" si="29"/>
        <v>0</v>
      </c>
      <c r="Z12" s="96">
        <f t="shared" si="30"/>
        <v>0</v>
      </c>
      <c r="AA12" s="96"/>
      <c r="AB12" s="96">
        <f t="shared" si="8"/>
        <v>0</v>
      </c>
      <c r="AC12" s="96"/>
      <c r="AD12" s="95">
        <f t="shared" si="9"/>
        <v>0</v>
      </c>
      <c r="AE12" s="96"/>
      <c r="AF12" s="96">
        <f t="shared" si="31"/>
        <v>0</v>
      </c>
      <c r="AG12" s="96">
        <f t="shared" si="32"/>
        <v>0</v>
      </c>
      <c r="AH12" s="96">
        <f t="shared" si="33"/>
        <v>0</v>
      </c>
      <c r="AI12" s="96">
        <f t="shared" si="34"/>
        <v>0</v>
      </c>
      <c r="AJ12" s="96">
        <f t="shared" si="35"/>
        <v>0</v>
      </c>
      <c r="AK12" s="96"/>
      <c r="AL12" s="96">
        <f t="shared" si="15"/>
        <v>0</v>
      </c>
      <c r="AM12" s="96"/>
      <c r="AN12" s="96">
        <f t="shared" si="42"/>
        <v>0</v>
      </c>
      <c r="AO12" s="96"/>
      <c r="AP12" s="96">
        <f>M12*AO12*AP2/1000</f>
        <v>0</v>
      </c>
      <c r="AQ12" s="96">
        <f t="shared" si="36"/>
        <v>0</v>
      </c>
      <c r="AR12" s="96">
        <f t="shared" si="37"/>
        <v>0</v>
      </c>
      <c r="AS12" s="96"/>
      <c r="AT12" s="96">
        <f t="shared" si="19"/>
        <v>0</v>
      </c>
      <c r="AU12" s="96"/>
      <c r="AV12" s="96">
        <f t="shared" si="20"/>
        <v>0</v>
      </c>
      <c r="AW12" s="96"/>
      <c r="AX12" s="96">
        <f t="shared" si="21"/>
        <v>0</v>
      </c>
      <c r="AY12" s="96">
        <f t="shared" si="38"/>
        <v>0</v>
      </c>
      <c r="AZ12" s="96">
        <f t="shared" si="39"/>
        <v>0</v>
      </c>
      <c r="BA12" s="96">
        <f t="shared" si="40"/>
        <v>0</v>
      </c>
      <c r="BB12" s="96">
        <f t="shared" si="41"/>
        <v>0</v>
      </c>
      <c r="BC12" s="1" t="s">
        <v>1715</v>
      </c>
    </row>
    <row r="13" spans="1:56" hidden="1">
      <c r="A13" s="492">
        <v>7</v>
      </c>
      <c r="B13" s="13"/>
      <c r="C13" s="13"/>
      <c r="D13" s="13"/>
      <c r="E13" s="16" t="s">
        <v>316</v>
      </c>
      <c r="F13" s="45" t="s">
        <v>315</v>
      </c>
      <c r="G13" s="45" t="s">
        <v>1059</v>
      </c>
      <c r="H13" s="265" t="s">
        <v>357</v>
      </c>
      <c r="I13" s="18">
        <v>4.99</v>
      </c>
      <c r="J13" s="18"/>
      <c r="K13" s="18">
        <v>4.99</v>
      </c>
      <c r="L13" s="157"/>
      <c r="M13" s="18"/>
      <c r="N13" s="157"/>
      <c r="O13" s="18"/>
      <c r="P13" s="18"/>
      <c r="Q13" s="96">
        <f t="shared" si="26"/>
        <v>0</v>
      </c>
      <c r="R13" s="336">
        <f t="shared" si="27"/>
        <v>0</v>
      </c>
      <c r="S13" s="96"/>
      <c r="T13" s="96">
        <f t="shared" si="3"/>
        <v>0</v>
      </c>
      <c r="U13" s="96"/>
      <c r="V13" s="96">
        <f t="shared" si="4"/>
        <v>0</v>
      </c>
      <c r="W13" s="96"/>
      <c r="X13" s="96">
        <f t="shared" si="28"/>
        <v>0</v>
      </c>
      <c r="Y13" s="96">
        <f t="shared" si="29"/>
        <v>0</v>
      </c>
      <c r="Z13" s="96">
        <f t="shared" si="30"/>
        <v>0</v>
      </c>
      <c r="AA13" s="96"/>
      <c r="AB13" s="96">
        <f t="shared" si="8"/>
        <v>0</v>
      </c>
      <c r="AC13" s="96"/>
      <c r="AD13" s="95">
        <f t="shared" si="9"/>
        <v>0</v>
      </c>
      <c r="AE13" s="96"/>
      <c r="AF13" s="96">
        <f t="shared" si="31"/>
        <v>0</v>
      </c>
      <c r="AG13" s="96">
        <f t="shared" si="32"/>
        <v>0</v>
      </c>
      <c r="AH13" s="96">
        <f t="shared" si="33"/>
        <v>0</v>
      </c>
      <c r="AI13" s="96">
        <f t="shared" si="34"/>
        <v>0</v>
      </c>
      <c r="AJ13" s="96">
        <f t="shared" si="35"/>
        <v>0</v>
      </c>
      <c r="AK13" s="96"/>
      <c r="AL13" s="96">
        <f t="shared" si="15"/>
        <v>0</v>
      </c>
      <c r="AM13" s="96"/>
      <c r="AN13" s="96">
        <f t="shared" si="42"/>
        <v>0</v>
      </c>
      <c r="AO13" s="96"/>
      <c r="AP13" s="96">
        <f t="shared" ref="AP13:AP23" si="43">M13*AO13*$AP$2/1000</f>
        <v>0</v>
      </c>
      <c r="AQ13" s="96">
        <f t="shared" si="36"/>
        <v>0</v>
      </c>
      <c r="AR13" s="96">
        <f t="shared" si="37"/>
        <v>0</v>
      </c>
      <c r="AS13" s="96"/>
      <c r="AT13" s="96">
        <f t="shared" si="19"/>
        <v>0</v>
      </c>
      <c r="AU13" s="96"/>
      <c r="AV13" s="96">
        <f t="shared" si="20"/>
        <v>0</v>
      </c>
      <c r="AW13" s="96"/>
      <c r="AX13" s="96">
        <f t="shared" si="21"/>
        <v>0</v>
      </c>
      <c r="AY13" s="96">
        <f t="shared" si="38"/>
        <v>0</v>
      </c>
      <c r="AZ13" s="96">
        <f t="shared" si="39"/>
        <v>0</v>
      </c>
      <c r="BA13" s="96">
        <f t="shared" si="40"/>
        <v>0</v>
      </c>
      <c r="BB13" s="96">
        <f t="shared" si="41"/>
        <v>0</v>
      </c>
      <c r="BC13" s="1" t="s">
        <v>1715</v>
      </c>
    </row>
    <row r="14" spans="1:56" hidden="1">
      <c r="A14" s="492">
        <v>8</v>
      </c>
      <c r="B14" s="20"/>
      <c r="C14" s="20"/>
      <c r="D14" s="14"/>
      <c r="E14" s="21" t="s">
        <v>779</v>
      </c>
      <c r="F14" s="45" t="s">
        <v>769</v>
      </c>
      <c r="G14" s="45" t="s">
        <v>1059</v>
      </c>
      <c r="H14" s="265" t="s">
        <v>357</v>
      </c>
      <c r="I14" s="18">
        <v>5.03</v>
      </c>
      <c r="J14" s="157"/>
      <c r="K14" s="18">
        <v>5.03</v>
      </c>
      <c r="L14" s="157"/>
      <c r="M14" s="18"/>
      <c r="N14" s="157"/>
      <c r="O14" s="18"/>
      <c r="P14" s="157"/>
      <c r="Q14" s="96">
        <f t="shared" si="26"/>
        <v>0</v>
      </c>
      <c r="R14" s="337">
        <f t="shared" si="27"/>
        <v>0</v>
      </c>
      <c r="S14" s="96"/>
      <c r="T14" s="96">
        <f t="shared" si="3"/>
        <v>0</v>
      </c>
      <c r="U14" s="96"/>
      <c r="V14" s="96">
        <f t="shared" si="4"/>
        <v>0</v>
      </c>
      <c r="W14" s="96"/>
      <c r="X14" s="96">
        <f t="shared" si="28"/>
        <v>0</v>
      </c>
      <c r="Y14" s="96">
        <f t="shared" si="29"/>
        <v>0</v>
      </c>
      <c r="Z14" s="96">
        <f t="shared" si="30"/>
        <v>0</v>
      </c>
      <c r="AA14" s="96"/>
      <c r="AB14" s="96">
        <f t="shared" si="8"/>
        <v>0</v>
      </c>
      <c r="AC14" s="96"/>
      <c r="AD14" s="95">
        <f t="shared" si="9"/>
        <v>0</v>
      </c>
      <c r="AE14" s="96"/>
      <c r="AF14" s="95">
        <f t="shared" si="31"/>
        <v>0</v>
      </c>
      <c r="AG14" s="96">
        <f t="shared" si="32"/>
        <v>0</v>
      </c>
      <c r="AH14" s="96">
        <f t="shared" si="33"/>
        <v>0</v>
      </c>
      <c r="AI14" s="96">
        <f t="shared" si="34"/>
        <v>0</v>
      </c>
      <c r="AJ14" s="96">
        <f t="shared" si="35"/>
        <v>0</v>
      </c>
      <c r="AK14" s="96"/>
      <c r="AL14" s="96">
        <f t="shared" si="15"/>
        <v>0</v>
      </c>
      <c r="AM14" s="96"/>
      <c r="AN14" s="96">
        <f t="shared" si="42"/>
        <v>0</v>
      </c>
      <c r="AO14" s="96"/>
      <c r="AP14" s="96">
        <f t="shared" si="43"/>
        <v>0</v>
      </c>
      <c r="AQ14" s="96">
        <f t="shared" si="36"/>
        <v>0</v>
      </c>
      <c r="AR14" s="96">
        <f t="shared" si="37"/>
        <v>0</v>
      </c>
      <c r="AS14" s="96"/>
      <c r="AT14" s="96">
        <f t="shared" si="19"/>
        <v>0</v>
      </c>
      <c r="AU14" s="96"/>
      <c r="AV14" s="96">
        <f t="shared" si="20"/>
        <v>0</v>
      </c>
      <c r="AW14" s="96"/>
      <c r="AX14" s="96">
        <f t="shared" si="21"/>
        <v>0</v>
      </c>
      <c r="AY14" s="96">
        <f t="shared" si="38"/>
        <v>0</v>
      </c>
      <c r="AZ14" s="96">
        <f t="shared" si="39"/>
        <v>0</v>
      </c>
      <c r="BA14" s="96">
        <f t="shared" si="40"/>
        <v>0</v>
      </c>
      <c r="BB14" s="96">
        <f t="shared" si="41"/>
        <v>0</v>
      </c>
      <c r="BC14" s="1" t="s">
        <v>1715</v>
      </c>
    </row>
    <row r="15" spans="1:56" hidden="1">
      <c r="A15" s="492">
        <v>9</v>
      </c>
      <c r="B15" s="13"/>
      <c r="C15" s="20"/>
      <c r="D15" s="15"/>
      <c r="E15" s="21" t="s">
        <v>11</v>
      </c>
      <c r="F15" s="45" t="s">
        <v>12</v>
      </c>
      <c r="G15" s="45" t="s">
        <v>1059</v>
      </c>
      <c r="H15" s="265" t="s">
        <v>357</v>
      </c>
      <c r="I15" s="18">
        <v>10.06</v>
      </c>
      <c r="J15" s="157"/>
      <c r="K15" s="18">
        <v>10.06</v>
      </c>
      <c r="L15" s="157"/>
      <c r="M15" s="18"/>
      <c r="N15" s="157"/>
      <c r="O15" s="18"/>
      <c r="P15" s="157"/>
      <c r="Q15" s="96">
        <f t="shared" si="26"/>
        <v>0</v>
      </c>
      <c r="R15" s="337">
        <f t="shared" si="27"/>
        <v>0</v>
      </c>
      <c r="S15" s="96"/>
      <c r="T15" s="96">
        <f t="shared" si="3"/>
        <v>0</v>
      </c>
      <c r="U15" s="96"/>
      <c r="V15" s="96">
        <f t="shared" si="4"/>
        <v>0</v>
      </c>
      <c r="W15" s="96"/>
      <c r="X15" s="96">
        <f t="shared" si="28"/>
        <v>0</v>
      </c>
      <c r="Y15" s="96">
        <f t="shared" si="29"/>
        <v>0</v>
      </c>
      <c r="Z15" s="96">
        <f t="shared" si="30"/>
        <v>0</v>
      </c>
      <c r="AA15" s="96"/>
      <c r="AB15" s="96">
        <f t="shared" si="8"/>
        <v>0</v>
      </c>
      <c r="AC15" s="96"/>
      <c r="AD15" s="95">
        <f t="shared" si="9"/>
        <v>0</v>
      </c>
      <c r="AE15" s="96"/>
      <c r="AF15" s="95">
        <f t="shared" si="31"/>
        <v>0</v>
      </c>
      <c r="AG15" s="96">
        <f t="shared" si="32"/>
        <v>0</v>
      </c>
      <c r="AH15" s="96">
        <f t="shared" si="33"/>
        <v>0</v>
      </c>
      <c r="AI15" s="96">
        <f t="shared" si="34"/>
        <v>0</v>
      </c>
      <c r="AJ15" s="96">
        <f t="shared" si="35"/>
        <v>0</v>
      </c>
      <c r="AK15" s="96"/>
      <c r="AL15" s="96">
        <f t="shared" si="15"/>
        <v>0</v>
      </c>
      <c r="AM15" s="96"/>
      <c r="AN15" s="96">
        <f t="shared" si="42"/>
        <v>0</v>
      </c>
      <c r="AO15" s="96"/>
      <c r="AP15" s="96">
        <f t="shared" si="43"/>
        <v>0</v>
      </c>
      <c r="AQ15" s="96">
        <f t="shared" si="36"/>
        <v>0</v>
      </c>
      <c r="AR15" s="96">
        <f t="shared" si="37"/>
        <v>0</v>
      </c>
      <c r="AS15" s="96"/>
      <c r="AT15" s="96">
        <f t="shared" si="19"/>
        <v>0</v>
      </c>
      <c r="AU15" s="96"/>
      <c r="AV15" s="96">
        <f t="shared" si="20"/>
        <v>0</v>
      </c>
      <c r="AW15" s="96"/>
      <c r="AX15" s="96">
        <f t="shared" si="21"/>
        <v>0</v>
      </c>
      <c r="AY15" s="96">
        <f t="shared" si="38"/>
        <v>0</v>
      </c>
      <c r="AZ15" s="96">
        <f t="shared" si="39"/>
        <v>0</v>
      </c>
      <c r="BA15" s="96">
        <f t="shared" si="40"/>
        <v>0</v>
      </c>
      <c r="BB15" s="96">
        <f t="shared" si="41"/>
        <v>0</v>
      </c>
      <c r="BC15" s="1" t="s">
        <v>1715</v>
      </c>
    </row>
    <row r="16" spans="1:56" hidden="1">
      <c r="A16" s="492">
        <v>10</v>
      </c>
      <c r="B16" s="20"/>
      <c r="C16" s="20"/>
      <c r="D16" s="14"/>
      <c r="E16" s="21" t="s">
        <v>539</v>
      </c>
      <c r="F16" s="45" t="s">
        <v>540</v>
      </c>
      <c r="G16" s="45" t="s">
        <v>1059</v>
      </c>
      <c r="H16" s="265" t="s">
        <v>357</v>
      </c>
      <c r="I16" s="137">
        <v>12.19</v>
      </c>
      <c r="J16" s="157"/>
      <c r="K16" s="137">
        <v>12.19</v>
      </c>
      <c r="L16" s="157"/>
      <c r="M16" s="137"/>
      <c r="N16" s="157"/>
      <c r="O16" s="137"/>
      <c r="P16" s="157"/>
      <c r="Q16" s="96">
        <f t="shared" si="26"/>
        <v>0</v>
      </c>
      <c r="R16" s="337">
        <f t="shared" si="27"/>
        <v>0</v>
      </c>
      <c r="S16" s="96"/>
      <c r="T16" s="96">
        <f t="shared" si="3"/>
        <v>0</v>
      </c>
      <c r="U16" s="96"/>
      <c r="V16" s="96">
        <f t="shared" si="4"/>
        <v>0</v>
      </c>
      <c r="W16" s="96"/>
      <c r="X16" s="96">
        <f t="shared" si="28"/>
        <v>0</v>
      </c>
      <c r="Y16" s="96">
        <f t="shared" si="29"/>
        <v>0</v>
      </c>
      <c r="Z16" s="96">
        <f t="shared" si="30"/>
        <v>0</v>
      </c>
      <c r="AA16" s="96"/>
      <c r="AB16" s="96">
        <f t="shared" si="8"/>
        <v>0</v>
      </c>
      <c r="AC16" s="96"/>
      <c r="AD16" s="95">
        <f t="shared" si="9"/>
        <v>0</v>
      </c>
      <c r="AE16" s="96"/>
      <c r="AF16" s="95">
        <f t="shared" si="31"/>
        <v>0</v>
      </c>
      <c r="AG16" s="96">
        <f t="shared" si="32"/>
        <v>0</v>
      </c>
      <c r="AH16" s="96">
        <f t="shared" si="33"/>
        <v>0</v>
      </c>
      <c r="AI16" s="96">
        <f t="shared" si="34"/>
        <v>0</v>
      </c>
      <c r="AJ16" s="96">
        <f t="shared" si="35"/>
        <v>0</v>
      </c>
      <c r="AK16" s="96"/>
      <c r="AL16" s="96">
        <f t="shared" si="15"/>
        <v>0</v>
      </c>
      <c r="AM16" s="96"/>
      <c r="AN16" s="96">
        <f t="shared" si="42"/>
        <v>0</v>
      </c>
      <c r="AO16" s="96"/>
      <c r="AP16" s="96">
        <f t="shared" si="43"/>
        <v>0</v>
      </c>
      <c r="AQ16" s="96">
        <f t="shared" si="36"/>
        <v>0</v>
      </c>
      <c r="AR16" s="96">
        <f t="shared" si="37"/>
        <v>0</v>
      </c>
      <c r="AS16" s="96"/>
      <c r="AT16" s="96">
        <f t="shared" si="19"/>
        <v>0</v>
      </c>
      <c r="AU16" s="96"/>
      <c r="AV16" s="96">
        <f t="shared" si="20"/>
        <v>0</v>
      </c>
      <c r="AW16" s="96"/>
      <c r="AX16" s="96">
        <f t="shared" si="21"/>
        <v>0</v>
      </c>
      <c r="AY16" s="96">
        <f t="shared" si="38"/>
        <v>0</v>
      </c>
      <c r="AZ16" s="96">
        <f t="shared" si="39"/>
        <v>0</v>
      </c>
      <c r="BA16" s="96">
        <f t="shared" si="40"/>
        <v>0</v>
      </c>
      <c r="BB16" s="96">
        <f t="shared" si="41"/>
        <v>0</v>
      </c>
      <c r="BC16" s="1" t="s">
        <v>1715</v>
      </c>
    </row>
    <row r="17" spans="1:55">
      <c r="A17" s="492">
        <v>11</v>
      </c>
      <c r="B17" s="20"/>
      <c r="C17" s="20"/>
      <c r="D17" s="14"/>
      <c r="E17" s="21" t="s">
        <v>925</v>
      </c>
      <c r="F17" s="45" t="s">
        <v>924</v>
      </c>
      <c r="G17" s="45" t="s">
        <v>1056</v>
      </c>
      <c r="H17" s="265" t="s">
        <v>359</v>
      </c>
      <c r="I17" s="18">
        <v>7.24</v>
      </c>
      <c r="J17" s="157"/>
      <c r="K17" s="18">
        <v>7.19</v>
      </c>
      <c r="L17" s="157"/>
      <c r="M17" s="18"/>
      <c r="N17" s="157"/>
      <c r="O17" s="18"/>
      <c r="P17" s="157"/>
      <c r="Q17" s="96">
        <f t="shared" si="26"/>
        <v>6.8400000000000007</v>
      </c>
      <c r="R17" s="337">
        <f t="shared" si="27"/>
        <v>72.086117040000005</v>
      </c>
      <c r="S17" s="96">
        <v>3.87</v>
      </c>
      <c r="T17" s="96">
        <f t="shared" si="3"/>
        <v>40.449340620000001</v>
      </c>
      <c r="U17" s="96">
        <v>1.44</v>
      </c>
      <c r="V17" s="96">
        <f t="shared" si="4"/>
        <v>14.994723455999999</v>
      </c>
      <c r="W17" s="96">
        <v>1.53</v>
      </c>
      <c r="X17" s="96">
        <f t="shared" si="28"/>
        <v>16.642052964000001</v>
      </c>
      <c r="Y17" s="96">
        <f t="shared" si="29"/>
        <v>6.8400000000000007</v>
      </c>
      <c r="Z17" s="96">
        <f t="shared" si="30"/>
        <v>72.086117040000005</v>
      </c>
      <c r="AA17" s="96"/>
      <c r="AB17" s="96">
        <f t="shared" si="8"/>
        <v>0</v>
      </c>
      <c r="AC17" s="96"/>
      <c r="AD17" s="95">
        <f t="shared" si="9"/>
        <v>0</v>
      </c>
      <c r="AE17" s="96"/>
      <c r="AF17" s="95">
        <f t="shared" si="31"/>
        <v>0</v>
      </c>
      <c r="AG17" s="96">
        <f t="shared" si="32"/>
        <v>0</v>
      </c>
      <c r="AH17" s="96">
        <f t="shared" si="33"/>
        <v>0</v>
      </c>
      <c r="AI17" s="96">
        <f t="shared" si="34"/>
        <v>6.8400000000000007</v>
      </c>
      <c r="AJ17" s="96">
        <f t="shared" si="35"/>
        <v>72.086117040000005</v>
      </c>
      <c r="AK17" s="96"/>
      <c r="AL17" s="96">
        <f t="shared" si="15"/>
        <v>0</v>
      </c>
      <c r="AM17" s="96"/>
      <c r="AN17" s="96">
        <f t="shared" si="42"/>
        <v>0</v>
      </c>
      <c r="AO17" s="96"/>
      <c r="AP17" s="96">
        <f t="shared" si="43"/>
        <v>0</v>
      </c>
      <c r="AQ17" s="96">
        <f t="shared" si="36"/>
        <v>0</v>
      </c>
      <c r="AR17" s="96">
        <f t="shared" si="37"/>
        <v>0</v>
      </c>
      <c r="AS17" s="96"/>
      <c r="AT17" s="96">
        <f t="shared" si="19"/>
        <v>0</v>
      </c>
      <c r="AU17" s="96"/>
      <c r="AV17" s="96">
        <f t="shared" si="20"/>
        <v>0</v>
      </c>
      <c r="AW17" s="96"/>
      <c r="AX17" s="96">
        <f t="shared" si="21"/>
        <v>0</v>
      </c>
      <c r="AY17" s="96">
        <f t="shared" si="38"/>
        <v>0</v>
      </c>
      <c r="AZ17" s="96">
        <f t="shared" si="39"/>
        <v>0</v>
      </c>
      <c r="BA17" s="96">
        <f t="shared" si="40"/>
        <v>0</v>
      </c>
      <c r="BB17" s="96">
        <f t="shared" si="41"/>
        <v>0</v>
      </c>
      <c r="BC17" s="1" t="s">
        <v>1715</v>
      </c>
    </row>
    <row r="18" spans="1:55">
      <c r="A18" s="492">
        <v>12</v>
      </c>
      <c r="B18" s="20"/>
      <c r="C18" s="20"/>
      <c r="D18" s="14"/>
      <c r="E18" s="21" t="s">
        <v>992</v>
      </c>
      <c r="F18" s="45" t="s">
        <v>993</v>
      </c>
      <c r="G18" s="45" t="s">
        <v>1056</v>
      </c>
      <c r="H18" s="265" t="s">
        <v>359</v>
      </c>
      <c r="I18" s="18">
        <v>7.78</v>
      </c>
      <c r="J18" s="157"/>
      <c r="K18" s="18">
        <v>7.78</v>
      </c>
      <c r="L18" s="157"/>
      <c r="M18" s="18"/>
      <c r="N18" s="157"/>
      <c r="O18" s="18"/>
      <c r="P18" s="157"/>
      <c r="Q18" s="96">
        <f t="shared" si="26"/>
        <v>0.998</v>
      </c>
      <c r="R18" s="337">
        <f t="shared" si="27"/>
        <v>11.279923714799999</v>
      </c>
      <c r="S18" s="96">
        <v>0.45</v>
      </c>
      <c r="T18" s="96">
        <f t="shared" si="3"/>
        <v>5.054218650000001</v>
      </c>
      <c r="U18" s="96">
        <v>0.36</v>
      </c>
      <c r="V18" s="96">
        <f t="shared" si="4"/>
        <v>4.0282786079999999</v>
      </c>
      <c r="W18" s="96">
        <v>0.188</v>
      </c>
      <c r="X18" s="96">
        <f t="shared" si="28"/>
        <v>2.1974264567999997</v>
      </c>
      <c r="Y18" s="96">
        <f t="shared" si="29"/>
        <v>0.998</v>
      </c>
      <c r="Z18" s="96">
        <f t="shared" si="30"/>
        <v>11.279923714799999</v>
      </c>
      <c r="AA18" s="96"/>
      <c r="AB18" s="96">
        <f t="shared" si="8"/>
        <v>0</v>
      </c>
      <c r="AC18" s="96"/>
      <c r="AD18" s="95">
        <f t="shared" si="9"/>
        <v>0</v>
      </c>
      <c r="AE18" s="96"/>
      <c r="AF18" s="95">
        <f t="shared" si="31"/>
        <v>0</v>
      </c>
      <c r="AG18" s="96">
        <f t="shared" si="32"/>
        <v>0</v>
      </c>
      <c r="AH18" s="96">
        <f t="shared" si="33"/>
        <v>0</v>
      </c>
      <c r="AI18" s="96">
        <f t="shared" si="34"/>
        <v>0.998</v>
      </c>
      <c r="AJ18" s="96">
        <f t="shared" si="35"/>
        <v>11.279923714799999</v>
      </c>
      <c r="AK18" s="96"/>
      <c r="AL18" s="96">
        <f t="shared" si="15"/>
        <v>0</v>
      </c>
      <c r="AM18" s="96"/>
      <c r="AN18" s="96">
        <f t="shared" si="42"/>
        <v>0</v>
      </c>
      <c r="AO18" s="96"/>
      <c r="AP18" s="96">
        <f t="shared" si="43"/>
        <v>0</v>
      </c>
      <c r="AQ18" s="96">
        <f t="shared" si="36"/>
        <v>0</v>
      </c>
      <c r="AR18" s="96">
        <f t="shared" si="37"/>
        <v>0</v>
      </c>
      <c r="AS18" s="96"/>
      <c r="AT18" s="96">
        <f t="shared" si="19"/>
        <v>0</v>
      </c>
      <c r="AU18" s="96"/>
      <c r="AV18" s="96">
        <f t="shared" si="20"/>
        <v>0</v>
      </c>
      <c r="AW18" s="96"/>
      <c r="AX18" s="96">
        <f t="shared" si="21"/>
        <v>0</v>
      </c>
      <c r="AY18" s="96">
        <f t="shared" si="38"/>
        <v>0</v>
      </c>
      <c r="AZ18" s="96">
        <f t="shared" si="39"/>
        <v>0</v>
      </c>
      <c r="BA18" s="96">
        <f t="shared" si="40"/>
        <v>0</v>
      </c>
      <c r="BB18" s="96">
        <f t="shared" si="41"/>
        <v>0</v>
      </c>
      <c r="BC18" s="1" t="s">
        <v>1715</v>
      </c>
    </row>
    <row r="19" spans="1:55" hidden="1">
      <c r="A19" s="492">
        <v>13</v>
      </c>
      <c r="B19" s="20"/>
      <c r="C19" s="20"/>
      <c r="D19" s="14"/>
      <c r="E19" s="21" t="s">
        <v>86</v>
      </c>
      <c r="F19" s="45" t="s">
        <v>87</v>
      </c>
      <c r="G19" s="45" t="s">
        <v>1059</v>
      </c>
      <c r="H19" s="265" t="s">
        <v>357</v>
      </c>
      <c r="I19" s="18">
        <v>4.1900000000000004</v>
      </c>
      <c r="J19" s="157"/>
      <c r="K19" s="18"/>
      <c r="L19" s="157"/>
      <c r="M19" s="18"/>
      <c r="N19" s="157"/>
      <c r="O19" s="18"/>
      <c r="P19" s="157"/>
      <c r="Q19" s="96">
        <f t="shared" si="26"/>
        <v>0</v>
      </c>
      <c r="R19" s="337">
        <f t="shared" si="27"/>
        <v>0</v>
      </c>
      <c r="S19" s="96"/>
      <c r="T19" s="96">
        <f t="shared" si="3"/>
        <v>0</v>
      </c>
      <c r="U19" s="96"/>
      <c r="V19" s="96">
        <f t="shared" si="4"/>
        <v>0</v>
      </c>
      <c r="W19" s="96"/>
      <c r="X19" s="96">
        <f t="shared" si="28"/>
        <v>0</v>
      </c>
      <c r="Y19" s="96">
        <f t="shared" si="29"/>
        <v>0</v>
      </c>
      <c r="Z19" s="96">
        <f t="shared" si="30"/>
        <v>0</v>
      </c>
      <c r="AA19" s="96"/>
      <c r="AB19" s="96">
        <f t="shared" si="8"/>
        <v>0</v>
      </c>
      <c r="AC19" s="96"/>
      <c r="AD19" s="95">
        <f t="shared" si="9"/>
        <v>0</v>
      </c>
      <c r="AE19" s="96"/>
      <c r="AF19" s="95">
        <f t="shared" si="31"/>
        <v>0</v>
      </c>
      <c r="AG19" s="96">
        <f t="shared" si="32"/>
        <v>0</v>
      </c>
      <c r="AH19" s="96">
        <f t="shared" si="33"/>
        <v>0</v>
      </c>
      <c r="AI19" s="96">
        <f t="shared" si="34"/>
        <v>0</v>
      </c>
      <c r="AJ19" s="96">
        <f t="shared" si="35"/>
        <v>0</v>
      </c>
      <c r="AK19" s="96"/>
      <c r="AL19" s="96">
        <f t="shared" si="15"/>
        <v>0</v>
      </c>
      <c r="AM19" s="96"/>
      <c r="AN19" s="96">
        <f t="shared" si="42"/>
        <v>0</v>
      </c>
      <c r="AO19" s="96"/>
      <c r="AP19" s="96">
        <f t="shared" si="43"/>
        <v>0</v>
      </c>
      <c r="AQ19" s="96">
        <f t="shared" si="36"/>
        <v>0</v>
      </c>
      <c r="AR19" s="96">
        <f t="shared" si="37"/>
        <v>0</v>
      </c>
      <c r="AS19" s="96"/>
      <c r="AT19" s="96">
        <f t="shared" si="19"/>
        <v>0</v>
      </c>
      <c r="AU19" s="96"/>
      <c r="AV19" s="96">
        <f t="shared" si="20"/>
        <v>0</v>
      </c>
      <c r="AW19" s="96"/>
      <c r="AX19" s="96">
        <f t="shared" si="21"/>
        <v>0</v>
      </c>
      <c r="AY19" s="96">
        <f t="shared" si="38"/>
        <v>0</v>
      </c>
      <c r="AZ19" s="96">
        <f t="shared" si="39"/>
        <v>0</v>
      </c>
      <c r="BA19" s="96">
        <f t="shared" si="40"/>
        <v>0</v>
      </c>
      <c r="BB19" s="96">
        <f t="shared" si="41"/>
        <v>0</v>
      </c>
      <c r="BC19" s="1" t="s">
        <v>1715</v>
      </c>
    </row>
    <row r="20" spans="1:55" hidden="1">
      <c r="A20" s="492">
        <v>14</v>
      </c>
      <c r="B20" s="23"/>
      <c r="C20" s="23"/>
      <c r="D20" s="13"/>
      <c r="E20" s="21" t="s">
        <v>88</v>
      </c>
      <c r="F20" s="45" t="s">
        <v>331</v>
      </c>
      <c r="G20" s="45" t="s">
        <v>1059</v>
      </c>
      <c r="H20" s="265" t="s">
        <v>359</v>
      </c>
      <c r="I20" s="18">
        <v>8.64</v>
      </c>
      <c r="J20" s="157"/>
      <c r="K20" s="18"/>
      <c r="L20" s="157"/>
      <c r="M20" s="18"/>
      <c r="N20" s="157"/>
      <c r="O20" s="18"/>
      <c r="P20" s="157"/>
      <c r="Q20" s="96">
        <f t="shared" si="26"/>
        <v>0</v>
      </c>
      <c r="R20" s="337">
        <f t="shared" si="27"/>
        <v>0</v>
      </c>
      <c r="S20" s="96"/>
      <c r="T20" s="96">
        <f t="shared" si="3"/>
        <v>0</v>
      </c>
      <c r="U20" s="96"/>
      <c r="V20" s="96">
        <f t="shared" si="4"/>
        <v>0</v>
      </c>
      <c r="W20" s="96"/>
      <c r="X20" s="96">
        <f t="shared" si="28"/>
        <v>0</v>
      </c>
      <c r="Y20" s="96">
        <f t="shared" si="29"/>
        <v>0</v>
      </c>
      <c r="Z20" s="96">
        <f t="shared" si="30"/>
        <v>0</v>
      </c>
      <c r="AA20" s="96"/>
      <c r="AB20" s="96">
        <f t="shared" si="8"/>
        <v>0</v>
      </c>
      <c r="AC20" s="96"/>
      <c r="AD20" s="95">
        <f t="shared" si="9"/>
        <v>0</v>
      </c>
      <c r="AE20" s="96"/>
      <c r="AF20" s="95">
        <f t="shared" si="31"/>
        <v>0</v>
      </c>
      <c r="AG20" s="96">
        <f t="shared" si="32"/>
        <v>0</v>
      </c>
      <c r="AH20" s="96">
        <f t="shared" si="33"/>
        <v>0</v>
      </c>
      <c r="AI20" s="96">
        <f t="shared" si="34"/>
        <v>0</v>
      </c>
      <c r="AJ20" s="96">
        <f t="shared" si="35"/>
        <v>0</v>
      </c>
      <c r="AK20" s="96"/>
      <c r="AL20" s="96">
        <f t="shared" si="15"/>
        <v>0</v>
      </c>
      <c r="AM20" s="96"/>
      <c r="AN20" s="96">
        <f t="shared" si="42"/>
        <v>0</v>
      </c>
      <c r="AO20" s="96"/>
      <c r="AP20" s="96">
        <f t="shared" si="43"/>
        <v>0</v>
      </c>
      <c r="AQ20" s="96">
        <f t="shared" si="36"/>
        <v>0</v>
      </c>
      <c r="AR20" s="96">
        <f t="shared" si="37"/>
        <v>0</v>
      </c>
      <c r="AS20" s="96"/>
      <c r="AT20" s="96">
        <f t="shared" si="19"/>
        <v>0</v>
      </c>
      <c r="AU20" s="96"/>
      <c r="AV20" s="96">
        <f t="shared" si="20"/>
        <v>0</v>
      </c>
      <c r="AW20" s="96"/>
      <c r="AX20" s="96">
        <f t="shared" si="21"/>
        <v>0</v>
      </c>
      <c r="AY20" s="96">
        <f t="shared" si="38"/>
        <v>0</v>
      </c>
      <c r="AZ20" s="96">
        <f t="shared" si="39"/>
        <v>0</v>
      </c>
      <c r="BA20" s="96">
        <f t="shared" si="40"/>
        <v>0</v>
      </c>
      <c r="BB20" s="96">
        <f t="shared" si="41"/>
        <v>0</v>
      </c>
      <c r="BC20" s="1" t="s">
        <v>1715</v>
      </c>
    </row>
    <row r="21" spans="1:55" hidden="1">
      <c r="A21" s="492">
        <v>15</v>
      </c>
      <c r="B21" s="23"/>
      <c r="C21" s="23"/>
      <c r="D21" s="13"/>
      <c r="E21" s="21" t="s">
        <v>767</v>
      </c>
      <c r="F21" s="45" t="s">
        <v>332</v>
      </c>
      <c r="G21" s="45" t="s">
        <v>1059</v>
      </c>
      <c r="H21" s="265" t="s">
        <v>359</v>
      </c>
      <c r="I21" s="18">
        <v>7.7</v>
      </c>
      <c r="J21" s="157"/>
      <c r="K21" s="18"/>
      <c r="L21" s="157"/>
      <c r="M21" s="18"/>
      <c r="N21" s="157"/>
      <c r="O21" s="18"/>
      <c r="P21" s="157"/>
      <c r="Q21" s="96">
        <f t="shared" si="26"/>
        <v>0</v>
      </c>
      <c r="R21" s="337">
        <f t="shared" si="27"/>
        <v>0</v>
      </c>
      <c r="S21" s="96"/>
      <c r="T21" s="96">
        <f t="shared" si="3"/>
        <v>0</v>
      </c>
      <c r="U21" s="96"/>
      <c r="V21" s="96">
        <f t="shared" si="4"/>
        <v>0</v>
      </c>
      <c r="W21" s="96"/>
      <c r="X21" s="96">
        <f t="shared" si="28"/>
        <v>0</v>
      </c>
      <c r="Y21" s="96">
        <f t="shared" si="29"/>
        <v>0</v>
      </c>
      <c r="Z21" s="96">
        <f t="shared" si="30"/>
        <v>0</v>
      </c>
      <c r="AA21" s="96"/>
      <c r="AB21" s="96">
        <f t="shared" si="8"/>
        <v>0</v>
      </c>
      <c r="AC21" s="96"/>
      <c r="AD21" s="95">
        <f t="shared" si="9"/>
        <v>0</v>
      </c>
      <c r="AE21" s="96"/>
      <c r="AF21" s="95">
        <f t="shared" si="31"/>
        <v>0</v>
      </c>
      <c r="AG21" s="96">
        <f t="shared" si="32"/>
        <v>0</v>
      </c>
      <c r="AH21" s="96">
        <f t="shared" si="33"/>
        <v>0</v>
      </c>
      <c r="AI21" s="96">
        <f t="shared" si="34"/>
        <v>0</v>
      </c>
      <c r="AJ21" s="96">
        <f t="shared" si="35"/>
        <v>0</v>
      </c>
      <c r="AK21" s="96"/>
      <c r="AL21" s="96">
        <f t="shared" si="15"/>
        <v>0</v>
      </c>
      <c r="AM21" s="96"/>
      <c r="AN21" s="96">
        <f t="shared" si="42"/>
        <v>0</v>
      </c>
      <c r="AO21" s="96"/>
      <c r="AP21" s="96">
        <f t="shared" si="43"/>
        <v>0</v>
      </c>
      <c r="AQ21" s="96">
        <f t="shared" si="36"/>
        <v>0</v>
      </c>
      <c r="AR21" s="96">
        <f t="shared" si="37"/>
        <v>0</v>
      </c>
      <c r="AS21" s="96"/>
      <c r="AT21" s="96">
        <f t="shared" si="19"/>
        <v>0</v>
      </c>
      <c r="AU21" s="96"/>
      <c r="AV21" s="96">
        <f t="shared" si="20"/>
        <v>0</v>
      </c>
      <c r="AW21" s="96"/>
      <c r="AX21" s="96">
        <f t="shared" si="21"/>
        <v>0</v>
      </c>
      <c r="AY21" s="96">
        <f t="shared" si="38"/>
        <v>0</v>
      </c>
      <c r="AZ21" s="96">
        <f t="shared" si="39"/>
        <v>0</v>
      </c>
      <c r="BA21" s="96">
        <f t="shared" si="40"/>
        <v>0</v>
      </c>
      <c r="BB21" s="96">
        <f t="shared" si="41"/>
        <v>0</v>
      </c>
      <c r="BC21" s="1" t="s">
        <v>1715</v>
      </c>
    </row>
    <row r="22" spans="1:55" hidden="1">
      <c r="A22" s="492">
        <v>16</v>
      </c>
      <c r="B22" s="23"/>
      <c r="C22" s="23"/>
      <c r="D22" s="13"/>
      <c r="E22" s="21" t="s">
        <v>89</v>
      </c>
      <c r="F22" s="45" t="s">
        <v>333</v>
      </c>
      <c r="G22" s="45" t="s">
        <v>1059</v>
      </c>
      <c r="H22" s="265" t="s">
        <v>360</v>
      </c>
      <c r="I22" s="18">
        <v>8.5</v>
      </c>
      <c r="J22" s="157"/>
      <c r="K22" s="18"/>
      <c r="L22" s="157"/>
      <c r="M22" s="18"/>
      <c r="N22" s="157"/>
      <c r="O22" s="18"/>
      <c r="P22" s="157"/>
      <c r="Q22" s="96">
        <f t="shared" si="26"/>
        <v>0</v>
      </c>
      <c r="R22" s="336">
        <f t="shared" si="27"/>
        <v>0</v>
      </c>
      <c r="S22" s="96"/>
      <c r="T22" s="96">
        <f t="shared" si="3"/>
        <v>0</v>
      </c>
      <c r="U22" s="96"/>
      <c r="V22" s="96">
        <f t="shared" si="4"/>
        <v>0</v>
      </c>
      <c r="W22" s="96"/>
      <c r="X22" s="96">
        <f t="shared" si="28"/>
        <v>0</v>
      </c>
      <c r="Y22" s="96">
        <f t="shared" si="29"/>
        <v>0</v>
      </c>
      <c r="Z22" s="96">
        <f t="shared" si="30"/>
        <v>0</v>
      </c>
      <c r="AA22" s="96"/>
      <c r="AB22" s="96">
        <f t="shared" si="8"/>
        <v>0</v>
      </c>
      <c r="AC22" s="96"/>
      <c r="AD22" s="95">
        <f t="shared" si="9"/>
        <v>0</v>
      </c>
      <c r="AE22" s="96"/>
      <c r="AF22" s="95">
        <f t="shared" si="31"/>
        <v>0</v>
      </c>
      <c r="AG22" s="96">
        <f t="shared" si="32"/>
        <v>0</v>
      </c>
      <c r="AH22" s="96">
        <f t="shared" si="33"/>
        <v>0</v>
      </c>
      <c r="AI22" s="96">
        <f t="shared" si="34"/>
        <v>0</v>
      </c>
      <c r="AJ22" s="96">
        <f t="shared" si="35"/>
        <v>0</v>
      </c>
      <c r="AK22" s="96"/>
      <c r="AL22" s="96">
        <f t="shared" si="15"/>
        <v>0</v>
      </c>
      <c r="AM22" s="96"/>
      <c r="AN22" s="96">
        <f t="shared" si="42"/>
        <v>0</v>
      </c>
      <c r="AO22" s="96"/>
      <c r="AP22" s="96">
        <f t="shared" si="43"/>
        <v>0</v>
      </c>
      <c r="AQ22" s="96">
        <f t="shared" si="36"/>
        <v>0</v>
      </c>
      <c r="AR22" s="96">
        <f t="shared" si="37"/>
        <v>0</v>
      </c>
      <c r="AS22" s="96"/>
      <c r="AT22" s="96">
        <f t="shared" si="19"/>
        <v>0</v>
      </c>
      <c r="AU22" s="96"/>
      <c r="AV22" s="96">
        <f t="shared" si="20"/>
        <v>0</v>
      </c>
      <c r="AW22" s="96"/>
      <c r="AX22" s="96">
        <f t="shared" si="21"/>
        <v>0</v>
      </c>
      <c r="AY22" s="96">
        <f t="shared" si="38"/>
        <v>0</v>
      </c>
      <c r="AZ22" s="96">
        <f t="shared" si="39"/>
        <v>0</v>
      </c>
      <c r="BA22" s="96">
        <f t="shared" si="40"/>
        <v>0</v>
      </c>
      <c r="BB22" s="96">
        <f t="shared" si="41"/>
        <v>0</v>
      </c>
      <c r="BC22" s="1" t="s">
        <v>1715</v>
      </c>
    </row>
    <row r="23" spans="1:55" hidden="1">
      <c r="A23" s="492">
        <v>17</v>
      </c>
      <c r="B23" s="13"/>
      <c r="C23" s="13"/>
      <c r="D23" s="15"/>
      <c r="E23" s="50" t="s">
        <v>407</v>
      </c>
      <c r="F23" s="64" t="s">
        <v>406</v>
      </c>
      <c r="G23" s="64" t="s">
        <v>1059</v>
      </c>
      <c r="H23" s="272" t="s">
        <v>405</v>
      </c>
      <c r="I23" s="38">
        <v>7.79</v>
      </c>
      <c r="J23" s="158"/>
      <c r="K23" s="38"/>
      <c r="L23" s="158"/>
      <c r="M23" s="38"/>
      <c r="N23" s="158"/>
      <c r="O23" s="38"/>
      <c r="P23" s="158"/>
      <c r="Q23" s="94">
        <f t="shared" si="26"/>
        <v>0</v>
      </c>
      <c r="R23" s="338">
        <f t="shared" si="27"/>
        <v>0</v>
      </c>
      <c r="S23" s="94"/>
      <c r="T23" s="94">
        <f t="shared" si="3"/>
        <v>0</v>
      </c>
      <c r="U23" s="94"/>
      <c r="V23" s="94">
        <f t="shared" si="4"/>
        <v>0</v>
      </c>
      <c r="W23" s="94"/>
      <c r="X23" s="94">
        <f t="shared" si="28"/>
        <v>0</v>
      </c>
      <c r="Y23" s="94">
        <f t="shared" si="29"/>
        <v>0</v>
      </c>
      <c r="Z23" s="94">
        <f t="shared" si="30"/>
        <v>0</v>
      </c>
      <c r="AA23" s="94"/>
      <c r="AB23" s="94">
        <f t="shared" si="8"/>
        <v>0</v>
      </c>
      <c r="AC23" s="94"/>
      <c r="AD23" s="94">
        <f t="shared" si="9"/>
        <v>0</v>
      </c>
      <c r="AE23" s="94"/>
      <c r="AF23" s="119">
        <f t="shared" si="31"/>
        <v>0</v>
      </c>
      <c r="AG23" s="94">
        <f t="shared" si="32"/>
        <v>0</v>
      </c>
      <c r="AH23" s="94">
        <f t="shared" si="33"/>
        <v>0</v>
      </c>
      <c r="AI23" s="94">
        <f t="shared" si="34"/>
        <v>0</v>
      </c>
      <c r="AJ23" s="94">
        <f t="shared" si="35"/>
        <v>0</v>
      </c>
      <c r="AK23" s="94"/>
      <c r="AL23" s="94">
        <f t="shared" si="15"/>
        <v>0</v>
      </c>
      <c r="AM23" s="94"/>
      <c r="AN23" s="94">
        <f t="shared" si="42"/>
        <v>0</v>
      </c>
      <c r="AO23" s="94"/>
      <c r="AP23" s="94">
        <f t="shared" si="43"/>
        <v>0</v>
      </c>
      <c r="AQ23" s="94">
        <f t="shared" si="36"/>
        <v>0</v>
      </c>
      <c r="AR23" s="94">
        <f t="shared" si="37"/>
        <v>0</v>
      </c>
      <c r="AS23" s="94"/>
      <c r="AT23" s="94">
        <f t="shared" si="19"/>
        <v>0</v>
      </c>
      <c r="AU23" s="94"/>
      <c r="AV23" s="94">
        <f t="shared" si="20"/>
        <v>0</v>
      </c>
      <c r="AW23" s="94"/>
      <c r="AX23" s="94">
        <f t="shared" si="21"/>
        <v>0</v>
      </c>
      <c r="AY23" s="94">
        <f t="shared" si="38"/>
        <v>0</v>
      </c>
      <c r="AZ23" s="94">
        <f t="shared" si="39"/>
        <v>0</v>
      </c>
      <c r="BA23" s="94">
        <f t="shared" si="40"/>
        <v>0</v>
      </c>
      <c r="BB23" s="94">
        <f t="shared" si="41"/>
        <v>0</v>
      </c>
      <c r="BC23" s="1" t="s">
        <v>1715</v>
      </c>
    </row>
    <row r="24" spans="1:55">
      <c r="A24" s="492">
        <v>18</v>
      </c>
      <c r="B24" s="13"/>
      <c r="C24" s="13"/>
      <c r="D24" s="70"/>
      <c r="E24" s="324" t="s">
        <v>330</v>
      </c>
      <c r="F24" s="552"/>
      <c r="G24" s="550"/>
      <c r="H24" s="316"/>
      <c r="I24" s="140"/>
      <c r="J24" s="314"/>
      <c r="K24" s="47"/>
      <c r="L24" s="315"/>
      <c r="M24" s="47"/>
      <c r="N24" s="315"/>
      <c r="O24" s="140"/>
      <c r="P24" s="314"/>
      <c r="Q24" s="317">
        <f t="shared" ref="Q24:BB24" si="44">SUM(Q7:Q23)</f>
        <v>7.838000000000001</v>
      </c>
      <c r="R24" s="317">
        <f t="shared" si="44"/>
        <v>83.366040754799997</v>
      </c>
      <c r="S24" s="317">
        <f t="shared" si="44"/>
        <v>4.32</v>
      </c>
      <c r="T24" s="317">
        <f t="shared" si="44"/>
        <v>45.503559270000004</v>
      </c>
      <c r="U24" s="317">
        <f t="shared" si="44"/>
        <v>1.7999999999999998</v>
      </c>
      <c r="V24" s="317">
        <f t="shared" si="44"/>
        <v>19.023002064</v>
      </c>
      <c r="W24" s="317">
        <f t="shared" si="44"/>
        <v>1.718</v>
      </c>
      <c r="X24" s="317">
        <f t="shared" si="44"/>
        <v>18.8394794208</v>
      </c>
      <c r="Y24" s="317">
        <f t="shared" si="44"/>
        <v>7.838000000000001</v>
      </c>
      <c r="Z24" s="317">
        <f t="shared" si="44"/>
        <v>83.366040754799997</v>
      </c>
      <c r="AA24" s="317">
        <f t="shared" si="44"/>
        <v>0</v>
      </c>
      <c r="AB24" s="317">
        <f t="shared" si="44"/>
        <v>0</v>
      </c>
      <c r="AC24" s="317">
        <f t="shared" si="44"/>
        <v>0</v>
      </c>
      <c r="AD24" s="317">
        <f t="shared" si="44"/>
        <v>0</v>
      </c>
      <c r="AE24" s="317">
        <f t="shared" si="44"/>
        <v>0</v>
      </c>
      <c r="AF24" s="317">
        <f t="shared" si="44"/>
        <v>0</v>
      </c>
      <c r="AG24" s="317">
        <f t="shared" si="44"/>
        <v>0</v>
      </c>
      <c r="AH24" s="317">
        <f t="shared" si="44"/>
        <v>0</v>
      </c>
      <c r="AI24" s="317">
        <f t="shared" si="44"/>
        <v>7.838000000000001</v>
      </c>
      <c r="AJ24" s="317">
        <f t="shared" si="44"/>
        <v>83.366040754799997</v>
      </c>
      <c r="AK24" s="317">
        <f t="shared" si="44"/>
        <v>0</v>
      </c>
      <c r="AL24" s="317">
        <f t="shared" si="44"/>
        <v>0</v>
      </c>
      <c r="AM24" s="317">
        <f t="shared" si="44"/>
        <v>0</v>
      </c>
      <c r="AN24" s="317">
        <f t="shared" si="44"/>
        <v>0</v>
      </c>
      <c r="AO24" s="317">
        <f t="shared" si="44"/>
        <v>0</v>
      </c>
      <c r="AP24" s="317">
        <f t="shared" si="44"/>
        <v>0</v>
      </c>
      <c r="AQ24" s="317">
        <f t="shared" si="44"/>
        <v>0</v>
      </c>
      <c r="AR24" s="317">
        <f t="shared" si="44"/>
        <v>0</v>
      </c>
      <c r="AS24" s="317">
        <f t="shared" si="44"/>
        <v>0</v>
      </c>
      <c r="AT24" s="317">
        <f t="shared" si="44"/>
        <v>0</v>
      </c>
      <c r="AU24" s="317">
        <f t="shared" si="44"/>
        <v>0</v>
      </c>
      <c r="AV24" s="317">
        <f t="shared" si="44"/>
        <v>0</v>
      </c>
      <c r="AW24" s="317">
        <f t="shared" si="44"/>
        <v>0</v>
      </c>
      <c r="AX24" s="317">
        <f t="shared" si="44"/>
        <v>0</v>
      </c>
      <c r="AY24" s="317">
        <f t="shared" si="44"/>
        <v>0</v>
      </c>
      <c r="AZ24" s="317">
        <f t="shared" si="44"/>
        <v>0</v>
      </c>
      <c r="BA24" s="317">
        <f t="shared" si="44"/>
        <v>0</v>
      </c>
      <c r="BB24" s="317">
        <f t="shared" si="44"/>
        <v>0</v>
      </c>
      <c r="BC24" s="1" t="s">
        <v>1716</v>
      </c>
    </row>
    <row r="25" spans="1:55" ht="12.75" hidden="1" customHeight="1">
      <c r="A25" s="492">
        <v>19</v>
      </c>
      <c r="B25" s="14"/>
      <c r="C25" s="40"/>
      <c r="D25" s="13" t="s">
        <v>569</v>
      </c>
      <c r="E25" s="48" t="s">
        <v>132</v>
      </c>
      <c r="F25" s="312" t="s">
        <v>133</v>
      </c>
      <c r="G25" s="310" t="s">
        <v>1059</v>
      </c>
      <c r="H25" s="276" t="s">
        <v>357</v>
      </c>
      <c r="I25" s="43">
        <v>10.199999999999999</v>
      </c>
      <c r="J25" s="161"/>
      <c r="K25" s="43"/>
      <c r="L25" s="161"/>
      <c r="M25" s="43"/>
      <c r="N25" s="161"/>
      <c r="O25" s="43"/>
      <c r="P25" s="161"/>
      <c r="Q25" s="124">
        <f t="shared" ref="Q25:R27" si="45">SUM(AI25+BA25)</f>
        <v>0</v>
      </c>
      <c r="R25" s="334">
        <f t="shared" si="45"/>
        <v>0</v>
      </c>
      <c r="S25" s="124"/>
      <c r="T25" s="124">
        <f>I25*S25*$T$2/1000</f>
        <v>0</v>
      </c>
      <c r="U25" s="124"/>
      <c r="V25" s="124">
        <f>I25*U25*$V$2/1000</f>
        <v>0</v>
      </c>
      <c r="W25" s="124"/>
      <c r="X25" s="124">
        <f>I25*W25*$X$2/1000</f>
        <v>0</v>
      </c>
      <c r="Y25" s="124">
        <f t="shared" ref="Y25:Z27" si="46">SUM(S25+U25+W25)</f>
        <v>0</v>
      </c>
      <c r="Z25" s="124">
        <f t="shared" si="46"/>
        <v>0</v>
      </c>
      <c r="AA25" s="124"/>
      <c r="AB25" s="124">
        <f>K25*AA25*$AB$2/1000</f>
        <v>0</v>
      </c>
      <c r="AC25" s="124"/>
      <c r="AD25" s="124">
        <f>K25*AC25*$AD$2/1000</f>
        <v>0</v>
      </c>
      <c r="AE25" s="124"/>
      <c r="AF25" s="124">
        <f>K25*AE25*$AF$2/1000</f>
        <v>0</v>
      </c>
      <c r="AG25" s="124">
        <f t="shared" ref="AG25:AH27" si="47">SUM(AA25+AC25+AE25)</f>
        <v>0</v>
      </c>
      <c r="AH25" s="124">
        <f t="shared" si="47"/>
        <v>0</v>
      </c>
      <c r="AI25" s="124">
        <f>SUM(Y25+AG25)</f>
        <v>0</v>
      </c>
      <c r="AJ25" s="124">
        <f>SUM(Z25,AH25)</f>
        <v>0</v>
      </c>
      <c r="AK25" s="124"/>
      <c r="AL25" s="124">
        <f>M25*AK25*$AL$2/1000</f>
        <v>0</v>
      </c>
      <c r="AM25" s="124"/>
      <c r="AN25" s="124">
        <f>M25*AM25*$AN$2/1000</f>
        <v>0</v>
      </c>
      <c r="AO25" s="124"/>
      <c r="AP25" s="124">
        <f>M25*AO25*$AP$2/1000</f>
        <v>0</v>
      </c>
      <c r="AQ25" s="124">
        <f t="shared" ref="AQ25:AR27" si="48">SUM(AK25+AM25+AO25)</f>
        <v>0</v>
      </c>
      <c r="AR25" s="124">
        <f t="shared" si="48"/>
        <v>0</v>
      </c>
      <c r="AS25" s="124"/>
      <c r="AT25" s="124">
        <f>O25*AS25*$AT$2/1000</f>
        <v>0</v>
      </c>
      <c r="AU25" s="124"/>
      <c r="AV25" s="124">
        <f>O25*AU25*$AV$2/1000</f>
        <v>0</v>
      </c>
      <c r="AW25" s="124"/>
      <c r="AX25" s="124">
        <f>O25*AW25*$AX$2/1000</f>
        <v>0</v>
      </c>
      <c r="AY25" s="124">
        <f t="shared" ref="AY25:AZ27" si="49">SUM(AS25+AU25+AW25)</f>
        <v>0</v>
      </c>
      <c r="AZ25" s="124">
        <f t="shared" si="49"/>
        <v>0</v>
      </c>
      <c r="BA25" s="124">
        <f>SUM(AQ25+AY25)</f>
        <v>0</v>
      </c>
      <c r="BB25" s="124">
        <f>SUM(AR25,AZ25)</f>
        <v>0</v>
      </c>
      <c r="BC25" s="1" t="s">
        <v>1715</v>
      </c>
    </row>
    <row r="26" spans="1:55">
      <c r="A26" s="492">
        <v>20</v>
      </c>
      <c r="B26" s="14"/>
      <c r="C26" s="39"/>
      <c r="D26" s="40"/>
      <c r="E26" s="16" t="s">
        <v>1534</v>
      </c>
      <c r="F26" s="44" t="s">
        <v>1535</v>
      </c>
      <c r="G26" s="45" t="s">
        <v>1059</v>
      </c>
      <c r="H26" s="265" t="s">
        <v>358</v>
      </c>
      <c r="I26" s="18">
        <v>11.73</v>
      </c>
      <c r="J26" s="157"/>
      <c r="K26" s="18">
        <v>11.72</v>
      </c>
      <c r="L26" s="157"/>
      <c r="M26" s="18"/>
      <c r="N26" s="157"/>
      <c r="O26" s="18"/>
      <c r="P26" s="157"/>
      <c r="Q26" s="95">
        <f t="shared" si="45"/>
        <v>36.036000000000001</v>
      </c>
      <c r="R26" s="335">
        <f t="shared" si="45"/>
        <v>618.64568204759996</v>
      </c>
      <c r="S26" s="95">
        <v>10.332000000000001</v>
      </c>
      <c r="T26" s="95">
        <f>I26*S26*$T$2/1000</f>
        <v>174.96223781400002</v>
      </c>
      <c r="U26" s="95">
        <v>11.664</v>
      </c>
      <c r="V26" s="95">
        <f>I26*U26*$V$2/1000</f>
        <v>196.78089222720001</v>
      </c>
      <c r="W26" s="95">
        <v>12.096</v>
      </c>
      <c r="X26" s="95">
        <f>I26*W26*$X$2/1000</f>
        <v>213.16539000959997</v>
      </c>
      <c r="Y26" s="95">
        <f t="shared" si="46"/>
        <v>34.091999999999999</v>
      </c>
      <c r="Z26" s="95">
        <f t="shared" si="46"/>
        <v>584.90852005080001</v>
      </c>
      <c r="AA26" s="95">
        <v>1.944</v>
      </c>
      <c r="AB26" s="95">
        <f>K26*AA26*$AB$2/1000</f>
        <v>33.737161996800005</v>
      </c>
      <c r="AC26" s="95"/>
      <c r="AD26" s="95">
        <f>K26*AC26*$AD$2/1000</f>
        <v>0</v>
      </c>
      <c r="AE26" s="95"/>
      <c r="AF26" s="95">
        <f>K26*AE26*$AF$2/1000</f>
        <v>0</v>
      </c>
      <c r="AG26" s="95">
        <f t="shared" si="47"/>
        <v>1.944</v>
      </c>
      <c r="AH26" s="95">
        <f t="shared" si="47"/>
        <v>33.737161996800005</v>
      </c>
      <c r="AI26" s="95">
        <f>SUM(Y26+AG26)</f>
        <v>36.036000000000001</v>
      </c>
      <c r="AJ26" s="95">
        <f>SUM(Z26,AH26)</f>
        <v>618.64568204759996</v>
      </c>
      <c r="AK26" s="95"/>
      <c r="AL26" s="95">
        <f>M26*AK26*$AL$2/1000</f>
        <v>0</v>
      </c>
      <c r="AM26" s="95"/>
      <c r="AN26" s="95">
        <f>M26*AM26*$AN$2/1000</f>
        <v>0</v>
      </c>
      <c r="AO26" s="95"/>
      <c r="AP26" s="95">
        <f>M26*AO26*$AP$2/1000</f>
        <v>0</v>
      </c>
      <c r="AQ26" s="95">
        <f t="shared" si="48"/>
        <v>0</v>
      </c>
      <c r="AR26" s="95">
        <f t="shared" si="48"/>
        <v>0</v>
      </c>
      <c r="AS26" s="95"/>
      <c r="AT26" s="95">
        <f>O26*AS26*$AT$2/1000</f>
        <v>0</v>
      </c>
      <c r="AU26" s="95"/>
      <c r="AV26" s="95">
        <f>O26*AU26*$AV$2/1000</f>
        <v>0</v>
      </c>
      <c r="AW26" s="95"/>
      <c r="AX26" s="95">
        <f>O26*AW26*$AX$2/1000</f>
        <v>0</v>
      </c>
      <c r="AY26" s="95">
        <f t="shared" si="49"/>
        <v>0</v>
      </c>
      <c r="AZ26" s="95">
        <f t="shared" si="49"/>
        <v>0</v>
      </c>
      <c r="BA26" s="95">
        <f>SUM(AQ26+AY26)</f>
        <v>0</v>
      </c>
      <c r="BB26" s="95">
        <f>SUM(AR26,AZ26)</f>
        <v>0</v>
      </c>
      <c r="BC26" s="1" t="s">
        <v>1715</v>
      </c>
    </row>
    <row r="27" spans="1:55">
      <c r="A27" s="492">
        <v>21</v>
      </c>
      <c r="B27" s="14"/>
      <c r="C27" s="39"/>
      <c r="D27" s="40"/>
      <c r="E27" s="69" t="s">
        <v>801</v>
      </c>
      <c r="F27" s="313" t="s">
        <v>800</v>
      </c>
      <c r="G27" s="64" t="s">
        <v>1059</v>
      </c>
      <c r="H27" s="272" t="s">
        <v>358</v>
      </c>
      <c r="I27" s="38">
        <v>9.51</v>
      </c>
      <c r="J27" s="158"/>
      <c r="K27" s="38">
        <v>9.51</v>
      </c>
      <c r="L27" s="158"/>
      <c r="M27" s="38"/>
      <c r="N27" s="158"/>
      <c r="O27" s="38"/>
      <c r="P27" s="158"/>
      <c r="Q27" s="119">
        <f t="shared" si="45"/>
        <v>1.3580000000000001</v>
      </c>
      <c r="R27" s="339">
        <f t="shared" si="45"/>
        <v>18.995875317299998</v>
      </c>
      <c r="S27" s="119">
        <v>0.378</v>
      </c>
      <c r="T27" s="119">
        <f>I27*S27*$T$2/1000</f>
        <v>5.1896041469999998</v>
      </c>
      <c r="U27" s="119">
        <v>0.109</v>
      </c>
      <c r="V27" s="119">
        <f>I27*U27*$V$2/1000</f>
        <v>1.4908859334</v>
      </c>
      <c r="W27" s="119">
        <v>0.24299999999999999</v>
      </c>
      <c r="X27" s="119">
        <f>I27*W27*$X$2/1000</f>
        <v>3.4718719040999995</v>
      </c>
      <c r="Y27" s="119">
        <f t="shared" si="46"/>
        <v>0.73</v>
      </c>
      <c r="Z27" s="119">
        <f t="shared" si="46"/>
        <v>10.152361984500001</v>
      </c>
      <c r="AA27" s="119">
        <v>0.628</v>
      </c>
      <c r="AB27" s="119">
        <f>K27*AA27*$AB$2/1000</f>
        <v>8.8435133327999988</v>
      </c>
      <c r="AC27" s="119"/>
      <c r="AD27" s="119">
        <f>K27*AC27*$AD$2/1000</f>
        <v>0</v>
      </c>
      <c r="AE27" s="119"/>
      <c r="AF27" s="119">
        <f>K27*AE27*$AF$2/1000</f>
        <v>0</v>
      </c>
      <c r="AG27" s="119">
        <f t="shared" si="47"/>
        <v>0.628</v>
      </c>
      <c r="AH27" s="119">
        <f t="shared" si="47"/>
        <v>8.8435133327999988</v>
      </c>
      <c r="AI27" s="119">
        <f>SUM(Y27+AG27)</f>
        <v>1.3580000000000001</v>
      </c>
      <c r="AJ27" s="119">
        <f>SUM(Z27,AH27)</f>
        <v>18.995875317299998</v>
      </c>
      <c r="AK27" s="119"/>
      <c r="AL27" s="119">
        <f>M27*AK27*$AL$2/1000</f>
        <v>0</v>
      </c>
      <c r="AM27" s="119"/>
      <c r="AN27" s="119">
        <f>M27*AM27*$AN$2/1000</f>
        <v>0</v>
      </c>
      <c r="AO27" s="119"/>
      <c r="AP27" s="119">
        <f>M27*AO27*$AP$2/1000</f>
        <v>0</v>
      </c>
      <c r="AQ27" s="119">
        <f t="shared" si="48"/>
        <v>0</v>
      </c>
      <c r="AR27" s="119">
        <f t="shared" si="48"/>
        <v>0</v>
      </c>
      <c r="AS27" s="119"/>
      <c r="AT27" s="119">
        <f>O27*AS27*$AT$2/1000</f>
        <v>0</v>
      </c>
      <c r="AU27" s="119"/>
      <c r="AV27" s="119">
        <f>O27*AU27*$AV$2/1000</f>
        <v>0</v>
      </c>
      <c r="AW27" s="119"/>
      <c r="AX27" s="119">
        <f>O27*AW27*$AX$2/1000</f>
        <v>0</v>
      </c>
      <c r="AY27" s="119">
        <f t="shared" si="49"/>
        <v>0</v>
      </c>
      <c r="AZ27" s="119">
        <f t="shared" si="49"/>
        <v>0</v>
      </c>
      <c r="BA27" s="119">
        <f>SUM(AQ27+AY27)</f>
        <v>0</v>
      </c>
      <c r="BB27" s="119">
        <f>SUM(AR27,AZ27)</f>
        <v>0</v>
      </c>
      <c r="BC27" s="1" t="s">
        <v>1715</v>
      </c>
    </row>
    <row r="28" spans="1:55">
      <c r="A28" s="492">
        <v>22</v>
      </c>
      <c r="B28" s="14"/>
      <c r="C28" s="39"/>
      <c r="D28" s="70"/>
      <c r="E28" s="324" t="s">
        <v>330</v>
      </c>
      <c r="F28" s="71"/>
      <c r="G28" s="28"/>
      <c r="H28" s="282"/>
      <c r="I28" s="306"/>
      <c r="J28" s="307"/>
      <c r="K28" s="308"/>
      <c r="L28" s="307"/>
      <c r="M28" s="308"/>
      <c r="N28" s="307"/>
      <c r="O28" s="306"/>
      <c r="P28" s="307"/>
      <c r="Q28" s="129">
        <f t="shared" ref="Q28:BB28" si="50">SUM(Q25:Q27)</f>
        <v>37.393999999999998</v>
      </c>
      <c r="R28" s="129">
        <f t="shared" si="50"/>
        <v>637.6415573649</v>
      </c>
      <c r="S28" s="129">
        <f t="shared" si="50"/>
        <v>10.71</v>
      </c>
      <c r="T28" s="129">
        <f t="shared" si="50"/>
        <v>180.15184196100003</v>
      </c>
      <c r="U28" s="129">
        <f t="shared" si="50"/>
        <v>11.773</v>
      </c>
      <c r="V28" s="129">
        <f t="shared" si="50"/>
        <v>198.27177816060001</v>
      </c>
      <c r="W28" s="129">
        <f t="shared" si="50"/>
        <v>12.339</v>
      </c>
      <c r="X28" s="129">
        <f t="shared" si="50"/>
        <v>216.63726191369997</v>
      </c>
      <c r="Y28" s="129">
        <f t="shared" si="50"/>
        <v>34.821999999999996</v>
      </c>
      <c r="Z28" s="129">
        <f t="shared" si="50"/>
        <v>595.06088203529998</v>
      </c>
      <c r="AA28" s="129">
        <f t="shared" si="50"/>
        <v>2.5720000000000001</v>
      </c>
      <c r="AB28" s="129">
        <f t="shared" si="50"/>
        <v>42.580675329600005</v>
      </c>
      <c r="AC28" s="129">
        <f t="shared" si="50"/>
        <v>0</v>
      </c>
      <c r="AD28" s="129">
        <f t="shared" si="50"/>
        <v>0</v>
      </c>
      <c r="AE28" s="129">
        <f t="shared" si="50"/>
        <v>0</v>
      </c>
      <c r="AF28" s="129">
        <f t="shared" si="50"/>
        <v>0</v>
      </c>
      <c r="AG28" s="129">
        <f t="shared" si="50"/>
        <v>2.5720000000000001</v>
      </c>
      <c r="AH28" s="129">
        <f t="shared" si="50"/>
        <v>42.580675329600005</v>
      </c>
      <c r="AI28" s="129">
        <f t="shared" si="50"/>
        <v>37.393999999999998</v>
      </c>
      <c r="AJ28" s="129">
        <f t="shared" si="50"/>
        <v>637.6415573649</v>
      </c>
      <c r="AK28" s="129">
        <f t="shared" si="50"/>
        <v>0</v>
      </c>
      <c r="AL28" s="129">
        <f t="shared" si="50"/>
        <v>0</v>
      </c>
      <c r="AM28" s="129">
        <f t="shared" si="50"/>
        <v>0</v>
      </c>
      <c r="AN28" s="129">
        <f t="shared" si="50"/>
        <v>0</v>
      </c>
      <c r="AO28" s="129">
        <f t="shared" si="50"/>
        <v>0</v>
      </c>
      <c r="AP28" s="129">
        <f t="shared" si="50"/>
        <v>0</v>
      </c>
      <c r="AQ28" s="129">
        <f t="shared" si="50"/>
        <v>0</v>
      </c>
      <c r="AR28" s="129">
        <f t="shared" si="50"/>
        <v>0</v>
      </c>
      <c r="AS28" s="129">
        <f t="shared" si="50"/>
        <v>0</v>
      </c>
      <c r="AT28" s="129">
        <f t="shared" si="50"/>
        <v>0</v>
      </c>
      <c r="AU28" s="129">
        <f t="shared" si="50"/>
        <v>0</v>
      </c>
      <c r="AV28" s="129">
        <f t="shared" si="50"/>
        <v>0</v>
      </c>
      <c r="AW28" s="129">
        <f t="shared" si="50"/>
        <v>0</v>
      </c>
      <c r="AX28" s="129">
        <f t="shared" si="50"/>
        <v>0</v>
      </c>
      <c r="AY28" s="129">
        <f t="shared" si="50"/>
        <v>0</v>
      </c>
      <c r="AZ28" s="129">
        <f t="shared" si="50"/>
        <v>0</v>
      </c>
      <c r="BA28" s="129">
        <f t="shared" si="50"/>
        <v>0</v>
      </c>
      <c r="BB28" s="129">
        <f t="shared" si="50"/>
        <v>0</v>
      </c>
      <c r="BC28" s="1" t="s">
        <v>1716</v>
      </c>
    </row>
    <row r="29" spans="1:55">
      <c r="A29" s="492">
        <v>23</v>
      </c>
      <c r="B29" s="26"/>
      <c r="C29" s="27" t="s">
        <v>90</v>
      </c>
      <c r="D29" s="28"/>
      <c r="E29" s="550"/>
      <c r="F29" s="550"/>
      <c r="G29" s="550"/>
      <c r="H29" s="273"/>
      <c r="I29" s="140"/>
      <c r="J29" s="314"/>
      <c r="K29" s="47"/>
      <c r="L29" s="315"/>
      <c r="M29" s="47"/>
      <c r="N29" s="315"/>
      <c r="O29" s="140"/>
      <c r="P29" s="314"/>
      <c r="Q29" s="122">
        <f t="shared" ref="Q29:BB29" si="51">+Q24+Q28</f>
        <v>45.231999999999999</v>
      </c>
      <c r="R29" s="122">
        <f t="shared" si="51"/>
        <v>721.00759811969999</v>
      </c>
      <c r="S29" s="122">
        <f t="shared" si="51"/>
        <v>15.030000000000001</v>
      </c>
      <c r="T29" s="122">
        <f t="shared" si="51"/>
        <v>225.65540123100004</v>
      </c>
      <c r="U29" s="122">
        <f t="shared" si="51"/>
        <v>13.573</v>
      </c>
      <c r="V29" s="122">
        <f t="shared" si="51"/>
        <v>217.2947802246</v>
      </c>
      <c r="W29" s="122">
        <f t="shared" si="51"/>
        <v>14.057</v>
      </c>
      <c r="X29" s="122">
        <f t="shared" si="51"/>
        <v>235.47674133449996</v>
      </c>
      <c r="Y29" s="122">
        <f t="shared" si="51"/>
        <v>42.66</v>
      </c>
      <c r="Z29" s="122">
        <f t="shared" si="51"/>
        <v>678.42692279009998</v>
      </c>
      <c r="AA29" s="122">
        <f t="shared" si="51"/>
        <v>2.5720000000000001</v>
      </c>
      <c r="AB29" s="122">
        <f t="shared" si="51"/>
        <v>42.580675329600005</v>
      </c>
      <c r="AC29" s="122">
        <f t="shared" si="51"/>
        <v>0</v>
      </c>
      <c r="AD29" s="122">
        <f t="shared" si="51"/>
        <v>0</v>
      </c>
      <c r="AE29" s="122">
        <f t="shared" si="51"/>
        <v>0</v>
      </c>
      <c r="AF29" s="317">
        <f t="shared" si="51"/>
        <v>0</v>
      </c>
      <c r="AG29" s="122">
        <f t="shared" si="51"/>
        <v>2.5720000000000001</v>
      </c>
      <c r="AH29" s="122">
        <f t="shared" si="51"/>
        <v>42.580675329600005</v>
      </c>
      <c r="AI29" s="122">
        <f t="shared" si="51"/>
        <v>45.231999999999999</v>
      </c>
      <c r="AJ29" s="122">
        <f t="shared" si="51"/>
        <v>721.00759811969999</v>
      </c>
      <c r="AK29" s="122">
        <f t="shared" si="51"/>
        <v>0</v>
      </c>
      <c r="AL29" s="122">
        <f t="shared" si="51"/>
        <v>0</v>
      </c>
      <c r="AM29" s="122">
        <f t="shared" si="51"/>
        <v>0</v>
      </c>
      <c r="AN29" s="122">
        <f t="shared" si="51"/>
        <v>0</v>
      </c>
      <c r="AO29" s="122">
        <f t="shared" si="51"/>
        <v>0</v>
      </c>
      <c r="AP29" s="122">
        <f t="shared" si="51"/>
        <v>0</v>
      </c>
      <c r="AQ29" s="122">
        <f t="shared" si="51"/>
        <v>0</v>
      </c>
      <c r="AR29" s="122">
        <f t="shared" si="51"/>
        <v>0</v>
      </c>
      <c r="AS29" s="122">
        <f t="shared" si="51"/>
        <v>0</v>
      </c>
      <c r="AT29" s="122">
        <f t="shared" si="51"/>
        <v>0</v>
      </c>
      <c r="AU29" s="122">
        <f t="shared" si="51"/>
        <v>0</v>
      </c>
      <c r="AV29" s="122">
        <f t="shared" si="51"/>
        <v>0</v>
      </c>
      <c r="AW29" s="122">
        <f t="shared" si="51"/>
        <v>0</v>
      </c>
      <c r="AX29" s="122">
        <f t="shared" si="51"/>
        <v>0</v>
      </c>
      <c r="AY29" s="122">
        <f t="shared" si="51"/>
        <v>0</v>
      </c>
      <c r="AZ29" s="122">
        <f t="shared" si="51"/>
        <v>0</v>
      </c>
      <c r="BA29" s="122">
        <f t="shared" si="51"/>
        <v>0</v>
      </c>
      <c r="BB29" s="122">
        <f t="shared" si="51"/>
        <v>0</v>
      </c>
      <c r="BC29" s="1" t="s">
        <v>1716</v>
      </c>
    </row>
    <row r="30" spans="1:55" hidden="1">
      <c r="A30" s="492">
        <v>24</v>
      </c>
      <c r="B30" s="13"/>
      <c r="C30" s="14" t="s">
        <v>13</v>
      </c>
      <c r="D30" s="15" t="s">
        <v>571</v>
      </c>
      <c r="E30" s="31" t="s">
        <v>61</v>
      </c>
      <c r="F30" s="310" t="s">
        <v>91</v>
      </c>
      <c r="G30" s="310" t="s">
        <v>1059</v>
      </c>
      <c r="H30" s="271" t="s">
        <v>357</v>
      </c>
      <c r="I30" s="321">
        <v>5.6</v>
      </c>
      <c r="J30" s="161"/>
      <c r="K30" s="321"/>
      <c r="L30" s="161"/>
      <c r="M30" s="321"/>
      <c r="N30" s="161"/>
      <c r="O30" s="321"/>
      <c r="P30" s="161"/>
      <c r="Q30" s="121">
        <f t="shared" ref="Q30:Q69" si="52">SUM(AI30+BA30)</f>
        <v>0</v>
      </c>
      <c r="R30" s="340">
        <f t="shared" ref="R30:R69" si="53">SUM(AJ30+BB30)</f>
        <v>0</v>
      </c>
      <c r="S30" s="121"/>
      <c r="T30" s="121">
        <f t="shared" ref="T30:T69" si="54">I30*S30*$T$2/1000</f>
        <v>0</v>
      </c>
      <c r="U30" s="121"/>
      <c r="V30" s="121">
        <f t="shared" ref="V30:V69" si="55">I30*U30*$V$2/1000</f>
        <v>0</v>
      </c>
      <c r="W30" s="121"/>
      <c r="X30" s="121">
        <f t="shared" ref="X30:X69" si="56">I30*W30*$X$2/1000</f>
        <v>0</v>
      </c>
      <c r="Y30" s="121">
        <f t="shared" ref="Y30:Z34" si="57">SUM(S30+U30+W30)</f>
        <v>0</v>
      </c>
      <c r="Z30" s="121">
        <f t="shared" si="57"/>
        <v>0</v>
      </c>
      <c r="AA30" s="121"/>
      <c r="AB30" s="121">
        <f t="shared" ref="AB30:AB69" si="58">K30*AA30*$AB$2/1000</f>
        <v>0</v>
      </c>
      <c r="AC30" s="121"/>
      <c r="AD30" s="121">
        <f t="shared" ref="AD30:AD69" si="59">K30*AC30*$AD$2/1000</f>
        <v>0</v>
      </c>
      <c r="AE30" s="121"/>
      <c r="AF30" s="124">
        <f t="shared" ref="AF30:AF69" si="60">K30*AE30*$AF$2/1000</f>
        <v>0</v>
      </c>
      <c r="AG30" s="121">
        <f t="shared" ref="AG30:AH34" si="61">SUM(AA30+AC30+AE30)</f>
        <v>0</v>
      </c>
      <c r="AH30" s="121">
        <f t="shared" si="61"/>
        <v>0</v>
      </c>
      <c r="AI30" s="121">
        <f t="shared" ref="AI30:AI69" si="62">SUM(Y30+AG30)</f>
        <v>0</v>
      </c>
      <c r="AJ30" s="121">
        <f t="shared" ref="AJ30:AJ69" si="63">SUM(Z30,AH30)</f>
        <v>0</v>
      </c>
      <c r="AK30" s="121"/>
      <c r="AL30" s="121">
        <f t="shared" ref="AL30:AL69" si="64">M30*AK30*$AL$2/1000</f>
        <v>0</v>
      </c>
      <c r="AM30" s="121"/>
      <c r="AN30" s="121">
        <f t="shared" ref="AN30:AN69" si="65">M30*AM30*$AN$2/1000</f>
        <v>0</v>
      </c>
      <c r="AO30" s="121"/>
      <c r="AP30" s="121">
        <f t="shared" ref="AP30:AP69" si="66">M30*AO30*$AP$2/1000</f>
        <v>0</v>
      </c>
      <c r="AQ30" s="121">
        <f t="shared" ref="AQ30:AR34" si="67">SUM(AK30+AM30+AO30)</f>
        <v>0</v>
      </c>
      <c r="AR30" s="121">
        <f t="shared" si="67"/>
        <v>0</v>
      </c>
      <c r="AS30" s="121"/>
      <c r="AT30" s="121">
        <f t="shared" ref="AT30:AT69" si="68">O30*AS30*$AT$2/1000</f>
        <v>0</v>
      </c>
      <c r="AU30" s="121"/>
      <c r="AV30" s="121">
        <f t="shared" ref="AV30:AV69" si="69">O30*AU30*$AV$2/1000</f>
        <v>0</v>
      </c>
      <c r="AW30" s="121"/>
      <c r="AX30" s="121">
        <f t="shared" ref="AX30:AX69" si="70">O30*AW30*$AX$2/1000</f>
        <v>0</v>
      </c>
      <c r="AY30" s="121">
        <f t="shared" ref="AY30:AZ34" si="71">SUM(AS30+AU30+AW30)</f>
        <v>0</v>
      </c>
      <c r="AZ30" s="121">
        <f t="shared" si="71"/>
        <v>0</v>
      </c>
      <c r="BA30" s="121">
        <f t="shared" ref="BA30:BA69" si="72">SUM(AQ30+AY30)</f>
        <v>0</v>
      </c>
      <c r="BB30" s="121">
        <f t="shared" ref="BB30:BB69" si="73">SUM(AR30,AZ30)</f>
        <v>0</v>
      </c>
      <c r="BC30" s="1" t="s">
        <v>1059</v>
      </c>
    </row>
    <row r="31" spans="1:55" hidden="1">
      <c r="A31" s="492">
        <v>25</v>
      </c>
      <c r="B31" s="13"/>
      <c r="C31" s="14"/>
      <c r="D31" s="15"/>
      <c r="E31" s="21" t="s">
        <v>68</v>
      </c>
      <c r="F31" s="45" t="s">
        <v>92</v>
      </c>
      <c r="G31" s="45" t="s">
        <v>1059</v>
      </c>
      <c r="H31" s="265" t="s">
        <v>357</v>
      </c>
      <c r="I31" s="18">
        <v>7.03</v>
      </c>
      <c r="J31" s="157"/>
      <c r="K31" s="18"/>
      <c r="L31" s="157"/>
      <c r="M31" s="18"/>
      <c r="N31" s="157"/>
      <c r="O31" s="18"/>
      <c r="P31" s="157"/>
      <c r="Q31" s="96">
        <f t="shared" si="52"/>
        <v>0</v>
      </c>
      <c r="R31" s="336">
        <f t="shared" si="53"/>
        <v>0</v>
      </c>
      <c r="S31" s="96"/>
      <c r="T31" s="96">
        <f t="shared" si="54"/>
        <v>0</v>
      </c>
      <c r="U31" s="96"/>
      <c r="V31" s="96">
        <f t="shared" si="55"/>
        <v>0</v>
      </c>
      <c r="W31" s="96"/>
      <c r="X31" s="96">
        <f t="shared" si="56"/>
        <v>0</v>
      </c>
      <c r="Y31" s="96">
        <f t="shared" si="57"/>
        <v>0</v>
      </c>
      <c r="Z31" s="96">
        <f t="shared" si="57"/>
        <v>0</v>
      </c>
      <c r="AA31" s="96"/>
      <c r="AB31" s="96">
        <f t="shared" si="58"/>
        <v>0</v>
      </c>
      <c r="AC31" s="96"/>
      <c r="AD31" s="96">
        <f t="shared" si="59"/>
        <v>0</v>
      </c>
      <c r="AE31" s="96"/>
      <c r="AF31" s="95">
        <f t="shared" si="60"/>
        <v>0</v>
      </c>
      <c r="AG31" s="96">
        <f t="shared" si="61"/>
        <v>0</v>
      </c>
      <c r="AH31" s="96">
        <f t="shared" si="61"/>
        <v>0</v>
      </c>
      <c r="AI31" s="96">
        <f t="shared" si="62"/>
        <v>0</v>
      </c>
      <c r="AJ31" s="96">
        <f t="shared" si="63"/>
        <v>0</v>
      </c>
      <c r="AK31" s="96"/>
      <c r="AL31" s="96">
        <f t="shared" si="64"/>
        <v>0</v>
      </c>
      <c r="AM31" s="96"/>
      <c r="AN31" s="96">
        <f t="shared" si="65"/>
        <v>0</v>
      </c>
      <c r="AO31" s="96"/>
      <c r="AP31" s="96">
        <f t="shared" si="66"/>
        <v>0</v>
      </c>
      <c r="AQ31" s="96">
        <f t="shared" si="67"/>
        <v>0</v>
      </c>
      <c r="AR31" s="96">
        <f t="shared" si="67"/>
        <v>0</v>
      </c>
      <c r="AS31" s="96"/>
      <c r="AT31" s="96">
        <f t="shared" si="68"/>
        <v>0</v>
      </c>
      <c r="AU31" s="96"/>
      <c r="AV31" s="96">
        <f t="shared" si="69"/>
        <v>0</v>
      </c>
      <c r="AW31" s="96"/>
      <c r="AX31" s="96">
        <f t="shared" si="70"/>
        <v>0</v>
      </c>
      <c r="AY31" s="96">
        <f t="shared" si="71"/>
        <v>0</v>
      </c>
      <c r="AZ31" s="96">
        <f t="shared" si="71"/>
        <v>0</v>
      </c>
      <c r="BA31" s="96">
        <f t="shared" si="72"/>
        <v>0</v>
      </c>
      <c r="BB31" s="96">
        <f t="shared" si="73"/>
        <v>0</v>
      </c>
      <c r="BC31" s="1" t="s">
        <v>1059</v>
      </c>
    </row>
    <row r="32" spans="1:55" hidden="1">
      <c r="A32" s="492">
        <v>26</v>
      </c>
      <c r="B32" s="13"/>
      <c r="C32" s="14"/>
      <c r="D32" s="15"/>
      <c r="E32" s="354" t="s">
        <v>93</v>
      </c>
      <c r="F32" s="45" t="s">
        <v>94</v>
      </c>
      <c r="G32" s="45" t="s">
        <v>1059</v>
      </c>
      <c r="H32" s="265" t="s">
        <v>357</v>
      </c>
      <c r="I32" s="18">
        <v>6.45</v>
      </c>
      <c r="J32" s="157"/>
      <c r="K32" s="18"/>
      <c r="L32" s="157"/>
      <c r="M32" s="18"/>
      <c r="N32" s="157"/>
      <c r="O32" s="18"/>
      <c r="P32" s="157"/>
      <c r="Q32" s="95">
        <f t="shared" si="52"/>
        <v>0</v>
      </c>
      <c r="R32" s="335">
        <f t="shared" si="53"/>
        <v>0</v>
      </c>
      <c r="S32" s="95"/>
      <c r="T32" s="95">
        <f t="shared" si="54"/>
        <v>0</v>
      </c>
      <c r="U32" s="95"/>
      <c r="V32" s="95">
        <f t="shared" si="55"/>
        <v>0</v>
      </c>
      <c r="W32" s="95"/>
      <c r="X32" s="95">
        <f t="shared" si="56"/>
        <v>0</v>
      </c>
      <c r="Y32" s="95">
        <f t="shared" si="57"/>
        <v>0</v>
      </c>
      <c r="Z32" s="95">
        <f t="shared" si="57"/>
        <v>0</v>
      </c>
      <c r="AA32" s="95"/>
      <c r="AB32" s="95">
        <f t="shared" si="58"/>
        <v>0</v>
      </c>
      <c r="AC32" s="95"/>
      <c r="AD32" s="95">
        <f t="shared" si="59"/>
        <v>0</v>
      </c>
      <c r="AE32" s="95"/>
      <c r="AF32" s="95">
        <f t="shared" si="60"/>
        <v>0</v>
      </c>
      <c r="AG32" s="95">
        <f t="shared" si="61"/>
        <v>0</v>
      </c>
      <c r="AH32" s="95">
        <f t="shared" si="61"/>
        <v>0</v>
      </c>
      <c r="AI32" s="95">
        <f t="shared" si="62"/>
        <v>0</v>
      </c>
      <c r="AJ32" s="95">
        <f t="shared" si="63"/>
        <v>0</v>
      </c>
      <c r="AK32" s="95"/>
      <c r="AL32" s="95">
        <f t="shared" si="64"/>
        <v>0</v>
      </c>
      <c r="AM32" s="95"/>
      <c r="AN32" s="95">
        <f t="shared" si="65"/>
        <v>0</v>
      </c>
      <c r="AO32" s="95"/>
      <c r="AP32" s="95">
        <f t="shared" si="66"/>
        <v>0</v>
      </c>
      <c r="AQ32" s="95">
        <f t="shared" si="67"/>
        <v>0</v>
      </c>
      <c r="AR32" s="95">
        <f t="shared" si="67"/>
        <v>0</v>
      </c>
      <c r="AS32" s="95"/>
      <c r="AT32" s="95">
        <f t="shared" si="68"/>
        <v>0</v>
      </c>
      <c r="AU32" s="95"/>
      <c r="AV32" s="95">
        <f t="shared" si="69"/>
        <v>0</v>
      </c>
      <c r="AW32" s="95"/>
      <c r="AX32" s="95">
        <f t="shared" si="70"/>
        <v>0</v>
      </c>
      <c r="AY32" s="95">
        <f t="shared" si="71"/>
        <v>0</v>
      </c>
      <c r="AZ32" s="95">
        <f t="shared" si="71"/>
        <v>0</v>
      </c>
      <c r="BA32" s="95">
        <f t="shared" si="72"/>
        <v>0</v>
      </c>
      <c r="BB32" s="95">
        <f t="shared" si="73"/>
        <v>0</v>
      </c>
      <c r="BC32" s="1" t="s">
        <v>1059</v>
      </c>
    </row>
    <row r="33" spans="1:55" hidden="1">
      <c r="A33" s="492">
        <v>27</v>
      </c>
      <c r="B33" s="13"/>
      <c r="C33" s="14"/>
      <c r="D33" s="15"/>
      <c r="E33" s="354" t="s">
        <v>322</v>
      </c>
      <c r="F33" s="45" t="s">
        <v>321</v>
      </c>
      <c r="G33" s="45" t="s">
        <v>1059</v>
      </c>
      <c r="H33" s="265" t="s">
        <v>357</v>
      </c>
      <c r="I33" s="18">
        <v>5.5</v>
      </c>
      <c r="J33" s="157"/>
      <c r="K33" s="18"/>
      <c r="L33" s="157"/>
      <c r="M33" s="18"/>
      <c r="N33" s="157"/>
      <c r="O33" s="18"/>
      <c r="P33" s="157"/>
      <c r="Q33" s="95">
        <f t="shared" si="52"/>
        <v>0</v>
      </c>
      <c r="R33" s="335">
        <f t="shared" si="53"/>
        <v>0</v>
      </c>
      <c r="S33" s="95"/>
      <c r="T33" s="95">
        <f t="shared" si="54"/>
        <v>0</v>
      </c>
      <c r="U33" s="95"/>
      <c r="V33" s="95">
        <f t="shared" si="55"/>
        <v>0</v>
      </c>
      <c r="W33" s="95"/>
      <c r="X33" s="95">
        <f t="shared" si="56"/>
        <v>0</v>
      </c>
      <c r="Y33" s="95">
        <f t="shared" si="57"/>
        <v>0</v>
      </c>
      <c r="Z33" s="95">
        <f t="shared" si="57"/>
        <v>0</v>
      </c>
      <c r="AA33" s="95"/>
      <c r="AB33" s="95">
        <f t="shared" si="58"/>
        <v>0</v>
      </c>
      <c r="AC33" s="95"/>
      <c r="AD33" s="95">
        <f t="shared" si="59"/>
        <v>0</v>
      </c>
      <c r="AE33" s="95"/>
      <c r="AF33" s="95">
        <f t="shared" si="60"/>
        <v>0</v>
      </c>
      <c r="AG33" s="95">
        <f t="shared" si="61"/>
        <v>0</v>
      </c>
      <c r="AH33" s="95">
        <f t="shared" si="61"/>
        <v>0</v>
      </c>
      <c r="AI33" s="95">
        <f t="shared" si="62"/>
        <v>0</v>
      </c>
      <c r="AJ33" s="95">
        <f t="shared" si="63"/>
        <v>0</v>
      </c>
      <c r="AK33" s="95"/>
      <c r="AL33" s="95">
        <f t="shared" si="64"/>
        <v>0</v>
      </c>
      <c r="AM33" s="95"/>
      <c r="AN33" s="95">
        <f t="shared" si="65"/>
        <v>0</v>
      </c>
      <c r="AO33" s="95"/>
      <c r="AP33" s="95">
        <f t="shared" si="66"/>
        <v>0</v>
      </c>
      <c r="AQ33" s="95">
        <f t="shared" si="67"/>
        <v>0</v>
      </c>
      <c r="AR33" s="95">
        <f t="shared" si="67"/>
        <v>0</v>
      </c>
      <c r="AS33" s="95"/>
      <c r="AT33" s="95">
        <f t="shared" si="68"/>
        <v>0</v>
      </c>
      <c r="AU33" s="95"/>
      <c r="AV33" s="95">
        <f t="shared" si="69"/>
        <v>0</v>
      </c>
      <c r="AW33" s="95"/>
      <c r="AX33" s="95">
        <f t="shared" si="70"/>
        <v>0</v>
      </c>
      <c r="AY33" s="95">
        <f t="shared" si="71"/>
        <v>0</v>
      </c>
      <c r="AZ33" s="95">
        <f t="shared" si="71"/>
        <v>0</v>
      </c>
      <c r="BA33" s="95">
        <f t="shared" si="72"/>
        <v>0</v>
      </c>
      <c r="BB33" s="95">
        <f t="shared" si="73"/>
        <v>0</v>
      </c>
      <c r="BC33" s="1" t="s">
        <v>1059</v>
      </c>
    </row>
    <row r="34" spans="1:55" hidden="1">
      <c r="A34" s="492">
        <v>28</v>
      </c>
      <c r="B34" s="13"/>
      <c r="C34" s="14"/>
      <c r="D34" s="15"/>
      <c r="E34" s="354" t="s">
        <v>507</v>
      </c>
      <c r="F34" s="45" t="s">
        <v>506</v>
      </c>
      <c r="G34" s="45" t="s">
        <v>1059</v>
      </c>
      <c r="H34" s="265" t="s">
        <v>357</v>
      </c>
      <c r="I34" s="18">
        <v>5.95</v>
      </c>
      <c r="J34" s="157"/>
      <c r="K34" s="18"/>
      <c r="L34" s="157"/>
      <c r="M34" s="18"/>
      <c r="N34" s="157"/>
      <c r="O34" s="18"/>
      <c r="P34" s="157"/>
      <c r="Q34" s="95">
        <f t="shared" si="52"/>
        <v>0</v>
      </c>
      <c r="R34" s="335">
        <f t="shared" si="53"/>
        <v>0</v>
      </c>
      <c r="S34" s="95"/>
      <c r="T34" s="95">
        <f t="shared" si="54"/>
        <v>0</v>
      </c>
      <c r="U34" s="95"/>
      <c r="V34" s="95">
        <f t="shared" si="55"/>
        <v>0</v>
      </c>
      <c r="W34" s="95"/>
      <c r="X34" s="95">
        <f t="shared" si="56"/>
        <v>0</v>
      </c>
      <c r="Y34" s="95">
        <f t="shared" si="57"/>
        <v>0</v>
      </c>
      <c r="Z34" s="95">
        <f t="shared" si="57"/>
        <v>0</v>
      </c>
      <c r="AA34" s="95"/>
      <c r="AB34" s="95">
        <f t="shared" si="58"/>
        <v>0</v>
      </c>
      <c r="AC34" s="95"/>
      <c r="AD34" s="95">
        <f t="shared" si="59"/>
        <v>0</v>
      </c>
      <c r="AE34" s="95"/>
      <c r="AF34" s="95">
        <f t="shared" si="60"/>
        <v>0</v>
      </c>
      <c r="AG34" s="95">
        <f t="shared" si="61"/>
        <v>0</v>
      </c>
      <c r="AH34" s="95">
        <f t="shared" si="61"/>
        <v>0</v>
      </c>
      <c r="AI34" s="95">
        <f t="shared" si="62"/>
        <v>0</v>
      </c>
      <c r="AJ34" s="95">
        <f t="shared" si="63"/>
        <v>0</v>
      </c>
      <c r="AK34" s="95"/>
      <c r="AL34" s="95">
        <f t="shared" si="64"/>
        <v>0</v>
      </c>
      <c r="AM34" s="95"/>
      <c r="AN34" s="95">
        <f t="shared" si="65"/>
        <v>0</v>
      </c>
      <c r="AO34" s="95"/>
      <c r="AP34" s="95">
        <f t="shared" si="66"/>
        <v>0</v>
      </c>
      <c r="AQ34" s="95">
        <f t="shared" si="67"/>
        <v>0</v>
      </c>
      <c r="AR34" s="95">
        <f t="shared" si="67"/>
        <v>0</v>
      </c>
      <c r="AS34" s="95"/>
      <c r="AT34" s="95">
        <f t="shared" si="68"/>
        <v>0</v>
      </c>
      <c r="AU34" s="95"/>
      <c r="AV34" s="95">
        <f t="shared" si="69"/>
        <v>0</v>
      </c>
      <c r="AW34" s="95"/>
      <c r="AX34" s="95">
        <f t="shared" si="70"/>
        <v>0</v>
      </c>
      <c r="AY34" s="95">
        <f t="shared" si="71"/>
        <v>0</v>
      </c>
      <c r="AZ34" s="95">
        <f t="shared" si="71"/>
        <v>0</v>
      </c>
      <c r="BA34" s="95">
        <f t="shared" si="72"/>
        <v>0</v>
      </c>
      <c r="BB34" s="95">
        <f t="shared" si="73"/>
        <v>0</v>
      </c>
      <c r="BC34" s="1" t="s">
        <v>1059</v>
      </c>
    </row>
    <row r="35" spans="1:55">
      <c r="A35" s="492">
        <v>29</v>
      </c>
      <c r="B35" s="13"/>
      <c r="C35" s="14" t="s">
        <v>13</v>
      </c>
      <c r="D35" s="15" t="s">
        <v>571</v>
      </c>
      <c r="E35" s="21" t="s">
        <v>401</v>
      </c>
      <c r="F35" s="45" t="s">
        <v>404</v>
      </c>
      <c r="G35" s="45" t="s">
        <v>1059</v>
      </c>
      <c r="H35" s="265" t="s">
        <v>358</v>
      </c>
      <c r="I35" s="137">
        <v>18.7</v>
      </c>
      <c r="J35" s="157"/>
      <c r="K35" s="137">
        <v>18.7</v>
      </c>
      <c r="L35" s="201"/>
      <c r="M35" s="137"/>
      <c r="N35" s="201"/>
      <c r="O35" s="137"/>
      <c r="P35" s="157"/>
      <c r="Q35" s="96">
        <f t="shared" si="52"/>
        <v>0</v>
      </c>
      <c r="R35" s="337">
        <f t="shared" si="53"/>
        <v>0</v>
      </c>
      <c r="S35" s="96"/>
      <c r="T35" s="96">
        <f t="shared" si="54"/>
        <v>0</v>
      </c>
      <c r="U35" s="96"/>
      <c r="V35" s="96">
        <f t="shared" si="55"/>
        <v>0</v>
      </c>
      <c r="W35" s="96"/>
      <c r="X35" s="96">
        <f t="shared" si="56"/>
        <v>0</v>
      </c>
      <c r="Y35" s="96">
        <f>SUM(S35+U35+W35)</f>
        <v>0</v>
      </c>
      <c r="Z35" s="96">
        <f t="shared" ref="Z35:Z39" si="74">SUM(T35,V35,X35)</f>
        <v>0</v>
      </c>
      <c r="AA35" s="96"/>
      <c r="AB35" s="96">
        <f t="shared" si="58"/>
        <v>0</v>
      </c>
      <c r="AC35" s="96"/>
      <c r="AD35" s="96">
        <f t="shared" si="59"/>
        <v>0</v>
      </c>
      <c r="AE35" s="96"/>
      <c r="AF35" s="95">
        <f t="shared" si="60"/>
        <v>0</v>
      </c>
      <c r="AG35" s="96">
        <f>SUM(AA35+AC35+AE35)</f>
        <v>0</v>
      </c>
      <c r="AH35" s="96">
        <f t="shared" ref="AH35:AH39" si="75">SUM(AB35,AD35,AF35)</f>
        <v>0</v>
      </c>
      <c r="AI35" s="96">
        <f t="shared" si="62"/>
        <v>0</v>
      </c>
      <c r="AJ35" s="96">
        <f t="shared" si="63"/>
        <v>0</v>
      </c>
      <c r="AK35" s="96"/>
      <c r="AL35" s="96">
        <f t="shared" si="64"/>
        <v>0</v>
      </c>
      <c r="AM35" s="96"/>
      <c r="AN35" s="96">
        <f t="shared" si="65"/>
        <v>0</v>
      </c>
      <c r="AO35" s="96"/>
      <c r="AP35" s="96">
        <f t="shared" si="66"/>
        <v>0</v>
      </c>
      <c r="AQ35" s="96">
        <f t="shared" ref="AQ35:AQ69" si="76">SUM(AK35+AM35+AO35)</f>
        <v>0</v>
      </c>
      <c r="AR35" s="96">
        <f t="shared" ref="AR35:AR39" si="77">SUM(AL35,AN35,AP35)</f>
        <v>0</v>
      </c>
      <c r="AS35" s="96"/>
      <c r="AT35" s="96">
        <f t="shared" si="68"/>
        <v>0</v>
      </c>
      <c r="AU35" s="96"/>
      <c r="AV35" s="96">
        <f t="shared" si="69"/>
        <v>0</v>
      </c>
      <c r="AW35" s="96"/>
      <c r="AX35" s="96">
        <f t="shared" si="70"/>
        <v>0</v>
      </c>
      <c r="AY35" s="96">
        <f t="shared" ref="AY35:AY69" si="78">SUM(AS35+AU35+AW35)</f>
        <v>0</v>
      </c>
      <c r="AZ35" s="96">
        <f t="shared" ref="AZ35:AZ39" si="79">SUM(AT35,AV35,AX35)</f>
        <v>0</v>
      </c>
      <c r="BA35" s="96">
        <f t="shared" si="72"/>
        <v>0</v>
      </c>
      <c r="BB35" s="96">
        <f t="shared" si="73"/>
        <v>0</v>
      </c>
      <c r="BC35" s="1" t="s">
        <v>1059</v>
      </c>
    </row>
    <row r="36" spans="1:55">
      <c r="A36" s="492">
        <v>32</v>
      </c>
      <c r="B36" s="13"/>
      <c r="C36" s="13"/>
      <c r="D36" s="15"/>
      <c r="E36" s="21" t="s">
        <v>802</v>
      </c>
      <c r="F36" s="45" t="s">
        <v>803</v>
      </c>
      <c r="G36" s="45" t="s">
        <v>1059</v>
      </c>
      <c r="H36" s="265" t="s">
        <v>358</v>
      </c>
      <c r="I36" s="137">
        <v>19.29</v>
      </c>
      <c r="J36" s="157"/>
      <c r="K36" s="137">
        <v>19.28</v>
      </c>
      <c r="L36" s="201"/>
      <c r="M36" s="137"/>
      <c r="N36" s="201"/>
      <c r="O36" s="137"/>
      <c r="P36" s="157"/>
      <c r="Q36" s="96">
        <f>SUM(AI36+BA36)</f>
        <v>64.091999999999999</v>
      </c>
      <c r="R36" s="337">
        <f>SUM(AJ36+BB36)</f>
        <v>1780.4099305062</v>
      </c>
      <c r="S36" s="96">
        <v>17.064</v>
      </c>
      <c r="T36" s="96">
        <f t="shared" ref="T36" si="80">I36*S36*$T$2/1000</f>
        <v>475.198417044</v>
      </c>
      <c r="U36" s="96">
        <v>46.607999999999997</v>
      </c>
      <c r="V36" s="96">
        <f t="shared" ref="V36" si="81">I36*U36*$V$2/1000</f>
        <v>1293.0940019231998</v>
      </c>
      <c r="W36" s="96">
        <v>0.29399999999999998</v>
      </c>
      <c r="X36" s="96">
        <f t="shared" ref="X36" si="82">I36*W36*$X$2/1000</f>
        <v>8.5203308861999982</v>
      </c>
      <c r="Y36" s="96">
        <f t="shared" ref="Y36" si="83">SUM(S36+U36+W36)</f>
        <v>63.965999999999994</v>
      </c>
      <c r="Z36" s="96">
        <f t="shared" ref="Z36" si="84">SUM(T36,V36,X36)</f>
        <v>1776.8127498534</v>
      </c>
      <c r="AA36" s="96">
        <v>0.126</v>
      </c>
      <c r="AB36" s="96">
        <f t="shared" ref="AB36" si="85">K36*AA36*$AB$2/1000</f>
        <v>3.5971806528000005</v>
      </c>
      <c r="AC36" s="96"/>
      <c r="AD36" s="96">
        <f t="shared" ref="AD36" si="86">K36*AC36*$AD$2/1000</f>
        <v>0</v>
      </c>
      <c r="AE36" s="96"/>
      <c r="AF36" s="95">
        <f t="shared" ref="AF36" si="87">K36*AE36*$AF$2/1000</f>
        <v>0</v>
      </c>
      <c r="AG36" s="96">
        <f t="shared" ref="AG36" si="88">SUM(AA36+AC36+AE36)</f>
        <v>0.126</v>
      </c>
      <c r="AH36" s="96">
        <f t="shared" ref="AH36" si="89">SUM(AB36,AD36,AF36)</f>
        <v>3.5971806528000005</v>
      </c>
      <c r="AI36" s="96">
        <f>SUM(Y36+AG36)</f>
        <v>64.091999999999999</v>
      </c>
      <c r="AJ36" s="96">
        <f t="shared" ref="AJ36" si="90">SUM(Z36,AH36)</f>
        <v>1780.4099305062</v>
      </c>
      <c r="AK36" s="96"/>
      <c r="AL36" s="96">
        <f t="shared" ref="AL36" si="91">M36*AK36*$AL$2/1000</f>
        <v>0</v>
      </c>
      <c r="AM36" s="96"/>
      <c r="AN36" s="96">
        <f t="shared" ref="AN36" si="92">M36*AM36*$AN$2/1000</f>
        <v>0</v>
      </c>
      <c r="AO36" s="96"/>
      <c r="AP36" s="96">
        <f t="shared" ref="AP36" si="93">M36*AO36*$AP$2/1000</f>
        <v>0</v>
      </c>
      <c r="AQ36" s="96">
        <f t="shared" ref="AQ36" si="94">SUM(AK36+AM36+AO36)</f>
        <v>0</v>
      </c>
      <c r="AR36" s="96">
        <f t="shared" ref="AR36" si="95">SUM(AL36,AN36,AP36)</f>
        <v>0</v>
      </c>
      <c r="AS36" s="96"/>
      <c r="AT36" s="96">
        <f t="shared" ref="AT36" si="96">O36*AS36*$AT$2/1000</f>
        <v>0</v>
      </c>
      <c r="AU36" s="96"/>
      <c r="AV36" s="96">
        <f t="shared" ref="AV36" si="97">O36*AU36*$AV$2/1000</f>
        <v>0</v>
      </c>
      <c r="AW36" s="96"/>
      <c r="AX36" s="96">
        <f t="shared" ref="AX36" si="98">O36*AW36*$AX$2/1000</f>
        <v>0</v>
      </c>
      <c r="AY36" s="96">
        <f t="shared" ref="AY36" si="99">SUM(AS36+AU36+AW36)</f>
        <v>0</v>
      </c>
      <c r="AZ36" s="96">
        <f t="shared" ref="AZ36" si="100">SUM(AT36,AV36,AX36)</f>
        <v>0</v>
      </c>
      <c r="BA36" s="96">
        <f t="shared" ref="BA36" si="101">SUM(AQ36+AY36)</f>
        <v>0</v>
      </c>
      <c r="BB36" s="96">
        <f t="shared" ref="BB36" si="102">SUM(AR36,AZ36)</f>
        <v>0</v>
      </c>
      <c r="BC36" s="1" t="s">
        <v>1059</v>
      </c>
    </row>
    <row r="37" spans="1:55">
      <c r="A37" s="492">
        <v>32</v>
      </c>
      <c r="B37" s="13"/>
      <c r="C37" s="13"/>
      <c r="D37" s="15"/>
      <c r="E37" s="354" t="s">
        <v>403</v>
      </c>
      <c r="F37" s="45" t="s">
        <v>402</v>
      </c>
      <c r="G37" s="45" t="s">
        <v>1059</v>
      </c>
      <c r="H37" s="265" t="s">
        <v>358</v>
      </c>
      <c r="I37" s="137">
        <v>21.1</v>
      </c>
      <c r="J37" s="157"/>
      <c r="K37" s="137">
        <v>21.1</v>
      </c>
      <c r="L37" s="201"/>
      <c r="M37" s="137"/>
      <c r="N37" s="201"/>
      <c r="O37" s="137"/>
      <c r="P37" s="157"/>
      <c r="Q37" s="96">
        <f t="shared" si="52"/>
        <v>0</v>
      </c>
      <c r="R37" s="337">
        <f t="shared" si="53"/>
        <v>0</v>
      </c>
      <c r="S37" s="96"/>
      <c r="T37" s="96">
        <f t="shared" si="54"/>
        <v>0</v>
      </c>
      <c r="U37" s="96"/>
      <c r="V37" s="96">
        <f t="shared" si="55"/>
        <v>0</v>
      </c>
      <c r="W37" s="96"/>
      <c r="X37" s="96">
        <f t="shared" si="56"/>
        <v>0</v>
      </c>
      <c r="Y37" s="96">
        <f t="shared" ref="Y37:Y69" si="103">SUM(S37+U37+W37)</f>
        <v>0</v>
      </c>
      <c r="Z37" s="96">
        <f t="shared" si="74"/>
        <v>0</v>
      </c>
      <c r="AA37" s="96"/>
      <c r="AB37" s="96">
        <f t="shared" si="58"/>
        <v>0</v>
      </c>
      <c r="AC37" s="96"/>
      <c r="AD37" s="96">
        <f t="shared" si="59"/>
        <v>0</v>
      </c>
      <c r="AE37" s="96"/>
      <c r="AF37" s="95">
        <f t="shared" si="60"/>
        <v>0</v>
      </c>
      <c r="AG37" s="96">
        <f t="shared" ref="AG37:AG69" si="104">SUM(AA37+AC37+AE37)</f>
        <v>0</v>
      </c>
      <c r="AH37" s="96">
        <f t="shared" si="75"/>
        <v>0</v>
      </c>
      <c r="AI37" s="96">
        <f t="shared" si="62"/>
        <v>0</v>
      </c>
      <c r="AJ37" s="96">
        <f t="shared" si="63"/>
        <v>0</v>
      </c>
      <c r="AK37" s="96"/>
      <c r="AL37" s="96">
        <f t="shared" si="64"/>
        <v>0</v>
      </c>
      <c r="AM37" s="96"/>
      <c r="AN37" s="96">
        <f t="shared" si="65"/>
        <v>0</v>
      </c>
      <c r="AO37" s="96"/>
      <c r="AP37" s="96">
        <f t="shared" si="66"/>
        <v>0</v>
      </c>
      <c r="AQ37" s="96">
        <f t="shared" si="76"/>
        <v>0</v>
      </c>
      <c r="AR37" s="96">
        <f t="shared" si="77"/>
        <v>0</v>
      </c>
      <c r="AS37" s="96"/>
      <c r="AT37" s="96">
        <f t="shared" si="68"/>
        <v>0</v>
      </c>
      <c r="AU37" s="96"/>
      <c r="AV37" s="96">
        <f t="shared" si="69"/>
        <v>0</v>
      </c>
      <c r="AW37" s="96"/>
      <c r="AX37" s="96">
        <f t="shared" si="70"/>
        <v>0</v>
      </c>
      <c r="AY37" s="96">
        <f t="shared" si="78"/>
        <v>0</v>
      </c>
      <c r="AZ37" s="96">
        <f t="shared" si="79"/>
        <v>0</v>
      </c>
      <c r="BA37" s="96">
        <f t="shared" si="72"/>
        <v>0</v>
      </c>
      <c r="BB37" s="96">
        <f t="shared" si="73"/>
        <v>0</v>
      </c>
      <c r="BC37" s="1" t="s">
        <v>1059</v>
      </c>
    </row>
    <row r="38" spans="1:55">
      <c r="A38" s="492">
        <v>33</v>
      </c>
      <c r="B38" s="13"/>
      <c r="C38" s="13"/>
      <c r="D38" s="15"/>
      <c r="E38" s="21" t="s">
        <v>531</v>
      </c>
      <c r="F38" s="45" t="s">
        <v>530</v>
      </c>
      <c r="G38" s="45" t="s">
        <v>1059</v>
      </c>
      <c r="H38" s="265" t="s">
        <v>358</v>
      </c>
      <c r="I38" s="137">
        <v>20.89</v>
      </c>
      <c r="J38" s="157"/>
      <c r="K38" s="137">
        <v>20.89</v>
      </c>
      <c r="L38" s="201"/>
      <c r="M38" s="137"/>
      <c r="N38" s="201"/>
      <c r="O38" s="137"/>
      <c r="P38" s="157"/>
      <c r="Q38" s="96">
        <f t="shared" si="52"/>
        <v>0</v>
      </c>
      <c r="R38" s="337">
        <f t="shared" si="53"/>
        <v>0</v>
      </c>
      <c r="S38" s="96"/>
      <c r="T38" s="96">
        <f t="shared" si="54"/>
        <v>0</v>
      </c>
      <c r="U38" s="96"/>
      <c r="V38" s="96">
        <f t="shared" si="55"/>
        <v>0</v>
      </c>
      <c r="W38" s="96"/>
      <c r="X38" s="96">
        <f t="shared" si="56"/>
        <v>0</v>
      </c>
      <c r="Y38" s="96">
        <f t="shared" si="103"/>
        <v>0</v>
      </c>
      <c r="Z38" s="96">
        <f t="shared" si="74"/>
        <v>0</v>
      </c>
      <c r="AA38" s="96"/>
      <c r="AB38" s="96">
        <f t="shared" si="58"/>
        <v>0</v>
      </c>
      <c r="AC38" s="96"/>
      <c r="AD38" s="96">
        <f t="shared" si="59"/>
        <v>0</v>
      </c>
      <c r="AE38" s="96"/>
      <c r="AF38" s="95">
        <f t="shared" si="60"/>
        <v>0</v>
      </c>
      <c r="AG38" s="96">
        <f t="shared" si="104"/>
        <v>0</v>
      </c>
      <c r="AH38" s="96">
        <f t="shared" si="75"/>
        <v>0</v>
      </c>
      <c r="AI38" s="96">
        <f t="shared" si="62"/>
        <v>0</v>
      </c>
      <c r="AJ38" s="96">
        <f t="shared" si="63"/>
        <v>0</v>
      </c>
      <c r="AK38" s="96"/>
      <c r="AL38" s="96">
        <f t="shared" si="64"/>
        <v>0</v>
      </c>
      <c r="AM38" s="96"/>
      <c r="AN38" s="96">
        <f t="shared" si="65"/>
        <v>0</v>
      </c>
      <c r="AO38" s="96"/>
      <c r="AP38" s="96">
        <f t="shared" si="66"/>
        <v>0</v>
      </c>
      <c r="AQ38" s="96">
        <f t="shared" si="76"/>
        <v>0</v>
      </c>
      <c r="AR38" s="96">
        <f t="shared" si="77"/>
        <v>0</v>
      </c>
      <c r="AS38" s="96"/>
      <c r="AT38" s="96">
        <f t="shared" si="68"/>
        <v>0</v>
      </c>
      <c r="AU38" s="96"/>
      <c r="AV38" s="96">
        <f t="shared" si="69"/>
        <v>0</v>
      </c>
      <c r="AW38" s="96"/>
      <c r="AX38" s="96">
        <f t="shared" si="70"/>
        <v>0</v>
      </c>
      <c r="AY38" s="96">
        <f t="shared" si="78"/>
        <v>0</v>
      </c>
      <c r="AZ38" s="96">
        <f t="shared" si="79"/>
        <v>0</v>
      </c>
      <c r="BA38" s="96">
        <f t="shared" si="72"/>
        <v>0</v>
      </c>
      <c r="BB38" s="96">
        <f t="shared" si="73"/>
        <v>0</v>
      </c>
      <c r="BC38" s="1" t="s">
        <v>1059</v>
      </c>
    </row>
    <row r="39" spans="1:55">
      <c r="A39" s="492">
        <v>35</v>
      </c>
      <c r="B39" s="13"/>
      <c r="C39" s="13"/>
      <c r="D39" s="15"/>
      <c r="E39" s="21" t="s">
        <v>804</v>
      </c>
      <c r="F39" s="45" t="s">
        <v>805</v>
      </c>
      <c r="G39" s="45" t="s">
        <v>1059</v>
      </c>
      <c r="H39" s="265" t="s">
        <v>358</v>
      </c>
      <c r="I39" s="137">
        <v>21.67</v>
      </c>
      <c r="J39" s="137"/>
      <c r="K39" s="137">
        <v>21.66</v>
      </c>
      <c r="L39" s="201"/>
      <c r="M39" s="137"/>
      <c r="N39" s="201"/>
      <c r="O39" s="137"/>
      <c r="P39" s="137"/>
      <c r="Q39" s="96">
        <f t="shared" si="52"/>
        <v>27.738000000000003</v>
      </c>
      <c r="R39" s="337">
        <f t="shared" si="53"/>
        <v>865.75283642820011</v>
      </c>
      <c r="S39" s="96">
        <v>3.6059999999999999</v>
      </c>
      <c r="T39" s="96">
        <f t="shared" si="54"/>
        <v>112.80972717300001</v>
      </c>
      <c r="U39" s="96">
        <v>23.286000000000001</v>
      </c>
      <c r="V39" s="96">
        <f t="shared" si="55"/>
        <v>725.75695554120011</v>
      </c>
      <c r="W39" s="96">
        <v>0.108</v>
      </c>
      <c r="X39" s="96">
        <f t="shared" si="56"/>
        <v>3.5160866531999995</v>
      </c>
      <c r="Y39" s="96">
        <f t="shared" si="103"/>
        <v>27.000000000000004</v>
      </c>
      <c r="Z39" s="96">
        <f t="shared" si="74"/>
        <v>842.08276936740015</v>
      </c>
      <c r="AA39" s="96">
        <v>0.73799999999999999</v>
      </c>
      <c r="AB39" s="96">
        <f t="shared" si="58"/>
        <v>23.670067060800001</v>
      </c>
      <c r="AC39" s="96"/>
      <c r="AD39" s="96">
        <f t="shared" si="59"/>
        <v>0</v>
      </c>
      <c r="AE39" s="96"/>
      <c r="AF39" s="95">
        <f t="shared" si="60"/>
        <v>0</v>
      </c>
      <c r="AG39" s="96">
        <f t="shared" si="104"/>
        <v>0.73799999999999999</v>
      </c>
      <c r="AH39" s="96">
        <f t="shared" si="75"/>
        <v>23.670067060800001</v>
      </c>
      <c r="AI39" s="96">
        <f t="shared" si="62"/>
        <v>27.738000000000003</v>
      </c>
      <c r="AJ39" s="96">
        <f t="shared" si="63"/>
        <v>865.75283642820011</v>
      </c>
      <c r="AK39" s="96"/>
      <c r="AL39" s="96">
        <f t="shared" si="64"/>
        <v>0</v>
      </c>
      <c r="AM39" s="96"/>
      <c r="AN39" s="96">
        <f t="shared" si="65"/>
        <v>0</v>
      </c>
      <c r="AO39" s="96"/>
      <c r="AP39" s="96">
        <f t="shared" si="66"/>
        <v>0</v>
      </c>
      <c r="AQ39" s="96">
        <f t="shared" si="76"/>
        <v>0</v>
      </c>
      <c r="AR39" s="96">
        <f t="shared" si="77"/>
        <v>0</v>
      </c>
      <c r="AS39" s="96"/>
      <c r="AT39" s="96">
        <f t="shared" si="68"/>
        <v>0</v>
      </c>
      <c r="AU39" s="96"/>
      <c r="AV39" s="96">
        <f t="shared" si="69"/>
        <v>0</v>
      </c>
      <c r="AW39" s="96"/>
      <c r="AX39" s="96">
        <f t="shared" si="70"/>
        <v>0</v>
      </c>
      <c r="AY39" s="96">
        <f t="shared" si="78"/>
        <v>0</v>
      </c>
      <c r="AZ39" s="96">
        <f t="shared" si="79"/>
        <v>0</v>
      </c>
      <c r="BA39" s="96">
        <f t="shared" si="72"/>
        <v>0</v>
      </c>
      <c r="BB39" s="96">
        <f t="shared" si="73"/>
        <v>0</v>
      </c>
      <c r="BC39" s="1" t="s">
        <v>1059</v>
      </c>
    </row>
    <row r="40" spans="1:55">
      <c r="B40" s="13"/>
      <c r="C40" s="13"/>
      <c r="D40" s="13"/>
      <c r="E40" s="21" t="s">
        <v>1114</v>
      </c>
      <c r="F40" s="22" t="s">
        <v>1118</v>
      </c>
      <c r="G40" s="45" t="s">
        <v>1056</v>
      </c>
      <c r="H40" s="265" t="s">
        <v>358</v>
      </c>
      <c r="I40" s="54">
        <v>18.75</v>
      </c>
      <c r="J40" s="101"/>
      <c r="K40" s="54">
        <v>18.75</v>
      </c>
      <c r="L40" s="162"/>
      <c r="M40" s="54"/>
      <c r="N40" s="162"/>
      <c r="O40" s="54"/>
      <c r="P40" s="101"/>
      <c r="Q40" s="96">
        <f t="shared" si="52"/>
        <v>0</v>
      </c>
      <c r="R40" s="337">
        <f t="shared" si="53"/>
        <v>0</v>
      </c>
      <c r="S40" s="96"/>
      <c r="T40" s="96">
        <f t="shared" si="54"/>
        <v>0</v>
      </c>
      <c r="U40" s="96"/>
      <c r="V40" s="176">
        <f t="shared" si="55"/>
        <v>0</v>
      </c>
      <c r="W40" s="206"/>
      <c r="X40" s="205">
        <f t="shared" si="56"/>
        <v>0</v>
      </c>
      <c r="Y40" s="188">
        <f t="shared" si="103"/>
        <v>0</v>
      </c>
      <c r="Z40" s="176">
        <f>SUM(T40+V40+X40)</f>
        <v>0</v>
      </c>
      <c r="AA40" s="206"/>
      <c r="AB40" s="205">
        <f t="shared" si="58"/>
        <v>0</v>
      </c>
      <c r="AC40" s="206"/>
      <c r="AD40" s="176">
        <f t="shared" si="59"/>
        <v>0</v>
      </c>
      <c r="AE40" s="206"/>
      <c r="AF40" s="205">
        <f t="shared" si="60"/>
        <v>0</v>
      </c>
      <c r="AG40" s="188">
        <f t="shared" si="104"/>
        <v>0</v>
      </c>
      <c r="AH40" s="96">
        <f>SUM(AB40+AD40+AF40)</f>
        <v>0</v>
      </c>
      <c r="AI40" s="96">
        <f t="shared" si="62"/>
        <v>0</v>
      </c>
      <c r="AJ40" s="176">
        <f t="shared" si="63"/>
        <v>0</v>
      </c>
      <c r="AK40" s="206"/>
      <c r="AL40" s="176">
        <f t="shared" si="64"/>
        <v>0</v>
      </c>
      <c r="AM40" s="243"/>
      <c r="AN40" s="176">
        <f t="shared" si="65"/>
        <v>0</v>
      </c>
      <c r="AO40" s="206"/>
      <c r="AP40" s="205">
        <f t="shared" si="66"/>
        <v>0</v>
      </c>
      <c r="AQ40" s="188">
        <f t="shared" si="76"/>
        <v>0</v>
      </c>
      <c r="AR40" s="96">
        <f>SUM(AL40+AN40+AP40)</f>
        <v>0</v>
      </c>
      <c r="AS40" s="96"/>
      <c r="AT40" s="176">
        <f t="shared" si="68"/>
        <v>0</v>
      </c>
      <c r="AU40" s="206"/>
      <c r="AV40" s="176">
        <f t="shared" si="69"/>
        <v>0</v>
      </c>
      <c r="AW40" s="206"/>
      <c r="AX40" s="205">
        <f t="shared" si="70"/>
        <v>0</v>
      </c>
      <c r="AY40" s="188">
        <f t="shared" si="78"/>
        <v>0</v>
      </c>
      <c r="AZ40" s="96">
        <f>SUM(AT40+AV40+AX40)</f>
        <v>0</v>
      </c>
      <c r="BA40" s="96">
        <f t="shared" si="72"/>
        <v>0</v>
      </c>
      <c r="BB40" s="96">
        <f t="shared" si="73"/>
        <v>0</v>
      </c>
      <c r="BC40" s="1" t="s">
        <v>1059</v>
      </c>
    </row>
    <row r="41" spans="1:55">
      <c r="B41" s="13"/>
      <c r="C41" s="13"/>
      <c r="D41" s="13"/>
      <c r="E41" s="21" t="s">
        <v>1115</v>
      </c>
      <c r="F41" s="22" t="s">
        <v>1119</v>
      </c>
      <c r="G41" s="45" t="s">
        <v>1056</v>
      </c>
      <c r="H41" s="265" t="s">
        <v>358</v>
      </c>
      <c r="I41" s="54">
        <v>20.64</v>
      </c>
      <c r="J41" s="101"/>
      <c r="K41" s="54">
        <v>20.64</v>
      </c>
      <c r="L41" s="162"/>
      <c r="M41" s="54"/>
      <c r="N41" s="162"/>
      <c r="O41" s="54"/>
      <c r="P41" s="101"/>
      <c r="Q41" s="96">
        <f t="shared" si="52"/>
        <v>0</v>
      </c>
      <c r="R41" s="337">
        <f t="shared" si="53"/>
        <v>0</v>
      </c>
      <c r="S41" s="96"/>
      <c r="T41" s="96">
        <f t="shared" si="54"/>
        <v>0</v>
      </c>
      <c r="U41" s="96"/>
      <c r="V41" s="176">
        <f t="shared" si="55"/>
        <v>0</v>
      </c>
      <c r="W41" s="206"/>
      <c r="X41" s="205">
        <f t="shared" si="56"/>
        <v>0</v>
      </c>
      <c r="Y41" s="188">
        <f t="shared" si="103"/>
        <v>0</v>
      </c>
      <c r="Z41" s="176">
        <f>SUM(T41+V41+X41)</f>
        <v>0</v>
      </c>
      <c r="AA41" s="206"/>
      <c r="AB41" s="205">
        <f t="shared" si="58"/>
        <v>0</v>
      </c>
      <c r="AC41" s="206"/>
      <c r="AD41" s="176">
        <f t="shared" si="59"/>
        <v>0</v>
      </c>
      <c r="AE41" s="206"/>
      <c r="AF41" s="205">
        <f t="shared" si="60"/>
        <v>0</v>
      </c>
      <c r="AG41" s="188">
        <f t="shared" si="104"/>
        <v>0</v>
      </c>
      <c r="AH41" s="96">
        <f>SUM(AB41+AD41+AF41)</f>
        <v>0</v>
      </c>
      <c r="AI41" s="96">
        <f t="shared" si="62"/>
        <v>0</v>
      </c>
      <c r="AJ41" s="176">
        <f t="shared" si="63"/>
        <v>0</v>
      </c>
      <c r="AK41" s="206"/>
      <c r="AL41" s="176">
        <f t="shared" si="64"/>
        <v>0</v>
      </c>
      <c r="AM41" s="243"/>
      <c r="AN41" s="176">
        <f t="shared" si="65"/>
        <v>0</v>
      </c>
      <c r="AO41" s="206"/>
      <c r="AP41" s="205">
        <f t="shared" si="66"/>
        <v>0</v>
      </c>
      <c r="AQ41" s="188">
        <f t="shared" si="76"/>
        <v>0</v>
      </c>
      <c r="AR41" s="96">
        <f>SUM(AL41+AN41+AP41)</f>
        <v>0</v>
      </c>
      <c r="AS41" s="96"/>
      <c r="AT41" s="176">
        <f t="shared" si="68"/>
        <v>0</v>
      </c>
      <c r="AU41" s="206"/>
      <c r="AV41" s="176">
        <f t="shared" si="69"/>
        <v>0</v>
      </c>
      <c r="AW41" s="206"/>
      <c r="AX41" s="205">
        <f t="shared" si="70"/>
        <v>0</v>
      </c>
      <c r="AY41" s="188">
        <f t="shared" si="78"/>
        <v>0</v>
      </c>
      <c r="AZ41" s="96">
        <f>SUM(AT41+AV41+AX41)</f>
        <v>0</v>
      </c>
      <c r="BA41" s="96">
        <f t="shared" si="72"/>
        <v>0</v>
      </c>
      <c r="BB41" s="96">
        <f t="shared" si="73"/>
        <v>0</v>
      </c>
      <c r="BC41" s="1" t="s">
        <v>1059</v>
      </c>
    </row>
    <row r="42" spans="1:55">
      <c r="B42" s="13"/>
      <c r="C42" s="13"/>
      <c r="D42" s="13"/>
      <c r="E42" s="21" t="s">
        <v>1116</v>
      </c>
      <c r="F42" s="22" t="s">
        <v>1117</v>
      </c>
      <c r="G42" s="45" t="s">
        <v>1056</v>
      </c>
      <c r="H42" s="265" t="s">
        <v>358</v>
      </c>
      <c r="I42" s="54">
        <v>14.49</v>
      </c>
      <c r="J42" s="101"/>
      <c r="K42" s="54">
        <v>14.49</v>
      </c>
      <c r="L42" s="162"/>
      <c r="M42" s="54"/>
      <c r="N42" s="162"/>
      <c r="O42" s="54"/>
      <c r="P42" s="101"/>
      <c r="Q42" s="96">
        <f t="shared" si="52"/>
        <v>14.614000000000001</v>
      </c>
      <c r="R42" s="337">
        <f t="shared" si="53"/>
        <v>305.70279093900001</v>
      </c>
      <c r="S42" s="96">
        <v>14.614000000000001</v>
      </c>
      <c r="T42" s="96">
        <f t="shared" si="54"/>
        <v>305.70279093900001</v>
      </c>
      <c r="U42" s="96"/>
      <c r="V42" s="176">
        <f t="shared" si="55"/>
        <v>0</v>
      </c>
      <c r="W42" s="206"/>
      <c r="X42" s="205">
        <f t="shared" si="56"/>
        <v>0</v>
      </c>
      <c r="Y42" s="188">
        <f t="shared" si="103"/>
        <v>14.614000000000001</v>
      </c>
      <c r="Z42" s="176">
        <f>SUM(T42+V42+X42)</f>
        <v>305.70279093900001</v>
      </c>
      <c r="AA42" s="206"/>
      <c r="AB42" s="205">
        <f t="shared" si="58"/>
        <v>0</v>
      </c>
      <c r="AC42" s="206"/>
      <c r="AD42" s="176">
        <f t="shared" si="59"/>
        <v>0</v>
      </c>
      <c r="AE42" s="206"/>
      <c r="AF42" s="205">
        <f t="shared" si="60"/>
        <v>0</v>
      </c>
      <c r="AG42" s="188">
        <f t="shared" si="104"/>
        <v>0</v>
      </c>
      <c r="AH42" s="96">
        <f>SUM(AB42+AD42+AF42)</f>
        <v>0</v>
      </c>
      <c r="AI42" s="96">
        <f t="shared" si="62"/>
        <v>14.614000000000001</v>
      </c>
      <c r="AJ42" s="176">
        <f t="shared" si="63"/>
        <v>305.70279093900001</v>
      </c>
      <c r="AK42" s="206"/>
      <c r="AL42" s="176">
        <f t="shared" si="64"/>
        <v>0</v>
      </c>
      <c r="AM42" s="243"/>
      <c r="AN42" s="176">
        <f t="shared" si="65"/>
        <v>0</v>
      </c>
      <c r="AO42" s="206"/>
      <c r="AP42" s="205">
        <f t="shared" si="66"/>
        <v>0</v>
      </c>
      <c r="AQ42" s="188">
        <f t="shared" si="76"/>
        <v>0</v>
      </c>
      <c r="AR42" s="96">
        <f>SUM(AL42+AN42+AP42)</f>
        <v>0</v>
      </c>
      <c r="AS42" s="96"/>
      <c r="AT42" s="176">
        <f t="shared" si="68"/>
        <v>0</v>
      </c>
      <c r="AU42" s="206"/>
      <c r="AV42" s="176">
        <f t="shared" si="69"/>
        <v>0</v>
      </c>
      <c r="AW42" s="206"/>
      <c r="AX42" s="205">
        <f t="shared" si="70"/>
        <v>0</v>
      </c>
      <c r="AY42" s="188">
        <f t="shared" si="78"/>
        <v>0</v>
      </c>
      <c r="AZ42" s="96">
        <f>SUM(AT42+AV42+AX42)</f>
        <v>0</v>
      </c>
      <c r="BA42" s="96">
        <f t="shared" si="72"/>
        <v>0</v>
      </c>
      <c r="BB42" s="96">
        <f t="shared" si="73"/>
        <v>0</v>
      </c>
      <c r="BC42" s="1" t="s">
        <v>1059</v>
      </c>
    </row>
    <row r="43" spans="1:55">
      <c r="B43" s="13"/>
      <c r="C43" s="13"/>
      <c r="D43" s="13"/>
      <c r="E43" s="21" t="s">
        <v>1161</v>
      </c>
      <c r="F43" s="22" t="s">
        <v>1160</v>
      </c>
      <c r="G43" s="45" t="s">
        <v>1056</v>
      </c>
      <c r="H43" s="265" t="s">
        <v>358</v>
      </c>
      <c r="I43" s="54">
        <v>22.77</v>
      </c>
      <c r="J43" s="101"/>
      <c r="K43" s="54">
        <v>22.77</v>
      </c>
      <c r="L43" s="162"/>
      <c r="M43" s="54"/>
      <c r="N43" s="162"/>
      <c r="O43" s="54"/>
      <c r="P43" s="101"/>
      <c r="Q43" s="96">
        <f t="shared" si="52"/>
        <v>0</v>
      </c>
      <c r="R43" s="337">
        <f t="shared" si="53"/>
        <v>0</v>
      </c>
      <c r="S43" s="96"/>
      <c r="T43" s="96">
        <f t="shared" si="54"/>
        <v>0</v>
      </c>
      <c r="U43" s="96"/>
      <c r="V43" s="176">
        <f t="shared" si="55"/>
        <v>0</v>
      </c>
      <c r="W43" s="206"/>
      <c r="X43" s="205">
        <f t="shared" si="56"/>
        <v>0</v>
      </c>
      <c r="Y43" s="188">
        <f t="shared" si="103"/>
        <v>0</v>
      </c>
      <c r="Z43" s="176">
        <f>SUM(T43+V43+X43)</f>
        <v>0</v>
      </c>
      <c r="AA43" s="206"/>
      <c r="AB43" s="205">
        <f t="shared" si="58"/>
        <v>0</v>
      </c>
      <c r="AC43" s="206"/>
      <c r="AD43" s="176">
        <f t="shared" si="59"/>
        <v>0</v>
      </c>
      <c r="AE43" s="206"/>
      <c r="AF43" s="205">
        <f t="shared" si="60"/>
        <v>0</v>
      </c>
      <c r="AG43" s="188">
        <f t="shared" si="104"/>
        <v>0</v>
      </c>
      <c r="AH43" s="96">
        <f>SUM(AB43+AD43+AF43)</f>
        <v>0</v>
      </c>
      <c r="AI43" s="96">
        <f t="shared" si="62"/>
        <v>0</v>
      </c>
      <c r="AJ43" s="176">
        <f t="shared" si="63"/>
        <v>0</v>
      </c>
      <c r="AK43" s="206"/>
      <c r="AL43" s="176">
        <f t="shared" si="64"/>
        <v>0</v>
      </c>
      <c r="AM43" s="243"/>
      <c r="AN43" s="176">
        <f t="shared" si="65"/>
        <v>0</v>
      </c>
      <c r="AO43" s="206"/>
      <c r="AP43" s="205">
        <f t="shared" si="66"/>
        <v>0</v>
      </c>
      <c r="AQ43" s="188">
        <f t="shared" si="76"/>
        <v>0</v>
      </c>
      <c r="AR43" s="96">
        <f>SUM(AL43+AN43+AP43)</f>
        <v>0</v>
      </c>
      <c r="AS43" s="96"/>
      <c r="AT43" s="176">
        <f t="shared" si="68"/>
        <v>0</v>
      </c>
      <c r="AU43" s="206"/>
      <c r="AV43" s="176">
        <f t="shared" si="69"/>
        <v>0</v>
      </c>
      <c r="AW43" s="206"/>
      <c r="AX43" s="205">
        <f t="shared" si="70"/>
        <v>0</v>
      </c>
      <c r="AY43" s="188">
        <f t="shared" si="78"/>
        <v>0</v>
      </c>
      <c r="AZ43" s="96">
        <f>SUM(AT43+AV43+AX43)</f>
        <v>0</v>
      </c>
      <c r="BA43" s="96">
        <f t="shared" si="72"/>
        <v>0</v>
      </c>
      <c r="BB43" s="96">
        <f t="shared" si="73"/>
        <v>0</v>
      </c>
      <c r="BC43" s="1" t="s">
        <v>1059</v>
      </c>
    </row>
    <row r="44" spans="1:55">
      <c r="A44" s="492">
        <v>36</v>
      </c>
      <c r="B44" s="13"/>
      <c r="C44" s="13"/>
      <c r="D44" s="15"/>
      <c r="E44" s="21" t="s">
        <v>927</v>
      </c>
      <c r="F44" s="45" t="s">
        <v>952</v>
      </c>
      <c r="G44" s="45" t="s">
        <v>1056</v>
      </c>
      <c r="H44" s="265" t="s">
        <v>358</v>
      </c>
      <c r="I44" s="137">
        <v>29.23</v>
      </c>
      <c r="J44" s="157"/>
      <c r="K44" s="137">
        <v>29.23</v>
      </c>
      <c r="L44" s="201"/>
      <c r="M44" s="137"/>
      <c r="N44" s="201"/>
      <c r="O44" s="137"/>
      <c r="P44" s="157"/>
      <c r="Q44" s="96">
        <f t="shared" si="52"/>
        <v>0</v>
      </c>
      <c r="R44" s="337">
        <f t="shared" si="53"/>
        <v>0</v>
      </c>
      <c r="S44" s="96"/>
      <c r="T44" s="96">
        <f t="shared" si="54"/>
        <v>0</v>
      </c>
      <c r="U44" s="96"/>
      <c r="V44" s="96">
        <f t="shared" si="55"/>
        <v>0</v>
      </c>
      <c r="W44" s="96"/>
      <c r="X44" s="96">
        <f t="shared" si="56"/>
        <v>0</v>
      </c>
      <c r="Y44" s="96">
        <f t="shared" si="103"/>
        <v>0</v>
      </c>
      <c r="Z44" s="96">
        <f t="shared" ref="Z44:Z49" si="105">SUM(T44,V44,X44)</f>
        <v>0</v>
      </c>
      <c r="AA44" s="96"/>
      <c r="AB44" s="96">
        <f t="shared" si="58"/>
        <v>0</v>
      </c>
      <c r="AC44" s="96"/>
      <c r="AD44" s="96">
        <f t="shared" si="59"/>
        <v>0</v>
      </c>
      <c r="AE44" s="96"/>
      <c r="AF44" s="95">
        <f t="shared" si="60"/>
        <v>0</v>
      </c>
      <c r="AG44" s="96">
        <f t="shared" si="104"/>
        <v>0</v>
      </c>
      <c r="AH44" s="96">
        <f t="shared" ref="AH44:AH49" si="106">SUM(AB44,AD44,AF44)</f>
        <v>0</v>
      </c>
      <c r="AI44" s="96">
        <f t="shared" si="62"/>
        <v>0</v>
      </c>
      <c r="AJ44" s="96">
        <f t="shared" si="63"/>
        <v>0</v>
      </c>
      <c r="AK44" s="96"/>
      <c r="AL44" s="96">
        <f t="shared" si="64"/>
        <v>0</v>
      </c>
      <c r="AM44" s="96"/>
      <c r="AN44" s="96">
        <f t="shared" si="65"/>
        <v>0</v>
      </c>
      <c r="AO44" s="96"/>
      <c r="AP44" s="96">
        <f t="shared" si="66"/>
        <v>0</v>
      </c>
      <c r="AQ44" s="96">
        <f t="shared" si="76"/>
        <v>0</v>
      </c>
      <c r="AR44" s="96">
        <f t="shared" ref="AR44:AR48" si="107">SUM(AL44,AN44,AP44)</f>
        <v>0</v>
      </c>
      <c r="AS44" s="96"/>
      <c r="AT44" s="96">
        <f t="shared" si="68"/>
        <v>0</v>
      </c>
      <c r="AU44" s="96"/>
      <c r="AV44" s="96">
        <f t="shared" si="69"/>
        <v>0</v>
      </c>
      <c r="AW44" s="96"/>
      <c r="AX44" s="96">
        <f t="shared" si="70"/>
        <v>0</v>
      </c>
      <c r="AY44" s="96">
        <f t="shared" si="78"/>
        <v>0</v>
      </c>
      <c r="AZ44" s="96">
        <f t="shared" ref="AZ44:AZ48" si="108">SUM(AT44,AV44,AX44)</f>
        <v>0</v>
      </c>
      <c r="BA44" s="96">
        <f t="shared" si="72"/>
        <v>0</v>
      </c>
      <c r="BB44" s="96">
        <f t="shared" si="73"/>
        <v>0</v>
      </c>
      <c r="BC44" s="1" t="s">
        <v>1059</v>
      </c>
    </row>
    <row r="45" spans="1:55">
      <c r="A45" s="492">
        <v>37</v>
      </c>
      <c r="B45" s="13"/>
      <c r="C45" s="13"/>
      <c r="D45" s="15"/>
      <c r="E45" s="62" t="s">
        <v>928</v>
      </c>
      <c r="F45" s="419" t="s">
        <v>953</v>
      </c>
      <c r="G45" s="419" t="s">
        <v>1057</v>
      </c>
      <c r="H45" s="281" t="s">
        <v>358</v>
      </c>
      <c r="I45" s="453">
        <v>31.67</v>
      </c>
      <c r="J45" s="421"/>
      <c r="K45" s="453">
        <v>31.67</v>
      </c>
      <c r="L45" s="454"/>
      <c r="M45" s="453"/>
      <c r="N45" s="454"/>
      <c r="O45" s="453"/>
      <c r="P45" s="421"/>
      <c r="Q45" s="128">
        <f t="shared" si="52"/>
        <v>0</v>
      </c>
      <c r="R45" s="345">
        <f t="shared" si="53"/>
        <v>0</v>
      </c>
      <c r="S45" s="128"/>
      <c r="T45" s="128">
        <f t="shared" si="54"/>
        <v>0</v>
      </c>
      <c r="U45" s="128"/>
      <c r="V45" s="128">
        <f t="shared" si="55"/>
        <v>0</v>
      </c>
      <c r="W45" s="128"/>
      <c r="X45" s="128">
        <f t="shared" si="56"/>
        <v>0</v>
      </c>
      <c r="Y45" s="128">
        <f t="shared" si="103"/>
        <v>0</v>
      </c>
      <c r="Z45" s="128">
        <f t="shared" si="105"/>
        <v>0</v>
      </c>
      <c r="AA45" s="128"/>
      <c r="AB45" s="128">
        <f t="shared" si="58"/>
        <v>0</v>
      </c>
      <c r="AC45" s="128"/>
      <c r="AD45" s="128">
        <f t="shared" si="59"/>
        <v>0</v>
      </c>
      <c r="AE45" s="128"/>
      <c r="AF45" s="422">
        <f t="shared" si="60"/>
        <v>0</v>
      </c>
      <c r="AG45" s="128">
        <f t="shared" si="104"/>
        <v>0</v>
      </c>
      <c r="AH45" s="128">
        <f t="shared" si="106"/>
        <v>0</v>
      </c>
      <c r="AI45" s="128">
        <f t="shared" si="62"/>
        <v>0</v>
      </c>
      <c r="AJ45" s="128">
        <f t="shared" si="63"/>
        <v>0</v>
      </c>
      <c r="AK45" s="128"/>
      <c r="AL45" s="128">
        <f t="shared" si="64"/>
        <v>0</v>
      </c>
      <c r="AM45" s="128"/>
      <c r="AN45" s="128">
        <f t="shared" si="65"/>
        <v>0</v>
      </c>
      <c r="AO45" s="128"/>
      <c r="AP45" s="128">
        <f t="shared" si="66"/>
        <v>0</v>
      </c>
      <c r="AQ45" s="128">
        <f t="shared" si="76"/>
        <v>0</v>
      </c>
      <c r="AR45" s="128">
        <f t="shared" si="107"/>
        <v>0</v>
      </c>
      <c r="AS45" s="128"/>
      <c r="AT45" s="128">
        <f t="shared" si="68"/>
        <v>0</v>
      </c>
      <c r="AU45" s="128"/>
      <c r="AV45" s="128">
        <f t="shared" si="69"/>
        <v>0</v>
      </c>
      <c r="AW45" s="128"/>
      <c r="AX45" s="128">
        <f t="shared" si="70"/>
        <v>0</v>
      </c>
      <c r="AY45" s="128">
        <f t="shared" si="78"/>
        <v>0</v>
      </c>
      <c r="AZ45" s="128">
        <f t="shared" si="108"/>
        <v>0</v>
      </c>
      <c r="BA45" s="128">
        <f t="shared" si="72"/>
        <v>0</v>
      </c>
      <c r="BB45" s="128">
        <f t="shared" si="73"/>
        <v>0</v>
      </c>
      <c r="BC45" s="1" t="s">
        <v>1059</v>
      </c>
    </row>
    <row r="46" spans="1:55">
      <c r="A46" s="492">
        <v>38</v>
      </c>
      <c r="B46" s="13"/>
      <c r="C46" s="13"/>
      <c r="D46" s="15"/>
      <c r="E46" s="516" t="s">
        <v>954</v>
      </c>
      <c r="F46" s="518" t="s">
        <v>955</v>
      </c>
      <c r="G46" s="518" t="s">
        <v>1057</v>
      </c>
      <c r="H46" s="519" t="s">
        <v>358</v>
      </c>
      <c r="I46" s="533">
        <v>30.33</v>
      </c>
      <c r="J46" s="534"/>
      <c r="K46" s="533">
        <v>30.33</v>
      </c>
      <c r="L46" s="535"/>
      <c r="M46" s="533"/>
      <c r="N46" s="535"/>
      <c r="O46" s="533"/>
      <c r="P46" s="534"/>
      <c r="Q46" s="521">
        <f t="shared" si="52"/>
        <v>0</v>
      </c>
      <c r="R46" s="522">
        <f t="shared" si="53"/>
        <v>0</v>
      </c>
      <c r="S46" s="521"/>
      <c r="T46" s="521">
        <f t="shared" si="54"/>
        <v>0</v>
      </c>
      <c r="U46" s="521"/>
      <c r="V46" s="521">
        <f t="shared" si="55"/>
        <v>0</v>
      </c>
      <c r="W46" s="521"/>
      <c r="X46" s="521">
        <f t="shared" si="56"/>
        <v>0</v>
      </c>
      <c r="Y46" s="521">
        <f t="shared" si="103"/>
        <v>0</v>
      </c>
      <c r="Z46" s="521">
        <f t="shared" si="105"/>
        <v>0</v>
      </c>
      <c r="AA46" s="521"/>
      <c r="AB46" s="521">
        <f t="shared" si="58"/>
        <v>0</v>
      </c>
      <c r="AC46" s="521"/>
      <c r="AD46" s="521">
        <f t="shared" si="59"/>
        <v>0</v>
      </c>
      <c r="AE46" s="521"/>
      <c r="AF46" s="536">
        <f t="shared" si="60"/>
        <v>0</v>
      </c>
      <c r="AG46" s="521">
        <f t="shared" si="104"/>
        <v>0</v>
      </c>
      <c r="AH46" s="521">
        <f t="shared" si="106"/>
        <v>0</v>
      </c>
      <c r="AI46" s="521">
        <f t="shared" si="62"/>
        <v>0</v>
      </c>
      <c r="AJ46" s="521">
        <f t="shared" si="63"/>
        <v>0</v>
      </c>
      <c r="AK46" s="521"/>
      <c r="AL46" s="521">
        <f t="shared" si="64"/>
        <v>0</v>
      </c>
      <c r="AM46" s="521"/>
      <c r="AN46" s="521">
        <f t="shared" si="65"/>
        <v>0</v>
      </c>
      <c r="AO46" s="521"/>
      <c r="AP46" s="521">
        <f t="shared" si="66"/>
        <v>0</v>
      </c>
      <c r="AQ46" s="521">
        <f t="shared" si="76"/>
        <v>0</v>
      </c>
      <c r="AR46" s="521">
        <f t="shared" si="107"/>
        <v>0</v>
      </c>
      <c r="AS46" s="521"/>
      <c r="AT46" s="521">
        <f t="shared" si="68"/>
        <v>0</v>
      </c>
      <c r="AU46" s="521"/>
      <c r="AV46" s="521">
        <f t="shared" si="69"/>
        <v>0</v>
      </c>
      <c r="AW46" s="521"/>
      <c r="AX46" s="521">
        <f t="shared" si="70"/>
        <v>0</v>
      </c>
      <c r="AY46" s="521">
        <f t="shared" si="78"/>
        <v>0</v>
      </c>
      <c r="AZ46" s="521">
        <f t="shared" si="108"/>
        <v>0</v>
      </c>
      <c r="BA46" s="521">
        <f t="shared" si="72"/>
        <v>0</v>
      </c>
      <c r="BB46" s="521">
        <f t="shared" si="73"/>
        <v>0</v>
      </c>
      <c r="BC46" s="1" t="s">
        <v>1059</v>
      </c>
    </row>
    <row r="47" spans="1:55">
      <c r="A47" s="492">
        <v>38</v>
      </c>
      <c r="B47" s="13"/>
      <c r="C47" s="13"/>
      <c r="D47" s="15"/>
      <c r="E47" s="354" t="s">
        <v>1582</v>
      </c>
      <c r="F47" s="45" t="s">
        <v>1583</v>
      </c>
      <c r="G47" s="518" t="s">
        <v>1056</v>
      </c>
      <c r="H47" s="519" t="s">
        <v>358</v>
      </c>
      <c r="I47" s="533">
        <v>9.36</v>
      </c>
      <c r="J47" s="534"/>
      <c r="K47" s="533">
        <v>9.2200000000000006</v>
      </c>
      <c r="L47" s="535"/>
      <c r="M47" s="533"/>
      <c r="N47" s="535"/>
      <c r="O47" s="533"/>
      <c r="P47" s="534"/>
      <c r="Q47" s="521">
        <f>SUM(AI47+BA47)</f>
        <v>19.908999999999999</v>
      </c>
      <c r="R47" s="522">
        <f>SUM(AJ47+BB47)</f>
        <v>268.34853569360001</v>
      </c>
      <c r="S47" s="521">
        <v>4.47</v>
      </c>
      <c r="T47" s="521">
        <f t="shared" ref="T47" si="109">I47*S47*$T$2/1000</f>
        <v>60.401161080000001</v>
      </c>
      <c r="U47" s="521">
        <v>15.262</v>
      </c>
      <c r="V47" s="521">
        <f t="shared" ref="V47" si="110">I47*U47*$V$2/1000</f>
        <v>205.4587777632</v>
      </c>
      <c r="W47" s="521">
        <v>0.17599999999999999</v>
      </c>
      <c r="X47" s="521">
        <f t="shared" ref="X47" si="111">I47*W47*$X$2/1000</f>
        <v>2.4749442431999991</v>
      </c>
      <c r="Y47" s="521">
        <f>SUM(S47+U47+W47)</f>
        <v>19.907999999999998</v>
      </c>
      <c r="Z47" s="521">
        <f t="shared" si="105"/>
        <v>268.3348830864</v>
      </c>
      <c r="AA47" s="521">
        <v>1E-3</v>
      </c>
      <c r="AB47" s="521">
        <f t="shared" ref="AB47" si="112">K47*AA47*$AB$2/1000</f>
        <v>1.36526072E-2</v>
      </c>
      <c r="AC47" s="521"/>
      <c r="AD47" s="521">
        <f t="shared" ref="AD47" si="113">K47*AC47*$AD$2/1000</f>
        <v>0</v>
      </c>
      <c r="AE47" s="521"/>
      <c r="AF47" s="536">
        <f t="shared" ref="AF47" si="114">K47*AE47*$AF$2/1000</f>
        <v>0</v>
      </c>
      <c r="AG47" s="521">
        <f>SUM(AA47+AC47+AE47)</f>
        <v>1E-3</v>
      </c>
      <c r="AH47" s="521">
        <f t="shared" si="106"/>
        <v>1.36526072E-2</v>
      </c>
      <c r="AI47" s="521">
        <f>SUM(Y47+AG47)</f>
        <v>19.908999999999999</v>
      </c>
      <c r="AJ47" s="521">
        <f t="shared" ref="AJ47" si="115">SUM(Z47,AH47)</f>
        <v>268.34853569360001</v>
      </c>
      <c r="AK47" s="521"/>
      <c r="AL47" s="521">
        <f t="shared" ref="AL47" si="116">M47*AK47*$AL$2/1000</f>
        <v>0</v>
      </c>
      <c r="AM47" s="521"/>
      <c r="AN47" s="521">
        <f t="shared" ref="AN47" si="117">M47*AM47*$AN$2/1000</f>
        <v>0</v>
      </c>
      <c r="AO47" s="95"/>
      <c r="AP47" s="521">
        <f t="shared" ref="AP47" si="118">M47*AO47*$AP$2/1000</f>
        <v>0</v>
      </c>
      <c r="AQ47" s="521">
        <f>SUM(AK47+AM47+AO47)</f>
        <v>0</v>
      </c>
      <c r="AR47" s="521">
        <f t="shared" si="107"/>
        <v>0</v>
      </c>
      <c r="AS47" s="521"/>
      <c r="AT47" s="521">
        <f>O47*AS47*$AT$2/1000</f>
        <v>0</v>
      </c>
      <c r="AU47" s="521"/>
      <c r="AV47" s="521">
        <f t="shared" ref="AV47" si="119">O47*AU47*$AV$2/1000</f>
        <v>0</v>
      </c>
      <c r="AW47" s="521"/>
      <c r="AX47" s="521">
        <f t="shared" ref="AX47" si="120">O47*AW47*$AX$2/1000</f>
        <v>0</v>
      </c>
      <c r="AY47" s="521">
        <f>SUM(AS47+AU47+AW47)</f>
        <v>0</v>
      </c>
      <c r="AZ47" s="521">
        <f t="shared" si="108"/>
        <v>0</v>
      </c>
      <c r="BA47" s="521">
        <f>SUM(AQ47+AY47)</f>
        <v>0</v>
      </c>
      <c r="BB47" s="521">
        <f t="shared" ref="BB47" si="121">SUM(AR47,AZ47)</f>
        <v>0</v>
      </c>
      <c r="BC47" s="1" t="s">
        <v>1059</v>
      </c>
    </row>
    <row r="48" spans="1:55">
      <c r="A48" s="492">
        <v>38</v>
      </c>
      <c r="B48" s="13"/>
      <c r="C48" s="13"/>
      <c r="D48" s="15"/>
      <c r="E48" s="569" t="s">
        <v>1553</v>
      </c>
      <c r="F48" s="424" t="s">
        <v>1584</v>
      </c>
      <c r="G48" s="518" t="s">
        <v>1056</v>
      </c>
      <c r="H48" s="519" t="s">
        <v>358</v>
      </c>
      <c r="I48" s="533">
        <v>9.77</v>
      </c>
      <c r="J48" s="534"/>
      <c r="K48" s="533">
        <v>9.76</v>
      </c>
      <c r="L48" s="535"/>
      <c r="M48" s="533"/>
      <c r="N48" s="535"/>
      <c r="O48" s="533"/>
      <c r="P48" s="534"/>
      <c r="Q48" s="521">
        <f t="shared" si="52"/>
        <v>14.466999999999999</v>
      </c>
      <c r="R48" s="522">
        <f t="shared" si="53"/>
        <v>203.76656959160002</v>
      </c>
      <c r="S48" s="521">
        <v>5.5430000000000001</v>
      </c>
      <c r="T48" s="521">
        <f t="shared" si="54"/>
        <v>78.181024551500002</v>
      </c>
      <c r="U48" s="521">
        <v>8.625</v>
      </c>
      <c r="V48" s="521">
        <f t="shared" si="55"/>
        <v>121.19677672500001</v>
      </c>
      <c r="W48" s="521">
        <v>0.29899999999999999</v>
      </c>
      <c r="X48" s="521">
        <f t="shared" si="56"/>
        <v>4.3887683150999992</v>
      </c>
      <c r="Y48" s="521">
        <f t="shared" si="103"/>
        <v>14.466999999999999</v>
      </c>
      <c r="Z48" s="521">
        <f t="shared" si="105"/>
        <v>203.76656959160002</v>
      </c>
      <c r="AA48" s="521"/>
      <c r="AB48" s="521">
        <f t="shared" si="58"/>
        <v>0</v>
      </c>
      <c r="AC48" s="521"/>
      <c r="AD48" s="521">
        <f t="shared" si="59"/>
        <v>0</v>
      </c>
      <c r="AE48" s="521"/>
      <c r="AF48" s="536">
        <f t="shared" si="60"/>
        <v>0</v>
      </c>
      <c r="AG48" s="521">
        <f t="shared" si="104"/>
        <v>0</v>
      </c>
      <c r="AH48" s="521">
        <f t="shared" si="106"/>
        <v>0</v>
      </c>
      <c r="AI48" s="521">
        <f t="shared" si="62"/>
        <v>14.466999999999999</v>
      </c>
      <c r="AJ48" s="521">
        <f t="shared" si="63"/>
        <v>203.76656959160002</v>
      </c>
      <c r="AK48" s="521"/>
      <c r="AL48" s="521">
        <f t="shared" si="64"/>
        <v>0</v>
      </c>
      <c r="AM48" s="521"/>
      <c r="AN48" s="521">
        <f t="shared" si="65"/>
        <v>0</v>
      </c>
      <c r="AO48" s="95"/>
      <c r="AP48" s="521">
        <f t="shared" si="66"/>
        <v>0</v>
      </c>
      <c r="AQ48" s="521">
        <f t="shared" si="76"/>
        <v>0</v>
      </c>
      <c r="AR48" s="521">
        <f t="shared" si="107"/>
        <v>0</v>
      </c>
      <c r="AS48" s="521"/>
      <c r="AT48" s="521">
        <f t="shared" si="68"/>
        <v>0</v>
      </c>
      <c r="AU48" s="521"/>
      <c r="AV48" s="521">
        <f t="shared" si="69"/>
        <v>0</v>
      </c>
      <c r="AW48" s="521"/>
      <c r="AX48" s="521">
        <f t="shared" si="70"/>
        <v>0</v>
      </c>
      <c r="AY48" s="521">
        <f t="shared" si="78"/>
        <v>0</v>
      </c>
      <c r="AZ48" s="521">
        <f t="shared" si="108"/>
        <v>0</v>
      </c>
      <c r="BA48" s="521">
        <f t="shared" si="72"/>
        <v>0</v>
      </c>
      <c r="BB48" s="521">
        <f t="shared" si="73"/>
        <v>0</v>
      </c>
      <c r="BC48" s="1" t="s">
        <v>1059</v>
      </c>
    </row>
    <row r="49" spans="1:55">
      <c r="A49" s="492">
        <v>38</v>
      </c>
      <c r="B49" s="13"/>
      <c r="C49" s="13"/>
      <c r="D49" s="15"/>
      <c r="E49" s="354" t="s">
        <v>1554</v>
      </c>
      <c r="F49" s="45" t="s">
        <v>1585</v>
      </c>
      <c r="G49" s="518" t="s">
        <v>1056</v>
      </c>
      <c r="H49" s="519" t="s">
        <v>358</v>
      </c>
      <c r="I49" s="533">
        <v>10.39</v>
      </c>
      <c r="J49" s="534"/>
      <c r="K49" s="533">
        <v>10.38</v>
      </c>
      <c r="L49" s="535"/>
      <c r="M49" s="533"/>
      <c r="N49" s="535"/>
      <c r="O49" s="533"/>
      <c r="P49" s="534"/>
      <c r="Q49" s="521">
        <f>SUM(AI49+BA49)</f>
        <v>38.504999999999995</v>
      </c>
      <c r="R49" s="522">
        <f>SUM(AJ49+BB49)</f>
        <v>581.08380790390004</v>
      </c>
      <c r="S49" s="521">
        <v>12.167</v>
      </c>
      <c r="T49" s="521">
        <f t="shared" ref="T49:T54" si="122">I49*S49*$T$2/1000</f>
        <v>182.49920242450003</v>
      </c>
      <c r="U49" s="521">
        <v>18.434999999999999</v>
      </c>
      <c r="V49" s="521">
        <f t="shared" ref="V49:V54" si="123">I49*U49*$V$2/1000</f>
        <v>275.48381700900001</v>
      </c>
      <c r="W49" s="521">
        <v>6.8079999999999998</v>
      </c>
      <c r="X49" s="521">
        <f t="shared" ref="X49:X54" si="124">I49*W49*$X$2/1000</f>
        <v>106.27032223440001</v>
      </c>
      <c r="Y49" s="521">
        <f t="shared" ref="Y49:Y54" si="125">SUM(S49+U49+W49)</f>
        <v>37.409999999999997</v>
      </c>
      <c r="Z49" s="521">
        <f t="shared" si="105"/>
        <v>564.25334166790003</v>
      </c>
      <c r="AA49" s="521">
        <v>1.095</v>
      </c>
      <c r="AB49" s="521">
        <f t="shared" ref="AB49:AB54" si="126">K49*AA49*$AB$2/1000</f>
        <v>16.830466235999999</v>
      </c>
      <c r="AC49" s="521"/>
      <c r="AD49" s="521">
        <f t="shared" ref="AD49:AD54" si="127">K49*AC49*$AD$2/1000</f>
        <v>0</v>
      </c>
      <c r="AE49" s="521"/>
      <c r="AF49" s="536">
        <f t="shared" ref="AF49:AF54" si="128">K49*AE49*$AF$2/1000</f>
        <v>0</v>
      </c>
      <c r="AG49" s="521">
        <f t="shared" ref="AG49:AG54" si="129">SUM(AA49+AC49+AE49)</f>
        <v>1.095</v>
      </c>
      <c r="AH49" s="521">
        <f t="shared" si="106"/>
        <v>16.830466235999999</v>
      </c>
      <c r="AI49" s="521">
        <f t="shared" ref="AI49" si="130">SUM(Y49+AG49)</f>
        <v>38.504999999999995</v>
      </c>
      <c r="AJ49" s="521">
        <f t="shared" ref="AJ49:AJ54" si="131">SUM(Z49,AH49)</f>
        <v>581.08380790390004</v>
      </c>
      <c r="AK49" s="521"/>
      <c r="AL49" s="521">
        <f t="shared" ref="AL49:AL54" si="132">M49*AK49*$AL$2/1000</f>
        <v>0</v>
      </c>
      <c r="AM49" s="521"/>
      <c r="AN49" s="521">
        <f t="shared" ref="AN49:AN54" si="133">M49*AM49*$AN$2/1000</f>
        <v>0</v>
      </c>
      <c r="AO49" s="95"/>
      <c r="AP49" s="521">
        <f t="shared" ref="AP49:AP54" si="134">M49*AO49*$AP$2/1000</f>
        <v>0</v>
      </c>
      <c r="AQ49" s="521">
        <f t="shared" ref="AQ49:AQ54" si="135">SUM(AK49+AM49+AO49)</f>
        <v>0</v>
      </c>
      <c r="AR49" s="521">
        <f>SUM(AL49,AN49,AP49)</f>
        <v>0</v>
      </c>
      <c r="AS49" s="521"/>
      <c r="AT49" s="521">
        <f t="shared" ref="AT49:AT54" si="136">O49*AS49*$AT$2/1000</f>
        <v>0</v>
      </c>
      <c r="AU49" s="521"/>
      <c r="AV49" s="521">
        <f t="shared" ref="AV49:AV54" si="137">O49*AU49*$AV$2/1000</f>
        <v>0</v>
      </c>
      <c r="AW49" s="521"/>
      <c r="AX49" s="521">
        <f t="shared" ref="AX49:AX54" si="138">O49*AW49*$AX$2/1000</f>
        <v>0</v>
      </c>
      <c r="AY49" s="521">
        <f t="shared" ref="AY49:AY54" si="139">SUM(AS49+AU49+AW49)</f>
        <v>0</v>
      </c>
      <c r="AZ49" s="521">
        <f>SUM(AT49,AV49,AX49)</f>
        <v>0</v>
      </c>
      <c r="BA49" s="521">
        <f t="shared" ref="BA49" si="140">SUM(AQ49+AY49)</f>
        <v>0</v>
      </c>
      <c r="BB49" s="521">
        <f t="shared" ref="BB49:BB54" si="141">SUM(AR49,AZ49)</f>
        <v>0</v>
      </c>
      <c r="BC49" s="1" t="s">
        <v>1059</v>
      </c>
    </row>
    <row r="50" spans="1:55">
      <c r="A50" s="492">
        <v>37</v>
      </c>
      <c r="B50" s="13"/>
      <c r="C50" s="13"/>
      <c r="D50" s="15"/>
      <c r="E50" s="62" t="s">
        <v>2433</v>
      </c>
      <c r="F50" s="419" t="s">
        <v>2434</v>
      </c>
      <c r="G50" s="419" t="s">
        <v>1056</v>
      </c>
      <c r="H50" s="281" t="s">
        <v>358</v>
      </c>
      <c r="I50" s="453">
        <v>8.9</v>
      </c>
      <c r="J50" s="421"/>
      <c r="K50" s="453">
        <v>8.9</v>
      </c>
      <c r="L50" s="454"/>
      <c r="M50" s="453"/>
      <c r="N50" s="454"/>
      <c r="O50" s="453"/>
      <c r="P50" s="421"/>
      <c r="Q50" s="128">
        <f>SUM(AI50+BA50)</f>
        <v>215.078</v>
      </c>
      <c r="R50" s="345">
        <f>SUM(AJ50+BB50)</f>
        <v>2784.5526369200002</v>
      </c>
      <c r="S50" s="128">
        <v>96.251999999999995</v>
      </c>
      <c r="T50" s="128">
        <f t="shared" ref="T50" si="142">I50*S50*$T$2/1000</f>
        <v>1236.6923782200001</v>
      </c>
      <c r="U50" s="128">
        <v>71.335999999999999</v>
      </c>
      <c r="V50" s="128">
        <f t="shared" ref="V50" si="143">I50*U50*$V$2/1000</f>
        <v>913.13746670400008</v>
      </c>
      <c r="W50" s="128">
        <v>46.084000000000003</v>
      </c>
      <c r="X50" s="128">
        <f t="shared" ref="X50" si="144">I50*W50*$X$2/1000</f>
        <v>616.19344981200004</v>
      </c>
      <c r="Y50" s="128">
        <f t="shared" ref="Y50" si="145">SUM(S50+U50+W50)</f>
        <v>213.672</v>
      </c>
      <c r="Z50" s="128">
        <f t="shared" ref="Z50" si="146">SUM(T50,V50,X50)</f>
        <v>2766.023294736</v>
      </c>
      <c r="AA50" s="128">
        <v>1.4059999999999999</v>
      </c>
      <c r="AB50" s="128">
        <f t="shared" ref="AB50" si="147">K50*AA50*$AB$2/1000</f>
        <v>18.529342183999997</v>
      </c>
      <c r="AC50" s="128"/>
      <c r="AD50" s="128">
        <f t="shared" ref="AD50" si="148">K50*AC50*$AD$2/1000</f>
        <v>0</v>
      </c>
      <c r="AE50" s="128"/>
      <c r="AF50" s="422">
        <f t="shared" ref="AF50" si="149">K50*AE50*$AF$2/1000</f>
        <v>0</v>
      </c>
      <c r="AG50" s="128">
        <f t="shared" ref="AG50" si="150">SUM(AA50+AC50+AE50)</f>
        <v>1.4059999999999999</v>
      </c>
      <c r="AH50" s="128">
        <f t="shared" ref="AH50" si="151">SUM(AB50,AD50,AF50)</f>
        <v>18.529342183999997</v>
      </c>
      <c r="AI50" s="128">
        <f t="shared" ref="AI50" si="152">SUM(Y50+AG50)</f>
        <v>215.078</v>
      </c>
      <c r="AJ50" s="128">
        <f t="shared" ref="AJ50" si="153">SUM(Z50,AH50)</f>
        <v>2784.5526369200002</v>
      </c>
      <c r="AK50" s="128"/>
      <c r="AL50" s="128">
        <f t="shared" ref="AL50" si="154">M50*AK50*$AL$2/1000</f>
        <v>0</v>
      </c>
      <c r="AM50" s="128"/>
      <c r="AN50" s="128">
        <f t="shared" ref="AN50" si="155">M50*AM50*$AN$2/1000</f>
        <v>0</v>
      </c>
      <c r="AO50" s="128"/>
      <c r="AP50" s="128">
        <f t="shared" ref="AP50" si="156">M50*AO50*$AP$2/1000</f>
        <v>0</v>
      </c>
      <c r="AQ50" s="128">
        <f t="shared" ref="AQ50" si="157">SUM(AK50+AM50+AO50)</f>
        <v>0</v>
      </c>
      <c r="AR50" s="128">
        <f t="shared" ref="AR50" si="158">SUM(AL50,AN50,AP50)</f>
        <v>0</v>
      </c>
      <c r="AS50" s="128"/>
      <c r="AT50" s="128">
        <f t="shared" ref="AT50" si="159">O50*AS50*$AT$2/1000</f>
        <v>0</v>
      </c>
      <c r="AU50" s="128"/>
      <c r="AV50" s="128">
        <f t="shared" ref="AV50" si="160">O50*AU50*$AV$2/1000</f>
        <v>0</v>
      </c>
      <c r="AW50" s="128"/>
      <c r="AX50" s="128">
        <f t="shared" ref="AX50" si="161">O50*AW50*$AX$2/1000</f>
        <v>0</v>
      </c>
      <c r="AY50" s="128">
        <f t="shared" ref="AY50" si="162">SUM(AS50+AU50+AW50)</f>
        <v>0</v>
      </c>
      <c r="AZ50" s="128">
        <f t="shared" ref="AZ50" si="163">SUM(AT50,AV50,AX50)</f>
        <v>0</v>
      </c>
      <c r="BA50" s="128">
        <f t="shared" ref="BA50" si="164">SUM(AQ50+AY50)</f>
        <v>0</v>
      </c>
      <c r="BB50" s="128">
        <f t="shared" ref="BB50" si="165">SUM(AR50,AZ50)</f>
        <v>0</v>
      </c>
      <c r="BC50" s="1" t="s">
        <v>1056</v>
      </c>
    </row>
    <row r="51" spans="1:55">
      <c r="A51" s="492">
        <v>37</v>
      </c>
      <c r="B51" s="13"/>
      <c r="C51" s="13"/>
      <c r="D51" s="15"/>
      <c r="E51" s="62" t="s">
        <v>2438</v>
      </c>
      <c r="F51" s="419" t="s">
        <v>2441</v>
      </c>
      <c r="G51" s="419" t="s">
        <v>1056</v>
      </c>
      <c r="H51" s="281" t="s">
        <v>358</v>
      </c>
      <c r="I51" s="453">
        <v>9.1999999999999993</v>
      </c>
      <c r="J51" s="421"/>
      <c r="K51" s="453">
        <v>9.1999999999999993</v>
      </c>
      <c r="L51" s="454"/>
      <c r="M51" s="453"/>
      <c r="N51" s="454"/>
      <c r="O51" s="453"/>
      <c r="P51" s="421"/>
      <c r="Q51" s="128">
        <f t="shared" ref="Q51:Q54" si="166">SUM(AI51+BA51)</f>
        <v>25.292000000000002</v>
      </c>
      <c r="R51" s="345">
        <f t="shared" ref="R51:R54" si="167">SUM(AJ51+BB51)</f>
        <v>344.94070544799996</v>
      </c>
      <c r="S51" s="128">
        <v>1.258</v>
      </c>
      <c r="T51" s="128">
        <f t="shared" si="122"/>
        <v>16.70822764</v>
      </c>
      <c r="U51" s="128">
        <v>4.4379999999999997</v>
      </c>
      <c r="V51" s="128">
        <f t="shared" si="123"/>
        <v>58.72358049599999</v>
      </c>
      <c r="W51" s="128">
        <v>12.84</v>
      </c>
      <c r="X51" s="128">
        <f t="shared" si="124"/>
        <v>177.47196335999996</v>
      </c>
      <c r="Y51" s="128">
        <f t="shared" si="125"/>
        <v>18.536000000000001</v>
      </c>
      <c r="Z51" s="128">
        <f t="shared" ref="Z51" si="168">SUM(T51,V51,X51)</f>
        <v>252.90377149599993</v>
      </c>
      <c r="AA51" s="128">
        <v>6.7560000000000002</v>
      </c>
      <c r="AB51" s="128">
        <f t="shared" si="126"/>
        <v>92.036933952000012</v>
      </c>
      <c r="AC51" s="128"/>
      <c r="AD51" s="128">
        <f t="shared" si="127"/>
        <v>0</v>
      </c>
      <c r="AE51" s="128"/>
      <c r="AF51" s="422">
        <f t="shared" si="128"/>
        <v>0</v>
      </c>
      <c r="AG51" s="128">
        <f t="shared" si="129"/>
        <v>6.7560000000000002</v>
      </c>
      <c r="AH51" s="128">
        <f t="shared" ref="AH51" si="169">SUM(AB51,AD51,AF51)</f>
        <v>92.036933952000012</v>
      </c>
      <c r="AI51" s="128">
        <f t="shared" ref="AI51" si="170">SUM(Y51+AG51)</f>
        <v>25.292000000000002</v>
      </c>
      <c r="AJ51" s="128">
        <f t="shared" si="131"/>
        <v>344.94070544799996</v>
      </c>
      <c r="AK51" s="128"/>
      <c r="AL51" s="128">
        <f t="shared" si="132"/>
        <v>0</v>
      </c>
      <c r="AM51" s="128"/>
      <c r="AN51" s="128">
        <f t="shared" si="133"/>
        <v>0</v>
      </c>
      <c r="AO51" s="128"/>
      <c r="AP51" s="128">
        <f t="shared" si="134"/>
        <v>0</v>
      </c>
      <c r="AQ51" s="128">
        <f t="shared" si="135"/>
        <v>0</v>
      </c>
      <c r="AR51" s="128">
        <f t="shared" ref="AR51" si="171">SUM(AL51,AN51,AP51)</f>
        <v>0</v>
      </c>
      <c r="AS51" s="128"/>
      <c r="AT51" s="128">
        <f t="shared" si="136"/>
        <v>0</v>
      </c>
      <c r="AU51" s="128"/>
      <c r="AV51" s="128">
        <f t="shared" si="137"/>
        <v>0</v>
      </c>
      <c r="AW51" s="128"/>
      <c r="AX51" s="128">
        <f t="shared" si="138"/>
        <v>0</v>
      </c>
      <c r="AY51" s="128">
        <f t="shared" si="139"/>
        <v>0</v>
      </c>
      <c r="AZ51" s="128">
        <f t="shared" ref="AZ51" si="172">SUM(AT51,AV51,AX51)</f>
        <v>0</v>
      </c>
      <c r="BA51" s="128">
        <f t="shared" ref="BA51" si="173">SUM(AQ51+AY51)</f>
        <v>0</v>
      </c>
      <c r="BB51" s="128">
        <f t="shared" si="141"/>
        <v>0</v>
      </c>
      <c r="BC51" s="1" t="s">
        <v>1056</v>
      </c>
    </row>
    <row r="52" spans="1:55">
      <c r="A52" s="492">
        <v>37</v>
      </c>
      <c r="B52" s="13"/>
      <c r="C52" s="13"/>
      <c r="D52" s="15"/>
      <c r="E52" s="62" t="s">
        <v>2439</v>
      </c>
      <c r="F52" s="419" t="s">
        <v>2442</v>
      </c>
      <c r="G52" s="419" t="s">
        <v>1056</v>
      </c>
      <c r="H52" s="281" t="s">
        <v>358</v>
      </c>
      <c r="I52" s="453">
        <v>9.1999999999999993</v>
      </c>
      <c r="J52" s="421"/>
      <c r="K52" s="453">
        <v>9.1999999999999993</v>
      </c>
      <c r="L52" s="454"/>
      <c r="M52" s="453"/>
      <c r="N52" s="454"/>
      <c r="O52" s="453"/>
      <c r="P52" s="421"/>
      <c r="Q52" s="128">
        <f>SUM(AI52+BA52)</f>
        <v>7.7620000000000005</v>
      </c>
      <c r="R52" s="345">
        <f>SUM(AJ52+BB52)</f>
        <v>104.96123130800001</v>
      </c>
      <c r="S52" s="128">
        <v>5.0000000000000001E-3</v>
      </c>
      <c r="T52" s="128">
        <f t="shared" ref="T52" si="174">I52*S52*$T$2/1000</f>
        <v>6.6407899999999992E-2</v>
      </c>
      <c r="U52" s="128">
        <v>3.9350000000000001</v>
      </c>
      <c r="V52" s="128">
        <f t="shared" ref="V52" si="175">I52*U52*$V$2/1000</f>
        <v>52.067888520000004</v>
      </c>
      <c r="W52" s="128">
        <v>3.8220000000000001</v>
      </c>
      <c r="X52" s="128">
        <f t="shared" ref="X52" si="176">I52*W52*$X$2/1000</f>
        <v>52.826934887999997</v>
      </c>
      <c r="Y52" s="128">
        <f t="shared" ref="Y52" si="177">SUM(S52+U52+W52)</f>
        <v>7.7620000000000005</v>
      </c>
      <c r="Z52" s="128">
        <f t="shared" ref="Z52" si="178">SUM(T52,V52,X52)</f>
        <v>104.96123130800001</v>
      </c>
      <c r="AA52" s="128"/>
      <c r="AB52" s="128">
        <f t="shared" ref="AB52" si="179">K52*AA52*$AB$2/1000</f>
        <v>0</v>
      </c>
      <c r="AC52" s="128"/>
      <c r="AD52" s="128">
        <f t="shared" ref="AD52" si="180">K52*AC52*$AD$2/1000</f>
        <v>0</v>
      </c>
      <c r="AE52" s="128"/>
      <c r="AF52" s="422">
        <f t="shared" ref="AF52" si="181">K52*AE52*$AF$2/1000</f>
        <v>0</v>
      </c>
      <c r="AG52" s="128">
        <f t="shared" ref="AG52" si="182">SUM(AA52+AC52+AE52)</f>
        <v>0</v>
      </c>
      <c r="AH52" s="128">
        <f t="shared" ref="AH52" si="183">SUM(AB52,AD52,AF52)</f>
        <v>0</v>
      </c>
      <c r="AI52" s="128">
        <f t="shared" ref="AI52" si="184">SUM(Y52+AG52)</f>
        <v>7.7620000000000005</v>
      </c>
      <c r="AJ52" s="128">
        <f t="shared" ref="AJ52" si="185">SUM(Z52,AH52)</f>
        <v>104.96123130800001</v>
      </c>
      <c r="AK52" s="128"/>
      <c r="AL52" s="128">
        <f t="shared" ref="AL52" si="186">M52*AK52*$AL$2/1000</f>
        <v>0</v>
      </c>
      <c r="AM52" s="128"/>
      <c r="AN52" s="128">
        <f t="shared" ref="AN52" si="187">M52*AM52*$AN$2/1000</f>
        <v>0</v>
      </c>
      <c r="AO52" s="128"/>
      <c r="AP52" s="128">
        <f t="shared" ref="AP52" si="188">M52*AO52*$AP$2/1000</f>
        <v>0</v>
      </c>
      <c r="AQ52" s="128">
        <f t="shared" ref="AQ52" si="189">SUM(AK52+AM52+AO52)</f>
        <v>0</v>
      </c>
      <c r="AR52" s="128">
        <f t="shared" ref="AR52" si="190">SUM(AL52,AN52,AP52)</f>
        <v>0</v>
      </c>
      <c r="AS52" s="128"/>
      <c r="AT52" s="128">
        <f t="shared" ref="AT52" si="191">O52*AS52*$AT$2/1000</f>
        <v>0</v>
      </c>
      <c r="AU52" s="128"/>
      <c r="AV52" s="128">
        <f t="shared" ref="AV52" si="192">O52*AU52*$AV$2/1000</f>
        <v>0</v>
      </c>
      <c r="AW52" s="128"/>
      <c r="AX52" s="128">
        <f t="shared" ref="AX52" si="193">O52*AW52*$AX$2/1000</f>
        <v>0</v>
      </c>
      <c r="AY52" s="128">
        <f t="shared" ref="AY52" si="194">SUM(AS52+AU52+AW52)</f>
        <v>0</v>
      </c>
      <c r="AZ52" s="128">
        <f t="shared" ref="AZ52" si="195">SUM(AT52,AV52,AX52)</f>
        <v>0</v>
      </c>
      <c r="BA52" s="128">
        <f t="shared" ref="BA52" si="196">SUM(AQ52+AY52)</f>
        <v>0</v>
      </c>
      <c r="BB52" s="128">
        <f t="shared" ref="BB52" si="197">SUM(AR52,AZ52)</f>
        <v>0</v>
      </c>
      <c r="BC52" s="1" t="s">
        <v>1056</v>
      </c>
    </row>
    <row r="53" spans="1:55">
      <c r="A53" s="492">
        <v>37</v>
      </c>
      <c r="B53" s="13"/>
      <c r="C53" s="13"/>
      <c r="D53" s="15"/>
      <c r="E53" s="62" t="s">
        <v>2440</v>
      </c>
      <c r="F53" s="419" t="s">
        <v>2443</v>
      </c>
      <c r="G53" s="419" t="s">
        <v>1056</v>
      </c>
      <c r="H53" s="281" t="s">
        <v>358</v>
      </c>
      <c r="I53" s="453">
        <v>15.35</v>
      </c>
      <c r="J53" s="421"/>
      <c r="K53" s="453">
        <v>15.35</v>
      </c>
      <c r="L53" s="454"/>
      <c r="M53" s="453"/>
      <c r="N53" s="454"/>
      <c r="O53" s="453"/>
      <c r="P53" s="421"/>
      <c r="Q53" s="128">
        <f t="shared" si="166"/>
        <v>62.972000000000001</v>
      </c>
      <c r="R53" s="345">
        <f t="shared" si="167"/>
        <v>1416.4614109724998</v>
      </c>
      <c r="S53" s="128">
        <v>9.9990000000000006</v>
      </c>
      <c r="T53" s="128">
        <f t="shared" si="122"/>
        <v>221.57811497250003</v>
      </c>
      <c r="U53" s="128">
        <v>27.123000000000001</v>
      </c>
      <c r="V53" s="128">
        <f t="shared" si="123"/>
        <v>598.80236379300004</v>
      </c>
      <c r="W53" s="128">
        <v>25.681999999999999</v>
      </c>
      <c r="X53" s="128">
        <f t="shared" si="124"/>
        <v>592.2623483189999</v>
      </c>
      <c r="Y53" s="128">
        <f t="shared" si="125"/>
        <v>62.804000000000002</v>
      </c>
      <c r="Z53" s="128">
        <f t="shared" ref="Z53:Z54" si="198">SUM(T53,V53,X53)</f>
        <v>1412.6428270844999</v>
      </c>
      <c r="AA53" s="128">
        <v>0.16800000000000001</v>
      </c>
      <c r="AB53" s="128">
        <f t="shared" si="126"/>
        <v>3.818583888</v>
      </c>
      <c r="AC53" s="128"/>
      <c r="AD53" s="128">
        <f t="shared" si="127"/>
        <v>0</v>
      </c>
      <c r="AE53" s="128"/>
      <c r="AF53" s="422">
        <f t="shared" si="128"/>
        <v>0</v>
      </c>
      <c r="AG53" s="128">
        <f t="shared" si="129"/>
        <v>0.16800000000000001</v>
      </c>
      <c r="AH53" s="128">
        <f t="shared" ref="AH53:AH54" si="199">SUM(AB53,AD53,AF53)</f>
        <v>3.818583888</v>
      </c>
      <c r="AI53" s="128">
        <f t="shared" ref="AI53:AI54" si="200">SUM(Y53+AG53)</f>
        <v>62.972000000000001</v>
      </c>
      <c r="AJ53" s="128">
        <f t="shared" si="131"/>
        <v>1416.4614109724998</v>
      </c>
      <c r="AK53" s="128"/>
      <c r="AL53" s="128">
        <f t="shared" si="132"/>
        <v>0</v>
      </c>
      <c r="AM53" s="128"/>
      <c r="AN53" s="128">
        <f t="shared" si="133"/>
        <v>0</v>
      </c>
      <c r="AO53" s="128"/>
      <c r="AP53" s="128">
        <f t="shared" si="134"/>
        <v>0</v>
      </c>
      <c r="AQ53" s="128">
        <f t="shared" si="135"/>
        <v>0</v>
      </c>
      <c r="AR53" s="128">
        <f t="shared" ref="AR53:AR54" si="201">SUM(AL53,AN53,AP53)</f>
        <v>0</v>
      </c>
      <c r="AS53" s="128"/>
      <c r="AT53" s="128">
        <f t="shared" si="136"/>
        <v>0</v>
      </c>
      <c r="AU53" s="128"/>
      <c r="AV53" s="128">
        <f t="shared" si="137"/>
        <v>0</v>
      </c>
      <c r="AW53" s="128"/>
      <c r="AX53" s="128">
        <f t="shared" si="138"/>
        <v>0</v>
      </c>
      <c r="AY53" s="128">
        <f t="shared" si="139"/>
        <v>0</v>
      </c>
      <c r="AZ53" s="128">
        <f t="shared" ref="AZ53:AZ54" si="202">SUM(AT53,AV53,AX53)</f>
        <v>0</v>
      </c>
      <c r="BA53" s="128">
        <f t="shared" ref="BA53:BA54" si="203">SUM(AQ53+AY53)</f>
        <v>0</v>
      </c>
      <c r="BB53" s="128">
        <f t="shared" si="141"/>
        <v>0</v>
      </c>
      <c r="BC53" s="1" t="s">
        <v>1056</v>
      </c>
    </row>
    <row r="54" spans="1:55">
      <c r="A54" s="492">
        <v>36</v>
      </c>
      <c r="B54" s="13"/>
      <c r="C54" s="13"/>
      <c r="D54" s="15"/>
      <c r="E54" s="21" t="s">
        <v>2614</v>
      </c>
      <c r="F54" s="45" t="s">
        <v>2615</v>
      </c>
      <c r="G54" s="45" t="s">
        <v>1056</v>
      </c>
      <c r="H54" s="265" t="s">
        <v>358</v>
      </c>
      <c r="I54" s="137"/>
      <c r="J54" s="157"/>
      <c r="K54" s="137">
        <v>7.1</v>
      </c>
      <c r="L54" s="201"/>
      <c r="M54" s="137"/>
      <c r="N54" s="201"/>
      <c r="O54" s="137"/>
      <c r="P54" s="157"/>
      <c r="Q54" s="96">
        <f t="shared" si="166"/>
        <v>0</v>
      </c>
      <c r="R54" s="337">
        <f t="shared" si="167"/>
        <v>0</v>
      </c>
      <c r="S54" s="96"/>
      <c r="T54" s="96">
        <f t="shared" si="122"/>
        <v>0</v>
      </c>
      <c r="U54" s="96"/>
      <c r="V54" s="96">
        <f t="shared" si="123"/>
        <v>0</v>
      </c>
      <c r="W54" s="96"/>
      <c r="X54" s="96">
        <f t="shared" si="124"/>
        <v>0</v>
      </c>
      <c r="Y54" s="96">
        <f t="shared" si="125"/>
        <v>0</v>
      </c>
      <c r="Z54" s="96">
        <f t="shared" si="198"/>
        <v>0</v>
      </c>
      <c r="AA54" s="96"/>
      <c r="AB54" s="96">
        <f t="shared" si="126"/>
        <v>0</v>
      </c>
      <c r="AC54" s="96"/>
      <c r="AD54" s="96">
        <f t="shared" si="127"/>
        <v>0</v>
      </c>
      <c r="AE54" s="96"/>
      <c r="AF54" s="95">
        <f t="shared" si="128"/>
        <v>0</v>
      </c>
      <c r="AG54" s="96">
        <f t="shared" si="129"/>
        <v>0</v>
      </c>
      <c r="AH54" s="96">
        <f t="shared" si="199"/>
        <v>0</v>
      </c>
      <c r="AI54" s="96">
        <f t="shared" si="200"/>
        <v>0</v>
      </c>
      <c r="AJ54" s="96">
        <f t="shared" si="131"/>
        <v>0</v>
      </c>
      <c r="AK54" s="96"/>
      <c r="AL54" s="96">
        <f t="shared" si="132"/>
        <v>0</v>
      </c>
      <c r="AM54" s="96"/>
      <c r="AN54" s="96">
        <f t="shared" si="133"/>
        <v>0</v>
      </c>
      <c r="AO54" s="96"/>
      <c r="AP54" s="96">
        <f t="shared" si="134"/>
        <v>0</v>
      </c>
      <c r="AQ54" s="96">
        <f t="shared" si="135"/>
        <v>0</v>
      </c>
      <c r="AR54" s="96">
        <f t="shared" si="201"/>
        <v>0</v>
      </c>
      <c r="AS54" s="96"/>
      <c r="AT54" s="96">
        <f t="shared" si="136"/>
        <v>0</v>
      </c>
      <c r="AU54" s="96"/>
      <c r="AV54" s="96">
        <f t="shared" si="137"/>
        <v>0</v>
      </c>
      <c r="AW54" s="96"/>
      <c r="AX54" s="96">
        <f t="shared" si="138"/>
        <v>0</v>
      </c>
      <c r="AY54" s="96">
        <f t="shared" si="139"/>
        <v>0</v>
      </c>
      <c r="AZ54" s="96">
        <f t="shared" si="202"/>
        <v>0</v>
      </c>
      <c r="BA54" s="96">
        <f t="shared" si="203"/>
        <v>0</v>
      </c>
      <c r="BB54" s="96">
        <f t="shared" si="141"/>
        <v>0</v>
      </c>
      <c r="BC54" s="1" t="s">
        <v>1056</v>
      </c>
    </row>
    <row r="55" spans="1:55">
      <c r="A55" s="492">
        <v>36</v>
      </c>
      <c r="B55" s="13"/>
      <c r="C55" s="13"/>
      <c r="D55" s="15"/>
      <c r="E55" s="21" t="s">
        <v>2067</v>
      </c>
      <c r="F55" s="45" t="s">
        <v>1712</v>
      </c>
      <c r="G55" s="45" t="s">
        <v>1056</v>
      </c>
      <c r="H55" s="265" t="s">
        <v>358</v>
      </c>
      <c r="I55" s="137">
        <v>7.8849999999999998</v>
      </c>
      <c r="J55" s="157"/>
      <c r="K55" s="137">
        <v>7.8849999999999998</v>
      </c>
      <c r="L55" s="201"/>
      <c r="M55" s="137"/>
      <c r="N55" s="201"/>
      <c r="O55" s="137"/>
      <c r="P55" s="157"/>
      <c r="Q55" s="96">
        <f t="shared" si="52"/>
        <v>0</v>
      </c>
      <c r="R55" s="337">
        <f t="shared" si="53"/>
        <v>0</v>
      </c>
      <c r="S55" s="96"/>
      <c r="T55" s="96">
        <f t="shared" si="54"/>
        <v>0</v>
      </c>
      <c r="U55" s="96"/>
      <c r="V55" s="96">
        <f t="shared" si="55"/>
        <v>0</v>
      </c>
      <c r="W55" s="96"/>
      <c r="X55" s="96">
        <f t="shared" si="56"/>
        <v>0</v>
      </c>
      <c r="Y55" s="96">
        <f t="shared" si="103"/>
        <v>0</v>
      </c>
      <c r="Z55" s="96">
        <f t="shared" ref="Z55:Z61" si="204">SUM(T55,V55,X55)</f>
        <v>0</v>
      </c>
      <c r="AA55" s="96"/>
      <c r="AB55" s="96">
        <f t="shared" si="58"/>
        <v>0</v>
      </c>
      <c r="AC55" s="96"/>
      <c r="AD55" s="96">
        <f t="shared" si="59"/>
        <v>0</v>
      </c>
      <c r="AE55" s="96"/>
      <c r="AF55" s="95">
        <f t="shared" si="60"/>
        <v>0</v>
      </c>
      <c r="AG55" s="96">
        <f t="shared" si="104"/>
        <v>0</v>
      </c>
      <c r="AH55" s="96">
        <f t="shared" ref="AH55:AH61" si="205">SUM(AB55,AD55,AF55)</f>
        <v>0</v>
      </c>
      <c r="AI55" s="96">
        <f t="shared" si="62"/>
        <v>0</v>
      </c>
      <c r="AJ55" s="96">
        <f t="shared" si="63"/>
        <v>0</v>
      </c>
      <c r="AK55" s="96"/>
      <c r="AL55" s="96">
        <f t="shared" si="64"/>
        <v>0</v>
      </c>
      <c r="AM55" s="96"/>
      <c r="AN55" s="96">
        <f t="shared" si="65"/>
        <v>0</v>
      </c>
      <c r="AO55" s="96"/>
      <c r="AP55" s="96">
        <f t="shared" si="66"/>
        <v>0</v>
      </c>
      <c r="AQ55" s="96">
        <f t="shared" si="76"/>
        <v>0</v>
      </c>
      <c r="AR55" s="96">
        <f t="shared" ref="AR55:AR61" si="206">SUM(AL55,AN55,AP55)</f>
        <v>0</v>
      </c>
      <c r="AS55" s="96"/>
      <c r="AT55" s="96">
        <f t="shared" si="68"/>
        <v>0</v>
      </c>
      <c r="AU55" s="96"/>
      <c r="AV55" s="96">
        <f t="shared" si="69"/>
        <v>0</v>
      </c>
      <c r="AW55" s="96"/>
      <c r="AX55" s="96">
        <f t="shared" si="70"/>
        <v>0</v>
      </c>
      <c r="AY55" s="96">
        <f t="shared" si="78"/>
        <v>0</v>
      </c>
      <c r="AZ55" s="96">
        <f t="shared" ref="AZ55:AZ61" si="207">SUM(AT55,AV55,AX55)</f>
        <v>0</v>
      </c>
      <c r="BA55" s="96">
        <f t="shared" si="72"/>
        <v>0</v>
      </c>
      <c r="BB55" s="96">
        <f t="shared" si="73"/>
        <v>0</v>
      </c>
      <c r="BC55" s="1" t="s">
        <v>1717</v>
      </c>
    </row>
    <row r="56" spans="1:55">
      <c r="A56" s="492">
        <v>37</v>
      </c>
      <c r="B56" s="13"/>
      <c r="C56" s="13"/>
      <c r="D56" s="15"/>
      <c r="E56" s="62" t="s">
        <v>1710</v>
      </c>
      <c r="F56" s="419" t="s">
        <v>1713</v>
      </c>
      <c r="G56" s="419" t="s">
        <v>1056</v>
      </c>
      <c r="H56" s="281" t="s">
        <v>358</v>
      </c>
      <c r="I56" s="453">
        <v>8.9395000000000007</v>
      </c>
      <c r="J56" s="421"/>
      <c r="K56" s="453">
        <v>8.9395000000000007</v>
      </c>
      <c r="L56" s="454"/>
      <c r="M56" s="453"/>
      <c r="N56" s="454"/>
      <c r="O56" s="453"/>
      <c r="P56" s="421"/>
      <c r="Q56" s="128">
        <f t="shared" si="52"/>
        <v>0</v>
      </c>
      <c r="R56" s="345">
        <f t="shared" si="53"/>
        <v>0</v>
      </c>
      <c r="S56" s="128"/>
      <c r="T56" s="128">
        <f t="shared" si="54"/>
        <v>0</v>
      </c>
      <c r="U56" s="128"/>
      <c r="V56" s="128">
        <f t="shared" si="55"/>
        <v>0</v>
      </c>
      <c r="W56" s="128"/>
      <c r="X56" s="128">
        <f t="shared" si="56"/>
        <v>0</v>
      </c>
      <c r="Y56" s="128">
        <f t="shared" si="103"/>
        <v>0</v>
      </c>
      <c r="Z56" s="128">
        <f t="shared" si="204"/>
        <v>0</v>
      </c>
      <c r="AA56" s="128"/>
      <c r="AB56" s="128">
        <f t="shared" si="58"/>
        <v>0</v>
      </c>
      <c r="AC56" s="128"/>
      <c r="AD56" s="128">
        <f t="shared" si="59"/>
        <v>0</v>
      </c>
      <c r="AE56" s="128"/>
      <c r="AF56" s="422">
        <f t="shared" si="60"/>
        <v>0</v>
      </c>
      <c r="AG56" s="128">
        <f t="shared" si="104"/>
        <v>0</v>
      </c>
      <c r="AH56" s="128">
        <f t="shared" si="205"/>
        <v>0</v>
      </c>
      <c r="AI56" s="128">
        <f t="shared" si="62"/>
        <v>0</v>
      </c>
      <c r="AJ56" s="128">
        <f t="shared" si="63"/>
        <v>0</v>
      </c>
      <c r="AK56" s="128"/>
      <c r="AL56" s="128">
        <f t="shared" si="64"/>
        <v>0</v>
      </c>
      <c r="AM56" s="128"/>
      <c r="AN56" s="128">
        <f t="shared" si="65"/>
        <v>0</v>
      </c>
      <c r="AO56" s="128"/>
      <c r="AP56" s="128">
        <f t="shared" si="66"/>
        <v>0</v>
      </c>
      <c r="AQ56" s="128">
        <f t="shared" si="76"/>
        <v>0</v>
      </c>
      <c r="AR56" s="128">
        <f t="shared" si="206"/>
        <v>0</v>
      </c>
      <c r="AS56" s="128"/>
      <c r="AT56" s="128">
        <f t="shared" si="68"/>
        <v>0</v>
      </c>
      <c r="AU56" s="128"/>
      <c r="AV56" s="128">
        <f t="shared" si="69"/>
        <v>0</v>
      </c>
      <c r="AW56" s="128"/>
      <c r="AX56" s="128">
        <f t="shared" si="70"/>
        <v>0</v>
      </c>
      <c r="AY56" s="128">
        <f t="shared" si="78"/>
        <v>0</v>
      </c>
      <c r="AZ56" s="128">
        <f t="shared" si="207"/>
        <v>0</v>
      </c>
      <c r="BA56" s="128">
        <f t="shared" si="72"/>
        <v>0</v>
      </c>
      <c r="BB56" s="128">
        <f t="shared" si="73"/>
        <v>0</v>
      </c>
      <c r="BC56" s="1" t="s">
        <v>1717</v>
      </c>
    </row>
    <row r="57" spans="1:55">
      <c r="A57" s="492">
        <v>38</v>
      </c>
      <c r="B57" s="13"/>
      <c r="C57" s="13"/>
      <c r="D57" s="15"/>
      <c r="E57" s="516" t="s">
        <v>1711</v>
      </c>
      <c r="F57" s="518" t="s">
        <v>1714</v>
      </c>
      <c r="G57" s="518" t="s">
        <v>1056</v>
      </c>
      <c r="H57" s="519" t="s">
        <v>358</v>
      </c>
      <c r="I57" s="533">
        <v>9.9655000000000005</v>
      </c>
      <c r="J57" s="534"/>
      <c r="K57" s="533">
        <v>9.9655000000000005</v>
      </c>
      <c r="L57" s="535"/>
      <c r="M57" s="533"/>
      <c r="N57" s="535"/>
      <c r="O57" s="533"/>
      <c r="P57" s="534"/>
      <c r="Q57" s="521">
        <f t="shared" si="52"/>
        <v>0</v>
      </c>
      <c r="R57" s="522">
        <f t="shared" si="53"/>
        <v>0</v>
      </c>
      <c r="S57" s="521"/>
      <c r="T57" s="521">
        <f t="shared" si="54"/>
        <v>0</v>
      </c>
      <c r="U57" s="521"/>
      <c r="V57" s="521">
        <f t="shared" si="55"/>
        <v>0</v>
      </c>
      <c r="W57" s="521"/>
      <c r="X57" s="521">
        <f t="shared" si="56"/>
        <v>0</v>
      </c>
      <c r="Y57" s="521">
        <f t="shared" si="103"/>
        <v>0</v>
      </c>
      <c r="Z57" s="521">
        <f t="shared" si="204"/>
        <v>0</v>
      </c>
      <c r="AA57" s="521"/>
      <c r="AB57" s="521">
        <f t="shared" si="58"/>
        <v>0</v>
      </c>
      <c r="AC57" s="521"/>
      <c r="AD57" s="521">
        <f t="shared" si="59"/>
        <v>0</v>
      </c>
      <c r="AE57" s="521"/>
      <c r="AF57" s="536">
        <f t="shared" si="60"/>
        <v>0</v>
      </c>
      <c r="AG57" s="521">
        <f t="shared" si="104"/>
        <v>0</v>
      </c>
      <c r="AH57" s="521">
        <f t="shared" si="205"/>
        <v>0</v>
      </c>
      <c r="AI57" s="521">
        <f t="shared" si="62"/>
        <v>0</v>
      </c>
      <c r="AJ57" s="521">
        <f t="shared" si="63"/>
        <v>0</v>
      </c>
      <c r="AK57" s="521"/>
      <c r="AL57" s="521">
        <f t="shared" si="64"/>
        <v>0</v>
      </c>
      <c r="AM57" s="521"/>
      <c r="AN57" s="521">
        <f t="shared" si="65"/>
        <v>0</v>
      </c>
      <c r="AO57" s="521"/>
      <c r="AP57" s="521">
        <f t="shared" si="66"/>
        <v>0</v>
      </c>
      <c r="AQ57" s="521">
        <f t="shared" si="76"/>
        <v>0</v>
      </c>
      <c r="AR57" s="521">
        <f t="shared" si="206"/>
        <v>0</v>
      </c>
      <c r="AS57" s="521"/>
      <c r="AT57" s="521">
        <f t="shared" si="68"/>
        <v>0</v>
      </c>
      <c r="AU57" s="521"/>
      <c r="AV57" s="521">
        <f t="shared" si="69"/>
        <v>0</v>
      </c>
      <c r="AW57" s="521"/>
      <c r="AX57" s="521">
        <f t="shared" si="70"/>
        <v>0</v>
      </c>
      <c r="AY57" s="521">
        <f t="shared" si="78"/>
        <v>0</v>
      </c>
      <c r="AZ57" s="521">
        <f t="shared" si="207"/>
        <v>0</v>
      </c>
      <c r="BA57" s="521">
        <f t="shared" si="72"/>
        <v>0</v>
      </c>
      <c r="BB57" s="521">
        <f t="shared" si="73"/>
        <v>0</v>
      </c>
      <c r="BC57" s="1" t="s">
        <v>1717</v>
      </c>
    </row>
    <row r="58" spans="1:55">
      <c r="A58" s="492">
        <v>36</v>
      </c>
      <c r="B58" s="13"/>
      <c r="C58" s="13"/>
      <c r="D58" s="15"/>
      <c r="E58" s="21" t="s">
        <v>1720</v>
      </c>
      <c r="F58" s="45" t="s">
        <v>1721</v>
      </c>
      <c r="G58" s="45" t="s">
        <v>1056</v>
      </c>
      <c r="H58" s="265" t="s">
        <v>358</v>
      </c>
      <c r="I58" s="137">
        <v>7.99</v>
      </c>
      <c r="J58" s="157"/>
      <c r="K58" s="137">
        <v>7.99</v>
      </c>
      <c r="L58" s="201"/>
      <c r="M58" s="137"/>
      <c r="N58" s="201"/>
      <c r="O58" s="137"/>
      <c r="P58" s="157"/>
      <c r="Q58" s="96">
        <f t="shared" si="52"/>
        <v>0</v>
      </c>
      <c r="R58" s="337">
        <f t="shared" si="53"/>
        <v>0</v>
      </c>
      <c r="S58" s="96"/>
      <c r="T58" s="96">
        <f t="shared" si="54"/>
        <v>0</v>
      </c>
      <c r="U58" s="96"/>
      <c r="V58" s="96">
        <f t="shared" si="55"/>
        <v>0</v>
      </c>
      <c r="W58" s="96"/>
      <c r="X58" s="96">
        <f t="shared" si="56"/>
        <v>0</v>
      </c>
      <c r="Y58" s="96">
        <f t="shared" si="103"/>
        <v>0</v>
      </c>
      <c r="Z58" s="96">
        <f t="shared" si="204"/>
        <v>0</v>
      </c>
      <c r="AA58" s="96"/>
      <c r="AB58" s="96">
        <f t="shared" si="58"/>
        <v>0</v>
      </c>
      <c r="AC58" s="96"/>
      <c r="AD58" s="96">
        <f t="shared" si="59"/>
        <v>0</v>
      </c>
      <c r="AE58" s="96"/>
      <c r="AF58" s="95">
        <f t="shared" si="60"/>
        <v>0</v>
      </c>
      <c r="AG58" s="96">
        <f t="shared" si="104"/>
        <v>0</v>
      </c>
      <c r="AH58" s="96">
        <f t="shared" si="205"/>
        <v>0</v>
      </c>
      <c r="AI58" s="96">
        <f t="shared" si="62"/>
        <v>0</v>
      </c>
      <c r="AJ58" s="96">
        <f t="shared" si="63"/>
        <v>0</v>
      </c>
      <c r="AK58" s="96"/>
      <c r="AL58" s="96">
        <f t="shared" si="64"/>
        <v>0</v>
      </c>
      <c r="AM58" s="96"/>
      <c r="AN58" s="96">
        <f t="shared" si="65"/>
        <v>0</v>
      </c>
      <c r="AO58" s="96"/>
      <c r="AP58" s="96">
        <f t="shared" si="66"/>
        <v>0</v>
      </c>
      <c r="AQ58" s="96">
        <f t="shared" si="76"/>
        <v>0</v>
      </c>
      <c r="AR58" s="96">
        <f t="shared" si="206"/>
        <v>0</v>
      </c>
      <c r="AS58" s="96"/>
      <c r="AT58" s="96">
        <f t="shared" si="68"/>
        <v>0</v>
      </c>
      <c r="AU58" s="96"/>
      <c r="AV58" s="96">
        <f t="shared" si="69"/>
        <v>0</v>
      </c>
      <c r="AW58" s="96"/>
      <c r="AX58" s="96">
        <f t="shared" si="70"/>
        <v>0</v>
      </c>
      <c r="AY58" s="96">
        <f t="shared" si="78"/>
        <v>0</v>
      </c>
      <c r="AZ58" s="96">
        <f t="shared" si="207"/>
        <v>0</v>
      </c>
      <c r="BA58" s="96">
        <f t="shared" si="72"/>
        <v>0</v>
      </c>
      <c r="BB58" s="96">
        <f t="shared" si="73"/>
        <v>0</v>
      </c>
      <c r="BC58" s="1" t="s">
        <v>1059</v>
      </c>
    </row>
    <row r="59" spans="1:55">
      <c r="A59" s="492">
        <v>37</v>
      </c>
      <c r="B59" s="13"/>
      <c r="C59" s="13"/>
      <c r="D59" s="15"/>
      <c r="E59" s="62" t="s">
        <v>1722</v>
      </c>
      <c r="F59" s="419" t="s">
        <v>1723</v>
      </c>
      <c r="G59" s="419" t="s">
        <v>1056</v>
      </c>
      <c r="H59" s="281" t="s">
        <v>358</v>
      </c>
      <c r="I59" s="453">
        <v>8.94</v>
      </c>
      <c r="J59" s="421"/>
      <c r="K59" s="453">
        <v>8.94</v>
      </c>
      <c r="L59" s="454"/>
      <c r="M59" s="453"/>
      <c r="N59" s="454"/>
      <c r="O59" s="453"/>
      <c r="P59" s="421"/>
      <c r="Q59" s="128">
        <f t="shared" si="52"/>
        <v>0</v>
      </c>
      <c r="R59" s="345">
        <f t="shared" si="53"/>
        <v>0</v>
      </c>
      <c r="S59" s="128"/>
      <c r="T59" s="128">
        <f t="shared" si="54"/>
        <v>0</v>
      </c>
      <c r="U59" s="128"/>
      <c r="V59" s="128">
        <f t="shared" si="55"/>
        <v>0</v>
      </c>
      <c r="W59" s="128"/>
      <c r="X59" s="128">
        <f t="shared" si="56"/>
        <v>0</v>
      </c>
      <c r="Y59" s="128">
        <f t="shared" si="103"/>
        <v>0</v>
      </c>
      <c r="Z59" s="128">
        <f t="shared" si="204"/>
        <v>0</v>
      </c>
      <c r="AA59" s="128"/>
      <c r="AB59" s="128">
        <f t="shared" si="58"/>
        <v>0</v>
      </c>
      <c r="AC59" s="128"/>
      <c r="AD59" s="128">
        <f t="shared" si="59"/>
        <v>0</v>
      </c>
      <c r="AE59" s="128"/>
      <c r="AF59" s="422">
        <f t="shared" si="60"/>
        <v>0</v>
      </c>
      <c r="AG59" s="128">
        <f t="shared" si="104"/>
        <v>0</v>
      </c>
      <c r="AH59" s="128">
        <f t="shared" si="205"/>
        <v>0</v>
      </c>
      <c r="AI59" s="128">
        <f t="shared" si="62"/>
        <v>0</v>
      </c>
      <c r="AJ59" s="128">
        <f t="shared" si="63"/>
        <v>0</v>
      </c>
      <c r="AK59" s="128"/>
      <c r="AL59" s="128">
        <f t="shared" si="64"/>
        <v>0</v>
      </c>
      <c r="AM59" s="128"/>
      <c r="AN59" s="128">
        <f t="shared" si="65"/>
        <v>0</v>
      </c>
      <c r="AO59" s="128"/>
      <c r="AP59" s="128">
        <f t="shared" si="66"/>
        <v>0</v>
      </c>
      <c r="AQ59" s="128">
        <f t="shared" si="76"/>
        <v>0</v>
      </c>
      <c r="AR59" s="128">
        <f t="shared" si="206"/>
        <v>0</v>
      </c>
      <c r="AS59" s="128"/>
      <c r="AT59" s="128">
        <f t="shared" si="68"/>
        <v>0</v>
      </c>
      <c r="AU59" s="128"/>
      <c r="AV59" s="128">
        <f t="shared" si="69"/>
        <v>0</v>
      </c>
      <c r="AW59" s="128"/>
      <c r="AX59" s="128">
        <f t="shared" si="70"/>
        <v>0</v>
      </c>
      <c r="AY59" s="128">
        <f t="shared" si="78"/>
        <v>0</v>
      </c>
      <c r="AZ59" s="128">
        <f t="shared" si="207"/>
        <v>0</v>
      </c>
      <c r="BA59" s="128">
        <f t="shared" si="72"/>
        <v>0</v>
      </c>
      <c r="BB59" s="128">
        <f t="shared" si="73"/>
        <v>0</v>
      </c>
      <c r="BC59" s="1" t="s">
        <v>1059</v>
      </c>
    </row>
    <row r="60" spans="1:55">
      <c r="A60" s="492">
        <v>37</v>
      </c>
      <c r="B60" s="13"/>
      <c r="C60" s="13"/>
      <c r="D60" s="15"/>
      <c r="E60" s="62" t="s">
        <v>1724</v>
      </c>
      <c r="F60" s="419" t="s">
        <v>1725</v>
      </c>
      <c r="G60" s="419" t="s">
        <v>1056</v>
      </c>
      <c r="H60" s="281" t="s">
        <v>358</v>
      </c>
      <c r="I60" s="453">
        <v>9.86</v>
      </c>
      <c r="J60" s="421"/>
      <c r="K60" s="453">
        <v>9.86</v>
      </c>
      <c r="L60" s="454"/>
      <c r="M60" s="453"/>
      <c r="N60" s="454"/>
      <c r="O60" s="453"/>
      <c r="P60" s="421"/>
      <c r="Q60" s="128">
        <f t="shared" si="52"/>
        <v>0</v>
      </c>
      <c r="R60" s="345">
        <f t="shared" si="53"/>
        <v>0</v>
      </c>
      <c r="S60" s="128"/>
      <c r="T60" s="128">
        <f t="shared" si="54"/>
        <v>0</v>
      </c>
      <c r="U60" s="128"/>
      <c r="V60" s="128">
        <f t="shared" si="55"/>
        <v>0</v>
      </c>
      <c r="W60" s="128"/>
      <c r="X60" s="128">
        <f t="shared" si="56"/>
        <v>0</v>
      </c>
      <c r="Y60" s="128">
        <f t="shared" si="103"/>
        <v>0</v>
      </c>
      <c r="Z60" s="128">
        <f t="shared" si="204"/>
        <v>0</v>
      </c>
      <c r="AA60" s="128"/>
      <c r="AB60" s="128">
        <f t="shared" si="58"/>
        <v>0</v>
      </c>
      <c r="AC60" s="128"/>
      <c r="AD60" s="128">
        <f t="shared" si="59"/>
        <v>0</v>
      </c>
      <c r="AE60" s="128"/>
      <c r="AF60" s="422">
        <f t="shared" si="60"/>
        <v>0</v>
      </c>
      <c r="AG60" s="128">
        <f t="shared" si="104"/>
        <v>0</v>
      </c>
      <c r="AH60" s="128">
        <f t="shared" si="205"/>
        <v>0</v>
      </c>
      <c r="AI60" s="128">
        <f t="shared" si="62"/>
        <v>0</v>
      </c>
      <c r="AJ60" s="128">
        <f t="shared" si="63"/>
        <v>0</v>
      </c>
      <c r="AK60" s="128"/>
      <c r="AL60" s="128">
        <f t="shared" si="64"/>
        <v>0</v>
      </c>
      <c r="AM60" s="128"/>
      <c r="AN60" s="128">
        <f t="shared" si="65"/>
        <v>0</v>
      </c>
      <c r="AO60" s="128"/>
      <c r="AP60" s="128">
        <f t="shared" si="66"/>
        <v>0</v>
      </c>
      <c r="AQ60" s="128">
        <f t="shared" si="76"/>
        <v>0</v>
      </c>
      <c r="AR60" s="128">
        <f t="shared" si="206"/>
        <v>0</v>
      </c>
      <c r="AS60" s="128"/>
      <c r="AT60" s="128">
        <f t="shared" si="68"/>
        <v>0</v>
      </c>
      <c r="AU60" s="128"/>
      <c r="AV60" s="128">
        <f t="shared" si="69"/>
        <v>0</v>
      </c>
      <c r="AW60" s="128"/>
      <c r="AX60" s="128">
        <f t="shared" si="70"/>
        <v>0</v>
      </c>
      <c r="AY60" s="128">
        <f t="shared" si="78"/>
        <v>0</v>
      </c>
      <c r="AZ60" s="128">
        <f t="shared" si="207"/>
        <v>0</v>
      </c>
      <c r="BA60" s="128">
        <f t="shared" si="72"/>
        <v>0</v>
      </c>
      <c r="BB60" s="128">
        <f t="shared" si="73"/>
        <v>0</v>
      </c>
      <c r="BC60" s="1" t="s">
        <v>1059</v>
      </c>
    </row>
    <row r="61" spans="1:55">
      <c r="A61" s="492">
        <v>38</v>
      </c>
      <c r="B61" s="13"/>
      <c r="C61" s="13"/>
      <c r="D61" s="15"/>
      <c r="E61" s="516" t="s">
        <v>1726</v>
      </c>
      <c r="F61" s="518" t="s">
        <v>1727</v>
      </c>
      <c r="G61" s="518" t="s">
        <v>1056</v>
      </c>
      <c r="H61" s="519" t="s">
        <v>358</v>
      </c>
      <c r="I61" s="533">
        <v>12.94</v>
      </c>
      <c r="J61" s="534"/>
      <c r="K61" s="533">
        <v>12.94</v>
      </c>
      <c r="L61" s="535"/>
      <c r="M61" s="533"/>
      <c r="N61" s="535"/>
      <c r="O61" s="533"/>
      <c r="P61" s="534"/>
      <c r="Q61" s="521">
        <f t="shared" si="52"/>
        <v>0</v>
      </c>
      <c r="R61" s="522">
        <f t="shared" si="53"/>
        <v>0</v>
      </c>
      <c r="S61" s="521"/>
      <c r="T61" s="521">
        <f t="shared" si="54"/>
        <v>0</v>
      </c>
      <c r="U61" s="521"/>
      <c r="V61" s="521">
        <f t="shared" si="55"/>
        <v>0</v>
      </c>
      <c r="W61" s="521"/>
      <c r="X61" s="521">
        <f t="shared" si="56"/>
        <v>0</v>
      </c>
      <c r="Y61" s="521">
        <f t="shared" si="103"/>
        <v>0</v>
      </c>
      <c r="Z61" s="521">
        <f t="shared" si="204"/>
        <v>0</v>
      </c>
      <c r="AA61" s="521"/>
      <c r="AB61" s="521">
        <f t="shared" si="58"/>
        <v>0</v>
      </c>
      <c r="AC61" s="521"/>
      <c r="AD61" s="521">
        <f t="shared" si="59"/>
        <v>0</v>
      </c>
      <c r="AE61" s="521"/>
      <c r="AF61" s="536">
        <f t="shared" si="60"/>
        <v>0</v>
      </c>
      <c r="AG61" s="521">
        <f t="shared" si="104"/>
        <v>0</v>
      </c>
      <c r="AH61" s="521">
        <f t="shared" si="205"/>
        <v>0</v>
      </c>
      <c r="AI61" s="521">
        <f t="shared" si="62"/>
        <v>0</v>
      </c>
      <c r="AJ61" s="521">
        <f t="shared" si="63"/>
        <v>0</v>
      </c>
      <c r="AK61" s="521"/>
      <c r="AL61" s="521">
        <f t="shared" si="64"/>
        <v>0</v>
      </c>
      <c r="AM61" s="521"/>
      <c r="AN61" s="521">
        <f t="shared" si="65"/>
        <v>0</v>
      </c>
      <c r="AO61" s="521"/>
      <c r="AP61" s="521">
        <f t="shared" si="66"/>
        <v>0</v>
      </c>
      <c r="AQ61" s="521">
        <f t="shared" si="76"/>
        <v>0</v>
      </c>
      <c r="AR61" s="521">
        <f t="shared" si="206"/>
        <v>0</v>
      </c>
      <c r="AS61" s="521"/>
      <c r="AT61" s="521">
        <f t="shared" si="68"/>
        <v>0</v>
      </c>
      <c r="AU61" s="521"/>
      <c r="AV61" s="521">
        <f t="shared" si="69"/>
        <v>0</v>
      </c>
      <c r="AW61" s="521"/>
      <c r="AX61" s="521">
        <f t="shared" si="70"/>
        <v>0</v>
      </c>
      <c r="AY61" s="521">
        <f t="shared" si="78"/>
        <v>0</v>
      </c>
      <c r="AZ61" s="521">
        <f t="shared" si="207"/>
        <v>0</v>
      </c>
      <c r="BA61" s="521">
        <f t="shared" si="72"/>
        <v>0</v>
      </c>
      <c r="BB61" s="521">
        <f t="shared" si="73"/>
        <v>0</v>
      </c>
      <c r="BC61" s="1" t="s">
        <v>1059</v>
      </c>
    </row>
    <row r="62" spans="1:55">
      <c r="B62" s="13"/>
      <c r="C62" s="13"/>
      <c r="D62" s="13"/>
      <c r="E62" s="21" t="s">
        <v>1612</v>
      </c>
      <c r="F62" s="22" t="s">
        <v>1638</v>
      </c>
      <c r="G62" s="45" t="s">
        <v>1056</v>
      </c>
      <c r="H62" s="265" t="s">
        <v>358</v>
      </c>
      <c r="I62" s="54">
        <v>7.81</v>
      </c>
      <c r="J62" s="101"/>
      <c r="K62" s="54">
        <v>7.81</v>
      </c>
      <c r="L62" s="162"/>
      <c r="M62" s="54"/>
      <c r="N62" s="162"/>
      <c r="O62" s="54"/>
      <c r="P62" s="101"/>
      <c r="Q62" s="96">
        <f t="shared" si="52"/>
        <v>0.96</v>
      </c>
      <c r="R62" s="337">
        <f t="shared" si="53"/>
        <v>11.264169311999998</v>
      </c>
      <c r="S62" s="96"/>
      <c r="T62" s="96">
        <f t="shared" si="54"/>
        <v>0</v>
      </c>
      <c r="U62" s="96"/>
      <c r="V62" s="176">
        <f t="shared" si="55"/>
        <v>0</v>
      </c>
      <c r="W62" s="206">
        <v>0.96</v>
      </c>
      <c r="X62" s="205">
        <f t="shared" si="56"/>
        <v>11.264169311999998</v>
      </c>
      <c r="Y62" s="188">
        <f t="shared" si="103"/>
        <v>0.96</v>
      </c>
      <c r="Z62" s="176">
        <f t="shared" ref="Z62:Z69" si="208">SUM(T62+V62+X62)</f>
        <v>11.264169311999998</v>
      </c>
      <c r="AA62" s="206"/>
      <c r="AB62" s="205">
        <f t="shared" si="58"/>
        <v>0</v>
      </c>
      <c r="AC62" s="206"/>
      <c r="AD62" s="176">
        <f t="shared" si="59"/>
        <v>0</v>
      </c>
      <c r="AE62" s="206"/>
      <c r="AF62" s="205">
        <f t="shared" si="60"/>
        <v>0</v>
      </c>
      <c r="AG62" s="188">
        <f t="shared" si="104"/>
        <v>0</v>
      </c>
      <c r="AH62" s="96">
        <f t="shared" ref="AH62:AH69" si="209">SUM(AB62+AD62+AF62)</f>
        <v>0</v>
      </c>
      <c r="AI62" s="96">
        <f t="shared" si="62"/>
        <v>0.96</v>
      </c>
      <c r="AJ62" s="176">
        <f t="shared" si="63"/>
        <v>11.264169311999998</v>
      </c>
      <c r="AK62" s="206"/>
      <c r="AL62" s="176">
        <f t="shared" si="64"/>
        <v>0</v>
      </c>
      <c r="AM62" s="243"/>
      <c r="AN62" s="176">
        <f t="shared" si="65"/>
        <v>0</v>
      </c>
      <c r="AO62" s="206"/>
      <c r="AP62" s="205">
        <f t="shared" si="66"/>
        <v>0</v>
      </c>
      <c r="AQ62" s="188">
        <f t="shared" si="76"/>
        <v>0</v>
      </c>
      <c r="AR62" s="96">
        <f t="shared" ref="AR62:AR69" si="210">SUM(AL62+AN62+AP62)</f>
        <v>0</v>
      </c>
      <c r="AS62" s="96"/>
      <c r="AT62" s="176">
        <f t="shared" si="68"/>
        <v>0</v>
      </c>
      <c r="AU62" s="206"/>
      <c r="AV62" s="176">
        <f t="shared" si="69"/>
        <v>0</v>
      </c>
      <c r="AW62" s="206"/>
      <c r="AX62" s="205">
        <f t="shared" si="70"/>
        <v>0</v>
      </c>
      <c r="AY62" s="188">
        <f t="shared" si="78"/>
        <v>0</v>
      </c>
      <c r="AZ62" s="96">
        <f t="shared" ref="AZ62:AZ69" si="211">SUM(AT62+AV62+AX62)</f>
        <v>0</v>
      </c>
      <c r="BA62" s="96">
        <f t="shared" si="72"/>
        <v>0</v>
      </c>
      <c r="BB62" s="96">
        <f t="shared" si="73"/>
        <v>0</v>
      </c>
      <c r="BC62" s="1" t="s">
        <v>1717</v>
      </c>
    </row>
    <row r="63" spans="1:55">
      <c r="B63" s="13"/>
      <c r="C63" s="13"/>
      <c r="D63" s="13"/>
      <c r="E63" s="21" t="s">
        <v>1613</v>
      </c>
      <c r="F63" s="22" t="s">
        <v>1639</v>
      </c>
      <c r="G63" s="45" t="s">
        <v>1056</v>
      </c>
      <c r="H63" s="265" t="s">
        <v>358</v>
      </c>
      <c r="I63" s="54">
        <v>8.19</v>
      </c>
      <c r="J63" s="101"/>
      <c r="K63" s="54">
        <v>8.18</v>
      </c>
      <c r="L63" s="162"/>
      <c r="M63" s="54"/>
      <c r="N63" s="162"/>
      <c r="O63" s="54"/>
      <c r="P63" s="101"/>
      <c r="Q63" s="96">
        <f t="shared" si="52"/>
        <v>104.6</v>
      </c>
      <c r="R63" s="337">
        <f t="shared" si="53"/>
        <v>1277.6560137839999</v>
      </c>
      <c r="S63" s="96">
        <v>0.68</v>
      </c>
      <c r="T63" s="96">
        <f t="shared" si="54"/>
        <v>8.0399755800000019</v>
      </c>
      <c r="U63" s="96">
        <v>2.48</v>
      </c>
      <c r="V63" s="176">
        <f t="shared" si="55"/>
        <v>29.212786511999997</v>
      </c>
      <c r="W63" s="206">
        <v>61</v>
      </c>
      <c r="X63" s="205">
        <f t="shared" si="56"/>
        <v>750.5690282999999</v>
      </c>
      <c r="Y63" s="188">
        <f t="shared" si="103"/>
        <v>64.16</v>
      </c>
      <c r="Z63" s="176">
        <f t="shared" si="208"/>
        <v>787.82179039199991</v>
      </c>
      <c r="AA63" s="206">
        <v>40.44</v>
      </c>
      <c r="AB63" s="205">
        <f t="shared" si="58"/>
        <v>489.83422339199996</v>
      </c>
      <c r="AC63" s="206"/>
      <c r="AD63" s="176">
        <f t="shared" si="59"/>
        <v>0</v>
      </c>
      <c r="AE63" s="206"/>
      <c r="AF63" s="205">
        <f t="shared" si="60"/>
        <v>0</v>
      </c>
      <c r="AG63" s="188">
        <f t="shared" si="104"/>
        <v>40.44</v>
      </c>
      <c r="AH63" s="96">
        <f t="shared" si="209"/>
        <v>489.83422339199996</v>
      </c>
      <c r="AI63" s="96">
        <f t="shared" si="62"/>
        <v>104.6</v>
      </c>
      <c r="AJ63" s="176">
        <f t="shared" si="63"/>
        <v>1277.6560137839999</v>
      </c>
      <c r="AK63" s="206"/>
      <c r="AL63" s="176">
        <f t="shared" si="64"/>
        <v>0</v>
      </c>
      <c r="AM63" s="243"/>
      <c r="AN63" s="176">
        <f t="shared" si="65"/>
        <v>0</v>
      </c>
      <c r="AO63" s="206"/>
      <c r="AP63" s="205">
        <f t="shared" si="66"/>
        <v>0</v>
      </c>
      <c r="AQ63" s="188">
        <f t="shared" si="76"/>
        <v>0</v>
      </c>
      <c r="AR63" s="96">
        <f t="shared" si="210"/>
        <v>0</v>
      </c>
      <c r="AS63" s="96"/>
      <c r="AT63" s="176">
        <f t="shared" si="68"/>
        <v>0</v>
      </c>
      <c r="AU63" s="206"/>
      <c r="AV63" s="176">
        <f t="shared" si="69"/>
        <v>0</v>
      </c>
      <c r="AW63" s="206"/>
      <c r="AX63" s="205">
        <f t="shared" si="70"/>
        <v>0</v>
      </c>
      <c r="AY63" s="188">
        <f t="shared" si="78"/>
        <v>0</v>
      </c>
      <c r="AZ63" s="96">
        <f t="shared" si="211"/>
        <v>0</v>
      </c>
      <c r="BA63" s="96">
        <f t="shared" si="72"/>
        <v>0</v>
      </c>
      <c r="BB63" s="96">
        <f t="shared" si="73"/>
        <v>0</v>
      </c>
      <c r="BC63" s="1" t="s">
        <v>1717</v>
      </c>
    </row>
    <row r="64" spans="1:55">
      <c r="A64" s="492" t="s">
        <v>2436</v>
      </c>
      <c r="B64" s="13"/>
      <c r="C64" s="13"/>
      <c r="D64" s="15"/>
      <c r="E64" s="89" t="s">
        <v>1591</v>
      </c>
      <c r="F64" s="90" t="s">
        <v>1640</v>
      </c>
      <c r="G64" s="419" t="s">
        <v>1056</v>
      </c>
      <c r="H64" s="281" t="s">
        <v>358</v>
      </c>
      <c r="I64" s="453">
        <v>8.39</v>
      </c>
      <c r="J64" s="421"/>
      <c r="K64" s="453">
        <v>8.39</v>
      </c>
      <c r="L64" s="454"/>
      <c r="M64" s="453"/>
      <c r="N64" s="454"/>
      <c r="O64" s="453"/>
      <c r="P64" s="421"/>
      <c r="Q64" s="128">
        <f t="shared" ref="Q64" si="212">SUM(AI64+BA64)</f>
        <v>151.11999999999998</v>
      </c>
      <c r="R64" s="345">
        <f t="shared" ref="R64" si="213">SUM(AJ64+BB64)</f>
        <v>1835.6515298320003</v>
      </c>
      <c r="S64" s="128">
        <v>103.6</v>
      </c>
      <c r="T64" s="128">
        <f t="shared" ref="T64" si="214">I64*S64*$T$2/1000</f>
        <v>1254.8263546000003</v>
      </c>
      <c r="U64" s="128">
        <v>33.76</v>
      </c>
      <c r="V64" s="128">
        <f t="shared" ref="V64" si="215">I64*U64*$V$2/1000</f>
        <v>407.38196726399997</v>
      </c>
      <c r="W64" s="128">
        <v>13.76</v>
      </c>
      <c r="X64" s="128">
        <f t="shared" ref="X64" si="216">I64*W64*$X$2/1000</f>
        <v>173.443207968</v>
      </c>
      <c r="Y64" s="128">
        <f>SUM(S64+U64+W64)</f>
        <v>151.11999999999998</v>
      </c>
      <c r="Z64" s="176">
        <f t="shared" si="208"/>
        <v>1835.6515298320003</v>
      </c>
      <c r="AA64" s="128"/>
      <c r="AB64" s="128">
        <f t="shared" ref="AB64" si="217">K64*AA64*$AB$2/1000</f>
        <v>0</v>
      </c>
      <c r="AC64" s="128"/>
      <c r="AD64" s="128">
        <f t="shared" ref="AD64" si="218">K64*AC64*$AD$2/1000</f>
        <v>0</v>
      </c>
      <c r="AE64" s="128"/>
      <c r="AF64" s="422">
        <f t="shared" ref="AF64" si="219">K64*AE64*$AF$2/1000</f>
        <v>0</v>
      </c>
      <c r="AG64" s="128">
        <f>SUM(AA64+AC64+AE64)</f>
        <v>0</v>
      </c>
      <c r="AH64" s="521">
        <f t="shared" si="209"/>
        <v>0</v>
      </c>
      <c r="AI64" s="128">
        <f>SUM(Y64+AG64)</f>
        <v>151.11999999999998</v>
      </c>
      <c r="AJ64" s="128">
        <f t="shared" ref="AJ64" si="220">SUM(Z64,AH64)</f>
        <v>1835.6515298320003</v>
      </c>
      <c r="AK64" s="128"/>
      <c r="AL64" s="128">
        <f t="shared" ref="AL64" si="221">M64*AK64*$AL$2/1000</f>
        <v>0</v>
      </c>
      <c r="AM64" s="128"/>
      <c r="AN64" s="128">
        <f t="shared" ref="AN64" si="222">M64*AM64*$AN$2/1000</f>
        <v>0</v>
      </c>
      <c r="AO64" s="128"/>
      <c r="AP64" s="128">
        <f t="shared" ref="AP64" si="223">M64*AO64*$AP$2/1000</f>
        <v>0</v>
      </c>
      <c r="AQ64" s="128">
        <f>SUM(AK64+AM64+AO64)</f>
        <v>0</v>
      </c>
      <c r="AR64" s="96">
        <f t="shared" si="210"/>
        <v>0</v>
      </c>
      <c r="AS64" s="128"/>
      <c r="AT64" s="128">
        <f t="shared" ref="AT64" si="224">O64*AS64*$AT$2/1000</f>
        <v>0</v>
      </c>
      <c r="AU64" s="128"/>
      <c r="AV64" s="128">
        <f t="shared" ref="AV64" si="225">O64*AU64*$AV$2/1000</f>
        <v>0</v>
      </c>
      <c r="AW64" s="521"/>
      <c r="AX64" s="128">
        <f t="shared" ref="AX64" si="226">O64*AW64*$AX$2/1000</f>
        <v>0</v>
      </c>
      <c r="AY64" s="128">
        <f>SUM(AS64+AU64+AW64)</f>
        <v>0</v>
      </c>
      <c r="AZ64" s="128">
        <f>SUM(AT64+AV64+AX64)</f>
        <v>0</v>
      </c>
      <c r="BA64" s="128">
        <f t="shared" ref="BA64" si="227">SUM(AQ64+AY64)</f>
        <v>0</v>
      </c>
      <c r="BB64" s="128">
        <f t="shared" ref="BB64" si="228">SUM(AR64,AZ64)</f>
        <v>0</v>
      </c>
      <c r="BC64" s="1" t="s">
        <v>1056</v>
      </c>
    </row>
    <row r="65" spans="1:55">
      <c r="B65" s="13"/>
      <c r="C65" s="13"/>
      <c r="D65" s="13"/>
      <c r="E65" s="21" t="s">
        <v>1641</v>
      </c>
      <c r="F65" s="22" t="s">
        <v>1642</v>
      </c>
      <c r="G65" s="45"/>
      <c r="H65" s="265"/>
      <c r="I65" s="54">
        <v>9.2899999999999991</v>
      </c>
      <c r="J65" s="101"/>
      <c r="K65" s="54">
        <v>9.2799999999999994</v>
      </c>
      <c r="L65" s="162"/>
      <c r="M65" s="54"/>
      <c r="N65" s="162"/>
      <c r="O65" s="54"/>
      <c r="P65" s="101"/>
      <c r="Q65" s="96">
        <f t="shared" si="52"/>
        <v>5.8</v>
      </c>
      <c r="R65" s="337">
        <f t="shared" si="53"/>
        <v>79.218245399999986</v>
      </c>
      <c r="S65" s="96">
        <v>1.56</v>
      </c>
      <c r="T65" s="96">
        <f t="shared" si="54"/>
        <v>20.921953260000002</v>
      </c>
      <c r="U65" s="96">
        <v>1.48</v>
      </c>
      <c r="V65" s="176">
        <f t="shared" si="55"/>
        <v>19.774924391999996</v>
      </c>
      <c r="W65" s="206">
        <v>2.76</v>
      </c>
      <c r="X65" s="205">
        <f t="shared" si="56"/>
        <v>38.521367747999989</v>
      </c>
      <c r="Y65" s="188">
        <f t="shared" si="103"/>
        <v>5.8</v>
      </c>
      <c r="Z65" s="176">
        <f t="shared" si="208"/>
        <v>79.218245399999986</v>
      </c>
      <c r="AA65" s="206"/>
      <c r="AB65" s="205">
        <f t="shared" si="58"/>
        <v>0</v>
      </c>
      <c r="AC65" s="206"/>
      <c r="AD65" s="176">
        <f t="shared" si="59"/>
        <v>0</v>
      </c>
      <c r="AE65" s="206"/>
      <c r="AF65" s="205">
        <f t="shared" si="60"/>
        <v>0</v>
      </c>
      <c r="AG65" s="188">
        <f t="shared" si="104"/>
        <v>0</v>
      </c>
      <c r="AH65" s="96">
        <f t="shared" si="209"/>
        <v>0</v>
      </c>
      <c r="AI65" s="96">
        <f t="shared" si="62"/>
        <v>5.8</v>
      </c>
      <c r="AJ65" s="176">
        <f t="shared" si="63"/>
        <v>79.218245399999986</v>
      </c>
      <c r="AK65" s="206"/>
      <c r="AL65" s="176">
        <f t="shared" si="64"/>
        <v>0</v>
      </c>
      <c r="AM65" s="243"/>
      <c r="AN65" s="176">
        <f t="shared" si="65"/>
        <v>0</v>
      </c>
      <c r="AO65" s="206"/>
      <c r="AP65" s="205">
        <f t="shared" si="66"/>
        <v>0</v>
      </c>
      <c r="AQ65" s="188">
        <f t="shared" si="76"/>
        <v>0</v>
      </c>
      <c r="AR65" s="96">
        <f t="shared" si="210"/>
        <v>0</v>
      </c>
      <c r="AS65" s="96"/>
      <c r="AT65" s="176">
        <f t="shared" si="68"/>
        <v>0</v>
      </c>
      <c r="AU65" s="206"/>
      <c r="AV65" s="176">
        <f t="shared" si="69"/>
        <v>0</v>
      </c>
      <c r="AW65" s="206"/>
      <c r="AX65" s="205">
        <f t="shared" si="70"/>
        <v>0</v>
      </c>
      <c r="AY65" s="188">
        <f t="shared" si="78"/>
        <v>0</v>
      </c>
      <c r="AZ65" s="96">
        <f t="shared" si="211"/>
        <v>0</v>
      </c>
      <c r="BA65" s="96">
        <f t="shared" si="72"/>
        <v>0</v>
      </c>
      <c r="BB65" s="96">
        <f t="shared" si="73"/>
        <v>0</v>
      </c>
      <c r="BC65" s="1" t="s">
        <v>1717</v>
      </c>
    </row>
    <row r="66" spans="1:55">
      <c r="B66" s="13"/>
      <c r="C66" s="13"/>
      <c r="D66" s="13"/>
      <c r="E66" s="21" t="s">
        <v>1643</v>
      </c>
      <c r="F66" s="22" t="s">
        <v>1644</v>
      </c>
      <c r="G66" s="45" t="s">
        <v>1056</v>
      </c>
      <c r="H66" s="265" t="s">
        <v>358</v>
      </c>
      <c r="I66" s="54">
        <v>9.2799999999999994</v>
      </c>
      <c r="J66" s="101"/>
      <c r="K66" s="54">
        <v>9.27</v>
      </c>
      <c r="L66" s="162"/>
      <c r="M66" s="54"/>
      <c r="N66" s="162"/>
      <c r="O66" s="54"/>
      <c r="P66" s="101"/>
      <c r="Q66" s="96">
        <f t="shared" si="52"/>
        <v>14.436000000000002</v>
      </c>
      <c r="R66" s="337">
        <f t="shared" si="53"/>
        <v>193.510834776</v>
      </c>
      <c r="S66" s="96">
        <v>13.644</v>
      </c>
      <c r="T66" s="96">
        <f t="shared" si="54"/>
        <v>182.789650368</v>
      </c>
      <c r="U66" s="96">
        <v>0.39600000000000002</v>
      </c>
      <c r="V66" s="176">
        <f t="shared" si="55"/>
        <v>5.2854329087999998</v>
      </c>
      <c r="W66" s="206"/>
      <c r="X66" s="205">
        <f t="shared" si="56"/>
        <v>0</v>
      </c>
      <c r="Y66" s="188">
        <f t="shared" si="103"/>
        <v>14.040000000000001</v>
      </c>
      <c r="Z66" s="176">
        <f t="shared" si="208"/>
        <v>188.0750832768</v>
      </c>
      <c r="AA66" s="206">
        <v>0.39600000000000002</v>
      </c>
      <c r="AB66" s="205">
        <f t="shared" si="58"/>
        <v>5.4357514992000002</v>
      </c>
      <c r="AC66" s="206"/>
      <c r="AD66" s="176">
        <f t="shared" si="59"/>
        <v>0</v>
      </c>
      <c r="AE66" s="206"/>
      <c r="AF66" s="205">
        <f t="shared" si="60"/>
        <v>0</v>
      </c>
      <c r="AG66" s="188">
        <f t="shared" si="104"/>
        <v>0.39600000000000002</v>
      </c>
      <c r="AH66" s="96">
        <f t="shared" si="209"/>
        <v>5.4357514992000002</v>
      </c>
      <c r="AI66" s="96">
        <f t="shared" si="62"/>
        <v>14.436000000000002</v>
      </c>
      <c r="AJ66" s="176">
        <f t="shared" si="63"/>
        <v>193.510834776</v>
      </c>
      <c r="AK66" s="206"/>
      <c r="AL66" s="176">
        <f t="shared" si="64"/>
        <v>0</v>
      </c>
      <c r="AM66" s="243"/>
      <c r="AN66" s="176">
        <f t="shared" si="65"/>
        <v>0</v>
      </c>
      <c r="AO66" s="206"/>
      <c r="AP66" s="205">
        <f t="shared" si="66"/>
        <v>0</v>
      </c>
      <c r="AQ66" s="188">
        <f t="shared" si="76"/>
        <v>0</v>
      </c>
      <c r="AR66" s="96">
        <f t="shared" si="210"/>
        <v>0</v>
      </c>
      <c r="AS66" s="96"/>
      <c r="AT66" s="176">
        <f t="shared" si="68"/>
        <v>0</v>
      </c>
      <c r="AU66" s="206"/>
      <c r="AV66" s="176">
        <f t="shared" si="69"/>
        <v>0</v>
      </c>
      <c r="AW66" s="206"/>
      <c r="AX66" s="205">
        <f t="shared" si="70"/>
        <v>0</v>
      </c>
      <c r="AY66" s="188">
        <f t="shared" si="78"/>
        <v>0</v>
      </c>
      <c r="AZ66" s="96">
        <f t="shared" si="211"/>
        <v>0</v>
      </c>
      <c r="BA66" s="96">
        <f t="shared" si="72"/>
        <v>0</v>
      </c>
      <c r="BB66" s="96">
        <f t="shared" si="73"/>
        <v>0</v>
      </c>
      <c r="BC66" s="1" t="s">
        <v>1717</v>
      </c>
    </row>
    <row r="67" spans="1:55">
      <c r="B67" s="13"/>
      <c r="C67" s="13"/>
      <c r="D67" s="13"/>
      <c r="E67" s="21" t="s">
        <v>1592</v>
      </c>
      <c r="F67" s="22" t="s">
        <v>1645</v>
      </c>
      <c r="G67" s="45" t="s">
        <v>1056</v>
      </c>
      <c r="H67" s="265" t="s">
        <v>358</v>
      </c>
      <c r="I67" s="54">
        <v>10.25</v>
      </c>
      <c r="J67" s="101"/>
      <c r="K67" s="54">
        <v>10.25</v>
      </c>
      <c r="L67" s="162"/>
      <c r="M67" s="54"/>
      <c r="N67" s="162"/>
      <c r="O67" s="54"/>
      <c r="P67" s="101"/>
      <c r="Q67" s="96">
        <f t="shared" si="52"/>
        <v>1.296</v>
      </c>
      <c r="R67" s="337">
        <f t="shared" si="53"/>
        <v>19.486303289999999</v>
      </c>
      <c r="S67" s="96">
        <v>0.32400000000000001</v>
      </c>
      <c r="T67" s="96">
        <f t="shared" si="54"/>
        <v>4.7943616500000008</v>
      </c>
      <c r="U67" s="96">
        <v>0.39600000000000002</v>
      </c>
      <c r="V67" s="176">
        <f t="shared" si="55"/>
        <v>5.8378973400000005</v>
      </c>
      <c r="W67" s="206">
        <v>0.504</v>
      </c>
      <c r="X67" s="205">
        <f t="shared" si="56"/>
        <v>7.7612434199999996</v>
      </c>
      <c r="Y67" s="188">
        <f t="shared" si="103"/>
        <v>1.224</v>
      </c>
      <c r="Z67" s="176">
        <f t="shared" si="208"/>
        <v>18.39350241</v>
      </c>
      <c r="AA67" s="206">
        <v>7.1999999999999995E-2</v>
      </c>
      <c r="AB67" s="205">
        <f t="shared" si="58"/>
        <v>1.09280088</v>
      </c>
      <c r="AC67" s="206"/>
      <c r="AD67" s="176">
        <f t="shared" si="59"/>
        <v>0</v>
      </c>
      <c r="AE67" s="206"/>
      <c r="AF67" s="205">
        <f t="shared" si="60"/>
        <v>0</v>
      </c>
      <c r="AG67" s="188">
        <f t="shared" si="104"/>
        <v>7.1999999999999995E-2</v>
      </c>
      <c r="AH67" s="96">
        <f t="shared" si="209"/>
        <v>1.09280088</v>
      </c>
      <c r="AI67" s="96">
        <f t="shared" si="62"/>
        <v>1.296</v>
      </c>
      <c r="AJ67" s="176">
        <f t="shared" si="63"/>
        <v>19.486303289999999</v>
      </c>
      <c r="AK67" s="206"/>
      <c r="AL67" s="176">
        <f t="shared" si="64"/>
        <v>0</v>
      </c>
      <c r="AM67" s="243"/>
      <c r="AN67" s="176">
        <f t="shared" si="65"/>
        <v>0</v>
      </c>
      <c r="AO67" s="206"/>
      <c r="AP67" s="205">
        <f t="shared" si="66"/>
        <v>0</v>
      </c>
      <c r="AQ67" s="188">
        <f t="shared" si="76"/>
        <v>0</v>
      </c>
      <c r="AR67" s="96">
        <f t="shared" si="210"/>
        <v>0</v>
      </c>
      <c r="AS67" s="96"/>
      <c r="AT67" s="176">
        <f t="shared" si="68"/>
        <v>0</v>
      </c>
      <c r="AU67" s="206"/>
      <c r="AV67" s="176">
        <f t="shared" si="69"/>
        <v>0</v>
      </c>
      <c r="AW67" s="206"/>
      <c r="AX67" s="205">
        <f t="shared" si="70"/>
        <v>0</v>
      </c>
      <c r="AY67" s="188">
        <f t="shared" si="78"/>
        <v>0</v>
      </c>
      <c r="AZ67" s="96">
        <f t="shared" si="211"/>
        <v>0</v>
      </c>
      <c r="BA67" s="96">
        <f t="shared" si="72"/>
        <v>0</v>
      </c>
      <c r="BB67" s="96">
        <f t="shared" si="73"/>
        <v>0</v>
      </c>
      <c r="BC67" s="1" t="s">
        <v>1717</v>
      </c>
    </row>
    <row r="68" spans="1:55">
      <c r="A68" s="492">
        <v>38</v>
      </c>
      <c r="B68" s="13"/>
      <c r="C68" s="13"/>
      <c r="D68" s="15"/>
      <c r="E68" s="21" t="s">
        <v>1593</v>
      </c>
      <c r="F68" s="22" t="s">
        <v>1646</v>
      </c>
      <c r="G68" s="424" t="s">
        <v>1056</v>
      </c>
      <c r="H68" s="284" t="s">
        <v>358</v>
      </c>
      <c r="I68" s="533">
        <v>12.19</v>
      </c>
      <c r="J68" s="534"/>
      <c r="K68" s="533">
        <v>12.18</v>
      </c>
      <c r="L68" s="535"/>
      <c r="M68" s="533"/>
      <c r="N68" s="535"/>
      <c r="O68" s="533"/>
      <c r="P68" s="534"/>
      <c r="Q68" s="521">
        <f t="shared" si="52"/>
        <v>6.59</v>
      </c>
      <c r="R68" s="522">
        <f t="shared" si="53"/>
        <v>116.03791099800002</v>
      </c>
      <c r="S68" s="521">
        <v>6.36</v>
      </c>
      <c r="T68" s="521">
        <f t="shared" si="54"/>
        <v>111.92387466000001</v>
      </c>
      <c r="U68" s="521">
        <v>0.09</v>
      </c>
      <c r="V68" s="521">
        <f t="shared" si="55"/>
        <v>1.5779150459999998</v>
      </c>
      <c r="W68" s="521">
        <v>0.04</v>
      </c>
      <c r="X68" s="521">
        <f t="shared" si="56"/>
        <v>0.73255561199999986</v>
      </c>
      <c r="Y68" s="521">
        <f t="shared" si="103"/>
        <v>6.49</v>
      </c>
      <c r="Z68" s="176">
        <f t="shared" si="208"/>
        <v>114.23434531800001</v>
      </c>
      <c r="AA68" s="521">
        <v>0.1</v>
      </c>
      <c r="AB68" s="521">
        <f t="shared" si="58"/>
        <v>1.8035656799999999</v>
      </c>
      <c r="AC68" s="521"/>
      <c r="AD68" s="521">
        <f t="shared" si="59"/>
        <v>0</v>
      </c>
      <c r="AE68" s="521"/>
      <c r="AF68" s="536">
        <f t="shared" si="60"/>
        <v>0</v>
      </c>
      <c r="AG68" s="521">
        <f t="shared" si="104"/>
        <v>0.1</v>
      </c>
      <c r="AH68" s="521">
        <f t="shared" si="209"/>
        <v>1.8035656799999999</v>
      </c>
      <c r="AI68" s="521">
        <f t="shared" si="62"/>
        <v>6.59</v>
      </c>
      <c r="AJ68" s="521">
        <f t="shared" si="63"/>
        <v>116.03791099800002</v>
      </c>
      <c r="AK68" s="521"/>
      <c r="AL68" s="521">
        <f t="shared" si="64"/>
        <v>0</v>
      </c>
      <c r="AM68" s="521"/>
      <c r="AN68" s="521">
        <f t="shared" si="65"/>
        <v>0</v>
      </c>
      <c r="AO68" s="521"/>
      <c r="AP68" s="521">
        <f t="shared" si="66"/>
        <v>0</v>
      </c>
      <c r="AQ68" s="521">
        <f t="shared" si="76"/>
        <v>0</v>
      </c>
      <c r="AR68" s="96">
        <f t="shared" si="210"/>
        <v>0</v>
      </c>
      <c r="AS68" s="521"/>
      <c r="AT68" s="521">
        <f t="shared" si="68"/>
        <v>0</v>
      </c>
      <c r="AU68" s="521"/>
      <c r="AV68" s="521">
        <f t="shared" si="69"/>
        <v>0</v>
      </c>
      <c r="AW68" s="521"/>
      <c r="AX68" s="521">
        <f t="shared" si="70"/>
        <v>0</v>
      </c>
      <c r="AY68" s="521">
        <f t="shared" si="78"/>
        <v>0</v>
      </c>
      <c r="AZ68" s="96">
        <f t="shared" si="211"/>
        <v>0</v>
      </c>
      <c r="BA68" s="521">
        <f t="shared" si="72"/>
        <v>0</v>
      </c>
      <c r="BB68" s="521">
        <f t="shared" si="73"/>
        <v>0</v>
      </c>
      <c r="BC68" s="1" t="s">
        <v>1059</v>
      </c>
    </row>
    <row r="69" spans="1:55">
      <c r="B69" s="13"/>
      <c r="C69" s="13"/>
      <c r="D69" s="13"/>
      <c r="E69" s="50" t="s">
        <v>1594</v>
      </c>
      <c r="F69" s="37" t="s">
        <v>1647</v>
      </c>
      <c r="G69" s="64" t="s">
        <v>1056</v>
      </c>
      <c r="H69" s="272" t="s">
        <v>358</v>
      </c>
      <c r="I69" s="57">
        <v>16.23</v>
      </c>
      <c r="J69" s="107"/>
      <c r="K69" s="57">
        <v>16.22</v>
      </c>
      <c r="L69" s="166"/>
      <c r="M69" s="57"/>
      <c r="N69" s="166"/>
      <c r="O69" s="57"/>
      <c r="P69" s="107"/>
      <c r="Q69" s="94">
        <f t="shared" si="52"/>
        <v>5.36</v>
      </c>
      <c r="R69" s="338">
        <f t="shared" si="53"/>
        <v>125.58715572000001</v>
      </c>
      <c r="S69" s="94">
        <v>5.36</v>
      </c>
      <c r="T69" s="94">
        <f t="shared" si="54"/>
        <v>125.58715572000001</v>
      </c>
      <c r="U69" s="94"/>
      <c r="V69" s="180">
        <f t="shared" si="55"/>
        <v>0</v>
      </c>
      <c r="W69" s="213"/>
      <c r="X69" s="214">
        <f t="shared" si="56"/>
        <v>0</v>
      </c>
      <c r="Y69" s="192">
        <f t="shared" si="103"/>
        <v>5.36</v>
      </c>
      <c r="Z69" s="180">
        <f t="shared" si="208"/>
        <v>125.58715572000001</v>
      </c>
      <c r="AA69" s="213"/>
      <c r="AB69" s="214">
        <f t="shared" si="58"/>
        <v>0</v>
      </c>
      <c r="AC69" s="213"/>
      <c r="AD69" s="180">
        <f t="shared" si="59"/>
        <v>0</v>
      </c>
      <c r="AE69" s="213"/>
      <c r="AF69" s="214">
        <f t="shared" si="60"/>
        <v>0</v>
      </c>
      <c r="AG69" s="192">
        <f t="shared" si="104"/>
        <v>0</v>
      </c>
      <c r="AH69" s="94">
        <f t="shared" si="209"/>
        <v>0</v>
      </c>
      <c r="AI69" s="94">
        <f t="shared" si="62"/>
        <v>5.36</v>
      </c>
      <c r="AJ69" s="180">
        <f t="shared" si="63"/>
        <v>125.58715572000001</v>
      </c>
      <c r="AK69" s="213"/>
      <c r="AL69" s="180">
        <f t="shared" si="64"/>
        <v>0</v>
      </c>
      <c r="AM69" s="247"/>
      <c r="AN69" s="180">
        <f t="shared" si="65"/>
        <v>0</v>
      </c>
      <c r="AO69" s="213"/>
      <c r="AP69" s="214">
        <f t="shared" si="66"/>
        <v>0</v>
      </c>
      <c r="AQ69" s="192">
        <f t="shared" si="76"/>
        <v>0</v>
      </c>
      <c r="AR69" s="94">
        <f t="shared" si="210"/>
        <v>0</v>
      </c>
      <c r="AS69" s="94"/>
      <c r="AT69" s="180">
        <f t="shared" si="68"/>
        <v>0</v>
      </c>
      <c r="AU69" s="213"/>
      <c r="AV69" s="180">
        <f t="shared" si="69"/>
        <v>0</v>
      </c>
      <c r="AW69" s="213"/>
      <c r="AX69" s="214">
        <f t="shared" si="70"/>
        <v>0</v>
      </c>
      <c r="AY69" s="192">
        <f t="shared" si="78"/>
        <v>0</v>
      </c>
      <c r="AZ69" s="94">
        <f t="shared" si="211"/>
        <v>0</v>
      </c>
      <c r="BA69" s="94">
        <f t="shared" si="72"/>
        <v>0</v>
      </c>
      <c r="BB69" s="94">
        <f t="shared" si="73"/>
        <v>0</v>
      </c>
      <c r="BC69" s="1" t="s">
        <v>1717</v>
      </c>
    </row>
    <row r="70" spans="1:55">
      <c r="A70" s="492">
        <v>39</v>
      </c>
      <c r="B70" s="26"/>
      <c r="C70" s="26"/>
      <c r="D70" s="27"/>
      <c r="E70" s="324" t="s">
        <v>330</v>
      </c>
      <c r="F70" s="28"/>
      <c r="G70" s="28"/>
      <c r="H70" s="269"/>
      <c r="I70" s="138"/>
      <c r="J70" s="98"/>
      <c r="K70" s="76"/>
      <c r="L70" s="159"/>
      <c r="M70" s="76"/>
      <c r="N70" s="159"/>
      <c r="O70" s="138"/>
      <c r="P70" s="98"/>
      <c r="Q70" s="120">
        <f t="shared" ref="Q70:BB70" si="229">SUM(Q30:Q69)</f>
        <v>780.59100000000012</v>
      </c>
      <c r="R70" s="120">
        <f t="shared" si="229"/>
        <v>12314.392618823002</v>
      </c>
      <c r="S70" s="120">
        <f t="shared" si="229"/>
        <v>296.50600000000009</v>
      </c>
      <c r="T70" s="120">
        <f t="shared" si="229"/>
        <v>4398.7207777825006</v>
      </c>
      <c r="U70" s="120">
        <f t="shared" si="229"/>
        <v>257.64999999999998</v>
      </c>
      <c r="V70" s="120">
        <f t="shared" si="229"/>
        <v>4712.7925519374012</v>
      </c>
      <c r="W70" s="120">
        <f t="shared" si="229"/>
        <v>175.13699999999997</v>
      </c>
      <c r="X70" s="120">
        <f t="shared" si="229"/>
        <v>2546.2167210710995</v>
      </c>
      <c r="Y70" s="120">
        <f t="shared" si="229"/>
        <v>729.29300000000001</v>
      </c>
      <c r="Z70" s="120">
        <f t="shared" si="229"/>
        <v>11657.730050791</v>
      </c>
      <c r="AA70" s="120">
        <f t="shared" si="229"/>
        <v>51.298000000000002</v>
      </c>
      <c r="AB70" s="120">
        <f t="shared" si="229"/>
        <v>656.66256803200008</v>
      </c>
      <c r="AC70" s="120">
        <f t="shared" si="229"/>
        <v>0</v>
      </c>
      <c r="AD70" s="120">
        <f t="shared" si="229"/>
        <v>0</v>
      </c>
      <c r="AE70" s="120">
        <f t="shared" si="229"/>
        <v>0</v>
      </c>
      <c r="AF70" s="120">
        <f t="shared" si="229"/>
        <v>0</v>
      </c>
      <c r="AG70" s="120">
        <f t="shared" si="229"/>
        <v>51.298000000000002</v>
      </c>
      <c r="AH70" s="120">
        <f t="shared" si="229"/>
        <v>656.66256803200008</v>
      </c>
      <c r="AI70" s="120">
        <f t="shared" si="229"/>
        <v>780.59100000000012</v>
      </c>
      <c r="AJ70" s="120">
        <f t="shared" si="229"/>
        <v>12314.392618823002</v>
      </c>
      <c r="AK70" s="120">
        <f t="shared" si="229"/>
        <v>0</v>
      </c>
      <c r="AL70" s="120">
        <f t="shared" si="229"/>
        <v>0</v>
      </c>
      <c r="AM70" s="120">
        <f t="shared" si="229"/>
        <v>0</v>
      </c>
      <c r="AN70" s="120">
        <f t="shared" si="229"/>
        <v>0</v>
      </c>
      <c r="AO70" s="120">
        <f t="shared" si="229"/>
        <v>0</v>
      </c>
      <c r="AP70" s="120">
        <f t="shared" si="229"/>
        <v>0</v>
      </c>
      <c r="AQ70" s="120">
        <f t="shared" si="229"/>
        <v>0</v>
      </c>
      <c r="AR70" s="120">
        <f t="shared" si="229"/>
        <v>0</v>
      </c>
      <c r="AS70" s="120">
        <f t="shared" si="229"/>
        <v>0</v>
      </c>
      <c r="AT70" s="120">
        <f t="shared" si="229"/>
        <v>0</v>
      </c>
      <c r="AU70" s="120">
        <f t="shared" si="229"/>
        <v>0</v>
      </c>
      <c r="AV70" s="120">
        <f t="shared" si="229"/>
        <v>0</v>
      </c>
      <c r="AW70" s="120">
        <f t="shared" si="229"/>
        <v>0</v>
      </c>
      <c r="AX70" s="120">
        <f t="shared" si="229"/>
        <v>0</v>
      </c>
      <c r="AY70" s="120">
        <f t="shared" si="229"/>
        <v>0</v>
      </c>
      <c r="AZ70" s="120">
        <f t="shared" si="229"/>
        <v>0</v>
      </c>
      <c r="BA70" s="120">
        <f t="shared" si="229"/>
        <v>0</v>
      </c>
      <c r="BB70" s="120">
        <f t="shared" si="229"/>
        <v>0</v>
      </c>
      <c r="BC70" s="1" t="s">
        <v>1716</v>
      </c>
    </row>
    <row r="71" spans="1:55" hidden="1">
      <c r="A71" s="492">
        <v>40</v>
      </c>
      <c r="B71" s="13"/>
      <c r="C71" s="14"/>
      <c r="D71" s="309" t="s">
        <v>572</v>
      </c>
      <c r="E71" s="31" t="s">
        <v>119</v>
      </c>
      <c r="F71" s="310" t="s">
        <v>16</v>
      </c>
      <c r="G71" s="310" t="s">
        <v>1060</v>
      </c>
      <c r="H71" s="276" t="s">
        <v>358</v>
      </c>
      <c r="I71" s="43">
        <v>2.61</v>
      </c>
      <c r="J71" s="161"/>
      <c r="K71" s="43"/>
      <c r="L71" s="161"/>
      <c r="M71" s="43"/>
      <c r="N71" s="161"/>
      <c r="O71" s="43"/>
      <c r="P71" s="161"/>
      <c r="Q71" s="124">
        <f t="shared" ref="Q71:Q109" si="230">SUM(AI71+BA71)</f>
        <v>0</v>
      </c>
      <c r="R71" s="334">
        <f t="shared" ref="R71:R109" si="231">SUM(AJ71+BB71)</f>
        <v>0</v>
      </c>
      <c r="S71" s="124"/>
      <c r="T71" s="124">
        <f t="shared" ref="T71:T109" si="232">I71*S71*$T$2/1000</f>
        <v>0</v>
      </c>
      <c r="U71" s="124"/>
      <c r="V71" s="124">
        <f t="shared" ref="V71:V109" si="233">I71*U71*$V$2/1000</f>
        <v>0</v>
      </c>
      <c r="W71" s="124"/>
      <c r="X71" s="124">
        <f t="shared" ref="X71:X109" si="234">I71*W71*$X$2/1000</f>
        <v>0</v>
      </c>
      <c r="Y71" s="124">
        <f t="shared" ref="Y71:Y109" si="235">SUM(S71+U71+W71)</f>
        <v>0</v>
      </c>
      <c r="Z71" s="124">
        <f t="shared" ref="Z71:Z109" si="236">SUM(T71+V71+X71)</f>
        <v>0</v>
      </c>
      <c r="AA71" s="124"/>
      <c r="AB71" s="124">
        <f t="shared" ref="AB71:AB109" si="237">K71*AA71*$AB$2/1000</f>
        <v>0</v>
      </c>
      <c r="AC71" s="124"/>
      <c r="AD71" s="124">
        <f t="shared" ref="AD71:AD109" si="238">K71*AC71*$AD$2/1000</f>
        <v>0</v>
      </c>
      <c r="AE71" s="124"/>
      <c r="AF71" s="124">
        <f t="shared" ref="AF71:AF109" si="239">K71*AE71*$AF$2/1000</f>
        <v>0</v>
      </c>
      <c r="AG71" s="124">
        <f t="shared" ref="AG71:AG109" si="240">SUM(AA71+AC71+AE71)</f>
        <v>0</v>
      </c>
      <c r="AH71" s="124">
        <f t="shared" ref="AH71:AH109" si="241">SUM(AB71+AD71+AF71)</f>
        <v>0</v>
      </c>
      <c r="AI71" s="124">
        <f t="shared" ref="AI71:AI109" si="242">SUM(Y71+AG71)</f>
        <v>0</v>
      </c>
      <c r="AJ71" s="124">
        <f t="shared" ref="AJ71:AJ109" si="243">SUM(Z71,AH71)</f>
        <v>0</v>
      </c>
      <c r="AK71" s="124"/>
      <c r="AL71" s="124">
        <f t="shared" ref="AL71:AL109" si="244">M71*AK71*$AL$2/1000</f>
        <v>0</v>
      </c>
      <c r="AM71" s="124"/>
      <c r="AN71" s="124">
        <f t="shared" ref="AN71:AN109" si="245">M71*AM71*$AN$2/1000</f>
        <v>0</v>
      </c>
      <c r="AO71" s="124"/>
      <c r="AP71" s="124">
        <f t="shared" ref="AP71:AP109" si="246">M71*AO71*$AP$2/1000</f>
        <v>0</v>
      </c>
      <c r="AQ71" s="124">
        <f t="shared" ref="AQ71:AQ109" si="247">SUM(AK71+AM71+AO71)</f>
        <v>0</v>
      </c>
      <c r="AR71" s="124">
        <f t="shared" ref="AR71:AR109" si="248">SUM(AL71+AN71+AP71)</f>
        <v>0</v>
      </c>
      <c r="AS71" s="124"/>
      <c r="AT71" s="124">
        <f t="shared" ref="AT71:AT109" si="249">O71*AS71*$AT$2/1000</f>
        <v>0</v>
      </c>
      <c r="AU71" s="124"/>
      <c r="AV71" s="124">
        <f t="shared" ref="AV71:AV109" si="250">O71*AU71*$AV$2/1000</f>
        <v>0</v>
      </c>
      <c r="AW71" s="124"/>
      <c r="AX71" s="124">
        <f t="shared" ref="AX71:AX109" si="251">O71*AW71*$AX$2/1000</f>
        <v>0</v>
      </c>
      <c r="AY71" s="124">
        <f t="shared" ref="AY71:AY109" si="252">SUM(AS71+AU71+AW71)</f>
        <v>0</v>
      </c>
      <c r="AZ71" s="124">
        <f t="shared" ref="AZ71:AZ109" si="253">SUM(AT71+AV71+AX71)</f>
        <v>0</v>
      </c>
      <c r="BA71" s="124">
        <f t="shared" ref="BA71:BA109" si="254">SUM(AQ71+AY71)</f>
        <v>0</v>
      </c>
      <c r="BB71" s="124">
        <f t="shared" ref="BB71:BB109" si="255">SUM(AR71,AZ71)</f>
        <v>0</v>
      </c>
      <c r="BC71" s="1" t="s">
        <v>1715</v>
      </c>
    </row>
    <row r="72" spans="1:55" hidden="1">
      <c r="A72" s="492">
        <v>41</v>
      </c>
      <c r="B72" s="13"/>
      <c r="C72" s="20"/>
      <c r="D72" s="40"/>
      <c r="E72" s="21" t="s">
        <v>120</v>
      </c>
      <c r="F72" s="45" t="s">
        <v>121</v>
      </c>
      <c r="G72" s="45" t="s">
        <v>1059</v>
      </c>
      <c r="H72" s="264" t="s">
        <v>358</v>
      </c>
      <c r="I72" s="18">
        <v>2.76</v>
      </c>
      <c r="J72" s="157"/>
      <c r="K72" s="18"/>
      <c r="L72" s="157"/>
      <c r="M72" s="18"/>
      <c r="N72" s="157"/>
      <c r="O72" s="18"/>
      <c r="P72" s="157"/>
      <c r="Q72" s="95">
        <f t="shared" si="230"/>
        <v>0</v>
      </c>
      <c r="R72" s="335">
        <f t="shared" si="231"/>
        <v>0</v>
      </c>
      <c r="S72" s="95"/>
      <c r="T72" s="95">
        <f t="shared" si="232"/>
        <v>0</v>
      </c>
      <c r="U72" s="95"/>
      <c r="V72" s="95">
        <f t="shared" si="233"/>
        <v>0</v>
      </c>
      <c r="W72" s="95"/>
      <c r="X72" s="95">
        <f t="shared" si="234"/>
        <v>0</v>
      </c>
      <c r="Y72" s="95">
        <f t="shared" si="235"/>
        <v>0</v>
      </c>
      <c r="Z72" s="95">
        <f t="shared" si="236"/>
        <v>0</v>
      </c>
      <c r="AA72" s="95"/>
      <c r="AB72" s="95">
        <f t="shared" si="237"/>
        <v>0</v>
      </c>
      <c r="AC72" s="95"/>
      <c r="AD72" s="95">
        <f t="shared" si="238"/>
        <v>0</v>
      </c>
      <c r="AE72" s="95"/>
      <c r="AF72" s="95">
        <f t="shared" si="239"/>
        <v>0</v>
      </c>
      <c r="AG72" s="95">
        <f t="shared" si="240"/>
        <v>0</v>
      </c>
      <c r="AH72" s="95">
        <f t="shared" si="241"/>
        <v>0</v>
      </c>
      <c r="AI72" s="95">
        <f t="shared" si="242"/>
        <v>0</v>
      </c>
      <c r="AJ72" s="95">
        <f t="shared" si="243"/>
        <v>0</v>
      </c>
      <c r="AK72" s="95"/>
      <c r="AL72" s="95">
        <f t="shared" si="244"/>
        <v>0</v>
      </c>
      <c r="AM72" s="95"/>
      <c r="AN72" s="95">
        <f t="shared" si="245"/>
        <v>0</v>
      </c>
      <c r="AO72" s="95"/>
      <c r="AP72" s="95">
        <f t="shared" si="246"/>
        <v>0</v>
      </c>
      <c r="AQ72" s="95">
        <f t="shared" si="247"/>
        <v>0</v>
      </c>
      <c r="AR72" s="95">
        <f t="shared" si="248"/>
        <v>0</v>
      </c>
      <c r="AS72" s="95"/>
      <c r="AT72" s="95">
        <f t="shared" si="249"/>
        <v>0</v>
      </c>
      <c r="AU72" s="95"/>
      <c r="AV72" s="95">
        <f t="shared" si="250"/>
        <v>0</v>
      </c>
      <c r="AW72" s="95"/>
      <c r="AX72" s="95">
        <f t="shared" si="251"/>
        <v>0</v>
      </c>
      <c r="AY72" s="95">
        <f t="shared" si="252"/>
        <v>0</v>
      </c>
      <c r="AZ72" s="95">
        <f t="shared" si="253"/>
        <v>0</v>
      </c>
      <c r="BA72" s="95">
        <f t="shared" si="254"/>
        <v>0</v>
      </c>
      <c r="BB72" s="95">
        <f t="shared" si="255"/>
        <v>0</v>
      </c>
      <c r="BC72" s="1" t="s">
        <v>1715</v>
      </c>
    </row>
    <row r="73" spans="1:55" hidden="1">
      <c r="A73" s="492">
        <v>42</v>
      </c>
      <c r="B73" s="14"/>
      <c r="C73" s="14"/>
      <c r="D73" s="15"/>
      <c r="E73" s="21" t="s">
        <v>872</v>
      </c>
      <c r="F73" s="45" t="s">
        <v>850</v>
      </c>
      <c r="G73" s="45" t="s">
        <v>1059</v>
      </c>
      <c r="H73" s="265" t="s">
        <v>358</v>
      </c>
      <c r="I73" s="54">
        <v>3.11</v>
      </c>
      <c r="J73" s="162"/>
      <c r="K73" s="54"/>
      <c r="L73" s="162"/>
      <c r="M73" s="54"/>
      <c r="N73" s="162"/>
      <c r="O73" s="54"/>
      <c r="P73" s="162"/>
      <c r="Q73" s="96">
        <f t="shared" si="230"/>
        <v>0</v>
      </c>
      <c r="R73" s="337">
        <f t="shared" si="231"/>
        <v>0</v>
      </c>
      <c r="S73" s="96"/>
      <c r="T73" s="96">
        <f t="shared" si="232"/>
        <v>0</v>
      </c>
      <c r="U73" s="96"/>
      <c r="V73" s="96">
        <f t="shared" si="233"/>
        <v>0</v>
      </c>
      <c r="W73" s="96"/>
      <c r="X73" s="96">
        <f t="shared" si="234"/>
        <v>0</v>
      </c>
      <c r="Y73" s="96">
        <f t="shared" si="235"/>
        <v>0</v>
      </c>
      <c r="Z73" s="96">
        <f t="shared" si="236"/>
        <v>0</v>
      </c>
      <c r="AA73" s="96"/>
      <c r="AB73" s="96">
        <f t="shared" si="237"/>
        <v>0</v>
      </c>
      <c r="AC73" s="96"/>
      <c r="AD73" s="96">
        <f t="shared" si="238"/>
        <v>0</v>
      </c>
      <c r="AE73" s="96"/>
      <c r="AF73" s="95">
        <f t="shared" si="239"/>
        <v>0</v>
      </c>
      <c r="AG73" s="96">
        <f t="shared" si="240"/>
        <v>0</v>
      </c>
      <c r="AH73" s="96">
        <f t="shared" si="241"/>
        <v>0</v>
      </c>
      <c r="AI73" s="96">
        <f t="shared" si="242"/>
        <v>0</v>
      </c>
      <c r="AJ73" s="96">
        <f t="shared" si="243"/>
        <v>0</v>
      </c>
      <c r="AK73" s="96"/>
      <c r="AL73" s="96">
        <f t="shared" si="244"/>
        <v>0</v>
      </c>
      <c r="AM73" s="96"/>
      <c r="AN73" s="96">
        <f t="shared" si="245"/>
        <v>0</v>
      </c>
      <c r="AO73" s="96"/>
      <c r="AP73" s="96">
        <f t="shared" si="246"/>
        <v>0</v>
      </c>
      <c r="AQ73" s="96">
        <f t="shared" si="247"/>
        <v>0</v>
      </c>
      <c r="AR73" s="96">
        <f t="shared" si="248"/>
        <v>0</v>
      </c>
      <c r="AS73" s="96"/>
      <c r="AT73" s="96">
        <f t="shared" si="249"/>
        <v>0</v>
      </c>
      <c r="AU73" s="96"/>
      <c r="AV73" s="96">
        <f t="shared" si="250"/>
        <v>0</v>
      </c>
      <c r="AW73" s="96"/>
      <c r="AX73" s="96">
        <f t="shared" si="251"/>
        <v>0</v>
      </c>
      <c r="AY73" s="96">
        <f t="shared" si="252"/>
        <v>0</v>
      </c>
      <c r="AZ73" s="96">
        <f t="shared" si="253"/>
        <v>0</v>
      </c>
      <c r="BA73" s="96">
        <f t="shared" si="254"/>
        <v>0</v>
      </c>
      <c r="BB73" s="96">
        <f t="shared" si="255"/>
        <v>0</v>
      </c>
      <c r="BC73" s="1" t="s">
        <v>1715</v>
      </c>
    </row>
    <row r="74" spans="1:55" hidden="1">
      <c r="A74" s="492">
        <v>43</v>
      </c>
      <c r="B74" s="14"/>
      <c r="C74" s="14"/>
      <c r="D74" s="15"/>
      <c r="E74" s="21" t="s">
        <v>887</v>
      </c>
      <c r="F74" s="45" t="s">
        <v>886</v>
      </c>
      <c r="G74" s="45" t="s">
        <v>1059</v>
      </c>
      <c r="H74" s="265" t="s">
        <v>358</v>
      </c>
      <c r="I74" s="54">
        <v>3.36</v>
      </c>
      <c r="J74" s="54"/>
      <c r="K74" s="54"/>
      <c r="L74" s="162"/>
      <c r="M74" s="54"/>
      <c r="N74" s="162"/>
      <c r="O74" s="54"/>
      <c r="P74" s="54"/>
      <c r="Q74" s="96">
        <f t="shared" si="230"/>
        <v>0</v>
      </c>
      <c r="R74" s="337">
        <f t="shared" si="231"/>
        <v>0</v>
      </c>
      <c r="S74" s="96"/>
      <c r="T74" s="96">
        <f t="shared" si="232"/>
        <v>0</v>
      </c>
      <c r="U74" s="96"/>
      <c r="V74" s="96">
        <f t="shared" si="233"/>
        <v>0</v>
      </c>
      <c r="W74" s="96"/>
      <c r="X74" s="96">
        <f t="shared" si="234"/>
        <v>0</v>
      </c>
      <c r="Y74" s="96">
        <f t="shared" si="235"/>
        <v>0</v>
      </c>
      <c r="Z74" s="96">
        <f t="shared" si="236"/>
        <v>0</v>
      </c>
      <c r="AA74" s="96"/>
      <c r="AB74" s="96">
        <f t="shared" si="237"/>
        <v>0</v>
      </c>
      <c r="AC74" s="96"/>
      <c r="AD74" s="96">
        <f t="shared" si="238"/>
        <v>0</v>
      </c>
      <c r="AE74" s="96"/>
      <c r="AF74" s="95">
        <f t="shared" si="239"/>
        <v>0</v>
      </c>
      <c r="AG74" s="96">
        <f t="shared" si="240"/>
        <v>0</v>
      </c>
      <c r="AH74" s="96">
        <f t="shared" si="241"/>
        <v>0</v>
      </c>
      <c r="AI74" s="96">
        <f t="shared" si="242"/>
        <v>0</v>
      </c>
      <c r="AJ74" s="96">
        <f t="shared" si="243"/>
        <v>0</v>
      </c>
      <c r="AK74" s="96"/>
      <c r="AL74" s="96">
        <f t="shared" si="244"/>
        <v>0</v>
      </c>
      <c r="AM74" s="96"/>
      <c r="AN74" s="96">
        <f t="shared" si="245"/>
        <v>0</v>
      </c>
      <c r="AO74" s="96"/>
      <c r="AP74" s="96">
        <f t="shared" si="246"/>
        <v>0</v>
      </c>
      <c r="AQ74" s="96">
        <f t="shared" si="247"/>
        <v>0</v>
      </c>
      <c r="AR74" s="96">
        <f t="shared" si="248"/>
        <v>0</v>
      </c>
      <c r="AS74" s="96"/>
      <c r="AT74" s="96">
        <f t="shared" si="249"/>
        <v>0</v>
      </c>
      <c r="AU74" s="96"/>
      <c r="AV74" s="96">
        <f t="shared" si="250"/>
        <v>0</v>
      </c>
      <c r="AW74" s="96"/>
      <c r="AX74" s="96">
        <f t="shared" si="251"/>
        <v>0</v>
      </c>
      <c r="AY74" s="96">
        <f t="shared" si="252"/>
        <v>0</v>
      </c>
      <c r="AZ74" s="96">
        <f t="shared" si="253"/>
        <v>0</v>
      </c>
      <c r="BA74" s="96">
        <f t="shared" si="254"/>
        <v>0</v>
      </c>
      <c r="BB74" s="96">
        <f t="shared" si="255"/>
        <v>0</v>
      </c>
      <c r="BC74" s="1" t="s">
        <v>1715</v>
      </c>
    </row>
    <row r="75" spans="1:55" hidden="1">
      <c r="A75" s="492">
        <v>46</v>
      </c>
      <c r="B75" s="14"/>
      <c r="C75" s="14"/>
      <c r="D75" s="15"/>
      <c r="E75" s="21" t="s">
        <v>1268</v>
      </c>
      <c r="F75" s="45" t="s">
        <v>1269</v>
      </c>
      <c r="G75" s="45" t="s">
        <v>1265</v>
      </c>
      <c r="H75" s="265" t="s">
        <v>358</v>
      </c>
      <c r="I75" s="54">
        <v>3.47</v>
      </c>
      <c r="J75" s="162"/>
      <c r="K75" s="54"/>
      <c r="L75" s="162"/>
      <c r="M75" s="54"/>
      <c r="N75" s="162"/>
      <c r="O75" s="54"/>
      <c r="P75" s="162"/>
      <c r="Q75" s="96">
        <f t="shared" si="230"/>
        <v>0</v>
      </c>
      <c r="R75" s="337">
        <f t="shared" si="231"/>
        <v>0</v>
      </c>
      <c r="S75" s="96"/>
      <c r="T75" s="96">
        <f t="shared" si="232"/>
        <v>0</v>
      </c>
      <c r="U75" s="96"/>
      <c r="V75" s="96">
        <f t="shared" si="233"/>
        <v>0</v>
      </c>
      <c r="W75" s="96"/>
      <c r="X75" s="96">
        <f t="shared" si="234"/>
        <v>0</v>
      </c>
      <c r="Y75" s="96">
        <f t="shared" si="235"/>
        <v>0</v>
      </c>
      <c r="Z75" s="96">
        <f t="shared" si="236"/>
        <v>0</v>
      </c>
      <c r="AA75" s="96"/>
      <c r="AB75" s="96">
        <f t="shared" si="237"/>
        <v>0</v>
      </c>
      <c r="AC75" s="96"/>
      <c r="AD75" s="96">
        <f t="shared" si="238"/>
        <v>0</v>
      </c>
      <c r="AE75" s="96"/>
      <c r="AF75" s="95">
        <f t="shared" si="239"/>
        <v>0</v>
      </c>
      <c r="AG75" s="96">
        <f t="shared" si="240"/>
        <v>0</v>
      </c>
      <c r="AH75" s="96">
        <f t="shared" si="241"/>
        <v>0</v>
      </c>
      <c r="AI75" s="96">
        <f t="shared" si="242"/>
        <v>0</v>
      </c>
      <c r="AJ75" s="96">
        <f t="shared" si="243"/>
        <v>0</v>
      </c>
      <c r="AK75" s="96"/>
      <c r="AL75" s="96">
        <f t="shared" si="244"/>
        <v>0</v>
      </c>
      <c r="AM75" s="96"/>
      <c r="AN75" s="96">
        <f t="shared" si="245"/>
        <v>0</v>
      </c>
      <c r="AO75" s="96"/>
      <c r="AP75" s="96">
        <f t="shared" si="246"/>
        <v>0</v>
      </c>
      <c r="AQ75" s="96">
        <f t="shared" si="247"/>
        <v>0</v>
      </c>
      <c r="AR75" s="96">
        <f t="shared" si="248"/>
        <v>0</v>
      </c>
      <c r="AS75" s="96"/>
      <c r="AT75" s="96">
        <f t="shared" si="249"/>
        <v>0</v>
      </c>
      <c r="AU75" s="96"/>
      <c r="AV75" s="96">
        <f t="shared" si="250"/>
        <v>0</v>
      </c>
      <c r="AW75" s="96"/>
      <c r="AX75" s="96">
        <f t="shared" si="251"/>
        <v>0</v>
      </c>
      <c r="AY75" s="96">
        <f t="shared" si="252"/>
        <v>0</v>
      </c>
      <c r="AZ75" s="96">
        <f t="shared" si="253"/>
        <v>0</v>
      </c>
      <c r="BA75" s="96">
        <f t="shared" si="254"/>
        <v>0</v>
      </c>
      <c r="BB75" s="96">
        <f t="shared" si="255"/>
        <v>0</v>
      </c>
      <c r="BC75" s="1" t="s">
        <v>1715</v>
      </c>
    </row>
    <row r="76" spans="1:55" hidden="1">
      <c r="A76" s="492">
        <v>41</v>
      </c>
      <c r="B76" s="13"/>
      <c r="C76" s="20"/>
      <c r="D76" s="40"/>
      <c r="E76" s="21" t="s">
        <v>1413</v>
      </c>
      <c r="F76" s="45" t="s">
        <v>1414</v>
      </c>
      <c r="G76" s="45" t="s">
        <v>1059</v>
      </c>
      <c r="H76" s="264" t="s">
        <v>358</v>
      </c>
      <c r="I76" s="18">
        <v>3.19</v>
      </c>
      <c r="J76" s="157"/>
      <c r="K76" s="18"/>
      <c r="L76" s="157"/>
      <c r="M76" s="18"/>
      <c r="N76" s="157"/>
      <c r="O76" s="18"/>
      <c r="P76" s="157"/>
      <c r="Q76" s="95">
        <f t="shared" si="230"/>
        <v>0</v>
      </c>
      <c r="R76" s="335">
        <f t="shared" si="231"/>
        <v>0</v>
      </c>
      <c r="S76" s="95"/>
      <c r="T76" s="95">
        <f t="shared" si="232"/>
        <v>0</v>
      </c>
      <c r="U76" s="95"/>
      <c r="V76" s="95">
        <f t="shared" si="233"/>
        <v>0</v>
      </c>
      <c r="W76" s="95"/>
      <c r="X76" s="95">
        <f t="shared" si="234"/>
        <v>0</v>
      </c>
      <c r="Y76" s="95">
        <f t="shared" si="235"/>
        <v>0</v>
      </c>
      <c r="Z76" s="95">
        <f t="shared" si="236"/>
        <v>0</v>
      </c>
      <c r="AA76" s="95"/>
      <c r="AB76" s="95">
        <f t="shared" si="237"/>
        <v>0</v>
      </c>
      <c r="AC76" s="95"/>
      <c r="AD76" s="95">
        <f t="shared" si="238"/>
        <v>0</v>
      </c>
      <c r="AE76" s="95"/>
      <c r="AF76" s="95">
        <f t="shared" si="239"/>
        <v>0</v>
      </c>
      <c r="AG76" s="95">
        <f t="shared" si="240"/>
        <v>0</v>
      </c>
      <c r="AH76" s="95">
        <f t="shared" si="241"/>
        <v>0</v>
      </c>
      <c r="AI76" s="95">
        <f t="shared" si="242"/>
        <v>0</v>
      </c>
      <c r="AJ76" s="95">
        <f t="shared" si="243"/>
        <v>0</v>
      </c>
      <c r="AK76" s="95"/>
      <c r="AL76" s="95">
        <f t="shared" si="244"/>
        <v>0</v>
      </c>
      <c r="AM76" s="95"/>
      <c r="AN76" s="95">
        <f t="shared" si="245"/>
        <v>0</v>
      </c>
      <c r="AO76" s="95"/>
      <c r="AP76" s="95">
        <f t="shared" si="246"/>
        <v>0</v>
      </c>
      <c r="AQ76" s="95">
        <f t="shared" si="247"/>
        <v>0</v>
      </c>
      <c r="AR76" s="95">
        <f t="shared" si="248"/>
        <v>0</v>
      </c>
      <c r="AS76" s="95"/>
      <c r="AT76" s="95">
        <f t="shared" si="249"/>
        <v>0</v>
      </c>
      <c r="AU76" s="95"/>
      <c r="AV76" s="95">
        <f t="shared" si="250"/>
        <v>0</v>
      </c>
      <c r="AW76" s="95"/>
      <c r="AX76" s="95">
        <f t="shared" si="251"/>
        <v>0</v>
      </c>
      <c r="AY76" s="95">
        <f t="shared" si="252"/>
        <v>0</v>
      </c>
      <c r="AZ76" s="95">
        <f t="shared" si="253"/>
        <v>0</v>
      </c>
      <c r="BA76" s="95">
        <f t="shared" si="254"/>
        <v>0</v>
      </c>
      <c r="BB76" s="95">
        <f t="shared" si="255"/>
        <v>0</v>
      </c>
      <c r="BC76" s="1" t="s">
        <v>1715</v>
      </c>
    </row>
    <row r="77" spans="1:55" hidden="1">
      <c r="A77" s="492">
        <v>45</v>
      </c>
      <c r="B77" s="14"/>
      <c r="C77" s="14"/>
      <c r="D77" s="15"/>
      <c r="E77" s="21" t="s">
        <v>905</v>
      </c>
      <c r="F77" s="45" t="s">
        <v>904</v>
      </c>
      <c r="G77" s="45" t="s">
        <v>1059</v>
      </c>
      <c r="H77" s="265" t="s">
        <v>358</v>
      </c>
      <c r="I77" s="54">
        <v>3.45</v>
      </c>
      <c r="J77" s="162"/>
      <c r="K77" s="54"/>
      <c r="L77" s="162"/>
      <c r="M77" s="54"/>
      <c r="N77" s="162"/>
      <c r="O77" s="54"/>
      <c r="P77" s="162"/>
      <c r="Q77" s="96">
        <f t="shared" si="230"/>
        <v>0</v>
      </c>
      <c r="R77" s="337">
        <f t="shared" si="231"/>
        <v>0</v>
      </c>
      <c r="S77" s="96"/>
      <c r="T77" s="96">
        <f t="shared" si="232"/>
        <v>0</v>
      </c>
      <c r="U77" s="96"/>
      <c r="V77" s="96">
        <f t="shared" si="233"/>
        <v>0</v>
      </c>
      <c r="W77" s="96"/>
      <c r="X77" s="96">
        <f t="shared" si="234"/>
        <v>0</v>
      </c>
      <c r="Y77" s="96">
        <f t="shared" si="235"/>
        <v>0</v>
      </c>
      <c r="Z77" s="96">
        <f t="shared" si="236"/>
        <v>0</v>
      </c>
      <c r="AA77" s="96"/>
      <c r="AB77" s="96">
        <f t="shared" si="237"/>
        <v>0</v>
      </c>
      <c r="AC77" s="96"/>
      <c r="AD77" s="96">
        <f t="shared" si="238"/>
        <v>0</v>
      </c>
      <c r="AE77" s="96"/>
      <c r="AF77" s="95">
        <f t="shared" si="239"/>
        <v>0</v>
      </c>
      <c r="AG77" s="96">
        <f t="shared" si="240"/>
        <v>0</v>
      </c>
      <c r="AH77" s="96">
        <f t="shared" si="241"/>
        <v>0</v>
      </c>
      <c r="AI77" s="96">
        <f t="shared" si="242"/>
        <v>0</v>
      </c>
      <c r="AJ77" s="96">
        <f t="shared" si="243"/>
        <v>0</v>
      </c>
      <c r="AK77" s="96"/>
      <c r="AL77" s="96">
        <f t="shared" si="244"/>
        <v>0</v>
      </c>
      <c r="AM77" s="96"/>
      <c r="AN77" s="96">
        <f t="shared" si="245"/>
        <v>0</v>
      </c>
      <c r="AO77" s="96"/>
      <c r="AP77" s="96">
        <f t="shared" si="246"/>
        <v>0</v>
      </c>
      <c r="AQ77" s="96">
        <f t="shared" si="247"/>
        <v>0</v>
      </c>
      <c r="AR77" s="96">
        <f t="shared" si="248"/>
        <v>0</v>
      </c>
      <c r="AS77" s="96"/>
      <c r="AT77" s="96">
        <f t="shared" si="249"/>
        <v>0</v>
      </c>
      <c r="AU77" s="96"/>
      <c r="AV77" s="96">
        <f t="shared" si="250"/>
        <v>0</v>
      </c>
      <c r="AW77" s="96"/>
      <c r="AX77" s="96">
        <f t="shared" si="251"/>
        <v>0</v>
      </c>
      <c r="AY77" s="96">
        <f t="shared" si="252"/>
        <v>0</v>
      </c>
      <c r="AZ77" s="96">
        <f t="shared" si="253"/>
        <v>0</v>
      </c>
      <c r="BA77" s="96">
        <f t="shared" si="254"/>
        <v>0</v>
      </c>
      <c r="BB77" s="96">
        <f t="shared" si="255"/>
        <v>0</v>
      </c>
      <c r="BC77" s="1" t="s">
        <v>1715</v>
      </c>
    </row>
    <row r="78" spans="1:55" hidden="1">
      <c r="A78" s="492">
        <v>48</v>
      </c>
      <c r="B78" s="13"/>
      <c r="C78" s="23"/>
      <c r="D78" s="36"/>
      <c r="E78" s="21" t="s">
        <v>1383</v>
      </c>
      <c r="F78" s="45" t="s">
        <v>1382</v>
      </c>
      <c r="G78" s="45" t="s">
        <v>1059</v>
      </c>
      <c r="H78" s="265" t="s">
        <v>358</v>
      </c>
      <c r="I78" s="18">
        <v>3.82</v>
      </c>
      <c r="J78" s="18"/>
      <c r="K78" s="18"/>
      <c r="L78" s="157"/>
      <c r="M78" s="18"/>
      <c r="N78" s="157"/>
      <c r="O78" s="18"/>
      <c r="P78" s="18"/>
      <c r="Q78" s="96">
        <f t="shared" si="230"/>
        <v>0</v>
      </c>
      <c r="R78" s="337">
        <f t="shared" si="231"/>
        <v>0</v>
      </c>
      <c r="S78" s="96"/>
      <c r="T78" s="96">
        <f t="shared" si="232"/>
        <v>0</v>
      </c>
      <c r="U78" s="96"/>
      <c r="V78" s="96">
        <f t="shared" si="233"/>
        <v>0</v>
      </c>
      <c r="W78" s="96"/>
      <c r="X78" s="96">
        <f t="shared" si="234"/>
        <v>0</v>
      </c>
      <c r="Y78" s="96">
        <f t="shared" si="235"/>
        <v>0</v>
      </c>
      <c r="Z78" s="96">
        <f t="shared" si="236"/>
        <v>0</v>
      </c>
      <c r="AA78" s="96"/>
      <c r="AB78" s="96">
        <f t="shared" si="237"/>
        <v>0</v>
      </c>
      <c r="AC78" s="96"/>
      <c r="AD78" s="96">
        <f t="shared" si="238"/>
        <v>0</v>
      </c>
      <c r="AE78" s="96"/>
      <c r="AF78" s="95">
        <f t="shared" si="239"/>
        <v>0</v>
      </c>
      <c r="AG78" s="96">
        <f t="shared" si="240"/>
        <v>0</v>
      </c>
      <c r="AH78" s="96">
        <f t="shared" si="241"/>
        <v>0</v>
      </c>
      <c r="AI78" s="96">
        <f t="shared" si="242"/>
        <v>0</v>
      </c>
      <c r="AJ78" s="96">
        <f t="shared" si="243"/>
        <v>0</v>
      </c>
      <c r="AK78" s="96"/>
      <c r="AL78" s="96">
        <f t="shared" si="244"/>
        <v>0</v>
      </c>
      <c r="AM78" s="96"/>
      <c r="AN78" s="96">
        <f t="shared" si="245"/>
        <v>0</v>
      </c>
      <c r="AO78" s="96"/>
      <c r="AP78" s="96">
        <f t="shared" si="246"/>
        <v>0</v>
      </c>
      <c r="AQ78" s="96">
        <f t="shared" si="247"/>
        <v>0</v>
      </c>
      <c r="AR78" s="96">
        <f t="shared" si="248"/>
        <v>0</v>
      </c>
      <c r="AS78" s="96"/>
      <c r="AT78" s="96">
        <f t="shared" si="249"/>
        <v>0</v>
      </c>
      <c r="AU78" s="96"/>
      <c r="AV78" s="96">
        <f t="shared" si="250"/>
        <v>0</v>
      </c>
      <c r="AW78" s="96"/>
      <c r="AX78" s="96">
        <f t="shared" si="251"/>
        <v>0</v>
      </c>
      <c r="AY78" s="96">
        <f t="shared" si="252"/>
        <v>0</v>
      </c>
      <c r="AZ78" s="96">
        <f t="shared" si="253"/>
        <v>0</v>
      </c>
      <c r="BA78" s="96">
        <f t="shared" si="254"/>
        <v>0</v>
      </c>
      <c r="BB78" s="96">
        <f t="shared" si="255"/>
        <v>0</v>
      </c>
      <c r="BC78" s="1" t="s">
        <v>1715</v>
      </c>
    </row>
    <row r="79" spans="1:55" hidden="1">
      <c r="A79" s="492">
        <v>48</v>
      </c>
      <c r="B79" s="13"/>
      <c r="C79" s="23"/>
      <c r="D79" s="36"/>
      <c r="E79" s="21" t="s">
        <v>1415</v>
      </c>
      <c r="F79" s="45" t="s">
        <v>1416</v>
      </c>
      <c r="G79" s="45" t="s">
        <v>1059</v>
      </c>
      <c r="H79" s="265" t="s">
        <v>358</v>
      </c>
      <c r="I79" s="18">
        <v>4.07</v>
      </c>
      <c r="J79" s="18"/>
      <c r="K79" s="18"/>
      <c r="L79" s="157"/>
      <c r="M79" s="18"/>
      <c r="N79" s="157"/>
      <c r="O79" s="18"/>
      <c r="P79" s="18"/>
      <c r="Q79" s="96">
        <f t="shared" si="230"/>
        <v>0</v>
      </c>
      <c r="R79" s="337">
        <f t="shared" si="231"/>
        <v>0</v>
      </c>
      <c r="S79" s="96"/>
      <c r="T79" s="96">
        <f t="shared" si="232"/>
        <v>0</v>
      </c>
      <c r="U79" s="96"/>
      <c r="V79" s="96">
        <f t="shared" si="233"/>
        <v>0</v>
      </c>
      <c r="W79" s="96"/>
      <c r="X79" s="96">
        <f t="shared" si="234"/>
        <v>0</v>
      </c>
      <c r="Y79" s="96">
        <f t="shared" si="235"/>
        <v>0</v>
      </c>
      <c r="Z79" s="96">
        <f t="shared" si="236"/>
        <v>0</v>
      </c>
      <c r="AA79" s="96"/>
      <c r="AB79" s="96">
        <f t="shared" si="237"/>
        <v>0</v>
      </c>
      <c r="AC79" s="96"/>
      <c r="AD79" s="96">
        <f t="shared" si="238"/>
        <v>0</v>
      </c>
      <c r="AE79" s="96"/>
      <c r="AF79" s="95">
        <f t="shared" si="239"/>
        <v>0</v>
      </c>
      <c r="AG79" s="96">
        <f t="shared" si="240"/>
        <v>0</v>
      </c>
      <c r="AH79" s="96">
        <f t="shared" si="241"/>
        <v>0</v>
      </c>
      <c r="AI79" s="96">
        <f t="shared" si="242"/>
        <v>0</v>
      </c>
      <c r="AJ79" s="96">
        <f t="shared" si="243"/>
        <v>0</v>
      </c>
      <c r="AK79" s="96"/>
      <c r="AL79" s="96">
        <f t="shared" si="244"/>
        <v>0</v>
      </c>
      <c r="AM79" s="96"/>
      <c r="AN79" s="96">
        <f t="shared" si="245"/>
        <v>0</v>
      </c>
      <c r="AO79" s="96"/>
      <c r="AP79" s="96">
        <f t="shared" si="246"/>
        <v>0</v>
      </c>
      <c r="AQ79" s="96">
        <f t="shared" si="247"/>
        <v>0</v>
      </c>
      <c r="AR79" s="96">
        <f t="shared" si="248"/>
        <v>0</v>
      </c>
      <c r="AS79" s="96"/>
      <c r="AT79" s="96">
        <f t="shared" si="249"/>
        <v>0</v>
      </c>
      <c r="AU79" s="96"/>
      <c r="AV79" s="96">
        <f t="shared" si="250"/>
        <v>0</v>
      </c>
      <c r="AW79" s="96"/>
      <c r="AX79" s="96">
        <f t="shared" si="251"/>
        <v>0</v>
      </c>
      <c r="AY79" s="96">
        <f t="shared" si="252"/>
        <v>0</v>
      </c>
      <c r="AZ79" s="96">
        <f t="shared" si="253"/>
        <v>0</v>
      </c>
      <c r="BA79" s="96">
        <f t="shared" si="254"/>
        <v>0</v>
      </c>
      <c r="BB79" s="96">
        <f t="shared" si="255"/>
        <v>0</v>
      </c>
      <c r="BC79" s="1" t="s">
        <v>1715</v>
      </c>
    </row>
    <row r="80" spans="1:55" hidden="1">
      <c r="A80" s="492">
        <v>48</v>
      </c>
      <c r="B80" s="13"/>
      <c r="C80" s="23"/>
      <c r="D80" s="36"/>
      <c r="E80" s="21" t="s">
        <v>122</v>
      </c>
      <c r="F80" s="45" t="s">
        <v>123</v>
      </c>
      <c r="G80" s="45" t="s">
        <v>1059</v>
      </c>
      <c r="H80" s="265" t="s">
        <v>358</v>
      </c>
      <c r="I80" s="18">
        <v>3.73</v>
      </c>
      <c r="J80" s="18"/>
      <c r="K80" s="18"/>
      <c r="L80" s="157"/>
      <c r="M80" s="18"/>
      <c r="N80" s="157"/>
      <c r="O80" s="18"/>
      <c r="P80" s="18"/>
      <c r="Q80" s="96">
        <f t="shared" si="230"/>
        <v>0</v>
      </c>
      <c r="R80" s="337">
        <f t="shared" si="231"/>
        <v>0</v>
      </c>
      <c r="S80" s="96"/>
      <c r="T80" s="96">
        <f t="shared" si="232"/>
        <v>0</v>
      </c>
      <c r="U80" s="96"/>
      <c r="V80" s="96">
        <f t="shared" si="233"/>
        <v>0</v>
      </c>
      <c r="W80" s="96"/>
      <c r="X80" s="96">
        <f t="shared" si="234"/>
        <v>0</v>
      </c>
      <c r="Y80" s="96">
        <f t="shared" si="235"/>
        <v>0</v>
      </c>
      <c r="Z80" s="96">
        <f t="shared" si="236"/>
        <v>0</v>
      </c>
      <c r="AA80" s="96"/>
      <c r="AB80" s="96">
        <f t="shared" si="237"/>
        <v>0</v>
      </c>
      <c r="AC80" s="96"/>
      <c r="AD80" s="96">
        <f t="shared" si="238"/>
        <v>0</v>
      </c>
      <c r="AE80" s="96"/>
      <c r="AF80" s="95">
        <f t="shared" si="239"/>
        <v>0</v>
      </c>
      <c r="AG80" s="96">
        <f t="shared" si="240"/>
        <v>0</v>
      </c>
      <c r="AH80" s="96">
        <f t="shared" si="241"/>
        <v>0</v>
      </c>
      <c r="AI80" s="96">
        <f t="shared" si="242"/>
        <v>0</v>
      </c>
      <c r="AJ80" s="96">
        <f t="shared" si="243"/>
        <v>0</v>
      </c>
      <c r="AK80" s="96"/>
      <c r="AL80" s="96">
        <f t="shared" si="244"/>
        <v>0</v>
      </c>
      <c r="AM80" s="96"/>
      <c r="AN80" s="96">
        <f t="shared" si="245"/>
        <v>0</v>
      </c>
      <c r="AO80" s="96"/>
      <c r="AP80" s="96">
        <f t="shared" si="246"/>
        <v>0</v>
      </c>
      <c r="AQ80" s="96">
        <f t="shared" si="247"/>
        <v>0</v>
      </c>
      <c r="AR80" s="96">
        <f t="shared" si="248"/>
        <v>0</v>
      </c>
      <c r="AS80" s="96"/>
      <c r="AT80" s="96">
        <f t="shared" si="249"/>
        <v>0</v>
      </c>
      <c r="AU80" s="96"/>
      <c r="AV80" s="96">
        <f t="shared" si="250"/>
        <v>0</v>
      </c>
      <c r="AW80" s="96"/>
      <c r="AX80" s="96">
        <f t="shared" si="251"/>
        <v>0</v>
      </c>
      <c r="AY80" s="96">
        <f t="shared" si="252"/>
        <v>0</v>
      </c>
      <c r="AZ80" s="96">
        <f t="shared" si="253"/>
        <v>0</v>
      </c>
      <c r="BA80" s="96">
        <f t="shared" si="254"/>
        <v>0</v>
      </c>
      <c r="BB80" s="96">
        <f t="shared" si="255"/>
        <v>0</v>
      </c>
      <c r="BC80" s="1" t="s">
        <v>1715</v>
      </c>
    </row>
    <row r="81" spans="1:55" hidden="1">
      <c r="A81" s="492">
        <v>49</v>
      </c>
      <c r="B81" s="13"/>
      <c r="C81" s="23"/>
      <c r="D81" s="36"/>
      <c r="E81" s="21" t="s">
        <v>124</v>
      </c>
      <c r="F81" s="45" t="s">
        <v>125</v>
      </c>
      <c r="G81" s="45" t="s">
        <v>1059</v>
      </c>
      <c r="H81" s="265" t="s">
        <v>358</v>
      </c>
      <c r="I81" s="18">
        <v>4.34</v>
      </c>
      <c r="J81" s="157"/>
      <c r="K81" s="18"/>
      <c r="L81" s="157"/>
      <c r="M81" s="18"/>
      <c r="N81" s="157"/>
      <c r="O81" s="18"/>
      <c r="P81" s="157"/>
      <c r="Q81" s="96">
        <f t="shared" si="230"/>
        <v>0</v>
      </c>
      <c r="R81" s="337">
        <f t="shared" si="231"/>
        <v>0</v>
      </c>
      <c r="S81" s="96"/>
      <c r="T81" s="96">
        <f t="shared" si="232"/>
        <v>0</v>
      </c>
      <c r="U81" s="96"/>
      <c r="V81" s="96">
        <f t="shared" si="233"/>
        <v>0</v>
      </c>
      <c r="W81" s="96"/>
      <c r="X81" s="96">
        <f t="shared" si="234"/>
        <v>0</v>
      </c>
      <c r="Y81" s="96">
        <f t="shared" si="235"/>
        <v>0</v>
      </c>
      <c r="Z81" s="96">
        <f t="shared" si="236"/>
        <v>0</v>
      </c>
      <c r="AA81" s="96"/>
      <c r="AB81" s="96">
        <f t="shared" si="237"/>
        <v>0</v>
      </c>
      <c r="AC81" s="96"/>
      <c r="AD81" s="96">
        <f t="shared" si="238"/>
        <v>0</v>
      </c>
      <c r="AE81" s="96"/>
      <c r="AF81" s="95">
        <f t="shared" si="239"/>
        <v>0</v>
      </c>
      <c r="AG81" s="96">
        <f t="shared" si="240"/>
        <v>0</v>
      </c>
      <c r="AH81" s="96">
        <f t="shared" si="241"/>
        <v>0</v>
      </c>
      <c r="AI81" s="96">
        <f t="shared" si="242"/>
        <v>0</v>
      </c>
      <c r="AJ81" s="96">
        <f t="shared" si="243"/>
        <v>0</v>
      </c>
      <c r="AK81" s="96"/>
      <c r="AL81" s="96">
        <f t="shared" si="244"/>
        <v>0</v>
      </c>
      <c r="AM81" s="96"/>
      <c r="AN81" s="96">
        <f t="shared" si="245"/>
        <v>0</v>
      </c>
      <c r="AO81" s="96"/>
      <c r="AP81" s="96">
        <f t="shared" si="246"/>
        <v>0</v>
      </c>
      <c r="AQ81" s="96">
        <f t="shared" si="247"/>
        <v>0</v>
      </c>
      <c r="AR81" s="96">
        <f t="shared" si="248"/>
        <v>0</v>
      </c>
      <c r="AS81" s="96"/>
      <c r="AT81" s="96">
        <f t="shared" si="249"/>
        <v>0</v>
      </c>
      <c r="AU81" s="96"/>
      <c r="AV81" s="96">
        <f t="shared" si="250"/>
        <v>0</v>
      </c>
      <c r="AW81" s="96"/>
      <c r="AX81" s="96">
        <f t="shared" si="251"/>
        <v>0</v>
      </c>
      <c r="AY81" s="96">
        <f t="shared" si="252"/>
        <v>0</v>
      </c>
      <c r="AZ81" s="96">
        <f t="shared" si="253"/>
        <v>0</v>
      </c>
      <c r="BA81" s="96">
        <f t="shared" si="254"/>
        <v>0</v>
      </c>
      <c r="BB81" s="96">
        <f t="shared" si="255"/>
        <v>0</v>
      </c>
      <c r="BC81" s="1" t="s">
        <v>1715</v>
      </c>
    </row>
    <row r="82" spans="1:55" s="6" customFormat="1" hidden="1">
      <c r="A82" s="492">
        <v>50</v>
      </c>
      <c r="B82" s="14"/>
      <c r="C82" s="20"/>
      <c r="D82" s="46"/>
      <c r="E82" s="21" t="s">
        <v>445</v>
      </c>
      <c r="F82" s="45" t="s">
        <v>443</v>
      </c>
      <c r="G82" s="45" t="s">
        <v>1059</v>
      </c>
      <c r="H82" s="264" t="s">
        <v>358</v>
      </c>
      <c r="I82" s="18">
        <v>3.93</v>
      </c>
      <c r="J82" s="201"/>
      <c r="K82" s="18"/>
      <c r="L82" s="201"/>
      <c r="M82" s="18"/>
      <c r="N82" s="201"/>
      <c r="O82" s="18"/>
      <c r="P82" s="201"/>
      <c r="Q82" s="95">
        <f t="shared" si="230"/>
        <v>0</v>
      </c>
      <c r="R82" s="335">
        <f t="shared" si="231"/>
        <v>0</v>
      </c>
      <c r="S82" s="95"/>
      <c r="T82" s="95">
        <f t="shared" si="232"/>
        <v>0</v>
      </c>
      <c r="U82" s="95"/>
      <c r="V82" s="95">
        <f t="shared" si="233"/>
        <v>0</v>
      </c>
      <c r="W82" s="95"/>
      <c r="X82" s="95">
        <f t="shared" si="234"/>
        <v>0</v>
      </c>
      <c r="Y82" s="95">
        <f t="shared" si="235"/>
        <v>0</v>
      </c>
      <c r="Z82" s="95">
        <f t="shared" si="236"/>
        <v>0</v>
      </c>
      <c r="AA82" s="95"/>
      <c r="AB82" s="95">
        <f t="shared" si="237"/>
        <v>0</v>
      </c>
      <c r="AC82" s="95"/>
      <c r="AD82" s="95">
        <f t="shared" si="238"/>
        <v>0</v>
      </c>
      <c r="AE82" s="95"/>
      <c r="AF82" s="95">
        <f t="shared" si="239"/>
        <v>0</v>
      </c>
      <c r="AG82" s="95">
        <f t="shared" si="240"/>
        <v>0</v>
      </c>
      <c r="AH82" s="95">
        <f t="shared" si="241"/>
        <v>0</v>
      </c>
      <c r="AI82" s="95">
        <f t="shared" si="242"/>
        <v>0</v>
      </c>
      <c r="AJ82" s="95">
        <f t="shared" si="243"/>
        <v>0</v>
      </c>
      <c r="AK82" s="95"/>
      <c r="AL82" s="95">
        <f t="shared" si="244"/>
        <v>0</v>
      </c>
      <c r="AM82" s="95"/>
      <c r="AN82" s="95">
        <f t="shared" si="245"/>
        <v>0</v>
      </c>
      <c r="AO82" s="95"/>
      <c r="AP82" s="95">
        <f t="shared" si="246"/>
        <v>0</v>
      </c>
      <c r="AQ82" s="95">
        <f t="shared" si="247"/>
        <v>0</v>
      </c>
      <c r="AR82" s="95">
        <f t="shared" si="248"/>
        <v>0</v>
      </c>
      <c r="AS82" s="95"/>
      <c r="AT82" s="95">
        <f t="shared" si="249"/>
        <v>0</v>
      </c>
      <c r="AU82" s="95"/>
      <c r="AV82" s="95">
        <f t="shared" si="250"/>
        <v>0</v>
      </c>
      <c r="AW82" s="95"/>
      <c r="AX82" s="95">
        <f t="shared" si="251"/>
        <v>0</v>
      </c>
      <c r="AY82" s="95">
        <f t="shared" si="252"/>
        <v>0</v>
      </c>
      <c r="AZ82" s="95">
        <f t="shared" si="253"/>
        <v>0</v>
      </c>
      <c r="BA82" s="95">
        <f t="shared" si="254"/>
        <v>0</v>
      </c>
      <c r="BB82" s="95">
        <f t="shared" si="255"/>
        <v>0</v>
      </c>
      <c r="BC82" s="1" t="s">
        <v>1715</v>
      </c>
    </row>
    <row r="83" spans="1:55" hidden="1">
      <c r="A83" s="492">
        <v>51</v>
      </c>
      <c r="B83" s="13"/>
      <c r="C83" s="23"/>
      <c r="D83" s="36"/>
      <c r="E83" s="21" t="s">
        <v>848</v>
      </c>
      <c r="F83" s="45" t="s">
        <v>849</v>
      </c>
      <c r="G83" s="45" t="s">
        <v>1059</v>
      </c>
      <c r="H83" s="265" t="s">
        <v>358</v>
      </c>
      <c r="I83" s="18">
        <v>4.12</v>
      </c>
      <c r="J83" s="157"/>
      <c r="K83" s="18"/>
      <c r="L83" s="157"/>
      <c r="M83" s="18"/>
      <c r="N83" s="157"/>
      <c r="O83" s="18"/>
      <c r="P83" s="157"/>
      <c r="Q83" s="96">
        <f t="shared" si="230"/>
        <v>0</v>
      </c>
      <c r="R83" s="337">
        <f t="shared" si="231"/>
        <v>0</v>
      </c>
      <c r="S83" s="96"/>
      <c r="T83" s="96">
        <f t="shared" si="232"/>
        <v>0</v>
      </c>
      <c r="U83" s="96"/>
      <c r="V83" s="96">
        <f t="shared" si="233"/>
        <v>0</v>
      </c>
      <c r="W83" s="96"/>
      <c r="X83" s="96">
        <f t="shared" si="234"/>
        <v>0</v>
      </c>
      <c r="Y83" s="96">
        <f t="shared" si="235"/>
        <v>0</v>
      </c>
      <c r="Z83" s="96">
        <f t="shared" si="236"/>
        <v>0</v>
      </c>
      <c r="AA83" s="96"/>
      <c r="AB83" s="96">
        <f t="shared" si="237"/>
        <v>0</v>
      </c>
      <c r="AC83" s="96"/>
      <c r="AD83" s="96">
        <f t="shared" si="238"/>
        <v>0</v>
      </c>
      <c r="AE83" s="96"/>
      <c r="AF83" s="95">
        <f t="shared" si="239"/>
        <v>0</v>
      </c>
      <c r="AG83" s="96">
        <f t="shared" si="240"/>
        <v>0</v>
      </c>
      <c r="AH83" s="96">
        <f t="shared" si="241"/>
        <v>0</v>
      </c>
      <c r="AI83" s="96">
        <f t="shared" si="242"/>
        <v>0</v>
      </c>
      <c r="AJ83" s="96">
        <f t="shared" si="243"/>
        <v>0</v>
      </c>
      <c r="AK83" s="96"/>
      <c r="AL83" s="96">
        <f t="shared" si="244"/>
        <v>0</v>
      </c>
      <c r="AM83" s="96"/>
      <c r="AN83" s="96">
        <f t="shared" si="245"/>
        <v>0</v>
      </c>
      <c r="AO83" s="96"/>
      <c r="AP83" s="96">
        <f t="shared" si="246"/>
        <v>0</v>
      </c>
      <c r="AQ83" s="96">
        <f t="shared" si="247"/>
        <v>0</v>
      </c>
      <c r="AR83" s="96">
        <f t="shared" si="248"/>
        <v>0</v>
      </c>
      <c r="AS83" s="96"/>
      <c r="AT83" s="96">
        <f t="shared" si="249"/>
        <v>0</v>
      </c>
      <c r="AU83" s="96"/>
      <c r="AV83" s="96">
        <f t="shared" si="250"/>
        <v>0</v>
      </c>
      <c r="AW83" s="96"/>
      <c r="AX83" s="96">
        <f t="shared" si="251"/>
        <v>0</v>
      </c>
      <c r="AY83" s="96">
        <f t="shared" si="252"/>
        <v>0</v>
      </c>
      <c r="AZ83" s="96">
        <f t="shared" si="253"/>
        <v>0</v>
      </c>
      <c r="BA83" s="96">
        <f t="shared" si="254"/>
        <v>0</v>
      </c>
      <c r="BB83" s="96">
        <f t="shared" si="255"/>
        <v>0</v>
      </c>
      <c r="BC83" s="1" t="s">
        <v>1715</v>
      </c>
    </row>
    <row r="84" spans="1:55">
      <c r="A84" s="492">
        <v>51</v>
      </c>
      <c r="B84" s="13"/>
      <c r="C84" s="23"/>
      <c r="D84" s="309" t="s">
        <v>572</v>
      </c>
      <c r="E84" s="21" t="s">
        <v>1708</v>
      </c>
      <c r="F84" s="45" t="s">
        <v>2045</v>
      </c>
      <c r="G84" s="45" t="s">
        <v>1059</v>
      </c>
      <c r="H84" s="265" t="s">
        <v>358</v>
      </c>
      <c r="I84" s="18">
        <v>3.63</v>
      </c>
      <c r="J84" s="157"/>
      <c r="K84" s="18">
        <v>3.62</v>
      </c>
      <c r="L84" s="157"/>
      <c r="M84" s="18"/>
      <c r="N84" s="157"/>
      <c r="O84" s="18"/>
      <c r="P84" s="157"/>
      <c r="Q84" s="96">
        <f t="shared" si="230"/>
        <v>223.47299999999998</v>
      </c>
      <c r="R84" s="337">
        <f t="shared" si="231"/>
        <v>1187.5603200696</v>
      </c>
      <c r="S84" s="96">
        <v>80.421000000000006</v>
      </c>
      <c r="T84" s="96">
        <f t="shared" si="232"/>
        <v>421.44218923950007</v>
      </c>
      <c r="U84" s="96">
        <v>56.298000000000002</v>
      </c>
      <c r="V84" s="96">
        <f t="shared" si="233"/>
        <v>293.92531617239996</v>
      </c>
      <c r="W84" s="96">
        <v>76.790999999999997</v>
      </c>
      <c r="X84" s="96">
        <f t="shared" si="234"/>
        <v>418.78763565209999</v>
      </c>
      <c r="Y84" s="96">
        <f t="shared" si="235"/>
        <v>213.51</v>
      </c>
      <c r="Z84" s="96">
        <f t="shared" si="236"/>
        <v>1134.155141064</v>
      </c>
      <c r="AA84" s="96">
        <v>9.9629999999999992</v>
      </c>
      <c r="AB84" s="96">
        <f t="shared" si="237"/>
        <v>53.405179005600004</v>
      </c>
      <c r="AC84" s="96"/>
      <c r="AD84" s="96">
        <f t="shared" si="238"/>
        <v>0</v>
      </c>
      <c r="AE84" s="96"/>
      <c r="AF84" s="95">
        <f t="shared" si="239"/>
        <v>0</v>
      </c>
      <c r="AG84" s="96">
        <f t="shared" si="240"/>
        <v>9.9629999999999992</v>
      </c>
      <c r="AH84" s="96">
        <f t="shared" si="241"/>
        <v>53.405179005600004</v>
      </c>
      <c r="AI84" s="96">
        <f t="shared" si="242"/>
        <v>223.47299999999998</v>
      </c>
      <c r="AJ84" s="96">
        <f t="shared" si="243"/>
        <v>1187.5603200696</v>
      </c>
      <c r="AK84" s="96"/>
      <c r="AL84" s="96">
        <f t="shared" si="244"/>
        <v>0</v>
      </c>
      <c r="AM84" s="96"/>
      <c r="AN84" s="96">
        <f t="shared" si="245"/>
        <v>0</v>
      </c>
      <c r="AO84" s="96"/>
      <c r="AP84" s="96">
        <f t="shared" si="246"/>
        <v>0</v>
      </c>
      <c r="AQ84" s="96">
        <f t="shared" si="247"/>
        <v>0</v>
      </c>
      <c r="AR84" s="96">
        <f t="shared" si="248"/>
        <v>0</v>
      </c>
      <c r="AS84" s="96"/>
      <c r="AT84" s="96">
        <f t="shared" si="249"/>
        <v>0</v>
      </c>
      <c r="AU84" s="96"/>
      <c r="AV84" s="96">
        <f t="shared" si="250"/>
        <v>0</v>
      </c>
      <c r="AW84" s="96"/>
      <c r="AX84" s="96">
        <f t="shared" si="251"/>
        <v>0</v>
      </c>
      <c r="AY84" s="96">
        <f t="shared" si="252"/>
        <v>0</v>
      </c>
      <c r="AZ84" s="96">
        <f t="shared" si="253"/>
        <v>0</v>
      </c>
      <c r="BA84" s="96">
        <f t="shared" si="254"/>
        <v>0</v>
      </c>
      <c r="BB84" s="96">
        <f t="shared" si="255"/>
        <v>0</v>
      </c>
      <c r="BC84" s="1" t="s">
        <v>1715</v>
      </c>
    </row>
    <row r="85" spans="1:55" s="6" customFormat="1">
      <c r="A85" s="492">
        <v>50</v>
      </c>
      <c r="B85" s="14"/>
      <c r="C85" s="20"/>
      <c r="D85" s="46"/>
      <c r="E85" s="21" t="s">
        <v>1749</v>
      </c>
      <c r="F85" s="45" t="s">
        <v>2046</v>
      </c>
      <c r="G85" s="45" t="s">
        <v>1059</v>
      </c>
      <c r="H85" s="264" t="s">
        <v>358</v>
      </c>
      <c r="I85" s="18">
        <v>4.1399999999999997</v>
      </c>
      <c r="J85" s="201"/>
      <c r="K85" s="18">
        <v>4.1399999999999997</v>
      </c>
      <c r="L85" s="201"/>
      <c r="M85" s="18"/>
      <c r="N85" s="201"/>
      <c r="O85" s="18"/>
      <c r="P85" s="201"/>
      <c r="Q85" s="95">
        <f t="shared" si="230"/>
        <v>5.13</v>
      </c>
      <c r="R85" s="335">
        <f t="shared" si="231"/>
        <v>31.553565422399998</v>
      </c>
      <c r="S85" s="95"/>
      <c r="T85" s="95">
        <f t="shared" si="232"/>
        <v>0</v>
      </c>
      <c r="U85" s="95">
        <v>0.61199999999999999</v>
      </c>
      <c r="V85" s="95">
        <f t="shared" si="233"/>
        <v>3.6440905967999999</v>
      </c>
      <c r="W85" s="95">
        <v>2.3759999999999999</v>
      </c>
      <c r="X85" s="95">
        <f t="shared" si="234"/>
        <v>14.778272836799998</v>
      </c>
      <c r="Y85" s="95">
        <f t="shared" si="235"/>
        <v>2.988</v>
      </c>
      <c r="Z85" s="95">
        <f t="shared" si="236"/>
        <v>18.422363433599998</v>
      </c>
      <c r="AA85" s="95">
        <v>2.1419999999999999</v>
      </c>
      <c r="AB85" s="95">
        <f t="shared" si="237"/>
        <v>13.131201988799999</v>
      </c>
      <c r="AC85" s="95"/>
      <c r="AD85" s="95">
        <f t="shared" si="238"/>
        <v>0</v>
      </c>
      <c r="AE85" s="95"/>
      <c r="AF85" s="95">
        <f t="shared" si="239"/>
        <v>0</v>
      </c>
      <c r="AG85" s="95">
        <f t="shared" si="240"/>
        <v>2.1419999999999999</v>
      </c>
      <c r="AH85" s="95">
        <f t="shared" si="241"/>
        <v>13.131201988799999</v>
      </c>
      <c r="AI85" s="95">
        <f t="shared" si="242"/>
        <v>5.13</v>
      </c>
      <c r="AJ85" s="95">
        <f t="shared" si="243"/>
        <v>31.553565422399998</v>
      </c>
      <c r="AK85" s="95"/>
      <c r="AL85" s="95">
        <f t="shared" si="244"/>
        <v>0</v>
      </c>
      <c r="AM85" s="95"/>
      <c r="AN85" s="95">
        <f t="shared" si="245"/>
        <v>0</v>
      </c>
      <c r="AO85" s="95"/>
      <c r="AP85" s="95">
        <f t="shared" si="246"/>
        <v>0</v>
      </c>
      <c r="AQ85" s="95">
        <f t="shared" si="247"/>
        <v>0</v>
      </c>
      <c r="AR85" s="95">
        <f t="shared" si="248"/>
        <v>0</v>
      </c>
      <c r="AS85" s="95"/>
      <c r="AT85" s="95">
        <f t="shared" si="249"/>
        <v>0</v>
      </c>
      <c r="AU85" s="95"/>
      <c r="AV85" s="95">
        <f t="shared" si="250"/>
        <v>0</v>
      </c>
      <c r="AW85" s="95"/>
      <c r="AX85" s="95">
        <f t="shared" si="251"/>
        <v>0</v>
      </c>
      <c r="AY85" s="95">
        <f t="shared" si="252"/>
        <v>0</v>
      </c>
      <c r="AZ85" s="95">
        <f t="shared" si="253"/>
        <v>0</v>
      </c>
      <c r="BA85" s="95">
        <f t="shared" si="254"/>
        <v>0</v>
      </c>
      <c r="BB85" s="95">
        <f t="shared" si="255"/>
        <v>0</v>
      </c>
      <c r="BC85" s="1" t="s">
        <v>1060</v>
      </c>
    </row>
    <row r="86" spans="1:55">
      <c r="A86" s="492">
        <v>51</v>
      </c>
      <c r="B86" s="13"/>
      <c r="C86" s="23"/>
      <c r="D86" s="36"/>
      <c r="E86" s="21" t="s">
        <v>1750</v>
      </c>
      <c r="F86" s="45" t="s">
        <v>2047</v>
      </c>
      <c r="G86" s="45" t="s">
        <v>1059</v>
      </c>
      <c r="H86" s="265" t="s">
        <v>358</v>
      </c>
      <c r="I86" s="18">
        <v>4.83</v>
      </c>
      <c r="J86" s="157"/>
      <c r="K86" s="18">
        <v>4.82</v>
      </c>
      <c r="L86" s="157"/>
      <c r="M86" s="18"/>
      <c r="N86" s="157"/>
      <c r="O86" s="18"/>
      <c r="P86" s="157"/>
      <c r="Q86" s="96">
        <f t="shared" si="230"/>
        <v>46.808999999999997</v>
      </c>
      <c r="R86" s="337">
        <f t="shared" si="231"/>
        <v>331.67830395850007</v>
      </c>
      <c r="S86" s="96">
        <v>12.771000000000001</v>
      </c>
      <c r="T86" s="96">
        <f t="shared" si="232"/>
        <v>89.050005544500024</v>
      </c>
      <c r="U86" s="96">
        <v>10.56</v>
      </c>
      <c r="V86" s="96">
        <f t="shared" si="233"/>
        <v>73.358163648000001</v>
      </c>
      <c r="W86" s="96">
        <v>14.276</v>
      </c>
      <c r="X86" s="96">
        <f t="shared" si="234"/>
        <v>103.5930387996</v>
      </c>
      <c r="Y86" s="96">
        <f t="shared" si="235"/>
        <v>37.606999999999999</v>
      </c>
      <c r="Z86" s="96">
        <f t="shared" si="236"/>
        <v>266.00120799210003</v>
      </c>
      <c r="AA86" s="96">
        <v>9.202</v>
      </c>
      <c r="AB86" s="96">
        <f t="shared" si="237"/>
        <v>65.677095966400017</v>
      </c>
      <c r="AC86" s="96"/>
      <c r="AD86" s="96">
        <f t="shared" si="238"/>
        <v>0</v>
      </c>
      <c r="AE86" s="96"/>
      <c r="AF86" s="95">
        <f t="shared" si="239"/>
        <v>0</v>
      </c>
      <c r="AG86" s="96">
        <f t="shared" si="240"/>
        <v>9.202</v>
      </c>
      <c r="AH86" s="96">
        <f t="shared" si="241"/>
        <v>65.677095966400017</v>
      </c>
      <c r="AI86" s="96">
        <f t="shared" si="242"/>
        <v>46.808999999999997</v>
      </c>
      <c r="AJ86" s="96">
        <f t="shared" si="243"/>
        <v>331.67830395850007</v>
      </c>
      <c r="AK86" s="96"/>
      <c r="AL86" s="96">
        <f t="shared" si="244"/>
        <v>0</v>
      </c>
      <c r="AM86" s="96"/>
      <c r="AN86" s="96">
        <f t="shared" si="245"/>
        <v>0</v>
      </c>
      <c r="AO86" s="96"/>
      <c r="AP86" s="96">
        <f t="shared" si="246"/>
        <v>0</v>
      </c>
      <c r="AQ86" s="96">
        <f t="shared" si="247"/>
        <v>0</v>
      </c>
      <c r="AR86" s="96">
        <f t="shared" si="248"/>
        <v>0</v>
      </c>
      <c r="AS86" s="96"/>
      <c r="AT86" s="96">
        <f t="shared" si="249"/>
        <v>0</v>
      </c>
      <c r="AU86" s="96"/>
      <c r="AV86" s="96">
        <f t="shared" si="250"/>
        <v>0</v>
      </c>
      <c r="AW86" s="96"/>
      <c r="AX86" s="96">
        <f t="shared" si="251"/>
        <v>0</v>
      </c>
      <c r="AY86" s="96">
        <f t="shared" si="252"/>
        <v>0</v>
      </c>
      <c r="AZ86" s="96">
        <f t="shared" si="253"/>
        <v>0</v>
      </c>
      <c r="BA86" s="96">
        <f t="shared" si="254"/>
        <v>0</v>
      </c>
      <c r="BB86" s="96">
        <f t="shared" si="255"/>
        <v>0</v>
      </c>
      <c r="BC86" s="1" t="s">
        <v>1060</v>
      </c>
    </row>
    <row r="87" spans="1:55">
      <c r="A87" s="492">
        <v>51</v>
      </c>
      <c r="B87" s="13"/>
      <c r="C87" s="23"/>
      <c r="D87" s="36"/>
      <c r="E87" s="21" t="s">
        <v>2068</v>
      </c>
      <c r="F87" s="45" t="s">
        <v>2045</v>
      </c>
      <c r="G87" s="45" t="s">
        <v>1059</v>
      </c>
      <c r="H87" s="265" t="s">
        <v>358</v>
      </c>
      <c r="I87" s="18">
        <v>3.59</v>
      </c>
      <c r="J87" s="157"/>
      <c r="K87" s="18">
        <v>3.59</v>
      </c>
      <c r="L87" s="157"/>
      <c r="M87" s="18"/>
      <c r="N87" s="157"/>
      <c r="O87" s="18"/>
      <c r="P87" s="157"/>
      <c r="Q87" s="96">
        <f t="shared" si="230"/>
        <v>8.463000000000001</v>
      </c>
      <c r="R87" s="337">
        <f t="shared" si="231"/>
        <v>43.807232941500004</v>
      </c>
      <c r="S87" s="96">
        <v>5.673</v>
      </c>
      <c r="T87" s="96">
        <f t="shared" si="232"/>
        <v>29.401476955500002</v>
      </c>
      <c r="U87" s="96">
        <v>2.79</v>
      </c>
      <c r="V87" s="96">
        <f t="shared" si="233"/>
        <v>14.405755986000001</v>
      </c>
      <c r="W87" s="96"/>
      <c r="X87" s="96">
        <f t="shared" si="234"/>
        <v>0</v>
      </c>
      <c r="Y87" s="96">
        <f t="shared" si="235"/>
        <v>8.463000000000001</v>
      </c>
      <c r="Z87" s="96">
        <f t="shared" si="236"/>
        <v>43.807232941500004</v>
      </c>
      <c r="AA87" s="96"/>
      <c r="AB87" s="96">
        <f t="shared" si="237"/>
        <v>0</v>
      </c>
      <c r="AC87" s="96"/>
      <c r="AD87" s="96">
        <f t="shared" si="238"/>
        <v>0</v>
      </c>
      <c r="AE87" s="96"/>
      <c r="AF87" s="95">
        <f t="shared" si="239"/>
        <v>0</v>
      </c>
      <c r="AG87" s="96">
        <f t="shared" si="240"/>
        <v>0</v>
      </c>
      <c r="AH87" s="96">
        <f t="shared" si="241"/>
        <v>0</v>
      </c>
      <c r="AI87" s="96">
        <f t="shared" si="242"/>
        <v>8.463000000000001</v>
      </c>
      <c r="AJ87" s="96">
        <f t="shared" si="243"/>
        <v>43.807232941500004</v>
      </c>
      <c r="AK87" s="96"/>
      <c r="AL87" s="96">
        <f t="shared" si="244"/>
        <v>0</v>
      </c>
      <c r="AM87" s="96"/>
      <c r="AN87" s="96">
        <f t="shared" si="245"/>
        <v>0</v>
      </c>
      <c r="AO87" s="96"/>
      <c r="AP87" s="96">
        <f t="shared" si="246"/>
        <v>0</v>
      </c>
      <c r="AQ87" s="96">
        <f t="shared" si="247"/>
        <v>0</v>
      </c>
      <c r="AR87" s="96">
        <f t="shared" si="248"/>
        <v>0</v>
      </c>
      <c r="AS87" s="96"/>
      <c r="AT87" s="96">
        <f t="shared" si="249"/>
        <v>0</v>
      </c>
      <c r="AU87" s="96"/>
      <c r="AV87" s="96">
        <f t="shared" si="250"/>
        <v>0</v>
      </c>
      <c r="AW87" s="96"/>
      <c r="AX87" s="96">
        <f t="shared" si="251"/>
        <v>0</v>
      </c>
      <c r="AY87" s="96">
        <f t="shared" si="252"/>
        <v>0</v>
      </c>
      <c r="AZ87" s="96">
        <f t="shared" si="253"/>
        <v>0</v>
      </c>
      <c r="BA87" s="96">
        <f t="shared" si="254"/>
        <v>0</v>
      </c>
      <c r="BB87" s="96">
        <f t="shared" si="255"/>
        <v>0</v>
      </c>
      <c r="BC87" s="1" t="s">
        <v>1060</v>
      </c>
    </row>
    <row r="88" spans="1:55">
      <c r="A88" s="492">
        <v>52</v>
      </c>
      <c r="B88" s="13"/>
      <c r="C88" s="23"/>
      <c r="D88" s="36"/>
      <c r="E88" s="21" t="s">
        <v>889</v>
      </c>
      <c r="F88" s="45" t="s">
        <v>888</v>
      </c>
      <c r="G88" s="45" t="s">
        <v>1059</v>
      </c>
      <c r="H88" s="265" t="s">
        <v>358</v>
      </c>
      <c r="I88" s="18">
        <v>3.98</v>
      </c>
      <c r="J88" s="18"/>
      <c r="K88" s="18">
        <v>3.98</v>
      </c>
      <c r="L88" s="157"/>
      <c r="M88" s="18"/>
      <c r="N88" s="157"/>
      <c r="O88" s="18"/>
      <c r="P88" s="18"/>
      <c r="Q88" s="96">
        <f t="shared" si="230"/>
        <v>0</v>
      </c>
      <c r="R88" s="337">
        <f t="shared" si="231"/>
        <v>0</v>
      </c>
      <c r="S88" s="96"/>
      <c r="T88" s="96">
        <f t="shared" si="232"/>
        <v>0</v>
      </c>
      <c r="U88" s="96"/>
      <c r="V88" s="96">
        <f t="shared" si="233"/>
        <v>0</v>
      </c>
      <c r="W88" s="96"/>
      <c r="X88" s="96">
        <f t="shared" si="234"/>
        <v>0</v>
      </c>
      <c r="Y88" s="96">
        <f t="shared" si="235"/>
        <v>0</v>
      </c>
      <c r="Z88" s="96">
        <f t="shared" si="236"/>
        <v>0</v>
      </c>
      <c r="AA88" s="96"/>
      <c r="AB88" s="96">
        <f t="shared" si="237"/>
        <v>0</v>
      </c>
      <c r="AC88" s="96"/>
      <c r="AD88" s="96">
        <f t="shared" si="238"/>
        <v>0</v>
      </c>
      <c r="AE88" s="96"/>
      <c r="AF88" s="95">
        <f t="shared" si="239"/>
        <v>0</v>
      </c>
      <c r="AG88" s="96">
        <f t="shared" si="240"/>
        <v>0</v>
      </c>
      <c r="AH88" s="96">
        <f t="shared" si="241"/>
        <v>0</v>
      </c>
      <c r="AI88" s="96">
        <f t="shared" si="242"/>
        <v>0</v>
      </c>
      <c r="AJ88" s="96">
        <f t="shared" si="243"/>
        <v>0</v>
      </c>
      <c r="AK88" s="96"/>
      <c r="AL88" s="96">
        <f t="shared" si="244"/>
        <v>0</v>
      </c>
      <c r="AM88" s="96"/>
      <c r="AN88" s="96">
        <f t="shared" si="245"/>
        <v>0</v>
      </c>
      <c r="AO88" s="96"/>
      <c r="AP88" s="96">
        <f t="shared" si="246"/>
        <v>0</v>
      </c>
      <c r="AQ88" s="96">
        <f t="shared" si="247"/>
        <v>0</v>
      </c>
      <c r="AR88" s="96">
        <f t="shared" si="248"/>
        <v>0</v>
      </c>
      <c r="AS88" s="96"/>
      <c r="AT88" s="96">
        <f t="shared" si="249"/>
        <v>0</v>
      </c>
      <c r="AU88" s="96"/>
      <c r="AV88" s="96">
        <f t="shared" si="250"/>
        <v>0</v>
      </c>
      <c r="AW88" s="96"/>
      <c r="AX88" s="96">
        <f t="shared" si="251"/>
        <v>0</v>
      </c>
      <c r="AY88" s="96">
        <f t="shared" si="252"/>
        <v>0</v>
      </c>
      <c r="AZ88" s="96">
        <f t="shared" si="253"/>
        <v>0</v>
      </c>
      <c r="BA88" s="96">
        <f t="shared" si="254"/>
        <v>0</v>
      </c>
      <c r="BB88" s="96">
        <f t="shared" si="255"/>
        <v>0</v>
      </c>
      <c r="BC88" s="1" t="s">
        <v>1715</v>
      </c>
    </row>
    <row r="89" spans="1:55">
      <c r="A89" s="492">
        <v>53</v>
      </c>
      <c r="B89" s="13"/>
      <c r="C89" s="23"/>
      <c r="D89" s="36"/>
      <c r="E89" s="21" t="s">
        <v>72</v>
      </c>
      <c r="F89" s="45" t="s">
        <v>126</v>
      </c>
      <c r="G89" s="45" t="s">
        <v>1059</v>
      </c>
      <c r="H89" s="265" t="s">
        <v>358</v>
      </c>
      <c r="I89" s="18">
        <v>4.2</v>
      </c>
      <c r="J89" s="157"/>
      <c r="K89" s="18">
        <v>4.2</v>
      </c>
      <c r="L89" s="157"/>
      <c r="M89" s="18"/>
      <c r="N89" s="157"/>
      <c r="O89" s="18"/>
      <c r="P89" s="157"/>
      <c r="Q89" s="96">
        <f t="shared" si="230"/>
        <v>0</v>
      </c>
      <c r="R89" s="337">
        <f t="shared" si="231"/>
        <v>0</v>
      </c>
      <c r="S89" s="96"/>
      <c r="T89" s="96">
        <f t="shared" si="232"/>
        <v>0</v>
      </c>
      <c r="U89" s="96"/>
      <c r="V89" s="96">
        <f t="shared" si="233"/>
        <v>0</v>
      </c>
      <c r="W89" s="96"/>
      <c r="X89" s="96">
        <f t="shared" si="234"/>
        <v>0</v>
      </c>
      <c r="Y89" s="96">
        <f t="shared" si="235"/>
        <v>0</v>
      </c>
      <c r="Z89" s="96">
        <f t="shared" si="236"/>
        <v>0</v>
      </c>
      <c r="AA89" s="96"/>
      <c r="AB89" s="96">
        <f t="shared" si="237"/>
        <v>0</v>
      </c>
      <c r="AC89" s="96"/>
      <c r="AD89" s="96">
        <f t="shared" si="238"/>
        <v>0</v>
      </c>
      <c r="AE89" s="96"/>
      <c r="AF89" s="95">
        <f t="shared" si="239"/>
        <v>0</v>
      </c>
      <c r="AG89" s="96">
        <f t="shared" si="240"/>
        <v>0</v>
      </c>
      <c r="AH89" s="96">
        <f t="shared" si="241"/>
        <v>0</v>
      </c>
      <c r="AI89" s="96">
        <f t="shared" si="242"/>
        <v>0</v>
      </c>
      <c r="AJ89" s="96">
        <f t="shared" si="243"/>
        <v>0</v>
      </c>
      <c r="AK89" s="96"/>
      <c r="AL89" s="96">
        <f t="shared" si="244"/>
        <v>0</v>
      </c>
      <c r="AM89" s="96"/>
      <c r="AN89" s="96">
        <f t="shared" si="245"/>
        <v>0</v>
      </c>
      <c r="AO89" s="96"/>
      <c r="AP89" s="96">
        <f t="shared" si="246"/>
        <v>0</v>
      </c>
      <c r="AQ89" s="96">
        <f t="shared" si="247"/>
        <v>0</v>
      </c>
      <c r="AR89" s="96">
        <f t="shared" si="248"/>
        <v>0</v>
      </c>
      <c r="AS89" s="96"/>
      <c r="AT89" s="96">
        <f t="shared" si="249"/>
        <v>0</v>
      </c>
      <c r="AU89" s="96"/>
      <c r="AV89" s="96">
        <f t="shared" si="250"/>
        <v>0</v>
      </c>
      <c r="AW89" s="96"/>
      <c r="AX89" s="96">
        <f t="shared" si="251"/>
        <v>0</v>
      </c>
      <c r="AY89" s="96">
        <f t="shared" si="252"/>
        <v>0</v>
      </c>
      <c r="AZ89" s="96">
        <f t="shared" si="253"/>
        <v>0</v>
      </c>
      <c r="BA89" s="96">
        <f t="shared" si="254"/>
        <v>0</v>
      </c>
      <c r="BB89" s="96">
        <f t="shared" si="255"/>
        <v>0</v>
      </c>
      <c r="BC89" s="1" t="s">
        <v>1715</v>
      </c>
    </row>
    <row r="90" spans="1:55">
      <c r="A90" s="492">
        <v>55</v>
      </c>
      <c r="B90" s="13"/>
      <c r="C90" s="23"/>
      <c r="D90" s="36"/>
      <c r="E90" s="21" t="s">
        <v>1052</v>
      </c>
      <c r="F90" s="45" t="s">
        <v>1053</v>
      </c>
      <c r="G90" s="45" t="s">
        <v>1056</v>
      </c>
      <c r="H90" s="265" t="s">
        <v>358</v>
      </c>
      <c r="I90" s="18">
        <v>4.49</v>
      </c>
      <c r="J90" s="157"/>
      <c r="K90" s="18">
        <v>4.49</v>
      </c>
      <c r="L90" s="157"/>
      <c r="M90" s="18"/>
      <c r="N90" s="157"/>
      <c r="O90" s="18"/>
      <c r="P90" s="157"/>
      <c r="Q90" s="96">
        <f t="shared" si="230"/>
        <v>0</v>
      </c>
      <c r="R90" s="337">
        <f t="shared" si="231"/>
        <v>0</v>
      </c>
      <c r="S90" s="96"/>
      <c r="T90" s="96">
        <f t="shared" si="232"/>
        <v>0</v>
      </c>
      <c r="U90" s="96"/>
      <c r="V90" s="96">
        <f t="shared" si="233"/>
        <v>0</v>
      </c>
      <c r="W90" s="96"/>
      <c r="X90" s="96">
        <f t="shared" si="234"/>
        <v>0</v>
      </c>
      <c r="Y90" s="96">
        <f t="shared" si="235"/>
        <v>0</v>
      </c>
      <c r="Z90" s="96">
        <f t="shared" si="236"/>
        <v>0</v>
      </c>
      <c r="AA90" s="96"/>
      <c r="AB90" s="96">
        <f t="shared" si="237"/>
        <v>0</v>
      </c>
      <c r="AC90" s="96"/>
      <c r="AD90" s="96">
        <f t="shared" si="238"/>
        <v>0</v>
      </c>
      <c r="AE90" s="96"/>
      <c r="AF90" s="95">
        <f t="shared" si="239"/>
        <v>0</v>
      </c>
      <c r="AG90" s="96">
        <f t="shared" si="240"/>
        <v>0</v>
      </c>
      <c r="AH90" s="96">
        <f t="shared" si="241"/>
        <v>0</v>
      </c>
      <c r="AI90" s="96">
        <f t="shared" si="242"/>
        <v>0</v>
      </c>
      <c r="AJ90" s="96">
        <f t="shared" si="243"/>
        <v>0</v>
      </c>
      <c r="AK90" s="96"/>
      <c r="AL90" s="96">
        <f t="shared" si="244"/>
        <v>0</v>
      </c>
      <c r="AM90" s="96"/>
      <c r="AN90" s="96">
        <f t="shared" si="245"/>
        <v>0</v>
      </c>
      <c r="AO90" s="96"/>
      <c r="AP90" s="96">
        <f t="shared" si="246"/>
        <v>0</v>
      </c>
      <c r="AQ90" s="96">
        <f t="shared" si="247"/>
        <v>0</v>
      </c>
      <c r="AR90" s="96">
        <f t="shared" si="248"/>
        <v>0</v>
      </c>
      <c r="AS90" s="96"/>
      <c r="AT90" s="96">
        <f t="shared" si="249"/>
        <v>0</v>
      </c>
      <c r="AU90" s="96"/>
      <c r="AV90" s="96">
        <f t="shared" si="250"/>
        <v>0</v>
      </c>
      <c r="AW90" s="96"/>
      <c r="AX90" s="96">
        <f t="shared" si="251"/>
        <v>0</v>
      </c>
      <c r="AY90" s="96">
        <f t="shared" si="252"/>
        <v>0</v>
      </c>
      <c r="AZ90" s="96">
        <f t="shared" si="253"/>
        <v>0</v>
      </c>
      <c r="BA90" s="96">
        <f t="shared" si="254"/>
        <v>0</v>
      </c>
      <c r="BB90" s="96">
        <f t="shared" si="255"/>
        <v>0</v>
      </c>
      <c r="BC90" s="1" t="s">
        <v>1715</v>
      </c>
    </row>
    <row r="91" spans="1:55">
      <c r="B91" s="13"/>
      <c r="C91" s="13"/>
      <c r="D91" s="13"/>
      <c r="E91" s="21" t="s">
        <v>1120</v>
      </c>
      <c r="F91" s="22" t="s">
        <v>1121</v>
      </c>
      <c r="G91" s="45" t="s">
        <v>1056</v>
      </c>
      <c r="H91" s="265" t="s">
        <v>358</v>
      </c>
      <c r="I91" s="54">
        <v>4.8</v>
      </c>
      <c r="J91" s="101"/>
      <c r="K91" s="54">
        <v>4.8</v>
      </c>
      <c r="L91" s="162"/>
      <c r="M91" s="54"/>
      <c r="N91" s="162"/>
      <c r="O91" s="54"/>
      <c r="P91" s="101"/>
      <c r="Q91" s="96">
        <f t="shared" si="230"/>
        <v>0</v>
      </c>
      <c r="R91" s="337">
        <f t="shared" si="231"/>
        <v>0</v>
      </c>
      <c r="S91" s="96"/>
      <c r="T91" s="96">
        <f t="shared" si="232"/>
        <v>0</v>
      </c>
      <c r="U91" s="96"/>
      <c r="V91" s="176">
        <f t="shared" si="233"/>
        <v>0</v>
      </c>
      <c r="W91" s="206"/>
      <c r="X91" s="205">
        <f t="shared" si="234"/>
        <v>0</v>
      </c>
      <c r="Y91" s="188">
        <f t="shared" si="235"/>
        <v>0</v>
      </c>
      <c r="Z91" s="176">
        <f t="shared" si="236"/>
        <v>0</v>
      </c>
      <c r="AA91" s="206"/>
      <c r="AB91" s="205">
        <f t="shared" si="237"/>
        <v>0</v>
      </c>
      <c r="AC91" s="206"/>
      <c r="AD91" s="176">
        <f t="shared" si="238"/>
        <v>0</v>
      </c>
      <c r="AE91" s="206"/>
      <c r="AF91" s="205">
        <f t="shared" si="239"/>
        <v>0</v>
      </c>
      <c r="AG91" s="188">
        <f t="shared" si="240"/>
        <v>0</v>
      </c>
      <c r="AH91" s="96">
        <f t="shared" si="241"/>
        <v>0</v>
      </c>
      <c r="AI91" s="96">
        <f t="shared" si="242"/>
        <v>0</v>
      </c>
      <c r="AJ91" s="176">
        <f t="shared" si="243"/>
        <v>0</v>
      </c>
      <c r="AK91" s="206"/>
      <c r="AL91" s="176">
        <f t="shared" si="244"/>
        <v>0</v>
      </c>
      <c r="AM91" s="243"/>
      <c r="AN91" s="176">
        <f t="shared" si="245"/>
        <v>0</v>
      </c>
      <c r="AO91" s="206"/>
      <c r="AP91" s="205">
        <f t="shared" si="246"/>
        <v>0</v>
      </c>
      <c r="AQ91" s="188">
        <f t="shared" si="247"/>
        <v>0</v>
      </c>
      <c r="AR91" s="96">
        <f t="shared" si="248"/>
        <v>0</v>
      </c>
      <c r="AS91" s="96"/>
      <c r="AT91" s="176">
        <f t="shared" si="249"/>
        <v>0</v>
      </c>
      <c r="AU91" s="206"/>
      <c r="AV91" s="176">
        <f t="shared" si="250"/>
        <v>0</v>
      </c>
      <c r="AW91" s="206"/>
      <c r="AX91" s="205">
        <f t="shared" si="251"/>
        <v>0</v>
      </c>
      <c r="AY91" s="188">
        <f t="shared" si="252"/>
        <v>0</v>
      </c>
      <c r="AZ91" s="96">
        <f t="shared" si="253"/>
        <v>0</v>
      </c>
      <c r="BA91" s="96">
        <f t="shared" si="254"/>
        <v>0</v>
      </c>
      <c r="BB91" s="96">
        <f t="shared" si="255"/>
        <v>0</v>
      </c>
      <c r="BC91" s="1" t="s">
        <v>1715</v>
      </c>
    </row>
    <row r="92" spans="1:55">
      <c r="B92" s="13"/>
      <c r="C92" s="13"/>
      <c r="D92" s="13"/>
      <c r="E92" s="21" t="s">
        <v>1418</v>
      </c>
      <c r="F92" s="22" t="s">
        <v>1417</v>
      </c>
      <c r="G92" s="45" t="s">
        <v>1056</v>
      </c>
      <c r="H92" s="265" t="s">
        <v>358</v>
      </c>
      <c r="I92" s="54">
        <v>4.62</v>
      </c>
      <c r="J92" s="101"/>
      <c r="K92" s="54">
        <v>4.62</v>
      </c>
      <c r="L92" s="162"/>
      <c r="M92" s="54"/>
      <c r="N92" s="162"/>
      <c r="O92" s="54"/>
      <c r="P92" s="101"/>
      <c r="Q92" s="96">
        <f t="shared" si="230"/>
        <v>0</v>
      </c>
      <c r="R92" s="337">
        <f t="shared" si="231"/>
        <v>0</v>
      </c>
      <c r="S92" s="96"/>
      <c r="T92" s="96">
        <f t="shared" si="232"/>
        <v>0</v>
      </c>
      <c r="U92" s="96"/>
      <c r="V92" s="176">
        <f t="shared" si="233"/>
        <v>0</v>
      </c>
      <c r="W92" s="206"/>
      <c r="X92" s="205">
        <f t="shared" si="234"/>
        <v>0</v>
      </c>
      <c r="Y92" s="188">
        <f t="shared" si="235"/>
        <v>0</v>
      </c>
      <c r="Z92" s="176">
        <f t="shared" si="236"/>
        <v>0</v>
      </c>
      <c r="AA92" s="206"/>
      <c r="AB92" s="205">
        <f t="shared" si="237"/>
        <v>0</v>
      </c>
      <c r="AC92" s="206"/>
      <c r="AD92" s="176">
        <f t="shared" si="238"/>
        <v>0</v>
      </c>
      <c r="AE92" s="206"/>
      <c r="AF92" s="205">
        <f t="shared" si="239"/>
        <v>0</v>
      </c>
      <c r="AG92" s="188">
        <f t="shared" si="240"/>
        <v>0</v>
      </c>
      <c r="AH92" s="96">
        <f t="shared" si="241"/>
        <v>0</v>
      </c>
      <c r="AI92" s="96">
        <f t="shared" si="242"/>
        <v>0</v>
      </c>
      <c r="AJ92" s="176">
        <f t="shared" si="243"/>
        <v>0</v>
      </c>
      <c r="AK92" s="206"/>
      <c r="AL92" s="176">
        <f t="shared" si="244"/>
        <v>0</v>
      </c>
      <c r="AM92" s="243"/>
      <c r="AN92" s="176">
        <f t="shared" si="245"/>
        <v>0</v>
      </c>
      <c r="AO92" s="206"/>
      <c r="AP92" s="205">
        <f t="shared" si="246"/>
        <v>0</v>
      </c>
      <c r="AQ92" s="188">
        <f t="shared" si="247"/>
        <v>0</v>
      </c>
      <c r="AR92" s="96">
        <f t="shared" si="248"/>
        <v>0</v>
      </c>
      <c r="AS92" s="96"/>
      <c r="AT92" s="176">
        <f t="shared" si="249"/>
        <v>0</v>
      </c>
      <c r="AU92" s="206"/>
      <c r="AV92" s="176">
        <f t="shared" si="250"/>
        <v>0</v>
      </c>
      <c r="AW92" s="206"/>
      <c r="AX92" s="205">
        <f t="shared" si="251"/>
        <v>0</v>
      </c>
      <c r="AY92" s="188">
        <f t="shared" si="252"/>
        <v>0</v>
      </c>
      <c r="AZ92" s="96">
        <f t="shared" si="253"/>
        <v>0</v>
      </c>
      <c r="BA92" s="96">
        <f t="shared" si="254"/>
        <v>0</v>
      </c>
      <c r="BB92" s="96">
        <f t="shared" si="255"/>
        <v>0</v>
      </c>
      <c r="BC92" s="1" t="s">
        <v>1715</v>
      </c>
    </row>
    <row r="93" spans="1:55" hidden="1">
      <c r="A93" s="492">
        <v>56</v>
      </c>
      <c r="B93" s="13"/>
      <c r="C93" s="23"/>
      <c r="D93" s="36"/>
      <c r="E93" s="21" t="s">
        <v>771</v>
      </c>
      <c r="F93" s="45" t="s">
        <v>770</v>
      </c>
      <c r="G93" s="45" t="s">
        <v>1059</v>
      </c>
      <c r="H93" s="265" t="s">
        <v>358</v>
      </c>
      <c r="I93" s="18">
        <v>4.8</v>
      </c>
      <c r="J93" s="157"/>
      <c r="K93" s="18">
        <v>4.8</v>
      </c>
      <c r="L93" s="157"/>
      <c r="M93" s="18"/>
      <c r="N93" s="157"/>
      <c r="O93" s="18"/>
      <c r="P93" s="157"/>
      <c r="Q93" s="96">
        <f t="shared" si="230"/>
        <v>0</v>
      </c>
      <c r="R93" s="337">
        <f t="shared" si="231"/>
        <v>0</v>
      </c>
      <c r="S93" s="96"/>
      <c r="T93" s="96">
        <f t="shared" si="232"/>
        <v>0</v>
      </c>
      <c r="U93" s="96"/>
      <c r="V93" s="96">
        <f t="shared" si="233"/>
        <v>0</v>
      </c>
      <c r="W93" s="96"/>
      <c r="X93" s="96">
        <f t="shared" si="234"/>
        <v>0</v>
      </c>
      <c r="Y93" s="96">
        <f t="shared" si="235"/>
        <v>0</v>
      </c>
      <c r="Z93" s="96">
        <f t="shared" si="236"/>
        <v>0</v>
      </c>
      <c r="AA93" s="96"/>
      <c r="AB93" s="96">
        <f t="shared" si="237"/>
        <v>0</v>
      </c>
      <c r="AC93" s="96"/>
      <c r="AD93" s="96">
        <f t="shared" si="238"/>
        <v>0</v>
      </c>
      <c r="AE93" s="96"/>
      <c r="AF93" s="95">
        <f t="shared" si="239"/>
        <v>0</v>
      </c>
      <c r="AG93" s="96">
        <f t="shared" si="240"/>
        <v>0</v>
      </c>
      <c r="AH93" s="96">
        <f t="shared" si="241"/>
        <v>0</v>
      </c>
      <c r="AI93" s="96">
        <f t="shared" si="242"/>
        <v>0</v>
      </c>
      <c r="AJ93" s="96">
        <f t="shared" si="243"/>
        <v>0</v>
      </c>
      <c r="AK93" s="96"/>
      <c r="AL93" s="96">
        <f t="shared" si="244"/>
        <v>0</v>
      </c>
      <c r="AM93" s="96"/>
      <c r="AN93" s="96">
        <f t="shared" si="245"/>
        <v>0</v>
      </c>
      <c r="AO93" s="96"/>
      <c r="AP93" s="96">
        <f t="shared" si="246"/>
        <v>0</v>
      </c>
      <c r="AQ93" s="96">
        <f t="shared" si="247"/>
        <v>0</v>
      </c>
      <c r="AR93" s="96">
        <f t="shared" si="248"/>
        <v>0</v>
      </c>
      <c r="AS93" s="96"/>
      <c r="AT93" s="96">
        <f t="shared" si="249"/>
        <v>0</v>
      </c>
      <c r="AU93" s="96"/>
      <c r="AV93" s="96">
        <f t="shared" si="250"/>
        <v>0</v>
      </c>
      <c r="AW93" s="96"/>
      <c r="AX93" s="96">
        <f t="shared" si="251"/>
        <v>0</v>
      </c>
      <c r="AY93" s="96">
        <f t="shared" si="252"/>
        <v>0</v>
      </c>
      <c r="AZ93" s="96">
        <f t="shared" si="253"/>
        <v>0</v>
      </c>
      <c r="BA93" s="96">
        <f t="shared" si="254"/>
        <v>0</v>
      </c>
      <c r="BB93" s="96">
        <f t="shared" si="255"/>
        <v>0</v>
      </c>
      <c r="BC93" s="1" t="s">
        <v>1715</v>
      </c>
    </row>
    <row r="94" spans="1:55" s="6" customFormat="1" hidden="1">
      <c r="A94" s="492">
        <v>57</v>
      </c>
      <c r="B94" s="14"/>
      <c r="C94" s="20"/>
      <c r="D94" s="46"/>
      <c r="E94" s="89" t="s">
        <v>446</v>
      </c>
      <c r="F94" s="424" t="s">
        <v>444</v>
      </c>
      <c r="G94" s="424" t="s">
        <v>1059</v>
      </c>
      <c r="H94" s="446" t="s">
        <v>358</v>
      </c>
      <c r="I94" s="447">
        <v>4.43</v>
      </c>
      <c r="J94" s="448"/>
      <c r="K94" s="447">
        <v>4.43</v>
      </c>
      <c r="L94" s="448"/>
      <c r="M94" s="447"/>
      <c r="N94" s="448"/>
      <c r="O94" s="447"/>
      <c r="P94" s="448"/>
      <c r="Q94" s="428">
        <f t="shared" si="230"/>
        <v>0</v>
      </c>
      <c r="R94" s="449">
        <f t="shared" si="231"/>
        <v>0</v>
      </c>
      <c r="S94" s="428"/>
      <c r="T94" s="428">
        <f t="shared" si="232"/>
        <v>0</v>
      </c>
      <c r="U94" s="428"/>
      <c r="V94" s="428">
        <f t="shared" si="233"/>
        <v>0</v>
      </c>
      <c r="W94" s="428"/>
      <c r="X94" s="428">
        <f t="shared" si="234"/>
        <v>0</v>
      </c>
      <c r="Y94" s="428">
        <f t="shared" si="235"/>
        <v>0</v>
      </c>
      <c r="Z94" s="428">
        <f t="shared" si="236"/>
        <v>0</v>
      </c>
      <c r="AA94" s="428"/>
      <c r="AB94" s="428">
        <f t="shared" si="237"/>
        <v>0</v>
      </c>
      <c r="AC94" s="428"/>
      <c r="AD94" s="428">
        <f t="shared" si="238"/>
        <v>0</v>
      </c>
      <c r="AE94" s="428"/>
      <c r="AF94" s="428">
        <f t="shared" si="239"/>
        <v>0</v>
      </c>
      <c r="AG94" s="428">
        <f t="shared" si="240"/>
        <v>0</v>
      </c>
      <c r="AH94" s="428">
        <f t="shared" si="241"/>
        <v>0</v>
      </c>
      <c r="AI94" s="428">
        <f t="shared" si="242"/>
        <v>0</v>
      </c>
      <c r="AJ94" s="428">
        <f t="shared" si="243"/>
        <v>0</v>
      </c>
      <c r="AK94" s="428"/>
      <c r="AL94" s="428">
        <f t="shared" si="244"/>
        <v>0</v>
      </c>
      <c r="AM94" s="428"/>
      <c r="AN94" s="428">
        <f t="shared" si="245"/>
        <v>0</v>
      </c>
      <c r="AO94" s="428"/>
      <c r="AP94" s="428">
        <f t="shared" si="246"/>
        <v>0</v>
      </c>
      <c r="AQ94" s="428">
        <f t="shared" si="247"/>
        <v>0</v>
      </c>
      <c r="AR94" s="428">
        <f t="shared" si="248"/>
        <v>0</v>
      </c>
      <c r="AS94" s="428"/>
      <c r="AT94" s="428">
        <f t="shared" si="249"/>
        <v>0</v>
      </c>
      <c r="AU94" s="428"/>
      <c r="AV94" s="428">
        <f t="shared" si="250"/>
        <v>0</v>
      </c>
      <c r="AW94" s="428"/>
      <c r="AX94" s="428">
        <f t="shared" si="251"/>
        <v>0</v>
      </c>
      <c r="AY94" s="428">
        <f t="shared" si="252"/>
        <v>0</v>
      </c>
      <c r="AZ94" s="428">
        <f t="shared" si="253"/>
        <v>0</v>
      </c>
      <c r="BA94" s="428">
        <f t="shared" si="254"/>
        <v>0</v>
      </c>
      <c r="BB94" s="428">
        <f t="shared" si="255"/>
        <v>0</v>
      </c>
      <c r="BC94" s="1" t="s">
        <v>1715</v>
      </c>
    </row>
    <row r="95" spans="1:55" s="6" customFormat="1">
      <c r="A95" s="492">
        <v>58</v>
      </c>
      <c r="B95" s="14"/>
      <c r="C95" s="20"/>
      <c r="D95" s="46"/>
      <c r="E95" s="21" t="s">
        <v>923</v>
      </c>
      <c r="F95" s="45" t="s">
        <v>922</v>
      </c>
      <c r="G95" s="45" t="s">
        <v>1056</v>
      </c>
      <c r="H95" s="264" t="s">
        <v>358</v>
      </c>
      <c r="I95" s="137">
        <v>5.41</v>
      </c>
      <c r="J95" s="201"/>
      <c r="K95" s="137">
        <v>5.41</v>
      </c>
      <c r="L95" s="201"/>
      <c r="M95" s="137"/>
      <c r="N95" s="201"/>
      <c r="O95" s="137"/>
      <c r="P95" s="201"/>
      <c r="Q95" s="95">
        <f t="shared" si="230"/>
        <v>0</v>
      </c>
      <c r="R95" s="335">
        <f t="shared" si="231"/>
        <v>0</v>
      </c>
      <c r="S95" s="95"/>
      <c r="T95" s="95">
        <f t="shared" si="232"/>
        <v>0</v>
      </c>
      <c r="U95" s="95"/>
      <c r="V95" s="95">
        <f t="shared" si="233"/>
        <v>0</v>
      </c>
      <c r="W95" s="95"/>
      <c r="X95" s="95">
        <f t="shared" si="234"/>
        <v>0</v>
      </c>
      <c r="Y95" s="95">
        <f t="shared" si="235"/>
        <v>0</v>
      </c>
      <c r="Z95" s="95">
        <f t="shared" si="236"/>
        <v>0</v>
      </c>
      <c r="AA95" s="95"/>
      <c r="AB95" s="95">
        <f t="shared" si="237"/>
        <v>0</v>
      </c>
      <c r="AC95" s="95"/>
      <c r="AD95" s="95">
        <f t="shared" si="238"/>
        <v>0</v>
      </c>
      <c r="AE95" s="95"/>
      <c r="AF95" s="95">
        <f t="shared" si="239"/>
        <v>0</v>
      </c>
      <c r="AG95" s="95">
        <f t="shared" si="240"/>
        <v>0</v>
      </c>
      <c r="AH95" s="95">
        <f t="shared" si="241"/>
        <v>0</v>
      </c>
      <c r="AI95" s="95">
        <f t="shared" si="242"/>
        <v>0</v>
      </c>
      <c r="AJ95" s="95">
        <f t="shared" si="243"/>
        <v>0</v>
      </c>
      <c r="AK95" s="95"/>
      <c r="AL95" s="95">
        <f t="shared" si="244"/>
        <v>0</v>
      </c>
      <c r="AM95" s="95"/>
      <c r="AN95" s="95">
        <f t="shared" si="245"/>
        <v>0</v>
      </c>
      <c r="AO95" s="95"/>
      <c r="AP95" s="95">
        <f t="shared" si="246"/>
        <v>0</v>
      </c>
      <c r="AQ95" s="95">
        <f t="shared" si="247"/>
        <v>0</v>
      </c>
      <c r="AR95" s="95">
        <f t="shared" si="248"/>
        <v>0</v>
      </c>
      <c r="AS95" s="95"/>
      <c r="AT95" s="95">
        <f t="shared" si="249"/>
        <v>0</v>
      </c>
      <c r="AU95" s="95"/>
      <c r="AV95" s="95">
        <f t="shared" si="250"/>
        <v>0</v>
      </c>
      <c r="AW95" s="95"/>
      <c r="AX95" s="95">
        <f t="shared" si="251"/>
        <v>0</v>
      </c>
      <c r="AY95" s="95">
        <f t="shared" si="252"/>
        <v>0</v>
      </c>
      <c r="AZ95" s="95">
        <f t="shared" si="253"/>
        <v>0</v>
      </c>
      <c r="BA95" s="95">
        <f t="shared" si="254"/>
        <v>0</v>
      </c>
      <c r="BB95" s="95">
        <f t="shared" si="255"/>
        <v>0</v>
      </c>
      <c r="BC95" s="1" t="s">
        <v>1715</v>
      </c>
    </row>
    <row r="96" spans="1:55" s="6" customFormat="1">
      <c r="A96" s="492">
        <v>59</v>
      </c>
      <c r="B96" s="14"/>
      <c r="C96" s="20"/>
      <c r="D96" s="46"/>
      <c r="E96" s="21" t="s">
        <v>966</v>
      </c>
      <c r="F96" s="45" t="s">
        <v>967</v>
      </c>
      <c r="G96" s="45" t="s">
        <v>1055</v>
      </c>
      <c r="H96" s="264" t="s">
        <v>358</v>
      </c>
      <c r="I96" s="137">
        <v>6.3</v>
      </c>
      <c r="J96" s="201"/>
      <c r="K96" s="137">
        <v>6.3</v>
      </c>
      <c r="L96" s="201"/>
      <c r="M96" s="137"/>
      <c r="N96" s="201"/>
      <c r="O96" s="137"/>
      <c r="P96" s="201"/>
      <c r="Q96" s="95">
        <f t="shared" si="230"/>
        <v>0.02</v>
      </c>
      <c r="R96" s="335">
        <f t="shared" si="231"/>
        <v>0.1818999</v>
      </c>
      <c r="S96" s="95">
        <v>0.02</v>
      </c>
      <c r="T96" s="95">
        <f t="shared" si="232"/>
        <v>0.1818999</v>
      </c>
      <c r="U96" s="95"/>
      <c r="V96" s="95">
        <f t="shared" si="233"/>
        <v>0</v>
      </c>
      <c r="W96" s="95"/>
      <c r="X96" s="95">
        <f t="shared" si="234"/>
        <v>0</v>
      </c>
      <c r="Y96" s="95">
        <f t="shared" si="235"/>
        <v>0.02</v>
      </c>
      <c r="Z96" s="95">
        <f t="shared" si="236"/>
        <v>0.1818999</v>
      </c>
      <c r="AA96" s="95"/>
      <c r="AB96" s="95">
        <f t="shared" si="237"/>
        <v>0</v>
      </c>
      <c r="AC96" s="95"/>
      <c r="AD96" s="95">
        <f t="shared" si="238"/>
        <v>0</v>
      </c>
      <c r="AE96" s="95"/>
      <c r="AF96" s="95">
        <f t="shared" si="239"/>
        <v>0</v>
      </c>
      <c r="AG96" s="95">
        <f t="shared" si="240"/>
        <v>0</v>
      </c>
      <c r="AH96" s="95">
        <f t="shared" si="241"/>
        <v>0</v>
      </c>
      <c r="AI96" s="95">
        <f t="shared" si="242"/>
        <v>0.02</v>
      </c>
      <c r="AJ96" s="95">
        <f t="shared" si="243"/>
        <v>0.1818999</v>
      </c>
      <c r="AK96" s="95"/>
      <c r="AL96" s="95">
        <f t="shared" si="244"/>
        <v>0</v>
      </c>
      <c r="AM96" s="95"/>
      <c r="AN96" s="95">
        <f t="shared" si="245"/>
        <v>0</v>
      </c>
      <c r="AO96" s="95"/>
      <c r="AP96" s="95">
        <f t="shared" si="246"/>
        <v>0</v>
      </c>
      <c r="AQ96" s="95">
        <f t="shared" si="247"/>
        <v>0</v>
      </c>
      <c r="AR96" s="95">
        <f t="shared" si="248"/>
        <v>0</v>
      </c>
      <c r="AS96" s="95"/>
      <c r="AT96" s="95">
        <f t="shared" si="249"/>
        <v>0</v>
      </c>
      <c r="AU96" s="95"/>
      <c r="AV96" s="95">
        <f t="shared" si="250"/>
        <v>0</v>
      </c>
      <c r="AW96" s="95"/>
      <c r="AX96" s="95">
        <f t="shared" si="251"/>
        <v>0</v>
      </c>
      <c r="AY96" s="95">
        <f t="shared" si="252"/>
        <v>0</v>
      </c>
      <c r="AZ96" s="95">
        <f t="shared" si="253"/>
        <v>0</v>
      </c>
      <c r="BA96" s="95">
        <f t="shared" si="254"/>
        <v>0</v>
      </c>
      <c r="BB96" s="95">
        <f t="shared" si="255"/>
        <v>0</v>
      </c>
      <c r="BC96" s="1" t="s">
        <v>1715</v>
      </c>
    </row>
    <row r="97" spans="1:55" s="6" customFormat="1">
      <c r="A97" s="492">
        <v>60</v>
      </c>
      <c r="B97" s="14"/>
      <c r="C97" s="20"/>
      <c r="D97" s="46"/>
      <c r="E97" s="21" t="s">
        <v>956</v>
      </c>
      <c r="F97" s="45" t="s">
        <v>957</v>
      </c>
      <c r="G97" s="45" t="s">
        <v>1055</v>
      </c>
      <c r="H97" s="264" t="s">
        <v>358</v>
      </c>
      <c r="I97" s="137">
        <v>5.7</v>
      </c>
      <c r="J97" s="201"/>
      <c r="K97" s="137">
        <v>5.7</v>
      </c>
      <c r="L97" s="201"/>
      <c r="M97" s="137"/>
      <c r="N97" s="201"/>
      <c r="O97" s="137"/>
      <c r="P97" s="201"/>
      <c r="Q97" s="95">
        <f t="shared" si="230"/>
        <v>0</v>
      </c>
      <c r="R97" s="335">
        <f t="shared" si="231"/>
        <v>0</v>
      </c>
      <c r="S97" s="95"/>
      <c r="T97" s="95">
        <f t="shared" si="232"/>
        <v>0</v>
      </c>
      <c r="U97" s="95"/>
      <c r="V97" s="95">
        <f t="shared" si="233"/>
        <v>0</v>
      </c>
      <c r="W97" s="95"/>
      <c r="X97" s="95">
        <f t="shared" si="234"/>
        <v>0</v>
      </c>
      <c r="Y97" s="95">
        <f t="shared" si="235"/>
        <v>0</v>
      </c>
      <c r="Z97" s="95">
        <f t="shared" si="236"/>
        <v>0</v>
      </c>
      <c r="AA97" s="95"/>
      <c r="AB97" s="95">
        <f t="shared" si="237"/>
        <v>0</v>
      </c>
      <c r="AC97" s="95"/>
      <c r="AD97" s="95">
        <f t="shared" si="238"/>
        <v>0</v>
      </c>
      <c r="AE97" s="95"/>
      <c r="AF97" s="95">
        <f t="shared" si="239"/>
        <v>0</v>
      </c>
      <c r="AG97" s="95">
        <f t="shared" si="240"/>
        <v>0</v>
      </c>
      <c r="AH97" s="95">
        <f t="shared" si="241"/>
        <v>0</v>
      </c>
      <c r="AI97" s="95">
        <f t="shared" si="242"/>
        <v>0</v>
      </c>
      <c r="AJ97" s="95">
        <f t="shared" si="243"/>
        <v>0</v>
      </c>
      <c r="AK97" s="95"/>
      <c r="AL97" s="95">
        <f t="shared" si="244"/>
        <v>0</v>
      </c>
      <c r="AM97" s="95"/>
      <c r="AN97" s="95">
        <f t="shared" si="245"/>
        <v>0</v>
      </c>
      <c r="AO97" s="95"/>
      <c r="AP97" s="95">
        <f t="shared" si="246"/>
        <v>0</v>
      </c>
      <c r="AQ97" s="95">
        <f t="shared" si="247"/>
        <v>0</v>
      </c>
      <c r="AR97" s="95">
        <f t="shared" si="248"/>
        <v>0</v>
      </c>
      <c r="AS97" s="95"/>
      <c r="AT97" s="95">
        <f t="shared" si="249"/>
        <v>0</v>
      </c>
      <c r="AU97" s="95"/>
      <c r="AV97" s="95">
        <f t="shared" si="250"/>
        <v>0</v>
      </c>
      <c r="AW97" s="95"/>
      <c r="AX97" s="95">
        <f t="shared" si="251"/>
        <v>0</v>
      </c>
      <c r="AY97" s="95">
        <f t="shared" si="252"/>
        <v>0</v>
      </c>
      <c r="AZ97" s="95">
        <f t="shared" si="253"/>
        <v>0</v>
      </c>
      <c r="BA97" s="95">
        <f t="shared" si="254"/>
        <v>0</v>
      </c>
      <c r="BB97" s="95">
        <f t="shared" si="255"/>
        <v>0</v>
      </c>
      <c r="BC97" s="1" t="s">
        <v>1715</v>
      </c>
    </row>
    <row r="98" spans="1:55" s="6" customFormat="1">
      <c r="A98" s="492">
        <v>61</v>
      </c>
      <c r="B98" s="14"/>
      <c r="C98" s="20"/>
      <c r="D98" s="46"/>
      <c r="E98" s="21" t="s">
        <v>994</v>
      </c>
      <c r="F98" s="45" t="s">
        <v>995</v>
      </c>
      <c r="G98" s="45" t="s">
        <v>1055</v>
      </c>
      <c r="H98" s="264" t="s">
        <v>358</v>
      </c>
      <c r="I98" s="137">
        <v>6.45</v>
      </c>
      <c r="J98" s="201"/>
      <c r="K98" s="137">
        <v>6.45</v>
      </c>
      <c r="L98" s="201"/>
      <c r="M98" s="137"/>
      <c r="N98" s="201"/>
      <c r="O98" s="137"/>
      <c r="P98" s="201"/>
      <c r="Q98" s="95">
        <f t="shared" si="230"/>
        <v>0</v>
      </c>
      <c r="R98" s="335">
        <f t="shared" si="231"/>
        <v>0</v>
      </c>
      <c r="S98" s="95"/>
      <c r="T98" s="95">
        <f t="shared" si="232"/>
        <v>0</v>
      </c>
      <c r="U98" s="95"/>
      <c r="V98" s="95">
        <f t="shared" si="233"/>
        <v>0</v>
      </c>
      <c r="W98" s="95"/>
      <c r="X98" s="95">
        <f t="shared" si="234"/>
        <v>0</v>
      </c>
      <c r="Y98" s="95">
        <f t="shared" si="235"/>
        <v>0</v>
      </c>
      <c r="Z98" s="95">
        <f t="shared" si="236"/>
        <v>0</v>
      </c>
      <c r="AA98" s="95"/>
      <c r="AB98" s="95">
        <f t="shared" si="237"/>
        <v>0</v>
      </c>
      <c r="AC98" s="95"/>
      <c r="AD98" s="95">
        <f t="shared" si="238"/>
        <v>0</v>
      </c>
      <c r="AE98" s="95"/>
      <c r="AF98" s="95">
        <f t="shared" si="239"/>
        <v>0</v>
      </c>
      <c r="AG98" s="95">
        <f t="shared" si="240"/>
        <v>0</v>
      </c>
      <c r="AH98" s="95">
        <f t="shared" si="241"/>
        <v>0</v>
      </c>
      <c r="AI98" s="95">
        <f t="shared" si="242"/>
        <v>0</v>
      </c>
      <c r="AJ98" s="95">
        <f t="shared" si="243"/>
        <v>0</v>
      </c>
      <c r="AK98" s="95"/>
      <c r="AL98" s="95">
        <f t="shared" si="244"/>
        <v>0</v>
      </c>
      <c r="AM98" s="95"/>
      <c r="AN98" s="95">
        <f t="shared" si="245"/>
        <v>0</v>
      </c>
      <c r="AO98" s="95"/>
      <c r="AP98" s="95">
        <f t="shared" si="246"/>
        <v>0</v>
      </c>
      <c r="AQ98" s="95">
        <f t="shared" si="247"/>
        <v>0</v>
      </c>
      <c r="AR98" s="95">
        <f t="shared" si="248"/>
        <v>0</v>
      </c>
      <c r="AS98" s="95"/>
      <c r="AT98" s="95">
        <f t="shared" si="249"/>
        <v>0</v>
      </c>
      <c r="AU98" s="95"/>
      <c r="AV98" s="95">
        <f t="shared" si="250"/>
        <v>0</v>
      </c>
      <c r="AW98" s="95"/>
      <c r="AX98" s="95">
        <f t="shared" si="251"/>
        <v>0</v>
      </c>
      <c r="AY98" s="95">
        <f t="shared" si="252"/>
        <v>0</v>
      </c>
      <c r="AZ98" s="95">
        <f t="shared" si="253"/>
        <v>0</v>
      </c>
      <c r="BA98" s="95">
        <f t="shared" si="254"/>
        <v>0</v>
      </c>
      <c r="BB98" s="95">
        <f t="shared" si="255"/>
        <v>0</v>
      </c>
      <c r="BC98" s="1" t="s">
        <v>1715</v>
      </c>
    </row>
    <row r="99" spans="1:55" s="6" customFormat="1">
      <c r="A99" s="492">
        <v>57</v>
      </c>
      <c r="B99" s="14"/>
      <c r="C99" s="20"/>
      <c r="D99" s="46"/>
      <c r="E99" s="89" t="s">
        <v>1419</v>
      </c>
      <c r="F99" s="424" t="s">
        <v>1420</v>
      </c>
      <c r="G99" s="424" t="s">
        <v>1059</v>
      </c>
      <c r="H99" s="446" t="s">
        <v>358</v>
      </c>
      <c r="I99" s="447">
        <v>6</v>
      </c>
      <c r="J99" s="448"/>
      <c r="K99" s="447">
        <v>6</v>
      </c>
      <c r="L99" s="448"/>
      <c r="M99" s="447"/>
      <c r="N99" s="448"/>
      <c r="O99" s="447"/>
      <c r="P99" s="448"/>
      <c r="Q99" s="428">
        <f t="shared" si="230"/>
        <v>0</v>
      </c>
      <c r="R99" s="449">
        <f t="shared" si="231"/>
        <v>0</v>
      </c>
      <c r="S99" s="428"/>
      <c r="T99" s="428">
        <f t="shared" si="232"/>
        <v>0</v>
      </c>
      <c r="U99" s="428"/>
      <c r="V99" s="428">
        <f t="shared" si="233"/>
        <v>0</v>
      </c>
      <c r="W99" s="428"/>
      <c r="X99" s="428">
        <f t="shared" si="234"/>
        <v>0</v>
      </c>
      <c r="Y99" s="428">
        <f t="shared" si="235"/>
        <v>0</v>
      </c>
      <c r="Z99" s="428">
        <f t="shared" si="236"/>
        <v>0</v>
      </c>
      <c r="AA99" s="428"/>
      <c r="AB99" s="428">
        <f t="shared" si="237"/>
        <v>0</v>
      </c>
      <c r="AC99" s="428"/>
      <c r="AD99" s="428">
        <f t="shared" si="238"/>
        <v>0</v>
      </c>
      <c r="AE99" s="428"/>
      <c r="AF99" s="428">
        <f t="shared" si="239"/>
        <v>0</v>
      </c>
      <c r="AG99" s="428">
        <f t="shared" si="240"/>
        <v>0</v>
      </c>
      <c r="AH99" s="428">
        <f t="shared" si="241"/>
        <v>0</v>
      </c>
      <c r="AI99" s="428">
        <f t="shared" si="242"/>
        <v>0</v>
      </c>
      <c r="AJ99" s="428">
        <f t="shared" si="243"/>
        <v>0</v>
      </c>
      <c r="AK99" s="428"/>
      <c r="AL99" s="428">
        <f t="shared" si="244"/>
        <v>0</v>
      </c>
      <c r="AM99" s="428"/>
      <c r="AN99" s="428">
        <f t="shared" si="245"/>
        <v>0</v>
      </c>
      <c r="AO99" s="428"/>
      <c r="AP99" s="428">
        <f t="shared" si="246"/>
        <v>0</v>
      </c>
      <c r="AQ99" s="428">
        <f t="shared" si="247"/>
        <v>0</v>
      </c>
      <c r="AR99" s="428">
        <f t="shared" si="248"/>
        <v>0</v>
      </c>
      <c r="AS99" s="428"/>
      <c r="AT99" s="428">
        <f t="shared" si="249"/>
        <v>0</v>
      </c>
      <c r="AU99" s="428"/>
      <c r="AV99" s="428">
        <f t="shared" si="250"/>
        <v>0</v>
      </c>
      <c r="AW99" s="428"/>
      <c r="AX99" s="428">
        <f t="shared" si="251"/>
        <v>0</v>
      </c>
      <c r="AY99" s="428">
        <f t="shared" si="252"/>
        <v>0</v>
      </c>
      <c r="AZ99" s="428">
        <f t="shared" si="253"/>
        <v>0</v>
      </c>
      <c r="BA99" s="428">
        <f t="shared" si="254"/>
        <v>0</v>
      </c>
      <c r="BB99" s="428">
        <f t="shared" si="255"/>
        <v>0</v>
      </c>
      <c r="BC99" s="1" t="s">
        <v>1715</v>
      </c>
    </row>
    <row r="100" spans="1:55">
      <c r="B100" s="13"/>
      <c r="C100" s="13"/>
      <c r="D100" s="13"/>
      <c r="E100" s="21" t="s">
        <v>1328</v>
      </c>
      <c r="F100" s="22" t="s">
        <v>1330</v>
      </c>
      <c r="G100" s="45" t="s">
        <v>1056</v>
      </c>
      <c r="H100" s="265" t="s">
        <v>358</v>
      </c>
      <c r="I100" s="54">
        <v>19.3</v>
      </c>
      <c r="J100" s="101"/>
      <c r="K100" s="54">
        <v>19.3</v>
      </c>
      <c r="L100" s="162"/>
      <c r="M100" s="54"/>
      <c r="N100" s="162"/>
      <c r="O100" s="54"/>
      <c r="P100" s="101"/>
      <c r="Q100" s="96">
        <f t="shared" si="230"/>
        <v>0</v>
      </c>
      <c r="R100" s="337">
        <f t="shared" si="231"/>
        <v>0</v>
      </c>
      <c r="S100" s="96"/>
      <c r="T100" s="96">
        <f t="shared" si="232"/>
        <v>0</v>
      </c>
      <c r="U100" s="96"/>
      <c r="V100" s="176">
        <f t="shared" si="233"/>
        <v>0</v>
      </c>
      <c r="W100" s="206"/>
      <c r="X100" s="205">
        <f t="shared" si="234"/>
        <v>0</v>
      </c>
      <c r="Y100" s="188">
        <f t="shared" si="235"/>
        <v>0</v>
      </c>
      <c r="Z100" s="176">
        <f t="shared" si="236"/>
        <v>0</v>
      </c>
      <c r="AA100" s="206"/>
      <c r="AB100" s="205">
        <f t="shared" si="237"/>
        <v>0</v>
      </c>
      <c r="AC100" s="206"/>
      <c r="AD100" s="176">
        <f t="shared" si="238"/>
        <v>0</v>
      </c>
      <c r="AE100" s="206"/>
      <c r="AF100" s="205">
        <f t="shared" si="239"/>
        <v>0</v>
      </c>
      <c r="AG100" s="188">
        <f t="shared" si="240"/>
        <v>0</v>
      </c>
      <c r="AH100" s="96">
        <f t="shared" si="241"/>
        <v>0</v>
      </c>
      <c r="AI100" s="96">
        <f t="shared" si="242"/>
        <v>0</v>
      </c>
      <c r="AJ100" s="176">
        <f t="shared" si="243"/>
        <v>0</v>
      </c>
      <c r="AK100" s="206"/>
      <c r="AL100" s="176">
        <f t="shared" si="244"/>
        <v>0</v>
      </c>
      <c r="AM100" s="243"/>
      <c r="AN100" s="176">
        <f t="shared" si="245"/>
        <v>0</v>
      </c>
      <c r="AO100" s="206"/>
      <c r="AP100" s="205">
        <f t="shared" si="246"/>
        <v>0</v>
      </c>
      <c r="AQ100" s="188">
        <f t="shared" si="247"/>
        <v>0</v>
      </c>
      <c r="AR100" s="96">
        <f t="shared" si="248"/>
        <v>0</v>
      </c>
      <c r="AS100" s="96"/>
      <c r="AT100" s="176">
        <f t="shared" si="249"/>
        <v>0</v>
      </c>
      <c r="AU100" s="206"/>
      <c r="AV100" s="176">
        <f t="shared" si="250"/>
        <v>0</v>
      </c>
      <c r="AW100" s="206"/>
      <c r="AX100" s="205">
        <f t="shared" si="251"/>
        <v>0</v>
      </c>
      <c r="AY100" s="188">
        <f t="shared" si="252"/>
        <v>0</v>
      </c>
      <c r="AZ100" s="96">
        <f t="shared" si="253"/>
        <v>0</v>
      </c>
      <c r="BA100" s="96">
        <f t="shared" si="254"/>
        <v>0</v>
      </c>
      <c r="BB100" s="96">
        <f t="shared" si="255"/>
        <v>0</v>
      </c>
      <c r="BC100" s="1" t="s">
        <v>1715</v>
      </c>
    </row>
    <row r="101" spans="1:55">
      <c r="B101" s="13"/>
      <c r="C101" s="13"/>
      <c r="D101" s="13"/>
      <c r="E101" s="21" t="s">
        <v>1329</v>
      </c>
      <c r="F101" s="22" t="s">
        <v>1331</v>
      </c>
      <c r="G101" s="45" t="s">
        <v>1056</v>
      </c>
      <c r="H101" s="265" t="s">
        <v>358</v>
      </c>
      <c r="I101" s="54">
        <v>19.649999999999999</v>
      </c>
      <c r="J101" s="101"/>
      <c r="K101" s="54">
        <v>19.649999999999999</v>
      </c>
      <c r="L101" s="162"/>
      <c r="M101" s="54"/>
      <c r="N101" s="162"/>
      <c r="O101" s="54"/>
      <c r="P101" s="101"/>
      <c r="Q101" s="96">
        <f t="shared" si="230"/>
        <v>0</v>
      </c>
      <c r="R101" s="337">
        <f t="shared" si="231"/>
        <v>0</v>
      </c>
      <c r="S101" s="96"/>
      <c r="T101" s="96">
        <f t="shared" si="232"/>
        <v>0</v>
      </c>
      <c r="U101" s="96"/>
      <c r="V101" s="176">
        <f t="shared" si="233"/>
        <v>0</v>
      </c>
      <c r="W101" s="206"/>
      <c r="X101" s="205">
        <f t="shared" si="234"/>
        <v>0</v>
      </c>
      <c r="Y101" s="188">
        <f t="shared" si="235"/>
        <v>0</v>
      </c>
      <c r="Z101" s="176">
        <f t="shared" si="236"/>
        <v>0</v>
      </c>
      <c r="AA101" s="206"/>
      <c r="AB101" s="205">
        <f t="shared" si="237"/>
        <v>0</v>
      </c>
      <c r="AC101" s="206"/>
      <c r="AD101" s="176">
        <f t="shared" si="238"/>
        <v>0</v>
      </c>
      <c r="AE101" s="206"/>
      <c r="AF101" s="205">
        <f t="shared" si="239"/>
        <v>0</v>
      </c>
      <c r="AG101" s="188">
        <f t="shared" si="240"/>
        <v>0</v>
      </c>
      <c r="AH101" s="96">
        <f t="shared" si="241"/>
        <v>0</v>
      </c>
      <c r="AI101" s="96">
        <f t="shared" si="242"/>
        <v>0</v>
      </c>
      <c r="AJ101" s="176">
        <f t="shared" si="243"/>
        <v>0</v>
      </c>
      <c r="AK101" s="206"/>
      <c r="AL101" s="176">
        <f t="shared" si="244"/>
        <v>0</v>
      </c>
      <c r="AM101" s="243"/>
      <c r="AN101" s="176">
        <f t="shared" si="245"/>
        <v>0</v>
      </c>
      <c r="AO101" s="206"/>
      <c r="AP101" s="205">
        <f t="shared" si="246"/>
        <v>0</v>
      </c>
      <c r="AQ101" s="188">
        <f t="shared" si="247"/>
        <v>0</v>
      </c>
      <c r="AR101" s="96">
        <f t="shared" si="248"/>
        <v>0</v>
      </c>
      <c r="AS101" s="96"/>
      <c r="AT101" s="176">
        <f t="shared" si="249"/>
        <v>0</v>
      </c>
      <c r="AU101" s="206"/>
      <c r="AV101" s="176">
        <f t="shared" si="250"/>
        <v>0</v>
      </c>
      <c r="AW101" s="206"/>
      <c r="AX101" s="205">
        <f t="shared" si="251"/>
        <v>0</v>
      </c>
      <c r="AY101" s="188">
        <f t="shared" si="252"/>
        <v>0</v>
      </c>
      <c r="AZ101" s="96">
        <f t="shared" si="253"/>
        <v>0</v>
      </c>
      <c r="BA101" s="96">
        <f t="shared" si="254"/>
        <v>0</v>
      </c>
      <c r="BB101" s="96">
        <f t="shared" si="255"/>
        <v>0</v>
      </c>
      <c r="BC101" s="1" t="s">
        <v>1715</v>
      </c>
    </row>
    <row r="102" spans="1:55" s="6" customFormat="1">
      <c r="A102" s="492">
        <v>62</v>
      </c>
      <c r="B102" s="14"/>
      <c r="C102" s="20"/>
      <c r="D102" s="46"/>
      <c r="E102" s="21" t="s">
        <v>958</v>
      </c>
      <c r="F102" s="45" t="s">
        <v>959</v>
      </c>
      <c r="G102" s="45" t="s">
        <v>1055</v>
      </c>
      <c r="H102" s="264" t="s">
        <v>358</v>
      </c>
      <c r="I102" s="137">
        <v>7.01</v>
      </c>
      <c r="J102" s="201"/>
      <c r="K102" s="137">
        <v>7.01</v>
      </c>
      <c r="L102" s="201"/>
      <c r="M102" s="137"/>
      <c r="N102" s="201"/>
      <c r="O102" s="137"/>
      <c r="P102" s="201"/>
      <c r="Q102" s="95">
        <f t="shared" si="230"/>
        <v>0</v>
      </c>
      <c r="R102" s="335">
        <f t="shared" si="231"/>
        <v>0</v>
      </c>
      <c r="S102" s="95"/>
      <c r="T102" s="95">
        <f t="shared" si="232"/>
        <v>0</v>
      </c>
      <c r="U102" s="95"/>
      <c r="V102" s="95">
        <f t="shared" si="233"/>
        <v>0</v>
      </c>
      <c r="W102" s="95"/>
      <c r="X102" s="95">
        <f t="shared" si="234"/>
        <v>0</v>
      </c>
      <c r="Y102" s="95">
        <f t="shared" si="235"/>
        <v>0</v>
      </c>
      <c r="Z102" s="95">
        <f t="shared" si="236"/>
        <v>0</v>
      </c>
      <c r="AA102" s="95"/>
      <c r="AB102" s="95">
        <f t="shared" si="237"/>
        <v>0</v>
      </c>
      <c r="AC102" s="95"/>
      <c r="AD102" s="95">
        <f t="shared" si="238"/>
        <v>0</v>
      </c>
      <c r="AE102" s="95"/>
      <c r="AF102" s="95">
        <f t="shared" si="239"/>
        <v>0</v>
      </c>
      <c r="AG102" s="95">
        <f t="shared" si="240"/>
        <v>0</v>
      </c>
      <c r="AH102" s="95">
        <f t="shared" si="241"/>
        <v>0</v>
      </c>
      <c r="AI102" s="95">
        <f t="shared" si="242"/>
        <v>0</v>
      </c>
      <c r="AJ102" s="95">
        <f t="shared" si="243"/>
        <v>0</v>
      </c>
      <c r="AK102" s="95"/>
      <c r="AL102" s="95">
        <f t="shared" si="244"/>
        <v>0</v>
      </c>
      <c r="AM102" s="95"/>
      <c r="AN102" s="95">
        <f t="shared" si="245"/>
        <v>0</v>
      </c>
      <c r="AO102" s="95"/>
      <c r="AP102" s="95">
        <f t="shared" si="246"/>
        <v>0</v>
      </c>
      <c r="AQ102" s="95">
        <f t="shared" si="247"/>
        <v>0</v>
      </c>
      <c r="AR102" s="95">
        <f t="shared" si="248"/>
        <v>0</v>
      </c>
      <c r="AS102" s="95"/>
      <c r="AT102" s="95">
        <f t="shared" si="249"/>
        <v>0</v>
      </c>
      <c r="AU102" s="95"/>
      <c r="AV102" s="95">
        <f t="shared" si="250"/>
        <v>0</v>
      </c>
      <c r="AW102" s="95"/>
      <c r="AX102" s="95">
        <f t="shared" si="251"/>
        <v>0</v>
      </c>
      <c r="AY102" s="95">
        <f t="shared" si="252"/>
        <v>0</v>
      </c>
      <c r="AZ102" s="95">
        <f t="shared" si="253"/>
        <v>0</v>
      </c>
      <c r="BA102" s="95">
        <f t="shared" si="254"/>
        <v>0</v>
      </c>
      <c r="BB102" s="95">
        <f t="shared" si="255"/>
        <v>0</v>
      </c>
      <c r="BC102" s="1" t="s">
        <v>1715</v>
      </c>
    </row>
    <row r="103" spans="1:55" s="6" customFormat="1">
      <c r="A103" s="492">
        <v>63</v>
      </c>
      <c r="B103" s="14"/>
      <c r="C103" s="20"/>
      <c r="D103" s="46"/>
      <c r="E103" s="21" t="s">
        <v>996</v>
      </c>
      <c r="F103" s="45" t="s">
        <v>997</v>
      </c>
      <c r="G103" s="45" t="s">
        <v>1055</v>
      </c>
      <c r="H103" s="264" t="s">
        <v>358</v>
      </c>
      <c r="I103" s="137">
        <v>7.75</v>
      </c>
      <c r="J103" s="201"/>
      <c r="K103" s="137">
        <v>7.75</v>
      </c>
      <c r="L103" s="201"/>
      <c r="M103" s="137"/>
      <c r="N103" s="201"/>
      <c r="O103" s="137"/>
      <c r="P103" s="201"/>
      <c r="Q103" s="95">
        <f t="shared" si="230"/>
        <v>0</v>
      </c>
      <c r="R103" s="335">
        <f t="shared" si="231"/>
        <v>0</v>
      </c>
      <c r="S103" s="95"/>
      <c r="T103" s="95">
        <f t="shared" si="232"/>
        <v>0</v>
      </c>
      <c r="U103" s="95"/>
      <c r="V103" s="95">
        <f t="shared" si="233"/>
        <v>0</v>
      </c>
      <c r="W103" s="95"/>
      <c r="X103" s="95">
        <f t="shared" si="234"/>
        <v>0</v>
      </c>
      <c r="Y103" s="95">
        <f t="shared" si="235"/>
        <v>0</v>
      </c>
      <c r="Z103" s="95">
        <f t="shared" si="236"/>
        <v>0</v>
      </c>
      <c r="AA103" s="95"/>
      <c r="AB103" s="95">
        <f t="shared" si="237"/>
        <v>0</v>
      </c>
      <c r="AC103" s="95"/>
      <c r="AD103" s="95">
        <f t="shared" si="238"/>
        <v>0</v>
      </c>
      <c r="AE103" s="95"/>
      <c r="AF103" s="95">
        <f t="shared" si="239"/>
        <v>0</v>
      </c>
      <c r="AG103" s="95">
        <f t="shared" si="240"/>
        <v>0</v>
      </c>
      <c r="AH103" s="95">
        <f t="shared" si="241"/>
        <v>0</v>
      </c>
      <c r="AI103" s="95">
        <f t="shared" si="242"/>
        <v>0</v>
      </c>
      <c r="AJ103" s="95">
        <f t="shared" si="243"/>
        <v>0</v>
      </c>
      <c r="AK103" s="95"/>
      <c r="AL103" s="95">
        <f t="shared" si="244"/>
        <v>0</v>
      </c>
      <c r="AM103" s="95"/>
      <c r="AN103" s="95">
        <f t="shared" si="245"/>
        <v>0</v>
      </c>
      <c r="AO103" s="95"/>
      <c r="AP103" s="95">
        <f t="shared" si="246"/>
        <v>0</v>
      </c>
      <c r="AQ103" s="95">
        <f t="shared" si="247"/>
        <v>0</v>
      </c>
      <c r="AR103" s="95">
        <f t="shared" si="248"/>
        <v>0</v>
      </c>
      <c r="AS103" s="95"/>
      <c r="AT103" s="95">
        <f t="shared" si="249"/>
        <v>0</v>
      </c>
      <c r="AU103" s="95"/>
      <c r="AV103" s="95">
        <f t="shared" si="250"/>
        <v>0</v>
      </c>
      <c r="AW103" s="95"/>
      <c r="AX103" s="95">
        <f t="shared" si="251"/>
        <v>0</v>
      </c>
      <c r="AY103" s="95">
        <f t="shared" si="252"/>
        <v>0</v>
      </c>
      <c r="AZ103" s="95">
        <f t="shared" si="253"/>
        <v>0</v>
      </c>
      <c r="BA103" s="95">
        <f t="shared" si="254"/>
        <v>0</v>
      </c>
      <c r="BB103" s="95">
        <f t="shared" si="255"/>
        <v>0</v>
      </c>
      <c r="BC103" s="1" t="s">
        <v>1715</v>
      </c>
    </row>
    <row r="104" spans="1:55" s="6" customFormat="1">
      <c r="A104" s="492">
        <v>57</v>
      </c>
      <c r="B104" s="14"/>
      <c r="C104" s="20"/>
      <c r="D104" s="46"/>
      <c r="E104" s="89" t="s">
        <v>1421</v>
      </c>
      <c r="F104" s="424" t="s">
        <v>1422</v>
      </c>
      <c r="G104" s="424" t="s">
        <v>1059</v>
      </c>
      <c r="H104" s="446" t="s">
        <v>358</v>
      </c>
      <c r="I104" s="447">
        <v>6.82</v>
      </c>
      <c r="J104" s="448"/>
      <c r="K104" s="447">
        <v>6.82</v>
      </c>
      <c r="L104" s="448"/>
      <c r="M104" s="447"/>
      <c r="N104" s="448"/>
      <c r="O104" s="447"/>
      <c r="P104" s="448"/>
      <c r="Q104" s="428">
        <f t="shared" si="230"/>
        <v>0</v>
      </c>
      <c r="R104" s="449">
        <f t="shared" si="231"/>
        <v>0</v>
      </c>
      <c r="S104" s="428"/>
      <c r="T104" s="428">
        <f t="shared" si="232"/>
        <v>0</v>
      </c>
      <c r="U104" s="428"/>
      <c r="V104" s="428">
        <f t="shared" si="233"/>
        <v>0</v>
      </c>
      <c r="W104" s="428"/>
      <c r="X104" s="428">
        <f t="shared" si="234"/>
        <v>0</v>
      </c>
      <c r="Y104" s="428">
        <f t="shared" si="235"/>
        <v>0</v>
      </c>
      <c r="Z104" s="428">
        <f t="shared" si="236"/>
        <v>0</v>
      </c>
      <c r="AA104" s="428"/>
      <c r="AB104" s="428">
        <f t="shared" si="237"/>
        <v>0</v>
      </c>
      <c r="AC104" s="428"/>
      <c r="AD104" s="428">
        <f t="shared" si="238"/>
        <v>0</v>
      </c>
      <c r="AE104" s="428"/>
      <c r="AF104" s="428">
        <f t="shared" si="239"/>
        <v>0</v>
      </c>
      <c r="AG104" s="428">
        <f t="shared" si="240"/>
        <v>0</v>
      </c>
      <c r="AH104" s="428">
        <f t="shared" si="241"/>
        <v>0</v>
      </c>
      <c r="AI104" s="428">
        <f t="shared" si="242"/>
        <v>0</v>
      </c>
      <c r="AJ104" s="428">
        <f t="shared" si="243"/>
        <v>0</v>
      </c>
      <c r="AK104" s="428"/>
      <c r="AL104" s="428">
        <f t="shared" si="244"/>
        <v>0</v>
      </c>
      <c r="AM104" s="428"/>
      <c r="AN104" s="428">
        <f t="shared" si="245"/>
        <v>0</v>
      </c>
      <c r="AO104" s="428"/>
      <c r="AP104" s="428">
        <f t="shared" si="246"/>
        <v>0</v>
      </c>
      <c r="AQ104" s="428">
        <f t="shared" si="247"/>
        <v>0</v>
      </c>
      <c r="AR104" s="428">
        <f t="shared" si="248"/>
        <v>0</v>
      </c>
      <c r="AS104" s="428"/>
      <c r="AT104" s="428">
        <f t="shared" si="249"/>
        <v>0</v>
      </c>
      <c r="AU104" s="428"/>
      <c r="AV104" s="428">
        <f t="shared" si="250"/>
        <v>0</v>
      </c>
      <c r="AW104" s="428"/>
      <c r="AX104" s="428">
        <f t="shared" si="251"/>
        <v>0</v>
      </c>
      <c r="AY104" s="428">
        <f t="shared" si="252"/>
        <v>0</v>
      </c>
      <c r="AZ104" s="428">
        <f t="shared" si="253"/>
        <v>0</v>
      </c>
      <c r="BA104" s="428">
        <f t="shared" si="254"/>
        <v>0</v>
      </c>
      <c r="BB104" s="428">
        <f t="shared" si="255"/>
        <v>0</v>
      </c>
      <c r="BC104" s="1" t="s">
        <v>1715</v>
      </c>
    </row>
    <row r="105" spans="1:55" s="6" customFormat="1">
      <c r="A105" s="492">
        <v>57</v>
      </c>
      <c r="B105" s="14"/>
      <c r="C105" s="20"/>
      <c r="D105" s="46"/>
      <c r="E105" s="89" t="s">
        <v>1423</v>
      </c>
      <c r="F105" s="424" t="s">
        <v>1424</v>
      </c>
      <c r="G105" s="424" t="s">
        <v>1059</v>
      </c>
      <c r="H105" s="446" t="s">
        <v>358</v>
      </c>
      <c r="I105" s="447">
        <v>12.86</v>
      </c>
      <c r="J105" s="448"/>
      <c r="K105" s="447">
        <v>12.86</v>
      </c>
      <c r="L105" s="448"/>
      <c r="M105" s="447"/>
      <c r="N105" s="448"/>
      <c r="O105" s="447"/>
      <c r="P105" s="448"/>
      <c r="Q105" s="428">
        <f t="shared" si="230"/>
        <v>0</v>
      </c>
      <c r="R105" s="449">
        <f t="shared" si="231"/>
        <v>0</v>
      </c>
      <c r="S105" s="428"/>
      <c r="T105" s="428">
        <f t="shared" si="232"/>
        <v>0</v>
      </c>
      <c r="U105" s="428"/>
      <c r="V105" s="428">
        <f t="shared" si="233"/>
        <v>0</v>
      </c>
      <c r="W105" s="428"/>
      <c r="X105" s="428">
        <f t="shared" si="234"/>
        <v>0</v>
      </c>
      <c r="Y105" s="428">
        <f t="shared" si="235"/>
        <v>0</v>
      </c>
      <c r="Z105" s="428">
        <f t="shared" si="236"/>
        <v>0</v>
      </c>
      <c r="AA105" s="428"/>
      <c r="AB105" s="428">
        <f t="shared" si="237"/>
        <v>0</v>
      </c>
      <c r="AC105" s="428"/>
      <c r="AD105" s="428">
        <f t="shared" si="238"/>
        <v>0</v>
      </c>
      <c r="AE105" s="428"/>
      <c r="AF105" s="428">
        <f t="shared" si="239"/>
        <v>0</v>
      </c>
      <c r="AG105" s="428">
        <f t="shared" si="240"/>
        <v>0</v>
      </c>
      <c r="AH105" s="428">
        <f t="shared" si="241"/>
        <v>0</v>
      </c>
      <c r="AI105" s="428">
        <f t="shared" si="242"/>
        <v>0</v>
      </c>
      <c r="AJ105" s="428">
        <f t="shared" si="243"/>
        <v>0</v>
      </c>
      <c r="AK105" s="428"/>
      <c r="AL105" s="428">
        <f t="shared" si="244"/>
        <v>0</v>
      </c>
      <c r="AM105" s="428"/>
      <c r="AN105" s="428">
        <f t="shared" si="245"/>
        <v>0</v>
      </c>
      <c r="AO105" s="428"/>
      <c r="AP105" s="428">
        <f t="shared" si="246"/>
        <v>0</v>
      </c>
      <c r="AQ105" s="428">
        <f t="shared" si="247"/>
        <v>0</v>
      </c>
      <c r="AR105" s="428">
        <f t="shared" si="248"/>
        <v>0</v>
      </c>
      <c r="AS105" s="428"/>
      <c r="AT105" s="428">
        <f t="shared" si="249"/>
        <v>0</v>
      </c>
      <c r="AU105" s="428"/>
      <c r="AV105" s="428">
        <f t="shared" si="250"/>
        <v>0</v>
      </c>
      <c r="AW105" s="428"/>
      <c r="AX105" s="428">
        <f t="shared" si="251"/>
        <v>0</v>
      </c>
      <c r="AY105" s="428">
        <f t="shared" si="252"/>
        <v>0</v>
      </c>
      <c r="AZ105" s="428">
        <f t="shared" si="253"/>
        <v>0</v>
      </c>
      <c r="BA105" s="428">
        <f t="shared" si="254"/>
        <v>0</v>
      </c>
      <c r="BB105" s="428">
        <f t="shared" si="255"/>
        <v>0</v>
      </c>
      <c r="BC105" s="1" t="s">
        <v>1715</v>
      </c>
    </row>
    <row r="106" spans="1:55" s="6" customFormat="1">
      <c r="A106" s="492">
        <v>64</v>
      </c>
      <c r="B106" s="14"/>
      <c r="C106" s="20"/>
      <c r="D106" s="46"/>
      <c r="E106" s="21" t="s">
        <v>960</v>
      </c>
      <c r="F106" s="45" t="s">
        <v>961</v>
      </c>
      <c r="G106" s="45" t="s">
        <v>1055</v>
      </c>
      <c r="H106" s="264" t="s">
        <v>358</v>
      </c>
      <c r="I106" s="137">
        <v>12.57</v>
      </c>
      <c r="J106" s="201"/>
      <c r="K106" s="137">
        <v>12.57</v>
      </c>
      <c r="L106" s="201"/>
      <c r="M106" s="137"/>
      <c r="N106" s="201"/>
      <c r="O106" s="137"/>
      <c r="P106" s="201"/>
      <c r="Q106" s="95">
        <f t="shared" si="230"/>
        <v>0</v>
      </c>
      <c r="R106" s="335">
        <f t="shared" si="231"/>
        <v>0</v>
      </c>
      <c r="S106" s="95"/>
      <c r="T106" s="95">
        <f t="shared" si="232"/>
        <v>0</v>
      </c>
      <c r="U106" s="95"/>
      <c r="V106" s="95">
        <f t="shared" si="233"/>
        <v>0</v>
      </c>
      <c r="W106" s="95"/>
      <c r="X106" s="95">
        <f t="shared" si="234"/>
        <v>0</v>
      </c>
      <c r="Y106" s="95">
        <f t="shared" si="235"/>
        <v>0</v>
      </c>
      <c r="Z106" s="95">
        <f t="shared" si="236"/>
        <v>0</v>
      </c>
      <c r="AA106" s="95"/>
      <c r="AB106" s="95">
        <f t="shared" si="237"/>
        <v>0</v>
      </c>
      <c r="AC106" s="95"/>
      <c r="AD106" s="95">
        <f t="shared" si="238"/>
        <v>0</v>
      </c>
      <c r="AE106" s="95"/>
      <c r="AF106" s="95">
        <f t="shared" si="239"/>
        <v>0</v>
      </c>
      <c r="AG106" s="95">
        <f t="shared" si="240"/>
        <v>0</v>
      </c>
      <c r="AH106" s="95">
        <f t="shared" si="241"/>
        <v>0</v>
      </c>
      <c r="AI106" s="95">
        <f t="shared" si="242"/>
        <v>0</v>
      </c>
      <c r="AJ106" s="95">
        <f t="shared" si="243"/>
        <v>0</v>
      </c>
      <c r="AK106" s="95"/>
      <c r="AL106" s="95">
        <f t="shared" si="244"/>
        <v>0</v>
      </c>
      <c r="AM106" s="95"/>
      <c r="AN106" s="95">
        <f t="shared" si="245"/>
        <v>0</v>
      </c>
      <c r="AO106" s="95"/>
      <c r="AP106" s="95">
        <f t="shared" si="246"/>
        <v>0</v>
      </c>
      <c r="AQ106" s="95">
        <f t="shared" si="247"/>
        <v>0</v>
      </c>
      <c r="AR106" s="95">
        <f t="shared" si="248"/>
        <v>0</v>
      </c>
      <c r="AS106" s="95"/>
      <c r="AT106" s="95">
        <f t="shared" si="249"/>
        <v>0</v>
      </c>
      <c r="AU106" s="95"/>
      <c r="AV106" s="95">
        <f t="shared" si="250"/>
        <v>0</v>
      </c>
      <c r="AW106" s="95"/>
      <c r="AX106" s="95">
        <f t="shared" si="251"/>
        <v>0</v>
      </c>
      <c r="AY106" s="95">
        <f t="shared" si="252"/>
        <v>0</v>
      </c>
      <c r="AZ106" s="95">
        <f t="shared" si="253"/>
        <v>0</v>
      </c>
      <c r="BA106" s="95">
        <f t="shared" si="254"/>
        <v>0</v>
      </c>
      <c r="BB106" s="95">
        <f t="shared" si="255"/>
        <v>0</v>
      </c>
      <c r="BC106" s="1" t="s">
        <v>1715</v>
      </c>
    </row>
    <row r="107" spans="1:55" s="6" customFormat="1">
      <c r="A107" s="492">
        <v>65</v>
      </c>
      <c r="B107" s="14"/>
      <c r="C107" s="20"/>
      <c r="D107" s="46"/>
      <c r="E107" s="442" t="s">
        <v>998</v>
      </c>
      <c r="F107" s="572" t="s">
        <v>999</v>
      </c>
      <c r="G107" s="572" t="s">
        <v>1055</v>
      </c>
      <c r="H107" s="573" t="s">
        <v>358</v>
      </c>
      <c r="I107" s="574">
        <v>13.25</v>
      </c>
      <c r="J107" s="575"/>
      <c r="K107" s="574">
        <v>13.25</v>
      </c>
      <c r="L107" s="575"/>
      <c r="M107" s="574"/>
      <c r="N107" s="575"/>
      <c r="O107" s="574"/>
      <c r="P107" s="575"/>
      <c r="Q107" s="576">
        <f t="shared" si="230"/>
        <v>0</v>
      </c>
      <c r="R107" s="577">
        <f t="shared" si="231"/>
        <v>0</v>
      </c>
      <c r="S107" s="576"/>
      <c r="T107" s="576">
        <f t="shared" si="232"/>
        <v>0</v>
      </c>
      <c r="U107" s="576"/>
      <c r="V107" s="576">
        <f t="shared" si="233"/>
        <v>0</v>
      </c>
      <c r="W107" s="576"/>
      <c r="X107" s="576">
        <f t="shared" si="234"/>
        <v>0</v>
      </c>
      <c r="Y107" s="576">
        <f t="shared" si="235"/>
        <v>0</v>
      </c>
      <c r="Z107" s="576">
        <f t="shared" si="236"/>
        <v>0</v>
      </c>
      <c r="AA107" s="576"/>
      <c r="AB107" s="576">
        <f t="shared" si="237"/>
        <v>0</v>
      </c>
      <c r="AC107" s="576"/>
      <c r="AD107" s="576">
        <f t="shared" si="238"/>
        <v>0</v>
      </c>
      <c r="AE107" s="576"/>
      <c r="AF107" s="576">
        <f t="shared" si="239"/>
        <v>0</v>
      </c>
      <c r="AG107" s="576">
        <f t="shared" si="240"/>
        <v>0</v>
      </c>
      <c r="AH107" s="576">
        <f t="shared" si="241"/>
        <v>0</v>
      </c>
      <c r="AI107" s="576">
        <f t="shared" si="242"/>
        <v>0</v>
      </c>
      <c r="AJ107" s="576">
        <f t="shared" si="243"/>
        <v>0</v>
      </c>
      <c r="AK107" s="576"/>
      <c r="AL107" s="576">
        <f t="shared" si="244"/>
        <v>0</v>
      </c>
      <c r="AM107" s="576"/>
      <c r="AN107" s="576">
        <f t="shared" si="245"/>
        <v>0</v>
      </c>
      <c r="AO107" s="576"/>
      <c r="AP107" s="576">
        <f t="shared" si="246"/>
        <v>0</v>
      </c>
      <c r="AQ107" s="576">
        <f t="shared" si="247"/>
        <v>0</v>
      </c>
      <c r="AR107" s="576">
        <f t="shared" si="248"/>
        <v>0</v>
      </c>
      <c r="AS107" s="576"/>
      <c r="AT107" s="576">
        <f t="shared" si="249"/>
        <v>0</v>
      </c>
      <c r="AU107" s="576"/>
      <c r="AV107" s="576">
        <f t="shared" si="250"/>
        <v>0</v>
      </c>
      <c r="AW107" s="576"/>
      <c r="AX107" s="576">
        <f t="shared" si="251"/>
        <v>0</v>
      </c>
      <c r="AY107" s="576">
        <f t="shared" si="252"/>
        <v>0</v>
      </c>
      <c r="AZ107" s="576">
        <f t="shared" si="253"/>
        <v>0</v>
      </c>
      <c r="BA107" s="576">
        <f t="shared" si="254"/>
        <v>0</v>
      </c>
      <c r="BB107" s="576">
        <f t="shared" si="255"/>
        <v>0</v>
      </c>
      <c r="BC107" s="1" t="s">
        <v>1060</v>
      </c>
    </row>
    <row r="108" spans="1:55" s="6" customFormat="1">
      <c r="A108" s="492">
        <v>65</v>
      </c>
      <c r="B108" s="14"/>
      <c r="C108" s="20"/>
      <c r="D108" s="46"/>
      <c r="E108" s="258" t="s">
        <v>2571</v>
      </c>
      <c r="F108" s="259" t="s">
        <v>2572</v>
      </c>
      <c r="G108" s="259" t="s">
        <v>1055</v>
      </c>
      <c r="H108" s="511" t="s">
        <v>358</v>
      </c>
      <c r="I108" s="578">
        <v>9.7799999999999994</v>
      </c>
      <c r="J108" s="579"/>
      <c r="K108" s="578">
        <v>9.7799999999999994</v>
      </c>
      <c r="L108" s="579"/>
      <c r="M108" s="578"/>
      <c r="N108" s="579"/>
      <c r="O108" s="578"/>
      <c r="P108" s="579"/>
      <c r="Q108" s="580">
        <f t="shared" ref="Q108" si="256">SUM(AI108+BA108)</f>
        <v>0.02</v>
      </c>
      <c r="R108" s="581">
        <f t="shared" ref="R108" si="257">SUM(AJ108+BB108)</f>
        <v>0.29386357199999996</v>
      </c>
      <c r="S108" s="580"/>
      <c r="T108" s="580">
        <f t="shared" ref="T108" si="258">I108*S108*$T$2/1000</f>
        <v>0</v>
      </c>
      <c r="U108" s="580"/>
      <c r="V108" s="580">
        <f t="shared" ref="V108" si="259">I108*U108*$V$2/1000</f>
        <v>0</v>
      </c>
      <c r="W108" s="580">
        <v>0.02</v>
      </c>
      <c r="X108" s="580">
        <f t="shared" ref="X108" si="260">I108*W108*$X$2/1000</f>
        <v>0.29386357199999996</v>
      </c>
      <c r="Y108" s="580">
        <f t="shared" ref="Y108" si="261">SUM(S108+U108+W108)</f>
        <v>0.02</v>
      </c>
      <c r="Z108" s="580">
        <f t="shared" ref="Z108" si="262">SUM(T108+V108+X108)</f>
        <v>0.29386357199999996</v>
      </c>
      <c r="AA108" s="580"/>
      <c r="AB108" s="580">
        <f t="shared" ref="AB108" si="263">K108*AA108*$AB$2/1000</f>
        <v>0</v>
      </c>
      <c r="AC108" s="580"/>
      <c r="AD108" s="580">
        <f t="shared" ref="AD108" si="264">K108*AC108*$AD$2/1000</f>
        <v>0</v>
      </c>
      <c r="AE108" s="580"/>
      <c r="AF108" s="580">
        <f t="shared" ref="AF108" si="265">K108*AE108*$AF$2/1000</f>
        <v>0</v>
      </c>
      <c r="AG108" s="580">
        <f t="shared" ref="AG108" si="266">SUM(AA108+AC108+AE108)</f>
        <v>0</v>
      </c>
      <c r="AH108" s="580">
        <f t="shared" ref="AH108" si="267">SUM(AB108+AD108+AF108)</f>
        <v>0</v>
      </c>
      <c r="AI108" s="580">
        <f t="shared" ref="AI108" si="268">SUM(Y108+AG108)</f>
        <v>0.02</v>
      </c>
      <c r="AJ108" s="580">
        <f t="shared" ref="AJ108" si="269">SUM(Z108,AH108)</f>
        <v>0.29386357199999996</v>
      </c>
      <c r="AK108" s="580"/>
      <c r="AL108" s="580">
        <f t="shared" ref="AL108" si="270">M108*AK108*$AL$2/1000</f>
        <v>0</v>
      </c>
      <c r="AM108" s="580"/>
      <c r="AN108" s="580">
        <f t="shared" ref="AN108" si="271">M108*AM108*$AN$2/1000</f>
        <v>0</v>
      </c>
      <c r="AO108" s="580"/>
      <c r="AP108" s="580">
        <f t="shared" ref="AP108" si="272">M108*AO108*$AP$2/1000</f>
        <v>0</v>
      </c>
      <c r="AQ108" s="580">
        <f t="shared" ref="AQ108" si="273">SUM(AK108+AM108+AO108)</f>
        <v>0</v>
      </c>
      <c r="AR108" s="580">
        <f t="shared" ref="AR108" si="274">SUM(AL108+AN108+AP108)</f>
        <v>0</v>
      </c>
      <c r="AS108" s="580"/>
      <c r="AT108" s="580">
        <f t="shared" ref="AT108" si="275">O108*AS108*$AT$2/1000</f>
        <v>0</v>
      </c>
      <c r="AU108" s="580"/>
      <c r="AV108" s="580">
        <f t="shared" ref="AV108" si="276">O108*AU108*$AV$2/1000</f>
        <v>0</v>
      </c>
      <c r="AW108" s="580"/>
      <c r="AX108" s="580">
        <f t="shared" ref="AX108" si="277">O108*AW108*$AX$2/1000</f>
        <v>0</v>
      </c>
      <c r="AY108" s="580">
        <f t="shared" ref="AY108" si="278">SUM(AS108+AU108+AW108)</f>
        <v>0</v>
      </c>
      <c r="AZ108" s="580">
        <f t="shared" ref="AZ108" si="279">SUM(AT108+AV108+AX108)</f>
        <v>0</v>
      </c>
      <c r="BA108" s="580">
        <f t="shared" ref="BA108" si="280">SUM(AQ108+AY108)</f>
        <v>0</v>
      </c>
      <c r="BB108" s="580">
        <f t="shared" ref="BB108" si="281">SUM(AR108,AZ108)</f>
        <v>0</v>
      </c>
      <c r="BC108" s="1" t="s">
        <v>1060</v>
      </c>
    </row>
    <row r="109" spans="1:55" s="6" customFormat="1">
      <c r="A109" s="492">
        <v>65</v>
      </c>
      <c r="B109" s="14"/>
      <c r="C109" s="20"/>
      <c r="D109" s="46"/>
      <c r="E109" s="24" t="s">
        <v>2573</v>
      </c>
      <c r="F109" s="366" t="s">
        <v>2572</v>
      </c>
      <c r="G109" s="366" t="s">
        <v>1055</v>
      </c>
      <c r="H109" s="444" t="s">
        <v>358</v>
      </c>
      <c r="I109" s="308">
        <v>15.96</v>
      </c>
      <c r="J109" s="445"/>
      <c r="K109" s="308">
        <v>15.96</v>
      </c>
      <c r="L109" s="445"/>
      <c r="M109" s="308"/>
      <c r="N109" s="445"/>
      <c r="O109" s="308"/>
      <c r="P109" s="445"/>
      <c r="Q109" s="405">
        <f t="shared" si="230"/>
        <v>0.01</v>
      </c>
      <c r="R109" s="464">
        <f t="shared" si="231"/>
        <v>0.239778252</v>
      </c>
      <c r="S109" s="405"/>
      <c r="T109" s="405">
        <f t="shared" si="232"/>
        <v>0</v>
      </c>
      <c r="U109" s="405"/>
      <c r="V109" s="405">
        <f t="shared" si="233"/>
        <v>0</v>
      </c>
      <c r="W109" s="405">
        <v>0.01</v>
      </c>
      <c r="X109" s="405">
        <f t="shared" si="234"/>
        <v>0.239778252</v>
      </c>
      <c r="Y109" s="405">
        <f t="shared" si="235"/>
        <v>0.01</v>
      </c>
      <c r="Z109" s="405">
        <f t="shared" si="236"/>
        <v>0.239778252</v>
      </c>
      <c r="AA109" s="405"/>
      <c r="AB109" s="405">
        <f t="shared" si="237"/>
        <v>0</v>
      </c>
      <c r="AC109" s="405"/>
      <c r="AD109" s="405">
        <f t="shared" si="238"/>
        <v>0</v>
      </c>
      <c r="AE109" s="405"/>
      <c r="AF109" s="405">
        <f t="shared" si="239"/>
        <v>0</v>
      </c>
      <c r="AG109" s="405">
        <f t="shared" si="240"/>
        <v>0</v>
      </c>
      <c r="AH109" s="405">
        <f t="shared" si="241"/>
        <v>0</v>
      </c>
      <c r="AI109" s="405">
        <f t="shared" si="242"/>
        <v>0.01</v>
      </c>
      <c r="AJ109" s="405">
        <f t="shared" si="243"/>
        <v>0.239778252</v>
      </c>
      <c r="AK109" s="405"/>
      <c r="AL109" s="405">
        <f t="shared" si="244"/>
        <v>0</v>
      </c>
      <c r="AM109" s="405"/>
      <c r="AN109" s="405">
        <f t="shared" si="245"/>
        <v>0</v>
      </c>
      <c r="AO109" s="405"/>
      <c r="AP109" s="405">
        <f t="shared" si="246"/>
        <v>0</v>
      </c>
      <c r="AQ109" s="405">
        <f t="shared" si="247"/>
        <v>0</v>
      </c>
      <c r="AR109" s="405">
        <f t="shared" si="248"/>
        <v>0</v>
      </c>
      <c r="AS109" s="405"/>
      <c r="AT109" s="405">
        <f t="shared" si="249"/>
        <v>0</v>
      </c>
      <c r="AU109" s="405"/>
      <c r="AV109" s="405">
        <f t="shared" si="250"/>
        <v>0</v>
      </c>
      <c r="AW109" s="405"/>
      <c r="AX109" s="405">
        <f t="shared" si="251"/>
        <v>0</v>
      </c>
      <c r="AY109" s="405">
        <f t="shared" si="252"/>
        <v>0</v>
      </c>
      <c r="AZ109" s="405">
        <f t="shared" si="253"/>
        <v>0</v>
      </c>
      <c r="BA109" s="405">
        <f t="shared" si="254"/>
        <v>0</v>
      </c>
      <c r="BB109" s="405">
        <f t="shared" si="255"/>
        <v>0</v>
      </c>
      <c r="BC109" s="1" t="s">
        <v>1715</v>
      </c>
    </row>
    <row r="110" spans="1:55">
      <c r="A110" s="492">
        <v>66</v>
      </c>
      <c r="B110" s="26"/>
      <c r="C110" s="26"/>
      <c r="D110" s="27"/>
      <c r="E110" s="324" t="s">
        <v>330</v>
      </c>
      <c r="F110" s="28"/>
      <c r="G110" s="28"/>
      <c r="H110" s="269"/>
      <c r="I110" s="138"/>
      <c r="J110" s="98"/>
      <c r="K110" s="29"/>
      <c r="L110" s="159"/>
      <c r="M110" s="29"/>
      <c r="N110" s="159"/>
      <c r="O110" s="138"/>
      <c r="P110" s="98"/>
      <c r="Q110" s="120">
        <f t="shared" ref="Q110:BB110" si="282">SUM(Q71:Q109)</f>
        <v>283.92499999999995</v>
      </c>
      <c r="R110" s="120">
        <f t="shared" si="282"/>
        <v>1595.3149641159998</v>
      </c>
      <c r="S110" s="120">
        <f t="shared" si="282"/>
        <v>98.885000000000005</v>
      </c>
      <c r="T110" s="120">
        <f t="shared" si="282"/>
        <v>540.07557163950003</v>
      </c>
      <c r="U110" s="120">
        <f t="shared" si="282"/>
        <v>70.260000000000005</v>
      </c>
      <c r="V110" s="120">
        <f t="shared" si="282"/>
        <v>385.33332640319998</v>
      </c>
      <c r="W110" s="120">
        <f t="shared" si="282"/>
        <v>93.472999999999999</v>
      </c>
      <c r="X110" s="120">
        <f t="shared" si="282"/>
        <v>537.69258911249995</v>
      </c>
      <c r="Y110" s="120">
        <f t="shared" si="282"/>
        <v>262.61799999999994</v>
      </c>
      <c r="Z110" s="120">
        <f t="shared" si="282"/>
        <v>1463.1014871551997</v>
      </c>
      <c r="AA110" s="120">
        <f t="shared" si="282"/>
        <v>21.306999999999999</v>
      </c>
      <c r="AB110" s="120">
        <f t="shared" si="282"/>
        <v>132.21347696080002</v>
      </c>
      <c r="AC110" s="120">
        <f t="shared" si="282"/>
        <v>0</v>
      </c>
      <c r="AD110" s="120">
        <f t="shared" si="282"/>
        <v>0</v>
      </c>
      <c r="AE110" s="120">
        <f t="shared" si="282"/>
        <v>0</v>
      </c>
      <c r="AF110" s="129">
        <f t="shared" si="282"/>
        <v>0</v>
      </c>
      <c r="AG110" s="120">
        <f t="shared" si="282"/>
        <v>21.306999999999999</v>
      </c>
      <c r="AH110" s="120">
        <f t="shared" si="282"/>
        <v>132.21347696080002</v>
      </c>
      <c r="AI110" s="120">
        <f t="shared" si="282"/>
        <v>283.92499999999995</v>
      </c>
      <c r="AJ110" s="120">
        <f t="shared" si="282"/>
        <v>1595.3149641159998</v>
      </c>
      <c r="AK110" s="120">
        <f t="shared" si="282"/>
        <v>0</v>
      </c>
      <c r="AL110" s="120">
        <f t="shared" si="282"/>
        <v>0</v>
      </c>
      <c r="AM110" s="120">
        <f t="shared" si="282"/>
        <v>0</v>
      </c>
      <c r="AN110" s="120">
        <f t="shared" si="282"/>
        <v>0</v>
      </c>
      <c r="AO110" s="120">
        <f t="shared" si="282"/>
        <v>0</v>
      </c>
      <c r="AP110" s="120">
        <f t="shared" si="282"/>
        <v>0</v>
      </c>
      <c r="AQ110" s="120">
        <f t="shared" si="282"/>
        <v>0</v>
      </c>
      <c r="AR110" s="120">
        <f t="shared" si="282"/>
        <v>0</v>
      </c>
      <c r="AS110" s="120">
        <f t="shared" si="282"/>
        <v>0</v>
      </c>
      <c r="AT110" s="120">
        <f t="shared" si="282"/>
        <v>0</v>
      </c>
      <c r="AU110" s="120">
        <f t="shared" si="282"/>
        <v>0</v>
      </c>
      <c r="AV110" s="120">
        <f t="shared" si="282"/>
        <v>0</v>
      </c>
      <c r="AW110" s="120">
        <f t="shared" si="282"/>
        <v>0</v>
      </c>
      <c r="AX110" s="120">
        <f t="shared" si="282"/>
        <v>0</v>
      </c>
      <c r="AY110" s="120">
        <f t="shared" si="282"/>
        <v>0</v>
      </c>
      <c r="AZ110" s="120">
        <f t="shared" si="282"/>
        <v>0</v>
      </c>
      <c r="BA110" s="120">
        <f t="shared" si="282"/>
        <v>0</v>
      </c>
      <c r="BB110" s="120">
        <f t="shared" si="282"/>
        <v>0</v>
      </c>
      <c r="BC110" s="1" t="s">
        <v>1716</v>
      </c>
    </row>
    <row r="111" spans="1:55" hidden="1">
      <c r="A111" s="492">
        <v>67</v>
      </c>
      <c r="B111" s="13"/>
      <c r="C111" s="13"/>
      <c r="D111" s="15" t="s">
        <v>127</v>
      </c>
      <c r="E111" s="31" t="s">
        <v>14</v>
      </c>
      <c r="F111" s="310" t="s">
        <v>128</v>
      </c>
      <c r="G111" s="310"/>
      <c r="H111" s="271" t="s">
        <v>358</v>
      </c>
      <c r="I111" s="43"/>
      <c r="J111" s="161"/>
      <c r="K111" s="43"/>
      <c r="L111" s="161"/>
      <c r="M111" s="43"/>
      <c r="N111" s="161"/>
      <c r="O111" s="43"/>
      <c r="P111" s="161"/>
      <c r="Q111" s="121">
        <f t="shared" ref="Q111:R114" si="283">SUM(AI111+BA111)</f>
        <v>0</v>
      </c>
      <c r="R111" s="341">
        <f t="shared" si="283"/>
        <v>0</v>
      </c>
      <c r="S111" s="121"/>
      <c r="T111" s="121">
        <f>I111*S111*$T$2/1000</f>
        <v>0</v>
      </c>
      <c r="U111" s="121"/>
      <c r="V111" s="121">
        <f>I111*U111*$V$2/1000</f>
        <v>0</v>
      </c>
      <c r="W111" s="121"/>
      <c r="X111" s="121">
        <f>I111*W111*$X$2/1000</f>
        <v>0</v>
      </c>
      <c r="Y111" s="121">
        <f t="shared" ref="Y111:Z114" si="284">SUM(S111+U111+W111)</f>
        <v>0</v>
      </c>
      <c r="Z111" s="121">
        <f t="shared" si="284"/>
        <v>0</v>
      </c>
      <c r="AA111" s="121"/>
      <c r="AB111" s="121">
        <f>K111*AA111*$AB$2/1000</f>
        <v>0</v>
      </c>
      <c r="AC111" s="121"/>
      <c r="AD111" s="121">
        <f>K111*AC111*$AD$2/1000</f>
        <v>0</v>
      </c>
      <c r="AE111" s="121"/>
      <c r="AF111" s="124">
        <f>K111*AE111*$AF$2/1000</f>
        <v>0</v>
      </c>
      <c r="AG111" s="121">
        <f t="shared" ref="AG111:AH114" si="285">SUM(AA111+AC111+AE111)</f>
        <v>0</v>
      </c>
      <c r="AH111" s="121">
        <f t="shared" si="285"/>
        <v>0</v>
      </c>
      <c r="AI111" s="121">
        <f>SUM(Y111+AG111)</f>
        <v>0</v>
      </c>
      <c r="AJ111" s="121">
        <f>SUM(Z111,AH111)</f>
        <v>0</v>
      </c>
      <c r="AK111" s="121"/>
      <c r="AL111" s="121">
        <f>M111*AK111*$AL$2/1000</f>
        <v>0</v>
      </c>
      <c r="AM111" s="121"/>
      <c r="AN111" s="121">
        <f>M111*AM111*$AN$2/1000</f>
        <v>0</v>
      </c>
      <c r="AO111" s="121"/>
      <c r="AP111" s="121">
        <f>M111*AO111*$AP$2/1000</f>
        <v>0</v>
      </c>
      <c r="AQ111" s="121">
        <f t="shared" ref="AQ111:AR114" si="286">SUM(AK111+AM111+AO111)</f>
        <v>0</v>
      </c>
      <c r="AR111" s="121">
        <f t="shared" si="286"/>
        <v>0</v>
      </c>
      <c r="AS111" s="121"/>
      <c r="AT111" s="121">
        <f>O111*AS111*$AT$2/1000</f>
        <v>0</v>
      </c>
      <c r="AU111" s="121"/>
      <c r="AV111" s="121">
        <f>O111*AU111*$AV$2/1000</f>
        <v>0</v>
      </c>
      <c r="AW111" s="121"/>
      <c r="AX111" s="121">
        <f>O111*AW111*$AX$2/1000</f>
        <v>0</v>
      </c>
      <c r="AY111" s="121">
        <f t="shared" ref="AY111:AZ114" si="287">SUM(AS111+AU111+AW111)</f>
        <v>0</v>
      </c>
      <c r="AZ111" s="121">
        <f t="shared" si="287"/>
        <v>0</v>
      </c>
      <c r="BA111" s="121">
        <f>SUM(AQ111+AY111)</f>
        <v>0</v>
      </c>
      <c r="BB111" s="121">
        <f>SUM(AR111,AZ111)</f>
        <v>0</v>
      </c>
      <c r="BC111" s="1" t="s">
        <v>1718</v>
      </c>
    </row>
    <row r="112" spans="1:55" hidden="1">
      <c r="A112" s="492">
        <v>68</v>
      </c>
      <c r="B112" s="13"/>
      <c r="C112" s="23"/>
      <c r="D112" s="15"/>
      <c r="E112" s="21" t="s">
        <v>687</v>
      </c>
      <c r="F112" s="45" t="s">
        <v>688</v>
      </c>
      <c r="G112" s="45"/>
      <c r="H112" s="265" t="s">
        <v>358</v>
      </c>
      <c r="I112" s="18"/>
      <c r="J112" s="157"/>
      <c r="K112" s="18"/>
      <c r="L112" s="157"/>
      <c r="M112" s="18"/>
      <c r="N112" s="157"/>
      <c r="O112" s="18"/>
      <c r="P112" s="157"/>
      <c r="Q112" s="96">
        <f t="shared" si="283"/>
        <v>0</v>
      </c>
      <c r="R112" s="337">
        <f t="shared" si="283"/>
        <v>0</v>
      </c>
      <c r="S112" s="96"/>
      <c r="T112" s="96">
        <f>I112*S112*$T$2/1000</f>
        <v>0</v>
      </c>
      <c r="U112" s="96"/>
      <c r="V112" s="96">
        <f>I112*U112*$V$2/1000</f>
        <v>0</v>
      </c>
      <c r="W112" s="96"/>
      <c r="X112" s="96">
        <f>I112*W112*$X$2/1000</f>
        <v>0</v>
      </c>
      <c r="Y112" s="96">
        <f t="shared" si="284"/>
        <v>0</v>
      </c>
      <c r="Z112" s="96">
        <f t="shared" si="284"/>
        <v>0</v>
      </c>
      <c r="AA112" s="96"/>
      <c r="AB112" s="96">
        <f>K112*AA112*$AB$2/1000</f>
        <v>0</v>
      </c>
      <c r="AC112" s="96"/>
      <c r="AD112" s="96">
        <f>K112*AC112*$AD$2/1000</f>
        <v>0</v>
      </c>
      <c r="AE112" s="96"/>
      <c r="AF112" s="95">
        <f>K112*AE112*$AF$2/1000</f>
        <v>0</v>
      </c>
      <c r="AG112" s="96">
        <f t="shared" si="285"/>
        <v>0</v>
      </c>
      <c r="AH112" s="96">
        <f t="shared" si="285"/>
        <v>0</v>
      </c>
      <c r="AI112" s="96">
        <f>SUM(Y112+AG112)</f>
        <v>0</v>
      </c>
      <c r="AJ112" s="96">
        <f>SUM(Z112,AH112)</f>
        <v>0</v>
      </c>
      <c r="AK112" s="96"/>
      <c r="AL112" s="96">
        <f>M112*AK112*$AL$2/1000</f>
        <v>0</v>
      </c>
      <c r="AM112" s="96"/>
      <c r="AN112" s="96">
        <f>M112*AM112*$AN$2/1000</f>
        <v>0</v>
      </c>
      <c r="AO112" s="96"/>
      <c r="AP112" s="96">
        <f>M112*AO112*$AP$2/1000</f>
        <v>0</v>
      </c>
      <c r="AQ112" s="96">
        <f t="shared" si="286"/>
        <v>0</v>
      </c>
      <c r="AR112" s="96">
        <f t="shared" si="286"/>
        <v>0</v>
      </c>
      <c r="AS112" s="96"/>
      <c r="AT112" s="96">
        <f>O112*AS112*$AT$2/1000</f>
        <v>0</v>
      </c>
      <c r="AU112" s="96"/>
      <c r="AV112" s="96">
        <f>O112*AU112*$AV$2/1000</f>
        <v>0</v>
      </c>
      <c r="AW112" s="96"/>
      <c r="AX112" s="96">
        <f>O112*AW112*$AX$2/1000</f>
        <v>0</v>
      </c>
      <c r="AY112" s="96">
        <f t="shared" si="287"/>
        <v>0</v>
      </c>
      <c r="AZ112" s="96">
        <f t="shared" si="287"/>
        <v>0</v>
      </c>
      <c r="BA112" s="96">
        <f>SUM(AQ112+AY112)</f>
        <v>0</v>
      </c>
      <c r="BB112" s="96">
        <f>SUM(AR112,AZ112)</f>
        <v>0</v>
      </c>
      <c r="BC112" s="1" t="s">
        <v>1718</v>
      </c>
    </row>
    <row r="113" spans="1:55" hidden="1">
      <c r="A113" s="492">
        <v>69</v>
      </c>
      <c r="B113" s="13"/>
      <c r="C113" s="23"/>
      <c r="D113" s="15"/>
      <c r="E113" s="21" t="s">
        <v>129</v>
      </c>
      <c r="F113" s="45" t="s">
        <v>130</v>
      </c>
      <c r="G113" s="45"/>
      <c r="H113" s="265" t="s">
        <v>358</v>
      </c>
      <c r="I113" s="18"/>
      <c r="J113" s="157"/>
      <c r="K113" s="18"/>
      <c r="L113" s="157"/>
      <c r="M113" s="18"/>
      <c r="N113" s="157"/>
      <c r="O113" s="18"/>
      <c r="P113" s="157"/>
      <c r="Q113" s="96">
        <f t="shared" si="283"/>
        <v>0</v>
      </c>
      <c r="R113" s="337">
        <f t="shared" si="283"/>
        <v>0</v>
      </c>
      <c r="S113" s="96"/>
      <c r="T113" s="96">
        <f>I113*S113*$T$2/1000</f>
        <v>0</v>
      </c>
      <c r="U113" s="96"/>
      <c r="V113" s="96">
        <f>I113*U113*$V$2/1000</f>
        <v>0</v>
      </c>
      <c r="W113" s="96"/>
      <c r="X113" s="96">
        <f>I113*W113*$X$2/1000</f>
        <v>0</v>
      </c>
      <c r="Y113" s="96">
        <f t="shared" si="284"/>
        <v>0</v>
      </c>
      <c r="Z113" s="96">
        <f t="shared" si="284"/>
        <v>0</v>
      </c>
      <c r="AA113" s="96"/>
      <c r="AB113" s="96">
        <f>K113*AA113*$AB$2/1000</f>
        <v>0</v>
      </c>
      <c r="AC113" s="96"/>
      <c r="AD113" s="96">
        <f>K113*AC113*$AD$2/1000</f>
        <v>0</v>
      </c>
      <c r="AE113" s="96"/>
      <c r="AF113" s="95">
        <f>K113*AE113*$AF$2/1000</f>
        <v>0</v>
      </c>
      <c r="AG113" s="96">
        <f t="shared" si="285"/>
        <v>0</v>
      </c>
      <c r="AH113" s="96">
        <f t="shared" si="285"/>
        <v>0</v>
      </c>
      <c r="AI113" s="96">
        <f>SUM(Y113+AG113)</f>
        <v>0</v>
      </c>
      <c r="AJ113" s="96">
        <f>SUM(Z113,AH113)</f>
        <v>0</v>
      </c>
      <c r="AK113" s="96"/>
      <c r="AL113" s="96">
        <f>M113*AK113*$AL$2/1000</f>
        <v>0</v>
      </c>
      <c r="AM113" s="96"/>
      <c r="AN113" s="96">
        <f>M113*AM113*$AN$2/1000</f>
        <v>0</v>
      </c>
      <c r="AO113" s="96"/>
      <c r="AP113" s="96">
        <f>M113*AO113*$AP$2/1000</f>
        <v>0</v>
      </c>
      <c r="AQ113" s="96">
        <f t="shared" si="286"/>
        <v>0</v>
      </c>
      <c r="AR113" s="96">
        <f t="shared" si="286"/>
        <v>0</v>
      </c>
      <c r="AS113" s="96"/>
      <c r="AT113" s="96">
        <f>O113*AS113*$AT$2/1000</f>
        <v>0</v>
      </c>
      <c r="AU113" s="96"/>
      <c r="AV113" s="96">
        <f>O113*AU113*$AV$2/1000</f>
        <v>0</v>
      </c>
      <c r="AW113" s="96"/>
      <c r="AX113" s="96">
        <f>O113*AW113*$AX$2/1000</f>
        <v>0</v>
      </c>
      <c r="AY113" s="96">
        <f t="shared" si="287"/>
        <v>0</v>
      </c>
      <c r="AZ113" s="96">
        <f t="shared" si="287"/>
        <v>0</v>
      </c>
      <c r="BA113" s="96">
        <f>SUM(AQ113+AY113)</f>
        <v>0</v>
      </c>
      <c r="BB113" s="96">
        <f>SUM(AR113,AZ113)</f>
        <v>0</v>
      </c>
      <c r="BC113" s="1" t="s">
        <v>1718</v>
      </c>
    </row>
    <row r="114" spans="1:55" hidden="1">
      <c r="A114" s="492">
        <v>70</v>
      </c>
      <c r="B114" s="13"/>
      <c r="C114" s="23"/>
      <c r="D114" s="15"/>
      <c r="E114" s="24" t="s">
        <v>667</v>
      </c>
      <c r="F114" s="366" t="s">
        <v>668</v>
      </c>
      <c r="G114" s="366"/>
      <c r="H114" s="282" t="s">
        <v>358</v>
      </c>
      <c r="I114" s="306"/>
      <c r="J114" s="307"/>
      <c r="K114" s="306"/>
      <c r="L114" s="307"/>
      <c r="M114" s="306"/>
      <c r="N114" s="307"/>
      <c r="O114" s="306"/>
      <c r="P114" s="307"/>
      <c r="Q114" s="133">
        <f t="shared" si="283"/>
        <v>0</v>
      </c>
      <c r="R114" s="342">
        <f t="shared" si="283"/>
        <v>0</v>
      </c>
      <c r="S114" s="133"/>
      <c r="T114" s="133">
        <f>I114*S114*$T$2/1000</f>
        <v>0</v>
      </c>
      <c r="U114" s="133"/>
      <c r="V114" s="133">
        <f>I114*U114*$V$2/1000</f>
        <v>0</v>
      </c>
      <c r="W114" s="133"/>
      <c r="X114" s="133">
        <f>I114*W114*$X$2/1000</f>
        <v>0</v>
      </c>
      <c r="Y114" s="133">
        <f t="shared" si="284"/>
        <v>0</v>
      </c>
      <c r="Z114" s="133">
        <f t="shared" si="284"/>
        <v>0</v>
      </c>
      <c r="AA114" s="133"/>
      <c r="AB114" s="133">
        <f>K114*AA114*$AB$2/1000</f>
        <v>0</v>
      </c>
      <c r="AC114" s="133"/>
      <c r="AD114" s="133">
        <f>K114*AC114*$AD$2/1000</f>
        <v>0</v>
      </c>
      <c r="AE114" s="133"/>
      <c r="AF114" s="405">
        <f>K114*AE114*$AF$2/1000</f>
        <v>0</v>
      </c>
      <c r="AG114" s="133">
        <f t="shared" si="285"/>
        <v>0</v>
      </c>
      <c r="AH114" s="133">
        <f t="shared" si="285"/>
        <v>0</v>
      </c>
      <c r="AI114" s="133">
        <f>SUM(Y114+AG114)</f>
        <v>0</v>
      </c>
      <c r="AJ114" s="133">
        <f>SUM(Z114,AH114)</f>
        <v>0</v>
      </c>
      <c r="AK114" s="133"/>
      <c r="AL114" s="133">
        <f>M114*AK114*$AL$2/1000</f>
        <v>0</v>
      </c>
      <c r="AM114" s="133"/>
      <c r="AN114" s="133">
        <f>M114*AM114*$AN$2/1000</f>
        <v>0</v>
      </c>
      <c r="AO114" s="133"/>
      <c r="AP114" s="133">
        <f>M114*AO114*$AP$2/1000</f>
        <v>0</v>
      </c>
      <c r="AQ114" s="133">
        <f t="shared" si="286"/>
        <v>0</v>
      </c>
      <c r="AR114" s="133">
        <f t="shared" si="286"/>
        <v>0</v>
      </c>
      <c r="AS114" s="133"/>
      <c r="AT114" s="133">
        <f>O114*AS114*$AT$2/1000</f>
        <v>0</v>
      </c>
      <c r="AU114" s="133"/>
      <c r="AV114" s="133">
        <f>O114*AU114*$AV$2/1000</f>
        <v>0</v>
      </c>
      <c r="AW114" s="133"/>
      <c r="AX114" s="133">
        <f>O114*AW114*$AX$2/1000</f>
        <v>0</v>
      </c>
      <c r="AY114" s="133">
        <f t="shared" si="287"/>
        <v>0</v>
      </c>
      <c r="AZ114" s="133">
        <f t="shared" si="287"/>
        <v>0</v>
      </c>
      <c r="BA114" s="133">
        <f>SUM(AQ114+AY114)</f>
        <v>0</v>
      </c>
      <c r="BB114" s="133">
        <f>SUM(AR114,AZ114)</f>
        <v>0</v>
      </c>
      <c r="BC114" s="1" t="s">
        <v>1718</v>
      </c>
    </row>
    <row r="115" spans="1:55" hidden="1">
      <c r="A115" s="492">
        <v>71</v>
      </c>
      <c r="B115" s="26"/>
      <c r="C115" s="41"/>
      <c r="D115" s="27"/>
      <c r="E115" s="324" t="s">
        <v>330</v>
      </c>
      <c r="F115" s="42"/>
      <c r="G115" s="51"/>
      <c r="H115" s="268"/>
      <c r="I115" s="139"/>
      <c r="J115" s="99"/>
      <c r="K115" s="30"/>
      <c r="L115" s="160"/>
      <c r="M115" s="30"/>
      <c r="N115" s="160"/>
      <c r="O115" s="139"/>
      <c r="P115" s="99"/>
      <c r="Q115" s="123">
        <f t="shared" ref="Q115:BB115" si="288">SUM(Q111:Q114)</f>
        <v>0</v>
      </c>
      <c r="R115" s="123">
        <f t="shared" si="288"/>
        <v>0</v>
      </c>
      <c r="S115" s="123">
        <f t="shared" si="288"/>
        <v>0</v>
      </c>
      <c r="T115" s="123">
        <f t="shared" si="288"/>
        <v>0</v>
      </c>
      <c r="U115" s="123">
        <f t="shared" si="288"/>
        <v>0</v>
      </c>
      <c r="V115" s="123">
        <f t="shared" si="288"/>
        <v>0</v>
      </c>
      <c r="W115" s="123">
        <f t="shared" si="288"/>
        <v>0</v>
      </c>
      <c r="X115" s="123">
        <f t="shared" si="288"/>
        <v>0</v>
      </c>
      <c r="Y115" s="123">
        <f t="shared" si="288"/>
        <v>0</v>
      </c>
      <c r="Z115" s="123">
        <f t="shared" si="288"/>
        <v>0</v>
      </c>
      <c r="AA115" s="123">
        <f t="shared" si="288"/>
        <v>0</v>
      </c>
      <c r="AB115" s="123">
        <f t="shared" si="288"/>
        <v>0</v>
      </c>
      <c r="AC115" s="123">
        <f t="shared" si="288"/>
        <v>0</v>
      </c>
      <c r="AD115" s="123">
        <f t="shared" si="288"/>
        <v>0</v>
      </c>
      <c r="AE115" s="123">
        <f t="shared" si="288"/>
        <v>0</v>
      </c>
      <c r="AF115" s="123">
        <f t="shared" si="288"/>
        <v>0</v>
      </c>
      <c r="AG115" s="123">
        <f t="shared" si="288"/>
        <v>0</v>
      </c>
      <c r="AH115" s="123">
        <f t="shared" si="288"/>
        <v>0</v>
      </c>
      <c r="AI115" s="123">
        <f t="shared" si="288"/>
        <v>0</v>
      </c>
      <c r="AJ115" s="123">
        <f t="shared" si="288"/>
        <v>0</v>
      </c>
      <c r="AK115" s="123">
        <f t="shared" si="288"/>
        <v>0</v>
      </c>
      <c r="AL115" s="123">
        <f t="shared" si="288"/>
        <v>0</v>
      </c>
      <c r="AM115" s="123">
        <f t="shared" si="288"/>
        <v>0</v>
      </c>
      <c r="AN115" s="123">
        <f t="shared" si="288"/>
        <v>0</v>
      </c>
      <c r="AO115" s="123">
        <f t="shared" si="288"/>
        <v>0</v>
      </c>
      <c r="AP115" s="123">
        <f t="shared" si="288"/>
        <v>0</v>
      </c>
      <c r="AQ115" s="123">
        <f t="shared" si="288"/>
        <v>0</v>
      </c>
      <c r="AR115" s="123">
        <f t="shared" si="288"/>
        <v>0</v>
      </c>
      <c r="AS115" s="123">
        <f t="shared" si="288"/>
        <v>0</v>
      </c>
      <c r="AT115" s="123">
        <f t="shared" si="288"/>
        <v>0</v>
      </c>
      <c r="AU115" s="123">
        <f t="shared" si="288"/>
        <v>0</v>
      </c>
      <c r="AV115" s="123">
        <f t="shared" si="288"/>
        <v>0</v>
      </c>
      <c r="AW115" s="123">
        <f t="shared" si="288"/>
        <v>0</v>
      </c>
      <c r="AX115" s="123">
        <f t="shared" si="288"/>
        <v>0</v>
      </c>
      <c r="AY115" s="123">
        <f t="shared" si="288"/>
        <v>0</v>
      </c>
      <c r="AZ115" s="123">
        <f t="shared" si="288"/>
        <v>0</v>
      </c>
      <c r="BA115" s="123">
        <f t="shared" si="288"/>
        <v>0</v>
      </c>
      <c r="BB115" s="123">
        <f t="shared" si="288"/>
        <v>0</v>
      </c>
      <c r="BC115" s="1" t="s">
        <v>1719</v>
      </c>
    </row>
    <row r="116" spans="1:55" hidden="1">
      <c r="A116" s="492">
        <v>72</v>
      </c>
      <c r="B116" s="13"/>
      <c r="C116" s="13"/>
      <c r="D116" s="15" t="s">
        <v>95</v>
      </c>
      <c r="E116" s="31" t="s">
        <v>699</v>
      </c>
      <c r="F116" s="310" t="s">
        <v>17</v>
      </c>
      <c r="G116" s="310"/>
      <c r="H116" s="271" t="s">
        <v>357</v>
      </c>
      <c r="I116" s="43"/>
      <c r="J116" s="161"/>
      <c r="K116" s="43"/>
      <c r="L116" s="161"/>
      <c r="M116" s="43"/>
      <c r="N116" s="161"/>
      <c r="O116" s="43"/>
      <c r="P116" s="161"/>
      <c r="Q116" s="121">
        <f t="shared" ref="Q116:Q142" si="289">SUM(AI116+BA116)</f>
        <v>0</v>
      </c>
      <c r="R116" s="341">
        <f t="shared" ref="R116:R142" si="290">SUM(AJ116+BB116)</f>
        <v>0</v>
      </c>
      <c r="S116" s="121"/>
      <c r="T116" s="121">
        <f t="shared" ref="T116:T142" si="291">I116*S116*$T$2/1000</f>
        <v>0</v>
      </c>
      <c r="U116" s="121"/>
      <c r="V116" s="121">
        <f t="shared" ref="V116:V142" si="292">I116*U116*$V$2/1000</f>
        <v>0</v>
      </c>
      <c r="W116" s="121"/>
      <c r="X116" s="121">
        <f t="shared" ref="X116:X142" si="293">I116*W116*$X$2/1000</f>
        <v>0</v>
      </c>
      <c r="Y116" s="121">
        <f t="shared" ref="Y116:Y142" si="294">SUM(S116+U116+W116)</f>
        <v>0</v>
      </c>
      <c r="Z116" s="121">
        <f t="shared" ref="Z116:Z142" si="295">SUM(T116+V116+X116)</f>
        <v>0</v>
      </c>
      <c r="AA116" s="121"/>
      <c r="AB116" s="121">
        <f t="shared" ref="AB116:AB142" si="296">K116*AA116*$AB$2/1000</f>
        <v>0</v>
      </c>
      <c r="AC116" s="121"/>
      <c r="AD116" s="121">
        <f t="shared" ref="AD116:AD142" si="297">K116*AC116*$AD$2/1000</f>
        <v>0</v>
      </c>
      <c r="AE116" s="121"/>
      <c r="AF116" s="124">
        <f t="shared" ref="AF116:AF142" si="298">K116*AE116*$AF$2/1000</f>
        <v>0</v>
      </c>
      <c r="AG116" s="121">
        <f t="shared" ref="AG116:AG142" si="299">SUM(AA116+AC116+AE116)</f>
        <v>0</v>
      </c>
      <c r="AH116" s="121">
        <f t="shared" ref="AH116:AH142" si="300">SUM(AB116+AD116+AF116)</f>
        <v>0</v>
      </c>
      <c r="AI116" s="121">
        <f t="shared" ref="AI116:AI142" si="301">SUM(Y116+AG116)</f>
        <v>0</v>
      </c>
      <c r="AJ116" s="121">
        <f t="shared" ref="AJ116:AJ142" si="302">SUM(Z116,AH116)</f>
        <v>0</v>
      </c>
      <c r="AK116" s="121"/>
      <c r="AL116" s="121">
        <f t="shared" ref="AL116:AL142" si="303">M116*AK116*$AL$2/1000</f>
        <v>0</v>
      </c>
      <c r="AM116" s="121"/>
      <c r="AN116" s="121">
        <f t="shared" ref="AN116:AN142" si="304">M116*AM116*$AN$2/1000</f>
        <v>0</v>
      </c>
      <c r="AO116" s="121"/>
      <c r="AP116" s="121">
        <f t="shared" ref="AP116:AP142" si="305">M116*AO116*$AP$2/1000</f>
        <v>0</v>
      </c>
      <c r="AQ116" s="121">
        <f t="shared" ref="AQ116:AQ142" si="306">SUM(AK116+AM116+AO116)</f>
        <v>0</v>
      </c>
      <c r="AR116" s="121">
        <f t="shared" ref="AR116:AR142" si="307">SUM(AL116+AN116+AP116)</f>
        <v>0</v>
      </c>
      <c r="AS116" s="121"/>
      <c r="AT116" s="121">
        <f t="shared" ref="AT116:AT142" si="308">O116*AS116*$AT$2/1000</f>
        <v>0</v>
      </c>
      <c r="AU116" s="121"/>
      <c r="AV116" s="121">
        <f t="shared" ref="AV116:AV142" si="309">O116*AU116*$AV$2/1000</f>
        <v>0</v>
      </c>
      <c r="AW116" s="121"/>
      <c r="AX116" s="121">
        <f t="shared" ref="AX116:AX142" si="310">O116*AW116*$AX$2/1000</f>
        <v>0</v>
      </c>
      <c r="AY116" s="121">
        <f t="shared" ref="AY116:AY142" si="311">SUM(AS116+AU116+AW116)</f>
        <v>0</v>
      </c>
      <c r="AZ116" s="121">
        <f t="shared" ref="AZ116:AZ142" si="312">SUM(AT116+AV116+AX116)</f>
        <v>0</v>
      </c>
      <c r="BA116" s="121">
        <f t="shared" ref="BA116:BA142" si="313">SUM(AQ116+AY116)</f>
        <v>0</v>
      </c>
      <c r="BB116" s="121">
        <f t="shared" ref="BB116:BB142" si="314">SUM(AR116,AZ116)</f>
        <v>0</v>
      </c>
      <c r="BC116" s="1" t="s">
        <v>1718</v>
      </c>
    </row>
    <row r="117" spans="1:55" hidden="1">
      <c r="A117" s="492">
        <v>73</v>
      </c>
      <c r="B117" s="13"/>
      <c r="C117" s="13"/>
      <c r="D117" s="15"/>
      <c r="E117" s="89" t="s">
        <v>768</v>
      </c>
      <c r="F117" s="424" t="s">
        <v>700</v>
      </c>
      <c r="G117" s="424"/>
      <c r="H117" s="284" t="s">
        <v>357</v>
      </c>
      <c r="I117" s="426"/>
      <c r="J117" s="427"/>
      <c r="K117" s="426"/>
      <c r="L117" s="427"/>
      <c r="M117" s="426"/>
      <c r="N117" s="427"/>
      <c r="O117" s="426"/>
      <c r="P117" s="427"/>
      <c r="Q117" s="130">
        <f t="shared" si="289"/>
        <v>0</v>
      </c>
      <c r="R117" s="347">
        <f t="shared" si="290"/>
        <v>0</v>
      </c>
      <c r="S117" s="130"/>
      <c r="T117" s="130">
        <f t="shared" si="291"/>
        <v>0</v>
      </c>
      <c r="U117" s="130"/>
      <c r="V117" s="130">
        <f t="shared" si="292"/>
        <v>0</v>
      </c>
      <c r="W117" s="130"/>
      <c r="X117" s="130">
        <f t="shared" si="293"/>
        <v>0</v>
      </c>
      <c r="Y117" s="130">
        <f t="shared" si="294"/>
        <v>0</v>
      </c>
      <c r="Z117" s="130">
        <f t="shared" si="295"/>
        <v>0</v>
      </c>
      <c r="AA117" s="130"/>
      <c r="AB117" s="130">
        <f t="shared" si="296"/>
        <v>0</v>
      </c>
      <c r="AC117" s="130"/>
      <c r="AD117" s="130">
        <f t="shared" si="297"/>
        <v>0</v>
      </c>
      <c r="AE117" s="130"/>
      <c r="AF117" s="428">
        <f t="shared" si="298"/>
        <v>0</v>
      </c>
      <c r="AG117" s="130">
        <f t="shared" si="299"/>
        <v>0</v>
      </c>
      <c r="AH117" s="130">
        <f t="shared" si="300"/>
        <v>0</v>
      </c>
      <c r="AI117" s="130">
        <f t="shared" si="301"/>
        <v>0</v>
      </c>
      <c r="AJ117" s="130">
        <f t="shared" si="302"/>
        <v>0</v>
      </c>
      <c r="AK117" s="130"/>
      <c r="AL117" s="130">
        <f t="shared" si="303"/>
        <v>0</v>
      </c>
      <c r="AM117" s="130"/>
      <c r="AN117" s="130">
        <f t="shared" si="304"/>
        <v>0</v>
      </c>
      <c r="AO117" s="130"/>
      <c r="AP117" s="130">
        <f t="shared" si="305"/>
        <v>0</v>
      </c>
      <c r="AQ117" s="130">
        <f t="shared" si="306"/>
        <v>0</v>
      </c>
      <c r="AR117" s="130">
        <f t="shared" si="307"/>
        <v>0</v>
      </c>
      <c r="AS117" s="130"/>
      <c r="AT117" s="130">
        <f t="shared" si="308"/>
        <v>0</v>
      </c>
      <c r="AU117" s="130"/>
      <c r="AV117" s="130">
        <f t="shared" si="309"/>
        <v>0</v>
      </c>
      <c r="AW117" s="130"/>
      <c r="AX117" s="130">
        <f t="shared" si="310"/>
        <v>0</v>
      </c>
      <c r="AY117" s="130">
        <f t="shared" si="311"/>
        <v>0</v>
      </c>
      <c r="AZ117" s="130">
        <f t="shared" si="312"/>
        <v>0</v>
      </c>
      <c r="BA117" s="130">
        <f t="shared" si="313"/>
        <v>0</v>
      </c>
      <c r="BB117" s="130">
        <f t="shared" si="314"/>
        <v>0</v>
      </c>
      <c r="BC117" s="1" t="s">
        <v>1718</v>
      </c>
    </row>
    <row r="118" spans="1:55" hidden="1">
      <c r="A118" s="492">
        <v>74</v>
      </c>
      <c r="B118" s="13"/>
      <c r="C118" s="13"/>
      <c r="D118" s="15"/>
      <c r="E118" s="21" t="s">
        <v>70</v>
      </c>
      <c r="F118" s="45" t="s">
        <v>96</v>
      </c>
      <c r="G118" s="45"/>
      <c r="H118" s="265" t="s">
        <v>357</v>
      </c>
      <c r="I118" s="18"/>
      <c r="J118" s="157"/>
      <c r="K118" s="18"/>
      <c r="L118" s="157"/>
      <c r="M118" s="18"/>
      <c r="N118" s="157"/>
      <c r="O118" s="18"/>
      <c r="P118" s="157"/>
      <c r="Q118" s="96">
        <f t="shared" si="289"/>
        <v>0</v>
      </c>
      <c r="R118" s="337">
        <f t="shared" si="290"/>
        <v>0</v>
      </c>
      <c r="S118" s="96"/>
      <c r="T118" s="96">
        <f t="shared" si="291"/>
        <v>0</v>
      </c>
      <c r="U118" s="96"/>
      <c r="V118" s="96">
        <f t="shared" si="292"/>
        <v>0</v>
      </c>
      <c r="W118" s="96"/>
      <c r="X118" s="96">
        <f t="shared" si="293"/>
        <v>0</v>
      </c>
      <c r="Y118" s="96">
        <f t="shared" si="294"/>
        <v>0</v>
      </c>
      <c r="Z118" s="96">
        <f t="shared" si="295"/>
        <v>0</v>
      </c>
      <c r="AA118" s="96"/>
      <c r="AB118" s="96">
        <f t="shared" si="296"/>
        <v>0</v>
      </c>
      <c r="AC118" s="96"/>
      <c r="AD118" s="96">
        <f t="shared" si="297"/>
        <v>0</v>
      </c>
      <c r="AE118" s="96"/>
      <c r="AF118" s="95">
        <f t="shared" si="298"/>
        <v>0</v>
      </c>
      <c r="AG118" s="96">
        <f t="shared" si="299"/>
        <v>0</v>
      </c>
      <c r="AH118" s="96">
        <f t="shared" si="300"/>
        <v>0</v>
      </c>
      <c r="AI118" s="96">
        <f t="shared" si="301"/>
        <v>0</v>
      </c>
      <c r="AJ118" s="96">
        <f t="shared" si="302"/>
        <v>0</v>
      </c>
      <c r="AK118" s="96"/>
      <c r="AL118" s="96">
        <f t="shared" si="303"/>
        <v>0</v>
      </c>
      <c r="AM118" s="96"/>
      <c r="AN118" s="96">
        <f t="shared" si="304"/>
        <v>0</v>
      </c>
      <c r="AO118" s="96"/>
      <c r="AP118" s="96">
        <f t="shared" si="305"/>
        <v>0</v>
      </c>
      <c r="AQ118" s="96">
        <f t="shared" si="306"/>
        <v>0</v>
      </c>
      <c r="AR118" s="96">
        <f t="shared" si="307"/>
        <v>0</v>
      </c>
      <c r="AS118" s="96"/>
      <c r="AT118" s="96">
        <f t="shared" si="308"/>
        <v>0</v>
      </c>
      <c r="AU118" s="96"/>
      <c r="AV118" s="96">
        <f t="shared" si="309"/>
        <v>0</v>
      </c>
      <c r="AW118" s="96"/>
      <c r="AX118" s="96">
        <f t="shared" si="310"/>
        <v>0</v>
      </c>
      <c r="AY118" s="96">
        <f t="shared" si="311"/>
        <v>0</v>
      </c>
      <c r="AZ118" s="96">
        <f t="shared" si="312"/>
        <v>0</v>
      </c>
      <c r="BA118" s="96">
        <f t="shared" si="313"/>
        <v>0</v>
      </c>
      <c r="BB118" s="96">
        <f t="shared" si="314"/>
        <v>0</v>
      </c>
      <c r="BC118" s="1" t="s">
        <v>1718</v>
      </c>
    </row>
    <row r="119" spans="1:55" hidden="1">
      <c r="A119" s="492">
        <v>75</v>
      </c>
      <c r="B119" s="13"/>
      <c r="C119" s="13"/>
      <c r="D119" s="15"/>
      <c r="E119" s="21" t="s">
        <v>686</v>
      </c>
      <c r="F119" s="45" t="s">
        <v>97</v>
      </c>
      <c r="G119" s="45"/>
      <c r="H119" s="265" t="s">
        <v>357</v>
      </c>
      <c r="I119" s="18"/>
      <c r="J119" s="157"/>
      <c r="K119" s="18"/>
      <c r="L119" s="157"/>
      <c r="M119" s="18"/>
      <c r="N119" s="157"/>
      <c r="O119" s="18"/>
      <c r="P119" s="157"/>
      <c r="Q119" s="96">
        <f t="shared" si="289"/>
        <v>0</v>
      </c>
      <c r="R119" s="337">
        <f t="shared" si="290"/>
        <v>0</v>
      </c>
      <c r="S119" s="96"/>
      <c r="T119" s="96">
        <f t="shared" si="291"/>
        <v>0</v>
      </c>
      <c r="U119" s="96"/>
      <c r="V119" s="96">
        <f t="shared" si="292"/>
        <v>0</v>
      </c>
      <c r="W119" s="96"/>
      <c r="X119" s="96">
        <f t="shared" si="293"/>
        <v>0</v>
      </c>
      <c r="Y119" s="96">
        <f t="shared" si="294"/>
        <v>0</v>
      </c>
      <c r="Z119" s="96">
        <f t="shared" si="295"/>
        <v>0</v>
      </c>
      <c r="AA119" s="96"/>
      <c r="AB119" s="96">
        <f t="shared" si="296"/>
        <v>0</v>
      </c>
      <c r="AC119" s="96"/>
      <c r="AD119" s="96">
        <f t="shared" si="297"/>
        <v>0</v>
      </c>
      <c r="AE119" s="96"/>
      <c r="AF119" s="95">
        <f t="shared" si="298"/>
        <v>0</v>
      </c>
      <c r="AG119" s="96">
        <f t="shared" si="299"/>
        <v>0</v>
      </c>
      <c r="AH119" s="96">
        <f t="shared" si="300"/>
        <v>0</v>
      </c>
      <c r="AI119" s="96">
        <f t="shared" si="301"/>
        <v>0</v>
      </c>
      <c r="AJ119" s="96">
        <f t="shared" si="302"/>
        <v>0</v>
      </c>
      <c r="AK119" s="96"/>
      <c r="AL119" s="96">
        <f t="shared" si="303"/>
        <v>0</v>
      </c>
      <c r="AM119" s="96"/>
      <c r="AN119" s="96">
        <f t="shared" si="304"/>
        <v>0</v>
      </c>
      <c r="AO119" s="96"/>
      <c r="AP119" s="96">
        <f t="shared" si="305"/>
        <v>0</v>
      </c>
      <c r="AQ119" s="96">
        <f t="shared" si="306"/>
        <v>0</v>
      </c>
      <c r="AR119" s="96">
        <f t="shared" si="307"/>
        <v>0</v>
      </c>
      <c r="AS119" s="96"/>
      <c r="AT119" s="96">
        <f t="shared" si="308"/>
        <v>0</v>
      </c>
      <c r="AU119" s="96"/>
      <c r="AV119" s="96">
        <f t="shared" si="309"/>
        <v>0</v>
      </c>
      <c r="AW119" s="96"/>
      <c r="AX119" s="96">
        <f t="shared" si="310"/>
        <v>0</v>
      </c>
      <c r="AY119" s="96">
        <f t="shared" si="311"/>
        <v>0</v>
      </c>
      <c r="AZ119" s="96">
        <f t="shared" si="312"/>
        <v>0</v>
      </c>
      <c r="BA119" s="96">
        <f t="shared" si="313"/>
        <v>0</v>
      </c>
      <c r="BB119" s="96">
        <f t="shared" si="314"/>
        <v>0</v>
      </c>
      <c r="BC119" s="1" t="s">
        <v>1718</v>
      </c>
    </row>
    <row r="120" spans="1:55" hidden="1">
      <c r="A120" s="492">
        <v>76</v>
      </c>
      <c r="B120" s="13"/>
      <c r="C120" s="13"/>
      <c r="D120" s="15"/>
      <c r="E120" s="21" t="s">
        <v>98</v>
      </c>
      <c r="F120" s="45" t="s">
        <v>20</v>
      </c>
      <c r="G120" s="45"/>
      <c r="H120" s="265" t="s">
        <v>357</v>
      </c>
      <c r="I120" s="18"/>
      <c r="J120" s="157"/>
      <c r="K120" s="18"/>
      <c r="L120" s="157"/>
      <c r="M120" s="18"/>
      <c r="N120" s="157"/>
      <c r="O120" s="18"/>
      <c r="P120" s="157"/>
      <c r="Q120" s="96">
        <f t="shared" si="289"/>
        <v>0</v>
      </c>
      <c r="R120" s="337">
        <f t="shared" si="290"/>
        <v>0</v>
      </c>
      <c r="S120" s="96"/>
      <c r="T120" s="96">
        <f t="shared" si="291"/>
        <v>0</v>
      </c>
      <c r="U120" s="96"/>
      <c r="V120" s="96">
        <f t="shared" si="292"/>
        <v>0</v>
      </c>
      <c r="W120" s="96"/>
      <c r="X120" s="96">
        <f t="shared" si="293"/>
        <v>0</v>
      </c>
      <c r="Y120" s="96">
        <f t="shared" si="294"/>
        <v>0</v>
      </c>
      <c r="Z120" s="96">
        <f t="shared" si="295"/>
        <v>0</v>
      </c>
      <c r="AA120" s="96"/>
      <c r="AB120" s="96">
        <f t="shared" si="296"/>
        <v>0</v>
      </c>
      <c r="AC120" s="96"/>
      <c r="AD120" s="96">
        <f t="shared" si="297"/>
        <v>0</v>
      </c>
      <c r="AE120" s="96"/>
      <c r="AF120" s="95">
        <f t="shared" si="298"/>
        <v>0</v>
      </c>
      <c r="AG120" s="96">
        <f t="shared" si="299"/>
        <v>0</v>
      </c>
      <c r="AH120" s="96">
        <f t="shared" si="300"/>
        <v>0</v>
      </c>
      <c r="AI120" s="96">
        <f t="shared" si="301"/>
        <v>0</v>
      </c>
      <c r="AJ120" s="96">
        <f t="shared" si="302"/>
        <v>0</v>
      </c>
      <c r="AK120" s="96"/>
      <c r="AL120" s="96">
        <f t="shared" si="303"/>
        <v>0</v>
      </c>
      <c r="AM120" s="96"/>
      <c r="AN120" s="96">
        <f t="shared" si="304"/>
        <v>0</v>
      </c>
      <c r="AO120" s="96"/>
      <c r="AP120" s="96">
        <f t="shared" si="305"/>
        <v>0</v>
      </c>
      <c r="AQ120" s="96">
        <f t="shared" si="306"/>
        <v>0</v>
      </c>
      <c r="AR120" s="96">
        <f t="shared" si="307"/>
        <v>0</v>
      </c>
      <c r="AS120" s="96"/>
      <c r="AT120" s="96">
        <f t="shared" si="308"/>
        <v>0</v>
      </c>
      <c r="AU120" s="96"/>
      <c r="AV120" s="96">
        <f t="shared" si="309"/>
        <v>0</v>
      </c>
      <c r="AW120" s="96"/>
      <c r="AX120" s="96">
        <f t="shared" si="310"/>
        <v>0</v>
      </c>
      <c r="AY120" s="96">
        <f t="shared" si="311"/>
        <v>0</v>
      </c>
      <c r="AZ120" s="96">
        <f t="shared" si="312"/>
        <v>0</v>
      </c>
      <c r="BA120" s="96">
        <f t="shared" si="313"/>
        <v>0</v>
      </c>
      <c r="BB120" s="96">
        <f t="shared" si="314"/>
        <v>0</v>
      </c>
      <c r="BC120" s="1" t="s">
        <v>1718</v>
      </c>
    </row>
    <row r="121" spans="1:55" hidden="1">
      <c r="A121" s="492">
        <v>77</v>
      </c>
      <c r="B121" s="13"/>
      <c r="C121" s="13"/>
      <c r="D121" s="15"/>
      <c r="E121" s="21" t="s">
        <v>21</v>
      </c>
      <c r="F121" s="45" t="s">
        <v>22</v>
      </c>
      <c r="G121" s="45"/>
      <c r="H121" s="265" t="s">
        <v>357</v>
      </c>
      <c r="I121" s="18"/>
      <c r="J121" s="157"/>
      <c r="K121" s="18"/>
      <c r="L121" s="157"/>
      <c r="M121" s="18"/>
      <c r="N121" s="157"/>
      <c r="O121" s="18"/>
      <c r="P121" s="157"/>
      <c r="Q121" s="96">
        <f t="shared" si="289"/>
        <v>0</v>
      </c>
      <c r="R121" s="337">
        <f t="shared" si="290"/>
        <v>0</v>
      </c>
      <c r="S121" s="96"/>
      <c r="T121" s="96">
        <f t="shared" si="291"/>
        <v>0</v>
      </c>
      <c r="U121" s="96"/>
      <c r="V121" s="96">
        <f t="shared" si="292"/>
        <v>0</v>
      </c>
      <c r="W121" s="96"/>
      <c r="X121" s="96">
        <f t="shared" si="293"/>
        <v>0</v>
      </c>
      <c r="Y121" s="96">
        <f t="shared" si="294"/>
        <v>0</v>
      </c>
      <c r="Z121" s="96">
        <f t="shared" si="295"/>
        <v>0</v>
      </c>
      <c r="AA121" s="96"/>
      <c r="AB121" s="96">
        <f t="shared" si="296"/>
        <v>0</v>
      </c>
      <c r="AC121" s="96"/>
      <c r="AD121" s="96">
        <f t="shared" si="297"/>
        <v>0</v>
      </c>
      <c r="AE121" s="96"/>
      <c r="AF121" s="95">
        <f t="shared" si="298"/>
        <v>0</v>
      </c>
      <c r="AG121" s="96">
        <f t="shared" si="299"/>
        <v>0</v>
      </c>
      <c r="AH121" s="96">
        <f t="shared" si="300"/>
        <v>0</v>
      </c>
      <c r="AI121" s="96">
        <f t="shared" si="301"/>
        <v>0</v>
      </c>
      <c r="AJ121" s="96">
        <f t="shared" si="302"/>
        <v>0</v>
      </c>
      <c r="AK121" s="96"/>
      <c r="AL121" s="96">
        <f t="shared" si="303"/>
        <v>0</v>
      </c>
      <c r="AM121" s="96"/>
      <c r="AN121" s="96">
        <f t="shared" si="304"/>
        <v>0</v>
      </c>
      <c r="AO121" s="96"/>
      <c r="AP121" s="96">
        <f t="shared" si="305"/>
        <v>0</v>
      </c>
      <c r="AQ121" s="96">
        <f t="shared" si="306"/>
        <v>0</v>
      </c>
      <c r="AR121" s="96">
        <f t="shared" si="307"/>
        <v>0</v>
      </c>
      <c r="AS121" s="96"/>
      <c r="AT121" s="96">
        <f t="shared" si="308"/>
        <v>0</v>
      </c>
      <c r="AU121" s="96"/>
      <c r="AV121" s="96">
        <f t="shared" si="309"/>
        <v>0</v>
      </c>
      <c r="AW121" s="96"/>
      <c r="AX121" s="96">
        <f t="shared" si="310"/>
        <v>0</v>
      </c>
      <c r="AY121" s="96">
        <f t="shared" si="311"/>
        <v>0</v>
      </c>
      <c r="AZ121" s="96">
        <f t="shared" si="312"/>
        <v>0</v>
      </c>
      <c r="BA121" s="96">
        <f t="shared" si="313"/>
        <v>0</v>
      </c>
      <c r="BB121" s="96">
        <f t="shared" si="314"/>
        <v>0</v>
      </c>
      <c r="BC121" s="1" t="s">
        <v>1718</v>
      </c>
    </row>
    <row r="122" spans="1:55" hidden="1">
      <c r="A122" s="492">
        <v>78</v>
      </c>
      <c r="B122" s="13"/>
      <c r="C122" s="20"/>
      <c r="D122" s="15"/>
      <c r="E122" s="21" t="s">
        <v>99</v>
      </c>
      <c r="F122" s="45" t="s">
        <v>100</v>
      </c>
      <c r="G122" s="45"/>
      <c r="H122" s="265" t="s">
        <v>357</v>
      </c>
      <c r="I122" s="18"/>
      <c r="J122" s="157"/>
      <c r="K122" s="18"/>
      <c r="L122" s="157"/>
      <c r="M122" s="18"/>
      <c r="N122" s="157"/>
      <c r="O122" s="18"/>
      <c r="P122" s="157"/>
      <c r="Q122" s="96">
        <f t="shared" si="289"/>
        <v>0</v>
      </c>
      <c r="R122" s="337">
        <f t="shared" si="290"/>
        <v>0</v>
      </c>
      <c r="S122" s="96"/>
      <c r="T122" s="96">
        <f t="shared" si="291"/>
        <v>0</v>
      </c>
      <c r="U122" s="96"/>
      <c r="V122" s="96">
        <f t="shared" si="292"/>
        <v>0</v>
      </c>
      <c r="W122" s="96"/>
      <c r="X122" s="96">
        <f t="shared" si="293"/>
        <v>0</v>
      </c>
      <c r="Y122" s="96">
        <f t="shared" si="294"/>
        <v>0</v>
      </c>
      <c r="Z122" s="96">
        <f t="shared" si="295"/>
        <v>0</v>
      </c>
      <c r="AA122" s="96"/>
      <c r="AB122" s="96">
        <f t="shared" si="296"/>
        <v>0</v>
      </c>
      <c r="AC122" s="96"/>
      <c r="AD122" s="96">
        <f t="shared" si="297"/>
        <v>0</v>
      </c>
      <c r="AE122" s="96"/>
      <c r="AF122" s="95">
        <f t="shared" si="298"/>
        <v>0</v>
      </c>
      <c r="AG122" s="96">
        <f t="shared" si="299"/>
        <v>0</v>
      </c>
      <c r="AH122" s="96">
        <f t="shared" si="300"/>
        <v>0</v>
      </c>
      <c r="AI122" s="96">
        <f t="shared" si="301"/>
        <v>0</v>
      </c>
      <c r="AJ122" s="96">
        <f t="shared" si="302"/>
        <v>0</v>
      </c>
      <c r="AK122" s="96"/>
      <c r="AL122" s="96">
        <f t="shared" si="303"/>
        <v>0</v>
      </c>
      <c r="AM122" s="96"/>
      <c r="AN122" s="96">
        <f t="shared" si="304"/>
        <v>0</v>
      </c>
      <c r="AO122" s="96"/>
      <c r="AP122" s="96">
        <f t="shared" si="305"/>
        <v>0</v>
      </c>
      <c r="AQ122" s="96">
        <f t="shared" si="306"/>
        <v>0</v>
      </c>
      <c r="AR122" s="96">
        <f t="shared" si="307"/>
        <v>0</v>
      </c>
      <c r="AS122" s="96"/>
      <c r="AT122" s="96">
        <f t="shared" si="308"/>
        <v>0</v>
      </c>
      <c r="AU122" s="96"/>
      <c r="AV122" s="96">
        <f t="shared" si="309"/>
        <v>0</v>
      </c>
      <c r="AW122" s="96"/>
      <c r="AX122" s="96">
        <f t="shared" si="310"/>
        <v>0</v>
      </c>
      <c r="AY122" s="96">
        <f t="shared" si="311"/>
        <v>0</v>
      </c>
      <c r="AZ122" s="96">
        <f t="shared" si="312"/>
        <v>0</v>
      </c>
      <c r="BA122" s="96">
        <f t="shared" si="313"/>
        <v>0</v>
      </c>
      <c r="BB122" s="96">
        <f t="shared" si="314"/>
        <v>0</v>
      </c>
      <c r="BC122" s="1" t="s">
        <v>1718</v>
      </c>
    </row>
    <row r="123" spans="1:55" hidden="1">
      <c r="A123" s="492">
        <v>79</v>
      </c>
      <c r="B123" s="13"/>
      <c r="C123" s="13"/>
      <c r="D123" s="15"/>
      <c r="E123" s="21" t="s">
        <v>27</v>
      </c>
      <c r="F123" s="45" t="s">
        <v>28</v>
      </c>
      <c r="G123" s="45"/>
      <c r="H123" s="265" t="s">
        <v>357</v>
      </c>
      <c r="I123" s="18"/>
      <c r="J123" s="157"/>
      <c r="K123" s="18"/>
      <c r="L123" s="157"/>
      <c r="M123" s="18"/>
      <c r="N123" s="157"/>
      <c r="O123" s="18"/>
      <c r="P123" s="157"/>
      <c r="Q123" s="96">
        <f t="shared" si="289"/>
        <v>0</v>
      </c>
      <c r="R123" s="337">
        <f t="shared" si="290"/>
        <v>0</v>
      </c>
      <c r="S123" s="96"/>
      <c r="T123" s="96">
        <f t="shared" si="291"/>
        <v>0</v>
      </c>
      <c r="U123" s="96"/>
      <c r="V123" s="96">
        <f t="shared" si="292"/>
        <v>0</v>
      </c>
      <c r="W123" s="96"/>
      <c r="X123" s="96">
        <f t="shared" si="293"/>
        <v>0</v>
      </c>
      <c r="Y123" s="96">
        <f t="shared" si="294"/>
        <v>0</v>
      </c>
      <c r="Z123" s="96">
        <f t="shared" si="295"/>
        <v>0</v>
      </c>
      <c r="AA123" s="96"/>
      <c r="AB123" s="96">
        <f t="shared" si="296"/>
        <v>0</v>
      </c>
      <c r="AC123" s="96"/>
      <c r="AD123" s="96">
        <f t="shared" si="297"/>
        <v>0</v>
      </c>
      <c r="AE123" s="96"/>
      <c r="AF123" s="95">
        <f t="shared" si="298"/>
        <v>0</v>
      </c>
      <c r="AG123" s="96">
        <f t="shared" si="299"/>
        <v>0</v>
      </c>
      <c r="AH123" s="96">
        <f t="shared" si="300"/>
        <v>0</v>
      </c>
      <c r="AI123" s="96">
        <f t="shared" si="301"/>
        <v>0</v>
      </c>
      <c r="AJ123" s="96">
        <f t="shared" si="302"/>
        <v>0</v>
      </c>
      <c r="AK123" s="96"/>
      <c r="AL123" s="96">
        <f t="shared" si="303"/>
        <v>0</v>
      </c>
      <c r="AM123" s="96"/>
      <c r="AN123" s="96">
        <f t="shared" si="304"/>
        <v>0</v>
      </c>
      <c r="AO123" s="96"/>
      <c r="AP123" s="96">
        <f t="shared" si="305"/>
        <v>0</v>
      </c>
      <c r="AQ123" s="96">
        <f t="shared" si="306"/>
        <v>0</v>
      </c>
      <c r="AR123" s="96">
        <f t="shared" si="307"/>
        <v>0</v>
      </c>
      <c r="AS123" s="96"/>
      <c r="AT123" s="96">
        <f t="shared" si="308"/>
        <v>0</v>
      </c>
      <c r="AU123" s="96"/>
      <c r="AV123" s="96">
        <f t="shared" si="309"/>
        <v>0</v>
      </c>
      <c r="AW123" s="96"/>
      <c r="AX123" s="96">
        <f t="shared" si="310"/>
        <v>0</v>
      </c>
      <c r="AY123" s="96">
        <f t="shared" si="311"/>
        <v>0</v>
      </c>
      <c r="AZ123" s="96">
        <f t="shared" si="312"/>
        <v>0</v>
      </c>
      <c r="BA123" s="96">
        <f t="shared" si="313"/>
        <v>0</v>
      </c>
      <c r="BB123" s="96">
        <f t="shared" si="314"/>
        <v>0</v>
      </c>
      <c r="BC123" s="1" t="s">
        <v>1718</v>
      </c>
    </row>
    <row r="124" spans="1:55" hidden="1">
      <c r="A124" s="492">
        <v>80</v>
      </c>
      <c r="B124" s="13"/>
      <c r="C124" s="13"/>
      <c r="D124" s="15"/>
      <c r="E124" s="21" t="s">
        <v>29</v>
      </c>
      <c r="F124" s="45" t="s">
        <v>30</v>
      </c>
      <c r="G124" s="45"/>
      <c r="H124" s="265" t="s">
        <v>357</v>
      </c>
      <c r="I124" s="18"/>
      <c r="J124" s="157"/>
      <c r="K124" s="18"/>
      <c r="L124" s="157"/>
      <c r="M124" s="18"/>
      <c r="N124" s="157"/>
      <c r="O124" s="18"/>
      <c r="P124" s="157"/>
      <c r="Q124" s="96">
        <f t="shared" si="289"/>
        <v>0</v>
      </c>
      <c r="R124" s="337">
        <f t="shared" si="290"/>
        <v>0</v>
      </c>
      <c r="S124" s="96"/>
      <c r="T124" s="96">
        <f t="shared" si="291"/>
        <v>0</v>
      </c>
      <c r="U124" s="96"/>
      <c r="V124" s="96">
        <f t="shared" si="292"/>
        <v>0</v>
      </c>
      <c r="W124" s="96"/>
      <c r="X124" s="96">
        <f t="shared" si="293"/>
        <v>0</v>
      </c>
      <c r="Y124" s="96">
        <f t="shared" si="294"/>
        <v>0</v>
      </c>
      <c r="Z124" s="96">
        <f t="shared" si="295"/>
        <v>0</v>
      </c>
      <c r="AA124" s="96"/>
      <c r="AB124" s="96">
        <f t="shared" si="296"/>
        <v>0</v>
      </c>
      <c r="AC124" s="96"/>
      <c r="AD124" s="96">
        <f t="shared" si="297"/>
        <v>0</v>
      </c>
      <c r="AE124" s="96"/>
      <c r="AF124" s="95">
        <f t="shared" si="298"/>
        <v>0</v>
      </c>
      <c r="AG124" s="96">
        <f t="shared" si="299"/>
        <v>0</v>
      </c>
      <c r="AH124" s="96">
        <f t="shared" si="300"/>
        <v>0</v>
      </c>
      <c r="AI124" s="96">
        <f t="shared" si="301"/>
        <v>0</v>
      </c>
      <c r="AJ124" s="96">
        <f t="shared" si="302"/>
        <v>0</v>
      </c>
      <c r="AK124" s="96"/>
      <c r="AL124" s="96">
        <f t="shared" si="303"/>
        <v>0</v>
      </c>
      <c r="AM124" s="96"/>
      <c r="AN124" s="96">
        <f t="shared" si="304"/>
        <v>0</v>
      </c>
      <c r="AO124" s="96"/>
      <c r="AP124" s="96">
        <f t="shared" si="305"/>
        <v>0</v>
      </c>
      <c r="AQ124" s="96">
        <f t="shared" si="306"/>
        <v>0</v>
      </c>
      <c r="AR124" s="96">
        <f t="shared" si="307"/>
        <v>0</v>
      </c>
      <c r="AS124" s="96"/>
      <c r="AT124" s="96">
        <f t="shared" si="308"/>
        <v>0</v>
      </c>
      <c r="AU124" s="96"/>
      <c r="AV124" s="96">
        <f t="shared" si="309"/>
        <v>0</v>
      </c>
      <c r="AW124" s="96"/>
      <c r="AX124" s="96">
        <f t="shared" si="310"/>
        <v>0</v>
      </c>
      <c r="AY124" s="96">
        <f t="shared" si="311"/>
        <v>0</v>
      </c>
      <c r="AZ124" s="96">
        <f t="shared" si="312"/>
        <v>0</v>
      </c>
      <c r="BA124" s="96">
        <f t="shared" si="313"/>
        <v>0</v>
      </c>
      <c r="BB124" s="96">
        <f t="shared" si="314"/>
        <v>0</v>
      </c>
      <c r="BC124" s="1" t="s">
        <v>1718</v>
      </c>
    </row>
    <row r="125" spans="1:55" hidden="1">
      <c r="A125" s="492">
        <v>81</v>
      </c>
      <c r="B125" s="13"/>
      <c r="C125" s="13"/>
      <c r="D125" s="15"/>
      <c r="E125" s="21" t="s">
        <v>23</v>
      </c>
      <c r="F125" s="45" t="s">
        <v>24</v>
      </c>
      <c r="G125" s="45"/>
      <c r="H125" s="265" t="s">
        <v>357</v>
      </c>
      <c r="I125" s="18"/>
      <c r="J125" s="157"/>
      <c r="K125" s="18"/>
      <c r="L125" s="157"/>
      <c r="M125" s="18"/>
      <c r="N125" s="157"/>
      <c r="O125" s="18"/>
      <c r="P125" s="157"/>
      <c r="Q125" s="96">
        <f t="shared" si="289"/>
        <v>0</v>
      </c>
      <c r="R125" s="337">
        <f t="shared" si="290"/>
        <v>0</v>
      </c>
      <c r="S125" s="96"/>
      <c r="T125" s="96">
        <f t="shared" si="291"/>
        <v>0</v>
      </c>
      <c r="U125" s="96"/>
      <c r="V125" s="96">
        <f t="shared" si="292"/>
        <v>0</v>
      </c>
      <c r="W125" s="96"/>
      <c r="X125" s="96">
        <f t="shared" si="293"/>
        <v>0</v>
      </c>
      <c r="Y125" s="96">
        <f t="shared" si="294"/>
        <v>0</v>
      </c>
      <c r="Z125" s="96">
        <f t="shared" si="295"/>
        <v>0</v>
      </c>
      <c r="AA125" s="96"/>
      <c r="AB125" s="96">
        <f t="shared" si="296"/>
        <v>0</v>
      </c>
      <c r="AC125" s="96"/>
      <c r="AD125" s="96">
        <f t="shared" si="297"/>
        <v>0</v>
      </c>
      <c r="AE125" s="96"/>
      <c r="AF125" s="95">
        <f t="shared" si="298"/>
        <v>0</v>
      </c>
      <c r="AG125" s="96">
        <f t="shared" si="299"/>
        <v>0</v>
      </c>
      <c r="AH125" s="96">
        <f t="shared" si="300"/>
        <v>0</v>
      </c>
      <c r="AI125" s="96">
        <f t="shared" si="301"/>
        <v>0</v>
      </c>
      <c r="AJ125" s="96">
        <f t="shared" si="302"/>
        <v>0</v>
      </c>
      <c r="AK125" s="96"/>
      <c r="AL125" s="96">
        <f t="shared" si="303"/>
        <v>0</v>
      </c>
      <c r="AM125" s="96"/>
      <c r="AN125" s="96">
        <f t="shared" si="304"/>
        <v>0</v>
      </c>
      <c r="AO125" s="96"/>
      <c r="AP125" s="96">
        <f t="shared" si="305"/>
        <v>0</v>
      </c>
      <c r="AQ125" s="96">
        <f t="shared" si="306"/>
        <v>0</v>
      </c>
      <c r="AR125" s="96">
        <f t="shared" si="307"/>
        <v>0</v>
      </c>
      <c r="AS125" s="96"/>
      <c r="AT125" s="96">
        <f t="shared" si="308"/>
        <v>0</v>
      </c>
      <c r="AU125" s="96"/>
      <c r="AV125" s="96">
        <f t="shared" si="309"/>
        <v>0</v>
      </c>
      <c r="AW125" s="96"/>
      <c r="AX125" s="96">
        <f t="shared" si="310"/>
        <v>0</v>
      </c>
      <c r="AY125" s="96">
        <f t="shared" si="311"/>
        <v>0</v>
      </c>
      <c r="AZ125" s="96">
        <f t="shared" si="312"/>
        <v>0</v>
      </c>
      <c r="BA125" s="96">
        <f t="shared" si="313"/>
        <v>0</v>
      </c>
      <c r="BB125" s="96">
        <f t="shared" si="314"/>
        <v>0</v>
      </c>
      <c r="BC125" s="1" t="s">
        <v>1718</v>
      </c>
    </row>
    <row r="126" spans="1:55" hidden="1">
      <c r="A126" s="492">
        <v>82</v>
      </c>
      <c r="B126" s="13"/>
      <c r="C126" s="13"/>
      <c r="D126" s="15"/>
      <c r="E126" s="21" t="s">
        <v>25</v>
      </c>
      <c r="F126" s="45" t="s">
        <v>26</v>
      </c>
      <c r="G126" s="45"/>
      <c r="H126" s="265" t="s">
        <v>357</v>
      </c>
      <c r="I126" s="18"/>
      <c r="J126" s="157"/>
      <c r="K126" s="18"/>
      <c r="L126" s="157"/>
      <c r="M126" s="18"/>
      <c r="N126" s="157"/>
      <c r="O126" s="18"/>
      <c r="P126" s="157"/>
      <c r="Q126" s="96">
        <f t="shared" si="289"/>
        <v>0</v>
      </c>
      <c r="R126" s="337">
        <f t="shared" si="290"/>
        <v>0</v>
      </c>
      <c r="S126" s="96"/>
      <c r="T126" s="96">
        <f t="shared" si="291"/>
        <v>0</v>
      </c>
      <c r="U126" s="96"/>
      <c r="V126" s="96">
        <f t="shared" si="292"/>
        <v>0</v>
      </c>
      <c r="W126" s="96"/>
      <c r="X126" s="96">
        <f t="shared" si="293"/>
        <v>0</v>
      </c>
      <c r="Y126" s="96">
        <f t="shared" si="294"/>
        <v>0</v>
      </c>
      <c r="Z126" s="96">
        <f t="shared" si="295"/>
        <v>0</v>
      </c>
      <c r="AA126" s="96"/>
      <c r="AB126" s="96">
        <f t="shared" si="296"/>
        <v>0</v>
      </c>
      <c r="AC126" s="96"/>
      <c r="AD126" s="96">
        <f t="shared" si="297"/>
        <v>0</v>
      </c>
      <c r="AE126" s="96"/>
      <c r="AF126" s="95">
        <f t="shared" si="298"/>
        <v>0</v>
      </c>
      <c r="AG126" s="96">
        <f t="shared" si="299"/>
        <v>0</v>
      </c>
      <c r="AH126" s="96">
        <f t="shared" si="300"/>
        <v>0</v>
      </c>
      <c r="AI126" s="96">
        <f t="shared" si="301"/>
        <v>0</v>
      </c>
      <c r="AJ126" s="96">
        <f t="shared" si="302"/>
        <v>0</v>
      </c>
      <c r="AK126" s="96"/>
      <c r="AL126" s="96">
        <f t="shared" si="303"/>
        <v>0</v>
      </c>
      <c r="AM126" s="96"/>
      <c r="AN126" s="96">
        <f t="shared" si="304"/>
        <v>0</v>
      </c>
      <c r="AO126" s="96"/>
      <c r="AP126" s="96">
        <f t="shared" si="305"/>
        <v>0</v>
      </c>
      <c r="AQ126" s="96">
        <f t="shared" si="306"/>
        <v>0</v>
      </c>
      <c r="AR126" s="96">
        <f t="shared" si="307"/>
        <v>0</v>
      </c>
      <c r="AS126" s="96"/>
      <c r="AT126" s="96">
        <f t="shared" si="308"/>
        <v>0</v>
      </c>
      <c r="AU126" s="96"/>
      <c r="AV126" s="96">
        <f t="shared" si="309"/>
        <v>0</v>
      </c>
      <c r="AW126" s="96"/>
      <c r="AX126" s="96">
        <f t="shared" si="310"/>
        <v>0</v>
      </c>
      <c r="AY126" s="96">
        <f t="shared" si="311"/>
        <v>0</v>
      </c>
      <c r="AZ126" s="96">
        <f t="shared" si="312"/>
        <v>0</v>
      </c>
      <c r="BA126" s="96">
        <f t="shared" si="313"/>
        <v>0</v>
      </c>
      <c r="BB126" s="96">
        <f t="shared" si="314"/>
        <v>0</v>
      </c>
      <c r="BC126" s="1" t="s">
        <v>1718</v>
      </c>
    </row>
    <row r="127" spans="1:55" hidden="1">
      <c r="A127" s="492">
        <v>83</v>
      </c>
      <c r="B127" s="13"/>
      <c r="C127" s="23"/>
      <c r="D127" s="15"/>
      <c r="E127" s="21" t="s">
        <v>701</v>
      </c>
      <c r="F127" s="45" t="s">
        <v>702</v>
      </c>
      <c r="G127" s="45"/>
      <c r="H127" s="265" t="s">
        <v>357</v>
      </c>
      <c r="I127" s="18"/>
      <c r="J127" s="157"/>
      <c r="K127" s="18"/>
      <c r="L127" s="157"/>
      <c r="M127" s="18"/>
      <c r="N127" s="157"/>
      <c r="O127" s="18"/>
      <c r="P127" s="157"/>
      <c r="Q127" s="96">
        <f t="shared" si="289"/>
        <v>0</v>
      </c>
      <c r="R127" s="337">
        <f t="shared" si="290"/>
        <v>0</v>
      </c>
      <c r="S127" s="96"/>
      <c r="T127" s="96">
        <f t="shared" si="291"/>
        <v>0</v>
      </c>
      <c r="U127" s="96"/>
      <c r="V127" s="96">
        <f t="shared" si="292"/>
        <v>0</v>
      </c>
      <c r="W127" s="96"/>
      <c r="X127" s="96">
        <f t="shared" si="293"/>
        <v>0</v>
      </c>
      <c r="Y127" s="96">
        <f t="shared" si="294"/>
        <v>0</v>
      </c>
      <c r="Z127" s="96">
        <f t="shared" si="295"/>
        <v>0</v>
      </c>
      <c r="AA127" s="96"/>
      <c r="AB127" s="96">
        <f t="shared" si="296"/>
        <v>0</v>
      </c>
      <c r="AC127" s="96"/>
      <c r="AD127" s="96">
        <f t="shared" si="297"/>
        <v>0</v>
      </c>
      <c r="AE127" s="96"/>
      <c r="AF127" s="95">
        <f t="shared" si="298"/>
        <v>0</v>
      </c>
      <c r="AG127" s="96">
        <f t="shared" si="299"/>
        <v>0</v>
      </c>
      <c r="AH127" s="96">
        <f t="shared" si="300"/>
        <v>0</v>
      </c>
      <c r="AI127" s="96">
        <f t="shared" si="301"/>
        <v>0</v>
      </c>
      <c r="AJ127" s="96">
        <f t="shared" si="302"/>
        <v>0</v>
      </c>
      <c r="AK127" s="96"/>
      <c r="AL127" s="96">
        <f t="shared" si="303"/>
        <v>0</v>
      </c>
      <c r="AM127" s="96"/>
      <c r="AN127" s="96">
        <f t="shared" si="304"/>
        <v>0</v>
      </c>
      <c r="AO127" s="96"/>
      <c r="AP127" s="96">
        <f t="shared" si="305"/>
        <v>0</v>
      </c>
      <c r="AQ127" s="96">
        <f t="shared" si="306"/>
        <v>0</v>
      </c>
      <c r="AR127" s="96">
        <f t="shared" si="307"/>
        <v>0</v>
      </c>
      <c r="AS127" s="96"/>
      <c r="AT127" s="96">
        <f t="shared" si="308"/>
        <v>0</v>
      </c>
      <c r="AU127" s="96"/>
      <c r="AV127" s="96">
        <f t="shared" si="309"/>
        <v>0</v>
      </c>
      <c r="AW127" s="96"/>
      <c r="AX127" s="96">
        <f t="shared" si="310"/>
        <v>0</v>
      </c>
      <c r="AY127" s="96">
        <f t="shared" si="311"/>
        <v>0</v>
      </c>
      <c r="AZ127" s="96">
        <f t="shared" si="312"/>
        <v>0</v>
      </c>
      <c r="BA127" s="96">
        <f t="shared" si="313"/>
        <v>0</v>
      </c>
      <c r="BB127" s="96">
        <f t="shared" si="314"/>
        <v>0</v>
      </c>
      <c r="BC127" s="1" t="s">
        <v>1718</v>
      </c>
    </row>
    <row r="128" spans="1:55" hidden="1">
      <c r="A128" s="492">
        <v>84</v>
      </c>
      <c r="B128" s="13"/>
      <c r="C128" s="23"/>
      <c r="D128" s="15"/>
      <c r="E128" s="21" t="s">
        <v>101</v>
      </c>
      <c r="F128" s="45" t="s">
        <v>102</v>
      </c>
      <c r="G128" s="45"/>
      <c r="H128" s="265" t="s">
        <v>357</v>
      </c>
      <c r="I128" s="18"/>
      <c r="J128" s="157"/>
      <c r="K128" s="18"/>
      <c r="L128" s="157"/>
      <c r="M128" s="18"/>
      <c r="N128" s="157"/>
      <c r="O128" s="18"/>
      <c r="P128" s="157"/>
      <c r="Q128" s="96">
        <f t="shared" si="289"/>
        <v>0</v>
      </c>
      <c r="R128" s="337">
        <f t="shared" si="290"/>
        <v>0</v>
      </c>
      <c r="S128" s="96"/>
      <c r="T128" s="96">
        <f t="shared" si="291"/>
        <v>0</v>
      </c>
      <c r="U128" s="96"/>
      <c r="V128" s="96">
        <f t="shared" si="292"/>
        <v>0</v>
      </c>
      <c r="W128" s="96"/>
      <c r="X128" s="96">
        <f t="shared" si="293"/>
        <v>0</v>
      </c>
      <c r="Y128" s="96">
        <f t="shared" si="294"/>
        <v>0</v>
      </c>
      <c r="Z128" s="96">
        <f t="shared" si="295"/>
        <v>0</v>
      </c>
      <c r="AA128" s="96"/>
      <c r="AB128" s="96">
        <f t="shared" si="296"/>
        <v>0</v>
      </c>
      <c r="AC128" s="96"/>
      <c r="AD128" s="96">
        <f t="shared" si="297"/>
        <v>0</v>
      </c>
      <c r="AE128" s="96"/>
      <c r="AF128" s="95">
        <f t="shared" si="298"/>
        <v>0</v>
      </c>
      <c r="AG128" s="96">
        <f t="shared" si="299"/>
        <v>0</v>
      </c>
      <c r="AH128" s="96">
        <f t="shared" si="300"/>
        <v>0</v>
      </c>
      <c r="AI128" s="96">
        <f t="shared" si="301"/>
        <v>0</v>
      </c>
      <c r="AJ128" s="96">
        <f t="shared" si="302"/>
        <v>0</v>
      </c>
      <c r="AK128" s="96"/>
      <c r="AL128" s="96">
        <f t="shared" si="303"/>
        <v>0</v>
      </c>
      <c r="AM128" s="96"/>
      <c r="AN128" s="96">
        <f t="shared" si="304"/>
        <v>0</v>
      </c>
      <c r="AO128" s="96"/>
      <c r="AP128" s="96">
        <f t="shared" si="305"/>
        <v>0</v>
      </c>
      <c r="AQ128" s="96">
        <f t="shared" si="306"/>
        <v>0</v>
      </c>
      <c r="AR128" s="96">
        <f t="shared" si="307"/>
        <v>0</v>
      </c>
      <c r="AS128" s="96"/>
      <c r="AT128" s="96">
        <f t="shared" si="308"/>
        <v>0</v>
      </c>
      <c r="AU128" s="96"/>
      <c r="AV128" s="96">
        <f t="shared" si="309"/>
        <v>0</v>
      </c>
      <c r="AW128" s="96"/>
      <c r="AX128" s="96">
        <f t="shared" si="310"/>
        <v>0</v>
      </c>
      <c r="AY128" s="96">
        <f t="shared" si="311"/>
        <v>0</v>
      </c>
      <c r="AZ128" s="96">
        <f t="shared" si="312"/>
        <v>0</v>
      </c>
      <c r="BA128" s="96">
        <f t="shared" si="313"/>
        <v>0</v>
      </c>
      <c r="BB128" s="96">
        <f t="shared" si="314"/>
        <v>0</v>
      </c>
      <c r="BC128" s="1" t="s">
        <v>1718</v>
      </c>
    </row>
    <row r="129" spans="1:55" hidden="1">
      <c r="A129" s="492">
        <v>85</v>
      </c>
      <c r="B129" s="13"/>
      <c r="C129" s="23"/>
      <c r="D129" s="15"/>
      <c r="E129" s="21" t="s">
        <v>31</v>
      </c>
      <c r="F129" s="45" t="s">
        <v>32</v>
      </c>
      <c r="G129" s="45"/>
      <c r="H129" s="265" t="s">
        <v>357</v>
      </c>
      <c r="I129" s="18"/>
      <c r="J129" s="157"/>
      <c r="K129" s="18"/>
      <c r="L129" s="157"/>
      <c r="M129" s="18"/>
      <c r="N129" s="157"/>
      <c r="O129" s="18"/>
      <c r="P129" s="157"/>
      <c r="Q129" s="96">
        <f t="shared" si="289"/>
        <v>0</v>
      </c>
      <c r="R129" s="337">
        <f t="shared" si="290"/>
        <v>0</v>
      </c>
      <c r="S129" s="96"/>
      <c r="T129" s="96">
        <f t="shared" si="291"/>
        <v>0</v>
      </c>
      <c r="U129" s="96"/>
      <c r="V129" s="96">
        <f t="shared" si="292"/>
        <v>0</v>
      </c>
      <c r="W129" s="96"/>
      <c r="X129" s="96">
        <f t="shared" si="293"/>
        <v>0</v>
      </c>
      <c r="Y129" s="96">
        <f t="shared" si="294"/>
        <v>0</v>
      </c>
      <c r="Z129" s="96">
        <f t="shared" si="295"/>
        <v>0</v>
      </c>
      <c r="AA129" s="96"/>
      <c r="AB129" s="96">
        <f t="shared" si="296"/>
        <v>0</v>
      </c>
      <c r="AC129" s="96"/>
      <c r="AD129" s="96">
        <f t="shared" si="297"/>
        <v>0</v>
      </c>
      <c r="AE129" s="96"/>
      <c r="AF129" s="95">
        <f t="shared" si="298"/>
        <v>0</v>
      </c>
      <c r="AG129" s="96">
        <f t="shared" si="299"/>
        <v>0</v>
      </c>
      <c r="AH129" s="96">
        <f t="shared" si="300"/>
        <v>0</v>
      </c>
      <c r="AI129" s="96">
        <f t="shared" si="301"/>
        <v>0</v>
      </c>
      <c r="AJ129" s="96">
        <f t="shared" si="302"/>
        <v>0</v>
      </c>
      <c r="AK129" s="96"/>
      <c r="AL129" s="96">
        <f t="shared" si="303"/>
        <v>0</v>
      </c>
      <c r="AM129" s="96"/>
      <c r="AN129" s="96">
        <f t="shared" si="304"/>
        <v>0</v>
      </c>
      <c r="AO129" s="96"/>
      <c r="AP129" s="96">
        <f t="shared" si="305"/>
        <v>0</v>
      </c>
      <c r="AQ129" s="96">
        <f t="shared" si="306"/>
        <v>0</v>
      </c>
      <c r="AR129" s="96">
        <f t="shared" si="307"/>
        <v>0</v>
      </c>
      <c r="AS129" s="96"/>
      <c r="AT129" s="96">
        <f t="shared" si="308"/>
        <v>0</v>
      </c>
      <c r="AU129" s="96"/>
      <c r="AV129" s="96">
        <f t="shared" si="309"/>
        <v>0</v>
      </c>
      <c r="AW129" s="96"/>
      <c r="AX129" s="96">
        <f t="shared" si="310"/>
        <v>0</v>
      </c>
      <c r="AY129" s="96">
        <f t="shared" si="311"/>
        <v>0</v>
      </c>
      <c r="AZ129" s="96">
        <f t="shared" si="312"/>
        <v>0</v>
      </c>
      <c r="BA129" s="96">
        <f t="shared" si="313"/>
        <v>0</v>
      </c>
      <c r="BB129" s="96">
        <f t="shared" si="314"/>
        <v>0</v>
      </c>
      <c r="BC129" s="1" t="s">
        <v>1718</v>
      </c>
    </row>
    <row r="130" spans="1:55" hidden="1">
      <c r="A130" s="492">
        <v>86</v>
      </c>
      <c r="B130" s="13"/>
      <c r="C130" s="33"/>
      <c r="D130" s="15"/>
      <c r="E130" s="21" t="s">
        <v>103</v>
      </c>
      <c r="F130" s="45" t="s">
        <v>104</v>
      </c>
      <c r="G130" s="45"/>
      <c r="H130" s="265" t="s">
        <v>357</v>
      </c>
      <c r="I130" s="18"/>
      <c r="J130" s="157"/>
      <c r="K130" s="18"/>
      <c r="L130" s="157"/>
      <c r="M130" s="18"/>
      <c r="N130" s="157"/>
      <c r="O130" s="18"/>
      <c r="P130" s="157"/>
      <c r="Q130" s="96">
        <f t="shared" si="289"/>
        <v>0</v>
      </c>
      <c r="R130" s="337">
        <f t="shared" si="290"/>
        <v>0</v>
      </c>
      <c r="S130" s="96"/>
      <c r="T130" s="96">
        <f t="shared" si="291"/>
        <v>0</v>
      </c>
      <c r="U130" s="96"/>
      <c r="V130" s="96">
        <f t="shared" si="292"/>
        <v>0</v>
      </c>
      <c r="W130" s="96"/>
      <c r="X130" s="96">
        <f t="shared" si="293"/>
        <v>0</v>
      </c>
      <c r="Y130" s="96">
        <f t="shared" si="294"/>
        <v>0</v>
      </c>
      <c r="Z130" s="96">
        <f t="shared" si="295"/>
        <v>0</v>
      </c>
      <c r="AA130" s="96"/>
      <c r="AB130" s="96">
        <f t="shared" si="296"/>
        <v>0</v>
      </c>
      <c r="AC130" s="96"/>
      <c r="AD130" s="96">
        <f t="shared" si="297"/>
        <v>0</v>
      </c>
      <c r="AE130" s="96"/>
      <c r="AF130" s="95">
        <f t="shared" si="298"/>
        <v>0</v>
      </c>
      <c r="AG130" s="96">
        <f t="shared" si="299"/>
        <v>0</v>
      </c>
      <c r="AH130" s="96">
        <f t="shared" si="300"/>
        <v>0</v>
      </c>
      <c r="AI130" s="96">
        <f t="shared" si="301"/>
        <v>0</v>
      </c>
      <c r="AJ130" s="96">
        <f t="shared" si="302"/>
        <v>0</v>
      </c>
      <c r="AK130" s="96"/>
      <c r="AL130" s="96">
        <f t="shared" si="303"/>
        <v>0</v>
      </c>
      <c r="AM130" s="96"/>
      <c r="AN130" s="96">
        <f t="shared" si="304"/>
        <v>0</v>
      </c>
      <c r="AO130" s="96"/>
      <c r="AP130" s="96">
        <f t="shared" si="305"/>
        <v>0</v>
      </c>
      <c r="AQ130" s="96">
        <f t="shared" si="306"/>
        <v>0</v>
      </c>
      <c r="AR130" s="96">
        <f t="shared" si="307"/>
        <v>0</v>
      </c>
      <c r="AS130" s="96"/>
      <c r="AT130" s="96">
        <f t="shared" si="308"/>
        <v>0</v>
      </c>
      <c r="AU130" s="96"/>
      <c r="AV130" s="96">
        <f t="shared" si="309"/>
        <v>0</v>
      </c>
      <c r="AW130" s="96"/>
      <c r="AX130" s="96">
        <f t="shared" si="310"/>
        <v>0</v>
      </c>
      <c r="AY130" s="96">
        <f t="shared" si="311"/>
        <v>0</v>
      </c>
      <c r="AZ130" s="96">
        <f t="shared" si="312"/>
        <v>0</v>
      </c>
      <c r="BA130" s="96">
        <f t="shared" si="313"/>
        <v>0</v>
      </c>
      <c r="BB130" s="96">
        <f t="shared" si="314"/>
        <v>0</v>
      </c>
      <c r="BC130" s="1" t="s">
        <v>1718</v>
      </c>
    </row>
    <row r="131" spans="1:55" hidden="1">
      <c r="A131" s="492">
        <v>87</v>
      </c>
      <c r="B131" s="13"/>
      <c r="C131" s="33"/>
      <c r="D131" s="15"/>
      <c r="E131" s="21" t="s">
        <v>105</v>
      </c>
      <c r="F131" s="45" t="s">
        <v>106</v>
      </c>
      <c r="G131" s="45"/>
      <c r="H131" s="265" t="s">
        <v>357</v>
      </c>
      <c r="I131" s="18"/>
      <c r="J131" s="157"/>
      <c r="K131" s="18"/>
      <c r="L131" s="157"/>
      <c r="M131" s="18"/>
      <c r="N131" s="157"/>
      <c r="O131" s="18"/>
      <c r="P131" s="157"/>
      <c r="Q131" s="96">
        <f t="shared" si="289"/>
        <v>0</v>
      </c>
      <c r="R131" s="337">
        <f t="shared" si="290"/>
        <v>0</v>
      </c>
      <c r="S131" s="96"/>
      <c r="T131" s="96">
        <f t="shared" si="291"/>
        <v>0</v>
      </c>
      <c r="U131" s="96"/>
      <c r="V131" s="96">
        <f t="shared" si="292"/>
        <v>0</v>
      </c>
      <c r="W131" s="96"/>
      <c r="X131" s="96">
        <f t="shared" si="293"/>
        <v>0</v>
      </c>
      <c r="Y131" s="96">
        <f t="shared" si="294"/>
        <v>0</v>
      </c>
      <c r="Z131" s="96">
        <f t="shared" si="295"/>
        <v>0</v>
      </c>
      <c r="AA131" s="96"/>
      <c r="AB131" s="96">
        <f t="shared" si="296"/>
        <v>0</v>
      </c>
      <c r="AC131" s="96"/>
      <c r="AD131" s="96">
        <f t="shared" si="297"/>
        <v>0</v>
      </c>
      <c r="AE131" s="96"/>
      <c r="AF131" s="95">
        <f t="shared" si="298"/>
        <v>0</v>
      </c>
      <c r="AG131" s="96">
        <f t="shared" si="299"/>
        <v>0</v>
      </c>
      <c r="AH131" s="96">
        <f t="shared" si="300"/>
        <v>0</v>
      </c>
      <c r="AI131" s="96">
        <f t="shared" si="301"/>
        <v>0</v>
      </c>
      <c r="AJ131" s="96">
        <f t="shared" si="302"/>
        <v>0</v>
      </c>
      <c r="AK131" s="96"/>
      <c r="AL131" s="96">
        <f t="shared" si="303"/>
        <v>0</v>
      </c>
      <c r="AM131" s="96"/>
      <c r="AN131" s="96">
        <f t="shared" si="304"/>
        <v>0</v>
      </c>
      <c r="AO131" s="96"/>
      <c r="AP131" s="96">
        <f t="shared" si="305"/>
        <v>0</v>
      </c>
      <c r="AQ131" s="96">
        <f t="shared" si="306"/>
        <v>0</v>
      </c>
      <c r="AR131" s="96">
        <f t="shared" si="307"/>
        <v>0</v>
      </c>
      <c r="AS131" s="96"/>
      <c r="AT131" s="96">
        <f t="shared" si="308"/>
        <v>0</v>
      </c>
      <c r="AU131" s="96"/>
      <c r="AV131" s="96">
        <f t="shared" si="309"/>
        <v>0</v>
      </c>
      <c r="AW131" s="96"/>
      <c r="AX131" s="96">
        <f t="shared" si="310"/>
        <v>0</v>
      </c>
      <c r="AY131" s="96">
        <f t="shared" si="311"/>
        <v>0</v>
      </c>
      <c r="AZ131" s="96">
        <f t="shared" si="312"/>
        <v>0</v>
      </c>
      <c r="BA131" s="96">
        <f t="shared" si="313"/>
        <v>0</v>
      </c>
      <c r="BB131" s="96">
        <f t="shared" si="314"/>
        <v>0</v>
      </c>
      <c r="BC131" s="1" t="s">
        <v>1718</v>
      </c>
    </row>
    <row r="132" spans="1:55" hidden="1">
      <c r="A132" s="492">
        <v>88</v>
      </c>
      <c r="B132" s="13"/>
      <c r="C132" s="33"/>
      <c r="D132" s="15"/>
      <c r="E132" s="21" t="s">
        <v>107</v>
      </c>
      <c r="F132" s="45" t="s">
        <v>108</v>
      </c>
      <c r="G132" s="45"/>
      <c r="H132" s="265" t="s">
        <v>357</v>
      </c>
      <c r="I132" s="18"/>
      <c r="J132" s="157"/>
      <c r="K132" s="18"/>
      <c r="L132" s="157"/>
      <c r="M132" s="18"/>
      <c r="N132" s="157"/>
      <c r="O132" s="18"/>
      <c r="P132" s="157"/>
      <c r="Q132" s="96">
        <f t="shared" si="289"/>
        <v>0</v>
      </c>
      <c r="R132" s="337">
        <f t="shared" si="290"/>
        <v>0</v>
      </c>
      <c r="S132" s="96"/>
      <c r="T132" s="96">
        <f t="shared" si="291"/>
        <v>0</v>
      </c>
      <c r="U132" s="96"/>
      <c r="V132" s="96">
        <f t="shared" si="292"/>
        <v>0</v>
      </c>
      <c r="W132" s="96"/>
      <c r="X132" s="96">
        <f t="shared" si="293"/>
        <v>0</v>
      </c>
      <c r="Y132" s="96">
        <f t="shared" si="294"/>
        <v>0</v>
      </c>
      <c r="Z132" s="96">
        <f t="shared" si="295"/>
        <v>0</v>
      </c>
      <c r="AA132" s="96"/>
      <c r="AB132" s="96">
        <f t="shared" si="296"/>
        <v>0</v>
      </c>
      <c r="AC132" s="96"/>
      <c r="AD132" s="96">
        <f t="shared" si="297"/>
        <v>0</v>
      </c>
      <c r="AE132" s="96"/>
      <c r="AF132" s="95">
        <f t="shared" si="298"/>
        <v>0</v>
      </c>
      <c r="AG132" s="96">
        <f t="shared" si="299"/>
        <v>0</v>
      </c>
      <c r="AH132" s="96">
        <f t="shared" si="300"/>
        <v>0</v>
      </c>
      <c r="AI132" s="96">
        <f t="shared" si="301"/>
        <v>0</v>
      </c>
      <c r="AJ132" s="96">
        <f t="shared" si="302"/>
        <v>0</v>
      </c>
      <c r="AK132" s="96"/>
      <c r="AL132" s="96">
        <f t="shared" si="303"/>
        <v>0</v>
      </c>
      <c r="AM132" s="96"/>
      <c r="AN132" s="96">
        <f t="shared" si="304"/>
        <v>0</v>
      </c>
      <c r="AO132" s="96"/>
      <c r="AP132" s="96">
        <f t="shared" si="305"/>
        <v>0</v>
      </c>
      <c r="AQ132" s="96">
        <f t="shared" si="306"/>
        <v>0</v>
      </c>
      <c r="AR132" s="96">
        <f t="shared" si="307"/>
        <v>0</v>
      </c>
      <c r="AS132" s="96"/>
      <c r="AT132" s="96">
        <f t="shared" si="308"/>
        <v>0</v>
      </c>
      <c r="AU132" s="96"/>
      <c r="AV132" s="96">
        <f t="shared" si="309"/>
        <v>0</v>
      </c>
      <c r="AW132" s="96"/>
      <c r="AX132" s="96">
        <f t="shared" si="310"/>
        <v>0</v>
      </c>
      <c r="AY132" s="96">
        <f t="shared" si="311"/>
        <v>0</v>
      </c>
      <c r="AZ132" s="96">
        <f t="shared" si="312"/>
        <v>0</v>
      </c>
      <c r="BA132" s="96">
        <f t="shared" si="313"/>
        <v>0</v>
      </c>
      <c r="BB132" s="96">
        <f t="shared" si="314"/>
        <v>0</v>
      </c>
      <c r="BC132" s="1" t="s">
        <v>1718</v>
      </c>
    </row>
    <row r="133" spans="1:55" hidden="1">
      <c r="A133" s="492">
        <v>89</v>
      </c>
      <c r="B133" s="13"/>
      <c r="C133" s="23"/>
      <c r="D133" s="15"/>
      <c r="E133" s="21" t="s">
        <v>109</v>
      </c>
      <c r="F133" s="45" t="s">
        <v>110</v>
      </c>
      <c r="G133" s="45"/>
      <c r="H133" s="265" t="s">
        <v>357</v>
      </c>
      <c r="I133" s="18"/>
      <c r="J133" s="157"/>
      <c r="K133" s="18"/>
      <c r="L133" s="157"/>
      <c r="M133" s="18"/>
      <c r="N133" s="157"/>
      <c r="O133" s="18"/>
      <c r="P133" s="157"/>
      <c r="Q133" s="96">
        <f t="shared" si="289"/>
        <v>0</v>
      </c>
      <c r="R133" s="337">
        <f t="shared" si="290"/>
        <v>0</v>
      </c>
      <c r="S133" s="96"/>
      <c r="T133" s="96">
        <f t="shared" si="291"/>
        <v>0</v>
      </c>
      <c r="U133" s="96"/>
      <c r="V133" s="96">
        <f t="shared" si="292"/>
        <v>0</v>
      </c>
      <c r="W133" s="96"/>
      <c r="X133" s="96">
        <f t="shared" si="293"/>
        <v>0</v>
      </c>
      <c r="Y133" s="96">
        <f t="shared" si="294"/>
        <v>0</v>
      </c>
      <c r="Z133" s="96">
        <f t="shared" si="295"/>
        <v>0</v>
      </c>
      <c r="AA133" s="96"/>
      <c r="AB133" s="96">
        <f t="shared" si="296"/>
        <v>0</v>
      </c>
      <c r="AC133" s="96"/>
      <c r="AD133" s="96">
        <f t="shared" si="297"/>
        <v>0</v>
      </c>
      <c r="AE133" s="96"/>
      <c r="AF133" s="95">
        <f t="shared" si="298"/>
        <v>0</v>
      </c>
      <c r="AG133" s="96">
        <f t="shared" si="299"/>
        <v>0</v>
      </c>
      <c r="AH133" s="96">
        <f t="shared" si="300"/>
        <v>0</v>
      </c>
      <c r="AI133" s="96">
        <f t="shared" si="301"/>
        <v>0</v>
      </c>
      <c r="AJ133" s="96">
        <f t="shared" si="302"/>
        <v>0</v>
      </c>
      <c r="AK133" s="96"/>
      <c r="AL133" s="96">
        <f t="shared" si="303"/>
        <v>0</v>
      </c>
      <c r="AM133" s="96"/>
      <c r="AN133" s="96">
        <f t="shared" si="304"/>
        <v>0</v>
      </c>
      <c r="AO133" s="96"/>
      <c r="AP133" s="96">
        <f t="shared" si="305"/>
        <v>0</v>
      </c>
      <c r="AQ133" s="96">
        <f t="shared" si="306"/>
        <v>0</v>
      </c>
      <c r="AR133" s="96">
        <f t="shared" si="307"/>
        <v>0</v>
      </c>
      <c r="AS133" s="96"/>
      <c r="AT133" s="96">
        <f t="shared" si="308"/>
        <v>0</v>
      </c>
      <c r="AU133" s="96"/>
      <c r="AV133" s="96">
        <f t="shared" si="309"/>
        <v>0</v>
      </c>
      <c r="AW133" s="96"/>
      <c r="AX133" s="96">
        <f t="shared" si="310"/>
        <v>0</v>
      </c>
      <c r="AY133" s="96">
        <f t="shared" si="311"/>
        <v>0</v>
      </c>
      <c r="AZ133" s="96">
        <f t="shared" si="312"/>
        <v>0</v>
      </c>
      <c r="BA133" s="96">
        <f t="shared" si="313"/>
        <v>0</v>
      </c>
      <c r="BB133" s="96">
        <f t="shared" si="314"/>
        <v>0</v>
      </c>
      <c r="BC133" s="1" t="s">
        <v>1718</v>
      </c>
    </row>
    <row r="134" spans="1:55" hidden="1">
      <c r="A134" s="492">
        <v>90</v>
      </c>
      <c r="B134" s="13"/>
      <c r="C134" s="33"/>
      <c r="D134" s="15"/>
      <c r="E134" s="21" t="s">
        <v>112</v>
      </c>
      <c r="F134" s="45" t="s">
        <v>111</v>
      </c>
      <c r="G134" s="45"/>
      <c r="H134" s="265" t="s">
        <v>359</v>
      </c>
      <c r="I134" s="18"/>
      <c r="J134" s="157"/>
      <c r="K134" s="18"/>
      <c r="L134" s="157"/>
      <c r="M134" s="18"/>
      <c r="N134" s="157"/>
      <c r="O134" s="18"/>
      <c r="P134" s="157"/>
      <c r="Q134" s="96">
        <f t="shared" si="289"/>
        <v>0</v>
      </c>
      <c r="R134" s="337">
        <f t="shared" si="290"/>
        <v>0</v>
      </c>
      <c r="S134" s="96"/>
      <c r="T134" s="96">
        <f t="shared" si="291"/>
        <v>0</v>
      </c>
      <c r="U134" s="96"/>
      <c r="V134" s="96">
        <f t="shared" si="292"/>
        <v>0</v>
      </c>
      <c r="W134" s="96"/>
      <c r="X134" s="96">
        <f t="shared" si="293"/>
        <v>0</v>
      </c>
      <c r="Y134" s="96">
        <f t="shared" si="294"/>
        <v>0</v>
      </c>
      <c r="Z134" s="96">
        <f t="shared" si="295"/>
        <v>0</v>
      </c>
      <c r="AA134" s="96"/>
      <c r="AB134" s="96">
        <f t="shared" si="296"/>
        <v>0</v>
      </c>
      <c r="AC134" s="96"/>
      <c r="AD134" s="96">
        <f t="shared" si="297"/>
        <v>0</v>
      </c>
      <c r="AE134" s="96"/>
      <c r="AF134" s="95">
        <f t="shared" si="298"/>
        <v>0</v>
      </c>
      <c r="AG134" s="96">
        <f t="shared" si="299"/>
        <v>0</v>
      </c>
      <c r="AH134" s="96">
        <f t="shared" si="300"/>
        <v>0</v>
      </c>
      <c r="AI134" s="96">
        <f t="shared" si="301"/>
        <v>0</v>
      </c>
      <c r="AJ134" s="96">
        <f t="shared" si="302"/>
        <v>0</v>
      </c>
      <c r="AK134" s="96"/>
      <c r="AL134" s="96">
        <f t="shared" si="303"/>
        <v>0</v>
      </c>
      <c r="AM134" s="96"/>
      <c r="AN134" s="96">
        <f t="shared" si="304"/>
        <v>0</v>
      </c>
      <c r="AO134" s="96"/>
      <c r="AP134" s="96">
        <f t="shared" si="305"/>
        <v>0</v>
      </c>
      <c r="AQ134" s="96">
        <f t="shared" si="306"/>
        <v>0</v>
      </c>
      <c r="AR134" s="96">
        <f t="shared" si="307"/>
        <v>0</v>
      </c>
      <c r="AS134" s="96"/>
      <c r="AT134" s="96">
        <f t="shared" si="308"/>
        <v>0</v>
      </c>
      <c r="AU134" s="96"/>
      <c r="AV134" s="96">
        <f t="shared" si="309"/>
        <v>0</v>
      </c>
      <c r="AW134" s="96"/>
      <c r="AX134" s="96">
        <f t="shared" si="310"/>
        <v>0</v>
      </c>
      <c r="AY134" s="96">
        <f t="shared" si="311"/>
        <v>0</v>
      </c>
      <c r="AZ134" s="96">
        <f t="shared" si="312"/>
        <v>0</v>
      </c>
      <c r="BA134" s="96">
        <f t="shared" si="313"/>
        <v>0</v>
      </c>
      <c r="BB134" s="96">
        <f t="shared" si="314"/>
        <v>0</v>
      </c>
      <c r="BC134" s="1" t="s">
        <v>1718</v>
      </c>
    </row>
    <row r="135" spans="1:55" hidden="1">
      <c r="A135" s="492">
        <v>91</v>
      </c>
      <c r="B135" s="13"/>
      <c r="C135" s="33"/>
      <c r="D135" s="15"/>
      <c r="E135" s="21" t="s">
        <v>320</v>
      </c>
      <c r="F135" s="45" t="s">
        <v>319</v>
      </c>
      <c r="G135" s="45"/>
      <c r="H135" s="265" t="s">
        <v>359</v>
      </c>
      <c r="I135" s="18"/>
      <c r="J135" s="157"/>
      <c r="K135" s="18"/>
      <c r="L135" s="157"/>
      <c r="M135" s="18"/>
      <c r="N135" s="157"/>
      <c r="O135" s="18"/>
      <c r="P135" s="157"/>
      <c r="Q135" s="96">
        <f t="shared" si="289"/>
        <v>0</v>
      </c>
      <c r="R135" s="337">
        <f t="shared" si="290"/>
        <v>0</v>
      </c>
      <c r="S135" s="96"/>
      <c r="T135" s="96">
        <f t="shared" si="291"/>
        <v>0</v>
      </c>
      <c r="U135" s="96"/>
      <c r="V135" s="96">
        <f t="shared" si="292"/>
        <v>0</v>
      </c>
      <c r="W135" s="96"/>
      <c r="X135" s="96">
        <f t="shared" si="293"/>
        <v>0</v>
      </c>
      <c r="Y135" s="96">
        <f t="shared" si="294"/>
        <v>0</v>
      </c>
      <c r="Z135" s="96">
        <f t="shared" si="295"/>
        <v>0</v>
      </c>
      <c r="AA135" s="96"/>
      <c r="AB135" s="96">
        <f t="shared" si="296"/>
        <v>0</v>
      </c>
      <c r="AC135" s="96"/>
      <c r="AD135" s="96">
        <f t="shared" si="297"/>
        <v>0</v>
      </c>
      <c r="AE135" s="96"/>
      <c r="AF135" s="95">
        <f t="shared" si="298"/>
        <v>0</v>
      </c>
      <c r="AG135" s="96">
        <f t="shared" si="299"/>
        <v>0</v>
      </c>
      <c r="AH135" s="96">
        <f t="shared" si="300"/>
        <v>0</v>
      </c>
      <c r="AI135" s="96">
        <f t="shared" si="301"/>
        <v>0</v>
      </c>
      <c r="AJ135" s="96">
        <f t="shared" si="302"/>
        <v>0</v>
      </c>
      <c r="AK135" s="96"/>
      <c r="AL135" s="96">
        <f t="shared" si="303"/>
        <v>0</v>
      </c>
      <c r="AM135" s="96"/>
      <c r="AN135" s="96">
        <f t="shared" si="304"/>
        <v>0</v>
      </c>
      <c r="AO135" s="96"/>
      <c r="AP135" s="96">
        <f t="shared" si="305"/>
        <v>0</v>
      </c>
      <c r="AQ135" s="96">
        <f t="shared" si="306"/>
        <v>0</v>
      </c>
      <c r="AR135" s="96">
        <f t="shared" si="307"/>
        <v>0</v>
      </c>
      <c r="AS135" s="96"/>
      <c r="AT135" s="96">
        <f t="shared" si="308"/>
        <v>0</v>
      </c>
      <c r="AU135" s="96"/>
      <c r="AV135" s="96">
        <f t="shared" si="309"/>
        <v>0</v>
      </c>
      <c r="AW135" s="96"/>
      <c r="AX135" s="96">
        <f t="shared" si="310"/>
        <v>0</v>
      </c>
      <c r="AY135" s="96">
        <f t="shared" si="311"/>
        <v>0</v>
      </c>
      <c r="AZ135" s="96">
        <f t="shared" si="312"/>
        <v>0</v>
      </c>
      <c r="BA135" s="96">
        <f t="shared" si="313"/>
        <v>0</v>
      </c>
      <c r="BB135" s="96">
        <f t="shared" si="314"/>
        <v>0</v>
      </c>
      <c r="BC135" s="1" t="s">
        <v>1718</v>
      </c>
    </row>
    <row r="136" spans="1:55" hidden="1">
      <c r="A136" s="492">
        <v>92</v>
      </c>
      <c r="B136" s="13"/>
      <c r="C136" s="23"/>
      <c r="D136" s="15"/>
      <c r="E136" s="21" t="s">
        <v>529</v>
      </c>
      <c r="F136" s="45" t="s">
        <v>528</v>
      </c>
      <c r="G136" s="45"/>
      <c r="H136" s="265" t="s">
        <v>359</v>
      </c>
      <c r="I136" s="18"/>
      <c r="J136" s="157"/>
      <c r="K136" s="18"/>
      <c r="L136" s="157"/>
      <c r="M136" s="18"/>
      <c r="N136" s="157"/>
      <c r="O136" s="18"/>
      <c r="P136" s="157"/>
      <c r="Q136" s="96">
        <f t="shared" si="289"/>
        <v>0</v>
      </c>
      <c r="R136" s="337">
        <f t="shared" si="290"/>
        <v>0</v>
      </c>
      <c r="S136" s="96"/>
      <c r="T136" s="96">
        <f t="shared" si="291"/>
        <v>0</v>
      </c>
      <c r="U136" s="96"/>
      <c r="V136" s="96">
        <f t="shared" si="292"/>
        <v>0</v>
      </c>
      <c r="W136" s="96"/>
      <c r="X136" s="96">
        <f t="shared" si="293"/>
        <v>0</v>
      </c>
      <c r="Y136" s="96">
        <f t="shared" si="294"/>
        <v>0</v>
      </c>
      <c r="Z136" s="96">
        <f t="shared" si="295"/>
        <v>0</v>
      </c>
      <c r="AA136" s="96"/>
      <c r="AB136" s="96">
        <f t="shared" si="296"/>
        <v>0</v>
      </c>
      <c r="AC136" s="96"/>
      <c r="AD136" s="96">
        <f t="shared" si="297"/>
        <v>0</v>
      </c>
      <c r="AE136" s="96"/>
      <c r="AF136" s="95">
        <f t="shared" si="298"/>
        <v>0</v>
      </c>
      <c r="AG136" s="96">
        <f t="shared" si="299"/>
        <v>0</v>
      </c>
      <c r="AH136" s="96">
        <f t="shared" si="300"/>
        <v>0</v>
      </c>
      <c r="AI136" s="96">
        <f t="shared" si="301"/>
        <v>0</v>
      </c>
      <c r="AJ136" s="96">
        <f t="shared" si="302"/>
        <v>0</v>
      </c>
      <c r="AK136" s="96"/>
      <c r="AL136" s="96">
        <f t="shared" si="303"/>
        <v>0</v>
      </c>
      <c r="AM136" s="96"/>
      <c r="AN136" s="96">
        <f t="shared" si="304"/>
        <v>0</v>
      </c>
      <c r="AO136" s="96"/>
      <c r="AP136" s="96">
        <f t="shared" si="305"/>
        <v>0</v>
      </c>
      <c r="AQ136" s="96">
        <f t="shared" si="306"/>
        <v>0</v>
      </c>
      <c r="AR136" s="96">
        <f t="shared" si="307"/>
        <v>0</v>
      </c>
      <c r="AS136" s="96"/>
      <c r="AT136" s="96">
        <f t="shared" si="308"/>
        <v>0</v>
      </c>
      <c r="AU136" s="96"/>
      <c r="AV136" s="96">
        <f t="shared" si="309"/>
        <v>0</v>
      </c>
      <c r="AW136" s="96"/>
      <c r="AX136" s="96">
        <f t="shared" si="310"/>
        <v>0</v>
      </c>
      <c r="AY136" s="96">
        <f t="shared" si="311"/>
        <v>0</v>
      </c>
      <c r="AZ136" s="96">
        <f t="shared" si="312"/>
        <v>0</v>
      </c>
      <c r="BA136" s="96">
        <f t="shared" si="313"/>
        <v>0</v>
      </c>
      <c r="BB136" s="96">
        <f t="shared" si="314"/>
        <v>0</v>
      </c>
      <c r="BC136" s="1" t="s">
        <v>1718</v>
      </c>
    </row>
    <row r="137" spans="1:55" hidden="1">
      <c r="A137" s="492">
        <v>93</v>
      </c>
      <c r="B137" s="14"/>
      <c r="C137" s="14"/>
      <c r="D137" s="40"/>
      <c r="E137" s="21" t="s">
        <v>541</v>
      </c>
      <c r="F137" s="45" t="s">
        <v>542</v>
      </c>
      <c r="G137" s="45"/>
      <c r="H137" s="265" t="s">
        <v>357</v>
      </c>
      <c r="I137" s="54"/>
      <c r="J137" s="162"/>
      <c r="K137" s="54"/>
      <c r="L137" s="162"/>
      <c r="M137" s="54"/>
      <c r="N137" s="162"/>
      <c r="O137" s="54"/>
      <c r="P137" s="162"/>
      <c r="Q137" s="96">
        <f t="shared" si="289"/>
        <v>0</v>
      </c>
      <c r="R137" s="337">
        <f t="shared" si="290"/>
        <v>0</v>
      </c>
      <c r="S137" s="96"/>
      <c r="T137" s="96">
        <f t="shared" si="291"/>
        <v>0</v>
      </c>
      <c r="U137" s="96"/>
      <c r="V137" s="96">
        <f t="shared" si="292"/>
        <v>0</v>
      </c>
      <c r="W137" s="96"/>
      <c r="X137" s="96">
        <f t="shared" si="293"/>
        <v>0</v>
      </c>
      <c r="Y137" s="96">
        <f t="shared" si="294"/>
        <v>0</v>
      </c>
      <c r="Z137" s="96">
        <f t="shared" si="295"/>
        <v>0</v>
      </c>
      <c r="AA137" s="96"/>
      <c r="AB137" s="96">
        <f t="shared" si="296"/>
        <v>0</v>
      </c>
      <c r="AC137" s="96"/>
      <c r="AD137" s="96">
        <f t="shared" si="297"/>
        <v>0</v>
      </c>
      <c r="AE137" s="96"/>
      <c r="AF137" s="95">
        <f t="shared" si="298"/>
        <v>0</v>
      </c>
      <c r="AG137" s="96">
        <f t="shared" si="299"/>
        <v>0</v>
      </c>
      <c r="AH137" s="96">
        <f t="shared" si="300"/>
        <v>0</v>
      </c>
      <c r="AI137" s="96">
        <f t="shared" si="301"/>
        <v>0</v>
      </c>
      <c r="AJ137" s="96">
        <f t="shared" si="302"/>
        <v>0</v>
      </c>
      <c r="AK137" s="96"/>
      <c r="AL137" s="96">
        <f t="shared" si="303"/>
        <v>0</v>
      </c>
      <c r="AM137" s="96"/>
      <c r="AN137" s="96">
        <f t="shared" si="304"/>
        <v>0</v>
      </c>
      <c r="AO137" s="96"/>
      <c r="AP137" s="96">
        <f t="shared" si="305"/>
        <v>0</v>
      </c>
      <c r="AQ137" s="96">
        <f t="shared" si="306"/>
        <v>0</v>
      </c>
      <c r="AR137" s="96">
        <f t="shared" si="307"/>
        <v>0</v>
      </c>
      <c r="AS137" s="96"/>
      <c r="AT137" s="96">
        <f t="shared" si="308"/>
        <v>0</v>
      </c>
      <c r="AU137" s="96"/>
      <c r="AV137" s="96">
        <f t="shared" si="309"/>
        <v>0</v>
      </c>
      <c r="AW137" s="96"/>
      <c r="AX137" s="96">
        <f t="shared" si="310"/>
        <v>0</v>
      </c>
      <c r="AY137" s="96">
        <f t="shared" si="311"/>
        <v>0</v>
      </c>
      <c r="AZ137" s="96">
        <f t="shared" si="312"/>
        <v>0</v>
      </c>
      <c r="BA137" s="96">
        <f t="shared" si="313"/>
        <v>0</v>
      </c>
      <c r="BB137" s="96">
        <f t="shared" si="314"/>
        <v>0</v>
      </c>
      <c r="BC137" s="1" t="s">
        <v>1718</v>
      </c>
    </row>
    <row r="138" spans="1:55" hidden="1">
      <c r="A138" s="492">
        <v>94</v>
      </c>
      <c r="B138" s="13"/>
      <c r="C138" s="23"/>
      <c r="D138" s="15"/>
      <c r="E138" s="21" t="s">
        <v>113</v>
      </c>
      <c r="F138" s="45" t="s">
        <v>114</v>
      </c>
      <c r="G138" s="45"/>
      <c r="H138" s="265" t="s">
        <v>357</v>
      </c>
      <c r="I138" s="18"/>
      <c r="J138" s="157"/>
      <c r="K138" s="18"/>
      <c r="L138" s="157"/>
      <c r="M138" s="18"/>
      <c r="N138" s="157"/>
      <c r="O138" s="18"/>
      <c r="P138" s="157"/>
      <c r="Q138" s="96">
        <f t="shared" si="289"/>
        <v>0</v>
      </c>
      <c r="R138" s="337">
        <f t="shared" si="290"/>
        <v>0</v>
      </c>
      <c r="S138" s="96"/>
      <c r="T138" s="96">
        <f t="shared" si="291"/>
        <v>0</v>
      </c>
      <c r="U138" s="96"/>
      <c r="V138" s="96">
        <f t="shared" si="292"/>
        <v>0</v>
      </c>
      <c r="W138" s="96"/>
      <c r="X138" s="96">
        <f t="shared" si="293"/>
        <v>0</v>
      </c>
      <c r="Y138" s="96">
        <f t="shared" si="294"/>
        <v>0</v>
      </c>
      <c r="Z138" s="96">
        <f t="shared" si="295"/>
        <v>0</v>
      </c>
      <c r="AA138" s="96"/>
      <c r="AB138" s="96">
        <f t="shared" si="296"/>
        <v>0</v>
      </c>
      <c r="AC138" s="96"/>
      <c r="AD138" s="96">
        <f t="shared" si="297"/>
        <v>0</v>
      </c>
      <c r="AE138" s="96"/>
      <c r="AF138" s="95">
        <f t="shared" si="298"/>
        <v>0</v>
      </c>
      <c r="AG138" s="96">
        <f t="shared" si="299"/>
        <v>0</v>
      </c>
      <c r="AH138" s="96">
        <f t="shared" si="300"/>
        <v>0</v>
      </c>
      <c r="AI138" s="96">
        <f t="shared" si="301"/>
        <v>0</v>
      </c>
      <c r="AJ138" s="96">
        <f t="shared" si="302"/>
        <v>0</v>
      </c>
      <c r="AK138" s="96"/>
      <c r="AL138" s="96">
        <f t="shared" si="303"/>
        <v>0</v>
      </c>
      <c r="AM138" s="96"/>
      <c r="AN138" s="96">
        <f t="shared" si="304"/>
        <v>0</v>
      </c>
      <c r="AO138" s="96"/>
      <c r="AP138" s="96">
        <f t="shared" si="305"/>
        <v>0</v>
      </c>
      <c r="AQ138" s="96">
        <f t="shared" si="306"/>
        <v>0</v>
      </c>
      <c r="AR138" s="96">
        <f t="shared" si="307"/>
        <v>0</v>
      </c>
      <c r="AS138" s="96"/>
      <c r="AT138" s="96">
        <f t="shared" si="308"/>
        <v>0</v>
      </c>
      <c r="AU138" s="96"/>
      <c r="AV138" s="96">
        <f t="shared" si="309"/>
        <v>0</v>
      </c>
      <c r="AW138" s="96"/>
      <c r="AX138" s="96">
        <f t="shared" si="310"/>
        <v>0</v>
      </c>
      <c r="AY138" s="96">
        <f t="shared" si="311"/>
        <v>0</v>
      </c>
      <c r="AZ138" s="96">
        <f t="shared" si="312"/>
        <v>0</v>
      </c>
      <c r="BA138" s="96">
        <f t="shared" si="313"/>
        <v>0</v>
      </c>
      <c r="BB138" s="96">
        <f t="shared" si="314"/>
        <v>0</v>
      </c>
      <c r="BC138" s="1" t="s">
        <v>1718</v>
      </c>
    </row>
    <row r="139" spans="1:55" hidden="1">
      <c r="A139" s="492">
        <v>95</v>
      </c>
      <c r="B139" s="13"/>
      <c r="C139" s="34"/>
      <c r="D139" s="35"/>
      <c r="E139" s="311" t="s">
        <v>69</v>
      </c>
      <c r="F139" s="44" t="s">
        <v>115</v>
      </c>
      <c r="G139" s="45"/>
      <c r="H139" s="264" t="s">
        <v>357</v>
      </c>
      <c r="I139" s="18"/>
      <c r="J139" s="157"/>
      <c r="K139" s="18"/>
      <c r="L139" s="157"/>
      <c r="M139" s="18"/>
      <c r="N139" s="157"/>
      <c r="O139" s="18"/>
      <c r="P139" s="157"/>
      <c r="Q139" s="95">
        <f t="shared" si="289"/>
        <v>0</v>
      </c>
      <c r="R139" s="335">
        <f t="shared" si="290"/>
        <v>0</v>
      </c>
      <c r="S139" s="95"/>
      <c r="T139" s="95">
        <f t="shared" si="291"/>
        <v>0</v>
      </c>
      <c r="U139" s="95"/>
      <c r="V139" s="95">
        <f t="shared" si="292"/>
        <v>0</v>
      </c>
      <c r="W139" s="95"/>
      <c r="X139" s="95">
        <f t="shared" si="293"/>
        <v>0</v>
      </c>
      <c r="Y139" s="95">
        <f t="shared" si="294"/>
        <v>0</v>
      </c>
      <c r="Z139" s="95">
        <f t="shared" si="295"/>
        <v>0</v>
      </c>
      <c r="AA139" s="95"/>
      <c r="AB139" s="95">
        <f t="shared" si="296"/>
        <v>0</v>
      </c>
      <c r="AC139" s="95"/>
      <c r="AD139" s="95">
        <f t="shared" si="297"/>
        <v>0</v>
      </c>
      <c r="AE139" s="95"/>
      <c r="AF139" s="95">
        <f t="shared" si="298"/>
        <v>0</v>
      </c>
      <c r="AG139" s="95">
        <f t="shared" si="299"/>
        <v>0</v>
      </c>
      <c r="AH139" s="95">
        <f t="shared" si="300"/>
        <v>0</v>
      </c>
      <c r="AI139" s="95">
        <f t="shared" si="301"/>
        <v>0</v>
      </c>
      <c r="AJ139" s="95">
        <f t="shared" si="302"/>
        <v>0</v>
      </c>
      <c r="AK139" s="95"/>
      <c r="AL139" s="95">
        <f t="shared" si="303"/>
        <v>0</v>
      </c>
      <c r="AM139" s="95"/>
      <c r="AN139" s="95">
        <f t="shared" si="304"/>
        <v>0</v>
      </c>
      <c r="AO139" s="95"/>
      <c r="AP139" s="95">
        <f t="shared" si="305"/>
        <v>0</v>
      </c>
      <c r="AQ139" s="95">
        <f t="shared" si="306"/>
        <v>0</v>
      </c>
      <c r="AR139" s="95">
        <f t="shared" si="307"/>
        <v>0</v>
      </c>
      <c r="AS139" s="95"/>
      <c r="AT139" s="95">
        <f t="shared" si="308"/>
        <v>0</v>
      </c>
      <c r="AU139" s="95"/>
      <c r="AV139" s="95">
        <f t="shared" si="309"/>
        <v>0</v>
      </c>
      <c r="AW139" s="95"/>
      <c r="AX139" s="95">
        <f t="shared" si="310"/>
        <v>0</v>
      </c>
      <c r="AY139" s="95">
        <f t="shared" si="311"/>
        <v>0</v>
      </c>
      <c r="AZ139" s="95">
        <f t="shared" si="312"/>
        <v>0</v>
      </c>
      <c r="BA139" s="95">
        <f t="shared" si="313"/>
        <v>0</v>
      </c>
      <c r="BB139" s="95">
        <f t="shared" si="314"/>
        <v>0</v>
      </c>
      <c r="BC139" s="1" t="s">
        <v>1718</v>
      </c>
    </row>
    <row r="140" spans="1:55" hidden="1">
      <c r="A140" s="492">
        <v>96</v>
      </c>
      <c r="B140" s="14"/>
      <c r="C140" s="14"/>
      <c r="D140" s="40"/>
      <c r="E140" s="21" t="s">
        <v>18</v>
      </c>
      <c r="F140" s="45" t="s">
        <v>19</v>
      </c>
      <c r="G140" s="45"/>
      <c r="H140" s="265" t="s">
        <v>357</v>
      </c>
      <c r="I140" s="54"/>
      <c r="J140" s="162"/>
      <c r="K140" s="54"/>
      <c r="L140" s="162"/>
      <c r="M140" s="54"/>
      <c r="N140" s="162"/>
      <c r="O140" s="54"/>
      <c r="P140" s="162"/>
      <c r="Q140" s="96">
        <f t="shared" si="289"/>
        <v>0</v>
      </c>
      <c r="R140" s="337">
        <f t="shared" si="290"/>
        <v>0</v>
      </c>
      <c r="S140" s="96"/>
      <c r="T140" s="96">
        <f t="shared" si="291"/>
        <v>0</v>
      </c>
      <c r="U140" s="96"/>
      <c r="V140" s="96">
        <f t="shared" si="292"/>
        <v>0</v>
      </c>
      <c r="W140" s="96"/>
      <c r="X140" s="96">
        <f t="shared" si="293"/>
        <v>0</v>
      </c>
      <c r="Y140" s="96">
        <f t="shared" si="294"/>
        <v>0</v>
      </c>
      <c r="Z140" s="96">
        <f t="shared" si="295"/>
        <v>0</v>
      </c>
      <c r="AA140" s="96"/>
      <c r="AB140" s="96">
        <f t="shared" si="296"/>
        <v>0</v>
      </c>
      <c r="AC140" s="96"/>
      <c r="AD140" s="96">
        <f t="shared" si="297"/>
        <v>0</v>
      </c>
      <c r="AE140" s="96"/>
      <c r="AF140" s="95">
        <f t="shared" si="298"/>
        <v>0</v>
      </c>
      <c r="AG140" s="96">
        <f t="shared" si="299"/>
        <v>0</v>
      </c>
      <c r="AH140" s="96">
        <f t="shared" si="300"/>
        <v>0</v>
      </c>
      <c r="AI140" s="96">
        <f t="shared" si="301"/>
        <v>0</v>
      </c>
      <c r="AJ140" s="96">
        <f t="shared" si="302"/>
        <v>0</v>
      </c>
      <c r="AK140" s="96"/>
      <c r="AL140" s="96">
        <f t="shared" si="303"/>
        <v>0</v>
      </c>
      <c r="AM140" s="96"/>
      <c r="AN140" s="96">
        <f t="shared" si="304"/>
        <v>0</v>
      </c>
      <c r="AO140" s="96"/>
      <c r="AP140" s="96">
        <f t="shared" si="305"/>
        <v>0</v>
      </c>
      <c r="AQ140" s="96">
        <f t="shared" si="306"/>
        <v>0</v>
      </c>
      <c r="AR140" s="96">
        <f t="shared" si="307"/>
        <v>0</v>
      </c>
      <c r="AS140" s="96"/>
      <c r="AT140" s="96">
        <f t="shared" si="308"/>
        <v>0</v>
      </c>
      <c r="AU140" s="96"/>
      <c r="AV140" s="96">
        <f t="shared" si="309"/>
        <v>0</v>
      </c>
      <c r="AW140" s="96"/>
      <c r="AX140" s="96">
        <f t="shared" si="310"/>
        <v>0</v>
      </c>
      <c r="AY140" s="96">
        <f t="shared" si="311"/>
        <v>0</v>
      </c>
      <c r="AZ140" s="96">
        <f t="shared" si="312"/>
        <v>0</v>
      </c>
      <c r="BA140" s="96">
        <f t="shared" si="313"/>
        <v>0</v>
      </c>
      <c r="BB140" s="96">
        <f t="shared" si="314"/>
        <v>0</v>
      </c>
      <c r="BC140" s="1" t="s">
        <v>1718</v>
      </c>
    </row>
    <row r="141" spans="1:55" hidden="1">
      <c r="A141" s="492">
        <v>97</v>
      </c>
      <c r="B141" s="13"/>
      <c r="C141" s="13"/>
      <c r="D141" s="15"/>
      <c r="E141" s="21" t="s">
        <v>116</v>
      </c>
      <c r="F141" s="45" t="s">
        <v>117</v>
      </c>
      <c r="G141" s="45"/>
      <c r="H141" s="264" t="s">
        <v>224</v>
      </c>
      <c r="I141" s="18"/>
      <c r="J141" s="201"/>
      <c r="K141" s="18"/>
      <c r="L141" s="201"/>
      <c r="M141" s="18"/>
      <c r="N141" s="201"/>
      <c r="O141" s="18"/>
      <c r="P141" s="201"/>
      <c r="Q141" s="95">
        <f t="shared" si="289"/>
        <v>0</v>
      </c>
      <c r="R141" s="335">
        <f t="shared" si="290"/>
        <v>0</v>
      </c>
      <c r="S141" s="95"/>
      <c r="T141" s="96">
        <f t="shared" si="291"/>
        <v>0</v>
      </c>
      <c r="U141" s="95"/>
      <c r="V141" s="96">
        <f t="shared" si="292"/>
        <v>0</v>
      </c>
      <c r="W141" s="95"/>
      <c r="X141" s="95">
        <f t="shared" si="293"/>
        <v>0</v>
      </c>
      <c r="Y141" s="95">
        <f t="shared" si="294"/>
        <v>0</v>
      </c>
      <c r="Z141" s="95">
        <f t="shared" si="295"/>
        <v>0</v>
      </c>
      <c r="AA141" s="95"/>
      <c r="AB141" s="95">
        <f t="shared" si="296"/>
        <v>0</v>
      </c>
      <c r="AC141" s="95"/>
      <c r="AD141" s="95">
        <f t="shared" si="297"/>
        <v>0</v>
      </c>
      <c r="AE141" s="95"/>
      <c r="AF141" s="95">
        <f t="shared" si="298"/>
        <v>0</v>
      </c>
      <c r="AG141" s="95">
        <f t="shared" si="299"/>
        <v>0</v>
      </c>
      <c r="AH141" s="95">
        <f t="shared" si="300"/>
        <v>0</v>
      </c>
      <c r="AI141" s="95">
        <f t="shared" si="301"/>
        <v>0</v>
      </c>
      <c r="AJ141" s="95">
        <f t="shared" si="302"/>
        <v>0</v>
      </c>
      <c r="AK141" s="96"/>
      <c r="AL141" s="95">
        <f t="shared" si="303"/>
        <v>0</v>
      </c>
      <c r="AM141" s="96"/>
      <c r="AN141" s="95">
        <f t="shared" si="304"/>
        <v>0</v>
      </c>
      <c r="AO141" s="96"/>
      <c r="AP141" s="95">
        <f t="shared" si="305"/>
        <v>0</v>
      </c>
      <c r="AQ141" s="96">
        <f t="shared" si="306"/>
        <v>0</v>
      </c>
      <c r="AR141" s="95">
        <f t="shared" si="307"/>
        <v>0</v>
      </c>
      <c r="AS141" s="96"/>
      <c r="AT141" s="95">
        <f t="shared" si="308"/>
        <v>0</v>
      </c>
      <c r="AU141" s="96"/>
      <c r="AV141" s="95">
        <f t="shared" si="309"/>
        <v>0</v>
      </c>
      <c r="AW141" s="96"/>
      <c r="AX141" s="95">
        <f t="shared" si="310"/>
        <v>0</v>
      </c>
      <c r="AY141" s="96">
        <f t="shared" si="311"/>
        <v>0</v>
      </c>
      <c r="AZ141" s="95">
        <f t="shared" si="312"/>
        <v>0</v>
      </c>
      <c r="BA141" s="96">
        <f t="shared" si="313"/>
        <v>0</v>
      </c>
      <c r="BB141" s="95">
        <f t="shared" si="314"/>
        <v>0</v>
      </c>
      <c r="BC141" s="1" t="s">
        <v>1718</v>
      </c>
    </row>
    <row r="142" spans="1:55" hidden="1">
      <c r="A142" s="492">
        <v>98</v>
      </c>
      <c r="B142" s="13"/>
      <c r="C142" s="13"/>
      <c r="D142" s="15"/>
      <c r="E142" s="50" t="s">
        <v>118</v>
      </c>
      <c r="F142" s="64" t="s">
        <v>104</v>
      </c>
      <c r="G142" s="64"/>
      <c r="H142" s="267" t="s">
        <v>224</v>
      </c>
      <c r="I142" s="38"/>
      <c r="J142" s="158"/>
      <c r="K142" s="38"/>
      <c r="L142" s="158"/>
      <c r="M142" s="38"/>
      <c r="N142" s="158"/>
      <c r="O142" s="38"/>
      <c r="P142" s="158"/>
      <c r="Q142" s="94">
        <f t="shared" si="289"/>
        <v>0</v>
      </c>
      <c r="R142" s="338">
        <f t="shared" si="290"/>
        <v>0</v>
      </c>
      <c r="S142" s="94"/>
      <c r="T142" s="94">
        <f t="shared" si="291"/>
        <v>0</v>
      </c>
      <c r="U142" s="94"/>
      <c r="V142" s="94">
        <f t="shared" si="292"/>
        <v>0</v>
      </c>
      <c r="W142" s="94"/>
      <c r="X142" s="94">
        <f t="shared" si="293"/>
        <v>0</v>
      </c>
      <c r="Y142" s="94">
        <f t="shared" si="294"/>
        <v>0</v>
      </c>
      <c r="Z142" s="94">
        <f t="shared" si="295"/>
        <v>0</v>
      </c>
      <c r="AA142" s="94"/>
      <c r="AB142" s="94">
        <f t="shared" si="296"/>
        <v>0</v>
      </c>
      <c r="AC142" s="94"/>
      <c r="AD142" s="94">
        <f t="shared" si="297"/>
        <v>0</v>
      </c>
      <c r="AE142" s="94"/>
      <c r="AF142" s="119">
        <f t="shared" si="298"/>
        <v>0</v>
      </c>
      <c r="AG142" s="94">
        <f t="shared" si="299"/>
        <v>0</v>
      </c>
      <c r="AH142" s="94">
        <f t="shared" si="300"/>
        <v>0</v>
      </c>
      <c r="AI142" s="94">
        <f t="shared" si="301"/>
        <v>0</v>
      </c>
      <c r="AJ142" s="94">
        <f t="shared" si="302"/>
        <v>0</v>
      </c>
      <c r="AK142" s="94"/>
      <c r="AL142" s="94">
        <f t="shared" si="303"/>
        <v>0</v>
      </c>
      <c r="AM142" s="94"/>
      <c r="AN142" s="94">
        <f t="shared" si="304"/>
        <v>0</v>
      </c>
      <c r="AO142" s="94"/>
      <c r="AP142" s="94">
        <f t="shared" si="305"/>
        <v>0</v>
      </c>
      <c r="AQ142" s="94">
        <f t="shared" si="306"/>
        <v>0</v>
      </c>
      <c r="AR142" s="94">
        <f t="shared" si="307"/>
        <v>0</v>
      </c>
      <c r="AS142" s="94"/>
      <c r="AT142" s="94">
        <f t="shared" si="308"/>
        <v>0</v>
      </c>
      <c r="AU142" s="94"/>
      <c r="AV142" s="94">
        <f t="shared" si="309"/>
        <v>0</v>
      </c>
      <c r="AW142" s="94"/>
      <c r="AX142" s="94">
        <f t="shared" si="310"/>
        <v>0</v>
      </c>
      <c r="AY142" s="94">
        <f t="shared" si="311"/>
        <v>0</v>
      </c>
      <c r="AZ142" s="94">
        <f t="shared" si="312"/>
        <v>0</v>
      </c>
      <c r="BA142" s="94">
        <f t="shared" si="313"/>
        <v>0</v>
      </c>
      <c r="BB142" s="94">
        <f t="shared" si="314"/>
        <v>0</v>
      </c>
      <c r="BC142" s="1" t="s">
        <v>1718</v>
      </c>
    </row>
    <row r="143" spans="1:55" hidden="1">
      <c r="A143" s="492">
        <v>99</v>
      </c>
      <c r="B143" s="26"/>
      <c r="C143" s="26"/>
      <c r="D143" s="27"/>
      <c r="E143" s="324" t="s">
        <v>330</v>
      </c>
      <c r="F143" s="51"/>
      <c r="G143" s="51"/>
      <c r="H143" s="277"/>
      <c r="I143" s="139"/>
      <c r="J143" s="99"/>
      <c r="K143" s="30"/>
      <c r="L143" s="160"/>
      <c r="M143" s="30"/>
      <c r="N143" s="160"/>
      <c r="O143" s="139"/>
      <c r="P143" s="99"/>
      <c r="Q143" s="125">
        <f t="shared" ref="Q143:BB143" si="315">SUM(Q116:Q142)</f>
        <v>0</v>
      </c>
      <c r="R143" s="125">
        <f t="shared" si="315"/>
        <v>0</v>
      </c>
      <c r="S143" s="125">
        <f t="shared" si="315"/>
        <v>0</v>
      </c>
      <c r="T143" s="125">
        <f t="shared" si="315"/>
        <v>0</v>
      </c>
      <c r="U143" s="125">
        <f t="shared" si="315"/>
        <v>0</v>
      </c>
      <c r="V143" s="125">
        <f t="shared" si="315"/>
        <v>0</v>
      </c>
      <c r="W143" s="125">
        <f t="shared" si="315"/>
        <v>0</v>
      </c>
      <c r="X143" s="125">
        <f t="shared" si="315"/>
        <v>0</v>
      </c>
      <c r="Y143" s="125">
        <f t="shared" si="315"/>
        <v>0</v>
      </c>
      <c r="Z143" s="125">
        <f t="shared" si="315"/>
        <v>0</v>
      </c>
      <c r="AA143" s="125">
        <f t="shared" si="315"/>
        <v>0</v>
      </c>
      <c r="AB143" s="125">
        <f t="shared" si="315"/>
        <v>0</v>
      </c>
      <c r="AC143" s="125">
        <f t="shared" si="315"/>
        <v>0</v>
      </c>
      <c r="AD143" s="125">
        <f t="shared" si="315"/>
        <v>0</v>
      </c>
      <c r="AE143" s="125">
        <f t="shared" si="315"/>
        <v>0</v>
      </c>
      <c r="AF143" s="123">
        <f t="shared" si="315"/>
        <v>0</v>
      </c>
      <c r="AG143" s="125">
        <f t="shared" si="315"/>
        <v>0</v>
      </c>
      <c r="AH143" s="125">
        <f t="shared" si="315"/>
        <v>0</v>
      </c>
      <c r="AI143" s="125">
        <f t="shared" si="315"/>
        <v>0</v>
      </c>
      <c r="AJ143" s="125">
        <f t="shared" si="315"/>
        <v>0</v>
      </c>
      <c r="AK143" s="125">
        <f t="shared" si="315"/>
        <v>0</v>
      </c>
      <c r="AL143" s="125">
        <f t="shared" si="315"/>
        <v>0</v>
      </c>
      <c r="AM143" s="125">
        <f t="shared" si="315"/>
        <v>0</v>
      </c>
      <c r="AN143" s="125">
        <f t="shared" si="315"/>
        <v>0</v>
      </c>
      <c r="AO143" s="125">
        <f t="shared" si="315"/>
        <v>0</v>
      </c>
      <c r="AP143" s="125">
        <f t="shared" si="315"/>
        <v>0</v>
      </c>
      <c r="AQ143" s="125">
        <f t="shared" si="315"/>
        <v>0</v>
      </c>
      <c r="AR143" s="125">
        <f t="shared" si="315"/>
        <v>0</v>
      </c>
      <c r="AS143" s="125">
        <f t="shared" si="315"/>
        <v>0</v>
      </c>
      <c r="AT143" s="125">
        <f t="shared" si="315"/>
        <v>0</v>
      </c>
      <c r="AU143" s="125">
        <f t="shared" si="315"/>
        <v>0</v>
      </c>
      <c r="AV143" s="125">
        <f t="shared" si="315"/>
        <v>0</v>
      </c>
      <c r="AW143" s="125">
        <f t="shared" si="315"/>
        <v>0</v>
      </c>
      <c r="AX143" s="125">
        <f t="shared" si="315"/>
        <v>0</v>
      </c>
      <c r="AY143" s="125">
        <f t="shared" si="315"/>
        <v>0</v>
      </c>
      <c r="AZ143" s="125">
        <f t="shared" si="315"/>
        <v>0</v>
      </c>
      <c r="BA143" s="125">
        <f t="shared" si="315"/>
        <v>0</v>
      </c>
      <c r="BB143" s="125">
        <f t="shared" si="315"/>
        <v>0</v>
      </c>
      <c r="BC143" s="1" t="s">
        <v>1719</v>
      </c>
    </row>
    <row r="144" spans="1:55">
      <c r="A144" s="492">
        <v>100</v>
      </c>
      <c r="B144" s="26"/>
      <c r="C144" s="27" t="s">
        <v>134</v>
      </c>
      <c r="D144" s="28"/>
      <c r="E144" s="28"/>
      <c r="F144" s="28"/>
      <c r="G144" s="28"/>
      <c r="H144" s="269"/>
      <c r="I144" s="138"/>
      <c r="J144" s="98"/>
      <c r="K144" s="29"/>
      <c r="L144" s="159"/>
      <c r="M144" s="29"/>
      <c r="N144" s="159"/>
      <c r="O144" s="138"/>
      <c r="P144" s="98"/>
      <c r="Q144" s="120">
        <f t="shared" ref="Q144:BB144" si="316">SUM(Q115,Q110,Q143,Q70)</f>
        <v>1064.5160000000001</v>
      </c>
      <c r="R144" s="120">
        <f t="shared" si="316"/>
        <v>13909.707582939001</v>
      </c>
      <c r="S144" s="120">
        <f t="shared" si="316"/>
        <v>395.39100000000008</v>
      </c>
      <c r="T144" s="120">
        <f t="shared" si="316"/>
        <v>4938.7963494220003</v>
      </c>
      <c r="U144" s="120">
        <f t="shared" si="316"/>
        <v>327.90999999999997</v>
      </c>
      <c r="V144" s="120">
        <f t="shared" si="316"/>
        <v>5098.125878340601</v>
      </c>
      <c r="W144" s="120">
        <f t="shared" si="316"/>
        <v>268.60999999999996</v>
      </c>
      <c r="X144" s="120">
        <f t="shared" si="316"/>
        <v>3083.9093101835997</v>
      </c>
      <c r="Y144" s="120">
        <f t="shared" si="316"/>
        <v>991.91099999999994</v>
      </c>
      <c r="Z144" s="120">
        <f t="shared" si="316"/>
        <v>13120.8315379462</v>
      </c>
      <c r="AA144" s="120">
        <f t="shared" si="316"/>
        <v>72.605000000000004</v>
      </c>
      <c r="AB144" s="120">
        <f t="shared" si="316"/>
        <v>788.87604499280008</v>
      </c>
      <c r="AC144" s="120">
        <f t="shared" si="316"/>
        <v>0</v>
      </c>
      <c r="AD144" s="120">
        <f t="shared" si="316"/>
        <v>0</v>
      </c>
      <c r="AE144" s="120">
        <f t="shared" si="316"/>
        <v>0</v>
      </c>
      <c r="AF144" s="129">
        <f t="shared" si="316"/>
        <v>0</v>
      </c>
      <c r="AG144" s="120">
        <f t="shared" si="316"/>
        <v>72.605000000000004</v>
      </c>
      <c r="AH144" s="120">
        <f t="shared" si="316"/>
        <v>788.87604499280008</v>
      </c>
      <c r="AI144" s="120">
        <f t="shared" si="316"/>
        <v>1064.5160000000001</v>
      </c>
      <c r="AJ144" s="120">
        <f t="shared" si="316"/>
        <v>13909.707582939001</v>
      </c>
      <c r="AK144" s="120">
        <f t="shared" si="316"/>
        <v>0</v>
      </c>
      <c r="AL144" s="120">
        <f t="shared" si="316"/>
        <v>0</v>
      </c>
      <c r="AM144" s="120">
        <f t="shared" si="316"/>
        <v>0</v>
      </c>
      <c r="AN144" s="120">
        <f t="shared" si="316"/>
        <v>0</v>
      </c>
      <c r="AO144" s="120">
        <f t="shared" si="316"/>
        <v>0</v>
      </c>
      <c r="AP144" s="120">
        <f t="shared" si="316"/>
        <v>0</v>
      </c>
      <c r="AQ144" s="120">
        <f t="shared" si="316"/>
        <v>0</v>
      </c>
      <c r="AR144" s="120">
        <f t="shared" si="316"/>
        <v>0</v>
      </c>
      <c r="AS144" s="120">
        <f t="shared" si="316"/>
        <v>0</v>
      </c>
      <c r="AT144" s="120">
        <f t="shared" si="316"/>
        <v>0</v>
      </c>
      <c r="AU144" s="120">
        <f t="shared" si="316"/>
        <v>0</v>
      </c>
      <c r="AV144" s="120">
        <f t="shared" si="316"/>
        <v>0</v>
      </c>
      <c r="AW144" s="120">
        <f t="shared" si="316"/>
        <v>0</v>
      </c>
      <c r="AX144" s="120">
        <f t="shared" si="316"/>
        <v>0</v>
      </c>
      <c r="AY144" s="120">
        <f t="shared" si="316"/>
        <v>0</v>
      </c>
      <c r="AZ144" s="120">
        <f t="shared" si="316"/>
        <v>0</v>
      </c>
      <c r="BA144" s="120">
        <f t="shared" si="316"/>
        <v>0</v>
      </c>
      <c r="BB144" s="120">
        <f t="shared" si="316"/>
        <v>0</v>
      </c>
      <c r="BC144" s="1" t="s">
        <v>1716</v>
      </c>
    </row>
    <row r="145" spans="1:55">
      <c r="A145" s="492">
        <v>101</v>
      </c>
      <c r="B145" s="13"/>
      <c r="C145" s="13" t="s">
        <v>135</v>
      </c>
      <c r="D145" s="15" t="s">
        <v>570</v>
      </c>
      <c r="E145" s="31" t="s">
        <v>246</v>
      </c>
      <c r="F145" s="310" t="s">
        <v>328</v>
      </c>
      <c r="G145" s="310" t="s">
        <v>1059</v>
      </c>
      <c r="H145" s="271" t="s">
        <v>358</v>
      </c>
      <c r="I145" s="43">
        <v>5.57</v>
      </c>
      <c r="J145" s="43"/>
      <c r="K145" s="43">
        <v>5.56</v>
      </c>
      <c r="L145" s="161"/>
      <c r="M145" s="43"/>
      <c r="N145" s="161"/>
      <c r="O145" s="43"/>
      <c r="P145" s="43"/>
      <c r="Q145" s="121">
        <f t="shared" ref="Q145:R148" si="317">SUM(AI145+BA145)</f>
        <v>3.234</v>
      </c>
      <c r="R145" s="341">
        <f t="shared" si="317"/>
        <v>26.413783905600003</v>
      </c>
      <c r="S145" s="121"/>
      <c r="T145" s="121">
        <f>I145*S145*$T$2/1000</f>
        <v>0</v>
      </c>
      <c r="U145" s="121">
        <v>1.722</v>
      </c>
      <c r="V145" s="121">
        <f>I145*U145*$V$2/1000</f>
        <v>13.795128320400002</v>
      </c>
      <c r="W145" s="121">
        <v>1.26</v>
      </c>
      <c r="X145" s="121">
        <f>I145*W145*$X$2/1000</f>
        <v>10.543933134</v>
      </c>
      <c r="Y145" s="121">
        <f t="shared" ref="Y145:Z148" si="318">SUM(S145+U145+W145)</f>
        <v>2.9820000000000002</v>
      </c>
      <c r="Z145" s="121">
        <f t="shared" si="318"/>
        <v>24.339061454400003</v>
      </c>
      <c r="AA145" s="121">
        <v>0.252</v>
      </c>
      <c r="AB145" s="121">
        <f>K145*AA145*$AB$2/1000</f>
        <v>2.0747224512</v>
      </c>
      <c r="AC145" s="121"/>
      <c r="AD145" s="121">
        <f>K145*AC145*$AD$2/1000</f>
        <v>0</v>
      </c>
      <c r="AE145" s="121"/>
      <c r="AF145" s="124">
        <f>K145*AE145*$AF$2/1000</f>
        <v>0</v>
      </c>
      <c r="AG145" s="121">
        <f t="shared" ref="AG145:AH148" si="319">SUM(AA145+AC145+AE145)</f>
        <v>0.252</v>
      </c>
      <c r="AH145" s="121">
        <f t="shared" si="319"/>
        <v>2.0747224512</v>
      </c>
      <c r="AI145" s="121">
        <f>SUM(Y145+AG145)</f>
        <v>3.234</v>
      </c>
      <c r="AJ145" s="121">
        <f>SUM(Z145,AH145)</f>
        <v>26.413783905600003</v>
      </c>
      <c r="AK145" s="121"/>
      <c r="AL145" s="121">
        <f>M145*AK145*$AL$2/1000</f>
        <v>0</v>
      </c>
      <c r="AM145" s="121"/>
      <c r="AN145" s="121">
        <f>M145*AM145*$AN$2/1000</f>
        <v>0</v>
      </c>
      <c r="AO145" s="121"/>
      <c r="AP145" s="121">
        <f>M145*AO145*$AP$2/1000</f>
        <v>0</v>
      </c>
      <c r="AQ145" s="121">
        <f t="shared" ref="AQ145:AR148" si="320">SUM(AK145+AM145+AO145)</f>
        <v>0</v>
      </c>
      <c r="AR145" s="121">
        <f t="shared" si="320"/>
        <v>0</v>
      </c>
      <c r="AS145" s="121"/>
      <c r="AT145" s="121">
        <f>O145*AS145*$AT$2/1000</f>
        <v>0</v>
      </c>
      <c r="AU145" s="121"/>
      <c r="AV145" s="121">
        <f>O145*AU145*$AV$2/1000</f>
        <v>0</v>
      </c>
      <c r="AW145" s="121"/>
      <c r="AX145" s="121">
        <f>O145*AW145*$AX$2/1000</f>
        <v>0</v>
      </c>
      <c r="AY145" s="121">
        <f t="shared" ref="AY145:AZ148" si="321">SUM(AS145+AU145+AW145)</f>
        <v>0</v>
      </c>
      <c r="AZ145" s="121">
        <f t="shared" si="321"/>
        <v>0</v>
      </c>
      <c r="BA145" s="121">
        <f>SUM(AQ145+AY145)</f>
        <v>0</v>
      </c>
      <c r="BB145" s="121">
        <f>SUM(AR145,AZ145)</f>
        <v>0</v>
      </c>
      <c r="BC145" s="1" t="s">
        <v>1715</v>
      </c>
    </row>
    <row r="146" spans="1:55">
      <c r="A146" s="492">
        <v>102</v>
      </c>
      <c r="B146" s="13"/>
      <c r="C146" s="13"/>
      <c r="D146" s="15"/>
      <c r="E146" s="21" t="s">
        <v>247</v>
      </c>
      <c r="F146" s="45" t="s">
        <v>329</v>
      </c>
      <c r="G146" s="45" t="s">
        <v>1059</v>
      </c>
      <c r="H146" s="265" t="s">
        <v>358</v>
      </c>
      <c r="I146" s="18">
        <v>6.23</v>
      </c>
      <c r="J146" s="157"/>
      <c r="K146" s="18">
        <v>6.23</v>
      </c>
      <c r="L146" s="157"/>
      <c r="M146" s="18"/>
      <c r="N146" s="157"/>
      <c r="O146" s="18"/>
      <c r="P146" s="157"/>
      <c r="Q146" s="96">
        <f t="shared" si="317"/>
        <v>0</v>
      </c>
      <c r="R146" s="337">
        <f t="shared" si="317"/>
        <v>0</v>
      </c>
      <c r="S146" s="96"/>
      <c r="T146" s="96">
        <f>I146*S146*$T$2/1000</f>
        <v>0</v>
      </c>
      <c r="U146" s="96"/>
      <c r="V146" s="96">
        <f>I146*U146*$V$2/1000</f>
        <v>0</v>
      </c>
      <c r="W146" s="96"/>
      <c r="X146" s="96">
        <f>I146*W146*$X$2/1000</f>
        <v>0</v>
      </c>
      <c r="Y146" s="96">
        <f t="shared" si="318"/>
        <v>0</v>
      </c>
      <c r="Z146" s="96">
        <f t="shared" si="318"/>
        <v>0</v>
      </c>
      <c r="AA146" s="96"/>
      <c r="AB146" s="96">
        <f>K146*AA146*$AB$2/1000</f>
        <v>0</v>
      </c>
      <c r="AC146" s="96"/>
      <c r="AD146" s="96">
        <f>K146*AC146*$AD$2/1000</f>
        <v>0</v>
      </c>
      <c r="AE146" s="96"/>
      <c r="AF146" s="95">
        <f>K146*AE146*$AF$2/1000</f>
        <v>0</v>
      </c>
      <c r="AG146" s="96">
        <f t="shared" si="319"/>
        <v>0</v>
      </c>
      <c r="AH146" s="96">
        <f t="shared" si="319"/>
        <v>0</v>
      </c>
      <c r="AI146" s="96">
        <f>SUM(Y146+AG146)</f>
        <v>0</v>
      </c>
      <c r="AJ146" s="96">
        <f>SUM(Z146,AH146)</f>
        <v>0</v>
      </c>
      <c r="AK146" s="96"/>
      <c r="AL146" s="96">
        <f>M146*AK146*$AL$2/1000</f>
        <v>0</v>
      </c>
      <c r="AM146" s="96"/>
      <c r="AN146" s="96">
        <f>M146*AM146*$AN$2/1000</f>
        <v>0</v>
      </c>
      <c r="AO146" s="96"/>
      <c r="AP146" s="96">
        <f>M146*AO146*$AP$2/1000</f>
        <v>0</v>
      </c>
      <c r="AQ146" s="96">
        <f t="shared" si="320"/>
        <v>0</v>
      </c>
      <c r="AR146" s="96">
        <f t="shared" si="320"/>
        <v>0</v>
      </c>
      <c r="AS146" s="96"/>
      <c r="AT146" s="96">
        <f>O146*AS146*$AT$2/1000</f>
        <v>0</v>
      </c>
      <c r="AU146" s="96"/>
      <c r="AV146" s="96">
        <f>O146*AU146*$AV$2/1000</f>
        <v>0</v>
      </c>
      <c r="AW146" s="96"/>
      <c r="AX146" s="96">
        <f>O146*AW146*$AX$2/1000</f>
        <v>0</v>
      </c>
      <c r="AY146" s="96">
        <f t="shared" si="321"/>
        <v>0</v>
      </c>
      <c r="AZ146" s="96">
        <f t="shared" si="321"/>
        <v>0</v>
      </c>
      <c r="BA146" s="96">
        <f>SUM(AQ146+AY146)</f>
        <v>0</v>
      </c>
      <c r="BB146" s="96">
        <f>SUM(AR146,AZ146)</f>
        <v>0</v>
      </c>
      <c r="BC146" s="1" t="s">
        <v>1715</v>
      </c>
    </row>
    <row r="147" spans="1:55">
      <c r="A147" s="492">
        <v>103</v>
      </c>
      <c r="B147" s="13"/>
      <c r="C147" s="13"/>
      <c r="D147" s="15"/>
      <c r="E147" s="21" t="s">
        <v>248</v>
      </c>
      <c r="F147" s="45" t="s">
        <v>249</v>
      </c>
      <c r="G147" s="45" t="s">
        <v>1059</v>
      </c>
      <c r="H147" s="265" t="s">
        <v>358</v>
      </c>
      <c r="I147" s="54">
        <v>5.92</v>
      </c>
      <c r="J147" s="157"/>
      <c r="K147" s="54">
        <v>5.92</v>
      </c>
      <c r="L147" s="157"/>
      <c r="M147" s="54"/>
      <c r="N147" s="157"/>
      <c r="O147" s="54"/>
      <c r="P147" s="157"/>
      <c r="Q147" s="96">
        <f t="shared" si="317"/>
        <v>0</v>
      </c>
      <c r="R147" s="337">
        <f t="shared" si="317"/>
        <v>0</v>
      </c>
      <c r="S147" s="96"/>
      <c r="T147" s="96">
        <f>I147*S147*$T$2/1000</f>
        <v>0</v>
      </c>
      <c r="U147" s="96"/>
      <c r="V147" s="96">
        <f>I147*U147*$V$2/1000</f>
        <v>0</v>
      </c>
      <c r="W147" s="96"/>
      <c r="X147" s="96">
        <f>I147*W147*$X$2/1000</f>
        <v>0</v>
      </c>
      <c r="Y147" s="96">
        <f t="shared" si="318"/>
        <v>0</v>
      </c>
      <c r="Z147" s="96">
        <f t="shared" si="318"/>
        <v>0</v>
      </c>
      <c r="AA147" s="96"/>
      <c r="AB147" s="96">
        <f>K147*AA147*$AB$2/1000</f>
        <v>0</v>
      </c>
      <c r="AC147" s="96"/>
      <c r="AD147" s="96">
        <f>K147*AC147*$AD$2/1000</f>
        <v>0</v>
      </c>
      <c r="AE147" s="96"/>
      <c r="AF147" s="95">
        <f>K147*AE147*$AF$2/1000</f>
        <v>0</v>
      </c>
      <c r="AG147" s="96">
        <f t="shared" si="319"/>
        <v>0</v>
      </c>
      <c r="AH147" s="96">
        <f t="shared" si="319"/>
        <v>0</v>
      </c>
      <c r="AI147" s="96">
        <f>SUM(Y147+AG147)</f>
        <v>0</v>
      </c>
      <c r="AJ147" s="96">
        <f>SUM(Z147,AH147)</f>
        <v>0</v>
      </c>
      <c r="AK147" s="96"/>
      <c r="AL147" s="96">
        <f>M147*AK147*$AL$2/1000</f>
        <v>0</v>
      </c>
      <c r="AM147" s="96"/>
      <c r="AN147" s="96">
        <f>M147*AM147*$AN$2/1000</f>
        <v>0</v>
      </c>
      <c r="AO147" s="96"/>
      <c r="AP147" s="96">
        <f>M147*AO147*$AP$2/1000</f>
        <v>0</v>
      </c>
      <c r="AQ147" s="96">
        <f t="shared" si="320"/>
        <v>0</v>
      </c>
      <c r="AR147" s="96">
        <f t="shared" si="320"/>
        <v>0</v>
      </c>
      <c r="AS147" s="96"/>
      <c r="AT147" s="96">
        <f>O147*AS147*$AT$2/1000</f>
        <v>0</v>
      </c>
      <c r="AU147" s="96"/>
      <c r="AV147" s="96">
        <f>O147*AU147*$AV$2/1000</f>
        <v>0</v>
      </c>
      <c r="AW147" s="96"/>
      <c r="AX147" s="96">
        <f>O147*AW147*$AX$2/1000</f>
        <v>0</v>
      </c>
      <c r="AY147" s="96">
        <f t="shared" si="321"/>
        <v>0</v>
      </c>
      <c r="AZ147" s="96">
        <f t="shared" si="321"/>
        <v>0</v>
      </c>
      <c r="BA147" s="96">
        <f>SUM(AQ147+AY147)</f>
        <v>0</v>
      </c>
      <c r="BB147" s="96">
        <f>SUM(AR147,AZ147)</f>
        <v>0</v>
      </c>
      <c r="BC147" s="1" t="s">
        <v>1715</v>
      </c>
    </row>
    <row r="148" spans="1:55">
      <c r="A148" s="492">
        <v>104</v>
      </c>
      <c r="B148" s="13"/>
      <c r="C148" s="13"/>
      <c r="D148" s="15"/>
      <c r="E148" s="50" t="s">
        <v>250</v>
      </c>
      <c r="F148" s="64" t="s">
        <v>251</v>
      </c>
      <c r="G148" s="64" t="s">
        <v>1059</v>
      </c>
      <c r="H148" s="272" t="s">
        <v>358</v>
      </c>
      <c r="I148" s="57">
        <v>5.55</v>
      </c>
      <c r="J148" s="538"/>
      <c r="K148" s="57">
        <v>5.55</v>
      </c>
      <c r="L148" s="158"/>
      <c r="M148" s="57"/>
      <c r="N148" s="158"/>
      <c r="O148" s="57"/>
      <c r="P148" s="538"/>
      <c r="Q148" s="94">
        <f t="shared" si="317"/>
        <v>0</v>
      </c>
      <c r="R148" s="338">
        <f t="shared" si="317"/>
        <v>0</v>
      </c>
      <c r="S148" s="94"/>
      <c r="T148" s="94">
        <f>I148*S148*$T$2/1000</f>
        <v>0</v>
      </c>
      <c r="U148" s="94"/>
      <c r="V148" s="94">
        <f>I148*U148*$V$2/1000</f>
        <v>0</v>
      </c>
      <c r="W148" s="94"/>
      <c r="X148" s="94">
        <f>I148*W148*$X$2/1000</f>
        <v>0</v>
      </c>
      <c r="Y148" s="94">
        <f t="shared" si="318"/>
        <v>0</v>
      </c>
      <c r="Z148" s="94">
        <f t="shared" si="318"/>
        <v>0</v>
      </c>
      <c r="AA148" s="94"/>
      <c r="AB148" s="94">
        <f>K148*AA148*$AB$2/1000</f>
        <v>0</v>
      </c>
      <c r="AC148" s="94"/>
      <c r="AD148" s="94">
        <f>K148*AC148*$AD$2/1000</f>
        <v>0</v>
      </c>
      <c r="AE148" s="94"/>
      <c r="AF148" s="119">
        <f>K148*AE148*$AF$2/1000</f>
        <v>0</v>
      </c>
      <c r="AG148" s="94">
        <f t="shared" si="319"/>
        <v>0</v>
      </c>
      <c r="AH148" s="94">
        <f t="shared" si="319"/>
        <v>0</v>
      </c>
      <c r="AI148" s="94">
        <f>SUM(Y148+AG148)</f>
        <v>0</v>
      </c>
      <c r="AJ148" s="94">
        <f>SUM(Z148,AH148)</f>
        <v>0</v>
      </c>
      <c r="AK148" s="94"/>
      <c r="AL148" s="94">
        <f>M148*AK148*$AL$2/1000</f>
        <v>0</v>
      </c>
      <c r="AM148" s="94"/>
      <c r="AN148" s="94">
        <f>M148*AM148*$AN$2/1000</f>
        <v>0</v>
      </c>
      <c r="AO148" s="94"/>
      <c r="AP148" s="94">
        <f>M148*AO148*$AP$2/1000</f>
        <v>0</v>
      </c>
      <c r="AQ148" s="94">
        <f t="shared" si="320"/>
        <v>0</v>
      </c>
      <c r="AR148" s="94">
        <f t="shared" si="320"/>
        <v>0</v>
      </c>
      <c r="AS148" s="94"/>
      <c r="AT148" s="94">
        <f>O148*AS148*$AT$2/1000</f>
        <v>0</v>
      </c>
      <c r="AU148" s="94"/>
      <c r="AV148" s="94">
        <f>O148*AU148*$AV$2/1000</f>
        <v>0</v>
      </c>
      <c r="AW148" s="94"/>
      <c r="AX148" s="94">
        <f>O148*AW148*$AX$2/1000</f>
        <v>0</v>
      </c>
      <c r="AY148" s="94">
        <f t="shared" si="321"/>
        <v>0</v>
      </c>
      <c r="AZ148" s="94">
        <f t="shared" si="321"/>
        <v>0</v>
      </c>
      <c r="BA148" s="94">
        <f>SUM(AQ148+AY148)</f>
        <v>0</v>
      </c>
      <c r="BB148" s="94">
        <f>SUM(AR148,AZ148)</f>
        <v>0</v>
      </c>
      <c r="BC148" s="1" t="s">
        <v>1715</v>
      </c>
    </row>
    <row r="149" spans="1:55">
      <c r="A149" s="492">
        <v>105</v>
      </c>
      <c r="B149" s="26"/>
      <c r="C149" s="26"/>
      <c r="D149" s="27"/>
      <c r="E149" s="349" t="s">
        <v>330</v>
      </c>
      <c r="F149" s="28"/>
      <c r="G149" s="28"/>
      <c r="H149" s="269"/>
      <c r="I149" s="139"/>
      <c r="J149" s="99"/>
      <c r="K149" s="30"/>
      <c r="L149" s="160"/>
      <c r="M149" s="30"/>
      <c r="N149" s="160"/>
      <c r="O149" s="139"/>
      <c r="P149" s="99"/>
      <c r="Q149" s="539">
        <f t="shared" ref="Q149:BB149" si="322">SUM(Q145:Q148)</f>
        <v>3.234</v>
      </c>
      <c r="R149" s="539">
        <f t="shared" si="322"/>
        <v>26.413783905600003</v>
      </c>
      <c r="S149" s="539">
        <f t="shared" si="322"/>
        <v>0</v>
      </c>
      <c r="T149" s="539">
        <f t="shared" si="322"/>
        <v>0</v>
      </c>
      <c r="U149" s="539">
        <f t="shared" si="322"/>
        <v>1.722</v>
      </c>
      <c r="V149" s="539">
        <f t="shared" si="322"/>
        <v>13.795128320400002</v>
      </c>
      <c r="W149" s="539">
        <f t="shared" si="322"/>
        <v>1.26</v>
      </c>
      <c r="X149" s="539">
        <f t="shared" si="322"/>
        <v>10.543933134</v>
      </c>
      <c r="Y149" s="539">
        <f t="shared" si="322"/>
        <v>2.9820000000000002</v>
      </c>
      <c r="Z149" s="539">
        <f t="shared" si="322"/>
        <v>24.339061454400003</v>
      </c>
      <c r="AA149" s="539">
        <f t="shared" si="322"/>
        <v>0.252</v>
      </c>
      <c r="AB149" s="539">
        <f t="shared" si="322"/>
        <v>2.0747224512</v>
      </c>
      <c r="AC149" s="539">
        <f t="shared" si="322"/>
        <v>0</v>
      </c>
      <c r="AD149" s="539">
        <f t="shared" si="322"/>
        <v>0</v>
      </c>
      <c r="AE149" s="539">
        <f t="shared" si="322"/>
        <v>0</v>
      </c>
      <c r="AF149" s="540">
        <f t="shared" si="322"/>
        <v>0</v>
      </c>
      <c r="AG149" s="539">
        <f t="shared" si="322"/>
        <v>0.252</v>
      </c>
      <c r="AH149" s="539">
        <f t="shared" si="322"/>
        <v>2.0747224512</v>
      </c>
      <c r="AI149" s="539">
        <f t="shared" si="322"/>
        <v>3.234</v>
      </c>
      <c r="AJ149" s="539">
        <f t="shared" si="322"/>
        <v>26.413783905600003</v>
      </c>
      <c r="AK149" s="539">
        <f t="shared" si="322"/>
        <v>0</v>
      </c>
      <c r="AL149" s="539">
        <f t="shared" si="322"/>
        <v>0</v>
      </c>
      <c r="AM149" s="539">
        <f t="shared" si="322"/>
        <v>0</v>
      </c>
      <c r="AN149" s="539">
        <f t="shared" si="322"/>
        <v>0</v>
      </c>
      <c r="AO149" s="539">
        <f t="shared" si="322"/>
        <v>0</v>
      </c>
      <c r="AP149" s="539">
        <f t="shared" si="322"/>
        <v>0</v>
      </c>
      <c r="AQ149" s="539">
        <f t="shared" si="322"/>
        <v>0</v>
      </c>
      <c r="AR149" s="539">
        <f t="shared" si="322"/>
        <v>0</v>
      </c>
      <c r="AS149" s="539">
        <f t="shared" si="322"/>
        <v>0</v>
      </c>
      <c r="AT149" s="539">
        <f t="shared" si="322"/>
        <v>0</v>
      </c>
      <c r="AU149" s="539">
        <f t="shared" si="322"/>
        <v>0</v>
      </c>
      <c r="AV149" s="539">
        <f t="shared" si="322"/>
        <v>0</v>
      </c>
      <c r="AW149" s="539">
        <f t="shared" si="322"/>
        <v>0</v>
      </c>
      <c r="AX149" s="539">
        <f t="shared" si="322"/>
        <v>0</v>
      </c>
      <c r="AY149" s="539">
        <f t="shared" si="322"/>
        <v>0</v>
      </c>
      <c r="AZ149" s="539">
        <f t="shared" si="322"/>
        <v>0</v>
      </c>
      <c r="BA149" s="539">
        <f t="shared" si="322"/>
        <v>0</v>
      </c>
      <c r="BB149" s="539">
        <f t="shared" si="322"/>
        <v>0</v>
      </c>
      <c r="BC149" s="1" t="s">
        <v>1716</v>
      </c>
    </row>
    <row r="150" spans="1:55" hidden="1">
      <c r="A150" s="492">
        <v>106</v>
      </c>
      <c r="B150" s="13"/>
      <c r="C150" s="13"/>
      <c r="D150" s="15" t="s">
        <v>573</v>
      </c>
      <c r="E150" s="31" t="s">
        <v>136</v>
      </c>
      <c r="F150" s="310" t="s">
        <v>34</v>
      </c>
      <c r="G150" s="310" t="s">
        <v>1059</v>
      </c>
      <c r="H150" s="271" t="s">
        <v>358</v>
      </c>
      <c r="I150" s="43"/>
      <c r="J150" s="161"/>
      <c r="K150" s="43"/>
      <c r="L150" s="161"/>
      <c r="M150" s="43"/>
      <c r="N150" s="161"/>
      <c r="O150" s="43"/>
      <c r="P150" s="161"/>
      <c r="Q150" s="121">
        <f t="shared" ref="Q150:Q183" si="323">SUM(AI150+BA150)</f>
        <v>0</v>
      </c>
      <c r="R150" s="341">
        <f t="shared" ref="R150:R183" si="324">SUM(AJ150+BB150)</f>
        <v>0</v>
      </c>
      <c r="S150" s="121"/>
      <c r="T150" s="121">
        <f t="shared" ref="T150:T183" si="325">I150*S150*$T$2/1000</f>
        <v>0</v>
      </c>
      <c r="U150" s="121"/>
      <c r="V150" s="121">
        <f t="shared" ref="V150:V183" si="326">I150*U150*$V$2/1000</f>
        <v>0</v>
      </c>
      <c r="W150" s="121"/>
      <c r="X150" s="121">
        <f t="shared" ref="X150:X183" si="327">I150*W150*$X$2/1000</f>
        <v>0</v>
      </c>
      <c r="Y150" s="121">
        <f t="shared" ref="Y150:Y183" si="328">SUM(S150+U150+W150)</f>
        <v>0</v>
      </c>
      <c r="Z150" s="121">
        <f t="shared" ref="Z150:Z183" si="329">SUM(T150+V150+X150)</f>
        <v>0</v>
      </c>
      <c r="AA150" s="121"/>
      <c r="AB150" s="121">
        <f t="shared" ref="AB150:AB183" si="330">K150*AA150*$AB$2/1000</f>
        <v>0</v>
      </c>
      <c r="AC150" s="121"/>
      <c r="AD150" s="121">
        <f t="shared" ref="AD150:AD183" si="331">K150*AC150*$AD$2/1000</f>
        <v>0</v>
      </c>
      <c r="AE150" s="121"/>
      <c r="AF150" s="124">
        <f t="shared" ref="AF150:AF183" si="332">K150*AE150*$AF$2/1000</f>
        <v>0</v>
      </c>
      <c r="AG150" s="121">
        <f t="shared" ref="AG150:AG183" si="333">SUM(AA150+AC150+AE150)</f>
        <v>0</v>
      </c>
      <c r="AH150" s="121">
        <f t="shared" ref="AH150:AH183" si="334">SUM(AB150+AD150+AF150)</f>
        <v>0</v>
      </c>
      <c r="AI150" s="121">
        <f t="shared" ref="AI150:AI183" si="335">SUM(Y150+AG150)</f>
        <v>0</v>
      </c>
      <c r="AJ150" s="121">
        <f t="shared" ref="AJ150:AJ183" si="336">SUM(Z150,AH150)</f>
        <v>0</v>
      </c>
      <c r="AK150" s="121"/>
      <c r="AL150" s="121">
        <f t="shared" ref="AL150:AL183" si="337">M150*AK150*$AL$2/1000</f>
        <v>0</v>
      </c>
      <c r="AM150" s="121"/>
      <c r="AN150" s="121">
        <f t="shared" ref="AN150:AN183" si="338">M150*AM150*$AN$2/1000</f>
        <v>0</v>
      </c>
      <c r="AO150" s="121"/>
      <c r="AP150" s="121">
        <f t="shared" ref="AP150:AP183" si="339">M150*AO150*$AP$2/1000</f>
        <v>0</v>
      </c>
      <c r="AQ150" s="121">
        <f t="shared" ref="AQ150:AQ183" si="340">SUM(AK150+AM150+AO150)</f>
        <v>0</v>
      </c>
      <c r="AR150" s="121">
        <f t="shared" ref="AR150:AR183" si="341">SUM(AL150+AN150+AP150)</f>
        <v>0</v>
      </c>
      <c r="AS150" s="121"/>
      <c r="AT150" s="121">
        <f t="shared" ref="AT150:AT183" si="342">O150*AS150*$AT$2/1000</f>
        <v>0</v>
      </c>
      <c r="AU150" s="121"/>
      <c r="AV150" s="121">
        <f t="shared" ref="AV150:AV183" si="343">O150*AU150*$AV$2/1000</f>
        <v>0</v>
      </c>
      <c r="AW150" s="121"/>
      <c r="AX150" s="121">
        <f t="shared" ref="AX150:AX183" si="344">O150*AW150*$AX$2/1000</f>
        <v>0</v>
      </c>
      <c r="AY150" s="121">
        <f t="shared" ref="AY150:AY183" si="345">SUM(AS150+AU150+AW150)</f>
        <v>0</v>
      </c>
      <c r="AZ150" s="121">
        <f t="shared" ref="AZ150:AZ183" si="346">SUM(AT150+AV150+AX150)</f>
        <v>0</v>
      </c>
      <c r="BA150" s="121">
        <f t="shared" ref="BA150:BA183" si="347">SUM(AQ150+AY150)</f>
        <v>0</v>
      </c>
      <c r="BB150" s="121">
        <f t="shared" ref="BB150:BB183" si="348">SUM(AR150,AZ150)</f>
        <v>0</v>
      </c>
      <c r="BC150" s="1" t="s">
        <v>1718</v>
      </c>
    </row>
    <row r="151" spans="1:55" hidden="1">
      <c r="A151" s="492">
        <v>107</v>
      </c>
      <c r="B151" s="13"/>
      <c r="C151" s="13"/>
      <c r="D151" s="15"/>
      <c r="E151" s="21" t="s">
        <v>36</v>
      </c>
      <c r="F151" s="45" t="s">
        <v>137</v>
      </c>
      <c r="G151" s="45" t="s">
        <v>1059</v>
      </c>
      <c r="H151" s="265" t="s">
        <v>358</v>
      </c>
      <c r="I151" s="18"/>
      <c r="J151" s="157"/>
      <c r="K151" s="18"/>
      <c r="L151" s="157"/>
      <c r="M151" s="18"/>
      <c r="N151" s="157"/>
      <c r="O151" s="18"/>
      <c r="P151" s="157"/>
      <c r="Q151" s="96">
        <f t="shared" si="323"/>
        <v>0</v>
      </c>
      <c r="R151" s="337">
        <f t="shared" si="324"/>
        <v>0</v>
      </c>
      <c r="S151" s="96"/>
      <c r="T151" s="96">
        <f t="shared" si="325"/>
        <v>0</v>
      </c>
      <c r="U151" s="96"/>
      <c r="V151" s="96">
        <f t="shared" si="326"/>
        <v>0</v>
      </c>
      <c r="W151" s="96"/>
      <c r="X151" s="96">
        <f t="shared" si="327"/>
        <v>0</v>
      </c>
      <c r="Y151" s="96">
        <f t="shared" si="328"/>
        <v>0</v>
      </c>
      <c r="Z151" s="96">
        <f t="shared" si="329"/>
        <v>0</v>
      </c>
      <c r="AA151" s="96"/>
      <c r="AB151" s="96">
        <f t="shared" si="330"/>
        <v>0</v>
      </c>
      <c r="AC151" s="96"/>
      <c r="AD151" s="96">
        <f t="shared" si="331"/>
        <v>0</v>
      </c>
      <c r="AE151" s="96"/>
      <c r="AF151" s="95">
        <f t="shared" si="332"/>
        <v>0</v>
      </c>
      <c r="AG151" s="96">
        <f t="shared" si="333"/>
        <v>0</v>
      </c>
      <c r="AH151" s="96">
        <f t="shared" si="334"/>
        <v>0</v>
      </c>
      <c r="AI151" s="96">
        <f t="shared" si="335"/>
        <v>0</v>
      </c>
      <c r="AJ151" s="96">
        <f t="shared" si="336"/>
        <v>0</v>
      </c>
      <c r="AK151" s="96"/>
      <c r="AL151" s="96">
        <f t="shared" si="337"/>
        <v>0</v>
      </c>
      <c r="AM151" s="96"/>
      <c r="AN151" s="96">
        <f t="shared" si="338"/>
        <v>0</v>
      </c>
      <c r="AO151" s="96"/>
      <c r="AP151" s="96">
        <f t="shared" si="339"/>
        <v>0</v>
      </c>
      <c r="AQ151" s="96">
        <f t="shared" si="340"/>
        <v>0</v>
      </c>
      <c r="AR151" s="96">
        <f t="shared" si="341"/>
        <v>0</v>
      </c>
      <c r="AS151" s="96"/>
      <c r="AT151" s="96">
        <f t="shared" si="342"/>
        <v>0</v>
      </c>
      <c r="AU151" s="96"/>
      <c r="AV151" s="96">
        <f t="shared" si="343"/>
        <v>0</v>
      </c>
      <c r="AW151" s="96"/>
      <c r="AX151" s="96">
        <f t="shared" si="344"/>
        <v>0</v>
      </c>
      <c r="AY151" s="96">
        <f t="shared" si="345"/>
        <v>0</v>
      </c>
      <c r="AZ151" s="96">
        <f t="shared" si="346"/>
        <v>0</v>
      </c>
      <c r="BA151" s="96">
        <f t="shared" si="347"/>
        <v>0</v>
      </c>
      <c r="BB151" s="96">
        <f t="shared" si="348"/>
        <v>0</v>
      </c>
      <c r="BC151" s="1" t="s">
        <v>1718</v>
      </c>
    </row>
    <row r="152" spans="1:55" hidden="1">
      <c r="A152" s="492">
        <v>108</v>
      </c>
      <c r="B152" s="13"/>
      <c r="C152" s="13"/>
      <c r="D152" s="15"/>
      <c r="E152" s="21" t="s">
        <v>138</v>
      </c>
      <c r="F152" s="45" t="s">
        <v>37</v>
      </c>
      <c r="G152" s="45" t="s">
        <v>1059</v>
      </c>
      <c r="H152" s="265" t="s">
        <v>358</v>
      </c>
      <c r="I152" s="18"/>
      <c r="J152" s="157"/>
      <c r="K152" s="18"/>
      <c r="L152" s="157"/>
      <c r="M152" s="18"/>
      <c r="N152" s="157"/>
      <c r="O152" s="18"/>
      <c r="P152" s="157"/>
      <c r="Q152" s="96">
        <f t="shared" si="323"/>
        <v>0</v>
      </c>
      <c r="R152" s="337">
        <f t="shared" si="324"/>
        <v>0</v>
      </c>
      <c r="S152" s="96"/>
      <c r="T152" s="96">
        <f t="shared" si="325"/>
        <v>0</v>
      </c>
      <c r="U152" s="96"/>
      <c r="V152" s="96">
        <f t="shared" si="326"/>
        <v>0</v>
      </c>
      <c r="W152" s="96"/>
      <c r="X152" s="96">
        <f t="shared" si="327"/>
        <v>0</v>
      </c>
      <c r="Y152" s="96">
        <f t="shared" si="328"/>
        <v>0</v>
      </c>
      <c r="Z152" s="96">
        <f t="shared" si="329"/>
        <v>0</v>
      </c>
      <c r="AA152" s="96"/>
      <c r="AB152" s="96">
        <f t="shared" si="330"/>
        <v>0</v>
      </c>
      <c r="AC152" s="96"/>
      <c r="AD152" s="96">
        <f t="shared" si="331"/>
        <v>0</v>
      </c>
      <c r="AE152" s="96"/>
      <c r="AF152" s="95">
        <f t="shared" si="332"/>
        <v>0</v>
      </c>
      <c r="AG152" s="96">
        <f t="shared" si="333"/>
        <v>0</v>
      </c>
      <c r="AH152" s="96">
        <f t="shared" si="334"/>
        <v>0</v>
      </c>
      <c r="AI152" s="96">
        <f t="shared" si="335"/>
        <v>0</v>
      </c>
      <c r="AJ152" s="96">
        <f t="shared" si="336"/>
        <v>0</v>
      </c>
      <c r="AK152" s="96"/>
      <c r="AL152" s="96">
        <f t="shared" si="337"/>
        <v>0</v>
      </c>
      <c r="AM152" s="96"/>
      <c r="AN152" s="96">
        <f t="shared" si="338"/>
        <v>0</v>
      </c>
      <c r="AO152" s="96"/>
      <c r="AP152" s="96">
        <f t="shared" si="339"/>
        <v>0</v>
      </c>
      <c r="AQ152" s="96">
        <f t="shared" si="340"/>
        <v>0</v>
      </c>
      <c r="AR152" s="96">
        <f t="shared" si="341"/>
        <v>0</v>
      </c>
      <c r="AS152" s="96"/>
      <c r="AT152" s="96">
        <f t="shared" si="342"/>
        <v>0</v>
      </c>
      <c r="AU152" s="96"/>
      <c r="AV152" s="96">
        <f t="shared" si="343"/>
        <v>0</v>
      </c>
      <c r="AW152" s="96"/>
      <c r="AX152" s="96">
        <f t="shared" si="344"/>
        <v>0</v>
      </c>
      <c r="AY152" s="96">
        <f t="shared" si="345"/>
        <v>0</v>
      </c>
      <c r="AZ152" s="96">
        <f t="shared" si="346"/>
        <v>0</v>
      </c>
      <c r="BA152" s="96">
        <f t="shared" si="347"/>
        <v>0</v>
      </c>
      <c r="BB152" s="96">
        <f t="shared" si="348"/>
        <v>0</v>
      </c>
      <c r="BC152" s="1" t="s">
        <v>1718</v>
      </c>
    </row>
    <row r="153" spans="1:55" hidden="1">
      <c r="A153" s="492">
        <v>109</v>
      </c>
      <c r="B153" s="13"/>
      <c r="C153" s="13"/>
      <c r="D153" s="15"/>
      <c r="E153" s="21" t="s">
        <v>139</v>
      </c>
      <c r="F153" s="45" t="s">
        <v>38</v>
      </c>
      <c r="G153" s="45" t="s">
        <v>1059</v>
      </c>
      <c r="H153" s="265" t="s">
        <v>358</v>
      </c>
      <c r="I153" s="18"/>
      <c r="J153" s="157"/>
      <c r="K153" s="18"/>
      <c r="L153" s="157"/>
      <c r="M153" s="18"/>
      <c r="N153" s="157"/>
      <c r="O153" s="18"/>
      <c r="P153" s="157"/>
      <c r="Q153" s="96">
        <f t="shared" si="323"/>
        <v>0</v>
      </c>
      <c r="R153" s="337">
        <f t="shared" si="324"/>
        <v>0</v>
      </c>
      <c r="S153" s="96"/>
      <c r="T153" s="96">
        <f t="shared" si="325"/>
        <v>0</v>
      </c>
      <c r="U153" s="96"/>
      <c r="V153" s="96">
        <f t="shared" si="326"/>
        <v>0</v>
      </c>
      <c r="W153" s="96"/>
      <c r="X153" s="96">
        <f t="shared" si="327"/>
        <v>0</v>
      </c>
      <c r="Y153" s="96">
        <f t="shared" si="328"/>
        <v>0</v>
      </c>
      <c r="Z153" s="96">
        <f t="shared" si="329"/>
        <v>0</v>
      </c>
      <c r="AA153" s="96"/>
      <c r="AB153" s="96">
        <f t="shared" si="330"/>
        <v>0</v>
      </c>
      <c r="AC153" s="96"/>
      <c r="AD153" s="96">
        <f t="shared" si="331"/>
        <v>0</v>
      </c>
      <c r="AE153" s="96"/>
      <c r="AF153" s="95">
        <f t="shared" si="332"/>
        <v>0</v>
      </c>
      <c r="AG153" s="96">
        <f t="shared" si="333"/>
        <v>0</v>
      </c>
      <c r="AH153" s="96">
        <f t="shared" si="334"/>
        <v>0</v>
      </c>
      <c r="AI153" s="96">
        <f t="shared" si="335"/>
        <v>0</v>
      </c>
      <c r="AJ153" s="96">
        <f t="shared" si="336"/>
        <v>0</v>
      </c>
      <c r="AK153" s="96"/>
      <c r="AL153" s="96">
        <f t="shared" si="337"/>
        <v>0</v>
      </c>
      <c r="AM153" s="96"/>
      <c r="AN153" s="96">
        <f t="shared" si="338"/>
        <v>0</v>
      </c>
      <c r="AO153" s="96"/>
      <c r="AP153" s="96">
        <f t="shared" si="339"/>
        <v>0</v>
      </c>
      <c r="AQ153" s="96">
        <f t="shared" si="340"/>
        <v>0</v>
      </c>
      <c r="AR153" s="96">
        <f t="shared" si="341"/>
        <v>0</v>
      </c>
      <c r="AS153" s="96"/>
      <c r="AT153" s="96">
        <f t="shared" si="342"/>
        <v>0</v>
      </c>
      <c r="AU153" s="96"/>
      <c r="AV153" s="96">
        <f t="shared" si="343"/>
        <v>0</v>
      </c>
      <c r="AW153" s="96"/>
      <c r="AX153" s="96">
        <f t="shared" si="344"/>
        <v>0</v>
      </c>
      <c r="AY153" s="96">
        <f t="shared" si="345"/>
        <v>0</v>
      </c>
      <c r="AZ153" s="96">
        <f t="shared" si="346"/>
        <v>0</v>
      </c>
      <c r="BA153" s="96">
        <f t="shared" si="347"/>
        <v>0</v>
      </c>
      <c r="BB153" s="96">
        <f t="shared" si="348"/>
        <v>0</v>
      </c>
      <c r="BC153" s="1" t="s">
        <v>1718</v>
      </c>
    </row>
    <row r="154" spans="1:55" hidden="1">
      <c r="A154" s="492">
        <v>110</v>
      </c>
      <c r="B154" s="13"/>
      <c r="C154" s="13"/>
      <c r="D154" s="15"/>
      <c r="E154" s="21" t="s">
        <v>140</v>
      </c>
      <c r="F154" s="45" t="s">
        <v>40</v>
      </c>
      <c r="G154" s="45" t="s">
        <v>1059</v>
      </c>
      <c r="H154" s="265" t="s">
        <v>358</v>
      </c>
      <c r="I154" s="18"/>
      <c r="J154" s="157"/>
      <c r="K154" s="18"/>
      <c r="L154" s="157"/>
      <c r="M154" s="18"/>
      <c r="N154" s="157"/>
      <c r="O154" s="18"/>
      <c r="P154" s="157"/>
      <c r="Q154" s="96">
        <f t="shared" si="323"/>
        <v>0</v>
      </c>
      <c r="R154" s="337">
        <f t="shared" si="324"/>
        <v>0</v>
      </c>
      <c r="S154" s="96"/>
      <c r="T154" s="96">
        <f t="shared" si="325"/>
        <v>0</v>
      </c>
      <c r="U154" s="96"/>
      <c r="V154" s="96">
        <f t="shared" si="326"/>
        <v>0</v>
      </c>
      <c r="W154" s="96"/>
      <c r="X154" s="96">
        <f t="shared" si="327"/>
        <v>0</v>
      </c>
      <c r="Y154" s="96">
        <f t="shared" si="328"/>
        <v>0</v>
      </c>
      <c r="Z154" s="96">
        <f t="shared" si="329"/>
        <v>0</v>
      </c>
      <c r="AA154" s="96"/>
      <c r="AB154" s="96">
        <f t="shared" si="330"/>
        <v>0</v>
      </c>
      <c r="AC154" s="96"/>
      <c r="AD154" s="96">
        <f t="shared" si="331"/>
        <v>0</v>
      </c>
      <c r="AE154" s="96"/>
      <c r="AF154" s="95">
        <f t="shared" si="332"/>
        <v>0</v>
      </c>
      <c r="AG154" s="96">
        <f t="shared" si="333"/>
        <v>0</v>
      </c>
      <c r="AH154" s="96">
        <f t="shared" si="334"/>
        <v>0</v>
      </c>
      <c r="AI154" s="96">
        <f t="shared" si="335"/>
        <v>0</v>
      </c>
      <c r="AJ154" s="96">
        <f t="shared" si="336"/>
        <v>0</v>
      </c>
      <c r="AK154" s="96"/>
      <c r="AL154" s="96">
        <f t="shared" si="337"/>
        <v>0</v>
      </c>
      <c r="AM154" s="96"/>
      <c r="AN154" s="96">
        <f t="shared" si="338"/>
        <v>0</v>
      </c>
      <c r="AO154" s="96"/>
      <c r="AP154" s="96">
        <f t="shared" si="339"/>
        <v>0</v>
      </c>
      <c r="AQ154" s="96">
        <f t="shared" si="340"/>
        <v>0</v>
      </c>
      <c r="AR154" s="96">
        <f t="shared" si="341"/>
        <v>0</v>
      </c>
      <c r="AS154" s="96"/>
      <c r="AT154" s="96">
        <f t="shared" si="342"/>
        <v>0</v>
      </c>
      <c r="AU154" s="96"/>
      <c r="AV154" s="96">
        <f t="shared" si="343"/>
        <v>0</v>
      </c>
      <c r="AW154" s="96"/>
      <c r="AX154" s="96">
        <f t="shared" si="344"/>
        <v>0</v>
      </c>
      <c r="AY154" s="96">
        <f t="shared" si="345"/>
        <v>0</v>
      </c>
      <c r="AZ154" s="96">
        <f t="shared" si="346"/>
        <v>0</v>
      </c>
      <c r="BA154" s="96">
        <f t="shared" si="347"/>
        <v>0</v>
      </c>
      <c r="BB154" s="96">
        <f t="shared" si="348"/>
        <v>0</v>
      </c>
      <c r="BC154" s="1" t="s">
        <v>1718</v>
      </c>
    </row>
    <row r="155" spans="1:55" hidden="1">
      <c r="A155" s="492">
        <v>111</v>
      </c>
      <c r="B155" s="13"/>
      <c r="C155" s="13"/>
      <c r="D155" s="15"/>
      <c r="E155" s="21" t="s">
        <v>141</v>
      </c>
      <c r="F155" s="45" t="s">
        <v>41</v>
      </c>
      <c r="G155" s="45" t="s">
        <v>1059</v>
      </c>
      <c r="H155" s="265" t="s">
        <v>358</v>
      </c>
      <c r="I155" s="18">
        <v>2.87</v>
      </c>
      <c r="J155" s="157"/>
      <c r="K155" s="18"/>
      <c r="L155" s="157"/>
      <c r="M155" s="18"/>
      <c r="N155" s="157"/>
      <c r="O155" s="18"/>
      <c r="P155" s="157"/>
      <c r="Q155" s="96">
        <f t="shared" si="323"/>
        <v>0</v>
      </c>
      <c r="R155" s="337">
        <f t="shared" si="324"/>
        <v>0</v>
      </c>
      <c r="S155" s="96"/>
      <c r="T155" s="96">
        <f t="shared" si="325"/>
        <v>0</v>
      </c>
      <c r="U155" s="96"/>
      <c r="V155" s="96">
        <f t="shared" si="326"/>
        <v>0</v>
      </c>
      <c r="W155" s="96"/>
      <c r="X155" s="96">
        <f t="shared" si="327"/>
        <v>0</v>
      </c>
      <c r="Y155" s="96">
        <f t="shared" si="328"/>
        <v>0</v>
      </c>
      <c r="Z155" s="96">
        <f t="shared" si="329"/>
        <v>0</v>
      </c>
      <c r="AA155" s="96"/>
      <c r="AB155" s="96">
        <f t="shared" si="330"/>
        <v>0</v>
      </c>
      <c r="AC155" s="96"/>
      <c r="AD155" s="96">
        <f t="shared" si="331"/>
        <v>0</v>
      </c>
      <c r="AE155" s="96"/>
      <c r="AF155" s="95">
        <f t="shared" si="332"/>
        <v>0</v>
      </c>
      <c r="AG155" s="96">
        <f t="shared" si="333"/>
        <v>0</v>
      </c>
      <c r="AH155" s="96">
        <f t="shared" si="334"/>
        <v>0</v>
      </c>
      <c r="AI155" s="96">
        <f t="shared" si="335"/>
        <v>0</v>
      </c>
      <c r="AJ155" s="96">
        <f t="shared" si="336"/>
        <v>0</v>
      </c>
      <c r="AK155" s="96"/>
      <c r="AL155" s="96">
        <f t="shared" si="337"/>
        <v>0</v>
      </c>
      <c r="AM155" s="96"/>
      <c r="AN155" s="96">
        <f t="shared" si="338"/>
        <v>0</v>
      </c>
      <c r="AO155" s="96"/>
      <c r="AP155" s="96">
        <f t="shared" si="339"/>
        <v>0</v>
      </c>
      <c r="AQ155" s="96">
        <f t="shared" si="340"/>
        <v>0</v>
      </c>
      <c r="AR155" s="96">
        <f t="shared" si="341"/>
        <v>0</v>
      </c>
      <c r="AS155" s="96"/>
      <c r="AT155" s="96">
        <f t="shared" si="342"/>
        <v>0</v>
      </c>
      <c r="AU155" s="96"/>
      <c r="AV155" s="96">
        <f t="shared" si="343"/>
        <v>0</v>
      </c>
      <c r="AW155" s="96"/>
      <c r="AX155" s="96">
        <f t="shared" si="344"/>
        <v>0</v>
      </c>
      <c r="AY155" s="96">
        <f t="shared" si="345"/>
        <v>0</v>
      </c>
      <c r="AZ155" s="96">
        <f t="shared" si="346"/>
        <v>0</v>
      </c>
      <c r="BA155" s="96">
        <f t="shared" si="347"/>
        <v>0</v>
      </c>
      <c r="BB155" s="96">
        <f t="shared" si="348"/>
        <v>0</v>
      </c>
      <c r="BC155" s="1" t="s">
        <v>1715</v>
      </c>
    </row>
    <row r="156" spans="1:55">
      <c r="A156" s="492">
        <v>112</v>
      </c>
      <c r="B156" s="13"/>
      <c r="C156" s="13"/>
      <c r="D156" s="15" t="s">
        <v>572</v>
      </c>
      <c r="E156" s="21" t="s">
        <v>918</v>
      </c>
      <c r="F156" s="45" t="s">
        <v>962</v>
      </c>
      <c r="G156" s="45" t="s">
        <v>1057</v>
      </c>
      <c r="H156" s="265" t="s">
        <v>358</v>
      </c>
      <c r="I156" s="18">
        <v>12.7</v>
      </c>
      <c r="J156" s="157"/>
      <c r="K156" s="18">
        <v>12.69</v>
      </c>
      <c r="L156" s="157"/>
      <c r="M156" s="18"/>
      <c r="N156" s="157"/>
      <c r="O156" s="18"/>
      <c r="P156" s="157"/>
      <c r="Q156" s="96">
        <f t="shared" si="323"/>
        <v>9.2119999999999997</v>
      </c>
      <c r="R156" s="337">
        <f t="shared" si="324"/>
        <v>170.9034690096</v>
      </c>
      <c r="S156" s="96">
        <v>3.024</v>
      </c>
      <c r="T156" s="96">
        <f t="shared" si="325"/>
        <v>55.443089520000008</v>
      </c>
      <c r="U156" s="96">
        <v>3.1440000000000001</v>
      </c>
      <c r="V156" s="96">
        <f t="shared" si="326"/>
        <v>57.427995888000005</v>
      </c>
      <c r="W156" s="96">
        <v>2.88</v>
      </c>
      <c r="X156" s="96">
        <f t="shared" si="327"/>
        <v>54.950685119999989</v>
      </c>
      <c r="Y156" s="96">
        <f t="shared" si="328"/>
        <v>9.048</v>
      </c>
      <c r="Z156" s="96">
        <f t="shared" si="329"/>
        <v>167.821770528</v>
      </c>
      <c r="AA156" s="96">
        <v>0.16400000000000001</v>
      </c>
      <c r="AB156" s="96">
        <f t="shared" si="330"/>
        <v>3.0816984816000006</v>
      </c>
      <c r="AC156" s="96"/>
      <c r="AD156" s="96">
        <f t="shared" si="331"/>
        <v>0</v>
      </c>
      <c r="AE156" s="96"/>
      <c r="AF156" s="95">
        <f t="shared" si="332"/>
        <v>0</v>
      </c>
      <c r="AG156" s="96">
        <f t="shared" si="333"/>
        <v>0.16400000000000001</v>
      </c>
      <c r="AH156" s="96">
        <f t="shared" si="334"/>
        <v>3.0816984816000006</v>
      </c>
      <c r="AI156" s="96">
        <f t="shared" si="335"/>
        <v>9.2119999999999997</v>
      </c>
      <c r="AJ156" s="96">
        <f t="shared" si="336"/>
        <v>170.9034690096</v>
      </c>
      <c r="AK156" s="96"/>
      <c r="AL156" s="96">
        <f t="shared" si="337"/>
        <v>0</v>
      </c>
      <c r="AM156" s="96"/>
      <c r="AN156" s="96">
        <f t="shared" si="338"/>
        <v>0</v>
      </c>
      <c r="AO156" s="96"/>
      <c r="AP156" s="96">
        <f t="shared" si="339"/>
        <v>0</v>
      </c>
      <c r="AQ156" s="96">
        <f t="shared" si="340"/>
        <v>0</v>
      </c>
      <c r="AR156" s="96">
        <f t="shared" si="341"/>
        <v>0</v>
      </c>
      <c r="AS156" s="96"/>
      <c r="AT156" s="96">
        <f t="shared" si="342"/>
        <v>0</v>
      </c>
      <c r="AU156" s="96"/>
      <c r="AV156" s="96">
        <f t="shared" si="343"/>
        <v>0</v>
      </c>
      <c r="AW156" s="96"/>
      <c r="AX156" s="96">
        <f t="shared" si="344"/>
        <v>0</v>
      </c>
      <c r="AY156" s="96">
        <f t="shared" si="345"/>
        <v>0</v>
      </c>
      <c r="AZ156" s="96">
        <f t="shared" si="346"/>
        <v>0</v>
      </c>
      <c r="BA156" s="96">
        <f t="shared" si="347"/>
        <v>0</v>
      </c>
      <c r="BB156" s="96">
        <f t="shared" si="348"/>
        <v>0</v>
      </c>
      <c r="BC156" s="1" t="s">
        <v>1715</v>
      </c>
    </row>
    <row r="157" spans="1:55">
      <c r="A157" s="492">
        <v>113</v>
      </c>
      <c r="B157" s="13"/>
      <c r="C157" s="23"/>
      <c r="D157" s="15"/>
      <c r="E157" s="21" t="s">
        <v>2214</v>
      </c>
      <c r="F157" s="45" t="s">
        <v>2215</v>
      </c>
      <c r="G157" s="45" t="s">
        <v>1060</v>
      </c>
      <c r="H157" s="265" t="s">
        <v>358</v>
      </c>
      <c r="I157" s="18">
        <v>12.9</v>
      </c>
      <c r="J157" s="157"/>
      <c r="K157" s="18">
        <v>12.82</v>
      </c>
      <c r="L157" s="157"/>
      <c r="M157" s="18"/>
      <c r="N157" s="157"/>
      <c r="O157" s="18"/>
      <c r="P157" s="157"/>
      <c r="Q157" s="96">
        <f t="shared" ref="Q157" si="349">SUM(AI157+BA157)</f>
        <v>4.3439999999999994</v>
      </c>
      <c r="R157" s="337">
        <f t="shared" ref="R157" si="350">SUM(AJ157+BB157)</f>
        <v>82.532732697600011</v>
      </c>
      <c r="S157" s="96">
        <v>0.14399999999999999</v>
      </c>
      <c r="T157" s="96">
        <f t="shared" ref="T157" si="351">I157*S157*$T$2/1000</f>
        <v>2.6817242399999999</v>
      </c>
      <c r="U157" s="96">
        <v>1.8480000000000001</v>
      </c>
      <c r="V157" s="96">
        <f t="shared" ref="V157" si="352">I157*U157*$V$2/1000</f>
        <v>34.286967792000006</v>
      </c>
      <c r="W157" s="96">
        <v>2.3039999999999998</v>
      </c>
      <c r="X157" s="96">
        <f t="shared" ref="X157" si="353">I157*W157*$X$2/1000</f>
        <v>44.652840191999999</v>
      </c>
      <c r="Y157" s="96">
        <f t="shared" ref="Y157" si="354">SUM(S157+U157+W157)</f>
        <v>4.2959999999999994</v>
      </c>
      <c r="Z157" s="96">
        <f t="shared" ref="Z157" si="355">SUM(T157+V157+X157)</f>
        <v>81.621532224000006</v>
      </c>
      <c r="AA157" s="96">
        <v>4.8000000000000001E-2</v>
      </c>
      <c r="AB157" s="96">
        <f t="shared" ref="AB157" si="356">K157*AA157*$AB$2/1000</f>
        <v>0.9112004736</v>
      </c>
      <c r="AC157" s="96"/>
      <c r="AD157" s="96">
        <f t="shared" ref="AD157" si="357">K157*AC157*$AD$2/1000</f>
        <v>0</v>
      </c>
      <c r="AE157" s="96"/>
      <c r="AF157" s="95">
        <f t="shared" ref="AF157" si="358">K157*AE157*$AF$2/1000</f>
        <v>0</v>
      </c>
      <c r="AG157" s="96">
        <f t="shared" ref="AG157" si="359">SUM(AA157+AC157+AE157)</f>
        <v>4.8000000000000001E-2</v>
      </c>
      <c r="AH157" s="96">
        <f t="shared" ref="AH157" si="360">SUM(AB157+AD157+AF157)</f>
        <v>0.9112004736</v>
      </c>
      <c r="AI157" s="96">
        <f t="shared" ref="AI157" si="361">SUM(Y157+AG157)</f>
        <v>4.3439999999999994</v>
      </c>
      <c r="AJ157" s="96">
        <f t="shared" ref="AJ157" si="362">SUM(Z157,AH157)</f>
        <v>82.532732697600011</v>
      </c>
      <c r="AK157" s="96"/>
      <c r="AL157" s="96">
        <f t="shared" ref="AL157" si="363">M157*AK157*$AL$2/1000</f>
        <v>0</v>
      </c>
      <c r="AM157" s="96"/>
      <c r="AN157" s="96">
        <f t="shared" ref="AN157" si="364">M157*AM157*$AN$2/1000</f>
        <v>0</v>
      </c>
      <c r="AO157" s="96"/>
      <c r="AP157" s="96">
        <f t="shared" ref="AP157" si="365">M157*AO157*$AP$2/1000</f>
        <v>0</v>
      </c>
      <c r="AQ157" s="96">
        <f t="shared" ref="AQ157" si="366">SUM(AK157+AM157+AO157)</f>
        <v>0</v>
      </c>
      <c r="AR157" s="96">
        <f t="shared" ref="AR157" si="367">SUM(AL157+AN157+AP157)</f>
        <v>0</v>
      </c>
      <c r="AS157" s="96"/>
      <c r="AT157" s="96">
        <f t="shared" ref="AT157" si="368">O157*AS157*$AT$2/1000</f>
        <v>0</v>
      </c>
      <c r="AU157" s="96"/>
      <c r="AV157" s="96">
        <f t="shared" ref="AV157" si="369">O157*AU157*$AV$2/1000</f>
        <v>0</v>
      </c>
      <c r="AW157" s="96"/>
      <c r="AX157" s="96">
        <f t="shared" ref="AX157" si="370">O157*AW157*$AX$2/1000</f>
        <v>0</v>
      </c>
      <c r="AY157" s="96">
        <f t="shared" ref="AY157" si="371">SUM(AS157+AU157+AW157)</f>
        <v>0</v>
      </c>
      <c r="AZ157" s="96">
        <f t="shared" ref="AZ157" si="372">SUM(AT157+AV157+AX157)</f>
        <v>0</v>
      </c>
      <c r="BA157" s="96">
        <f t="shared" ref="BA157" si="373">SUM(AQ157+AY157)</f>
        <v>0</v>
      </c>
      <c r="BB157" s="96">
        <f t="shared" ref="BB157" si="374">SUM(AR157,AZ157)</f>
        <v>0</v>
      </c>
      <c r="BC157" s="1" t="s">
        <v>1060</v>
      </c>
    </row>
    <row r="158" spans="1:55">
      <c r="A158" s="492">
        <v>113</v>
      </c>
      <c r="B158" s="13"/>
      <c r="C158" s="23"/>
      <c r="D158" s="15"/>
      <c r="E158" s="21" t="s">
        <v>2281</v>
      </c>
      <c r="F158" s="45" t="s">
        <v>2282</v>
      </c>
      <c r="G158" s="45" t="s">
        <v>1060</v>
      </c>
      <c r="H158" s="265" t="s">
        <v>358</v>
      </c>
      <c r="I158" s="18">
        <v>13.05</v>
      </c>
      <c r="J158" s="157"/>
      <c r="K158" s="18">
        <v>12.69</v>
      </c>
      <c r="L158" s="157"/>
      <c r="M158" s="18"/>
      <c r="N158" s="157"/>
      <c r="O158" s="18"/>
      <c r="P158" s="157"/>
      <c r="Q158" s="96">
        <f t="shared" si="323"/>
        <v>0.72</v>
      </c>
      <c r="R158" s="337">
        <f t="shared" si="324"/>
        <v>13.84854516</v>
      </c>
      <c r="S158" s="96"/>
      <c r="T158" s="96">
        <f t="shared" si="325"/>
        <v>0</v>
      </c>
      <c r="U158" s="96">
        <v>0.32</v>
      </c>
      <c r="V158" s="96">
        <f t="shared" si="326"/>
        <v>6.0061737600000003</v>
      </c>
      <c r="W158" s="96">
        <v>0.4</v>
      </c>
      <c r="X158" s="96">
        <f t="shared" si="327"/>
        <v>7.8423714000000002</v>
      </c>
      <c r="Y158" s="96">
        <f t="shared" si="328"/>
        <v>0.72</v>
      </c>
      <c r="Z158" s="96">
        <f t="shared" si="329"/>
        <v>13.84854516</v>
      </c>
      <c r="AA158" s="96"/>
      <c r="AB158" s="96">
        <f t="shared" si="330"/>
        <v>0</v>
      </c>
      <c r="AC158" s="96"/>
      <c r="AD158" s="96">
        <f t="shared" si="331"/>
        <v>0</v>
      </c>
      <c r="AE158" s="96"/>
      <c r="AF158" s="95">
        <f t="shared" si="332"/>
        <v>0</v>
      </c>
      <c r="AG158" s="96">
        <f t="shared" si="333"/>
        <v>0</v>
      </c>
      <c r="AH158" s="96">
        <f t="shared" si="334"/>
        <v>0</v>
      </c>
      <c r="AI158" s="96">
        <f t="shared" si="335"/>
        <v>0.72</v>
      </c>
      <c r="AJ158" s="96">
        <f t="shared" si="336"/>
        <v>13.84854516</v>
      </c>
      <c r="AK158" s="96"/>
      <c r="AL158" s="96">
        <f t="shared" si="337"/>
        <v>0</v>
      </c>
      <c r="AM158" s="96"/>
      <c r="AN158" s="96">
        <f t="shared" si="338"/>
        <v>0</v>
      </c>
      <c r="AO158" s="96"/>
      <c r="AP158" s="96">
        <f t="shared" si="339"/>
        <v>0</v>
      </c>
      <c r="AQ158" s="96">
        <f t="shared" si="340"/>
        <v>0</v>
      </c>
      <c r="AR158" s="96">
        <f t="shared" si="341"/>
        <v>0</v>
      </c>
      <c r="AS158" s="96"/>
      <c r="AT158" s="96">
        <f t="shared" si="342"/>
        <v>0</v>
      </c>
      <c r="AU158" s="96"/>
      <c r="AV158" s="96">
        <f t="shared" si="343"/>
        <v>0</v>
      </c>
      <c r="AW158" s="96"/>
      <c r="AX158" s="96">
        <f t="shared" si="344"/>
        <v>0</v>
      </c>
      <c r="AY158" s="96">
        <f t="shared" si="345"/>
        <v>0</v>
      </c>
      <c r="AZ158" s="96">
        <f t="shared" si="346"/>
        <v>0</v>
      </c>
      <c r="BA158" s="96">
        <f t="shared" si="347"/>
        <v>0</v>
      </c>
      <c r="BB158" s="96">
        <f t="shared" si="348"/>
        <v>0</v>
      </c>
      <c r="BC158" s="1" t="s">
        <v>1715</v>
      </c>
    </row>
    <row r="159" spans="1:55" hidden="1">
      <c r="A159" s="492">
        <v>114</v>
      </c>
      <c r="B159" s="13"/>
      <c r="C159" s="13"/>
      <c r="D159" s="15"/>
      <c r="E159" s="21" t="s">
        <v>880</v>
      </c>
      <c r="F159" s="45" t="s">
        <v>879</v>
      </c>
      <c r="G159" s="45" t="s">
        <v>1060</v>
      </c>
      <c r="H159" s="265" t="s">
        <v>358</v>
      </c>
      <c r="I159" s="18"/>
      <c r="J159" s="157"/>
      <c r="K159" s="18"/>
      <c r="L159" s="157"/>
      <c r="M159" s="18"/>
      <c r="N159" s="157"/>
      <c r="O159" s="18"/>
      <c r="P159" s="157"/>
      <c r="Q159" s="96">
        <f t="shared" si="323"/>
        <v>0</v>
      </c>
      <c r="R159" s="337">
        <f t="shared" si="324"/>
        <v>0</v>
      </c>
      <c r="S159" s="96"/>
      <c r="T159" s="96">
        <f t="shared" si="325"/>
        <v>0</v>
      </c>
      <c r="U159" s="96"/>
      <c r="V159" s="96">
        <f t="shared" si="326"/>
        <v>0</v>
      </c>
      <c r="W159" s="96"/>
      <c r="X159" s="96">
        <f t="shared" si="327"/>
        <v>0</v>
      </c>
      <c r="Y159" s="96">
        <f t="shared" si="328"/>
        <v>0</v>
      </c>
      <c r="Z159" s="96">
        <f t="shared" si="329"/>
        <v>0</v>
      </c>
      <c r="AA159" s="96"/>
      <c r="AB159" s="96">
        <f t="shared" si="330"/>
        <v>0</v>
      </c>
      <c r="AC159" s="96"/>
      <c r="AD159" s="96">
        <f t="shared" si="331"/>
        <v>0</v>
      </c>
      <c r="AE159" s="96"/>
      <c r="AF159" s="95">
        <f t="shared" si="332"/>
        <v>0</v>
      </c>
      <c r="AG159" s="96">
        <f t="shared" si="333"/>
        <v>0</v>
      </c>
      <c r="AH159" s="96">
        <f t="shared" si="334"/>
        <v>0</v>
      </c>
      <c r="AI159" s="96">
        <f t="shared" si="335"/>
        <v>0</v>
      </c>
      <c r="AJ159" s="96">
        <f t="shared" si="336"/>
        <v>0</v>
      </c>
      <c r="AK159" s="96"/>
      <c r="AL159" s="96">
        <f t="shared" si="337"/>
        <v>0</v>
      </c>
      <c r="AM159" s="96"/>
      <c r="AN159" s="96">
        <f t="shared" si="338"/>
        <v>0</v>
      </c>
      <c r="AO159" s="96"/>
      <c r="AP159" s="96">
        <f t="shared" si="339"/>
        <v>0</v>
      </c>
      <c r="AQ159" s="96">
        <f t="shared" si="340"/>
        <v>0</v>
      </c>
      <c r="AR159" s="96">
        <f t="shared" si="341"/>
        <v>0</v>
      </c>
      <c r="AS159" s="96"/>
      <c r="AT159" s="96">
        <f t="shared" si="342"/>
        <v>0</v>
      </c>
      <c r="AU159" s="96"/>
      <c r="AV159" s="96">
        <f t="shared" si="343"/>
        <v>0</v>
      </c>
      <c r="AW159" s="96"/>
      <c r="AX159" s="96">
        <f t="shared" si="344"/>
        <v>0</v>
      </c>
      <c r="AY159" s="96">
        <f t="shared" si="345"/>
        <v>0</v>
      </c>
      <c r="AZ159" s="96">
        <f t="shared" si="346"/>
        <v>0</v>
      </c>
      <c r="BA159" s="96">
        <f t="shared" si="347"/>
        <v>0</v>
      </c>
      <c r="BB159" s="96">
        <f t="shared" si="348"/>
        <v>0</v>
      </c>
      <c r="BC159" s="1" t="s">
        <v>1715</v>
      </c>
    </row>
    <row r="160" spans="1:55" ht="12.75" hidden="1" customHeight="1">
      <c r="A160" s="492">
        <v>115</v>
      </c>
      <c r="B160" s="13"/>
      <c r="C160" s="23"/>
      <c r="D160" s="15"/>
      <c r="E160" s="21" t="s">
        <v>142</v>
      </c>
      <c r="F160" s="45" t="s">
        <v>143</v>
      </c>
      <c r="G160" s="45" t="s">
        <v>1060</v>
      </c>
      <c r="H160" s="265" t="s">
        <v>358</v>
      </c>
      <c r="I160" s="18">
        <v>8.6999999999999993</v>
      </c>
      <c r="J160" s="157"/>
      <c r="K160" s="18">
        <v>8.6999999999999993</v>
      </c>
      <c r="L160" s="157"/>
      <c r="M160" s="18"/>
      <c r="N160" s="157"/>
      <c r="O160" s="18"/>
      <c r="P160" s="157"/>
      <c r="Q160" s="96">
        <f t="shared" si="323"/>
        <v>0</v>
      </c>
      <c r="R160" s="337">
        <f t="shared" si="324"/>
        <v>0</v>
      </c>
      <c r="S160" s="96"/>
      <c r="T160" s="96">
        <f t="shared" si="325"/>
        <v>0</v>
      </c>
      <c r="U160" s="96"/>
      <c r="V160" s="96">
        <f t="shared" si="326"/>
        <v>0</v>
      </c>
      <c r="W160" s="96"/>
      <c r="X160" s="96">
        <f t="shared" si="327"/>
        <v>0</v>
      </c>
      <c r="Y160" s="96">
        <f t="shared" si="328"/>
        <v>0</v>
      </c>
      <c r="Z160" s="96">
        <f t="shared" si="329"/>
        <v>0</v>
      </c>
      <c r="AA160" s="96"/>
      <c r="AB160" s="96">
        <f t="shared" si="330"/>
        <v>0</v>
      </c>
      <c r="AC160" s="96"/>
      <c r="AD160" s="96">
        <f t="shared" si="331"/>
        <v>0</v>
      </c>
      <c r="AE160" s="96"/>
      <c r="AF160" s="95">
        <f t="shared" si="332"/>
        <v>0</v>
      </c>
      <c r="AG160" s="96">
        <f t="shared" si="333"/>
        <v>0</v>
      </c>
      <c r="AH160" s="96">
        <f t="shared" si="334"/>
        <v>0</v>
      </c>
      <c r="AI160" s="96">
        <f t="shared" si="335"/>
        <v>0</v>
      </c>
      <c r="AJ160" s="96">
        <f t="shared" si="336"/>
        <v>0</v>
      </c>
      <c r="AK160" s="96"/>
      <c r="AL160" s="96">
        <f t="shared" si="337"/>
        <v>0</v>
      </c>
      <c r="AM160" s="96"/>
      <c r="AN160" s="96">
        <f t="shared" si="338"/>
        <v>0</v>
      </c>
      <c r="AO160" s="96"/>
      <c r="AP160" s="96">
        <f t="shared" si="339"/>
        <v>0</v>
      </c>
      <c r="AQ160" s="96">
        <f t="shared" si="340"/>
        <v>0</v>
      </c>
      <c r="AR160" s="96">
        <f t="shared" si="341"/>
        <v>0</v>
      </c>
      <c r="AS160" s="96"/>
      <c r="AT160" s="96">
        <f t="shared" si="342"/>
        <v>0</v>
      </c>
      <c r="AU160" s="96"/>
      <c r="AV160" s="96">
        <f t="shared" si="343"/>
        <v>0</v>
      </c>
      <c r="AW160" s="96"/>
      <c r="AX160" s="96">
        <f t="shared" si="344"/>
        <v>0</v>
      </c>
      <c r="AY160" s="96">
        <f t="shared" si="345"/>
        <v>0</v>
      </c>
      <c r="AZ160" s="96">
        <f t="shared" si="346"/>
        <v>0</v>
      </c>
      <c r="BA160" s="96">
        <f t="shared" si="347"/>
        <v>0</v>
      </c>
      <c r="BB160" s="96">
        <f t="shared" si="348"/>
        <v>0</v>
      </c>
      <c r="BC160" s="1" t="s">
        <v>1715</v>
      </c>
    </row>
    <row r="161" spans="1:55">
      <c r="B161" s="13"/>
      <c r="C161" s="13"/>
      <c r="D161" s="13"/>
      <c r="E161" s="21" t="s">
        <v>1257</v>
      </c>
      <c r="F161" s="22" t="s">
        <v>1258</v>
      </c>
      <c r="G161" s="45" t="s">
        <v>1056</v>
      </c>
      <c r="H161" s="265" t="s">
        <v>358</v>
      </c>
      <c r="I161" s="54">
        <v>15.8</v>
      </c>
      <c r="J161" s="101"/>
      <c r="K161" s="54">
        <v>15.79</v>
      </c>
      <c r="L161" s="162"/>
      <c r="M161" s="54"/>
      <c r="N161" s="162"/>
      <c r="O161" s="54"/>
      <c r="P161" s="101"/>
      <c r="Q161" s="96">
        <f t="shared" si="323"/>
        <v>0.12</v>
      </c>
      <c r="R161" s="337">
        <f t="shared" si="324"/>
        <v>2.7351165119999998</v>
      </c>
      <c r="S161" s="96">
        <v>9.6000000000000002E-2</v>
      </c>
      <c r="T161" s="96">
        <f t="shared" si="325"/>
        <v>2.18972832</v>
      </c>
      <c r="U161" s="96">
        <v>2.4E-2</v>
      </c>
      <c r="V161" s="176">
        <f t="shared" si="326"/>
        <v>0.54538819199999999</v>
      </c>
      <c r="W161" s="206"/>
      <c r="X161" s="205">
        <f t="shared" si="327"/>
        <v>0</v>
      </c>
      <c r="Y161" s="188">
        <f t="shared" si="328"/>
        <v>0.12</v>
      </c>
      <c r="Z161" s="176">
        <f t="shared" si="329"/>
        <v>2.7351165119999998</v>
      </c>
      <c r="AA161" s="206"/>
      <c r="AB161" s="205">
        <f t="shared" si="330"/>
        <v>0</v>
      </c>
      <c r="AC161" s="206"/>
      <c r="AD161" s="176">
        <f t="shared" si="331"/>
        <v>0</v>
      </c>
      <c r="AE161" s="206"/>
      <c r="AF161" s="205">
        <f t="shared" si="332"/>
        <v>0</v>
      </c>
      <c r="AG161" s="188">
        <f t="shared" si="333"/>
        <v>0</v>
      </c>
      <c r="AH161" s="96">
        <f t="shared" si="334"/>
        <v>0</v>
      </c>
      <c r="AI161" s="96">
        <f t="shared" si="335"/>
        <v>0.12</v>
      </c>
      <c r="AJ161" s="176">
        <f t="shared" si="336"/>
        <v>2.7351165119999998</v>
      </c>
      <c r="AK161" s="206"/>
      <c r="AL161" s="176">
        <f t="shared" si="337"/>
        <v>0</v>
      </c>
      <c r="AM161" s="243"/>
      <c r="AN161" s="176">
        <f t="shared" si="338"/>
        <v>0</v>
      </c>
      <c r="AO161" s="206"/>
      <c r="AP161" s="205">
        <f t="shared" si="339"/>
        <v>0</v>
      </c>
      <c r="AQ161" s="188">
        <f t="shared" si="340"/>
        <v>0</v>
      </c>
      <c r="AR161" s="96">
        <f t="shared" si="341"/>
        <v>0</v>
      </c>
      <c r="AS161" s="96"/>
      <c r="AT161" s="176">
        <f t="shared" si="342"/>
        <v>0</v>
      </c>
      <c r="AU161" s="206"/>
      <c r="AV161" s="176">
        <f t="shared" si="343"/>
        <v>0</v>
      </c>
      <c r="AW161" s="206"/>
      <c r="AX161" s="205">
        <f t="shared" si="344"/>
        <v>0</v>
      </c>
      <c r="AY161" s="188">
        <f t="shared" si="345"/>
        <v>0</v>
      </c>
      <c r="AZ161" s="96">
        <f t="shared" si="346"/>
        <v>0</v>
      </c>
      <c r="BA161" s="96">
        <f t="shared" si="347"/>
        <v>0</v>
      </c>
      <c r="BB161" s="96">
        <f t="shared" si="348"/>
        <v>0</v>
      </c>
      <c r="BC161" s="1" t="s">
        <v>1715</v>
      </c>
    </row>
    <row r="162" spans="1:55">
      <c r="A162" s="492">
        <v>119</v>
      </c>
      <c r="B162" s="13"/>
      <c r="C162" s="13"/>
      <c r="D162" s="13"/>
      <c r="E162" s="21" t="s">
        <v>1448</v>
      </c>
      <c r="F162" s="22" t="s">
        <v>1258</v>
      </c>
      <c r="G162" s="45" t="s">
        <v>1059</v>
      </c>
      <c r="H162" s="265" t="s">
        <v>359</v>
      </c>
      <c r="I162" s="18">
        <v>15.8</v>
      </c>
      <c r="J162" s="157"/>
      <c r="K162" s="18">
        <v>15.8</v>
      </c>
      <c r="L162" s="157"/>
      <c r="M162" s="18"/>
      <c r="N162" s="157"/>
      <c r="O162" s="18"/>
      <c r="P162" s="157"/>
      <c r="Q162" s="96">
        <f t="shared" si="323"/>
        <v>11.712</v>
      </c>
      <c r="R162" s="337">
        <f t="shared" si="324"/>
        <v>271.17021633600001</v>
      </c>
      <c r="S162" s="96">
        <v>3.5760000000000001</v>
      </c>
      <c r="T162" s="96">
        <f t="shared" si="325"/>
        <v>81.567379920000008</v>
      </c>
      <c r="U162" s="96">
        <v>3.48</v>
      </c>
      <c r="V162" s="96">
        <f t="shared" si="326"/>
        <v>79.081287840000002</v>
      </c>
      <c r="W162" s="96">
        <v>4.6559999999999997</v>
      </c>
      <c r="X162" s="96">
        <f t="shared" si="327"/>
        <v>110.521548576</v>
      </c>
      <c r="Y162" s="96">
        <f t="shared" si="328"/>
        <v>11.712</v>
      </c>
      <c r="Z162" s="96">
        <f t="shared" si="329"/>
        <v>271.17021633600001</v>
      </c>
      <c r="AA162" s="96"/>
      <c r="AB162" s="96">
        <f t="shared" si="330"/>
        <v>0</v>
      </c>
      <c r="AC162" s="96"/>
      <c r="AD162" s="96">
        <f t="shared" si="331"/>
        <v>0</v>
      </c>
      <c r="AE162" s="96"/>
      <c r="AF162" s="95">
        <f t="shared" si="332"/>
        <v>0</v>
      </c>
      <c r="AG162" s="96">
        <f t="shared" si="333"/>
        <v>0</v>
      </c>
      <c r="AH162" s="96">
        <f t="shared" si="334"/>
        <v>0</v>
      </c>
      <c r="AI162" s="96">
        <f t="shared" si="335"/>
        <v>11.712</v>
      </c>
      <c r="AJ162" s="96">
        <f t="shared" si="336"/>
        <v>271.17021633600001</v>
      </c>
      <c r="AK162" s="96"/>
      <c r="AL162" s="96">
        <f t="shared" si="337"/>
        <v>0</v>
      </c>
      <c r="AM162" s="96"/>
      <c r="AN162" s="96">
        <f t="shared" si="338"/>
        <v>0</v>
      </c>
      <c r="AO162" s="96"/>
      <c r="AP162" s="96">
        <f t="shared" si="339"/>
        <v>0</v>
      </c>
      <c r="AQ162" s="96">
        <f t="shared" si="340"/>
        <v>0</v>
      </c>
      <c r="AR162" s="96">
        <f t="shared" si="341"/>
        <v>0</v>
      </c>
      <c r="AS162" s="96"/>
      <c r="AT162" s="96">
        <f t="shared" si="342"/>
        <v>0</v>
      </c>
      <c r="AU162" s="96"/>
      <c r="AV162" s="96">
        <f t="shared" si="343"/>
        <v>0</v>
      </c>
      <c r="AW162" s="96"/>
      <c r="AX162" s="96">
        <f t="shared" si="344"/>
        <v>0</v>
      </c>
      <c r="AY162" s="96">
        <f t="shared" si="345"/>
        <v>0</v>
      </c>
      <c r="AZ162" s="96">
        <f t="shared" si="346"/>
        <v>0</v>
      </c>
      <c r="BA162" s="96">
        <f t="shared" si="347"/>
        <v>0</v>
      </c>
      <c r="BB162" s="96">
        <f t="shared" si="348"/>
        <v>0</v>
      </c>
      <c r="BC162" s="1" t="s">
        <v>1715</v>
      </c>
    </row>
    <row r="163" spans="1:55">
      <c r="A163" s="492">
        <v>119</v>
      </c>
      <c r="B163" s="13"/>
      <c r="C163" s="13"/>
      <c r="D163" s="13"/>
      <c r="E163" s="21" t="s">
        <v>1357</v>
      </c>
      <c r="F163" s="22" t="s">
        <v>1258</v>
      </c>
      <c r="G163" s="45" t="s">
        <v>1059</v>
      </c>
      <c r="H163" s="265" t="s">
        <v>360</v>
      </c>
      <c r="I163" s="18">
        <v>15.8</v>
      </c>
      <c r="J163" s="157"/>
      <c r="K163" s="18">
        <v>15.8</v>
      </c>
      <c r="L163" s="157"/>
      <c r="M163" s="18"/>
      <c r="N163" s="157"/>
      <c r="O163" s="18"/>
      <c r="P163" s="157"/>
      <c r="Q163" s="96">
        <f t="shared" si="323"/>
        <v>0</v>
      </c>
      <c r="R163" s="337">
        <f t="shared" si="324"/>
        <v>0</v>
      </c>
      <c r="S163" s="96"/>
      <c r="T163" s="96">
        <f t="shared" si="325"/>
        <v>0</v>
      </c>
      <c r="U163" s="96"/>
      <c r="V163" s="96">
        <f t="shared" si="326"/>
        <v>0</v>
      </c>
      <c r="W163" s="96"/>
      <c r="X163" s="96">
        <f t="shared" si="327"/>
        <v>0</v>
      </c>
      <c r="Y163" s="96">
        <f t="shared" si="328"/>
        <v>0</v>
      </c>
      <c r="Z163" s="96">
        <f t="shared" si="329"/>
        <v>0</v>
      </c>
      <c r="AA163" s="96"/>
      <c r="AB163" s="96">
        <f t="shared" si="330"/>
        <v>0</v>
      </c>
      <c r="AC163" s="96"/>
      <c r="AD163" s="96">
        <f t="shared" si="331"/>
        <v>0</v>
      </c>
      <c r="AE163" s="96"/>
      <c r="AF163" s="95">
        <f t="shared" si="332"/>
        <v>0</v>
      </c>
      <c r="AG163" s="96">
        <f t="shared" si="333"/>
        <v>0</v>
      </c>
      <c r="AH163" s="96">
        <f t="shared" si="334"/>
        <v>0</v>
      </c>
      <c r="AI163" s="96">
        <f t="shared" si="335"/>
        <v>0</v>
      </c>
      <c r="AJ163" s="96">
        <f t="shared" si="336"/>
        <v>0</v>
      </c>
      <c r="AK163" s="96"/>
      <c r="AL163" s="96">
        <f t="shared" si="337"/>
        <v>0</v>
      </c>
      <c r="AM163" s="96"/>
      <c r="AN163" s="96">
        <f t="shared" si="338"/>
        <v>0</v>
      </c>
      <c r="AO163" s="96"/>
      <c r="AP163" s="96">
        <f t="shared" si="339"/>
        <v>0</v>
      </c>
      <c r="AQ163" s="96">
        <f t="shared" si="340"/>
        <v>0</v>
      </c>
      <c r="AR163" s="96">
        <f t="shared" si="341"/>
        <v>0</v>
      </c>
      <c r="AS163" s="96"/>
      <c r="AT163" s="96">
        <f t="shared" si="342"/>
        <v>0</v>
      </c>
      <c r="AU163" s="96"/>
      <c r="AV163" s="96">
        <f t="shared" si="343"/>
        <v>0</v>
      </c>
      <c r="AW163" s="96"/>
      <c r="AX163" s="96">
        <f t="shared" si="344"/>
        <v>0</v>
      </c>
      <c r="AY163" s="96">
        <f t="shared" si="345"/>
        <v>0</v>
      </c>
      <c r="AZ163" s="96">
        <f t="shared" si="346"/>
        <v>0</v>
      </c>
      <c r="BA163" s="96">
        <f t="shared" si="347"/>
        <v>0</v>
      </c>
      <c r="BB163" s="96">
        <f t="shared" si="348"/>
        <v>0</v>
      </c>
      <c r="BC163" s="1" t="s">
        <v>1715</v>
      </c>
    </row>
    <row r="164" spans="1:55">
      <c r="B164" s="13"/>
      <c r="C164" s="13"/>
      <c r="D164" s="13"/>
      <c r="E164" s="21" t="s">
        <v>1259</v>
      </c>
      <c r="F164" s="22" t="s">
        <v>1260</v>
      </c>
      <c r="G164" s="45" t="s">
        <v>1056</v>
      </c>
      <c r="H164" s="265" t="s">
        <v>358</v>
      </c>
      <c r="I164" s="54">
        <v>17.02</v>
      </c>
      <c r="J164" s="101"/>
      <c r="K164" s="54">
        <v>17.02</v>
      </c>
      <c r="L164" s="162"/>
      <c r="M164" s="54"/>
      <c r="N164" s="162"/>
      <c r="O164" s="54"/>
      <c r="P164" s="101"/>
      <c r="Q164" s="96">
        <f t="shared" si="323"/>
        <v>0.91200000000000003</v>
      </c>
      <c r="R164" s="337">
        <f t="shared" si="324"/>
        <v>22.873487083199997</v>
      </c>
      <c r="S164" s="96"/>
      <c r="T164" s="96">
        <f t="shared" si="325"/>
        <v>0</v>
      </c>
      <c r="U164" s="96">
        <v>0.28799999999999998</v>
      </c>
      <c r="V164" s="176">
        <f t="shared" si="326"/>
        <v>7.0500053376</v>
      </c>
      <c r="W164" s="206">
        <v>0.26400000000000001</v>
      </c>
      <c r="X164" s="205">
        <f t="shared" si="327"/>
        <v>6.7505690735999995</v>
      </c>
      <c r="Y164" s="188">
        <f t="shared" si="328"/>
        <v>0.55200000000000005</v>
      </c>
      <c r="Z164" s="176">
        <f t="shared" si="329"/>
        <v>13.8005744112</v>
      </c>
      <c r="AA164" s="206">
        <v>0.36</v>
      </c>
      <c r="AB164" s="205">
        <f t="shared" si="330"/>
        <v>9.0729126719999993</v>
      </c>
      <c r="AC164" s="206"/>
      <c r="AD164" s="176">
        <f t="shared" si="331"/>
        <v>0</v>
      </c>
      <c r="AE164" s="206"/>
      <c r="AF164" s="205">
        <f t="shared" si="332"/>
        <v>0</v>
      </c>
      <c r="AG164" s="188">
        <f t="shared" si="333"/>
        <v>0.36</v>
      </c>
      <c r="AH164" s="96">
        <f t="shared" si="334"/>
        <v>9.0729126719999993</v>
      </c>
      <c r="AI164" s="96">
        <f t="shared" si="335"/>
        <v>0.91200000000000003</v>
      </c>
      <c r="AJ164" s="176">
        <f t="shared" si="336"/>
        <v>22.873487083199997</v>
      </c>
      <c r="AK164" s="206"/>
      <c r="AL164" s="176">
        <f t="shared" si="337"/>
        <v>0</v>
      </c>
      <c r="AM164" s="243"/>
      <c r="AN164" s="176">
        <f t="shared" si="338"/>
        <v>0</v>
      </c>
      <c r="AO164" s="206"/>
      <c r="AP164" s="205">
        <f t="shared" si="339"/>
        <v>0</v>
      </c>
      <c r="AQ164" s="188">
        <f t="shared" si="340"/>
        <v>0</v>
      </c>
      <c r="AR164" s="96">
        <f t="shared" si="341"/>
        <v>0</v>
      </c>
      <c r="AS164" s="96"/>
      <c r="AT164" s="176">
        <f t="shared" si="342"/>
        <v>0</v>
      </c>
      <c r="AU164" s="206"/>
      <c r="AV164" s="176">
        <f t="shared" si="343"/>
        <v>0</v>
      </c>
      <c r="AW164" s="206"/>
      <c r="AX164" s="205">
        <f t="shared" si="344"/>
        <v>0</v>
      </c>
      <c r="AY164" s="188">
        <f t="shared" si="345"/>
        <v>0</v>
      </c>
      <c r="AZ164" s="96">
        <f t="shared" si="346"/>
        <v>0</v>
      </c>
      <c r="BA164" s="96">
        <f t="shared" si="347"/>
        <v>0</v>
      </c>
      <c r="BB164" s="96">
        <f t="shared" si="348"/>
        <v>0</v>
      </c>
      <c r="BC164" s="1" t="s">
        <v>1715</v>
      </c>
    </row>
    <row r="165" spans="1:55">
      <c r="B165" s="13"/>
      <c r="C165" s="13"/>
      <c r="D165" s="13"/>
      <c r="E165" s="21" t="s">
        <v>1261</v>
      </c>
      <c r="F165" s="22" t="s">
        <v>1262</v>
      </c>
      <c r="G165" s="45" t="s">
        <v>1057</v>
      </c>
      <c r="H165" s="265" t="s">
        <v>358</v>
      </c>
      <c r="I165" s="54">
        <v>15.73</v>
      </c>
      <c r="J165" s="101"/>
      <c r="K165" s="54">
        <v>15.73</v>
      </c>
      <c r="L165" s="162"/>
      <c r="M165" s="54"/>
      <c r="N165" s="162"/>
      <c r="O165" s="54"/>
      <c r="P165" s="101"/>
      <c r="Q165" s="96">
        <f t="shared" si="323"/>
        <v>0.28799999999999998</v>
      </c>
      <c r="R165" s="337">
        <f t="shared" si="324"/>
        <v>6.5400809760000005</v>
      </c>
      <c r="S165" s="96">
        <v>0.28799999999999998</v>
      </c>
      <c r="T165" s="96">
        <f t="shared" si="325"/>
        <v>6.5400809760000005</v>
      </c>
      <c r="U165" s="96"/>
      <c r="V165" s="176">
        <f t="shared" si="326"/>
        <v>0</v>
      </c>
      <c r="W165" s="206"/>
      <c r="X165" s="205">
        <f t="shared" si="327"/>
        <v>0</v>
      </c>
      <c r="Y165" s="188">
        <f t="shared" si="328"/>
        <v>0.28799999999999998</v>
      </c>
      <c r="Z165" s="176">
        <f t="shared" si="329"/>
        <v>6.5400809760000005</v>
      </c>
      <c r="AA165" s="206"/>
      <c r="AB165" s="205">
        <f t="shared" si="330"/>
        <v>0</v>
      </c>
      <c r="AC165" s="206"/>
      <c r="AD165" s="176">
        <f t="shared" si="331"/>
        <v>0</v>
      </c>
      <c r="AE165" s="206"/>
      <c r="AF165" s="205">
        <f t="shared" si="332"/>
        <v>0</v>
      </c>
      <c r="AG165" s="188">
        <f t="shared" si="333"/>
        <v>0</v>
      </c>
      <c r="AH165" s="96">
        <f t="shared" si="334"/>
        <v>0</v>
      </c>
      <c r="AI165" s="96">
        <f t="shared" si="335"/>
        <v>0.28799999999999998</v>
      </c>
      <c r="AJ165" s="176">
        <f t="shared" si="336"/>
        <v>6.5400809760000005</v>
      </c>
      <c r="AK165" s="206"/>
      <c r="AL165" s="176">
        <f t="shared" si="337"/>
        <v>0</v>
      </c>
      <c r="AM165" s="243"/>
      <c r="AN165" s="176">
        <f t="shared" si="338"/>
        <v>0</v>
      </c>
      <c r="AO165" s="206"/>
      <c r="AP165" s="205">
        <f t="shared" si="339"/>
        <v>0</v>
      </c>
      <c r="AQ165" s="188">
        <f t="shared" si="340"/>
        <v>0</v>
      </c>
      <c r="AR165" s="96">
        <f t="shared" si="341"/>
        <v>0</v>
      </c>
      <c r="AS165" s="96"/>
      <c r="AT165" s="176">
        <f t="shared" si="342"/>
        <v>0</v>
      </c>
      <c r="AU165" s="206"/>
      <c r="AV165" s="176">
        <f t="shared" si="343"/>
        <v>0</v>
      </c>
      <c r="AW165" s="206"/>
      <c r="AX165" s="205">
        <f t="shared" si="344"/>
        <v>0</v>
      </c>
      <c r="AY165" s="188">
        <f t="shared" si="345"/>
        <v>0</v>
      </c>
      <c r="AZ165" s="96">
        <f t="shared" si="346"/>
        <v>0</v>
      </c>
      <c r="BA165" s="96">
        <f t="shared" si="347"/>
        <v>0</v>
      </c>
      <c r="BB165" s="96">
        <f t="shared" si="348"/>
        <v>0</v>
      </c>
      <c r="BC165" s="1" t="s">
        <v>1715</v>
      </c>
    </row>
    <row r="166" spans="1:55">
      <c r="A166" s="492">
        <v>119</v>
      </c>
      <c r="B166" s="13"/>
      <c r="C166" s="13"/>
      <c r="D166" s="13"/>
      <c r="E166" s="21" t="s">
        <v>1449</v>
      </c>
      <c r="F166" s="22" t="s">
        <v>1359</v>
      </c>
      <c r="G166" s="45" t="s">
        <v>1059</v>
      </c>
      <c r="H166" s="265" t="s">
        <v>360</v>
      </c>
      <c r="I166" s="18">
        <v>15.73</v>
      </c>
      <c r="J166" s="157"/>
      <c r="K166" s="18">
        <v>15.73</v>
      </c>
      <c r="L166" s="157"/>
      <c r="M166" s="18"/>
      <c r="N166" s="157"/>
      <c r="O166" s="18"/>
      <c r="P166" s="157"/>
      <c r="Q166" s="96">
        <f t="shared" si="323"/>
        <v>0.28800000000000003</v>
      </c>
      <c r="R166" s="337">
        <f t="shared" si="324"/>
        <v>6.5622489504000008</v>
      </c>
      <c r="S166" s="96">
        <v>0.26400000000000001</v>
      </c>
      <c r="T166" s="96">
        <f t="shared" si="325"/>
        <v>5.9950742280000009</v>
      </c>
      <c r="U166" s="96"/>
      <c r="V166" s="96">
        <f t="shared" si="326"/>
        <v>0</v>
      </c>
      <c r="W166" s="96">
        <v>2.4E-2</v>
      </c>
      <c r="X166" s="96">
        <f t="shared" si="327"/>
        <v>0.5671747224</v>
      </c>
      <c r="Y166" s="96">
        <f t="shared" si="328"/>
        <v>0.28800000000000003</v>
      </c>
      <c r="Z166" s="96">
        <f t="shared" si="329"/>
        <v>6.5622489504000008</v>
      </c>
      <c r="AA166" s="96"/>
      <c r="AB166" s="96">
        <f t="shared" si="330"/>
        <v>0</v>
      </c>
      <c r="AC166" s="96"/>
      <c r="AD166" s="96">
        <f t="shared" si="331"/>
        <v>0</v>
      </c>
      <c r="AE166" s="96"/>
      <c r="AF166" s="95">
        <f t="shared" si="332"/>
        <v>0</v>
      </c>
      <c r="AG166" s="96">
        <f t="shared" si="333"/>
        <v>0</v>
      </c>
      <c r="AH166" s="96">
        <f t="shared" si="334"/>
        <v>0</v>
      </c>
      <c r="AI166" s="96">
        <f t="shared" si="335"/>
        <v>0.28800000000000003</v>
      </c>
      <c r="AJ166" s="96">
        <f t="shared" si="336"/>
        <v>6.5622489504000008</v>
      </c>
      <c r="AK166" s="96"/>
      <c r="AL166" s="96">
        <f t="shared" si="337"/>
        <v>0</v>
      </c>
      <c r="AM166" s="96"/>
      <c r="AN166" s="96">
        <f t="shared" si="338"/>
        <v>0</v>
      </c>
      <c r="AO166" s="96"/>
      <c r="AP166" s="96">
        <f t="shared" si="339"/>
        <v>0</v>
      </c>
      <c r="AQ166" s="96">
        <f t="shared" si="340"/>
        <v>0</v>
      </c>
      <c r="AR166" s="96">
        <f t="shared" si="341"/>
        <v>0</v>
      </c>
      <c r="AS166" s="96"/>
      <c r="AT166" s="96">
        <f t="shared" si="342"/>
        <v>0</v>
      </c>
      <c r="AU166" s="96"/>
      <c r="AV166" s="96">
        <f t="shared" si="343"/>
        <v>0</v>
      </c>
      <c r="AW166" s="96"/>
      <c r="AX166" s="96">
        <f t="shared" si="344"/>
        <v>0</v>
      </c>
      <c r="AY166" s="96">
        <f t="shared" si="345"/>
        <v>0</v>
      </c>
      <c r="AZ166" s="96">
        <f t="shared" si="346"/>
        <v>0</v>
      </c>
      <c r="BA166" s="96">
        <f t="shared" si="347"/>
        <v>0</v>
      </c>
      <c r="BB166" s="96">
        <f t="shared" si="348"/>
        <v>0</v>
      </c>
      <c r="BC166" s="1" t="s">
        <v>1715</v>
      </c>
    </row>
    <row r="167" spans="1:55">
      <c r="A167" s="492">
        <v>119</v>
      </c>
      <c r="B167" s="13"/>
      <c r="C167" s="13"/>
      <c r="D167" s="13"/>
      <c r="E167" s="21" t="s">
        <v>1358</v>
      </c>
      <c r="F167" s="22" t="s">
        <v>1359</v>
      </c>
      <c r="G167" s="45" t="s">
        <v>1059</v>
      </c>
      <c r="H167" s="265" t="s">
        <v>360</v>
      </c>
      <c r="I167" s="18">
        <v>16.079999999999998</v>
      </c>
      <c r="J167" s="157"/>
      <c r="K167" s="18">
        <v>16.079999999999998</v>
      </c>
      <c r="L167" s="157"/>
      <c r="M167" s="18"/>
      <c r="N167" s="157"/>
      <c r="O167" s="18"/>
      <c r="P167" s="157"/>
      <c r="Q167" s="96">
        <f t="shared" si="323"/>
        <v>0</v>
      </c>
      <c r="R167" s="337">
        <f t="shared" si="324"/>
        <v>0</v>
      </c>
      <c r="S167" s="96"/>
      <c r="T167" s="96">
        <f t="shared" si="325"/>
        <v>0</v>
      </c>
      <c r="U167" s="96"/>
      <c r="V167" s="96">
        <f t="shared" si="326"/>
        <v>0</v>
      </c>
      <c r="W167" s="96"/>
      <c r="X167" s="96">
        <f t="shared" si="327"/>
        <v>0</v>
      </c>
      <c r="Y167" s="96">
        <f t="shared" si="328"/>
        <v>0</v>
      </c>
      <c r="Z167" s="96">
        <f t="shared" si="329"/>
        <v>0</v>
      </c>
      <c r="AA167" s="96"/>
      <c r="AB167" s="96">
        <f t="shared" si="330"/>
        <v>0</v>
      </c>
      <c r="AC167" s="96"/>
      <c r="AD167" s="96">
        <f t="shared" si="331"/>
        <v>0</v>
      </c>
      <c r="AE167" s="96"/>
      <c r="AF167" s="95">
        <f t="shared" si="332"/>
        <v>0</v>
      </c>
      <c r="AG167" s="96">
        <f t="shared" si="333"/>
        <v>0</v>
      </c>
      <c r="AH167" s="96">
        <f t="shared" si="334"/>
        <v>0</v>
      </c>
      <c r="AI167" s="96">
        <f t="shared" si="335"/>
        <v>0</v>
      </c>
      <c r="AJ167" s="96">
        <f t="shared" si="336"/>
        <v>0</v>
      </c>
      <c r="AK167" s="96"/>
      <c r="AL167" s="96">
        <f t="shared" si="337"/>
        <v>0</v>
      </c>
      <c r="AM167" s="96"/>
      <c r="AN167" s="96">
        <f t="shared" si="338"/>
        <v>0</v>
      </c>
      <c r="AO167" s="96"/>
      <c r="AP167" s="96">
        <f t="shared" si="339"/>
        <v>0</v>
      </c>
      <c r="AQ167" s="96">
        <f t="shared" si="340"/>
        <v>0</v>
      </c>
      <c r="AR167" s="96">
        <f t="shared" si="341"/>
        <v>0</v>
      </c>
      <c r="AS167" s="96"/>
      <c r="AT167" s="96">
        <f t="shared" si="342"/>
        <v>0</v>
      </c>
      <c r="AU167" s="96"/>
      <c r="AV167" s="96">
        <f t="shared" si="343"/>
        <v>0</v>
      </c>
      <c r="AW167" s="96"/>
      <c r="AX167" s="96">
        <f t="shared" si="344"/>
        <v>0</v>
      </c>
      <c r="AY167" s="96">
        <f t="shared" si="345"/>
        <v>0</v>
      </c>
      <c r="AZ167" s="96">
        <f t="shared" si="346"/>
        <v>0</v>
      </c>
      <c r="BA167" s="96">
        <f t="shared" si="347"/>
        <v>0</v>
      </c>
      <c r="BB167" s="96">
        <f t="shared" si="348"/>
        <v>0</v>
      </c>
      <c r="BC167" s="1" t="s">
        <v>1715</v>
      </c>
    </row>
    <row r="168" spans="1:55">
      <c r="A168" s="492">
        <v>119</v>
      </c>
      <c r="B168" s="13"/>
      <c r="C168" s="13"/>
      <c r="D168" s="13"/>
      <c r="E168" s="21" t="s">
        <v>1363</v>
      </c>
      <c r="F168" s="45" t="s">
        <v>1362</v>
      </c>
      <c r="G168" s="45" t="s">
        <v>1059</v>
      </c>
      <c r="H168" s="265" t="s">
        <v>360</v>
      </c>
      <c r="I168" s="18">
        <v>17.149999999999999</v>
      </c>
      <c r="J168" s="157"/>
      <c r="K168" s="18">
        <v>17.149999999999999</v>
      </c>
      <c r="L168" s="157"/>
      <c r="M168" s="18"/>
      <c r="N168" s="157"/>
      <c r="O168" s="18"/>
      <c r="P168" s="157"/>
      <c r="Q168" s="96">
        <f t="shared" si="323"/>
        <v>0</v>
      </c>
      <c r="R168" s="337">
        <f t="shared" si="324"/>
        <v>0</v>
      </c>
      <c r="S168" s="96"/>
      <c r="T168" s="96">
        <f t="shared" si="325"/>
        <v>0</v>
      </c>
      <c r="U168" s="96"/>
      <c r="V168" s="96">
        <f t="shared" si="326"/>
        <v>0</v>
      </c>
      <c r="W168" s="96"/>
      <c r="X168" s="96">
        <f t="shared" si="327"/>
        <v>0</v>
      </c>
      <c r="Y168" s="96">
        <f t="shared" si="328"/>
        <v>0</v>
      </c>
      <c r="Z168" s="96">
        <f t="shared" si="329"/>
        <v>0</v>
      </c>
      <c r="AA168" s="96"/>
      <c r="AB168" s="96">
        <f t="shared" si="330"/>
        <v>0</v>
      </c>
      <c r="AC168" s="96"/>
      <c r="AD168" s="96">
        <f t="shared" si="331"/>
        <v>0</v>
      </c>
      <c r="AE168" s="96"/>
      <c r="AF168" s="95">
        <f t="shared" si="332"/>
        <v>0</v>
      </c>
      <c r="AG168" s="96">
        <f t="shared" si="333"/>
        <v>0</v>
      </c>
      <c r="AH168" s="96">
        <f t="shared" si="334"/>
        <v>0</v>
      </c>
      <c r="AI168" s="96">
        <f t="shared" si="335"/>
        <v>0</v>
      </c>
      <c r="AJ168" s="96">
        <f t="shared" si="336"/>
        <v>0</v>
      </c>
      <c r="AK168" s="96"/>
      <c r="AL168" s="96">
        <f t="shared" si="337"/>
        <v>0</v>
      </c>
      <c r="AM168" s="96"/>
      <c r="AN168" s="96">
        <f t="shared" si="338"/>
        <v>0</v>
      </c>
      <c r="AO168" s="96"/>
      <c r="AP168" s="96">
        <f t="shared" si="339"/>
        <v>0</v>
      </c>
      <c r="AQ168" s="96">
        <f t="shared" si="340"/>
        <v>0</v>
      </c>
      <c r="AR168" s="96">
        <f t="shared" si="341"/>
        <v>0</v>
      </c>
      <c r="AS168" s="96"/>
      <c r="AT168" s="96">
        <f t="shared" si="342"/>
        <v>0</v>
      </c>
      <c r="AU168" s="96"/>
      <c r="AV168" s="96">
        <f t="shared" si="343"/>
        <v>0</v>
      </c>
      <c r="AW168" s="96"/>
      <c r="AX168" s="96">
        <f t="shared" si="344"/>
        <v>0</v>
      </c>
      <c r="AY168" s="96">
        <f t="shared" si="345"/>
        <v>0</v>
      </c>
      <c r="AZ168" s="96">
        <f t="shared" si="346"/>
        <v>0</v>
      </c>
      <c r="BA168" s="96">
        <f t="shared" si="347"/>
        <v>0</v>
      </c>
      <c r="BB168" s="96">
        <f t="shared" si="348"/>
        <v>0</v>
      </c>
      <c r="BC168" s="1" t="s">
        <v>1715</v>
      </c>
    </row>
    <row r="169" spans="1:55">
      <c r="A169" s="492">
        <v>117</v>
      </c>
      <c r="B169" s="13"/>
      <c r="C169" s="13"/>
      <c r="D169" s="13"/>
      <c r="E169" s="21" t="s">
        <v>806</v>
      </c>
      <c r="F169" s="45" t="s">
        <v>807</v>
      </c>
      <c r="G169" s="45" t="s">
        <v>1059</v>
      </c>
      <c r="H169" s="265" t="s">
        <v>359</v>
      </c>
      <c r="I169" s="18">
        <v>14</v>
      </c>
      <c r="J169" s="157"/>
      <c r="K169" s="18">
        <v>13.99</v>
      </c>
      <c r="L169" s="157"/>
      <c r="M169" s="18"/>
      <c r="N169" s="157"/>
      <c r="O169" s="18"/>
      <c r="P169" s="157"/>
      <c r="Q169" s="96">
        <f t="shared" si="323"/>
        <v>51.288000000000004</v>
      </c>
      <c r="R169" s="337">
        <f t="shared" si="324"/>
        <v>1051.2453481344</v>
      </c>
      <c r="S169" s="96">
        <v>18.576000000000001</v>
      </c>
      <c r="T169" s="96">
        <f t="shared" si="325"/>
        <v>375.44139360000008</v>
      </c>
      <c r="U169" s="96">
        <v>12.407999999999999</v>
      </c>
      <c r="V169" s="96">
        <f t="shared" si="326"/>
        <v>249.84302112</v>
      </c>
      <c r="W169" s="96">
        <v>16.847999999999999</v>
      </c>
      <c r="X169" s="96">
        <f t="shared" si="327"/>
        <v>354.36701663999992</v>
      </c>
      <c r="Y169" s="96">
        <f t="shared" si="328"/>
        <v>47.832000000000001</v>
      </c>
      <c r="Z169" s="96">
        <f t="shared" si="329"/>
        <v>979.65143136000006</v>
      </c>
      <c r="AA169" s="96">
        <v>3.456</v>
      </c>
      <c r="AB169" s="96">
        <f t="shared" si="330"/>
        <v>71.5939167744</v>
      </c>
      <c r="AC169" s="96"/>
      <c r="AD169" s="96">
        <f t="shared" si="331"/>
        <v>0</v>
      </c>
      <c r="AE169" s="96"/>
      <c r="AF169" s="95">
        <f t="shared" si="332"/>
        <v>0</v>
      </c>
      <c r="AG169" s="96">
        <f t="shared" si="333"/>
        <v>3.456</v>
      </c>
      <c r="AH169" s="96">
        <f t="shared" si="334"/>
        <v>71.5939167744</v>
      </c>
      <c r="AI169" s="96">
        <f t="shared" si="335"/>
        <v>51.288000000000004</v>
      </c>
      <c r="AJ169" s="96">
        <f t="shared" si="336"/>
        <v>1051.2453481344</v>
      </c>
      <c r="AK169" s="96"/>
      <c r="AL169" s="96">
        <f t="shared" si="337"/>
        <v>0</v>
      </c>
      <c r="AM169" s="96"/>
      <c r="AN169" s="96">
        <f t="shared" si="338"/>
        <v>0</v>
      </c>
      <c r="AO169" s="96"/>
      <c r="AP169" s="96">
        <f t="shared" si="339"/>
        <v>0</v>
      </c>
      <c r="AQ169" s="96">
        <f t="shared" si="340"/>
        <v>0</v>
      </c>
      <c r="AR169" s="96">
        <f t="shared" si="341"/>
        <v>0</v>
      </c>
      <c r="AS169" s="96"/>
      <c r="AT169" s="96">
        <f t="shared" si="342"/>
        <v>0</v>
      </c>
      <c r="AU169" s="96"/>
      <c r="AV169" s="96">
        <f t="shared" si="343"/>
        <v>0</v>
      </c>
      <c r="AW169" s="96"/>
      <c r="AX169" s="96">
        <f t="shared" si="344"/>
        <v>0</v>
      </c>
      <c r="AY169" s="96">
        <f t="shared" si="345"/>
        <v>0</v>
      </c>
      <c r="AZ169" s="96">
        <f t="shared" si="346"/>
        <v>0</v>
      </c>
      <c r="BA169" s="96">
        <f t="shared" si="347"/>
        <v>0</v>
      </c>
      <c r="BB169" s="96">
        <f t="shared" si="348"/>
        <v>0</v>
      </c>
      <c r="BC169" s="1" t="s">
        <v>1715</v>
      </c>
    </row>
    <row r="170" spans="1:55">
      <c r="A170" s="492">
        <v>118</v>
      </c>
      <c r="B170" s="13"/>
      <c r="C170" s="23"/>
      <c r="D170" s="36"/>
      <c r="E170" s="21" t="s">
        <v>835</v>
      </c>
      <c r="F170" s="45" t="s">
        <v>836</v>
      </c>
      <c r="G170" s="45" t="s">
        <v>1060</v>
      </c>
      <c r="H170" s="265" t="s">
        <v>358</v>
      </c>
      <c r="I170" s="18">
        <v>14.38</v>
      </c>
      <c r="J170" s="157"/>
      <c r="K170" s="18">
        <v>14.38</v>
      </c>
      <c r="L170" s="157"/>
      <c r="M170" s="18"/>
      <c r="N170" s="157"/>
      <c r="O170" s="18"/>
      <c r="P170" s="157"/>
      <c r="Q170" s="96">
        <f t="shared" si="323"/>
        <v>1.3160000000000001</v>
      </c>
      <c r="R170" s="337">
        <f t="shared" si="324"/>
        <v>27.704692207799997</v>
      </c>
      <c r="S170" s="96">
        <v>0.29099999999999998</v>
      </c>
      <c r="T170" s="96">
        <f t="shared" si="325"/>
        <v>6.0410689169999996</v>
      </c>
      <c r="U170" s="96">
        <v>0.497</v>
      </c>
      <c r="V170" s="96">
        <f t="shared" si="326"/>
        <v>10.279042863599999</v>
      </c>
      <c r="W170" s="96">
        <v>0.45600000000000002</v>
      </c>
      <c r="X170" s="96">
        <f t="shared" si="327"/>
        <v>9.8514607535999996</v>
      </c>
      <c r="Y170" s="96">
        <f t="shared" si="328"/>
        <v>1.244</v>
      </c>
      <c r="Z170" s="96">
        <f t="shared" si="329"/>
        <v>26.171572534199996</v>
      </c>
      <c r="AA170" s="96">
        <v>7.1999999999999995E-2</v>
      </c>
      <c r="AB170" s="96">
        <f t="shared" si="330"/>
        <v>1.5331196736000001</v>
      </c>
      <c r="AC170" s="96"/>
      <c r="AD170" s="96">
        <f t="shared" si="331"/>
        <v>0</v>
      </c>
      <c r="AE170" s="96"/>
      <c r="AF170" s="95">
        <f t="shared" si="332"/>
        <v>0</v>
      </c>
      <c r="AG170" s="96">
        <f t="shared" si="333"/>
        <v>7.1999999999999995E-2</v>
      </c>
      <c r="AH170" s="96">
        <f t="shared" si="334"/>
        <v>1.5331196736000001</v>
      </c>
      <c r="AI170" s="96">
        <f t="shared" si="335"/>
        <v>1.3160000000000001</v>
      </c>
      <c r="AJ170" s="96">
        <f t="shared" si="336"/>
        <v>27.704692207799997</v>
      </c>
      <c r="AK170" s="96"/>
      <c r="AL170" s="96">
        <f t="shared" si="337"/>
        <v>0</v>
      </c>
      <c r="AM170" s="96"/>
      <c r="AN170" s="96">
        <f t="shared" si="338"/>
        <v>0</v>
      </c>
      <c r="AO170" s="96"/>
      <c r="AP170" s="96">
        <f t="shared" si="339"/>
        <v>0</v>
      </c>
      <c r="AQ170" s="96">
        <f t="shared" si="340"/>
        <v>0</v>
      </c>
      <c r="AR170" s="96">
        <f t="shared" si="341"/>
        <v>0</v>
      </c>
      <c r="AS170" s="96"/>
      <c r="AT170" s="96">
        <f t="shared" si="342"/>
        <v>0</v>
      </c>
      <c r="AU170" s="96"/>
      <c r="AV170" s="96">
        <f t="shared" si="343"/>
        <v>0</v>
      </c>
      <c r="AW170" s="96"/>
      <c r="AX170" s="96">
        <f t="shared" si="344"/>
        <v>0</v>
      </c>
      <c r="AY170" s="96">
        <f t="shared" si="345"/>
        <v>0</v>
      </c>
      <c r="AZ170" s="96">
        <f t="shared" si="346"/>
        <v>0</v>
      </c>
      <c r="BA170" s="96">
        <f t="shared" si="347"/>
        <v>0</v>
      </c>
      <c r="BB170" s="96">
        <f t="shared" si="348"/>
        <v>0</v>
      </c>
      <c r="BC170" s="1" t="s">
        <v>1715</v>
      </c>
    </row>
    <row r="171" spans="1:55">
      <c r="A171" s="492">
        <v>119</v>
      </c>
      <c r="B171" s="13"/>
      <c r="C171" s="13"/>
      <c r="D171" s="13"/>
      <c r="E171" s="21" t="s">
        <v>2283</v>
      </c>
      <c r="F171" s="45" t="s">
        <v>2284</v>
      </c>
      <c r="G171" s="45" t="s">
        <v>1059</v>
      </c>
      <c r="H171" s="265" t="s">
        <v>359</v>
      </c>
      <c r="I171" s="18">
        <v>17.66</v>
      </c>
      <c r="J171" s="157"/>
      <c r="K171" s="18">
        <v>17.66</v>
      </c>
      <c r="L171" s="157"/>
      <c r="M171" s="18"/>
      <c r="N171" s="157"/>
      <c r="O171" s="18"/>
      <c r="P171" s="157"/>
      <c r="Q171" s="96">
        <f t="shared" ref="Q171" si="375">SUM(AI171+BA171)</f>
        <v>0</v>
      </c>
      <c r="R171" s="337">
        <f t="shared" ref="R171" si="376">SUM(AJ171+BB171)</f>
        <v>0</v>
      </c>
      <c r="S171" s="96"/>
      <c r="T171" s="96">
        <f t="shared" ref="T171" si="377">I171*S171*$T$2/1000</f>
        <v>0</v>
      </c>
      <c r="U171" s="96"/>
      <c r="V171" s="96">
        <f t="shared" ref="V171" si="378">I171*U171*$V$2/1000</f>
        <v>0</v>
      </c>
      <c r="W171" s="96"/>
      <c r="X171" s="96">
        <f t="shared" ref="X171" si="379">I171*W171*$X$2/1000</f>
        <v>0</v>
      </c>
      <c r="Y171" s="96">
        <f t="shared" ref="Y171" si="380">SUM(S171+U171+W171)</f>
        <v>0</v>
      </c>
      <c r="Z171" s="96">
        <f t="shared" ref="Z171" si="381">SUM(T171+V171+X171)</f>
        <v>0</v>
      </c>
      <c r="AA171" s="96"/>
      <c r="AB171" s="96">
        <f t="shared" ref="AB171" si="382">K171*AA171*$AB$2/1000</f>
        <v>0</v>
      </c>
      <c r="AC171" s="96"/>
      <c r="AD171" s="96">
        <f t="shared" ref="AD171" si="383">K171*AC171*$AD$2/1000</f>
        <v>0</v>
      </c>
      <c r="AE171" s="96"/>
      <c r="AF171" s="95">
        <f t="shared" ref="AF171" si="384">K171*AE171*$AF$2/1000</f>
        <v>0</v>
      </c>
      <c r="AG171" s="96">
        <f t="shared" ref="AG171" si="385">SUM(AA171+AC171+AE171)</f>
        <v>0</v>
      </c>
      <c r="AH171" s="96">
        <f t="shared" ref="AH171" si="386">SUM(AB171+AD171+AF171)</f>
        <v>0</v>
      </c>
      <c r="AI171" s="96">
        <f t="shared" ref="AI171" si="387">SUM(Y171+AG171)</f>
        <v>0</v>
      </c>
      <c r="AJ171" s="96">
        <f t="shared" ref="AJ171" si="388">SUM(Z171,AH171)</f>
        <v>0</v>
      </c>
      <c r="AK171" s="96"/>
      <c r="AL171" s="96">
        <f t="shared" ref="AL171" si="389">M171*AK171*$AL$2/1000</f>
        <v>0</v>
      </c>
      <c r="AM171" s="96"/>
      <c r="AN171" s="96">
        <f t="shared" ref="AN171" si="390">M171*AM171*$AN$2/1000</f>
        <v>0</v>
      </c>
      <c r="AO171" s="96"/>
      <c r="AP171" s="96">
        <f t="shared" ref="AP171" si="391">M171*AO171*$AP$2/1000</f>
        <v>0</v>
      </c>
      <c r="AQ171" s="96">
        <f t="shared" ref="AQ171" si="392">SUM(AK171+AM171+AO171)</f>
        <v>0</v>
      </c>
      <c r="AR171" s="96">
        <f t="shared" ref="AR171" si="393">SUM(AL171+AN171+AP171)</f>
        <v>0</v>
      </c>
      <c r="AS171" s="96"/>
      <c r="AT171" s="96">
        <f t="shared" ref="AT171" si="394">O171*AS171*$AT$2/1000</f>
        <v>0</v>
      </c>
      <c r="AU171" s="96"/>
      <c r="AV171" s="96">
        <f t="shared" ref="AV171" si="395">O171*AU171*$AV$2/1000</f>
        <v>0</v>
      </c>
      <c r="AW171" s="96"/>
      <c r="AX171" s="96">
        <f t="shared" ref="AX171" si="396">O171*AW171*$AX$2/1000</f>
        <v>0</v>
      </c>
      <c r="AY171" s="96">
        <f t="shared" ref="AY171" si="397">SUM(AS171+AU171+AW171)</f>
        <v>0</v>
      </c>
      <c r="AZ171" s="96">
        <f t="shared" ref="AZ171" si="398">SUM(AT171+AV171+AX171)</f>
        <v>0</v>
      </c>
      <c r="BA171" s="96">
        <f t="shared" ref="BA171" si="399">SUM(AQ171+AY171)</f>
        <v>0</v>
      </c>
      <c r="BB171" s="96">
        <f t="shared" ref="BB171" si="400">SUM(AR171,AZ171)</f>
        <v>0</v>
      </c>
      <c r="BC171" s="1" t="s">
        <v>1060</v>
      </c>
    </row>
    <row r="172" spans="1:55">
      <c r="A172" s="492">
        <v>119</v>
      </c>
      <c r="B172" s="13"/>
      <c r="C172" s="13"/>
      <c r="D172" s="13"/>
      <c r="E172" s="21" t="s">
        <v>1374</v>
      </c>
      <c r="F172" s="45" t="s">
        <v>1381</v>
      </c>
      <c r="G172" s="45" t="s">
        <v>1059</v>
      </c>
      <c r="H172" s="265" t="s">
        <v>360</v>
      </c>
      <c r="I172" s="18">
        <v>29</v>
      </c>
      <c r="J172" s="157"/>
      <c r="K172" s="18">
        <v>29</v>
      </c>
      <c r="L172" s="157"/>
      <c r="M172" s="18"/>
      <c r="N172" s="157"/>
      <c r="O172" s="18"/>
      <c r="P172" s="157"/>
      <c r="Q172" s="96">
        <f t="shared" si="323"/>
        <v>0</v>
      </c>
      <c r="R172" s="337">
        <f t="shared" si="324"/>
        <v>0</v>
      </c>
      <c r="S172" s="96"/>
      <c r="T172" s="96">
        <f t="shared" si="325"/>
        <v>0</v>
      </c>
      <c r="U172" s="96"/>
      <c r="V172" s="96">
        <f t="shared" si="326"/>
        <v>0</v>
      </c>
      <c r="W172" s="96"/>
      <c r="X172" s="96">
        <f t="shared" si="327"/>
        <v>0</v>
      </c>
      <c r="Y172" s="96">
        <f t="shared" si="328"/>
        <v>0</v>
      </c>
      <c r="Z172" s="96">
        <f t="shared" si="329"/>
        <v>0</v>
      </c>
      <c r="AA172" s="96"/>
      <c r="AB172" s="96">
        <f t="shared" si="330"/>
        <v>0</v>
      </c>
      <c r="AC172" s="96"/>
      <c r="AD172" s="96">
        <f t="shared" si="331"/>
        <v>0</v>
      </c>
      <c r="AE172" s="96"/>
      <c r="AF172" s="95">
        <f t="shared" si="332"/>
        <v>0</v>
      </c>
      <c r="AG172" s="96">
        <f t="shared" si="333"/>
        <v>0</v>
      </c>
      <c r="AH172" s="96">
        <f t="shared" si="334"/>
        <v>0</v>
      </c>
      <c r="AI172" s="96">
        <f t="shared" si="335"/>
        <v>0</v>
      </c>
      <c r="AJ172" s="96">
        <f t="shared" si="336"/>
        <v>0</v>
      </c>
      <c r="AK172" s="96"/>
      <c r="AL172" s="96">
        <f t="shared" si="337"/>
        <v>0</v>
      </c>
      <c r="AM172" s="96"/>
      <c r="AN172" s="96">
        <f t="shared" si="338"/>
        <v>0</v>
      </c>
      <c r="AO172" s="96"/>
      <c r="AP172" s="96">
        <f t="shared" si="339"/>
        <v>0</v>
      </c>
      <c r="AQ172" s="96">
        <f t="shared" si="340"/>
        <v>0</v>
      </c>
      <c r="AR172" s="96">
        <f t="shared" si="341"/>
        <v>0</v>
      </c>
      <c r="AS172" s="96"/>
      <c r="AT172" s="96">
        <f t="shared" si="342"/>
        <v>0</v>
      </c>
      <c r="AU172" s="96"/>
      <c r="AV172" s="96">
        <f t="shared" si="343"/>
        <v>0</v>
      </c>
      <c r="AW172" s="96"/>
      <c r="AX172" s="96">
        <f t="shared" si="344"/>
        <v>0</v>
      </c>
      <c r="AY172" s="96">
        <f t="shared" si="345"/>
        <v>0</v>
      </c>
      <c r="AZ172" s="96">
        <f t="shared" si="346"/>
        <v>0</v>
      </c>
      <c r="BA172" s="96">
        <f t="shared" si="347"/>
        <v>0</v>
      </c>
      <c r="BB172" s="96">
        <f t="shared" si="348"/>
        <v>0</v>
      </c>
      <c r="BC172" s="1" t="s">
        <v>1715</v>
      </c>
    </row>
    <row r="173" spans="1:55">
      <c r="A173" s="492">
        <v>119</v>
      </c>
      <c r="B173" s="13"/>
      <c r="C173" s="13"/>
      <c r="D173" s="13"/>
      <c r="E173" s="21" t="s">
        <v>1475</v>
      </c>
      <c r="F173" s="45" t="s">
        <v>1476</v>
      </c>
      <c r="G173" s="45" t="s">
        <v>1059</v>
      </c>
      <c r="H173" s="265" t="s">
        <v>359</v>
      </c>
      <c r="I173" s="18">
        <v>26.94</v>
      </c>
      <c r="J173" s="157"/>
      <c r="K173" s="18">
        <v>26.94</v>
      </c>
      <c r="L173" s="157"/>
      <c r="M173" s="18"/>
      <c r="N173" s="157"/>
      <c r="O173" s="18"/>
      <c r="P173" s="157"/>
      <c r="Q173" s="96">
        <f t="shared" ref="Q173" si="401">SUM(AI173+BA173)</f>
        <v>47.760000000000005</v>
      </c>
      <c r="R173" s="337">
        <f t="shared" ref="R173" si="402">SUM(AJ173+BB173)</f>
        <v>1885.7055397392005</v>
      </c>
      <c r="S173" s="96">
        <v>14.412000000000001</v>
      </c>
      <c r="T173" s="96">
        <f t="shared" ref="T173" si="403">I173*S173*$T$2/1000</f>
        <v>560.51050957200016</v>
      </c>
      <c r="U173" s="96">
        <v>12.672000000000001</v>
      </c>
      <c r="V173" s="96">
        <f t="shared" ref="V173" si="404">I173*U173*$V$2/1000</f>
        <v>490.99849159680002</v>
      </c>
      <c r="W173" s="96">
        <v>16.14</v>
      </c>
      <c r="X173" s="96">
        <f t="shared" ref="X173" si="405">I173*W173*$X$2/1000</f>
        <v>653.24790349200009</v>
      </c>
      <c r="Y173" s="96">
        <f t="shared" ref="Y173" si="406">SUM(S173+U173+W173)</f>
        <v>43.224000000000004</v>
      </c>
      <c r="Z173" s="96">
        <f t="shared" ref="Z173" si="407">SUM(T173+V173+X173)</f>
        <v>1704.7569046608005</v>
      </c>
      <c r="AA173" s="96">
        <v>4.5359999999999996</v>
      </c>
      <c r="AB173" s="96">
        <f t="shared" ref="AB173" si="408">K173*AA173*$AB$2/1000</f>
        <v>180.9486350784</v>
      </c>
      <c r="AC173" s="96"/>
      <c r="AD173" s="96">
        <f t="shared" ref="AD173" si="409">K173*AC173*$AD$2/1000</f>
        <v>0</v>
      </c>
      <c r="AE173" s="96"/>
      <c r="AF173" s="95">
        <f t="shared" ref="AF173" si="410">K173*AE173*$AF$2/1000</f>
        <v>0</v>
      </c>
      <c r="AG173" s="96">
        <f t="shared" ref="AG173" si="411">SUM(AA173+AC173+AE173)</f>
        <v>4.5359999999999996</v>
      </c>
      <c r="AH173" s="96">
        <f t="shared" ref="AH173" si="412">SUM(AB173+AD173+AF173)</f>
        <v>180.9486350784</v>
      </c>
      <c r="AI173" s="96">
        <f t="shared" ref="AI173" si="413">SUM(Y173+AG173)</f>
        <v>47.760000000000005</v>
      </c>
      <c r="AJ173" s="96">
        <f t="shared" ref="AJ173" si="414">SUM(Z173,AH173)</f>
        <v>1885.7055397392005</v>
      </c>
      <c r="AK173" s="96"/>
      <c r="AL173" s="96">
        <f t="shared" ref="AL173" si="415">M173*AK173*$AL$2/1000</f>
        <v>0</v>
      </c>
      <c r="AM173" s="96"/>
      <c r="AN173" s="96">
        <f t="shared" ref="AN173" si="416">M173*AM173*$AN$2/1000</f>
        <v>0</v>
      </c>
      <c r="AO173" s="96"/>
      <c r="AP173" s="96">
        <f t="shared" ref="AP173" si="417">M173*AO173*$AP$2/1000</f>
        <v>0</v>
      </c>
      <c r="AQ173" s="96">
        <f t="shared" ref="AQ173" si="418">SUM(AK173+AM173+AO173)</f>
        <v>0</v>
      </c>
      <c r="AR173" s="96">
        <f t="shared" ref="AR173" si="419">SUM(AL173+AN173+AP173)</f>
        <v>0</v>
      </c>
      <c r="AS173" s="96"/>
      <c r="AT173" s="96">
        <f t="shared" ref="AT173" si="420">O173*AS173*$AT$2/1000</f>
        <v>0</v>
      </c>
      <c r="AU173" s="96"/>
      <c r="AV173" s="96">
        <f t="shared" ref="AV173" si="421">O173*AU173*$AV$2/1000</f>
        <v>0</v>
      </c>
      <c r="AW173" s="96"/>
      <c r="AX173" s="96">
        <f t="shared" ref="AX173" si="422">O173*AW173*$AX$2/1000</f>
        <v>0</v>
      </c>
      <c r="AY173" s="96">
        <f t="shared" ref="AY173" si="423">SUM(AS173+AU173+AW173)</f>
        <v>0</v>
      </c>
      <c r="AZ173" s="96">
        <f t="shared" ref="AZ173" si="424">SUM(AT173+AV173+AX173)</f>
        <v>0</v>
      </c>
      <c r="BA173" s="96">
        <f t="shared" ref="BA173" si="425">SUM(AQ173+AY173)</f>
        <v>0</v>
      </c>
      <c r="BB173" s="96">
        <f t="shared" ref="BB173" si="426">SUM(AR173,AZ173)</f>
        <v>0</v>
      </c>
      <c r="BC173" s="1" t="s">
        <v>1060</v>
      </c>
    </row>
    <row r="174" spans="1:55">
      <c r="A174" s="492">
        <v>120</v>
      </c>
      <c r="B174" s="13"/>
      <c r="C174" s="23"/>
      <c r="D174" s="15"/>
      <c r="E174" s="21" t="s">
        <v>2204</v>
      </c>
      <c r="F174" s="45" t="s">
        <v>2205</v>
      </c>
      <c r="G174" s="45" t="s">
        <v>1059</v>
      </c>
      <c r="H174" s="265" t="s">
        <v>360</v>
      </c>
      <c r="I174" s="18">
        <v>32.659999999999997</v>
      </c>
      <c r="J174" s="157"/>
      <c r="K174" s="18">
        <v>32.659999999999997</v>
      </c>
      <c r="L174" s="157"/>
      <c r="M174" s="18"/>
      <c r="N174" s="157"/>
      <c r="O174" s="18"/>
      <c r="P174" s="157"/>
      <c r="Q174" s="96">
        <f t="shared" si="323"/>
        <v>11.876999999999999</v>
      </c>
      <c r="R174" s="337">
        <f t="shared" si="324"/>
        <v>576.13394008439991</v>
      </c>
      <c r="S174" s="96">
        <v>1.248</v>
      </c>
      <c r="T174" s="96">
        <f t="shared" si="325"/>
        <v>58.842712031999994</v>
      </c>
      <c r="U174" s="96">
        <v>1.0409999999999999</v>
      </c>
      <c r="V174" s="96">
        <f t="shared" si="326"/>
        <v>48.899488035599994</v>
      </c>
      <c r="W174" s="96">
        <v>6.66</v>
      </c>
      <c r="X174" s="96">
        <f t="shared" si="327"/>
        <v>326.78891197199994</v>
      </c>
      <c r="Y174" s="96">
        <f t="shared" si="328"/>
        <v>8.9489999999999998</v>
      </c>
      <c r="Z174" s="96">
        <f t="shared" si="329"/>
        <v>434.53111203959992</v>
      </c>
      <c r="AA174" s="96">
        <v>2.9279999999999999</v>
      </c>
      <c r="AB174" s="96">
        <f>K174*AA174*$AB$2/1000</f>
        <v>141.60282804479996</v>
      </c>
      <c r="AC174" s="96"/>
      <c r="AD174" s="96">
        <f t="shared" si="331"/>
        <v>0</v>
      </c>
      <c r="AE174" s="96"/>
      <c r="AF174" s="95">
        <f t="shared" si="332"/>
        <v>0</v>
      </c>
      <c r="AG174" s="96">
        <f t="shared" si="333"/>
        <v>2.9279999999999999</v>
      </c>
      <c r="AH174" s="96">
        <f t="shared" si="334"/>
        <v>141.60282804479996</v>
      </c>
      <c r="AI174" s="96">
        <f t="shared" si="335"/>
        <v>11.876999999999999</v>
      </c>
      <c r="AJ174" s="96">
        <f t="shared" si="336"/>
        <v>576.13394008439991</v>
      </c>
      <c r="AK174" s="96"/>
      <c r="AL174" s="96">
        <f t="shared" si="337"/>
        <v>0</v>
      </c>
      <c r="AM174" s="96"/>
      <c r="AN174" s="96">
        <f t="shared" si="338"/>
        <v>0</v>
      </c>
      <c r="AO174" s="96"/>
      <c r="AP174" s="96">
        <f t="shared" si="339"/>
        <v>0</v>
      </c>
      <c r="AQ174" s="96">
        <f t="shared" si="340"/>
        <v>0</v>
      </c>
      <c r="AR174" s="96">
        <f t="shared" si="341"/>
        <v>0</v>
      </c>
      <c r="AS174" s="96"/>
      <c r="AT174" s="96">
        <f t="shared" si="342"/>
        <v>0</v>
      </c>
      <c r="AU174" s="96"/>
      <c r="AV174" s="96">
        <f t="shared" si="343"/>
        <v>0</v>
      </c>
      <c r="AW174" s="96"/>
      <c r="AX174" s="96">
        <f t="shared" si="344"/>
        <v>0</v>
      </c>
      <c r="AY174" s="96">
        <f t="shared" si="345"/>
        <v>0</v>
      </c>
      <c r="AZ174" s="96">
        <f t="shared" si="346"/>
        <v>0</v>
      </c>
      <c r="BA174" s="96">
        <f t="shared" si="347"/>
        <v>0</v>
      </c>
      <c r="BB174" s="96">
        <f t="shared" si="348"/>
        <v>0</v>
      </c>
      <c r="BC174" s="1" t="s">
        <v>1715</v>
      </c>
    </row>
    <row r="175" spans="1:55" hidden="1">
      <c r="A175" s="492">
        <v>121</v>
      </c>
      <c r="B175" s="13"/>
      <c r="C175" s="23"/>
      <c r="D175" s="15"/>
      <c r="E175" s="21" t="s">
        <v>60</v>
      </c>
      <c r="F175" s="45" t="s">
        <v>147</v>
      </c>
      <c r="G175" s="45" t="s">
        <v>1059</v>
      </c>
      <c r="H175" s="265" t="s">
        <v>358</v>
      </c>
      <c r="I175" s="18">
        <v>4.16</v>
      </c>
      <c r="J175" s="157"/>
      <c r="K175" s="18">
        <v>4.16</v>
      </c>
      <c r="L175" s="157"/>
      <c r="M175" s="18"/>
      <c r="N175" s="157"/>
      <c r="O175" s="18"/>
      <c r="P175" s="157"/>
      <c r="Q175" s="96">
        <f t="shared" si="323"/>
        <v>0</v>
      </c>
      <c r="R175" s="337">
        <f t="shared" si="324"/>
        <v>0</v>
      </c>
      <c r="S175" s="96"/>
      <c r="T175" s="96">
        <f t="shared" si="325"/>
        <v>0</v>
      </c>
      <c r="U175" s="96"/>
      <c r="V175" s="96">
        <f t="shared" si="326"/>
        <v>0</v>
      </c>
      <c r="W175" s="96"/>
      <c r="X175" s="96">
        <f t="shared" si="327"/>
        <v>0</v>
      </c>
      <c r="Y175" s="96">
        <f t="shared" si="328"/>
        <v>0</v>
      </c>
      <c r="Z175" s="96">
        <f t="shared" si="329"/>
        <v>0</v>
      </c>
      <c r="AA175" s="96"/>
      <c r="AB175" s="96">
        <f t="shared" si="330"/>
        <v>0</v>
      </c>
      <c r="AC175" s="96"/>
      <c r="AD175" s="96">
        <f t="shared" si="331"/>
        <v>0</v>
      </c>
      <c r="AE175" s="96"/>
      <c r="AF175" s="95">
        <f t="shared" si="332"/>
        <v>0</v>
      </c>
      <c r="AG175" s="96">
        <f t="shared" si="333"/>
        <v>0</v>
      </c>
      <c r="AH175" s="96">
        <f t="shared" si="334"/>
        <v>0</v>
      </c>
      <c r="AI175" s="96">
        <f t="shared" si="335"/>
        <v>0</v>
      </c>
      <c r="AJ175" s="96">
        <f t="shared" si="336"/>
        <v>0</v>
      </c>
      <c r="AK175" s="96"/>
      <c r="AL175" s="96">
        <f t="shared" si="337"/>
        <v>0</v>
      </c>
      <c r="AM175" s="96"/>
      <c r="AN175" s="96">
        <f t="shared" si="338"/>
        <v>0</v>
      </c>
      <c r="AO175" s="96"/>
      <c r="AP175" s="96">
        <f t="shared" si="339"/>
        <v>0</v>
      </c>
      <c r="AQ175" s="96">
        <f t="shared" si="340"/>
        <v>0</v>
      </c>
      <c r="AR175" s="96">
        <f t="shared" si="341"/>
        <v>0</v>
      </c>
      <c r="AS175" s="96"/>
      <c r="AT175" s="96">
        <f t="shared" si="342"/>
        <v>0</v>
      </c>
      <c r="AU175" s="96"/>
      <c r="AV175" s="96">
        <f t="shared" si="343"/>
        <v>0</v>
      </c>
      <c r="AW175" s="96"/>
      <c r="AX175" s="96">
        <f t="shared" si="344"/>
        <v>0</v>
      </c>
      <c r="AY175" s="96">
        <f t="shared" si="345"/>
        <v>0</v>
      </c>
      <c r="AZ175" s="96">
        <f t="shared" si="346"/>
        <v>0</v>
      </c>
      <c r="BA175" s="96">
        <f t="shared" si="347"/>
        <v>0</v>
      </c>
      <c r="BB175" s="96">
        <f t="shared" si="348"/>
        <v>0</v>
      </c>
      <c r="BC175" s="1" t="s">
        <v>1715</v>
      </c>
    </row>
    <row r="176" spans="1:55" hidden="1">
      <c r="A176" s="492">
        <v>122</v>
      </c>
      <c r="B176" s="13"/>
      <c r="C176" s="23"/>
      <c r="D176" s="36"/>
      <c r="E176" s="21" t="s">
        <v>42</v>
      </c>
      <c r="F176" s="45" t="s">
        <v>327</v>
      </c>
      <c r="G176" s="45" t="s">
        <v>1059</v>
      </c>
      <c r="H176" s="265" t="s">
        <v>358</v>
      </c>
      <c r="I176" s="18">
        <v>5.45</v>
      </c>
      <c r="J176" s="157"/>
      <c r="K176" s="18">
        <v>5.45</v>
      </c>
      <c r="L176" s="157"/>
      <c r="M176" s="18"/>
      <c r="N176" s="157"/>
      <c r="O176" s="18"/>
      <c r="P176" s="157"/>
      <c r="Q176" s="96">
        <f t="shared" si="323"/>
        <v>0</v>
      </c>
      <c r="R176" s="337">
        <f t="shared" si="324"/>
        <v>0</v>
      </c>
      <c r="S176" s="96"/>
      <c r="T176" s="96">
        <f t="shared" si="325"/>
        <v>0</v>
      </c>
      <c r="U176" s="96"/>
      <c r="V176" s="96">
        <f t="shared" si="326"/>
        <v>0</v>
      </c>
      <c r="W176" s="96"/>
      <c r="X176" s="96">
        <f t="shared" si="327"/>
        <v>0</v>
      </c>
      <c r="Y176" s="96">
        <f t="shared" si="328"/>
        <v>0</v>
      </c>
      <c r="Z176" s="96">
        <f t="shared" si="329"/>
        <v>0</v>
      </c>
      <c r="AA176" s="96"/>
      <c r="AB176" s="96">
        <f t="shared" si="330"/>
        <v>0</v>
      </c>
      <c r="AC176" s="96"/>
      <c r="AD176" s="96">
        <f t="shared" si="331"/>
        <v>0</v>
      </c>
      <c r="AE176" s="96"/>
      <c r="AF176" s="95">
        <f t="shared" si="332"/>
        <v>0</v>
      </c>
      <c r="AG176" s="96">
        <f t="shared" si="333"/>
        <v>0</v>
      </c>
      <c r="AH176" s="96">
        <f t="shared" si="334"/>
        <v>0</v>
      </c>
      <c r="AI176" s="96">
        <f t="shared" si="335"/>
        <v>0</v>
      </c>
      <c r="AJ176" s="96">
        <f t="shared" si="336"/>
        <v>0</v>
      </c>
      <c r="AK176" s="96"/>
      <c r="AL176" s="96">
        <f t="shared" si="337"/>
        <v>0</v>
      </c>
      <c r="AM176" s="96"/>
      <c r="AN176" s="96">
        <f t="shared" si="338"/>
        <v>0</v>
      </c>
      <c r="AO176" s="96"/>
      <c r="AP176" s="96">
        <f t="shared" si="339"/>
        <v>0</v>
      </c>
      <c r="AQ176" s="96">
        <f t="shared" si="340"/>
        <v>0</v>
      </c>
      <c r="AR176" s="96">
        <f t="shared" si="341"/>
        <v>0</v>
      </c>
      <c r="AS176" s="96"/>
      <c r="AT176" s="96">
        <f t="shared" si="342"/>
        <v>0</v>
      </c>
      <c r="AU176" s="96"/>
      <c r="AV176" s="96">
        <f t="shared" si="343"/>
        <v>0</v>
      </c>
      <c r="AW176" s="96"/>
      <c r="AX176" s="96">
        <f t="shared" si="344"/>
        <v>0</v>
      </c>
      <c r="AY176" s="96">
        <f t="shared" si="345"/>
        <v>0</v>
      </c>
      <c r="AZ176" s="96">
        <f t="shared" si="346"/>
        <v>0</v>
      </c>
      <c r="BA176" s="96">
        <f t="shared" si="347"/>
        <v>0</v>
      </c>
      <c r="BB176" s="96">
        <f t="shared" si="348"/>
        <v>0</v>
      </c>
      <c r="BC176" s="1" t="s">
        <v>1715</v>
      </c>
    </row>
    <row r="177" spans="1:55" hidden="1">
      <c r="A177" s="492">
        <v>123</v>
      </c>
      <c r="B177" s="13"/>
      <c r="C177" s="13"/>
      <c r="D177" s="15"/>
      <c r="E177" s="21" t="s">
        <v>252</v>
      </c>
      <c r="F177" s="45" t="s">
        <v>253</v>
      </c>
      <c r="G177" s="45" t="s">
        <v>1059</v>
      </c>
      <c r="H177" s="265" t="s">
        <v>360</v>
      </c>
      <c r="I177" s="54">
        <v>5.64</v>
      </c>
      <c r="J177" s="157"/>
      <c r="K177" s="54">
        <v>5.64</v>
      </c>
      <c r="L177" s="157"/>
      <c r="M177" s="54"/>
      <c r="N177" s="157"/>
      <c r="O177" s="54"/>
      <c r="P177" s="157"/>
      <c r="Q177" s="96">
        <f t="shared" si="323"/>
        <v>0</v>
      </c>
      <c r="R177" s="337">
        <f t="shared" si="324"/>
        <v>0</v>
      </c>
      <c r="S177" s="96"/>
      <c r="T177" s="96">
        <f t="shared" si="325"/>
        <v>0</v>
      </c>
      <c r="U177" s="96"/>
      <c r="V177" s="96">
        <f t="shared" si="326"/>
        <v>0</v>
      </c>
      <c r="W177" s="96"/>
      <c r="X177" s="96">
        <f t="shared" si="327"/>
        <v>0</v>
      </c>
      <c r="Y177" s="96">
        <f t="shared" si="328"/>
        <v>0</v>
      </c>
      <c r="Z177" s="96">
        <f t="shared" si="329"/>
        <v>0</v>
      </c>
      <c r="AA177" s="96"/>
      <c r="AB177" s="96">
        <f t="shared" si="330"/>
        <v>0</v>
      </c>
      <c r="AC177" s="96"/>
      <c r="AD177" s="96">
        <f t="shared" si="331"/>
        <v>0</v>
      </c>
      <c r="AE177" s="96"/>
      <c r="AF177" s="95">
        <f t="shared" si="332"/>
        <v>0</v>
      </c>
      <c r="AG177" s="96">
        <f t="shared" si="333"/>
        <v>0</v>
      </c>
      <c r="AH177" s="96">
        <f t="shared" si="334"/>
        <v>0</v>
      </c>
      <c r="AI177" s="96">
        <f t="shared" si="335"/>
        <v>0</v>
      </c>
      <c r="AJ177" s="96">
        <f t="shared" si="336"/>
        <v>0</v>
      </c>
      <c r="AK177" s="96"/>
      <c r="AL177" s="96">
        <f t="shared" si="337"/>
        <v>0</v>
      </c>
      <c r="AM177" s="96"/>
      <c r="AN177" s="96">
        <f t="shared" si="338"/>
        <v>0</v>
      </c>
      <c r="AO177" s="96"/>
      <c r="AP177" s="96">
        <f t="shared" si="339"/>
        <v>0</v>
      </c>
      <c r="AQ177" s="96">
        <f t="shared" si="340"/>
        <v>0</v>
      </c>
      <c r="AR177" s="96">
        <f t="shared" si="341"/>
        <v>0</v>
      </c>
      <c r="AS177" s="96"/>
      <c r="AT177" s="96">
        <f t="shared" si="342"/>
        <v>0</v>
      </c>
      <c r="AU177" s="96"/>
      <c r="AV177" s="96">
        <f t="shared" si="343"/>
        <v>0</v>
      </c>
      <c r="AW177" s="96"/>
      <c r="AX177" s="96">
        <f t="shared" si="344"/>
        <v>0</v>
      </c>
      <c r="AY177" s="96">
        <f t="shared" si="345"/>
        <v>0</v>
      </c>
      <c r="AZ177" s="96">
        <f t="shared" si="346"/>
        <v>0</v>
      </c>
      <c r="BA177" s="96">
        <f t="shared" si="347"/>
        <v>0</v>
      </c>
      <c r="BB177" s="96">
        <f t="shared" si="348"/>
        <v>0</v>
      </c>
      <c r="BC177" s="1" t="s">
        <v>1715</v>
      </c>
    </row>
    <row r="178" spans="1:55" hidden="1">
      <c r="A178" s="492">
        <v>124</v>
      </c>
      <c r="B178" s="13"/>
      <c r="C178" s="13"/>
      <c r="D178" s="15"/>
      <c r="E178" s="21" t="s">
        <v>254</v>
      </c>
      <c r="F178" s="45" t="s">
        <v>255</v>
      </c>
      <c r="G178" s="45" t="s">
        <v>1059</v>
      </c>
      <c r="H178" s="265" t="s">
        <v>362</v>
      </c>
      <c r="I178" s="54">
        <v>5.62</v>
      </c>
      <c r="J178" s="157"/>
      <c r="K178" s="54">
        <v>5.62</v>
      </c>
      <c r="L178" s="157"/>
      <c r="M178" s="54"/>
      <c r="N178" s="157"/>
      <c r="O178" s="54"/>
      <c r="P178" s="157"/>
      <c r="Q178" s="96">
        <f t="shared" si="323"/>
        <v>0</v>
      </c>
      <c r="R178" s="337">
        <f t="shared" si="324"/>
        <v>0</v>
      </c>
      <c r="S178" s="96"/>
      <c r="T178" s="96">
        <f t="shared" si="325"/>
        <v>0</v>
      </c>
      <c r="U178" s="96"/>
      <c r="V178" s="96">
        <f t="shared" si="326"/>
        <v>0</v>
      </c>
      <c r="W178" s="96"/>
      <c r="X178" s="96">
        <f t="shared" si="327"/>
        <v>0</v>
      </c>
      <c r="Y178" s="96">
        <f t="shared" si="328"/>
        <v>0</v>
      </c>
      <c r="Z178" s="96">
        <f t="shared" si="329"/>
        <v>0</v>
      </c>
      <c r="AA178" s="96"/>
      <c r="AB178" s="96">
        <f t="shared" si="330"/>
        <v>0</v>
      </c>
      <c r="AC178" s="96"/>
      <c r="AD178" s="96">
        <f t="shared" si="331"/>
        <v>0</v>
      </c>
      <c r="AE178" s="96"/>
      <c r="AF178" s="95">
        <f t="shared" si="332"/>
        <v>0</v>
      </c>
      <c r="AG178" s="96">
        <f t="shared" si="333"/>
        <v>0</v>
      </c>
      <c r="AH178" s="96">
        <f t="shared" si="334"/>
        <v>0</v>
      </c>
      <c r="AI178" s="96">
        <f t="shared" si="335"/>
        <v>0</v>
      </c>
      <c r="AJ178" s="96">
        <f t="shared" si="336"/>
        <v>0</v>
      </c>
      <c r="AK178" s="96"/>
      <c r="AL178" s="96">
        <f t="shared" si="337"/>
        <v>0</v>
      </c>
      <c r="AM178" s="96"/>
      <c r="AN178" s="96">
        <f t="shared" si="338"/>
        <v>0</v>
      </c>
      <c r="AO178" s="96"/>
      <c r="AP178" s="96">
        <f t="shared" si="339"/>
        <v>0</v>
      </c>
      <c r="AQ178" s="96">
        <f t="shared" si="340"/>
        <v>0</v>
      </c>
      <c r="AR178" s="96">
        <f t="shared" si="341"/>
        <v>0</v>
      </c>
      <c r="AS178" s="96"/>
      <c r="AT178" s="96">
        <f t="shared" si="342"/>
        <v>0</v>
      </c>
      <c r="AU178" s="96"/>
      <c r="AV178" s="96">
        <f t="shared" si="343"/>
        <v>0</v>
      </c>
      <c r="AW178" s="96"/>
      <c r="AX178" s="96">
        <f t="shared" si="344"/>
        <v>0</v>
      </c>
      <c r="AY178" s="96">
        <f t="shared" si="345"/>
        <v>0</v>
      </c>
      <c r="AZ178" s="96">
        <f t="shared" si="346"/>
        <v>0</v>
      </c>
      <c r="BA178" s="96">
        <f t="shared" si="347"/>
        <v>0</v>
      </c>
      <c r="BB178" s="96">
        <f t="shared" si="348"/>
        <v>0</v>
      </c>
      <c r="BC178" s="1" t="s">
        <v>1715</v>
      </c>
    </row>
    <row r="179" spans="1:55" hidden="1">
      <c r="A179" s="492">
        <v>125</v>
      </c>
      <c r="B179" s="13"/>
      <c r="C179" s="13"/>
      <c r="D179" s="15"/>
      <c r="E179" s="21" t="s">
        <v>256</v>
      </c>
      <c r="F179" s="45" t="s">
        <v>257</v>
      </c>
      <c r="G179" s="45" t="s">
        <v>1059</v>
      </c>
      <c r="H179" s="265" t="s">
        <v>362</v>
      </c>
      <c r="I179" s="54">
        <v>6.3</v>
      </c>
      <c r="J179" s="157"/>
      <c r="K179" s="54">
        <v>6.3</v>
      </c>
      <c r="L179" s="157"/>
      <c r="M179" s="54"/>
      <c r="N179" s="157"/>
      <c r="O179" s="54"/>
      <c r="P179" s="157"/>
      <c r="Q179" s="96">
        <f t="shared" si="323"/>
        <v>0</v>
      </c>
      <c r="R179" s="337">
        <f t="shared" si="324"/>
        <v>0</v>
      </c>
      <c r="S179" s="96"/>
      <c r="T179" s="96">
        <f t="shared" si="325"/>
        <v>0</v>
      </c>
      <c r="U179" s="96"/>
      <c r="V179" s="96">
        <f t="shared" si="326"/>
        <v>0</v>
      </c>
      <c r="W179" s="96"/>
      <c r="X179" s="96">
        <f t="shared" si="327"/>
        <v>0</v>
      </c>
      <c r="Y179" s="96">
        <f t="shared" si="328"/>
        <v>0</v>
      </c>
      <c r="Z179" s="96">
        <f t="shared" si="329"/>
        <v>0</v>
      </c>
      <c r="AA179" s="96"/>
      <c r="AB179" s="96">
        <f t="shared" si="330"/>
        <v>0</v>
      </c>
      <c r="AC179" s="96"/>
      <c r="AD179" s="96">
        <f t="shared" si="331"/>
        <v>0</v>
      </c>
      <c r="AE179" s="96"/>
      <c r="AF179" s="95">
        <f t="shared" si="332"/>
        <v>0</v>
      </c>
      <c r="AG179" s="96">
        <f t="shared" si="333"/>
        <v>0</v>
      </c>
      <c r="AH179" s="96">
        <f t="shared" si="334"/>
        <v>0</v>
      </c>
      <c r="AI179" s="96">
        <f t="shared" si="335"/>
        <v>0</v>
      </c>
      <c r="AJ179" s="96">
        <f t="shared" si="336"/>
        <v>0</v>
      </c>
      <c r="AK179" s="96"/>
      <c r="AL179" s="96">
        <f t="shared" si="337"/>
        <v>0</v>
      </c>
      <c r="AM179" s="96"/>
      <c r="AN179" s="96">
        <f t="shared" si="338"/>
        <v>0</v>
      </c>
      <c r="AO179" s="96"/>
      <c r="AP179" s="96">
        <f t="shared" si="339"/>
        <v>0</v>
      </c>
      <c r="AQ179" s="96">
        <f t="shared" si="340"/>
        <v>0</v>
      </c>
      <c r="AR179" s="96">
        <f t="shared" si="341"/>
        <v>0</v>
      </c>
      <c r="AS179" s="96"/>
      <c r="AT179" s="96">
        <f t="shared" si="342"/>
        <v>0</v>
      </c>
      <c r="AU179" s="96"/>
      <c r="AV179" s="96">
        <f t="shared" si="343"/>
        <v>0</v>
      </c>
      <c r="AW179" s="96"/>
      <c r="AX179" s="96">
        <f t="shared" si="344"/>
        <v>0</v>
      </c>
      <c r="AY179" s="96">
        <f t="shared" si="345"/>
        <v>0</v>
      </c>
      <c r="AZ179" s="96">
        <f t="shared" si="346"/>
        <v>0</v>
      </c>
      <c r="BA179" s="96">
        <f t="shared" si="347"/>
        <v>0</v>
      </c>
      <c r="BB179" s="96">
        <f t="shared" si="348"/>
        <v>0</v>
      </c>
      <c r="BC179" s="1" t="s">
        <v>1715</v>
      </c>
    </row>
    <row r="180" spans="1:55" hidden="1">
      <c r="A180" s="492">
        <v>126</v>
      </c>
      <c r="B180" s="13"/>
      <c r="C180" s="13"/>
      <c r="D180" s="15"/>
      <c r="E180" s="21" t="s">
        <v>318</v>
      </c>
      <c r="F180" s="45" t="s">
        <v>317</v>
      </c>
      <c r="G180" s="45" t="s">
        <v>1059</v>
      </c>
      <c r="H180" s="265" t="s">
        <v>360</v>
      </c>
      <c r="I180" s="54">
        <v>7.08</v>
      </c>
      <c r="J180" s="157"/>
      <c r="K180" s="54">
        <v>7.08</v>
      </c>
      <c r="L180" s="157"/>
      <c r="M180" s="54"/>
      <c r="N180" s="157"/>
      <c r="O180" s="54"/>
      <c r="P180" s="157"/>
      <c r="Q180" s="96">
        <f t="shared" si="323"/>
        <v>0</v>
      </c>
      <c r="R180" s="337">
        <f t="shared" si="324"/>
        <v>0</v>
      </c>
      <c r="S180" s="96"/>
      <c r="T180" s="96">
        <f t="shared" si="325"/>
        <v>0</v>
      </c>
      <c r="U180" s="96"/>
      <c r="V180" s="96">
        <f t="shared" si="326"/>
        <v>0</v>
      </c>
      <c r="W180" s="96"/>
      <c r="X180" s="96">
        <f t="shared" si="327"/>
        <v>0</v>
      </c>
      <c r="Y180" s="96">
        <f t="shared" si="328"/>
        <v>0</v>
      </c>
      <c r="Z180" s="96">
        <f t="shared" si="329"/>
        <v>0</v>
      </c>
      <c r="AA180" s="96"/>
      <c r="AB180" s="96">
        <f t="shared" si="330"/>
        <v>0</v>
      </c>
      <c r="AC180" s="96"/>
      <c r="AD180" s="96">
        <f t="shared" si="331"/>
        <v>0</v>
      </c>
      <c r="AE180" s="96"/>
      <c r="AF180" s="95">
        <f t="shared" si="332"/>
        <v>0</v>
      </c>
      <c r="AG180" s="96">
        <f t="shared" si="333"/>
        <v>0</v>
      </c>
      <c r="AH180" s="96">
        <f t="shared" si="334"/>
        <v>0</v>
      </c>
      <c r="AI180" s="96">
        <f t="shared" si="335"/>
        <v>0</v>
      </c>
      <c r="AJ180" s="96">
        <f t="shared" si="336"/>
        <v>0</v>
      </c>
      <c r="AK180" s="96"/>
      <c r="AL180" s="96">
        <f t="shared" si="337"/>
        <v>0</v>
      </c>
      <c r="AM180" s="96"/>
      <c r="AN180" s="96">
        <f t="shared" si="338"/>
        <v>0</v>
      </c>
      <c r="AO180" s="96"/>
      <c r="AP180" s="96">
        <f t="shared" si="339"/>
        <v>0</v>
      </c>
      <c r="AQ180" s="96">
        <f t="shared" si="340"/>
        <v>0</v>
      </c>
      <c r="AR180" s="96">
        <f t="shared" si="341"/>
        <v>0</v>
      </c>
      <c r="AS180" s="96"/>
      <c r="AT180" s="96">
        <f t="shared" si="342"/>
        <v>0</v>
      </c>
      <c r="AU180" s="96"/>
      <c r="AV180" s="96">
        <f t="shared" si="343"/>
        <v>0</v>
      </c>
      <c r="AW180" s="96"/>
      <c r="AX180" s="96">
        <f t="shared" si="344"/>
        <v>0</v>
      </c>
      <c r="AY180" s="96">
        <f t="shared" si="345"/>
        <v>0</v>
      </c>
      <c r="AZ180" s="96">
        <f t="shared" si="346"/>
        <v>0</v>
      </c>
      <c r="BA180" s="96">
        <f t="shared" si="347"/>
        <v>0</v>
      </c>
      <c r="BB180" s="96">
        <f t="shared" si="348"/>
        <v>0</v>
      </c>
      <c r="BC180" s="1" t="s">
        <v>1715</v>
      </c>
    </row>
    <row r="181" spans="1:55">
      <c r="A181" s="492">
        <v>126</v>
      </c>
      <c r="B181" s="13"/>
      <c r="C181" s="13"/>
      <c r="D181" s="15"/>
      <c r="E181" s="21" t="s">
        <v>1530</v>
      </c>
      <c r="F181" s="45" t="s">
        <v>1533</v>
      </c>
      <c r="G181" s="45" t="s">
        <v>1059</v>
      </c>
      <c r="H181" s="265" t="s">
        <v>359</v>
      </c>
      <c r="I181" s="54">
        <v>7.08</v>
      </c>
      <c r="J181" s="157"/>
      <c r="K181" s="54">
        <v>7.08</v>
      </c>
      <c r="L181" s="157"/>
      <c r="M181" s="54"/>
      <c r="N181" s="157"/>
      <c r="O181" s="54"/>
      <c r="P181" s="157"/>
      <c r="Q181" s="96">
        <f t="shared" si="323"/>
        <v>0</v>
      </c>
      <c r="R181" s="337">
        <f t="shared" si="324"/>
        <v>0</v>
      </c>
      <c r="S181" s="96"/>
      <c r="T181" s="96">
        <f t="shared" si="325"/>
        <v>0</v>
      </c>
      <c r="U181" s="96"/>
      <c r="V181" s="96">
        <f t="shared" si="326"/>
        <v>0</v>
      </c>
      <c r="W181" s="96"/>
      <c r="X181" s="96">
        <f t="shared" si="327"/>
        <v>0</v>
      </c>
      <c r="Y181" s="96">
        <f t="shared" si="328"/>
        <v>0</v>
      </c>
      <c r="Z181" s="96">
        <f t="shared" si="329"/>
        <v>0</v>
      </c>
      <c r="AA181" s="96"/>
      <c r="AB181" s="96">
        <f t="shared" si="330"/>
        <v>0</v>
      </c>
      <c r="AC181" s="96"/>
      <c r="AD181" s="96">
        <f t="shared" si="331"/>
        <v>0</v>
      </c>
      <c r="AE181" s="96"/>
      <c r="AF181" s="95">
        <f t="shared" si="332"/>
        <v>0</v>
      </c>
      <c r="AG181" s="96">
        <f t="shared" si="333"/>
        <v>0</v>
      </c>
      <c r="AH181" s="96">
        <f t="shared" si="334"/>
        <v>0</v>
      </c>
      <c r="AI181" s="96">
        <f t="shared" si="335"/>
        <v>0</v>
      </c>
      <c r="AJ181" s="96">
        <f t="shared" si="336"/>
        <v>0</v>
      </c>
      <c r="AK181" s="96"/>
      <c r="AL181" s="96">
        <f t="shared" si="337"/>
        <v>0</v>
      </c>
      <c r="AM181" s="96"/>
      <c r="AN181" s="96">
        <f t="shared" si="338"/>
        <v>0</v>
      </c>
      <c r="AO181" s="96"/>
      <c r="AP181" s="96">
        <f t="shared" si="339"/>
        <v>0</v>
      </c>
      <c r="AQ181" s="96">
        <f t="shared" si="340"/>
        <v>0</v>
      </c>
      <c r="AR181" s="96">
        <f t="shared" si="341"/>
        <v>0</v>
      </c>
      <c r="AS181" s="96"/>
      <c r="AT181" s="96">
        <f t="shared" si="342"/>
        <v>0</v>
      </c>
      <c r="AU181" s="96"/>
      <c r="AV181" s="96">
        <f t="shared" si="343"/>
        <v>0</v>
      </c>
      <c r="AW181" s="96"/>
      <c r="AX181" s="96">
        <f t="shared" si="344"/>
        <v>0</v>
      </c>
      <c r="AY181" s="96">
        <f t="shared" si="345"/>
        <v>0</v>
      </c>
      <c r="AZ181" s="96">
        <f t="shared" si="346"/>
        <v>0</v>
      </c>
      <c r="BA181" s="96">
        <f t="shared" si="347"/>
        <v>0</v>
      </c>
      <c r="BB181" s="96">
        <f t="shared" si="348"/>
        <v>0</v>
      </c>
      <c r="BC181" s="1" t="s">
        <v>1717</v>
      </c>
    </row>
    <row r="182" spans="1:55">
      <c r="A182" s="492">
        <v>126</v>
      </c>
      <c r="B182" s="13"/>
      <c r="C182" s="13"/>
      <c r="D182" s="15"/>
      <c r="E182" s="21" t="s">
        <v>1531</v>
      </c>
      <c r="F182" s="45" t="s">
        <v>964</v>
      </c>
      <c r="G182" s="45" t="s">
        <v>1059</v>
      </c>
      <c r="H182" s="265" t="s">
        <v>359</v>
      </c>
      <c r="I182" s="54">
        <v>7.62</v>
      </c>
      <c r="J182" s="157"/>
      <c r="K182" s="54">
        <v>7.62</v>
      </c>
      <c r="L182" s="157"/>
      <c r="M182" s="54"/>
      <c r="N182" s="157"/>
      <c r="O182" s="54"/>
      <c r="P182" s="157"/>
      <c r="Q182" s="96">
        <f t="shared" si="323"/>
        <v>0.28000000000000003</v>
      </c>
      <c r="R182" s="337">
        <f t="shared" si="324"/>
        <v>3.1593495360000006</v>
      </c>
      <c r="S182" s="96"/>
      <c r="T182" s="96">
        <f t="shared" si="325"/>
        <v>0</v>
      </c>
      <c r="U182" s="96"/>
      <c r="V182" s="96">
        <f t="shared" si="326"/>
        <v>0</v>
      </c>
      <c r="W182" s="96"/>
      <c r="X182" s="96">
        <f t="shared" si="327"/>
        <v>0</v>
      </c>
      <c r="Y182" s="96">
        <f t="shared" si="328"/>
        <v>0</v>
      </c>
      <c r="Z182" s="96">
        <f t="shared" si="329"/>
        <v>0</v>
      </c>
      <c r="AA182" s="96">
        <v>0.28000000000000003</v>
      </c>
      <c r="AB182" s="96">
        <f t="shared" si="330"/>
        <v>3.1593495360000006</v>
      </c>
      <c r="AC182" s="96"/>
      <c r="AD182" s="96">
        <f t="shared" si="331"/>
        <v>0</v>
      </c>
      <c r="AE182" s="96"/>
      <c r="AF182" s="95">
        <f t="shared" si="332"/>
        <v>0</v>
      </c>
      <c r="AG182" s="96">
        <f t="shared" si="333"/>
        <v>0.28000000000000003</v>
      </c>
      <c r="AH182" s="96">
        <f t="shared" si="334"/>
        <v>3.1593495360000006</v>
      </c>
      <c r="AI182" s="96">
        <f t="shared" si="335"/>
        <v>0.28000000000000003</v>
      </c>
      <c r="AJ182" s="96">
        <f t="shared" si="336"/>
        <v>3.1593495360000006</v>
      </c>
      <c r="AK182" s="96"/>
      <c r="AL182" s="96">
        <f t="shared" si="337"/>
        <v>0</v>
      </c>
      <c r="AM182" s="96"/>
      <c r="AN182" s="96">
        <f t="shared" si="338"/>
        <v>0</v>
      </c>
      <c r="AO182" s="96"/>
      <c r="AP182" s="96">
        <f t="shared" si="339"/>
        <v>0</v>
      </c>
      <c r="AQ182" s="96">
        <f t="shared" si="340"/>
        <v>0</v>
      </c>
      <c r="AR182" s="96">
        <f t="shared" si="341"/>
        <v>0</v>
      </c>
      <c r="AS182" s="96"/>
      <c r="AT182" s="96">
        <f t="shared" si="342"/>
        <v>0</v>
      </c>
      <c r="AU182" s="96"/>
      <c r="AV182" s="96">
        <f t="shared" si="343"/>
        <v>0</v>
      </c>
      <c r="AW182" s="96"/>
      <c r="AX182" s="96">
        <f t="shared" si="344"/>
        <v>0</v>
      </c>
      <c r="AY182" s="96">
        <f t="shared" si="345"/>
        <v>0</v>
      </c>
      <c r="AZ182" s="96">
        <f t="shared" si="346"/>
        <v>0</v>
      </c>
      <c r="BA182" s="96">
        <f t="shared" si="347"/>
        <v>0</v>
      </c>
      <c r="BB182" s="96">
        <f t="shared" si="348"/>
        <v>0</v>
      </c>
      <c r="BC182" s="1" t="s">
        <v>1717</v>
      </c>
    </row>
    <row r="183" spans="1:55">
      <c r="A183" s="492">
        <v>126</v>
      </c>
      <c r="B183" s="13"/>
      <c r="C183" s="13"/>
      <c r="D183" s="15"/>
      <c r="E183" s="21" t="s">
        <v>1696</v>
      </c>
      <c r="F183" s="45" t="s">
        <v>1533</v>
      </c>
      <c r="G183" s="45" t="s">
        <v>1059</v>
      </c>
      <c r="H183" s="265" t="s">
        <v>359</v>
      </c>
      <c r="I183" s="54">
        <v>6.7</v>
      </c>
      <c r="J183" s="157"/>
      <c r="K183" s="54">
        <v>6.7</v>
      </c>
      <c r="L183" s="157"/>
      <c r="M183" s="54"/>
      <c r="N183" s="157"/>
      <c r="O183" s="54"/>
      <c r="P183" s="157"/>
      <c r="Q183" s="96">
        <f t="shared" si="323"/>
        <v>0</v>
      </c>
      <c r="R183" s="337">
        <f t="shared" si="324"/>
        <v>0</v>
      </c>
      <c r="S183" s="96"/>
      <c r="T183" s="96">
        <f t="shared" si="325"/>
        <v>0</v>
      </c>
      <c r="U183" s="96"/>
      <c r="V183" s="96">
        <f t="shared" si="326"/>
        <v>0</v>
      </c>
      <c r="W183" s="96"/>
      <c r="X183" s="96">
        <f t="shared" si="327"/>
        <v>0</v>
      </c>
      <c r="Y183" s="96">
        <f t="shared" si="328"/>
        <v>0</v>
      </c>
      <c r="Z183" s="96">
        <f t="shared" si="329"/>
        <v>0</v>
      </c>
      <c r="AA183" s="96"/>
      <c r="AB183" s="96">
        <f t="shared" si="330"/>
        <v>0</v>
      </c>
      <c r="AC183" s="96"/>
      <c r="AD183" s="96">
        <f t="shared" si="331"/>
        <v>0</v>
      </c>
      <c r="AE183" s="96"/>
      <c r="AF183" s="95">
        <f t="shared" si="332"/>
        <v>0</v>
      </c>
      <c r="AG183" s="96">
        <f t="shared" si="333"/>
        <v>0</v>
      </c>
      <c r="AH183" s="96">
        <f t="shared" si="334"/>
        <v>0</v>
      </c>
      <c r="AI183" s="96">
        <f t="shared" si="335"/>
        <v>0</v>
      </c>
      <c r="AJ183" s="96">
        <f t="shared" si="336"/>
        <v>0</v>
      </c>
      <c r="AK183" s="96"/>
      <c r="AL183" s="96">
        <f t="shared" si="337"/>
        <v>0</v>
      </c>
      <c r="AM183" s="96"/>
      <c r="AN183" s="96">
        <f t="shared" si="338"/>
        <v>0</v>
      </c>
      <c r="AO183" s="96"/>
      <c r="AP183" s="96">
        <f t="shared" si="339"/>
        <v>0</v>
      </c>
      <c r="AQ183" s="96">
        <f t="shared" si="340"/>
        <v>0</v>
      </c>
      <c r="AR183" s="96">
        <f t="shared" si="341"/>
        <v>0</v>
      </c>
      <c r="AS183" s="96"/>
      <c r="AT183" s="96">
        <f t="shared" si="342"/>
        <v>0</v>
      </c>
      <c r="AU183" s="96"/>
      <c r="AV183" s="96">
        <f t="shared" si="343"/>
        <v>0</v>
      </c>
      <c r="AW183" s="96"/>
      <c r="AX183" s="96">
        <f t="shared" si="344"/>
        <v>0</v>
      </c>
      <c r="AY183" s="96">
        <f t="shared" si="345"/>
        <v>0</v>
      </c>
      <c r="AZ183" s="96">
        <f t="shared" si="346"/>
        <v>0</v>
      </c>
      <c r="BA183" s="96">
        <f t="shared" si="347"/>
        <v>0</v>
      </c>
      <c r="BB183" s="96">
        <f t="shared" si="348"/>
        <v>0</v>
      </c>
      <c r="BC183" s="1" t="s">
        <v>1717</v>
      </c>
    </row>
    <row r="184" spans="1:55">
      <c r="A184" s="492">
        <v>127</v>
      </c>
      <c r="B184" s="13"/>
      <c r="C184" s="23"/>
      <c r="D184" s="36"/>
      <c r="E184" s="21" t="s">
        <v>1588</v>
      </c>
      <c r="F184" s="45"/>
      <c r="G184" s="45" t="s">
        <v>1059</v>
      </c>
      <c r="H184" s="265" t="s">
        <v>359</v>
      </c>
      <c r="I184" s="18">
        <v>7.86</v>
      </c>
      <c r="J184" s="157"/>
      <c r="K184" s="18">
        <v>7.86</v>
      </c>
      <c r="L184" s="157"/>
      <c r="M184" s="18"/>
      <c r="N184" s="157"/>
      <c r="O184" s="18"/>
      <c r="P184" s="157"/>
      <c r="Q184" s="96">
        <f t="shared" ref="Q184:Q227" si="427">SUM(AI184+BA184)</f>
        <v>0</v>
      </c>
      <c r="R184" s="337">
        <f t="shared" ref="R184:R227" si="428">SUM(AJ184+BB184)</f>
        <v>0</v>
      </c>
      <c r="S184" s="96"/>
      <c r="T184" s="96">
        <f t="shared" ref="T184:T227" si="429">I184*S184*$T$2/1000</f>
        <v>0</v>
      </c>
      <c r="U184" s="96"/>
      <c r="V184" s="96">
        <f t="shared" ref="V184:V227" si="430">I184*U184*$V$2/1000</f>
        <v>0</v>
      </c>
      <c r="W184" s="96"/>
      <c r="X184" s="96">
        <f t="shared" ref="X184:X227" si="431">I184*W184*$X$2/1000</f>
        <v>0</v>
      </c>
      <c r="Y184" s="96">
        <f t="shared" ref="Y184:Y227" si="432">SUM(S184+U184+W184)</f>
        <v>0</v>
      </c>
      <c r="Z184" s="96">
        <f t="shared" ref="Z184:Z227" si="433">SUM(T184+V184+X184)</f>
        <v>0</v>
      </c>
      <c r="AA184" s="96"/>
      <c r="AB184" s="96">
        <f t="shared" ref="AB184:AB227" si="434">K184*AA184*$AB$2/1000</f>
        <v>0</v>
      </c>
      <c r="AC184" s="96"/>
      <c r="AD184" s="96">
        <f t="shared" ref="AD184:AD227" si="435">K184*AC184*$AD$2/1000</f>
        <v>0</v>
      </c>
      <c r="AE184" s="96"/>
      <c r="AF184" s="95">
        <f t="shared" ref="AF184:AF227" si="436">K184*AE184*$AF$2/1000</f>
        <v>0</v>
      </c>
      <c r="AG184" s="96">
        <f t="shared" ref="AG184:AG227" si="437">SUM(AA184+AC184+AE184)</f>
        <v>0</v>
      </c>
      <c r="AH184" s="96">
        <f t="shared" ref="AH184:AH227" si="438">SUM(AB184+AD184+AF184)</f>
        <v>0</v>
      </c>
      <c r="AI184" s="96">
        <f t="shared" ref="AI184:AI227" si="439">SUM(Y184+AG184)</f>
        <v>0</v>
      </c>
      <c r="AJ184" s="96">
        <f t="shared" ref="AJ184:AJ227" si="440">SUM(Z184,AH184)</f>
        <v>0</v>
      </c>
      <c r="AK184" s="96"/>
      <c r="AL184" s="96">
        <f t="shared" ref="AL184:AL227" si="441">M184*AK184*$AL$2/1000</f>
        <v>0</v>
      </c>
      <c r="AM184" s="96"/>
      <c r="AN184" s="96">
        <f t="shared" ref="AN184:AN227" si="442">M184*AM184*$AN$2/1000</f>
        <v>0</v>
      </c>
      <c r="AO184" s="96"/>
      <c r="AP184" s="96">
        <f t="shared" ref="AP184:AP227" si="443">M184*AO184*$AP$2/1000</f>
        <v>0</v>
      </c>
      <c r="AQ184" s="96">
        <f t="shared" ref="AQ184:AQ227" si="444">SUM(AK184+AM184+AO184)</f>
        <v>0</v>
      </c>
      <c r="AR184" s="96">
        <f t="shared" ref="AR184:AR227" si="445">SUM(AL184+AN184+AP184)</f>
        <v>0</v>
      </c>
      <c r="AS184" s="96"/>
      <c r="AT184" s="96">
        <f t="shared" ref="AT184:AT227" si="446">O184*AS184*$AT$2/1000</f>
        <v>0</v>
      </c>
      <c r="AU184" s="96"/>
      <c r="AV184" s="96">
        <f t="shared" ref="AV184:AV227" si="447">O184*AU184*$AV$2/1000</f>
        <v>0</v>
      </c>
      <c r="AW184" s="96"/>
      <c r="AX184" s="96">
        <f t="shared" ref="AX184:AX227" si="448">O184*AW184*$AX$2/1000</f>
        <v>0</v>
      </c>
      <c r="AY184" s="96">
        <f t="shared" ref="AY184:AY227" si="449">SUM(AS184+AU184+AW184)</f>
        <v>0</v>
      </c>
      <c r="AZ184" s="96">
        <f t="shared" ref="AZ184:AZ227" si="450">SUM(AT184+AV184+AX184)</f>
        <v>0</v>
      </c>
      <c r="BA184" s="96">
        <f t="shared" ref="BA184:BA227" si="451">SUM(AQ184+AY184)</f>
        <v>0</v>
      </c>
      <c r="BB184" s="96">
        <f t="shared" ref="BB184:BB227" si="452">SUM(AR184,AZ184)</f>
        <v>0</v>
      </c>
      <c r="BC184" s="1" t="s">
        <v>1717</v>
      </c>
    </row>
    <row r="185" spans="1:55">
      <c r="A185" s="492">
        <v>127</v>
      </c>
      <c r="B185" s="13"/>
      <c r="C185" s="23"/>
      <c r="D185" s="36"/>
      <c r="E185" s="21" t="s">
        <v>1697</v>
      </c>
      <c r="F185" s="45"/>
      <c r="G185" s="45" t="s">
        <v>1059</v>
      </c>
      <c r="H185" s="265" t="s">
        <v>360</v>
      </c>
      <c r="I185" s="18">
        <v>6.9</v>
      </c>
      <c r="J185" s="157"/>
      <c r="K185" s="18">
        <v>6.9</v>
      </c>
      <c r="L185" s="157"/>
      <c r="M185" s="18"/>
      <c r="N185" s="157"/>
      <c r="O185" s="18"/>
      <c r="P185" s="157"/>
      <c r="Q185" s="96">
        <f t="shared" si="427"/>
        <v>0</v>
      </c>
      <c r="R185" s="337">
        <f t="shared" si="428"/>
        <v>0</v>
      </c>
      <c r="S185" s="96"/>
      <c r="T185" s="96">
        <f t="shared" si="429"/>
        <v>0</v>
      </c>
      <c r="U185" s="96"/>
      <c r="V185" s="96">
        <f t="shared" si="430"/>
        <v>0</v>
      </c>
      <c r="W185" s="96"/>
      <c r="X185" s="96">
        <f t="shared" si="431"/>
        <v>0</v>
      </c>
      <c r="Y185" s="96">
        <f t="shared" si="432"/>
        <v>0</v>
      </c>
      <c r="Z185" s="96">
        <f t="shared" si="433"/>
        <v>0</v>
      </c>
      <c r="AA185" s="96"/>
      <c r="AB185" s="96">
        <f t="shared" si="434"/>
        <v>0</v>
      </c>
      <c r="AC185" s="96"/>
      <c r="AD185" s="96">
        <f t="shared" si="435"/>
        <v>0</v>
      </c>
      <c r="AE185" s="96"/>
      <c r="AF185" s="95">
        <f t="shared" si="436"/>
        <v>0</v>
      </c>
      <c r="AG185" s="96">
        <f t="shared" si="437"/>
        <v>0</v>
      </c>
      <c r="AH185" s="96">
        <f t="shared" si="438"/>
        <v>0</v>
      </c>
      <c r="AI185" s="96">
        <f t="shared" si="439"/>
        <v>0</v>
      </c>
      <c r="AJ185" s="96">
        <f t="shared" si="440"/>
        <v>0</v>
      </c>
      <c r="AK185" s="96"/>
      <c r="AL185" s="96">
        <f t="shared" si="441"/>
        <v>0</v>
      </c>
      <c r="AM185" s="96"/>
      <c r="AN185" s="96">
        <f t="shared" si="442"/>
        <v>0</v>
      </c>
      <c r="AO185" s="96"/>
      <c r="AP185" s="96">
        <f t="shared" si="443"/>
        <v>0</v>
      </c>
      <c r="AQ185" s="96">
        <f t="shared" si="444"/>
        <v>0</v>
      </c>
      <c r="AR185" s="96">
        <f t="shared" si="445"/>
        <v>0</v>
      </c>
      <c r="AS185" s="96"/>
      <c r="AT185" s="96">
        <f t="shared" si="446"/>
        <v>0</v>
      </c>
      <c r="AU185" s="96"/>
      <c r="AV185" s="96">
        <f t="shared" si="447"/>
        <v>0</v>
      </c>
      <c r="AW185" s="96"/>
      <c r="AX185" s="96">
        <f t="shared" si="448"/>
        <v>0</v>
      </c>
      <c r="AY185" s="96">
        <f t="shared" si="449"/>
        <v>0</v>
      </c>
      <c r="AZ185" s="96">
        <f t="shared" si="450"/>
        <v>0</v>
      </c>
      <c r="BA185" s="96">
        <f t="shared" si="451"/>
        <v>0</v>
      </c>
      <c r="BB185" s="96">
        <f t="shared" si="452"/>
        <v>0</v>
      </c>
      <c r="BC185" s="1" t="s">
        <v>1717</v>
      </c>
    </row>
    <row r="186" spans="1:55">
      <c r="A186" s="492">
        <v>126</v>
      </c>
      <c r="B186" s="13"/>
      <c r="C186" s="13"/>
      <c r="D186" s="15"/>
      <c r="E186" s="21" t="s">
        <v>1532</v>
      </c>
      <c r="F186" s="45" t="s">
        <v>1533</v>
      </c>
      <c r="G186" s="45" t="s">
        <v>1059</v>
      </c>
      <c r="H186" s="265" t="s">
        <v>359</v>
      </c>
      <c r="I186" s="54">
        <v>8.16</v>
      </c>
      <c r="J186" s="157"/>
      <c r="K186" s="54">
        <v>8.16</v>
      </c>
      <c r="L186" s="157"/>
      <c r="M186" s="54"/>
      <c r="N186" s="157"/>
      <c r="O186" s="54"/>
      <c r="P186" s="157"/>
      <c r="Q186" s="96">
        <f t="shared" si="427"/>
        <v>0</v>
      </c>
      <c r="R186" s="337">
        <f t="shared" si="428"/>
        <v>0</v>
      </c>
      <c r="S186" s="96"/>
      <c r="T186" s="96">
        <f t="shared" si="429"/>
        <v>0</v>
      </c>
      <c r="U186" s="96"/>
      <c r="V186" s="96">
        <f t="shared" si="430"/>
        <v>0</v>
      </c>
      <c r="W186" s="96"/>
      <c r="X186" s="96">
        <f t="shared" si="431"/>
        <v>0</v>
      </c>
      <c r="Y186" s="96">
        <f t="shared" si="432"/>
        <v>0</v>
      </c>
      <c r="Z186" s="96">
        <f t="shared" si="433"/>
        <v>0</v>
      </c>
      <c r="AA186" s="96"/>
      <c r="AB186" s="96">
        <f t="shared" si="434"/>
        <v>0</v>
      </c>
      <c r="AC186" s="96"/>
      <c r="AD186" s="96">
        <f t="shared" si="435"/>
        <v>0</v>
      </c>
      <c r="AE186" s="96"/>
      <c r="AF186" s="95">
        <f t="shared" si="436"/>
        <v>0</v>
      </c>
      <c r="AG186" s="96">
        <f t="shared" si="437"/>
        <v>0</v>
      </c>
      <c r="AH186" s="96">
        <f t="shared" si="438"/>
        <v>0</v>
      </c>
      <c r="AI186" s="96">
        <f t="shared" si="439"/>
        <v>0</v>
      </c>
      <c r="AJ186" s="96">
        <f t="shared" si="440"/>
        <v>0</v>
      </c>
      <c r="AK186" s="96"/>
      <c r="AL186" s="96">
        <f t="shared" si="441"/>
        <v>0</v>
      </c>
      <c r="AM186" s="96"/>
      <c r="AN186" s="96">
        <f t="shared" si="442"/>
        <v>0</v>
      </c>
      <c r="AO186" s="96"/>
      <c r="AP186" s="96">
        <f t="shared" si="443"/>
        <v>0</v>
      </c>
      <c r="AQ186" s="96">
        <f t="shared" si="444"/>
        <v>0</v>
      </c>
      <c r="AR186" s="96">
        <f t="shared" si="445"/>
        <v>0</v>
      </c>
      <c r="AS186" s="96"/>
      <c r="AT186" s="96">
        <f t="shared" si="446"/>
        <v>0</v>
      </c>
      <c r="AU186" s="96"/>
      <c r="AV186" s="96">
        <f t="shared" si="447"/>
        <v>0</v>
      </c>
      <c r="AW186" s="96"/>
      <c r="AX186" s="96">
        <f t="shared" si="448"/>
        <v>0</v>
      </c>
      <c r="AY186" s="96">
        <f t="shared" si="449"/>
        <v>0</v>
      </c>
      <c r="AZ186" s="96">
        <f t="shared" si="450"/>
        <v>0</v>
      </c>
      <c r="BA186" s="96">
        <f t="shared" si="451"/>
        <v>0</v>
      </c>
      <c r="BB186" s="96">
        <f t="shared" si="452"/>
        <v>0</v>
      </c>
      <c r="BC186" s="1" t="s">
        <v>1717</v>
      </c>
    </row>
    <row r="187" spans="1:55">
      <c r="A187" s="492">
        <v>126</v>
      </c>
      <c r="B187" s="13"/>
      <c r="C187" s="13"/>
      <c r="D187" s="15"/>
      <c r="E187" s="21" t="s">
        <v>2285</v>
      </c>
      <c r="F187" s="45" t="s">
        <v>964</v>
      </c>
      <c r="G187" s="45" t="s">
        <v>1059</v>
      </c>
      <c r="H187" s="265" t="s">
        <v>359</v>
      </c>
      <c r="I187" s="54">
        <v>7.5</v>
      </c>
      <c r="J187" s="157"/>
      <c r="K187" s="54">
        <v>7.5</v>
      </c>
      <c r="L187" s="157"/>
      <c r="M187" s="54"/>
      <c r="N187" s="157"/>
      <c r="O187" s="54"/>
      <c r="P187" s="157"/>
      <c r="Q187" s="96">
        <f t="shared" ref="Q187" si="453">SUM(AI187+BA187)</f>
        <v>0</v>
      </c>
      <c r="R187" s="337">
        <f t="shared" ref="R187" si="454">SUM(AJ187+BB187)</f>
        <v>0</v>
      </c>
      <c r="S187" s="96"/>
      <c r="T187" s="96">
        <f t="shared" ref="T187" si="455">I187*S187*$T$2/1000</f>
        <v>0</v>
      </c>
      <c r="U187" s="96"/>
      <c r="V187" s="96">
        <f t="shared" ref="V187" si="456">I187*U187*$V$2/1000</f>
        <v>0</v>
      </c>
      <c r="W187" s="96"/>
      <c r="X187" s="96">
        <f t="shared" ref="X187" si="457">I187*W187*$X$2/1000</f>
        <v>0</v>
      </c>
      <c r="Y187" s="96">
        <f t="shared" ref="Y187" si="458">SUM(S187+U187+W187)</f>
        <v>0</v>
      </c>
      <c r="Z187" s="96">
        <f t="shared" ref="Z187" si="459">SUM(T187+V187+X187)</f>
        <v>0</v>
      </c>
      <c r="AA187" s="96"/>
      <c r="AB187" s="96">
        <f t="shared" ref="AB187" si="460">K187*AA187*$AB$2/1000</f>
        <v>0</v>
      </c>
      <c r="AC187" s="96"/>
      <c r="AD187" s="96">
        <f t="shared" ref="AD187" si="461">K187*AC187*$AD$2/1000</f>
        <v>0</v>
      </c>
      <c r="AE187" s="96"/>
      <c r="AF187" s="95">
        <f t="shared" ref="AF187" si="462">K187*AE187*$AF$2/1000</f>
        <v>0</v>
      </c>
      <c r="AG187" s="96">
        <f t="shared" ref="AG187" si="463">SUM(AA187+AC187+AE187)</f>
        <v>0</v>
      </c>
      <c r="AH187" s="96">
        <f t="shared" ref="AH187" si="464">SUM(AB187+AD187+AF187)</f>
        <v>0</v>
      </c>
      <c r="AI187" s="96">
        <f t="shared" ref="AI187" si="465">SUM(Y187+AG187)</f>
        <v>0</v>
      </c>
      <c r="AJ187" s="96">
        <f t="shared" ref="AJ187" si="466">SUM(Z187,AH187)</f>
        <v>0</v>
      </c>
      <c r="AK187" s="96"/>
      <c r="AL187" s="96">
        <f t="shared" ref="AL187" si="467">M187*AK187*$AL$2/1000</f>
        <v>0</v>
      </c>
      <c r="AM187" s="96"/>
      <c r="AN187" s="96">
        <f t="shared" ref="AN187" si="468">M187*AM187*$AN$2/1000</f>
        <v>0</v>
      </c>
      <c r="AO187" s="96"/>
      <c r="AP187" s="96">
        <f t="shared" ref="AP187" si="469">M187*AO187*$AP$2/1000</f>
        <v>0</v>
      </c>
      <c r="AQ187" s="96">
        <f t="shared" ref="AQ187" si="470">SUM(AK187+AM187+AO187)</f>
        <v>0</v>
      </c>
      <c r="AR187" s="96">
        <f t="shared" ref="AR187" si="471">SUM(AL187+AN187+AP187)</f>
        <v>0</v>
      </c>
      <c r="AS187" s="96"/>
      <c r="AT187" s="96">
        <f t="shared" ref="AT187" si="472">O187*AS187*$AT$2/1000</f>
        <v>0</v>
      </c>
      <c r="AU187" s="96"/>
      <c r="AV187" s="96">
        <f t="shared" ref="AV187" si="473">O187*AU187*$AV$2/1000</f>
        <v>0</v>
      </c>
      <c r="AW187" s="96"/>
      <c r="AX187" s="96">
        <f t="shared" ref="AX187" si="474">O187*AW187*$AX$2/1000</f>
        <v>0</v>
      </c>
      <c r="AY187" s="96">
        <f t="shared" ref="AY187" si="475">SUM(AS187+AU187+AW187)</f>
        <v>0</v>
      </c>
      <c r="AZ187" s="96">
        <f t="shared" ref="AZ187" si="476">SUM(AT187+AV187+AX187)</f>
        <v>0</v>
      </c>
      <c r="BA187" s="96">
        <f t="shared" ref="BA187" si="477">SUM(AQ187+AY187)</f>
        <v>0</v>
      </c>
      <c r="BB187" s="96">
        <f t="shared" ref="BB187" si="478">SUM(AR187,AZ187)</f>
        <v>0</v>
      </c>
      <c r="BC187" s="1" t="s">
        <v>1056</v>
      </c>
    </row>
    <row r="188" spans="1:55">
      <c r="A188" s="492">
        <v>126</v>
      </c>
      <c r="B188" s="13"/>
      <c r="C188" s="13"/>
      <c r="D188" s="15"/>
      <c r="E188" s="21" t="s">
        <v>1681</v>
      </c>
      <c r="F188" s="45" t="s">
        <v>964</v>
      </c>
      <c r="G188" s="45" t="s">
        <v>1059</v>
      </c>
      <c r="H188" s="265" t="s">
        <v>359</v>
      </c>
      <c r="I188" s="54"/>
      <c r="J188" s="157"/>
      <c r="K188" s="54"/>
      <c r="L188" s="157"/>
      <c r="M188" s="54"/>
      <c r="N188" s="157"/>
      <c r="O188" s="54"/>
      <c r="P188" s="157"/>
      <c r="Q188" s="96">
        <f t="shared" si="427"/>
        <v>0</v>
      </c>
      <c r="R188" s="337">
        <f t="shared" si="428"/>
        <v>0</v>
      </c>
      <c r="S188" s="96"/>
      <c r="T188" s="96">
        <f t="shared" si="429"/>
        <v>0</v>
      </c>
      <c r="U188" s="96"/>
      <c r="V188" s="96">
        <f t="shared" si="430"/>
        <v>0</v>
      </c>
      <c r="W188" s="96"/>
      <c r="X188" s="96">
        <f t="shared" si="431"/>
        <v>0</v>
      </c>
      <c r="Y188" s="96">
        <f t="shared" si="432"/>
        <v>0</v>
      </c>
      <c r="Z188" s="96">
        <f t="shared" si="433"/>
        <v>0</v>
      </c>
      <c r="AA188" s="96"/>
      <c r="AB188" s="96">
        <f t="shared" si="434"/>
        <v>0</v>
      </c>
      <c r="AC188" s="96"/>
      <c r="AD188" s="96">
        <f t="shared" si="435"/>
        <v>0</v>
      </c>
      <c r="AE188" s="96"/>
      <c r="AF188" s="95">
        <f t="shared" si="436"/>
        <v>0</v>
      </c>
      <c r="AG188" s="96">
        <f t="shared" si="437"/>
        <v>0</v>
      </c>
      <c r="AH188" s="96">
        <f t="shared" si="438"/>
        <v>0</v>
      </c>
      <c r="AI188" s="96">
        <f t="shared" si="439"/>
        <v>0</v>
      </c>
      <c r="AJ188" s="96">
        <f t="shared" si="440"/>
        <v>0</v>
      </c>
      <c r="AK188" s="96"/>
      <c r="AL188" s="96">
        <f t="shared" si="441"/>
        <v>0</v>
      </c>
      <c r="AM188" s="96"/>
      <c r="AN188" s="96">
        <f t="shared" si="442"/>
        <v>0</v>
      </c>
      <c r="AO188" s="96"/>
      <c r="AP188" s="96">
        <f t="shared" si="443"/>
        <v>0</v>
      </c>
      <c r="AQ188" s="96">
        <f t="shared" si="444"/>
        <v>0</v>
      </c>
      <c r="AR188" s="96">
        <f t="shared" si="445"/>
        <v>0</v>
      </c>
      <c r="AS188" s="96"/>
      <c r="AT188" s="96">
        <f t="shared" si="446"/>
        <v>0</v>
      </c>
      <c r="AU188" s="96"/>
      <c r="AV188" s="96">
        <f t="shared" si="447"/>
        <v>0</v>
      </c>
      <c r="AW188" s="96"/>
      <c r="AX188" s="96">
        <f t="shared" si="448"/>
        <v>0</v>
      </c>
      <c r="AY188" s="96">
        <f t="shared" si="449"/>
        <v>0</v>
      </c>
      <c r="AZ188" s="96">
        <f t="shared" si="450"/>
        <v>0</v>
      </c>
      <c r="BA188" s="96">
        <f t="shared" si="451"/>
        <v>0</v>
      </c>
      <c r="BB188" s="96">
        <f t="shared" si="452"/>
        <v>0</v>
      </c>
      <c r="BC188" s="1" t="s">
        <v>1717</v>
      </c>
    </row>
    <row r="189" spans="1:55">
      <c r="A189" s="492">
        <v>127</v>
      </c>
      <c r="B189" s="13"/>
      <c r="C189" s="23"/>
      <c r="D189" s="36"/>
      <c r="E189" s="21" t="s">
        <v>1589</v>
      </c>
      <c r="F189" s="45"/>
      <c r="G189" s="45" t="s">
        <v>1059</v>
      </c>
      <c r="H189" s="265" t="s">
        <v>360</v>
      </c>
      <c r="I189" s="18">
        <v>8.16</v>
      </c>
      <c r="J189" s="157"/>
      <c r="K189" s="18">
        <v>8.16</v>
      </c>
      <c r="L189" s="157"/>
      <c r="M189" s="18"/>
      <c r="N189" s="157"/>
      <c r="O189" s="18"/>
      <c r="P189" s="157"/>
      <c r="Q189" s="96">
        <f t="shared" si="427"/>
        <v>0</v>
      </c>
      <c r="R189" s="337">
        <f t="shared" si="428"/>
        <v>0</v>
      </c>
      <c r="S189" s="96"/>
      <c r="T189" s="96">
        <f t="shared" si="429"/>
        <v>0</v>
      </c>
      <c r="U189" s="96"/>
      <c r="V189" s="96">
        <f t="shared" si="430"/>
        <v>0</v>
      </c>
      <c r="W189" s="96"/>
      <c r="X189" s="96">
        <f t="shared" si="431"/>
        <v>0</v>
      </c>
      <c r="Y189" s="96">
        <f t="shared" si="432"/>
        <v>0</v>
      </c>
      <c r="Z189" s="96">
        <f t="shared" si="433"/>
        <v>0</v>
      </c>
      <c r="AA189" s="96"/>
      <c r="AB189" s="96">
        <f t="shared" si="434"/>
        <v>0</v>
      </c>
      <c r="AC189" s="96"/>
      <c r="AD189" s="96">
        <f t="shared" si="435"/>
        <v>0</v>
      </c>
      <c r="AE189" s="96"/>
      <c r="AF189" s="95">
        <f t="shared" si="436"/>
        <v>0</v>
      </c>
      <c r="AG189" s="96">
        <f t="shared" si="437"/>
        <v>0</v>
      </c>
      <c r="AH189" s="96">
        <f t="shared" si="438"/>
        <v>0</v>
      </c>
      <c r="AI189" s="96">
        <f t="shared" si="439"/>
        <v>0</v>
      </c>
      <c r="AJ189" s="96">
        <f t="shared" si="440"/>
        <v>0</v>
      </c>
      <c r="AK189" s="96"/>
      <c r="AL189" s="96">
        <f t="shared" si="441"/>
        <v>0</v>
      </c>
      <c r="AM189" s="96"/>
      <c r="AN189" s="96">
        <f t="shared" si="442"/>
        <v>0</v>
      </c>
      <c r="AO189" s="96"/>
      <c r="AP189" s="96">
        <f t="shared" si="443"/>
        <v>0</v>
      </c>
      <c r="AQ189" s="96">
        <f t="shared" si="444"/>
        <v>0</v>
      </c>
      <c r="AR189" s="96">
        <f t="shared" si="445"/>
        <v>0</v>
      </c>
      <c r="AS189" s="96"/>
      <c r="AT189" s="96">
        <f t="shared" si="446"/>
        <v>0</v>
      </c>
      <c r="AU189" s="96"/>
      <c r="AV189" s="96">
        <f t="shared" si="447"/>
        <v>0</v>
      </c>
      <c r="AW189" s="96"/>
      <c r="AX189" s="96">
        <f t="shared" si="448"/>
        <v>0</v>
      </c>
      <c r="AY189" s="96">
        <f t="shared" si="449"/>
        <v>0</v>
      </c>
      <c r="AZ189" s="96">
        <f t="shared" si="450"/>
        <v>0</v>
      </c>
      <c r="BA189" s="96">
        <f t="shared" si="451"/>
        <v>0</v>
      </c>
      <c r="BB189" s="96">
        <f t="shared" si="452"/>
        <v>0</v>
      </c>
      <c r="BC189" s="1" t="s">
        <v>1717</v>
      </c>
    </row>
    <row r="190" spans="1:55">
      <c r="A190" s="492">
        <v>127</v>
      </c>
      <c r="B190" s="13"/>
      <c r="C190" s="23"/>
      <c r="D190" s="36"/>
      <c r="E190" s="21" t="s">
        <v>1590</v>
      </c>
      <c r="F190" s="45"/>
      <c r="G190" s="45" t="s">
        <v>1059</v>
      </c>
      <c r="H190" s="265" t="s">
        <v>360</v>
      </c>
      <c r="I190" s="18">
        <v>7.32</v>
      </c>
      <c r="J190" s="157"/>
      <c r="K190" s="18">
        <v>7.32</v>
      </c>
      <c r="L190" s="157"/>
      <c r="M190" s="18"/>
      <c r="N190" s="157"/>
      <c r="O190" s="18"/>
      <c r="P190" s="157"/>
      <c r="Q190" s="96">
        <f t="shared" si="427"/>
        <v>0</v>
      </c>
      <c r="R190" s="337">
        <f t="shared" si="428"/>
        <v>0</v>
      </c>
      <c r="S190" s="96"/>
      <c r="T190" s="96">
        <f t="shared" si="429"/>
        <v>0</v>
      </c>
      <c r="U190" s="96"/>
      <c r="V190" s="96">
        <f t="shared" si="430"/>
        <v>0</v>
      </c>
      <c r="W190" s="96"/>
      <c r="X190" s="96">
        <f t="shared" si="431"/>
        <v>0</v>
      </c>
      <c r="Y190" s="96">
        <f t="shared" si="432"/>
        <v>0</v>
      </c>
      <c r="Z190" s="96">
        <f t="shared" si="433"/>
        <v>0</v>
      </c>
      <c r="AA190" s="96"/>
      <c r="AB190" s="96">
        <f t="shared" si="434"/>
        <v>0</v>
      </c>
      <c r="AC190" s="96"/>
      <c r="AD190" s="96">
        <f t="shared" si="435"/>
        <v>0</v>
      </c>
      <c r="AE190" s="96"/>
      <c r="AF190" s="95">
        <f t="shared" si="436"/>
        <v>0</v>
      </c>
      <c r="AG190" s="96">
        <f t="shared" si="437"/>
        <v>0</v>
      </c>
      <c r="AH190" s="96">
        <f t="shared" si="438"/>
        <v>0</v>
      </c>
      <c r="AI190" s="96">
        <f t="shared" si="439"/>
        <v>0</v>
      </c>
      <c r="AJ190" s="96">
        <f t="shared" si="440"/>
        <v>0</v>
      </c>
      <c r="AK190" s="96"/>
      <c r="AL190" s="96">
        <f t="shared" si="441"/>
        <v>0</v>
      </c>
      <c r="AM190" s="96"/>
      <c r="AN190" s="96">
        <f t="shared" si="442"/>
        <v>0</v>
      </c>
      <c r="AO190" s="96"/>
      <c r="AP190" s="96">
        <f t="shared" si="443"/>
        <v>0</v>
      </c>
      <c r="AQ190" s="96">
        <f t="shared" si="444"/>
        <v>0</v>
      </c>
      <c r="AR190" s="96">
        <f t="shared" si="445"/>
        <v>0</v>
      </c>
      <c r="AS190" s="96"/>
      <c r="AT190" s="96">
        <f t="shared" si="446"/>
        <v>0</v>
      </c>
      <c r="AU190" s="96"/>
      <c r="AV190" s="96">
        <f t="shared" si="447"/>
        <v>0</v>
      </c>
      <c r="AW190" s="96"/>
      <c r="AX190" s="96">
        <f t="shared" si="448"/>
        <v>0</v>
      </c>
      <c r="AY190" s="96">
        <f t="shared" si="449"/>
        <v>0</v>
      </c>
      <c r="AZ190" s="96">
        <f t="shared" si="450"/>
        <v>0</v>
      </c>
      <c r="BA190" s="96">
        <f t="shared" si="451"/>
        <v>0</v>
      </c>
      <c r="BB190" s="96">
        <f t="shared" si="452"/>
        <v>0</v>
      </c>
      <c r="BC190" s="1" t="s">
        <v>1717</v>
      </c>
    </row>
    <row r="191" spans="1:55">
      <c r="A191" s="492">
        <v>127</v>
      </c>
      <c r="B191" s="13"/>
      <c r="C191" s="23"/>
      <c r="D191" s="36"/>
      <c r="E191" s="21" t="s">
        <v>1611</v>
      </c>
      <c r="F191" s="45"/>
      <c r="G191" s="45" t="s">
        <v>1059</v>
      </c>
      <c r="H191" s="265" t="s">
        <v>359</v>
      </c>
      <c r="I191" s="18">
        <v>10.68</v>
      </c>
      <c r="J191" s="157"/>
      <c r="K191" s="18">
        <v>10.68</v>
      </c>
      <c r="L191" s="157"/>
      <c r="M191" s="18"/>
      <c r="N191" s="157"/>
      <c r="O191" s="18"/>
      <c r="P191" s="157"/>
      <c r="Q191" s="96">
        <f t="shared" si="427"/>
        <v>0</v>
      </c>
      <c r="R191" s="337">
        <f t="shared" si="428"/>
        <v>0</v>
      </c>
      <c r="S191" s="96"/>
      <c r="T191" s="96">
        <f t="shared" si="429"/>
        <v>0</v>
      </c>
      <c r="U191" s="96"/>
      <c r="V191" s="96">
        <f t="shared" si="430"/>
        <v>0</v>
      </c>
      <c r="W191" s="96"/>
      <c r="X191" s="96">
        <f t="shared" si="431"/>
        <v>0</v>
      </c>
      <c r="Y191" s="96">
        <f t="shared" si="432"/>
        <v>0</v>
      </c>
      <c r="Z191" s="96">
        <f t="shared" si="433"/>
        <v>0</v>
      </c>
      <c r="AA191" s="96"/>
      <c r="AB191" s="96">
        <f t="shared" si="434"/>
        <v>0</v>
      </c>
      <c r="AC191" s="96"/>
      <c r="AD191" s="96">
        <f t="shared" si="435"/>
        <v>0</v>
      </c>
      <c r="AE191" s="96"/>
      <c r="AF191" s="95">
        <f t="shared" si="436"/>
        <v>0</v>
      </c>
      <c r="AG191" s="96">
        <f t="shared" si="437"/>
        <v>0</v>
      </c>
      <c r="AH191" s="96">
        <f t="shared" si="438"/>
        <v>0</v>
      </c>
      <c r="AI191" s="96">
        <f t="shared" si="439"/>
        <v>0</v>
      </c>
      <c r="AJ191" s="96">
        <f t="shared" si="440"/>
        <v>0</v>
      </c>
      <c r="AK191" s="96"/>
      <c r="AL191" s="96">
        <f t="shared" si="441"/>
        <v>0</v>
      </c>
      <c r="AM191" s="96"/>
      <c r="AN191" s="96">
        <f t="shared" si="442"/>
        <v>0</v>
      </c>
      <c r="AO191" s="96"/>
      <c r="AP191" s="96">
        <f t="shared" si="443"/>
        <v>0</v>
      </c>
      <c r="AQ191" s="96">
        <f t="shared" si="444"/>
        <v>0</v>
      </c>
      <c r="AR191" s="96">
        <f t="shared" si="445"/>
        <v>0</v>
      </c>
      <c r="AS191" s="96"/>
      <c r="AT191" s="96">
        <f t="shared" si="446"/>
        <v>0</v>
      </c>
      <c r="AU191" s="96"/>
      <c r="AV191" s="96">
        <f t="shared" si="447"/>
        <v>0</v>
      </c>
      <c r="AW191" s="96"/>
      <c r="AX191" s="96">
        <f t="shared" si="448"/>
        <v>0</v>
      </c>
      <c r="AY191" s="96">
        <f t="shared" si="449"/>
        <v>0</v>
      </c>
      <c r="AZ191" s="96">
        <f t="shared" si="450"/>
        <v>0</v>
      </c>
      <c r="BA191" s="96">
        <f t="shared" si="451"/>
        <v>0</v>
      </c>
      <c r="BB191" s="96">
        <f t="shared" si="452"/>
        <v>0</v>
      </c>
      <c r="BC191" s="1" t="s">
        <v>1717</v>
      </c>
    </row>
    <row r="192" spans="1:55">
      <c r="A192" s="492">
        <v>127</v>
      </c>
      <c r="B192" s="13"/>
      <c r="C192" s="23"/>
      <c r="D192" s="36"/>
      <c r="E192" s="21" t="s">
        <v>2216</v>
      </c>
      <c r="F192" s="45" t="s">
        <v>964</v>
      </c>
      <c r="G192" s="45" t="s">
        <v>1059</v>
      </c>
      <c r="H192" s="265" t="s">
        <v>359</v>
      </c>
      <c r="I192" s="54">
        <v>5.4</v>
      </c>
      <c r="J192" s="157"/>
      <c r="K192" s="54">
        <v>5.39</v>
      </c>
      <c r="L192" s="157"/>
      <c r="M192" s="54"/>
      <c r="N192" s="157"/>
      <c r="O192" s="54"/>
      <c r="P192" s="157"/>
      <c r="Q192" s="96">
        <f t="shared" ref="Q192" si="479">SUM(AI192+BA192)</f>
        <v>60.882999999999996</v>
      </c>
      <c r="R192" s="337">
        <f t="shared" ref="R192" si="480">SUM(AJ192+BB192)</f>
        <v>483.09879366639996</v>
      </c>
      <c r="S192" s="96">
        <v>11.816000000000001</v>
      </c>
      <c r="T192" s="96">
        <f t="shared" ref="T192" si="481">I192*S192*$T$2/1000</f>
        <v>92.114109360000015</v>
      </c>
      <c r="U192" s="96">
        <v>14.263</v>
      </c>
      <c r="V192" s="96">
        <f t="shared" ref="V192" si="482">I192*U192*$V$2/1000</f>
        <v>110.77507285199999</v>
      </c>
      <c r="W192" s="96">
        <v>18.468</v>
      </c>
      <c r="X192" s="96">
        <f t="shared" ref="X192" si="483">I192*W192*$X$2/1000</f>
        <v>149.82715346399999</v>
      </c>
      <c r="Y192" s="96">
        <f t="shared" ref="Y192" si="484">SUM(S192+U192+W192)</f>
        <v>44.546999999999997</v>
      </c>
      <c r="Z192" s="96">
        <f t="shared" ref="Z192" si="485">SUM(T192+V192+X192)</f>
        <v>352.71633567599997</v>
      </c>
      <c r="AA192" s="96">
        <v>16.335999999999999</v>
      </c>
      <c r="AB192" s="96">
        <f t="shared" ref="AB192" si="486">K192*AA192*$AB$2/1000</f>
        <v>130.38245799039998</v>
      </c>
      <c r="AC192" s="96"/>
      <c r="AD192" s="96">
        <f t="shared" ref="AD192" si="487">K192*AC192*$AD$2/1000</f>
        <v>0</v>
      </c>
      <c r="AE192" s="96"/>
      <c r="AF192" s="95">
        <f t="shared" ref="AF192" si="488">K192*AE192*$AF$2/1000</f>
        <v>0</v>
      </c>
      <c r="AG192" s="96">
        <f t="shared" ref="AG192" si="489">SUM(AA192+AC192+AE192)</f>
        <v>16.335999999999999</v>
      </c>
      <c r="AH192" s="96">
        <f t="shared" ref="AH192" si="490">SUM(AB192+AD192+AF192)</f>
        <v>130.38245799039998</v>
      </c>
      <c r="AI192" s="96">
        <f t="shared" ref="AI192" si="491">SUM(Y192+AG192)</f>
        <v>60.882999999999996</v>
      </c>
      <c r="AJ192" s="96">
        <f t="shared" ref="AJ192" si="492">SUM(Z192,AH192)</f>
        <v>483.09879366639996</v>
      </c>
      <c r="AK192" s="96"/>
      <c r="AL192" s="96">
        <f t="shared" ref="AL192" si="493">M192*AK192*$AL$2/1000</f>
        <v>0</v>
      </c>
      <c r="AM192" s="96"/>
      <c r="AN192" s="96">
        <f t="shared" ref="AN192" si="494">M192*AM192*$AN$2/1000</f>
        <v>0</v>
      </c>
      <c r="AO192" s="96"/>
      <c r="AP192" s="96">
        <f t="shared" ref="AP192" si="495">M192*AO192*$AP$2/1000</f>
        <v>0</v>
      </c>
      <c r="AQ192" s="96">
        <f t="shared" ref="AQ192" si="496">SUM(AK192+AM192+AO192)</f>
        <v>0</v>
      </c>
      <c r="AR192" s="96">
        <f t="shared" ref="AR192" si="497">SUM(AL192+AN192+AP192)</f>
        <v>0</v>
      </c>
      <c r="AS192" s="96"/>
      <c r="AT192" s="96">
        <f t="shared" ref="AT192" si="498">O192*AS192*$AT$2/1000</f>
        <v>0</v>
      </c>
      <c r="AU192" s="96"/>
      <c r="AV192" s="96">
        <f t="shared" ref="AV192" si="499">O192*AU192*$AV$2/1000</f>
        <v>0</v>
      </c>
      <c r="AW192" s="96"/>
      <c r="AX192" s="96">
        <f t="shared" ref="AX192" si="500">O192*AW192*$AX$2/1000</f>
        <v>0</v>
      </c>
      <c r="AY192" s="96">
        <f t="shared" ref="AY192" si="501">SUM(AS192+AU192+AW192)</f>
        <v>0</v>
      </c>
      <c r="AZ192" s="96">
        <f t="shared" ref="AZ192" si="502">SUM(AT192+AV192+AX192)</f>
        <v>0</v>
      </c>
      <c r="BA192" s="96">
        <f t="shared" ref="BA192" si="503">SUM(AQ192+AY192)</f>
        <v>0</v>
      </c>
      <c r="BB192" s="96">
        <f t="shared" ref="BB192" si="504">SUM(AR192,AZ192)</f>
        <v>0</v>
      </c>
      <c r="BC192" s="1" t="s">
        <v>1056</v>
      </c>
    </row>
    <row r="193" spans="1:55">
      <c r="A193" s="492">
        <v>127</v>
      </c>
      <c r="B193" s="13"/>
      <c r="C193" s="23"/>
      <c r="D193" s="36"/>
      <c r="E193" s="21" t="s">
        <v>2286</v>
      </c>
      <c r="F193" s="45"/>
      <c r="G193" s="45" t="s">
        <v>1059</v>
      </c>
      <c r="H193" s="265" t="s">
        <v>359</v>
      </c>
      <c r="I193" s="18">
        <v>5.75</v>
      </c>
      <c r="J193" s="157"/>
      <c r="K193" s="18">
        <v>5.74</v>
      </c>
      <c r="L193" s="157"/>
      <c r="M193" s="18"/>
      <c r="N193" s="157"/>
      <c r="O193" s="18"/>
      <c r="P193" s="157"/>
      <c r="Q193" s="96">
        <f t="shared" ref="Q193:Q198" si="505">SUM(AI193+BA193)</f>
        <v>11.114999999999998</v>
      </c>
      <c r="R193" s="337">
        <f t="shared" ref="R193:R198" si="506">SUM(AJ193+BB193)</f>
        <v>93.868750636399994</v>
      </c>
      <c r="S193" s="96">
        <v>1.68</v>
      </c>
      <c r="T193" s="96">
        <f t="shared" ref="T193:T198" si="507">I193*S193*$T$2/1000</f>
        <v>13.945659000000001</v>
      </c>
      <c r="U193" s="96">
        <v>2.968</v>
      </c>
      <c r="V193" s="96">
        <f t="shared" ref="V193:V198" si="508">I193*U193*$V$2/1000</f>
        <v>24.545345159999997</v>
      </c>
      <c r="W193" s="96">
        <v>2.956</v>
      </c>
      <c r="X193" s="96">
        <f t="shared" ref="X193:X198" si="509">I193*W193*$X$2/1000</f>
        <v>25.53578289</v>
      </c>
      <c r="Y193" s="96">
        <f t="shared" ref="Y193:Y198" si="510">SUM(S193+U193+W193)</f>
        <v>7.6039999999999992</v>
      </c>
      <c r="Z193" s="96">
        <f t="shared" ref="Z193:Z198" si="511">SUM(T193+V193+X193)</f>
        <v>64.026787049999996</v>
      </c>
      <c r="AA193" s="96">
        <v>3.5110000000000001</v>
      </c>
      <c r="AB193" s="96">
        <f t="shared" ref="AB193:AB198" si="512">K193*AA193*$AB$2/1000</f>
        <v>29.841963586400002</v>
      </c>
      <c r="AC193" s="96"/>
      <c r="AD193" s="96">
        <f t="shared" ref="AD193:AD198" si="513">K193*AC193*$AD$2/1000</f>
        <v>0</v>
      </c>
      <c r="AE193" s="96"/>
      <c r="AF193" s="95">
        <f t="shared" ref="AF193:AF198" si="514">K193*AE193*$AF$2/1000</f>
        <v>0</v>
      </c>
      <c r="AG193" s="96">
        <f t="shared" ref="AG193:AG198" si="515">SUM(AA193+AC193+AE193)</f>
        <v>3.5110000000000001</v>
      </c>
      <c r="AH193" s="96">
        <f t="shared" ref="AH193:AH198" si="516">SUM(AB193+AD193+AF193)</f>
        <v>29.841963586400002</v>
      </c>
      <c r="AI193" s="96">
        <f t="shared" ref="AI193:AI198" si="517">SUM(Y193+AG193)</f>
        <v>11.114999999999998</v>
      </c>
      <c r="AJ193" s="96">
        <f t="shared" ref="AJ193:AJ198" si="518">SUM(Z193,AH193)</f>
        <v>93.868750636399994</v>
      </c>
      <c r="AK193" s="96"/>
      <c r="AL193" s="96">
        <f t="shared" ref="AL193:AL198" si="519">M193*AK193*$AL$2/1000</f>
        <v>0</v>
      </c>
      <c r="AM193" s="96"/>
      <c r="AN193" s="96">
        <f t="shared" ref="AN193:AN198" si="520">M193*AM193*$AN$2/1000</f>
        <v>0</v>
      </c>
      <c r="AO193" s="96"/>
      <c r="AP193" s="96">
        <f t="shared" ref="AP193:AP198" si="521">M193*AO193*$AP$2/1000</f>
        <v>0</v>
      </c>
      <c r="AQ193" s="96">
        <f t="shared" ref="AQ193:AQ198" si="522">SUM(AK193+AM193+AO193)</f>
        <v>0</v>
      </c>
      <c r="AR193" s="96">
        <f t="shared" ref="AR193:AR198" si="523">SUM(AL193+AN193+AP193)</f>
        <v>0</v>
      </c>
      <c r="AS193" s="96"/>
      <c r="AT193" s="96">
        <f t="shared" ref="AT193:AT198" si="524">O193*AS193*$AT$2/1000</f>
        <v>0</v>
      </c>
      <c r="AU193" s="96"/>
      <c r="AV193" s="96">
        <f t="shared" ref="AV193:AV198" si="525">O193*AU193*$AV$2/1000</f>
        <v>0</v>
      </c>
      <c r="AW193" s="96"/>
      <c r="AX193" s="96">
        <f t="shared" ref="AX193:AX198" si="526">O193*AW193*$AX$2/1000</f>
        <v>0</v>
      </c>
      <c r="AY193" s="96">
        <f t="shared" ref="AY193:AY198" si="527">SUM(AS193+AU193+AW193)</f>
        <v>0</v>
      </c>
      <c r="AZ193" s="96">
        <f t="shared" ref="AZ193:AZ198" si="528">SUM(AT193+AV193+AX193)</f>
        <v>0</v>
      </c>
      <c r="BA193" s="96">
        <f t="shared" ref="BA193:BA198" si="529">SUM(AQ193+AY193)</f>
        <v>0</v>
      </c>
      <c r="BB193" s="96">
        <f t="shared" ref="BB193:BB198" si="530">SUM(AR193,AZ193)</f>
        <v>0</v>
      </c>
      <c r="BC193" s="1" t="s">
        <v>1056</v>
      </c>
    </row>
    <row r="194" spans="1:55">
      <c r="A194" s="492">
        <v>127</v>
      </c>
      <c r="B194" s="13"/>
      <c r="C194" s="23"/>
      <c r="D194" s="36"/>
      <c r="E194" s="21" t="s">
        <v>2429</v>
      </c>
      <c r="F194" s="45"/>
      <c r="G194" s="45" t="s">
        <v>1059</v>
      </c>
      <c r="H194" s="265" t="s">
        <v>359</v>
      </c>
      <c r="I194" s="18">
        <v>5.4</v>
      </c>
      <c r="J194" s="157"/>
      <c r="K194" s="18">
        <v>5.4</v>
      </c>
      <c r="L194" s="157"/>
      <c r="M194" s="18"/>
      <c r="N194" s="157"/>
      <c r="O194" s="18"/>
      <c r="P194" s="157"/>
      <c r="Q194" s="96">
        <f t="shared" si="505"/>
        <v>8.1319999999999997</v>
      </c>
      <c r="R194" s="337">
        <f t="shared" si="506"/>
        <v>63.855943326000002</v>
      </c>
      <c r="S194" s="96">
        <v>3.92</v>
      </c>
      <c r="T194" s="96">
        <f t="shared" si="507"/>
        <v>30.5591832</v>
      </c>
      <c r="U194" s="96">
        <v>1.992</v>
      </c>
      <c r="V194" s="96">
        <f t="shared" si="508"/>
        <v>15.471075167999999</v>
      </c>
      <c r="W194" s="96">
        <v>0.63700000000000001</v>
      </c>
      <c r="X194" s="96">
        <f t="shared" si="509"/>
        <v>5.1678523260000002</v>
      </c>
      <c r="Y194" s="96">
        <f t="shared" si="510"/>
        <v>6.5489999999999995</v>
      </c>
      <c r="Z194" s="96">
        <f t="shared" si="511"/>
        <v>51.198110694</v>
      </c>
      <c r="AA194" s="96">
        <v>1.583</v>
      </c>
      <c r="AB194" s="96">
        <f t="shared" si="512"/>
        <v>12.657832632</v>
      </c>
      <c r="AC194" s="96"/>
      <c r="AD194" s="96">
        <f t="shared" si="513"/>
        <v>0</v>
      </c>
      <c r="AE194" s="96"/>
      <c r="AF194" s="95">
        <f t="shared" si="514"/>
        <v>0</v>
      </c>
      <c r="AG194" s="96">
        <f t="shared" si="515"/>
        <v>1.583</v>
      </c>
      <c r="AH194" s="96">
        <f t="shared" si="516"/>
        <v>12.657832632</v>
      </c>
      <c r="AI194" s="96">
        <f t="shared" si="517"/>
        <v>8.1319999999999997</v>
      </c>
      <c r="AJ194" s="96">
        <f t="shared" si="518"/>
        <v>63.855943326000002</v>
      </c>
      <c r="AK194" s="96"/>
      <c r="AL194" s="96">
        <f t="shared" si="519"/>
        <v>0</v>
      </c>
      <c r="AM194" s="96"/>
      <c r="AN194" s="96">
        <f t="shared" si="520"/>
        <v>0</v>
      </c>
      <c r="AO194" s="96"/>
      <c r="AP194" s="96">
        <f t="shared" si="521"/>
        <v>0</v>
      </c>
      <c r="AQ194" s="96">
        <f t="shared" si="522"/>
        <v>0</v>
      </c>
      <c r="AR194" s="96">
        <f t="shared" si="523"/>
        <v>0</v>
      </c>
      <c r="AS194" s="96"/>
      <c r="AT194" s="96">
        <f t="shared" si="524"/>
        <v>0</v>
      </c>
      <c r="AU194" s="96"/>
      <c r="AV194" s="96">
        <f t="shared" si="525"/>
        <v>0</v>
      </c>
      <c r="AW194" s="96"/>
      <c r="AX194" s="96">
        <f t="shared" si="526"/>
        <v>0</v>
      </c>
      <c r="AY194" s="96">
        <f t="shared" si="527"/>
        <v>0</v>
      </c>
      <c r="AZ194" s="96">
        <f t="shared" si="528"/>
        <v>0</v>
      </c>
      <c r="BA194" s="96">
        <f t="shared" si="529"/>
        <v>0</v>
      </c>
      <c r="BB194" s="96">
        <f t="shared" si="530"/>
        <v>0</v>
      </c>
      <c r="BC194" s="1" t="s">
        <v>1056</v>
      </c>
    </row>
    <row r="195" spans="1:55">
      <c r="A195" s="492">
        <v>127</v>
      </c>
      <c r="B195" s="13"/>
      <c r="C195" s="23"/>
      <c r="D195" s="36"/>
      <c r="E195" s="21" t="s">
        <v>2430</v>
      </c>
      <c r="F195" s="45"/>
      <c r="G195" s="45" t="s">
        <v>1059</v>
      </c>
      <c r="H195" s="265" t="s">
        <v>359</v>
      </c>
      <c r="I195" s="18">
        <v>5.75</v>
      </c>
      <c r="J195" s="157"/>
      <c r="K195" s="18">
        <v>5.75</v>
      </c>
      <c r="L195" s="157"/>
      <c r="M195" s="18"/>
      <c r="N195" s="157"/>
      <c r="O195" s="18"/>
      <c r="P195" s="157"/>
      <c r="Q195" s="96">
        <f t="shared" si="505"/>
        <v>1.736</v>
      </c>
      <c r="R195" s="337">
        <f t="shared" si="506"/>
        <v>14.652297660000002</v>
      </c>
      <c r="S195" s="96">
        <v>0.44800000000000001</v>
      </c>
      <c r="T195" s="96">
        <f t="shared" si="507"/>
        <v>3.7188424000000007</v>
      </c>
      <c r="U195" s="96">
        <v>0.42</v>
      </c>
      <c r="V195" s="96">
        <f t="shared" si="508"/>
        <v>3.4733979000000001</v>
      </c>
      <c r="W195" s="96">
        <v>0.56000000000000005</v>
      </c>
      <c r="X195" s="96">
        <f t="shared" si="509"/>
        <v>4.8376314000000002</v>
      </c>
      <c r="Y195" s="96">
        <f t="shared" si="510"/>
        <v>1.4279999999999999</v>
      </c>
      <c r="Z195" s="96">
        <f t="shared" si="511"/>
        <v>12.029871700000001</v>
      </c>
      <c r="AA195" s="96">
        <v>0.308</v>
      </c>
      <c r="AB195" s="96">
        <f t="shared" si="512"/>
        <v>2.6224259600000002</v>
      </c>
      <c r="AC195" s="96"/>
      <c r="AD195" s="96">
        <f t="shared" si="513"/>
        <v>0</v>
      </c>
      <c r="AE195" s="96"/>
      <c r="AF195" s="95">
        <f t="shared" si="514"/>
        <v>0</v>
      </c>
      <c r="AG195" s="96">
        <f t="shared" si="515"/>
        <v>0.308</v>
      </c>
      <c r="AH195" s="96">
        <f t="shared" si="516"/>
        <v>2.6224259600000002</v>
      </c>
      <c r="AI195" s="96">
        <f t="shared" si="517"/>
        <v>1.736</v>
      </c>
      <c r="AJ195" s="96">
        <f t="shared" si="518"/>
        <v>14.652297660000002</v>
      </c>
      <c r="AK195" s="96"/>
      <c r="AL195" s="96">
        <f t="shared" si="519"/>
        <v>0</v>
      </c>
      <c r="AM195" s="96"/>
      <c r="AN195" s="96">
        <f t="shared" si="520"/>
        <v>0</v>
      </c>
      <c r="AO195" s="96"/>
      <c r="AP195" s="96">
        <f t="shared" si="521"/>
        <v>0</v>
      </c>
      <c r="AQ195" s="96">
        <f t="shared" si="522"/>
        <v>0</v>
      </c>
      <c r="AR195" s="96">
        <f t="shared" si="523"/>
        <v>0</v>
      </c>
      <c r="AS195" s="96"/>
      <c r="AT195" s="96">
        <f t="shared" si="524"/>
        <v>0</v>
      </c>
      <c r="AU195" s="96"/>
      <c r="AV195" s="96">
        <f t="shared" si="525"/>
        <v>0</v>
      </c>
      <c r="AW195" s="96"/>
      <c r="AX195" s="96">
        <f t="shared" si="526"/>
        <v>0</v>
      </c>
      <c r="AY195" s="96">
        <f t="shared" si="527"/>
        <v>0</v>
      </c>
      <c r="AZ195" s="96">
        <f t="shared" si="528"/>
        <v>0</v>
      </c>
      <c r="BA195" s="96">
        <f t="shared" si="529"/>
        <v>0</v>
      </c>
      <c r="BB195" s="96">
        <f t="shared" si="530"/>
        <v>0</v>
      </c>
      <c r="BC195" s="1" t="s">
        <v>1056</v>
      </c>
    </row>
    <row r="196" spans="1:55">
      <c r="A196" s="492">
        <v>127</v>
      </c>
      <c r="B196" s="13"/>
      <c r="C196" s="23"/>
      <c r="D196" s="36"/>
      <c r="E196" s="21" t="s">
        <v>2596</v>
      </c>
      <c r="F196" s="45" t="s">
        <v>964</v>
      </c>
      <c r="G196" s="45" t="s">
        <v>1059</v>
      </c>
      <c r="H196" s="265" t="s">
        <v>359</v>
      </c>
      <c r="I196" s="18">
        <v>28.5</v>
      </c>
      <c r="J196" s="157"/>
      <c r="K196" s="18">
        <v>28.5</v>
      </c>
      <c r="L196" s="157"/>
      <c r="M196" s="18"/>
      <c r="N196" s="157"/>
      <c r="O196" s="18"/>
      <c r="P196" s="157"/>
      <c r="Q196" s="96">
        <f t="shared" si="505"/>
        <v>0.03</v>
      </c>
      <c r="R196" s="337">
        <f t="shared" si="506"/>
        <v>1.2660498</v>
      </c>
      <c r="S196" s="96"/>
      <c r="T196" s="96">
        <f t="shared" si="507"/>
        <v>0</v>
      </c>
      <c r="U196" s="96"/>
      <c r="V196" s="96">
        <f t="shared" si="508"/>
        <v>0</v>
      </c>
      <c r="W196" s="96"/>
      <c r="X196" s="96">
        <f t="shared" si="509"/>
        <v>0</v>
      </c>
      <c r="Y196" s="96">
        <f t="shared" si="510"/>
        <v>0</v>
      </c>
      <c r="Z196" s="96">
        <f t="shared" si="511"/>
        <v>0</v>
      </c>
      <c r="AA196" s="96">
        <v>0.03</v>
      </c>
      <c r="AB196" s="96">
        <f t="shared" si="512"/>
        <v>1.2660498</v>
      </c>
      <c r="AC196" s="96"/>
      <c r="AD196" s="96">
        <f t="shared" si="513"/>
        <v>0</v>
      </c>
      <c r="AE196" s="96"/>
      <c r="AF196" s="95">
        <f t="shared" si="514"/>
        <v>0</v>
      </c>
      <c r="AG196" s="96">
        <f t="shared" si="515"/>
        <v>0.03</v>
      </c>
      <c r="AH196" s="96">
        <f t="shared" si="516"/>
        <v>1.2660498</v>
      </c>
      <c r="AI196" s="96">
        <f t="shared" si="517"/>
        <v>0.03</v>
      </c>
      <c r="AJ196" s="96">
        <f t="shared" si="518"/>
        <v>1.2660498</v>
      </c>
      <c r="AK196" s="96"/>
      <c r="AL196" s="96">
        <f t="shared" si="519"/>
        <v>0</v>
      </c>
      <c r="AM196" s="96"/>
      <c r="AN196" s="96">
        <f t="shared" si="520"/>
        <v>0</v>
      </c>
      <c r="AO196" s="96"/>
      <c r="AP196" s="96">
        <f t="shared" si="521"/>
        <v>0</v>
      </c>
      <c r="AQ196" s="96">
        <f t="shared" si="522"/>
        <v>0</v>
      </c>
      <c r="AR196" s="96">
        <f t="shared" si="523"/>
        <v>0</v>
      </c>
      <c r="AS196" s="96"/>
      <c r="AT196" s="96">
        <f t="shared" si="524"/>
        <v>0</v>
      </c>
      <c r="AU196" s="96"/>
      <c r="AV196" s="96">
        <f t="shared" si="525"/>
        <v>0</v>
      </c>
      <c r="AW196" s="96"/>
      <c r="AX196" s="96">
        <f t="shared" si="526"/>
        <v>0</v>
      </c>
      <c r="AY196" s="96">
        <f t="shared" si="527"/>
        <v>0</v>
      </c>
      <c r="AZ196" s="96">
        <f t="shared" si="528"/>
        <v>0</v>
      </c>
      <c r="BA196" s="96">
        <f t="shared" si="529"/>
        <v>0</v>
      </c>
      <c r="BB196" s="96">
        <f t="shared" si="530"/>
        <v>0</v>
      </c>
      <c r="BC196" s="1" t="s">
        <v>1056</v>
      </c>
    </row>
    <row r="197" spans="1:55">
      <c r="A197" s="492">
        <v>127</v>
      </c>
      <c r="B197" s="13"/>
      <c r="C197" s="23"/>
      <c r="D197" s="36"/>
      <c r="E197" s="21" t="s">
        <v>2598</v>
      </c>
      <c r="F197" s="45" t="s">
        <v>964</v>
      </c>
      <c r="G197" s="45" t="s">
        <v>1059</v>
      </c>
      <c r="H197" s="265" t="s">
        <v>359</v>
      </c>
      <c r="I197" s="18">
        <v>28.5</v>
      </c>
      <c r="J197" s="157"/>
      <c r="K197" s="18">
        <v>28.5</v>
      </c>
      <c r="L197" s="157"/>
      <c r="M197" s="18"/>
      <c r="N197" s="157"/>
      <c r="O197" s="18"/>
      <c r="P197" s="157"/>
      <c r="Q197" s="96">
        <f t="shared" ref="Q197" si="531">SUM(AI197+BA197)</f>
        <v>0.03</v>
      </c>
      <c r="R197" s="337">
        <f t="shared" ref="R197" si="532">SUM(AJ197+BB197)</f>
        <v>1.2660498</v>
      </c>
      <c r="S197" s="96"/>
      <c r="T197" s="96">
        <f t="shared" ref="T197" si="533">I197*S197*$T$2/1000</f>
        <v>0</v>
      </c>
      <c r="U197" s="96"/>
      <c r="V197" s="96">
        <f t="shared" ref="V197" si="534">I197*U197*$V$2/1000</f>
        <v>0</v>
      </c>
      <c r="W197" s="96"/>
      <c r="X197" s="96">
        <f t="shared" ref="X197" si="535">I197*W197*$X$2/1000</f>
        <v>0</v>
      </c>
      <c r="Y197" s="96">
        <f t="shared" ref="Y197" si="536">SUM(S197+U197+W197)</f>
        <v>0</v>
      </c>
      <c r="Z197" s="96">
        <f t="shared" ref="Z197" si="537">SUM(T197+V197+X197)</f>
        <v>0</v>
      </c>
      <c r="AA197" s="96">
        <v>0.03</v>
      </c>
      <c r="AB197" s="96">
        <f t="shared" ref="AB197" si="538">K197*AA197*$AB$2/1000</f>
        <v>1.2660498</v>
      </c>
      <c r="AC197" s="96"/>
      <c r="AD197" s="96">
        <f t="shared" ref="AD197" si="539">K197*AC197*$AD$2/1000</f>
        <v>0</v>
      </c>
      <c r="AE197" s="96"/>
      <c r="AF197" s="95">
        <f t="shared" ref="AF197" si="540">K197*AE197*$AF$2/1000</f>
        <v>0</v>
      </c>
      <c r="AG197" s="96">
        <f t="shared" ref="AG197" si="541">SUM(AA197+AC197+AE197)</f>
        <v>0.03</v>
      </c>
      <c r="AH197" s="96">
        <f t="shared" ref="AH197" si="542">SUM(AB197+AD197+AF197)</f>
        <v>1.2660498</v>
      </c>
      <c r="AI197" s="96">
        <f t="shared" ref="AI197" si="543">SUM(Y197+AG197)</f>
        <v>0.03</v>
      </c>
      <c r="AJ197" s="96">
        <f t="shared" ref="AJ197" si="544">SUM(Z197,AH197)</f>
        <v>1.2660498</v>
      </c>
      <c r="AK197" s="96"/>
      <c r="AL197" s="96">
        <f t="shared" ref="AL197" si="545">M197*AK197*$AL$2/1000</f>
        <v>0</v>
      </c>
      <c r="AM197" s="96"/>
      <c r="AN197" s="96">
        <f t="shared" ref="AN197" si="546">M197*AM197*$AN$2/1000</f>
        <v>0</v>
      </c>
      <c r="AO197" s="96"/>
      <c r="AP197" s="96">
        <f t="shared" ref="AP197" si="547">M197*AO197*$AP$2/1000</f>
        <v>0</v>
      </c>
      <c r="AQ197" s="96">
        <f t="shared" ref="AQ197" si="548">SUM(AK197+AM197+AO197)</f>
        <v>0</v>
      </c>
      <c r="AR197" s="96">
        <f t="shared" ref="AR197" si="549">SUM(AL197+AN197+AP197)</f>
        <v>0</v>
      </c>
      <c r="AS197" s="96"/>
      <c r="AT197" s="96">
        <f t="shared" ref="AT197" si="550">O197*AS197*$AT$2/1000</f>
        <v>0</v>
      </c>
      <c r="AU197" s="96"/>
      <c r="AV197" s="96">
        <f t="shared" ref="AV197" si="551">O197*AU197*$AV$2/1000</f>
        <v>0</v>
      </c>
      <c r="AW197" s="96"/>
      <c r="AX197" s="96">
        <f t="shared" ref="AX197" si="552">O197*AW197*$AX$2/1000</f>
        <v>0</v>
      </c>
      <c r="AY197" s="96">
        <f t="shared" ref="AY197" si="553">SUM(AS197+AU197+AW197)</f>
        <v>0</v>
      </c>
      <c r="AZ197" s="96">
        <f t="shared" ref="AZ197" si="554">SUM(AT197+AV197+AX197)</f>
        <v>0</v>
      </c>
      <c r="BA197" s="96">
        <f t="shared" ref="BA197" si="555">SUM(AQ197+AY197)</f>
        <v>0</v>
      </c>
      <c r="BB197" s="96">
        <f t="shared" ref="BB197" si="556">SUM(AR197,AZ197)</f>
        <v>0</v>
      </c>
      <c r="BC197" s="1" t="s">
        <v>1056</v>
      </c>
    </row>
    <row r="198" spans="1:55">
      <c r="A198" s="492">
        <v>127</v>
      </c>
      <c r="B198" s="13"/>
      <c r="C198" s="23"/>
      <c r="D198" s="36"/>
      <c r="E198" s="21" t="s">
        <v>2600</v>
      </c>
      <c r="F198" s="45" t="s">
        <v>964</v>
      </c>
      <c r="G198" s="45" t="s">
        <v>1059</v>
      </c>
      <c r="H198" s="265" t="s">
        <v>359</v>
      </c>
      <c r="I198" s="18">
        <v>28.5</v>
      </c>
      <c r="J198" s="157"/>
      <c r="K198" s="18">
        <v>28.5</v>
      </c>
      <c r="L198" s="157"/>
      <c r="M198" s="18"/>
      <c r="N198" s="157"/>
      <c r="O198" s="18"/>
      <c r="P198" s="157"/>
      <c r="Q198" s="96">
        <f t="shared" si="505"/>
        <v>0.03</v>
      </c>
      <c r="R198" s="337">
        <f t="shared" si="506"/>
        <v>1.2660498</v>
      </c>
      <c r="S198" s="96"/>
      <c r="T198" s="96">
        <f t="shared" si="507"/>
        <v>0</v>
      </c>
      <c r="U198" s="96"/>
      <c r="V198" s="96">
        <f t="shared" si="508"/>
        <v>0</v>
      </c>
      <c r="W198" s="96"/>
      <c r="X198" s="96">
        <f t="shared" si="509"/>
        <v>0</v>
      </c>
      <c r="Y198" s="96">
        <f t="shared" si="510"/>
        <v>0</v>
      </c>
      <c r="Z198" s="96">
        <f t="shared" si="511"/>
        <v>0</v>
      </c>
      <c r="AA198" s="96">
        <v>0.03</v>
      </c>
      <c r="AB198" s="96">
        <f t="shared" si="512"/>
        <v>1.2660498</v>
      </c>
      <c r="AC198" s="96"/>
      <c r="AD198" s="96">
        <f t="shared" si="513"/>
        <v>0</v>
      </c>
      <c r="AE198" s="96"/>
      <c r="AF198" s="95">
        <f t="shared" si="514"/>
        <v>0</v>
      </c>
      <c r="AG198" s="96">
        <f t="shared" si="515"/>
        <v>0.03</v>
      </c>
      <c r="AH198" s="96">
        <f t="shared" si="516"/>
        <v>1.2660498</v>
      </c>
      <c r="AI198" s="96">
        <f t="shared" si="517"/>
        <v>0.03</v>
      </c>
      <c r="AJ198" s="96">
        <f t="shared" si="518"/>
        <v>1.2660498</v>
      </c>
      <c r="AK198" s="96"/>
      <c r="AL198" s="96">
        <f t="shared" si="519"/>
        <v>0</v>
      </c>
      <c r="AM198" s="96"/>
      <c r="AN198" s="96">
        <f t="shared" si="520"/>
        <v>0</v>
      </c>
      <c r="AO198" s="96"/>
      <c r="AP198" s="96">
        <f t="shared" si="521"/>
        <v>0</v>
      </c>
      <c r="AQ198" s="96">
        <f t="shared" si="522"/>
        <v>0</v>
      </c>
      <c r="AR198" s="96">
        <f t="shared" si="523"/>
        <v>0</v>
      </c>
      <c r="AS198" s="96"/>
      <c r="AT198" s="96">
        <f t="shared" si="524"/>
        <v>0</v>
      </c>
      <c r="AU198" s="96"/>
      <c r="AV198" s="96">
        <f t="shared" si="525"/>
        <v>0</v>
      </c>
      <c r="AW198" s="96"/>
      <c r="AX198" s="96">
        <f t="shared" si="526"/>
        <v>0</v>
      </c>
      <c r="AY198" s="96">
        <f t="shared" si="527"/>
        <v>0</v>
      </c>
      <c r="AZ198" s="96">
        <f t="shared" si="528"/>
        <v>0</v>
      </c>
      <c r="BA198" s="96">
        <f t="shared" si="529"/>
        <v>0</v>
      </c>
      <c r="BB198" s="96">
        <f t="shared" si="530"/>
        <v>0</v>
      </c>
      <c r="BC198" s="1" t="s">
        <v>1056</v>
      </c>
    </row>
    <row r="199" spans="1:55">
      <c r="A199" s="492">
        <v>127</v>
      </c>
      <c r="B199" s="13"/>
      <c r="C199" s="23"/>
      <c r="D199" s="36"/>
      <c r="E199" s="21" t="s">
        <v>2601</v>
      </c>
      <c r="F199" s="45" t="s">
        <v>1672</v>
      </c>
      <c r="G199" s="45" t="s">
        <v>1059</v>
      </c>
      <c r="H199" s="265" t="s">
        <v>360</v>
      </c>
      <c r="I199" s="18">
        <v>28.5</v>
      </c>
      <c r="J199" s="157"/>
      <c r="K199" s="18">
        <v>28.5</v>
      </c>
      <c r="L199" s="157"/>
      <c r="M199" s="18"/>
      <c r="N199" s="157"/>
      <c r="O199" s="18"/>
      <c r="P199" s="157"/>
      <c r="Q199" s="96">
        <f t="shared" si="427"/>
        <v>0.03</v>
      </c>
      <c r="R199" s="337">
        <f t="shared" si="428"/>
        <v>1.2660498</v>
      </c>
      <c r="S199" s="96"/>
      <c r="T199" s="96">
        <f t="shared" si="429"/>
        <v>0</v>
      </c>
      <c r="U199" s="96"/>
      <c r="V199" s="96">
        <f t="shared" si="430"/>
        <v>0</v>
      </c>
      <c r="W199" s="96"/>
      <c r="X199" s="96">
        <f t="shared" si="431"/>
        <v>0</v>
      </c>
      <c r="Y199" s="96">
        <f t="shared" si="432"/>
        <v>0</v>
      </c>
      <c r="Z199" s="96">
        <f t="shared" si="433"/>
        <v>0</v>
      </c>
      <c r="AA199" s="96">
        <v>0.03</v>
      </c>
      <c r="AB199" s="96">
        <f t="shared" si="434"/>
        <v>1.2660498</v>
      </c>
      <c r="AC199" s="96"/>
      <c r="AD199" s="96">
        <f t="shared" si="435"/>
        <v>0</v>
      </c>
      <c r="AE199" s="96"/>
      <c r="AF199" s="95">
        <f t="shared" si="436"/>
        <v>0</v>
      </c>
      <c r="AG199" s="96">
        <f t="shared" si="437"/>
        <v>0.03</v>
      </c>
      <c r="AH199" s="96">
        <f t="shared" si="438"/>
        <v>1.2660498</v>
      </c>
      <c r="AI199" s="96">
        <f t="shared" si="439"/>
        <v>0.03</v>
      </c>
      <c r="AJ199" s="96">
        <f t="shared" si="440"/>
        <v>1.2660498</v>
      </c>
      <c r="AK199" s="96"/>
      <c r="AL199" s="96">
        <f t="shared" si="441"/>
        <v>0</v>
      </c>
      <c r="AM199" s="96"/>
      <c r="AN199" s="96">
        <f t="shared" si="442"/>
        <v>0</v>
      </c>
      <c r="AO199" s="96"/>
      <c r="AP199" s="96">
        <f t="shared" si="443"/>
        <v>0</v>
      </c>
      <c r="AQ199" s="96">
        <f t="shared" si="444"/>
        <v>0</v>
      </c>
      <c r="AR199" s="96">
        <f t="shared" si="445"/>
        <v>0</v>
      </c>
      <c r="AS199" s="96"/>
      <c r="AT199" s="96">
        <f t="shared" si="446"/>
        <v>0</v>
      </c>
      <c r="AU199" s="96"/>
      <c r="AV199" s="96">
        <f t="shared" si="447"/>
        <v>0</v>
      </c>
      <c r="AW199" s="96"/>
      <c r="AX199" s="96">
        <f t="shared" si="448"/>
        <v>0</v>
      </c>
      <c r="AY199" s="96">
        <f t="shared" si="449"/>
        <v>0</v>
      </c>
      <c r="AZ199" s="96">
        <f t="shared" si="450"/>
        <v>0</v>
      </c>
      <c r="BA199" s="96">
        <f t="shared" si="451"/>
        <v>0</v>
      </c>
      <c r="BB199" s="96">
        <f t="shared" si="452"/>
        <v>0</v>
      </c>
      <c r="BC199" s="1" t="s">
        <v>1717</v>
      </c>
    </row>
    <row r="200" spans="1:55">
      <c r="A200" s="492">
        <v>127</v>
      </c>
      <c r="B200" s="13"/>
      <c r="C200" s="23"/>
      <c r="D200" s="36"/>
      <c r="E200" s="21" t="s">
        <v>2499</v>
      </c>
      <c r="F200" s="45" t="s">
        <v>964</v>
      </c>
      <c r="G200" s="45" t="s">
        <v>1059</v>
      </c>
      <c r="H200" s="265" t="s">
        <v>359</v>
      </c>
      <c r="I200" s="18">
        <v>27.2</v>
      </c>
      <c r="J200" s="157"/>
      <c r="K200" s="18">
        <v>27.2</v>
      </c>
      <c r="L200" s="157"/>
      <c r="M200" s="18"/>
      <c r="N200" s="157"/>
      <c r="O200" s="18"/>
      <c r="P200" s="157"/>
      <c r="Q200" s="96">
        <f t="shared" si="427"/>
        <v>0.05</v>
      </c>
      <c r="R200" s="337">
        <f t="shared" si="428"/>
        <v>1.9560336000000003</v>
      </c>
      <c r="S200" s="96"/>
      <c r="T200" s="96">
        <f t="shared" si="429"/>
        <v>0</v>
      </c>
      <c r="U200" s="96">
        <v>0.05</v>
      </c>
      <c r="V200" s="96">
        <f t="shared" si="430"/>
        <v>1.9560336000000003</v>
      </c>
      <c r="W200" s="96"/>
      <c r="X200" s="96">
        <f t="shared" si="431"/>
        <v>0</v>
      </c>
      <c r="Y200" s="96">
        <f t="shared" si="432"/>
        <v>0.05</v>
      </c>
      <c r="Z200" s="96">
        <f t="shared" si="433"/>
        <v>1.9560336000000003</v>
      </c>
      <c r="AA200" s="96"/>
      <c r="AB200" s="96">
        <f t="shared" si="434"/>
        <v>0</v>
      </c>
      <c r="AC200" s="96"/>
      <c r="AD200" s="96">
        <f t="shared" si="435"/>
        <v>0</v>
      </c>
      <c r="AE200" s="96"/>
      <c r="AF200" s="95">
        <f t="shared" si="436"/>
        <v>0</v>
      </c>
      <c r="AG200" s="96">
        <f t="shared" si="437"/>
        <v>0</v>
      </c>
      <c r="AH200" s="96">
        <f t="shared" si="438"/>
        <v>0</v>
      </c>
      <c r="AI200" s="96">
        <f t="shared" si="439"/>
        <v>0.05</v>
      </c>
      <c r="AJ200" s="96">
        <f t="shared" si="440"/>
        <v>1.9560336000000003</v>
      </c>
      <c r="AK200" s="96"/>
      <c r="AL200" s="96">
        <f t="shared" si="441"/>
        <v>0</v>
      </c>
      <c r="AM200" s="96"/>
      <c r="AN200" s="96">
        <f t="shared" si="442"/>
        <v>0</v>
      </c>
      <c r="AO200" s="96"/>
      <c r="AP200" s="96">
        <f t="shared" si="443"/>
        <v>0</v>
      </c>
      <c r="AQ200" s="96">
        <f t="shared" si="444"/>
        <v>0</v>
      </c>
      <c r="AR200" s="96">
        <f t="shared" si="445"/>
        <v>0</v>
      </c>
      <c r="AS200" s="96"/>
      <c r="AT200" s="96">
        <f t="shared" si="446"/>
        <v>0</v>
      </c>
      <c r="AU200" s="96"/>
      <c r="AV200" s="96">
        <f t="shared" si="447"/>
        <v>0</v>
      </c>
      <c r="AW200" s="96"/>
      <c r="AX200" s="96">
        <f t="shared" si="448"/>
        <v>0</v>
      </c>
      <c r="AY200" s="96">
        <f t="shared" si="449"/>
        <v>0</v>
      </c>
      <c r="AZ200" s="96">
        <f t="shared" si="450"/>
        <v>0</v>
      </c>
      <c r="BA200" s="96">
        <f t="shared" si="451"/>
        <v>0</v>
      </c>
      <c r="BB200" s="96">
        <f t="shared" si="452"/>
        <v>0</v>
      </c>
      <c r="BC200" s="1" t="s">
        <v>1056</v>
      </c>
    </row>
    <row r="201" spans="1:55">
      <c r="A201" s="492">
        <v>127</v>
      </c>
      <c r="B201" s="13"/>
      <c r="C201" s="23"/>
      <c r="D201" s="36"/>
      <c r="E201" s="21" t="s">
        <v>2500</v>
      </c>
      <c r="F201" s="45" t="s">
        <v>964</v>
      </c>
      <c r="G201" s="45" t="s">
        <v>1059</v>
      </c>
      <c r="H201" s="265" t="s">
        <v>359</v>
      </c>
      <c r="I201" s="18">
        <v>27.2</v>
      </c>
      <c r="J201" s="157"/>
      <c r="K201" s="18">
        <v>27.2</v>
      </c>
      <c r="L201" s="157"/>
      <c r="M201" s="18"/>
      <c r="N201" s="157"/>
      <c r="O201" s="18"/>
      <c r="P201" s="157"/>
      <c r="Q201" s="96">
        <f t="shared" ref="Q201" si="557">SUM(AI201+BA201)</f>
        <v>0.05</v>
      </c>
      <c r="R201" s="337">
        <f t="shared" ref="R201" si="558">SUM(AJ201+BB201)</f>
        <v>1.9560336000000003</v>
      </c>
      <c r="S201" s="96"/>
      <c r="T201" s="96">
        <f t="shared" ref="T201" si="559">I201*S201*$T$2/1000</f>
        <v>0</v>
      </c>
      <c r="U201" s="96">
        <v>0.05</v>
      </c>
      <c r="V201" s="96">
        <f t="shared" ref="V201" si="560">I201*U201*$V$2/1000</f>
        <v>1.9560336000000003</v>
      </c>
      <c r="W201" s="96"/>
      <c r="X201" s="96">
        <f t="shared" ref="X201" si="561">I201*W201*$X$2/1000</f>
        <v>0</v>
      </c>
      <c r="Y201" s="96">
        <f t="shared" ref="Y201" si="562">SUM(S201+U201+W201)</f>
        <v>0.05</v>
      </c>
      <c r="Z201" s="96">
        <f t="shared" ref="Z201" si="563">SUM(T201+V201+X201)</f>
        <v>1.9560336000000003</v>
      </c>
      <c r="AA201" s="96"/>
      <c r="AB201" s="96">
        <f t="shared" ref="AB201" si="564">K201*AA201*$AB$2/1000</f>
        <v>0</v>
      </c>
      <c r="AC201" s="96"/>
      <c r="AD201" s="96">
        <f t="shared" ref="AD201" si="565">K201*AC201*$AD$2/1000</f>
        <v>0</v>
      </c>
      <c r="AE201" s="96"/>
      <c r="AF201" s="95">
        <f t="shared" ref="AF201" si="566">K201*AE201*$AF$2/1000</f>
        <v>0</v>
      </c>
      <c r="AG201" s="96">
        <f t="shared" ref="AG201" si="567">SUM(AA201+AC201+AE201)</f>
        <v>0</v>
      </c>
      <c r="AH201" s="96">
        <f t="shared" ref="AH201" si="568">SUM(AB201+AD201+AF201)</f>
        <v>0</v>
      </c>
      <c r="AI201" s="96">
        <f t="shared" ref="AI201" si="569">SUM(Y201+AG201)</f>
        <v>0.05</v>
      </c>
      <c r="AJ201" s="96">
        <f t="shared" ref="AJ201" si="570">SUM(Z201,AH201)</f>
        <v>1.9560336000000003</v>
      </c>
      <c r="AK201" s="96"/>
      <c r="AL201" s="96">
        <f t="shared" ref="AL201" si="571">M201*AK201*$AL$2/1000</f>
        <v>0</v>
      </c>
      <c r="AM201" s="96"/>
      <c r="AN201" s="96">
        <f t="shared" ref="AN201" si="572">M201*AM201*$AN$2/1000</f>
        <v>0</v>
      </c>
      <c r="AO201" s="96"/>
      <c r="AP201" s="96">
        <f t="shared" ref="AP201" si="573">M201*AO201*$AP$2/1000</f>
        <v>0</v>
      </c>
      <c r="AQ201" s="96">
        <f t="shared" ref="AQ201" si="574">SUM(AK201+AM201+AO201)</f>
        <v>0</v>
      </c>
      <c r="AR201" s="96">
        <f t="shared" ref="AR201" si="575">SUM(AL201+AN201+AP201)</f>
        <v>0</v>
      </c>
      <c r="AS201" s="96"/>
      <c r="AT201" s="96">
        <f t="shared" ref="AT201" si="576">O201*AS201*$AT$2/1000</f>
        <v>0</v>
      </c>
      <c r="AU201" s="96"/>
      <c r="AV201" s="96">
        <f t="shared" ref="AV201" si="577">O201*AU201*$AV$2/1000</f>
        <v>0</v>
      </c>
      <c r="AW201" s="96"/>
      <c r="AX201" s="96">
        <f t="shared" ref="AX201" si="578">O201*AW201*$AX$2/1000</f>
        <v>0</v>
      </c>
      <c r="AY201" s="96">
        <f t="shared" ref="AY201" si="579">SUM(AS201+AU201+AW201)</f>
        <v>0</v>
      </c>
      <c r="AZ201" s="96">
        <f t="shared" ref="AZ201" si="580">SUM(AT201+AV201+AX201)</f>
        <v>0</v>
      </c>
      <c r="BA201" s="96">
        <f t="shared" ref="BA201" si="581">SUM(AQ201+AY201)</f>
        <v>0</v>
      </c>
      <c r="BB201" s="96">
        <f t="shared" ref="BB201" si="582">SUM(AR201,AZ201)</f>
        <v>0</v>
      </c>
      <c r="BC201" s="1" t="s">
        <v>1056</v>
      </c>
    </row>
    <row r="202" spans="1:55" ht="11.25" customHeight="1">
      <c r="A202" s="492">
        <v>128</v>
      </c>
      <c r="B202" s="13"/>
      <c r="C202" s="23"/>
      <c r="D202" s="36"/>
      <c r="E202" s="21" t="s">
        <v>2069</v>
      </c>
      <c r="F202" s="45" t="s">
        <v>2070</v>
      </c>
      <c r="G202" s="45" t="s">
        <v>1059</v>
      </c>
      <c r="H202" s="265" t="s">
        <v>359</v>
      </c>
      <c r="I202" s="18">
        <v>4.7699999999999996</v>
      </c>
      <c r="J202" s="157"/>
      <c r="K202" s="18">
        <v>4.76</v>
      </c>
      <c r="L202" s="157"/>
      <c r="M202" s="18"/>
      <c r="N202" s="157"/>
      <c r="O202" s="18"/>
      <c r="P202" s="157"/>
      <c r="Q202" s="96">
        <f t="shared" si="427"/>
        <v>50.066000000000003</v>
      </c>
      <c r="R202" s="337">
        <f t="shared" si="428"/>
        <v>350.74016222059993</v>
      </c>
      <c r="S202" s="96">
        <v>13.608000000000001</v>
      </c>
      <c r="T202" s="96">
        <f t="shared" si="429"/>
        <v>93.70755248399999</v>
      </c>
      <c r="U202" s="96">
        <v>9.0719999999999992</v>
      </c>
      <c r="V202" s="96">
        <f t="shared" si="430"/>
        <v>62.238457814399993</v>
      </c>
      <c r="W202" s="96">
        <v>14.981999999999999</v>
      </c>
      <c r="X202" s="96">
        <f t="shared" si="431"/>
        <v>107.36558001179998</v>
      </c>
      <c r="Y202" s="96">
        <f t="shared" si="432"/>
        <v>37.661999999999999</v>
      </c>
      <c r="Z202" s="96">
        <f t="shared" si="433"/>
        <v>263.31159031019996</v>
      </c>
      <c r="AA202" s="96">
        <v>12.404</v>
      </c>
      <c r="AB202" s="96">
        <f t="shared" si="434"/>
        <v>87.428571910399995</v>
      </c>
      <c r="AC202" s="96"/>
      <c r="AD202" s="96">
        <f t="shared" si="435"/>
        <v>0</v>
      </c>
      <c r="AE202" s="96"/>
      <c r="AF202" s="95">
        <f t="shared" si="436"/>
        <v>0</v>
      </c>
      <c r="AG202" s="96">
        <f t="shared" si="437"/>
        <v>12.404</v>
      </c>
      <c r="AH202" s="96">
        <f t="shared" si="438"/>
        <v>87.428571910399995</v>
      </c>
      <c r="AI202" s="96">
        <f t="shared" si="439"/>
        <v>50.066000000000003</v>
      </c>
      <c r="AJ202" s="96">
        <f t="shared" si="440"/>
        <v>350.74016222059993</v>
      </c>
      <c r="AK202" s="96"/>
      <c r="AL202" s="96">
        <f t="shared" si="441"/>
        <v>0</v>
      </c>
      <c r="AM202" s="96"/>
      <c r="AN202" s="96">
        <f t="shared" si="442"/>
        <v>0</v>
      </c>
      <c r="AO202" s="96"/>
      <c r="AP202" s="96">
        <f t="shared" si="443"/>
        <v>0</v>
      </c>
      <c r="AQ202" s="96">
        <f t="shared" si="444"/>
        <v>0</v>
      </c>
      <c r="AR202" s="96">
        <f t="shared" si="445"/>
        <v>0</v>
      </c>
      <c r="AS202" s="96"/>
      <c r="AT202" s="96">
        <f t="shared" si="446"/>
        <v>0</v>
      </c>
      <c r="AU202" s="96"/>
      <c r="AV202" s="96">
        <f t="shared" si="447"/>
        <v>0</v>
      </c>
      <c r="AW202" s="96"/>
      <c r="AX202" s="96">
        <f t="shared" si="448"/>
        <v>0</v>
      </c>
      <c r="AY202" s="96">
        <f t="shared" si="449"/>
        <v>0</v>
      </c>
      <c r="AZ202" s="96">
        <f t="shared" si="450"/>
        <v>0</v>
      </c>
      <c r="BA202" s="96">
        <f t="shared" si="451"/>
        <v>0</v>
      </c>
      <c r="BB202" s="96">
        <f t="shared" si="452"/>
        <v>0</v>
      </c>
      <c r="BC202" s="1" t="s">
        <v>1060</v>
      </c>
    </row>
    <row r="203" spans="1:55" ht="11.25" customHeight="1">
      <c r="A203" s="492">
        <v>128</v>
      </c>
      <c r="B203" s="13"/>
      <c r="C203" s="23"/>
      <c r="D203" s="36"/>
      <c r="E203" s="21" t="s">
        <v>2071</v>
      </c>
      <c r="F203" s="45" t="s">
        <v>2072</v>
      </c>
      <c r="G203" s="45" t="s">
        <v>1059</v>
      </c>
      <c r="H203" s="265" t="s">
        <v>359</v>
      </c>
      <c r="I203" s="18">
        <v>4.7699999999999996</v>
      </c>
      <c r="J203" s="157"/>
      <c r="K203" s="18">
        <v>4.7699999999999996</v>
      </c>
      <c r="L203" s="157"/>
      <c r="M203" s="18"/>
      <c r="N203" s="157"/>
      <c r="O203" s="18"/>
      <c r="P203" s="157"/>
      <c r="Q203" s="96">
        <f t="shared" si="427"/>
        <v>0</v>
      </c>
      <c r="R203" s="337">
        <f t="shared" si="428"/>
        <v>0</v>
      </c>
      <c r="S203" s="96"/>
      <c r="T203" s="96">
        <f t="shared" si="429"/>
        <v>0</v>
      </c>
      <c r="U203" s="96"/>
      <c r="V203" s="96">
        <f t="shared" si="430"/>
        <v>0</v>
      </c>
      <c r="W203" s="96"/>
      <c r="X203" s="96">
        <f t="shared" si="431"/>
        <v>0</v>
      </c>
      <c r="Y203" s="96">
        <f t="shared" si="432"/>
        <v>0</v>
      </c>
      <c r="Z203" s="96">
        <f t="shared" si="433"/>
        <v>0</v>
      </c>
      <c r="AA203" s="96"/>
      <c r="AB203" s="96">
        <f t="shared" si="434"/>
        <v>0</v>
      </c>
      <c r="AC203" s="96"/>
      <c r="AD203" s="96">
        <f t="shared" si="435"/>
        <v>0</v>
      </c>
      <c r="AE203" s="96"/>
      <c r="AF203" s="95">
        <f t="shared" si="436"/>
        <v>0</v>
      </c>
      <c r="AG203" s="96">
        <f t="shared" si="437"/>
        <v>0</v>
      </c>
      <c r="AH203" s="96">
        <f t="shared" si="438"/>
        <v>0</v>
      </c>
      <c r="AI203" s="96">
        <f t="shared" si="439"/>
        <v>0</v>
      </c>
      <c r="AJ203" s="96">
        <f t="shared" si="440"/>
        <v>0</v>
      </c>
      <c r="AK203" s="96"/>
      <c r="AL203" s="96">
        <f t="shared" si="441"/>
        <v>0</v>
      </c>
      <c r="AM203" s="96"/>
      <c r="AN203" s="96">
        <f t="shared" si="442"/>
        <v>0</v>
      </c>
      <c r="AO203" s="96"/>
      <c r="AP203" s="96">
        <f t="shared" si="443"/>
        <v>0</v>
      </c>
      <c r="AQ203" s="96">
        <f t="shared" si="444"/>
        <v>0</v>
      </c>
      <c r="AR203" s="96">
        <f t="shared" si="445"/>
        <v>0</v>
      </c>
      <c r="AS203" s="96"/>
      <c r="AT203" s="96">
        <f t="shared" si="446"/>
        <v>0</v>
      </c>
      <c r="AU203" s="96"/>
      <c r="AV203" s="96">
        <f t="shared" si="447"/>
        <v>0</v>
      </c>
      <c r="AW203" s="96"/>
      <c r="AX203" s="96">
        <f t="shared" si="448"/>
        <v>0</v>
      </c>
      <c r="AY203" s="96">
        <f t="shared" si="449"/>
        <v>0</v>
      </c>
      <c r="AZ203" s="96">
        <f t="shared" si="450"/>
        <v>0</v>
      </c>
      <c r="BA203" s="96">
        <f t="shared" si="451"/>
        <v>0</v>
      </c>
      <c r="BB203" s="96">
        <f t="shared" si="452"/>
        <v>0</v>
      </c>
      <c r="BC203" s="1" t="s">
        <v>1060</v>
      </c>
    </row>
    <row r="204" spans="1:55" ht="11.25" customHeight="1">
      <c r="A204" s="492">
        <v>128</v>
      </c>
      <c r="B204" s="13"/>
      <c r="C204" s="23"/>
      <c r="D204" s="36"/>
      <c r="E204" s="21" t="s">
        <v>2073</v>
      </c>
      <c r="F204" s="45" t="s">
        <v>2074</v>
      </c>
      <c r="G204" s="45" t="s">
        <v>1059</v>
      </c>
      <c r="H204" s="265" t="s">
        <v>359</v>
      </c>
      <c r="I204" s="18">
        <v>4.7699999999999996</v>
      </c>
      <c r="J204" s="157"/>
      <c r="K204" s="18">
        <v>4.7699999999999996</v>
      </c>
      <c r="L204" s="157"/>
      <c r="M204" s="18"/>
      <c r="N204" s="157"/>
      <c r="O204" s="18"/>
      <c r="P204" s="157"/>
      <c r="Q204" s="96">
        <f t="shared" si="427"/>
        <v>4.58</v>
      </c>
      <c r="R204" s="337">
        <f t="shared" si="428"/>
        <v>32.303320446599997</v>
      </c>
      <c r="S204" s="96">
        <v>0.42899999999999999</v>
      </c>
      <c r="T204" s="96">
        <f t="shared" si="429"/>
        <v>2.9541843045</v>
      </c>
      <c r="U204" s="96">
        <v>1.2909999999999999</v>
      </c>
      <c r="V204" s="96">
        <f t="shared" si="430"/>
        <v>8.8569057581999981</v>
      </c>
      <c r="W204" s="96">
        <v>2.827</v>
      </c>
      <c r="X204" s="96">
        <f t="shared" si="431"/>
        <v>20.259143952299997</v>
      </c>
      <c r="Y204" s="96">
        <f t="shared" si="432"/>
        <v>4.5469999999999997</v>
      </c>
      <c r="Z204" s="96">
        <f t="shared" si="433"/>
        <v>32.070234014999997</v>
      </c>
      <c r="AA204" s="96">
        <v>3.3000000000000002E-2</v>
      </c>
      <c r="AB204" s="96">
        <f t="shared" si="434"/>
        <v>0.2330864316</v>
      </c>
      <c r="AC204" s="96"/>
      <c r="AD204" s="96">
        <f t="shared" si="435"/>
        <v>0</v>
      </c>
      <c r="AE204" s="96"/>
      <c r="AF204" s="95">
        <f t="shared" si="436"/>
        <v>0</v>
      </c>
      <c r="AG204" s="96">
        <f t="shared" si="437"/>
        <v>3.3000000000000002E-2</v>
      </c>
      <c r="AH204" s="96">
        <f t="shared" si="438"/>
        <v>0.2330864316</v>
      </c>
      <c r="AI204" s="96">
        <f t="shared" si="439"/>
        <v>4.58</v>
      </c>
      <c r="AJ204" s="96">
        <f t="shared" si="440"/>
        <v>32.303320446599997</v>
      </c>
      <c r="AK204" s="96"/>
      <c r="AL204" s="96">
        <f t="shared" si="441"/>
        <v>0</v>
      </c>
      <c r="AM204" s="96"/>
      <c r="AN204" s="96">
        <f t="shared" si="442"/>
        <v>0</v>
      </c>
      <c r="AO204" s="96"/>
      <c r="AP204" s="96">
        <f t="shared" si="443"/>
        <v>0</v>
      </c>
      <c r="AQ204" s="96">
        <f t="shared" si="444"/>
        <v>0</v>
      </c>
      <c r="AR204" s="96">
        <f t="shared" si="445"/>
        <v>0</v>
      </c>
      <c r="AS204" s="96"/>
      <c r="AT204" s="96">
        <f t="shared" si="446"/>
        <v>0</v>
      </c>
      <c r="AU204" s="96"/>
      <c r="AV204" s="96">
        <f t="shared" si="447"/>
        <v>0</v>
      </c>
      <c r="AW204" s="96"/>
      <c r="AX204" s="96">
        <f t="shared" si="448"/>
        <v>0</v>
      </c>
      <c r="AY204" s="96">
        <f t="shared" si="449"/>
        <v>0</v>
      </c>
      <c r="AZ204" s="96">
        <f t="shared" si="450"/>
        <v>0</v>
      </c>
      <c r="BA204" s="96">
        <f t="shared" si="451"/>
        <v>0</v>
      </c>
      <c r="BB204" s="96">
        <f t="shared" si="452"/>
        <v>0</v>
      </c>
      <c r="BC204" s="1" t="s">
        <v>1060</v>
      </c>
    </row>
    <row r="205" spans="1:55" ht="11.25" customHeight="1">
      <c r="A205" s="492">
        <v>128</v>
      </c>
      <c r="B205" s="13"/>
      <c r="C205" s="23"/>
      <c r="D205" s="36"/>
      <c r="E205" s="21" t="s">
        <v>2075</v>
      </c>
      <c r="F205" s="45" t="s">
        <v>2076</v>
      </c>
      <c r="G205" s="45" t="s">
        <v>1059</v>
      </c>
      <c r="H205" s="265" t="s">
        <v>359</v>
      </c>
      <c r="I205" s="18">
        <v>4.7699999999999996</v>
      </c>
      <c r="J205" s="157"/>
      <c r="K205" s="18">
        <v>4.7699999999999996</v>
      </c>
      <c r="L205" s="157"/>
      <c r="M205" s="18"/>
      <c r="N205" s="157"/>
      <c r="O205" s="18"/>
      <c r="P205" s="157"/>
      <c r="Q205" s="96">
        <f t="shared" si="427"/>
        <v>0.65500000000000003</v>
      </c>
      <c r="R205" s="337">
        <f t="shared" si="428"/>
        <v>4.5649909809000002</v>
      </c>
      <c r="S205" s="96">
        <v>4.3999999999999997E-2</v>
      </c>
      <c r="T205" s="96">
        <f t="shared" si="429"/>
        <v>0.30299326199999999</v>
      </c>
      <c r="U205" s="96">
        <v>0.32100000000000001</v>
      </c>
      <c r="V205" s="96">
        <f t="shared" si="430"/>
        <v>2.2022205642000001</v>
      </c>
      <c r="W205" s="96">
        <v>0.111</v>
      </c>
      <c r="X205" s="96">
        <f t="shared" si="431"/>
        <v>0.79545984389999991</v>
      </c>
      <c r="Y205" s="96">
        <f t="shared" si="432"/>
        <v>0.47599999999999998</v>
      </c>
      <c r="Z205" s="96">
        <f t="shared" si="433"/>
        <v>3.3006736701000001</v>
      </c>
      <c r="AA205" s="96">
        <v>0.17899999999999999</v>
      </c>
      <c r="AB205" s="96">
        <f t="shared" si="434"/>
        <v>1.2643173107999999</v>
      </c>
      <c r="AC205" s="96"/>
      <c r="AD205" s="96">
        <f t="shared" si="435"/>
        <v>0</v>
      </c>
      <c r="AE205" s="96"/>
      <c r="AF205" s="95">
        <f t="shared" si="436"/>
        <v>0</v>
      </c>
      <c r="AG205" s="96">
        <f t="shared" si="437"/>
        <v>0.17899999999999999</v>
      </c>
      <c r="AH205" s="96">
        <f t="shared" si="438"/>
        <v>1.2643173107999999</v>
      </c>
      <c r="AI205" s="96">
        <f t="shared" si="439"/>
        <v>0.65500000000000003</v>
      </c>
      <c r="AJ205" s="96">
        <f t="shared" si="440"/>
        <v>4.5649909809000002</v>
      </c>
      <c r="AK205" s="96"/>
      <c r="AL205" s="96">
        <f t="shared" si="441"/>
        <v>0</v>
      </c>
      <c r="AM205" s="96"/>
      <c r="AN205" s="96">
        <f t="shared" si="442"/>
        <v>0</v>
      </c>
      <c r="AO205" s="96"/>
      <c r="AP205" s="96">
        <f t="shared" si="443"/>
        <v>0</v>
      </c>
      <c r="AQ205" s="96">
        <f t="shared" si="444"/>
        <v>0</v>
      </c>
      <c r="AR205" s="96">
        <f t="shared" si="445"/>
        <v>0</v>
      </c>
      <c r="AS205" s="96"/>
      <c r="AT205" s="96">
        <f t="shared" si="446"/>
        <v>0</v>
      </c>
      <c r="AU205" s="96"/>
      <c r="AV205" s="96">
        <f t="shared" si="447"/>
        <v>0</v>
      </c>
      <c r="AW205" s="96"/>
      <c r="AX205" s="96">
        <f t="shared" si="448"/>
        <v>0</v>
      </c>
      <c r="AY205" s="96">
        <f t="shared" si="449"/>
        <v>0</v>
      </c>
      <c r="AZ205" s="96">
        <f t="shared" si="450"/>
        <v>0</v>
      </c>
      <c r="BA205" s="96">
        <f t="shared" si="451"/>
        <v>0</v>
      </c>
      <c r="BB205" s="96">
        <f t="shared" si="452"/>
        <v>0</v>
      </c>
      <c r="BC205" s="1" t="s">
        <v>1060</v>
      </c>
    </row>
    <row r="206" spans="1:55" ht="11.25" customHeight="1">
      <c r="A206" s="492">
        <v>128</v>
      </c>
      <c r="B206" s="13"/>
      <c r="C206" s="23"/>
      <c r="D206" s="36"/>
      <c r="E206" s="21" t="s">
        <v>2077</v>
      </c>
      <c r="F206" s="45" t="s">
        <v>2078</v>
      </c>
      <c r="G206" s="45" t="s">
        <v>1059</v>
      </c>
      <c r="H206" s="265" t="s">
        <v>360</v>
      </c>
      <c r="I206" s="18">
        <v>4.7699999999999996</v>
      </c>
      <c r="J206" s="157"/>
      <c r="K206" s="18">
        <v>4.7699999999999996</v>
      </c>
      <c r="L206" s="157"/>
      <c r="M206" s="18"/>
      <c r="N206" s="157"/>
      <c r="O206" s="18"/>
      <c r="P206" s="157"/>
      <c r="Q206" s="96">
        <f t="shared" si="427"/>
        <v>0.8919999999999999</v>
      </c>
      <c r="R206" s="337">
        <f t="shared" si="428"/>
        <v>6.2024063867999999</v>
      </c>
      <c r="S206" s="96">
        <v>0.29299999999999998</v>
      </c>
      <c r="T206" s="96">
        <f t="shared" si="429"/>
        <v>2.0176596765000001</v>
      </c>
      <c r="U206" s="96">
        <v>0.28599999999999998</v>
      </c>
      <c r="V206" s="96">
        <f t="shared" si="430"/>
        <v>1.9621030571999998</v>
      </c>
      <c r="W206" s="96">
        <v>0.115</v>
      </c>
      <c r="X206" s="96">
        <f t="shared" si="431"/>
        <v>0.82412506349999992</v>
      </c>
      <c r="Y206" s="96">
        <f t="shared" si="432"/>
        <v>0.69399999999999995</v>
      </c>
      <c r="Z206" s="96">
        <f t="shared" si="433"/>
        <v>4.8038877971999998</v>
      </c>
      <c r="AA206" s="96">
        <v>0.19800000000000001</v>
      </c>
      <c r="AB206" s="96">
        <f t="shared" si="434"/>
        <v>1.3985185896000001</v>
      </c>
      <c r="AC206" s="96"/>
      <c r="AD206" s="96">
        <f t="shared" si="435"/>
        <v>0</v>
      </c>
      <c r="AE206" s="96"/>
      <c r="AF206" s="95">
        <f t="shared" si="436"/>
        <v>0</v>
      </c>
      <c r="AG206" s="96">
        <f t="shared" si="437"/>
        <v>0.19800000000000001</v>
      </c>
      <c r="AH206" s="96">
        <f t="shared" si="438"/>
        <v>1.3985185896000001</v>
      </c>
      <c r="AI206" s="96">
        <f t="shared" si="439"/>
        <v>0.8919999999999999</v>
      </c>
      <c r="AJ206" s="96">
        <f t="shared" si="440"/>
        <v>6.2024063867999999</v>
      </c>
      <c r="AK206" s="96"/>
      <c r="AL206" s="96">
        <f t="shared" si="441"/>
        <v>0</v>
      </c>
      <c r="AM206" s="96"/>
      <c r="AN206" s="96">
        <f t="shared" si="442"/>
        <v>0</v>
      </c>
      <c r="AO206" s="96"/>
      <c r="AP206" s="96">
        <f t="shared" si="443"/>
        <v>0</v>
      </c>
      <c r="AQ206" s="96">
        <f t="shared" si="444"/>
        <v>0</v>
      </c>
      <c r="AR206" s="96">
        <f t="shared" si="445"/>
        <v>0</v>
      </c>
      <c r="AS206" s="96"/>
      <c r="AT206" s="96">
        <f t="shared" si="446"/>
        <v>0</v>
      </c>
      <c r="AU206" s="96"/>
      <c r="AV206" s="96">
        <f t="shared" si="447"/>
        <v>0</v>
      </c>
      <c r="AW206" s="96"/>
      <c r="AX206" s="96">
        <f t="shared" si="448"/>
        <v>0</v>
      </c>
      <c r="AY206" s="96">
        <f t="shared" si="449"/>
        <v>0</v>
      </c>
      <c r="AZ206" s="96">
        <f t="shared" si="450"/>
        <v>0</v>
      </c>
      <c r="BA206" s="96">
        <f t="shared" si="451"/>
        <v>0</v>
      </c>
      <c r="BB206" s="96">
        <f t="shared" si="452"/>
        <v>0</v>
      </c>
      <c r="BC206" s="1" t="s">
        <v>1715</v>
      </c>
    </row>
    <row r="207" spans="1:55" ht="11.25" customHeight="1">
      <c r="A207" s="492">
        <v>128</v>
      </c>
      <c r="B207" s="13"/>
      <c r="C207" s="23"/>
      <c r="D207" s="36"/>
      <c r="E207" s="21" t="s">
        <v>2079</v>
      </c>
      <c r="F207" s="45" t="s">
        <v>2080</v>
      </c>
      <c r="G207" s="45" t="s">
        <v>1059</v>
      </c>
      <c r="H207" s="265" t="s">
        <v>359</v>
      </c>
      <c r="I207" s="18">
        <v>4.7699999999999996</v>
      </c>
      <c r="J207" s="157"/>
      <c r="K207" s="18">
        <v>4.7699999999999996</v>
      </c>
      <c r="L207" s="157"/>
      <c r="M207" s="18"/>
      <c r="N207" s="157"/>
      <c r="O207" s="18"/>
      <c r="P207" s="157"/>
      <c r="Q207" s="96">
        <f t="shared" si="427"/>
        <v>0</v>
      </c>
      <c r="R207" s="337">
        <f t="shared" si="428"/>
        <v>0</v>
      </c>
      <c r="S207" s="96"/>
      <c r="T207" s="96">
        <f t="shared" si="429"/>
        <v>0</v>
      </c>
      <c r="U207" s="96"/>
      <c r="V207" s="96">
        <f t="shared" si="430"/>
        <v>0</v>
      </c>
      <c r="W207" s="96"/>
      <c r="X207" s="96">
        <f t="shared" si="431"/>
        <v>0</v>
      </c>
      <c r="Y207" s="96">
        <f t="shared" si="432"/>
        <v>0</v>
      </c>
      <c r="Z207" s="96">
        <f t="shared" si="433"/>
        <v>0</v>
      </c>
      <c r="AA207" s="96"/>
      <c r="AB207" s="96">
        <f t="shared" si="434"/>
        <v>0</v>
      </c>
      <c r="AC207" s="96"/>
      <c r="AD207" s="96">
        <f t="shared" si="435"/>
        <v>0</v>
      </c>
      <c r="AE207" s="96"/>
      <c r="AF207" s="95">
        <f t="shared" si="436"/>
        <v>0</v>
      </c>
      <c r="AG207" s="96">
        <f t="shared" si="437"/>
        <v>0</v>
      </c>
      <c r="AH207" s="96">
        <f t="shared" si="438"/>
        <v>0</v>
      </c>
      <c r="AI207" s="96">
        <f t="shared" si="439"/>
        <v>0</v>
      </c>
      <c r="AJ207" s="96">
        <f t="shared" si="440"/>
        <v>0</v>
      </c>
      <c r="AK207" s="96"/>
      <c r="AL207" s="96">
        <f t="shared" si="441"/>
        <v>0</v>
      </c>
      <c r="AM207" s="96"/>
      <c r="AN207" s="96">
        <f t="shared" si="442"/>
        <v>0</v>
      </c>
      <c r="AO207" s="96"/>
      <c r="AP207" s="96">
        <f t="shared" si="443"/>
        <v>0</v>
      </c>
      <c r="AQ207" s="96">
        <f t="shared" si="444"/>
        <v>0</v>
      </c>
      <c r="AR207" s="96">
        <f t="shared" si="445"/>
        <v>0</v>
      </c>
      <c r="AS207" s="96"/>
      <c r="AT207" s="96">
        <f t="shared" si="446"/>
        <v>0</v>
      </c>
      <c r="AU207" s="96"/>
      <c r="AV207" s="96">
        <f t="shared" si="447"/>
        <v>0</v>
      </c>
      <c r="AW207" s="96"/>
      <c r="AX207" s="96">
        <f t="shared" si="448"/>
        <v>0</v>
      </c>
      <c r="AY207" s="96">
        <f t="shared" si="449"/>
        <v>0</v>
      </c>
      <c r="AZ207" s="96">
        <f t="shared" si="450"/>
        <v>0</v>
      </c>
      <c r="BA207" s="96">
        <f t="shared" si="451"/>
        <v>0</v>
      </c>
      <c r="BB207" s="96">
        <f t="shared" si="452"/>
        <v>0</v>
      </c>
      <c r="BC207" s="1" t="s">
        <v>1060</v>
      </c>
    </row>
    <row r="208" spans="1:55" ht="11.25" customHeight="1">
      <c r="A208" s="492">
        <v>128</v>
      </c>
      <c r="B208" s="13"/>
      <c r="C208" s="23"/>
      <c r="D208" s="36"/>
      <c r="E208" s="21" t="s">
        <v>2081</v>
      </c>
      <c r="F208" s="45" t="s">
        <v>2082</v>
      </c>
      <c r="G208" s="45" t="s">
        <v>1059</v>
      </c>
      <c r="H208" s="265" t="s">
        <v>359</v>
      </c>
      <c r="I208" s="18">
        <v>4.7699999999999996</v>
      </c>
      <c r="J208" s="157"/>
      <c r="K208" s="18">
        <v>4.7699999999999996</v>
      </c>
      <c r="L208" s="157"/>
      <c r="M208" s="18"/>
      <c r="N208" s="157"/>
      <c r="O208" s="18"/>
      <c r="P208" s="157"/>
      <c r="Q208" s="96">
        <f t="shared" si="427"/>
        <v>3.5999999999999997E-2</v>
      </c>
      <c r="R208" s="337">
        <f t="shared" si="428"/>
        <v>0.25427610719999999</v>
      </c>
      <c r="S208" s="96"/>
      <c r="T208" s="96">
        <f t="shared" si="429"/>
        <v>0</v>
      </c>
      <c r="U208" s="96"/>
      <c r="V208" s="96">
        <f t="shared" si="430"/>
        <v>0</v>
      </c>
      <c r="W208" s="96"/>
      <c r="X208" s="96">
        <f t="shared" si="431"/>
        <v>0</v>
      </c>
      <c r="Y208" s="96">
        <f t="shared" si="432"/>
        <v>0</v>
      </c>
      <c r="Z208" s="96">
        <f t="shared" si="433"/>
        <v>0</v>
      </c>
      <c r="AA208" s="96">
        <v>3.5999999999999997E-2</v>
      </c>
      <c r="AB208" s="96">
        <f t="shared" si="434"/>
        <v>0.25427610719999999</v>
      </c>
      <c r="AC208" s="96"/>
      <c r="AD208" s="96">
        <f t="shared" si="435"/>
        <v>0</v>
      </c>
      <c r="AE208" s="96"/>
      <c r="AF208" s="95">
        <f t="shared" si="436"/>
        <v>0</v>
      </c>
      <c r="AG208" s="96">
        <f t="shared" si="437"/>
        <v>3.5999999999999997E-2</v>
      </c>
      <c r="AH208" s="96">
        <f t="shared" si="438"/>
        <v>0.25427610719999999</v>
      </c>
      <c r="AI208" s="96">
        <f t="shared" si="439"/>
        <v>3.5999999999999997E-2</v>
      </c>
      <c r="AJ208" s="96">
        <f t="shared" si="440"/>
        <v>0.25427610719999999</v>
      </c>
      <c r="AK208" s="96"/>
      <c r="AL208" s="96">
        <f t="shared" si="441"/>
        <v>0</v>
      </c>
      <c r="AM208" s="96"/>
      <c r="AN208" s="96">
        <f t="shared" si="442"/>
        <v>0</v>
      </c>
      <c r="AO208" s="96"/>
      <c r="AP208" s="96">
        <f t="shared" si="443"/>
        <v>0</v>
      </c>
      <c r="AQ208" s="96">
        <f t="shared" si="444"/>
        <v>0</v>
      </c>
      <c r="AR208" s="96">
        <f t="shared" si="445"/>
        <v>0</v>
      </c>
      <c r="AS208" s="96"/>
      <c r="AT208" s="96">
        <f t="shared" si="446"/>
        <v>0</v>
      </c>
      <c r="AU208" s="96"/>
      <c r="AV208" s="96">
        <f t="shared" si="447"/>
        <v>0</v>
      </c>
      <c r="AW208" s="96"/>
      <c r="AX208" s="96">
        <f t="shared" si="448"/>
        <v>0</v>
      </c>
      <c r="AY208" s="96">
        <f t="shared" si="449"/>
        <v>0</v>
      </c>
      <c r="AZ208" s="96">
        <f t="shared" si="450"/>
        <v>0</v>
      </c>
      <c r="BA208" s="96">
        <f t="shared" si="451"/>
        <v>0</v>
      </c>
      <c r="BB208" s="96">
        <f t="shared" si="452"/>
        <v>0</v>
      </c>
      <c r="BC208" s="1" t="s">
        <v>1060</v>
      </c>
    </row>
    <row r="209" spans="1:55" ht="11.25" customHeight="1">
      <c r="A209" s="492">
        <v>128</v>
      </c>
      <c r="B209" s="13"/>
      <c r="C209" s="23"/>
      <c r="D209" s="36"/>
      <c r="E209" s="21" t="s">
        <v>2083</v>
      </c>
      <c r="F209" s="45" t="s">
        <v>2084</v>
      </c>
      <c r="G209" s="45" t="s">
        <v>1059</v>
      </c>
      <c r="H209" s="265" t="s">
        <v>359</v>
      </c>
      <c r="I209" s="18">
        <v>4.7699999999999996</v>
      </c>
      <c r="J209" s="157"/>
      <c r="K209" s="18">
        <v>4.7699999999999996</v>
      </c>
      <c r="L209" s="157"/>
      <c r="M209" s="18"/>
      <c r="N209" s="157"/>
      <c r="O209" s="18"/>
      <c r="P209" s="157"/>
      <c r="Q209" s="96">
        <f t="shared" si="427"/>
        <v>1.9599999999999997</v>
      </c>
      <c r="R209" s="337">
        <f t="shared" si="428"/>
        <v>13.881442164299997</v>
      </c>
      <c r="S209" s="96">
        <v>0.48099999999999998</v>
      </c>
      <c r="T209" s="96">
        <f t="shared" si="429"/>
        <v>3.3122672505000001</v>
      </c>
      <c r="U209" s="96"/>
      <c r="V209" s="96">
        <f t="shared" si="430"/>
        <v>0</v>
      </c>
      <c r="W209" s="96">
        <v>1.19</v>
      </c>
      <c r="X209" s="96">
        <f t="shared" si="431"/>
        <v>8.5279028309999987</v>
      </c>
      <c r="Y209" s="96">
        <f t="shared" si="432"/>
        <v>1.6709999999999998</v>
      </c>
      <c r="Z209" s="96">
        <f t="shared" si="433"/>
        <v>11.840170081499998</v>
      </c>
      <c r="AA209" s="96">
        <v>0.28899999999999998</v>
      </c>
      <c r="AB209" s="96">
        <f t="shared" si="434"/>
        <v>2.0412720827999995</v>
      </c>
      <c r="AC209" s="96"/>
      <c r="AD209" s="96">
        <f t="shared" si="435"/>
        <v>0</v>
      </c>
      <c r="AE209" s="96"/>
      <c r="AF209" s="95">
        <f t="shared" si="436"/>
        <v>0</v>
      </c>
      <c r="AG209" s="96">
        <f t="shared" si="437"/>
        <v>0.28899999999999998</v>
      </c>
      <c r="AH209" s="96">
        <f t="shared" si="438"/>
        <v>2.0412720827999995</v>
      </c>
      <c r="AI209" s="96">
        <f t="shared" si="439"/>
        <v>1.9599999999999997</v>
      </c>
      <c r="AJ209" s="96">
        <f t="shared" si="440"/>
        <v>13.881442164299997</v>
      </c>
      <c r="AK209" s="96"/>
      <c r="AL209" s="96">
        <f t="shared" si="441"/>
        <v>0</v>
      </c>
      <c r="AM209" s="96"/>
      <c r="AN209" s="96">
        <f t="shared" si="442"/>
        <v>0</v>
      </c>
      <c r="AO209" s="96"/>
      <c r="AP209" s="96">
        <f t="shared" si="443"/>
        <v>0</v>
      </c>
      <c r="AQ209" s="96">
        <f t="shared" si="444"/>
        <v>0</v>
      </c>
      <c r="AR209" s="96">
        <f t="shared" si="445"/>
        <v>0</v>
      </c>
      <c r="AS209" s="96"/>
      <c r="AT209" s="96">
        <f t="shared" si="446"/>
        <v>0</v>
      </c>
      <c r="AU209" s="96"/>
      <c r="AV209" s="96">
        <f t="shared" si="447"/>
        <v>0</v>
      </c>
      <c r="AW209" s="96"/>
      <c r="AX209" s="96">
        <f t="shared" si="448"/>
        <v>0</v>
      </c>
      <c r="AY209" s="96">
        <f t="shared" si="449"/>
        <v>0</v>
      </c>
      <c r="AZ209" s="96">
        <f t="shared" si="450"/>
        <v>0</v>
      </c>
      <c r="BA209" s="96">
        <f t="shared" si="451"/>
        <v>0</v>
      </c>
      <c r="BB209" s="96">
        <f t="shared" si="452"/>
        <v>0</v>
      </c>
      <c r="BC209" s="1" t="s">
        <v>1060</v>
      </c>
    </row>
    <row r="210" spans="1:55" ht="11.25" customHeight="1">
      <c r="A210" s="492">
        <v>128</v>
      </c>
      <c r="B210" s="13"/>
      <c r="C210" s="23"/>
      <c r="D210" s="36"/>
      <c r="E210" s="21" t="s">
        <v>2085</v>
      </c>
      <c r="F210" s="45" t="s">
        <v>2086</v>
      </c>
      <c r="G210" s="45" t="s">
        <v>1059</v>
      </c>
      <c r="H210" s="265" t="s">
        <v>359</v>
      </c>
      <c r="I210" s="18">
        <v>4.7699999999999996</v>
      </c>
      <c r="J210" s="157"/>
      <c r="K210" s="18">
        <v>4.7699999999999996</v>
      </c>
      <c r="L210" s="157"/>
      <c r="M210" s="18"/>
      <c r="N210" s="157"/>
      <c r="O210" s="18"/>
      <c r="P210" s="157"/>
      <c r="Q210" s="96">
        <f t="shared" si="427"/>
        <v>0</v>
      </c>
      <c r="R210" s="337">
        <f t="shared" si="428"/>
        <v>0</v>
      </c>
      <c r="S210" s="96"/>
      <c r="T210" s="96">
        <f t="shared" si="429"/>
        <v>0</v>
      </c>
      <c r="U210" s="96"/>
      <c r="V210" s="96">
        <f t="shared" si="430"/>
        <v>0</v>
      </c>
      <c r="W210" s="96"/>
      <c r="X210" s="96">
        <f t="shared" si="431"/>
        <v>0</v>
      </c>
      <c r="Y210" s="96">
        <f t="shared" si="432"/>
        <v>0</v>
      </c>
      <c r="Z210" s="96">
        <f t="shared" si="433"/>
        <v>0</v>
      </c>
      <c r="AA210" s="96"/>
      <c r="AB210" s="96">
        <f t="shared" si="434"/>
        <v>0</v>
      </c>
      <c r="AC210" s="96"/>
      <c r="AD210" s="96">
        <f t="shared" si="435"/>
        <v>0</v>
      </c>
      <c r="AE210" s="96"/>
      <c r="AF210" s="95">
        <f t="shared" si="436"/>
        <v>0</v>
      </c>
      <c r="AG210" s="96">
        <f t="shared" si="437"/>
        <v>0</v>
      </c>
      <c r="AH210" s="96">
        <f t="shared" si="438"/>
        <v>0</v>
      </c>
      <c r="AI210" s="96">
        <f t="shared" si="439"/>
        <v>0</v>
      </c>
      <c r="AJ210" s="96">
        <f t="shared" si="440"/>
        <v>0</v>
      </c>
      <c r="AK210" s="96"/>
      <c r="AL210" s="96">
        <f t="shared" si="441"/>
        <v>0</v>
      </c>
      <c r="AM210" s="96"/>
      <c r="AN210" s="96">
        <f t="shared" si="442"/>
        <v>0</v>
      </c>
      <c r="AO210" s="96"/>
      <c r="AP210" s="96">
        <f t="shared" si="443"/>
        <v>0</v>
      </c>
      <c r="AQ210" s="96">
        <f t="shared" si="444"/>
        <v>0</v>
      </c>
      <c r="AR210" s="96">
        <f t="shared" si="445"/>
        <v>0</v>
      </c>
      <c r="AS210" s="96"/>
      <c r="AT210" s="96">
        <f t="shared" si="446"/>
        <v>0</v>
      </c>
      <c r="AU210" s="96"/>
      <c r="AV210" s="96">
        <f t="shared" si="447"/>
        <v>0</v>
      </c>
      <c r="AW210" s="96"/>
      <c r="AX210" s="96">
        <f t="shared" si="448"/>
        <v>0</v>
      </c>
      <c r="AY210" s="96">
        <f t="shared" si="449"/>
        <v>0</v>
      </c>
      <c r="AZ210" s="96">
        <f t="shared" si="450"/>
        <v>0</v>
      </c>
      <c r="BA210" s="96">
        <f t="shared" si="451"/>
        <v>0</v>
      </c>
      <c r="BB210" s="96">
        <f t="shared" si="452"/>
        <v>0</v>
      </c>
      <c r="BC210" s="1" t="s">
        <v>1060</v>
      </c>
    </row>
    <row r="211" spans="1:55">
      <c r="A211" s="492">
        <v>129</v>
      </c>
      <c r="B211" s="13"/>
      <c r="C211" s="23"/>
      <c r="D211" s="36"/>
      <c r="E211" s="21" t="s">
        <v>2336</v>
      </c>
      <c r="F211" s="45" t="s">
        <v>2337</v>
      </c>
      <c r="G211" s="45" t="s">
        <v>1059</v>
      </c>
      <c r="H211" s="265" t="s">
        <v>359</v>
      </c>
      <c r="I211" s="18">
        <v>5.6</v>
      </c>
      <c r="J211" s="157"/>
      <c r="K211" s="18">
        <v>4.7699999999999996</v>
      </c>
      <c r="L211" s="157"/>
      <c r="M211" s="18"/>
      <c r="N211" s="157"/>
      <c r="O211" s="18"/>
      <c r="P211" s="157"/>
      <c r="Q211" s="96">
        <f>SUM(AI211+BA211)</f>
        <v>0.04</v>
      </c>
      <c r="R211" s="337">
        <f t="shared" ref="R211" si="583">SUM(AJ211+BB211)</f>
        <v>0.32217024</v>
      </c>
      <c r="S211" s="96"/>
      <c r="T211" s="96">
        <f t="shared" ref="T211" si="584">I211*S211*$T$2/1000</f>
        <v>0</v>
      </c>
      <c r="U211" s="96">
        <v>0.04</v>
      </c>
      <c r="V211" s="96">
        <f t="shared" ref="V211" si="585">I211*U211*$V$2/1000</f>
        <v>0.32217024</v>
      </c>
      <c r="W211" s="96"/>
      <c r="X211" s="96">
        <f t="shared" ref="X211" si="586">I211*W211*$X$2/1000</f>
        <v>0</v>
      </c>
      <c r="Y211" s="96">
        <f t="shared" ref="Y211" si="587">SUM(S211+U211+W211)</f>
        <v>0.04</v>
      </c>
      <c r="Z211" s="96">
        <f t="shared" ref="Z211" si="588">SUM(T211+V211+X211)</f>
        <v>0.32217024</v>
      </c>
      <c r="AA211" s="96"/>
      <c r="AB211" s="96">
        <f t="shared" ref="AB211" si="589">K211*AA211*$AB$2/1000</f>
        <v>0</v>
      </c>
      <c r="AC211" s="96"/>
      <c r="AD211" s="96">
        <f t="shared" ref="AD211" si="590">K211*AC211*$AD$2/1000</f>
        <v>0</v>
      </c>
      <c r="AE211" s="96"/>
      <c r="AF211" s="95">
        <f t="shared" ref="AF211" si="591">K211*AE211*$AF$2/1000</f>
        <v>0</v>
      </c>
      <c r="AG211" s="96">
        <f t="shared" ref="AG211" si="592">SUM(AA211+AC211+AE211)</f>
        <v>0</v>
      </c>
      <c r="AH211" s="96">
        <f t="shared" ref="AH211" si="593">SUM(AB211+AD211+AF211)</f>
        <v>0</v>
      </c>
      <c r="AI211" s="96">
        <f t="shared" ref="AI211" si="594">SUM(Y211+AG211)</f>
        <v>0.04</v>
      </c>
      <c r="AJ211" s="96">
        <f t="shared" ref="AJ211" si="595">SUM(Z211,AH211)</f>
        <v>0.32217024</v>
      </c>
      <c r="AK211" s="96"/>
      <c r="AL211" s="96">
        <f t="shared" ref="AL211" si="596">M211*AK211*$AL$2/1000</f>
        <v>0</v>
      </c>
      <c r="AM211" s="96"/>
      <c r="AN211" s="96">
        <f t="shared" ref="AN211" si="597">M211*AM211*$AN$2/1000</f>
        <v>0</v>
      </c>
      <c r="AO211" s="96"/>
      <c r="AP211" s="96">
        <f t="shared" ref="AP211" si="598">M211*AO211*$AP$2/1000</f>
        <v>0</v>
      </c>
      <c r="AQ211" s="96">
        <f t="shared" ref="AQ211" si="599">SUM(AK211+AM211+AO211)</f>
        <v>0</v>
      </c>
      <c r="AR211" s="96">
        <f t="shared" ref="AR211" si="600">SUM(AL211+AN211+AP211)</f>
        <v>0</v>
      </c>
      <c r="AS211" s="96"/>
      <c r="AT211" s="96">
        <f t="shared" ref="AT211" si="601">O211*AS211*$AT$2/1000</f>
        <v>0</v>
      </c>
      <c r="AU211" s="96"/>
      <c r="AV211" s="96">
        <f t="shared" ref="AV211" si="602">O211*AU211*$AV$2/1000</f>
        <v>0</v>
      </c>
      <c r="AW211" s="96"/>
      <c r="AX211" s="96">
        <f t="shared" ref="AX211" si="603">O211*AW211*$AX$2/1000</f>
        <v>0</v>
      </c>
      <c r="AY211" s="96">
        <f t="shared" ref="AY211" si="604">SUM(AS211+AU211+AW211)</f>
        <v>0</v>
      </c>
      <c r="AZ211" s="96">
        <f t="shared" ref="AZ211" si="605">SUM(AT211+AV211+AX211)</f>
        <v>0</v>
      </c>
      <c r="BA211" s="96">
        <f t="shared" ref="BA211" si="606">SUM(AQ211+AY211)</f>
        <v>0</v>
      </c>
      <c r="BB211" s="96">
        <f t="shared" ref="BB211" si="607">SUM(AR211,AZ211)</f>
        <v>0</v>
      </c>
      <c r="BC211" s="1" t="s">
        <v>1060</v>
      </c>
    </row>
    <row r="212" spans="1:55">
      <c r="A212" s="492">
        <v>129</v>
      </c>
      <c r="B212" s="13"/>
      <c r="C212" s="23"/>
      <c r="D212" s="36"/>
      <c r="E212" s="21" t="s">
        <v>2087</v>
      </c>
      <c r="F212" s="45" t="s">
        <v>2088</v>
      </c>
      <c r="G212" s="45" t="s">
        <v>1059</v>
      </c>
      <c r="H212" s="265" t="s">
        <v>359</v>
      </c>
      <c r="I212" s="18">
        <v>4.7699999999999996</v>
      </c>
      <c r="J212" s="157"/>
      <c r="K212" s="18">
        <v>4.7699999999999996</v>
      </c>
      <c r="L212" s="157"/>
      <c r="M212" s="18"/>
      <c r="N212" s="157"/>
      <c r="O212" s="18"/>
      <c r="P212" s="157"/>
      <c r="Q212" s="96">
        <f t="shared" si="427"/>
        <v>0.30299999999999999</v>
      </c>
      <c r="R212" s="337">
        <f t="shared" si="428"/>
        <v>2.1489082775999995</v>
      </c>
      <c r="S212" s="96">
        <v>3.5000000000000003E-2</v>
      </c>
      <c r="T212" s="96">
        <f t="shared" si="429"/>
        <v>0.2410173675</v>
      </c>
      <c r="U212" s="96"/>
      <c r="V212" s="96">
        <f t="shared" si="430"/>
        <v>0</v>
      </c>
      <c r="W212" s="96">
        <v>0.14499999999999999</v>
      </c>
      <c r="X212" s="96">
        <f t="shared" si="431"/>
        <v>1.0391142104999997</v>
      </c>
      <c r="Y212" s="96">
        <f t="shared" si="432"/>
        <v>0.18</v>
      </c>
      <c r="Z212" s="96">
        <f t="shared" si="433"/>
        <v>1.2801315779999998</v>
      </c>
      <c r="AA212" s="96">
        <v>0.123</v>
      </c>
      <c r="AB212" s="96">
        <f t="shared" si="434"/>
        <v>0.86877669959999992</v>
      </c>
      <c r="AC212" s="96"/>
      <c r="AD212" s="96">
        <f t="shared" si="435"/>
        <v>0</v>
      </c>
      <c r="AE212" s="96"/>
      <c r="AF212" s="95">
        <f t="shared" si="436"/>
        <v>0</v>
      </c>
      <c r="AG212" s="96">
        <f t="shared" si="437"/>
        <v>0.123</v>
      </c>
      <c r="AH212" s="96">
        <f t="shared" si="438"/>
        <v>0.86877669959999992</v>
      </c>
      <c r="AI212" s="96">
        <f t="shared" si="439"/>
        <v>0.30299999999999999</v>
      </c>
      <c r="AJ212" s="96">
        <f t="shared" si="440"/>
        <v>2.1489082775999995</v>
      </c>
      <c r="AK212" s="96"/>
      <c r="AL212" s="96">
        <f t="shared" si="441"/>
        <v>0</v>
      </c>
      <c r="AM212" s="96"/>
      <c r="AN212" s="96">
        <f t="shared" si="442"/>
        <v>0</v>
      </c>
      <c r="AO212" s="96"/>
      <c r="AP212" s="96">
        <f t="shared" si="443"/>
        <v>0</v>
      </c>
      <c r="AQ212" s="96">
        <f t="shared" si="444"/>
        <v>0</v>
      </c>
      <c r="AR212" s="96">
        <f t="shared" si="445"/>
        <v>0</v>
      </c>
      <c r="AS212" s="96"/>
      <c r="AT212" s="96">
        <f t="shared" si="446"/>
        <v>0</v>
      </c>
      <c r="AU212" s="96"/>
      <c r="AV212" s="96">
        <f t="shared" si="447"/>
        <v>0</v>
      </c>
      <c r="AW212" s="96"/>
      <c r="AX212" s="96">
        <f t="shared" si="448"/>
        <v>0</v>
      </c>
      <c r="AY212" s="96">
        <f t="shared" si="449"/>
        <v>0</v>
      </c>
      <c r="AZ212" s="96">
        <f t="shared" si="450"/>
        <v>0</v>
      </c>
      <c r="BA212" s="96">
        <f t="shared" si="451"/>
        <v>0</v>
      </c>
      <c r="BB212" s="96">
        <f t="shared" si="452"/>
        <v>0</v>
      </c>
      <c r="BC212" s="1" t="s">
        <v>1060</v>
      </c>
    </row>
    <row r="213" spans="1:55">
      <c r="A213" s="492">
        <v>129</v>
      </c>
      <c r="B213" s="13"/>
      <c r="C213" s="23"/>
      <c r="D213" s="36"/>
      <c r="E213" s="21" t="s">
        <v>2089</v>
      </c>
      <c r="F213" s="45" t="s">
        <v>2090</v>
      </c>
      <c r="G213" s="45" t="s">
        <v>1059</v>
      </c>
      <c r="H213" s="265" t="s">
        <v>359</v>
      </c>
      <c r="I213" s="18">
        <v>4.7699999999999996</v>
      </c>
      <c r="J213" s="157"/>
      <c r="K213" s="18">
        <v>4.7699999999999996</v>
      </c>
      <c r="L213" s="157"/>
      <c r="M213" s="18"/>
      <c r="N213" s="157"/>
      <c r="O213" s="18"/>
      <c r="P213" s="157"/>
      <c r="Q213" s="96">
        <f t="shared" si="427"/>
        <v>3.7999999999999999E-2</v>
      </c>
      <c r="R213" s="337">
        <f t="shared" si="428"/>
        <v>0.26167599899999999</v>
      </c>
      <c r="S213" s="96">
        <v>3.7999999999999999E-2</v>
      </c>
      <c r="T213" s="96">
        <f t="shared" si="429"/>
        <v>0.26167599899999999</v>
      </c>
      <c r="U213" s="96"/>
      <c r="V213" s="96">
        <f t="shared" si="430"/>
        <v>0</v>
      </c>
      <c r="W213" s="96"/>
      <c r="X213" s="96">
        <f t="shared" si="431"/>
        <v>0</v>
      </c>
      <c r="Y213" s="96">
        <f t="shared" si="432"/>
        <v>3.7999999999999999E-2</v>
      </c>
      <c r="Z213" s="96">
        <f t="shared" si="433"/>
        <v>0.26167599899999999</v>
      </c>
      <c r="AA213" s="96"/>
      <c r="AB213" s="96">
        <f t="shared" si="434"/>
        <v>0</v>
      </c>
      <c r="AC213" s="96"/>
      <c r="AD213" s="96">
        <f t="shared" si="435"/>
        <v>0</v>
      </c>
      <c r="AE213" s="96"/>
      <c r="AF213" s="95">
        <f t="shared" si="436"/>
        <v>0</v>
      </c>
      <c r="AG213" s="96">
        <f t="shared" si="437"/>
        <v>0</v>
      </c>
      <c r="AH213" s="96">
        <f t="shared" si="438"/>
        <v>0</v>
      </c>
      <c r="AI213" s="96">
        <f t="shared" si="439"/>
        <v>3.7999999999999999E-2</v>
      </c>
      <c r="AJ213" s="96">
        <f t="shared" si="440"/>
        <v>0.26167599899999999</v>
      </c>
      <c r="AK213" s="96"/>
      <c r="AL213" s="96">
        <f t="shared" si="441"/>
        <v>0</v>
      </c>
      <c r="AM213" s="96"/>
      <c r="AN213" s="96">
        <f t="shared" si="442"/>
        <v>0</v>
      </c>
      <c r="AO213" s="96"/>
      <c r="AP213" s="96">
        <f t="shared" si="443"/>
        <v>0</v>
      </c>
      <c r="AQ213" s="96">
        <f t="shared" si="444"/>
        <v>0</v>
      </c>
      <c r="AR213" s="96">
        <f t="shared" si="445"/>
        <v>0</v>
      </c>
      <c r="AS213" s="96"/>
      <c r="AT213" s="96">
        <f t="shared" si="446"/>
        <v>0</v>
      </c>
      <c r="AU213" s="96"/>
      <c r="AV213" s="96">
        <f t="shared" si="447"/>
        <v>0</v>
      </c>
      <c r="AW213" s="96"/>
      <c r="AX213" s="96">
        <f t="shared" si="448"/>
        <v>0</v>
      </c>
      <c r="AY213" s="96">
        <f t="shared" si="449"/>
        <v>0</v>
      </c>
      <c r="AZ213" s="96">
        <f t="shared" si="450"/>
        <v>0</v>
      </c>
      <c r="BA213" s="96">
        <f t="shared" si="451"/>
        <v>0</v>
      </c>
      <c r="BB213" s="96">
        <f t="shared" si="452"/>
        <v>0</v>
      </c>
      <c r="BC213" s="1" t="s">
        <v>1060</v>
      </c>
    </row>
    <row r="214" spans="1:55">
      <c r="A214" s="492">
        <v>129</v>
      </c>
      <c r="B214" s="13"/>
      <c r="C214" s="23"/>
      <c r="D214" s="36"/>
      <c r="E214" s="21" t="s">
        <v>2240</v>
      </c>
      <c r="F214" s="45" t="s">
        <v>2241</v>
      </c>
      <c r="G214" s="45" t="s">
        <v>1059</v>
      </c>
      <c r="H214" s="265" t="s">
        <v>359</v>
      </c>
      <c r="I214" s="18">
        <v>4.7699999999999996</v>
      </c>
      <c r="J214" s="157"/>
      <c r="K214" s="18">
        <v>4.7699999999999996</v>
      </c>
      <c r="L214" s="157"/>
      <c r="M214" s="18"/>
      <c r="N214" s="157"/>
      <c r="O214" s="18"/>
      <c r="P214" s="157"/>
      <c r="Q214" s="96">
        <f>SUM(AI214+BA214)</f>
        <v>0</v>
      </c>
      <c r="R214" s="337">
        <f t="shared" ref="R214" si="608">SUM(AJ214+BB214)</f>
        <v>0</v>
      </c>
      <c r="S214" s="96"/>
      <c r="T214" s="96">
        <f t="shared" ref="T214" si="609">I214*S214*$T$2/1000</f>
        <v>0</v>
      </c>
      <c r="U214" s="96"/>
      <c r="V214" s="96">
        <f t="shared" ref="V214" si="610">I214*U214*$V$2/1000</f>
        <v>0</v>
      </c>
      <c r="W214" s="96"/>
      <c r="X214" s="96">
        <f t="shared" ref="X214" si="611">I214*W214*$X$2/1000</f>
        <v>0</v>
      </c>
      <c r="Y214" s="96">
        <f t="shared" ref="Y214" si="612">SUM(S214+U214+W214)</f>
        <v>0</v>
      </c>
      <c r="Z214" s="96">
        <f t="shared" ref="Z214" si="613">SUM(T214+V214+X214)</f>
        <v>0</v>
      </c>
      <c r="AA214" s="96"/>
      <c r="AB214" s="96">
        <f t="shared" ref="AB214" si="614">K214*AA214*$AB$2/1000</f>
        <v>0</v>
      </c>
      <c r="AC214" s="96"/>
      <c r="AD214" s="96">
        <f t="shared" ref="AD214" si="615">K214*AC214*$AD$2/1000</f>
        <v>0</v>
      </c>
      <c r="AE214" s="96"/>
      <c r="AF214" s="95">
        <f t="shared" ref="AF214" si="616">K214*AE214*$AF$2/1000</f>
        <v>0</v>
      </c>
      <c r="AG214" s="96">
        <f t="shared" ref="AG214" si="617">SUM(AA214+AC214+AE214)</f>
        <v>0</v>
      </c>
      <c r="AH214" s="96">
        <f t="shared" ref="AH214" si="618">SUM(AB214+AD214+AF214)</f>
        <v>0</v>
      </c>
      <c r="AI214" s="96">
        <f t="shared" ref="AI214" si="619">SUM(Y214+AG214)</f>
        <v>0</v>
      </c>
      <c r="AJ214" s="96">
        <f t="shared" ref="AJ214" si="620">SUM(Z214,AH214)</f>
        <v>0</v>
      </c>
      <c r="AK214" s="96"/>
      <c r="AL214" s="96">
        <f t="shared" ref="AL214" si="621">M214*AK214*$AL$2/1000</f>
        <v>0</v>
      </c>
      <c r="AM214" s="96"/>
      <c r="AN214" s="96">
        <f t="shared" ref="AN214" si="622">M214*AM214*$AN$2/1000</f>
        <v>0</v>
      </c>
      <c r="AO214" s="96"/>
      <c r="AP214" s="96">
        <f t="shared" ref="AP214" si="623">M214*AO214*$AP$2/1000</f>
        <v>0</v>
      </c>
      <c r="AQ214" s="96">
        <f t="shared" ref="AQ214" si="624">SUM(AK214+AM214+AO214)</f>
        <v>0</v>
      </c>
      <c r="AR214" s="96">
        <f t="shared" ref="AR214" si="625">SUM(AL214+AN214+AP214)</f>
        <v>0</v>
      </c>
      <c r="AS214" s="96"/>
      <c r="AT214" s="96">
        <f t="shared" ref="AT214" si="626">O214*AS214*$AT$2/1000</f>
        <v>0</v>
      </c>
      <c r="AU214" s="96"/>
      <c r="AV214" s="96">
        <f t="shared" ref="AV214" si="627">O214*AU214*$AV$2/1000</f>
        <v>0</v>
      </c>
      <c r="AW214" s="96"/>
      <c r="AX214" s="96">
        <f t="shared" ref="AX214" si="628">O214*AW214*$AX$2/1000</f>
        <v>0</v>
      </c>
      <c r="AY214" s="96">
        <f t="shared" ref="AY214" si="629">SUM(AS214+AU214+AW214)</f>
        <v>0</v>
      </c>
      <c r="AZ214" s="96">
        <f t="shared" ref="AZ214" si="630">SUM(AT214+AV214+AX214)</f>
        <v>0</v>
      </c>
      <c r="BA214" s="96">
        <f t="shared" ref="BA214" si="631">SUM(AQ214+AY214)</f>
        <v>0</v>
      </c>
      <c r="BB214" s="96">
        <f t="shared" ref="BB214" si="632">SUM(AR214,AZ214)</f>
        <v>0</v>
      </c>
      <c r="BC214" s="1" t="s">
        <v>1060</v>
      </c>
    </row>
    <row r="215" spans="1:55">
      <c r="A215" s="492">
        <v>129</v>
      </c>
      <c r="B215" s="13"/>
      <c r="C215" s="23"/>
      <c r="D215" s="36"/>
      <c r="E215" s="21" t="s">
        <v>2091</v>
      </c>
      <c r="F215" s="45" t="s">
        <v>2092</v>
      </c>
      <c r="G215" s="45" t="s">
        <v>1059</v>
      </c>
      <c r="H215" s="265" t="s">
        <v>360</v>
      </c>
      <c r="I215" s="18">
        <v>4.7699999999999996</v>
      </c>
      <c r="J215" s="157"/>
      <c r="K215" s="18">
        <v>4.7699999999999996</v>
      </c>
      <c r="L215" s="157"/>
      <c r="M215" s="18"/>
      <c r="N215" s="157"/>
      <c r="O215" s="18"/>
      <c r="P215" s="157"/>
      <c r="Q215" s="96">
        <f>SUM(AI215+BA215)</f>
        <v>0</v>
      </c>
      <c r="R215" s="337">
        <f t="shared" si="428"/>
        <v>0</v>
      </c>
      <c r="S215" s="96"/>
      <c r="T215" s="96">
        <f t="shared" si="429"/>
        <v>0</v>
      </c>
      <c r="U215" s="96"/>
      <c r="V215" s="96">
        <f t="shared" si="430"/>
        <v>0</v>
      </c>
      <c r="W215" s="96"/>
      <c r="X215" s="96">
        <f t="shared" si="431"/>
        <v>0</v>
      </c>
      <c r="Y215" s="96">
        <f t="shared" si="432"/>
        <v>0</v>
      </c>
      <c r="Z215" s="96">
        <f t="shared" si="433"/>
        <v>0</v>
      </c>
      <c r="AA215" s="96"/>
      <c r="AB215" s="96">
        <f t="shared" si="434"/>
        <v>0</v>
      </c>
      <c r="AC215" s="96"/>
      <c r="AD215" s="96">
        <f t="shared" si="435"/>
        <v>0</v>
      </c>
      <c r="AE215" s="96"/>
      <c r="AF215" s="95">
        <f t="shared" si="436"/>
        <v>0</v>
      </c>
      <c r="AG215" s="96">
        <f t="shared" si="437"/>
        <v>0</v>
      </c>
      <c r="AH215" s="96">
        <f t="shared" si="438"/>
        <v>0</v>
      </c>
      <c r="AI215" s="96">
        <f t="shared" si="439"/>
        <v>0</v>
      </c>
      <c r="AJ215" s="96">
        <f t="shared" si="440"/>
        <v>0</v>
      </c>
      <c r="AK215" s="96"/>
      <c r="AL215" s="96">
        <f t="shared" si="441"/>
        <v>0</v>
      </c>
      <c r="AM215" s="96"/>
      <c r="AN215" s="96">
        <f t="shared" si="442"/>
        <v>0</v>
      </c>
      <c r="AO215" s="96"/>
      <c r="AP215" s="96">
        <f t="shared" si="443"/>
        <v>0</v>
      </c>
      <c r="AQ215" s="96">
        <f t="shared" si="444"/>
        <v>0</v>
      </c>
      <c r="AR215" s="96">
        <f t="shared" si="445"/>
        <v>0</v>
      </c>
      <c r="AS215" s="96"/>
      <c r="AT215" s="96">
        <f t="shared" si="446"/>
        <v>0</v>
      </c>
      <c r="AU215" s="96"/>
      <c r="AV215" s="96">
        <f t="shared" si="447"/>
        <v>0</v>
      </c>
      <c r="AW215" s="96"/>
      <c r="AX215" s="96">
        <f t="shared" si="448"/>
        <v>0</v>
      </c>
      <c r="AY215" s="96">
        <f t="shared" si="449"/>
        <v>0</v>
      </c>
      <c r="AZ215" s="96">
        <f t="shared" si="450"/>
        <v>0</v>
      </c>
      <c r="BA215" s="96">
        <f t="shared" si="451"/>
        <v>0</v>
      </c>
      <c r="BB215" s="96">
        <f t="shared" si="452"/>
        <v>0</v>
      </c>
      <c r="BC215" s="1" t="s">
        <v>1715</v>
      </c>
    </row>
    <row r="216" spans="1:55">
      <c r="A216" s="492">
        <v>129</v>
      </c>
      <c r="B216" s="13"/>
      <c r="C216" s="23"/>
      <c r="D216" s="36"/>
      <c r="E216" s="21" t="s">
        <v>2093</v>
      </c>
      <c r="F216" s="45" t="s">
        <v>2094</v>
      </c>
      <c r="G216" s="45" t="s">
        <v>1059</v>
      </c>
      <c r="H216" s="265" t="s">
        <v>359</v>
      </c>
      <c r="I216" s="18">
        <v>4.7699999999999996</v>
      </c>
      <c r="J216" s="157"/>
      <c r="K216" s="18">
        <v>4.7699999999999996</v>
      </c>
      <c r="L216" s="157"/>
      <c r="M216" s="18"/>
      <c r="N216" s="157"/>
      <c r="O216" s="18"/>
      <c r="P216" s="157"/>
      <c r="Q216" s="96">
        <f t="shared" si="427"/>
        <v>1.4770000000000001</v>
      </c>
      <c r="R216" s="337">
        <f t="shared" si="428"/>
        <v>10.414910728799999</v>
      </c>
      <c r="S216" s="96"/>
      <c r="T216" s="96">
        <f t="shared" si="429"/>
        <v>0</v>
      </c>
      <c r="U216" s="96">
        <v>0.55500000000000005</v>
      </c>
      <c r="V216" s="96">
        <f t="shared" si="430"/>
        <v>3.8075776109999997</v>
      </c>
      <c r="W216" s="96">
        <v>0.92200000000000004</v>
      </c>
      <c r="X216" s="96">
        <f t="shared" si="431"/>
        <v>6.6073331177999997</v>
      </c>
      <c r="Y216" s="96">
        <f t="shared" si="432"/>
        <v>1.4770000000000001</v>
      </c>
      <c r="Z216" s="96">
        <f t="shared" si="433"/>
        <v>10.414910728799999</v>
      </c>
      <c r="AA216" s="96"/>
      <c r="AB216" s="96">
        <f t="shared" si="434"/>
        <v>0</v>
      </c>
      <c r="AC216" s="96"/>
      <c r="AD216" s="96">
        <f t="shared" si="435"/>
        <v>0</v>
      </c>
      <c r="AE216" s="96"/>
      <c r="AF216" s="95">
        <f t="shared" si="436"/>
        <v>0</v>
      </c>
      <c r="AG216" s="96">
        <f t="shared" si="437"/>
        <v>0</v>
      </c>
      <c r="AH216" s="96">
        <f t="shared" si="438"/>
        <v>0</v>
      </c>
      <c r="AI216" s="96">
        <f t="shared" si="439"/>
        <v>1.4770000000000001</v>
      </c>
      <c r="AJ216" s="96">
        <f t="shared" si="440"/>
        <v>10.414910728799999</v>
      </c>
      <c r="AK216" s="96"/>
      <c r="AL216" s="96">
        <f t="shared" si="441"/>
        <v>0</v>
      </c>
      <c r="AM216" s="96"/>
      <c r="AN216" s="96">
        <f t="shared" si="442"/>
        <v>0</v>
      </c>
      <c r="AO216" s="96"/>
      <c r="AP216" s="96">
        <f t="shared" si="443"/>
        <v>0</v>
      </c>
      <c r="AQ216" s="96">
        <f t="shared" si="444"/>
        <v>0</v>
      </c>
      <c r="AR216" s="96">
        <f t="shared" si="445"/>
        <v>0</v>
      </c>
      <c r="AS216" s="96"/>
      <c r="AT216" s="96">
        <f t="shared" si="446"/>
        <v>0</v>
      </c>
      <c r="AU216" s="96"/>
      <c r="AV216" s="96">
        <f t="shared" si="447"/>
        <v>0</v>
      </c>
      <c r="AW216" s="96"/>
      <c r="AX216" s="96">
        <f t="shared" si="448"/>
        <v>0</v>
      </c>
      <c r="AY216" s="96">
        <f t="shared" si="449"/>
        <v>0</v>
      </c>
      <c r="AZ216" s="96">
        <f t="shared" si="450"/>
        <v>0</v>
      </c>
      <c r="BA216" s="96">
        <f t="shared" si="451"/>
        <v>0</v>
      </c>
      <c r="BB216" s="96">
        <f t="shared" si="452"/>
        <v>0</v>
      </c>
      <c r="BC216" s="1" t="s">
        <v>1060</v>
      </c>
    </row>
    <row r="217" spans="1:55">
      <c r="A217" s="492">
        <v>129</v>
      </c>
      <c r="B217" s="13"/>
      <c r="C217" s="23"/>
      <c r="D217" s="36"/>
      <c r="E217" s="21" t="s">
        <v>2095</v>
      </c>
      <c r="F217" s="45" t="s">
        <v>2096</v>
      </c>
      <c r="G217" s="45" t="s">
        <v>1059</v>
      </c>
      <c r="H217" s="265" t="s">
        <v>359</v>
      </c>
      <c r="I217" s="18">
        <v>4.7699999999999996</v>
      </c>
      <c r="J217" s="157"/>
      <c r="K217" s="18">
        <v>4.7699999999999996</v>
      </c>
      <c r="L217" s="157"/>
      <c r="M217" s="18"/>
      <c r="N217" s="157"/>
      <c r="O217" s="18"/>
      <c r="P217" s="157"/>
      <c r="Q217" s="96">
        <f t="shared" si="427"/>
        <v>5.5999999999999994E-2</v>
      </c>
      <c r="R217" s="337">
        <f t="shared" si="428"/>
        <v>0.39997303829999986</v>
      </c>
      <c r="S217" s="96"/>
      <c r="T217" s="96">
        <f t="shared" si="429"/>
        <v>0</v>
      </c>
      <c r="U217" s="96"/>
      <c r="V217" s="96">
        <f t="shared" si="430"/>
        <v>0</v>
      </c>
      <c r="W217" s="96">
        <v>4.2999999999999997E-2</v>
      </c>
      <c r="X217" s="96">
        <f t="shared" si="431"/>
        <v>0.3081511106999999</v>
      </c>
      <c r="Y217" s="96">
        <f t="shared" si="432"/>
        <v>4.2999999999999997E-2</v>
      </c>
      <c r="Z217" s="96">
        <f t="shared" si="433"/>
        <v>0.3081511106999999</v>
      </c>
      <c r="AA217" s="96">
        <v>1.2999999999999999E-2</v>
      </c>
      <c r="AB217" s="96">
        <f t="shared" si="434"/>
        <v>9.1821927599999978E-2</v>
      </c>
      <c r="AC217" s="96"/>
      <c r="AD217" s="96">
        <f t="shared" si="435"/>
        <v>0</v>
      </c>
      <c r="AE217" s="96"/>
      <c r="AF217" s="95">
        <f t="shared" si="436"/>
        <v>0</v>
      </c>
      <c r="AG217" s="96">
        <f t="shared" si="437"/>
        <v>1.2999999999999999E-2</v>
      </c>
      <c r="AH217" s="96">
        <f t="shared" si="438"/>
        <v>9.1821927599999978E-2</v>
      </c>
      <c r="AI217" s="96">
        <f t="shared" si="439"/>
        <v>5.5999999999999994E-2</v>
      </c>
      <c r="AJ217" s="96">
        <f t="shared" si="440"/>
        <v>0.39997303829999986</v>
      </c>
      <c r="AK217" s="96"/>
      <c r="AL217" s="96">
        <f t="shared" si="441"/>
        <v>0</v>
      </c>
      <c r="AM217" s="96"/>
      <c r="AN217" s="96">
        <f t="shared" si="442"/>
        <v>0</v>
      </c>
      <c r="AO217" s="96"/>
      <c r="AP217" s="96">
        <f t="shared" si="443"/>
        <v>0</v>
      </c>
      <c r="AQ217" s="96">
        <f t="shared" si="444"/>
        <v>0</v>
      </c>
      <c r="AR217" s="96">
        <f t="shared" si="445"/>
        <v>0</v>
      </c>
      <c r="AS217" s="96"/>
      <c r="AT217" s="96">
        <f t="shared" si="446"/>
        <v>0</v>
      </c>
      <c r="AU217" s="96"/>
      <c r="AV217" s="96">
        <f t="shared" si="447"/>
        <v>0</v>
      </c>
      <c r="AW217" s="96"/>
      <c r="AX217" s="96">
        <f t="shared" si="448"/>
        <v>0</v>
      </c>
      <c r="AY217" s="96">
        <f t="shared" si="449"/>
        <v>0</v>
      </c>
      <c r="AZ217" s="96">
        <f t="shared" si="450"/>
        <v>0</v>
      </c>
      <c r="BA217" s="96">
        <f t="shared" si="451"/>
        <v>0</v>
      </c>
      <c r="BB217" s="96">
        <f t="shared" si="452"/>
        <v>0</v>
      </c>
      <c r="BC217" s="1" t="s">
        <v>1060</v>
      </c>
    </row>
    <row r="218" spans="1:55">
      <c r="A218" s="492">
        <v>129</v>
      </c>
      <c r="B218" s="13"/>
      <c r="C218" s="23"/>
      <c r="D218" s="36"/>
      <c r="E218" s="21" t="s">
        <v>2097</v>
      </c>
      <c r="F218" s="45" t="s">
        <v>2098</v>
      </c>
      <c r="G218" s="45" t="s">
        <v>1059</v>
      </c>
      <c r="H218" s="265" t="s">
        <v>359</v>
      </c>
      <c r="I218" s="18">
        <v>4.7699999999999996</v>
      </c>
      <c r="J218" s="157"/>
      <c r="K218" s="18">
        <v>4.7699999999999996</v>
      </c>
      <c r="L218" s="157"/>
      <c r="M218" s="18"/>
      <c r="N218" s="157"/>
      <c r="O218" s="18"/>
      <c r="P218" s="157"/>
      <c r="Q218" s="96">
        <f t="shared" si="427"/>
        <v>4.5000000000000005E-2</v>
      </c>
      <c r="R218" s="337">
        <f t="shared" si="428"/>
        <v>0.318875931</v>
      </c>
      <c r="S218" s="96"/>
      <c r="T218" s="96">
        <f t="shared" si="429"/>
        <v>0</v>
      </c>
      <c r="U218" s="96"/>
      <c r="V218" s="96">
        <f t="shared" si="430"/>
        <v>0</v>
      </c>
      <c r="W218" s="96">
        <v>0.01</v>
      </c>
      <c r="X218" s="96">
        <f t="shared" si="431"/>
        <v>7.1663049000000006E-2</v>
      </c>
      <c r="Y218" s="96">
        <f t="shared" si="432"/>
        <v>0.01</v>
      </c>
      <c r="Z218" s="96">
        <f t="shared" si="433"/>
        <v>7.1663049000000006E-2</v>
      </c>
      <c r="AA218" s="96">
        <v>3.5000000000000003E-2</v>
      </c>
      <c r="AB218" s="96">
        <f t="shared" si="434"/>
        <v>0.24721288199999997</v>
      </c>
      <c r="AC218" s="96"/>
      <c r="AD218" s="96">
        <f t="shared" si="435"/>
        <v>0</v>
      </c>
      <c r="AE218" s="96"/>
      <c r="AF218" s="95">
        <f t="shared" si="436"/>
        <v>0</v>
      </c>
      <c r="AG218" s="96">
        <f t="shared" si="437"/>
        <v>3.5000000000000003E-2</v>
      </c>
      <c r="AH218" s="96">
        <f t="shared" si="438"/>
        <v>0.24721288199999997</v>
      </c>
      <c r="AI218" s="96">
        <f t="shared" si="439"/>
        <v>4.5000000000000005E-2</v>
      </c>
      <c r="AJ218" s="96">
        <f t="shared" si="440"/>
        <v>0.318875931</v>
      </c>
      <c r="AK218" s="96"/>
      <c r="AL218" s="96">
        <f t="shared" si="441"/>
        <v>0</v>
      </c>
      <c r="AM218" s="96"/>
      <c r="AN218" s="96">
        <f t="shared" si="442"/>
        <v>0</v>
      </c>
      <c r="AO218" s="96"/>
      <c r="AP218" s="96">
        <f t="shared" si="443"/>
        <v>0</v>
      </c>
      <c r="AQ218" s="96">
        <f t="shared" si="444"/>
        <v>0</v>
      </c>
      <c r="AR218" s="96">
        <f t="shared" si="445"/>
        <v>0</v>
      </c>
      <c r="AS218" s="96"/>
      <c r="AT218" s="96">
        <f t="shared" si="446"/>
        <v>0</v>
      </c>
      <c r="AU218" s="96"/>
      <c r="AV218" s="96">
        <f t="shared" si="447"/>
        <v>0</v>
      </c>
      <c r="AW218" s="96"/>
      <c r="AX218" s="96">
        <f t="shared" si="448"/>
        <v>0</v>
      </c>
      <c r="AY218" s="96">
        <f t="shared" si="449"/>
        <v>0</v>
      </c>
      <c r="AZ218" s="96">
        <f t="shared" si="450"/>
        <v>0</v>
      </c>
      <c r="BA218" s="96">
        <f t="shared" si="451"/>
        <v>0</v>
      </c>
      <c r="BB218" s="96">
        <f t="shared" si="452"/>
        <v>0</v>
      </c>
      <c r="BC218" s="1" t="s">
        <v>1060</v>
      </c>
    </row>
    <row r="219" spans="1:55">
      <c r="A219" s="492">
        <v>129</v>
      </c>
      <c r="B219" s="13"/>
      <c r="C219" s="23"/>
      <c r="D219" s="36"/>
      <c r="E219" s="21" t="s">
        <v>2099</v>
      </c>
      <c r="F219" s="45" t="s">
        <v>2100</v>
      </c>
      <c r="G219" s="45" t="s">
        <v>1059</v>
      </c>
      <c r="H219" s="265" t="s">
        <v>359</v>
      </c>
      <c r="I219" s="18">
        <v>4.7699999999999996</v>
      </c>
      <c r="J219" s="157"/>
      <c r="K219" s="18">
        <v>4.7699999999999996</v>
      </c>
      <c r="L219" s="157"/>
      <c r="M219" s="18"/>
      <c r="N219" s="157"/>
      <c r="O219" s="18"/>
      <c r="P219" s="157"/>
      <c r="Q219" s="96">
        <f t="shared" si="427"/>
        <v>0</v>
      </c>
      <c r="R219" s="337">
        <f t="shared" si="428"/>
        <v>0</v>
      </c>
      <c r="S219" s="96"/>
      <c r="T219" s="96">
        <f t="shared" si="429"/>
        <v>0</v>
      </c>
      <c r="U219" s="96"/>
      <c r="V219" s="96">
        <f t="shared" si="430"/>
        <v>0</v>
      </c>
      <c r="W219" s="96"/>
      <c r="X219" s="96">
        <f t="shared" si="431"/>
        <v>0</v>
      </c>
      <c r="Y219" s="96">
        <f t="shared" si="432"/>
        <v>0</v>
      </c>
      <c r="Z219" s="96">
        <f t="shared" si="433"/>
        <v>0</v>
      </c>
      <c r="AA219" s="96"/>
      <c r="AB219" s="96">
        <f t="shared" si="434"/>
        <v>0</v>
      </c>
      <c r="AC219" s="96"/>
      <c r="AD219" s="96">
        <f t="shared" si="435"/>
        <v>0</v>
      </c>
      <c r="AE219" s="96"/>
      <c r="AF219" s="95">
        <f t="shared" si="436"/>
        <v>0</v>
      </c>
      <c r="AG219" s="96">
        <f t="shared" si="437"/>
        <v>0</v>
      </c>
      <c r="AH219" s="96">
        <f t="shared" si="438"/>
        <v>0</v>
      </c>
      <c r="AI219" s="96">
        <f t="shared" si="439"/>
        <v>0</v>
      </c>
      <c r="AJ219" s="96">
        <f t="shared" si="440"/>
        <v>0</v>
      </c>
      <c r="AK219" s="96"/>
      <c r="AL219" s="96">
        <f t="shared" si="441"/>
        <v>0</v>
      </c>
      <c r="AM219" s="96"/>
      <c r="AN219" s="96">
        <f t="shared" si="442"/>
        <v>0</v>
      </c>
      <c r="AO219" s="96"/>
      <c r="AP219" s="96">
        <f t="shared" si="443"/>
        <v>0</v>
      </c>
      <c r="AQ219" s="96">
        <f t="shared" si="444"/>
        <v>0</v>
      </c>
      <c r="AR219" s="96">
        <f t="shared" si="445"/>
        <v>0</v>
      </c>
      <c r="AS219" s="96"/>
      <c r="AT219" s="96">
        <f t="shared" si="446"/>
        <v>0</v>
      </c>
      <c r="AU219" s="96"/>
      <c r="AV219" s="96">
        <f t="shared" si="447"/>
        <v>0</v>
      </c>
      <c r="AW219" s="96"/>
      <c r="AX219" s="96">
        <f t="shared" si="448"/>
        <v>0</v>
      </c>
      <c r="AY219" s="96">
        <f t="shared" si="449"/>
        <v>0</v>
      </c>
      <c r="AZ219" s="96">
        <f t="shared" si="450"/>
        <v>0</v>
      </c>
      <c r="BA219" s="96">
        <f t="shared" si="451"/>
        <v>0</v>
      </c>
      <c r="BB219" s="96">
        <f t="shared" si="452"/>
        <v>0</v>
      </c>
      <c r="BC219" s="1" t="s">
        <v>1060</v>
      </c>
    </row>
    <row r="220" spans="1:55">
      <c r="A220" s="492">
        <v>129</v>
      </c>
      <c r="B220" s="13"/>
      <c r="C220" s="23"/>
      <c r="D220" s="36"/>
      <c r="E220" s="21" t="s">
        <v>2101</v>
      </c>
      <c r="F220" s="45" t="s">
        <v>2102</v>
      </c>
      <c r="G220" s="45" t="s">
        <v>1059</v>
      </c>
      <c r="H220" s="265" t="s">
        <v>359</v>
      </c>
      <c r="I220" s="18">
        <v>4.7699999999999996</v>
      </c>
      <c r="J220" s="157"/>
      <c r="K220" s="18">
        <v>4.7699999999999996</v>
      </c>
      <c r="L220" s="157"/>
      <c r="M220" s="18"/>
      <c r="N220" s="157"/>
      <c r="O220" s="18"/>
      <c r="P220" s="157"/>
      <c r="Q220" s="96">
        <f t="shared" si="427"/>
        <v>0.38900000000000001</v>
      </c>
      <c r="R220" s="337">
        <f t="shared" si="428"/>
        <v>2.7876926060999994</v>
      </c>
      <c r="S220" s="96"/>
      <c r="T220" s="96">
        <f t="shared" si="429"/>
        <v>0</v>
      </c>
      <c r="U220" s="96"/>
      <c r="V220" s="96">
        <f t="shared" si="430"/>
        <v>0</v>
      </c>
      <c r="W220" s="96">
        <v>0.38900000000000001</v>
      </c>
      <c r="X220" s="96">
        <f t="shared" si="431"/>
        <v>2.7876926060999994</v>
      </c>
      <c r="Y220" s="96">
        <f t="shared" si="432"/>
        <v>0.38900000000000001</v>
      </c>
      <c r="Z220" s="96">
        <f t="shared" si="433"/>
        <v>2.7876926060999994</v>
      </c>
      <c r="AA220" s="96"/>
      <c r="AB220" s="96">
        <f t="shared" si="434"/>
        <v>0</v>
      </c>
      <c r="AC220" s="96"/>
      <c r="AD220" s="96">
        <f t="shared" si="435"/>
        <v>0</v>
      </c>
      <c r="AE220" s="96"/>
      <c r="AF220" s="95">
        <f t="shared" si="436"/>
        <v>0</v>
      </c>
      <c r="AG220" s="96">
        <f t="shared" si="437"/>
        <v>0</v>
      </c>
      <c r="AH220" s="96">
        <f t="shared" si="438"/>
        <v>0</v>
      </c>
      <c r="AI220" s="96">
        <f t="shared" si="439"/>
        <v>0.38900000000000001</v>
      </c>
      <c r="AJ220" s="96">
        <f t="shared" si="440"/>
        <v>2.7876926060999994</v>
      </c>
      <c r="AK220" s="96"/>
      <c r="AL220" s="96">
        <f t="shared" si="441"/>
        <v>0</v>
      </c>
      <c r="AM220" s="96"/>
      <c r="AN220" s="96">
        <f t="shared" si="442"/>
        <v>0</v>
      </c>
      <c r="AO220" s="96"/>
      <c r="AP220" s="96">
        <f t="shared" si="443"/>
        <v>0</v>
      </c>
      <c r="AQ220" s="96">
        <f t="shared" si="444"/>
        <v>0</v>
      </c>
      <c r="AR220" s="96">
        <f t="shared" si="445"/>
        <v>0</v>
      </c>
      <c r="AS220" s="96"/>
      <c r="AT220" s="96">
        <f t="shared" si="446"/>
        <v>0</v>
      </c>
      <c r="AU220" s="96"/>
      <c r="AV220" s="96">
        <f t="shared" si="447"/>
        <v>0</v>
      </c>
      <c r="AW220" s="96"/>
      <c r="AX220" s="96">
        <f t="shared" si="448"/>
        <v>0</v>
      </c>
      <c r="AY220" s="96">
        <f t="shared" si="449"/>
        <v>0</v>
      </c>
      <c r="AZ220" s="96">
        <f t="shared" si="450"/>
        <v>0</v>
      </c>
      <c r="BA220" s="96">
        <f t="shared" si="451"/>
        <v>0</v>
      </c>
      <c r="BB220" s="96">
        <f t="shared" si="452"/>
        <v>0</v>
      </c>
      <c r="BC220" s="1" t="s">
        <v>1060</v>
      </c>
    </row>
    <row r="221" spans="1:55">
      <c r="A221" s="492">
        <v>129</v>
      </c>
      <c r="B221" s="13"/>
      <c r="C221" s="23"/>
      <c r="D221" s="36"/>
      <c r="E221" s="21" t="s">
        <v>2103</v>
      </c>
      <c r="F221" s="45" t="s">
        <v>2104</v>
      </c>
      <c r="G221" s="45" t="s">
        <v>1059</v>
      </c>
      <c r="H221" s="265" t="s">
        <v>359</v>
      </c>
      <c r="I221" s="18">
        <v>4.7699999999999996</v>
      </c>
      <c r="J221" s="157"/>
      <c r="K221" s="18">
        <v>4.7699999999999996</v>
      </c>
      <c r="L221" s="157"/>
      <c r="M221" s="18"/>
      <c r="N221" s="157"/>
      <c r="O221" s="18"/>
      <c r="P221" s="157"/>
      <c r="Q221" s="96">
        <f t="shared" si="427"/>
        <v>0.23899999999999999</v>
      </c>
      <c r="R221" s="337">
        <f t="shared" si="428"/>
        <v>1.6905368447999995</v>
      </c>
      <c r="S221" s="96">
        <v>5.1999999999999998E-2</v>
      </c>
      <c r="T221" s="96">
        <f t="shared" si="429"/>
        <v>0.35808294599999996</v>
      </c>
      <c r="U221" s="96">
        <v>2.5000000000000001E-2</v>
      </c>
      <c r="V221" s="96">
        <f t="shared" si="430"/>
        <v>0.17151250500000001</v>
      </c>
      <c r="W221" s="96">
        <v>0.16200000000000001</v>
      </c>
      <c r="X221" s="96">
        <f t="shared" si="431"/>
        <v>1.1609413937999997</v>
      </c>
      <c r="Y221" s="96">
        <f t="shared" si="432"/>
        <v>0.23899999999999999</v>
      </c>
      <c r="Z221" s="96">
        <f t="shared" si="433"/>
        <v>1.6905368447999995</v>
      </c>
      <c r="AA221" s="96"/>
      <c r="AB221" s="96">
        <f t="shared" si="434"/>
        <v>0</v>
      </c>
      <c r="AC221" s="96"/>
      <c r="AD221" s="96">
        <f t="shared" si="435"/>
        <v>0</v>
      </c>
      <c r="AE221" s="96"/>
      <c r="AF221" s="95">
        <f t="shared" si="436"/>
        <v>0</v>
      </c>
      <c r="AG221" s="96">
        <f t="shared" si="437"/>
        <v>0</v>
      </c>
      <c r="AH221" s="96">
        <f t="shared" si="438"/>
        <v>0</v>
      </c>
      <c r="AI221" s="96">
        <f t="shared" si="439"/>
        <v>0.23899999999999999</v>
      </c>
      <c r="AJ221" s="96">
        <f t="shared" si="440"/>
        <v>1.6905368447999995</v>
      </c>
      <c r="AK221" s="96"/>
      <c r="AL221" s="96">
        <f t="shared" si="441"/>
        <v>0</v>
      </c>
      <c r="AM221" s="96"/>
      <c r="AN221" s="96">
        <f t="shared" si="442"/>
        <v>0</v>
      </c>
      <c r="AO221" s="96"/>
      <c r="AP221" s="96">
        <f t="shared" si="443"/>
        <v>0</v>
      </c>
      <c r="AQ221" s="96">
        <f t="shared" si="444"/>
        <v>0</v>
      </c>
      <c r="AR221" s="96">
        <f t="shared" si="445"/>
        <v>0</v>
      </c>
      <c r="AS221" s="96"/>
      <c r="AT221" s="96">
        <f t="shared" si="446"/>
        <v>0</v>
      </c>
      <c r="AU221" s="96"/>
      <c r="AV221" s="96">
        <f t="shared" si="447"/>
        <v>0</v>
      </c>
      <c r="AW221" s="96"/>
      <c r="AX221" s="96">
        <f t="shared" si="448"/>
        <v>0</v>
      </c>
      <c r="AY221" s="96">
        <f t="shared" si="449"/>
        <v>0</v>
      </c>
      <c r="AZ221" s="96">
        <f t="shared" si="450"/>
        <v>0</v>
      </c>
      <c r="BA221" s="96">
        <f t="shared" si="451"/>
        <v>0</v>
      </c>
      <c r="BB221" s="96">
        <f t="shared" si="452"/>
        <v>0</v>
      </c>
      <c r="BC221" s="1" t="s">
        <v>1060</v>
      </c>
    </row>
    <row r="222" spans="1:55" ht="11.25" customHeight="1">
      <c r="A222" s="492">
        <v>128</v>
      </c>
      <c r="B222" s="13"/>
      <c r="C222" s="23"/>
      <c r="D222" s="36"/>
      <c r="E222" s="21" t="s">
        <v>2105</v>
      </c>
      <c r="F222" s="45" t="s">
        <v>2106</v>
      </c>
      <c r="G222" s="45" t="s">
        <v>1059</v>
      </c>
      <c r="H222" s="265" t="s">
        <v>359</v>
      </c>
      <c r="I222" s="18">
        <v>7.83</v>
      </c>
      <c r="J222" s="157"/>
      <c r="K222" s="18">
        <v>7.74</v>
      </c>
      <c r="L222" s="157"/>
      <c r="M222" s="18"/>
      <c r="N222" s="157"/>
      <c r="O222" s="18"/>
      <c r="P222" s="157"/>
      <c r="Q222" s="96">
        <f t="shared" si="427"/>
        <v>5.1120000000000001</v>
      </c>
      <c r="R222" s="337">
        <f t="shared" si="428"/>
        <v>58.442840582399988</v>
      </c>
      <c r="S222" s="96">
        <v>0.57599999999999996</v>
      </c>
      <c r="T222" s="96">
        <f t="shared" si="429"/>
        <v>6.5109769919999998</v>
      </c>
      <c r="U222" s="96">
        <v>1.1519999999999999</v>
      </c>
      <c r="V222" s="96">
        <f t="shared" si="430"/>
        <v>12.973335321599997</v>
      </c>
      <c r="W222" s="96">
        <v>0.57599999999999996</v>
      </c>
      <c r="X222" s="96">
        <f t="shared" si="431"/>
        <v>6.7758088895999986</v>
      </c>
      <c r="Y222" s="96">
        <f t="shared" si="432"/>
        <v>2.3039999999999998</v>
      </c>
      <c r="Z222" s="96">
        <f t="shared" si="433"/>
        <v>26.260121203199994</v>
      </c>
      <c r="AA222" s="96">
        <v>2.8079999999999998</v>
      </c>
      <c r="AB222" s="96">
        <f t="shared" si="434"/>
        <v>32.182719379199995</v>
      </c>
      <c r="AC222" s="96"/>
      <c r="AD222" s="96">
        <f t="shared" si="435"/>
        <v>0</v>
      </c>
      <c r="AE222" s="96"/>
      <c r="AF222" s="95">
        <f t="shared" si="436"/>
        <v>0</v>
      </c>
      <c r="AG222" s="96">
        <f t="shared" si="437"/>
        <v>2.8079999999999998</v>
      </c>
      <c r="AH222" s="96">
        <f t="shared" si="438"/>
        <v>32.182719379199995</v>
      </c>
      <c r="AI222" s="96">
        <f t="shared" si="439"/>
        <v>5.1120000000000001</v>
      </c>
      <c r="AJ222" s="96">
        <f t="shared" si="440"/>
        <v>58.442840582399988</v>
      </c>
      <c r="AK222" s="96"/>
      <c r="AL222" s="96">
        <f t="shared" si="441"/>
        <v>0</v>
      </c>
      <c r="AM222" s="96"/>
      <c r="AN222" s="96">
        <f t="shared" si="442"/>
        <v>0</v>
      </c>
      <c r="AO222" s="96"/>
      <c r="AP222" s="96">
        <f t="shared" si="443"/>
        <v>0</v>
      </c>
      <c r="AQ222" s="96">
        <f t="shared" si="444"/>
        <v>0</v>
      </c>
      <c r="AR222" s="96">
        <f t="shared" si="445"/>
        <v>0</v>
      </c>
      <c r="AS222" s="96"/>
      <c r="AT222" s="96">
        <f t="shared" si="446"/>
        <v>0</v>
      </c>
      <c r="AU222" s="96"/>
      <c r="AV222" s="96">
        <f t="shared" si="447"/>
        <v>0</v>
      </c>
      <c r="AW222" s="96"/>
      <c r="AX222" s="96">
        <f t="shared" si="448"/>
        <v>0</v>
      </c>
      <c r="AY222" s="96">
        <f t="shared" si="449"/>
        <v>0</v>
      </c>
      <c r="AZ222" s="96">
        <f t="shared" si="450"/>
        <v>0</v>
      </c>
      <c r="BA222" s="96">
        <f t="shared" si="451"/>
        <v>0</v>
      </c>
      <c r="BB222" s="96">
        <f t="shared" si="452"/>
        <v>0</v>
      </c>
      <c r="BC222" s="1" t="s">
        <v>1060</v>
      </c>
    </row>
    <row r="223" spans="1:55" ht="11.25" customHeight="1">
      <c r="A223" s="492">
        <v>128</v>
      </c>
      <c r="B223" s="13"/>
      <c r="C223" s="23"/>
      <c r="D223" s="36"/>
      <c r="E223" s="21" t="s">
        <v>2107</v>
      </c>
      <c r="F223" s="45" t="s">
        <v>2108</v>
      </c>
      <c r="G223" s="45" t="s">
        <v>1059</v>
      </c>
      <c r="H223" s="265" t="s">
        <v>359</v>
      </c>
      <c r="I223" s="18">
        <v>7.83</v>
      </c>
      <c r="J223" s="157"/>
      <c r="K223" s="18">
        <v>7.95</v>
      </c>
      <c r="L223" s="157"/>
      <c r="M223" s="18"/>
      <c r="N223" s="157"/>
      <c r="O223" s="18"/>
      <c r="P223" s="157"/>
      <c r="Q223" s="96">
        <f t="shared" si="427"/>
        <v>0</v>
      </c>
      <c r="R223" s="337">
        <f t="shared" si="428"/>
        <v>0</v>
      </c>
      <c r="S223" s="96"/>
      <c r="T223" s="96">
        <f t="shared" si="429"/>
        <v>0</v>
      </c>
      <c r="U223" s="96"/>
      <c r="V223" s="96">
        <f t="shared" si="430"/>
        <v>0</v>
      </c>
      <c r="W223" s="96"/>
      <c r="X223" s="96">
        <f t="shared" si="431"/>
        <v>0</v>
      </c>
      <c r="Y223" s="96">
        <f t="shared" si="432"/>
        <v>0</v>
      </c>
      <c r="Z223" s="96">
        <f t="shared" si="433"/>
        <v>0</v>
      </c>
      <c r="AA223" s="96"/>
      <c r="AB223" s="96">
        <f t="shared" si="434"/>
        <v>0</v>
      </c>
      <c r="AC223" s="96"/>
      <c r="AD223" s="96">
        <f t="shared" si="435"/>
        <v>0</v>
      </c>
      <c r="AE223" s="96"/>
      <c r="AF223" s="95">
        <f t="shared" si="436"/>
        <v>0</v>
      </c>
      <c r="AG223" s="96">
        <f t="shared" si="437"/>
        <v>0</v>
      </c>
      <c r="AH223" s="96">
        <f t="shared" si="438"/>
        <v>0</v>
      </c>
      <c r="AI223" s="96">
        <f t="shared" si="439"/>
        <v>0</v>
      </c>
      <c r="AJ223" s="96">
        <f t="shared" si="440"/>
        <v>0</v>
      </c>
      <c r="AK223" s="96"/>
      <c r="AL223" s="96">
        <f t="shared" si="441"/>
        <v>0</v>
      </c>
      <c r="AM223" s="96"/>
      <c r="AN223" s="96">
        <f t="shared" si="442"/>
        <v>0</v>
      </c>
      <c r="AO223" s="96"/>
      <c r="AP223" s="96">
        <f t="shared" si="443"/>
        <v>0</v>
      </c>
      <c r="AQ223" s="96">
        <f t="shared" si="444"/>
        <v>0</v>
      </c>
      <c r="AR223" s="96">
        <f t="shared" si="445"/>
        <v>0</v>
      </c>
      <c r="AS223" s="96"/>
      <c r="AT223" s="96">
        <f t="shared" si="446"/>
        <v>0</v>
      </c>
      <c r="AU223" s="96"/>
      <c r="AV223" s="96">
        <f t="shared" si="447"/>
        <v>0</v>
      </c>
      <c r="AW223" s="96"/>
      <c r="AX223" s="96">
        <f t="shared" si="448"/>
        <v>0</v>
      </c>
      <c r="AY223" s="96">
        <f t="shared" si="449"/>
        <v>0</v>
      </c>
      <c r="AZ223" s="96">
        <f t="shared" si="450"/>
        <v>0</v>
      </c>
      <c r="BA223" s="96">
        <f t="shared" si="451"/>
        <v>0</v>
      </c>
      <c r="BB223" s="96">
        <f t="shared" si="452"/>
        <v>0</v>
      </c>
      <c r="BC223" s="1" t="s">
        <v>1060</v>
      </c>
    </row>
    <row r="224" spans="1:55" ht="11.25" customHeight="1">
      <c r="A224" s="492">
        <v>128</v>
      </c>
      <c r="B224" s="13"/>
      <c r="C224" s="23"/>
      <c r="D224" s="36"/>
      <c r="E224" s="21" t="s">
        <v>2109</v>
      </c>
      <c r="F224" s="45" t="s">
        <v>2110</v>
      </c>
      <c r="G224" s="45" t="s">
        <v>1059</v>
      </c>
      <c r="H224" s="265" t="s">
        <v>359</v>
      </c>
      <c r="I224" s="18">
        <v>7.83</v>
      </c>
      <c r="J224" s="157"/>
      <c r="K224" s="18">
        <v>7.83</v>
      </c>
      <c r="L224" s="157"/>
      <c r="M224" s="18"/>
      <c r="N224" s="157"/>
      <c r="O224" s="18"/>
      <c r="P224" s="157"/>
      <c r="Q224" s="96">
        <f t="shared" si="427"/>
        <v>1.1539999999999999</v>
      </c>
      <c r="R224" s="337">
        <f t="shared" si="428"/>
        <v>13.277910028500001</v>
      </c>
      <c r="S224" s="96"/>
      <c r="T224" s="96">
        <f t="shared" si="429"/>
        <v>0</v>
      </c>
      <c r="U224" s="96">
        <v>0.55100000000000005</v>
      </c>
      <c r="V224" s="96">
        <f t="shared" si="430"/>
        <v>6.2051282658</v>
      </c>
      <c r="W224" s="96">
        <v>0.48099999999999998</v>
      </c>
      <c r="X224" s="96">
        <f t="shared" si="431"/>
        <v>5.6582709650999998</v>
      </c>
      <c r="Y224" s="96">
        <f t="shared" si="432"/>
        <v>1.032</v>
      </c>
      <c r="Z224" s="96">
        <f t="shared" si="433"/>
        <v>11.863399230900001</v>
      </c>
      <c r="AA224" s="96">
        <v>0.122</v>
      </c>
      <c r="AB224" s="96">
        <f t="shared" si="434"/>
        <v>1.4145107976</v>
      </c>
      <c r="AC224" s="96"/>
      <c r="AD224" s="96">
        <f t="shared" si="435"/>
        <v>0</v>
      </c>
      <c r="AE224" s="96"/>
      <c r="AF224" s="95">
        <f t="shared" si="436"/>
        <v>0</v>
      </c>
      <c r="AG224" s="96">
        <f t="shared" si="437"/>
        <v>0.122</v>
      </c>
      <c r="AH224" s="96">
        <f t="shared" si="438"/>
        <v>1.4145107976</v>
      </c>
      <c r="AI224" s="96">
        <f t="shared" si="439"/>
        <v>1.1539999999999999</v>
      </c>
      <c r="AJ224" s="96">
        <f t="shared" si="440"/>
        <v>13.277910028500001</v>
      </c>
      <c r="AK224" s="96"/>
      <c r="AL224" s="96">
        <f t="shared" si="441"/>
        <v>0</v>
      </c>
      <c r="AM224" s="96"/>
      <c r="AN224" s="96">
        <f t="shared" si="442"/>
        <v>0</v>
      </c>
      <c r="AO224" s="96"/>
      <c r="AP224" s="96">
        <f t="shared" si="443"/>
        <v>0</v>
      </c>
      <c r="AQ224" s="96">
        <f t="shared" si="444"/>
        <v>0</v>
      </c>
      <c r="AR224" s="96">
        <f t="shared" si="445"/>
        <v>0</v>
      </c>
      <c r="AS224" s="96"/>
      <c r="AT224" s="96">
        <f t="shared" si="446"/>
        <v>0</v>
      </c>
      <c r="AU224" s="96"/>
      <c r="AV224" s="96">
        <f t="shared" si="447"/>
        <v>0</v>
      </c>
      <c r="AW224" s="96"/>
      <c r="AX224" s="96">
        <f t="shared" si="448"/>
        <v>0</v>
      </c>
      <c r="AY224" s="96">
        <f t="shared" si="449"/>
        <v>0</v>
      </c>
      <c r="AZ224" s="96">
        <f t="shared" si="450"/>
        <v>0</v>
      </c>
      <c r="BA224" s="96">
        <f t="shared" si="451"/>
        <v>0</v>
      </c>
      <c r="BB224" s="96">
        <f t="shared" si="452"/>
        <v>0</v>
      </c>
      <c r="BC224" s="1" t="s">
        <v>1060</v>
      </c>
    </row>
    <row r="225" spans="1:55" ht="11.25" customHeight="1">
      <c r="A225" s="492">
        <v>128</v>
      </c>
      <c r="B225" s="13"/>
      <c r="C225" s="23"/>
      <c r="D225" s="36"/>
      <c r="E225" s="21" t="s">
        <v>2111</v>
      </c>
      <c r="F225" s="45" t="s">
        <v>2112</v>
      </c>
      <c r="G225" s="45" t="s">
        <v>1059</v>
      </c>
      <c r="H225" s="265" t="s">
        <v>359</v>
      </c>
      <c r="I225" s="18">
        <v>7.83</v>
      </c>
      <c r="J225" s="157"/>
      <c r="K225" s="18">
        <v>7.74</v>
      </c>
      <c r="L225" s="157"/>
      <c r="M225" s="18"/>
      <c r="N225" s="157"/>
      <c r="O225" s="18"/>
      <c r="P225" s="157"/>
      <c r="Q225" s="96">
        <f t="shared" si="427"/>
        <v>24.326999999999998</v>
      </c>
      <c r="R225" s="337">
        <f t="shared" si="428"/>
        <v>275.77169513460001</v>
      </c>
      <c r="S225" s="96">
        <v>12.816000000000001</v>
      </c>
      <c r="T225" s="96">
        <f t="shared" si="429"/>
        <v>144.869238072</v>
      </c>
      <c r="U225" s="96">
        <v>5.1429999999999998</v>
      </c>
      <c r="V225" s="96">
        <f t="shared" si="430"/>
        <v>57.918284339399996</v>
      </c>
      <c r="W225" s="96"/>
      <c r="X225" s="96">
        <f t="shared" si="431"/>
        <v>0</v>
      </c>
      <c r="Y225" s="96">
        <f t="shared" si="432"/>
        <v>17.959</v>
      </c>
      <c r="Z225" s="96">
        <f t="shared" si="433"/>
        <v>202.7875224114</v>
      </c>
      <c r="AA225" s="96">
        <v>6.3680000000000003</v>
      </c>
      <c r="AB225" s="96">
        <f t="shared" si="434"/>
        <v>72.984172723200018</v>
      </c>
      <c r="AC225" s="96"/>
      <c r="AD225" s="96">
        <f t="shared" si="435"/>
        <v>0</v>
      </c>
      <c r="AE225" s="96"/>
      <c r="AF225" s="95">
        <f t="shared" si="436"/>
        <v>0</v>
      </c>
      <c r="AG225" s="96">
        <f t="shared" si="437"/>
        <v>6.3680000000000003</v>
      </c>
      <c r="AH225" s="96">
        <f t="shared" si="438"/>
        <v>72.984172723200018</v>
      </c>
      <c r="AI225" s="96">
        <f t="shared" si="439"/>
        <v>24.326999999999998</v>
      </c>
      <c r="AJ225" s="96">
        <f t="shared" si="440"/>
        <v>275.77169513460001</v>
      </c>
      <c r="AK225" s="96"/>
      <c r="AL225" s="96">
        <f t="shared" si="441"/>
        <v>0</v>
      </c>
      <c r="AM225" s="96"/>
      <c r="AN225" s="96">
        <f t="shared" si="442"/>
        <v>0</v>
      </c>
      <c r="AO225" s="96"/>
      <c r="AP225" s="96">
        <f t="shared" si="443"/>
        <v>0</v>
      </c>
      <c r="AQ225" s="96">
        <f t="shared" si="444"/>
        <v>0</v>
      </c>
      <c r="AR225" s="96">
        <f t="shared" si="445"/>
        <v>0</v>
      </c>
      <c r="AS225" s="96"/>
      <c r="AT225" s="96">
        <f t="shared" si="446"/>
        <v>0</v>
      </c>
      <c r="AU225" s="96"/>
      <c r="AV225" s="96">
        <f t="shared" si="447"/>
        <v>0</v>
      </c>
      <c r="AW225" s="96"/>
      <c r="AX225" s="96">
        <f t="shared" si="448"/>
        <v>0</v>
      </c>
      <c r="AY225" s="96">
        <f t="shared" si="449"/>
        <v>0</v>
      </c>
      <c r="AZ225" s="96">
        <f t="shared" si="450"/>
        <v>0</v>
      </c>
      <c r="BA225" s="96">
        <f t="shared" si="451"/>
        <v>0</v>
      </c>
      <c r="BB225" s="96">
        <f t="shared" si="452"/>
        <v>0</v>
      </c>
      <c r="BC225" s="1" t="s">
        <v>1060</v>
      </c>
    </row>
    <row r="226" spans="1:55" ht="11.25" customHeight="1">
      <c r="A226" s="492">
        <v>128</v>
      </c>
      <c r="B226" s="13"/>
      <c r="C226" s="23"/>
      <c r="D226" s="36"/>
      <c r="E226" s="21" t="s">
        <v>2113</v>
      </c>
      <c r="F226" s="45" t="s">
        <v>2114</v>
      </c>
      <c r="G226" s="45" t="s">
        <v>1059</v>
      </c>
      <c r="H226" s="265" t="s">
        <v>359</v>
      </c>
      <c r="I226" s="18">
        <v>7.83</v>
      </c>
      <c r="J226" s="157"/>
      <c r="K226" s="18">
        <v>7.83</v>
      </c>
      <c r="L226" s="157"/>
      <c r="M226" s="18"/>
      <c r="N226" s="157"/>
      <c r="O226" s="18"/>
      <c r="P226" s="157"/>
      <c r="Q226" s="96">
        <f t="shared" si="427"/>
        <v>0.53</v>
      </c>
      <c r="R226" s="337">
        <f t="shared" si="428"/>
        <v>5.9933811842999996</v>
      </c>
      <c r="S226" s="96">
        <v>6.3E-2</v>
      </c>
      <c r="T226" s="96">
        <f t="shared" si="429"/>
        <v>0.71213810850000003</v>
      </c>
      <c r="U226" s="96">
        <v>0.42299999999999999</v>
      </c>
      <c r="V226" s="96">
        <f t="shared" si="430"/>
        <v>4.7636465634</v>
      </c>
      <c r="W226" s="96">
        <v>4.3999999999999997E-2</v>
      </c>
      <c r="X226" s="96">
        <f t="shared" si="431"/>
        <v>0.51759651239999993</v>
      </c>
      <c r="Y226" s="96">
        <f t="shared" si="432"/>
        <v>0.53</v>
      </c>
      <c r="Z226" s="96">
        <f t="shared" si="433"/>
        <v>5.9933811842999996</v>
      </c>
      <c r="AA226" s="96"/>
      <c r="AB226" s="96">
        <f t="shared" si="434"/>
        <v>0</v>
      </c>
      <c r="AC226" s="96"/>
      <c r="AD226" s="96">
        <f t="shared" si="435"/>
        <v>0</v>
      </c>
      <c r="AE226" s="96"/>
      <c r="AF226" s="95">
        <f t="shared" si="436"/>
        <v>0</v>
      </c>
      <c r="AG226" s="96">
        <f t="shared" si="437"/>
        <v>0</v>
      </c>
      <c r="AH226" s="96">
        <f t="shared" si="438"/>
        <v>0</v>
      </c>
      <c r="AI226" s="96">
        <f t="shared" si="439"/>
        <v>0.53</v>
      </c>
      <c r="AJ226" s="96">
        <f t="shared" si="440"/>
        <v>5.9933811842999996</v>
      </c>
      <c r="AK226" s="96"/>
      <c r="AL226" s="96">
        <f t="shared" si="441"/>
        <v>0</v>
      </c>
      <c r="AM226" s="96"/>
      <c r="AN226" s="96">
        <f t="shared" si="442"/>
        <v>0</v>
      </c>
      <c r="AO226" s="96"/>
      <c r="AP226" s="96">
        <f t="shared" si="443"/>
        <v>0</v>
      </c>
      <c r="AQ226" s="96">
        <f t="shared" si="444"/>
        <v>0</v>
      </c>
      <c r="AR226" s="96">
        <f t="shared" si="445"/>
        <v>0</v>
      </c>
      <c r="AS226" s="96"/>
      <c r="AT226" s="96">
        <f t="shared" si="446"/>
        <v>0</v>
      </c>
      <c r="AU226" s="96"/>
      <c r="AV226" s="96">
        <f t="shared" si="447"/>
        <v>0</v>
      </c>
      <c r="AW226" s="96"/>
      <c r="AX226" s="96">
        <f t="shared" si="448"/>
        <v>0</v>
      </c>
      <c r="AY226" s="96">
        <f t="shared" si="449"/>
        <v>0</v>
      </c>
      <c r="AZ226" s="96">
        <f t="shared" si="450"/>
        <v>0</v>
      </c>
      <c r="BA226" s="96">
        <f t="shared" si="451"/>
        <v>0</v>
      </c>
      <c r="BB226" s="96">
        <f t="shared" si="452"/>
        <v>0</v>
      </c>
      <c r="BC226" s="1" t="s">
        <v>1060</v>
      </c>
    </row>
    <row r="227" spans="1:55" ht="11.25" customHeight="1">
      <c r="A227" s="492">
        <v>128</v>
      </c>
      <c r="B227" s="13"/>
      <c r="C227" s="23"/>
      <c r="D227" s="36"/>
      <c r="E227" s="21" t="s">
        <v>2115</v>
      </c>
      <c r="F227" s="45" t="s">
        <v>2116</v>
      </c>
      <c r="G227" s="45" t="s">
        <v>1059</v>
      </c>
      <c r="H227" s="265" t="s">
        <v>359</v>
      </c>
      <c r="I227" s="18">
        <v>7.83</v>
      </c>
      <c r="J227" s="157"/>
      <c r="K227" s="18">
        <v>7.95</v>
      </c>
      <c r="L227" s="157"/>
      <c r="M227" s="18"/>
      <c r="N227" s="157"/>
      <c r="O227" s="18"/>
      <c r="P227" s="157"/>
      <c r="Q227" s="96">
        <f t="shared" si="427"/>
        <v>0</v>
      </c>
      <c r="R227" s="337">
        <f t="shared" si="428"/>
        <v>0</v>
      </c>
      <c r="S227" s="96"/>
      <c r="T227" s="96">
        <f t="shared" si="429"/>
        <v>0</v>
      </c>
      <c r="U227" s="96"/>
      <c r="V227" s="96">
        <f t="shared" si="430"/>
        <v>0</v>
      </c>
      <c r="W227" s="96"/>
      <c r="X227" s="96">
        <f t="shared" si="431"/>
        <v>0</v>
      </c>
      <c r="Y227" s="96">
        <f t="shared" si="432"/>
        <v>0</v>
      </c>
      <c r="Z227" s="96">
        <f t="shared" si="433"/>
        <v>0</v>
      </c>
      <c r="AA227" s="96"/>
      <c r="AB227" s="96">
        <f t="shared" si="434"/>
        <v>0</v>
      </c>
      <c r="AC227" s="96"/>
      <c r="AD227" s="96">
        <f t="shared" si="435"/>
        <v>0</v>
      </c>
      <c r="AE227" s="96"/>
      <c r="AF227" s="95">
        <f t="shared" si="436"/>
        <v>0</v>
      </c>
      <c r="AG227" s="96">
        <f t="shared" si="437"/>
        <v>0</v>
      </c>
      <c r="AH227" s="96">
        <f t="shared" si="438"/>
        <v>0</v>
      </c>
      <c r="AI227" s="96">
        <f t="shared" si="439"/>
        <v>0</v>
      </c>
      <c r="AJ227" s="96">
        <f t="shared" si="440"/>
        <v>0</v>
      </c>
      <c r="AK227" s="96"/>
      <c r="AL227" s="96">
        <f t="shared" si="441"/>
        <v>0</v>
      </c>
      <c r="AM227" s="96"/>
      <c r="AN227" s="96">
        <f t="shared" si="442"/>
        <v>0</v>
      </c>
      <c r="AO227" s="96"/>
      <c r="AP227" s="96">
        <f t="shared" si="443"/>
        <v>0</v>
      </c>
      <c r="AQ227" s="96">
        <f t="shared" si="444"/>
        <v>0</v>
      </c>
      <c r="AR227" s="96">
        <f t="shared" si="445"/>
        <v>0</v>
      </c>
      <c r="AS227" s="96"/>
      <c r="AT227" s="96">
        <f t="shared" si="446"/>
        <v>0</v>
      </c>
      <c r="AU227" s="96"/>
      <c r="AV227" s="96">
        <f t="shared" si="447"/>
        <v>0</v>
      </c>
      <c r="AW227" s="96"/>
      <c r="AX227" s="96">
        <f t="shared" si="448"/>
        <v>0</v>
      </c>
      <c r="AY227" s="96">
        <f t="shared" si="449"/>
        <v>0</v>
      </c>
      <c r="AZ227" s="96">
        <f t="shared" si="450"/>
        <v>0</v>
      </c>
      <c r="BA227" s="96">
        <f t="shared" si="451"/>
        <v>0</v>
      </c>
      <c r="BB227" s="96">
        <f t="shared" si="452"/>
        <v>0</v>
      </c>
      <c r="BC227" s="1" t="s">
        <v>1060</v>
      </c>
    </row>
    <row r="228" spans="1:55" ht="11.25" customHeight="1">
      <c r="A228" s="492">
        <v>128</v>
      </c>
      <c r="B228" s="13"/>
      <c r="C228" s="23"/>
      <c r="D228" s="36"/>
      <c r="E228" s="21" t="s">
        <v>2117</v>
      </c>
      <c r="F228" s="45" t="s">
        <v>2118</v>
      </c>
      <c r="G228" s="45" t="s">
        <v>1059</v>
      </c>
      <c r="H228" s="265" t="s">
        <v>359</v>
      </c>
      <c r="I228" s="18">
        <v>7.83</v>
      </c>
      <c r="J228" s="157"/>
      <c r="K228" s="18">
        <v>7.83</v>
      </c>
      <c r="L228" s="157"/>
      <c r="M228" s="18"/>
      <c r="N228" s="157"/>
      <c r="O228" s="18"/>
      <c r="P228" s="157"/>
      <c r="Q228" s="96">
        <f t="shared" ref="Q228:Q249" si="633">SUM(AI228+BA228)</f>
        <v>0</v>
      </c>
      <c r="R228" s="337">
        <f t="shared" ref="R228:R249" si="634">SUM(AJ228+BB228)</f>
        <v>0</v>
      </c>
      <c r="S228" s="96"/>
      <c r="T228" s="96">
        <f t="shared" ref="T228:T249" si="635">I228*S228*$T$2/1000</f>
        <v>0</v>
      </c>
      <c r="U228" s="96"/>
      <c r="V228" s="96">
        <f t="shared" ref="V228:V249" si="636">I228*U228*$V$2/1000</f>
        <v>0</v>
      </c>
      <c r="W228" s="96"/>
      <c r="X228" s="96">
        <f t="shared" ref="X228:X249" si="637">I228*W228*$X$2/1000</f>
        <v>0</v>
      </c>
      <c r="Y228" s="96">
        <f t="shared" ref="Y228:Y249" si="638">SUM(S228+U228+W228)</f>
        <v>0</v>
      </c>
      <c r="Z228" s="96">
        <f t="shared" ref="Z228:Z249" si="639">SUM(T228+V228+X228)</f>
        <v>0</v>
      </c>
      <c r="AA228" s="96"/>
      <c r="AB228" s="96">
        <f t="shared" ref="AB228:AB249" si="640">K228*AA228*$AB$2/1000</f>
        <v>0</v>
      </c>
      <c r="AC228" s="96"/>
      <c r="AD228" s="96">
        <f t="shared" ref="AD228:AD249" si="641">K228*AC228*$AD$2/1000</f>
        <v>0</v>
      </c>
      <c r="AE228" s="96"/>
      <c r="AF228" s="95">
        <f t="shared" ref="AF228:AF249" si="642">K228*AE228*$AF$2/1000</f>
        <v>0</v>
      </c>
      <c r="AG228" s="96">
        <f t="shared" ref="AG228:AG249" si="643">SUM(AA228+AC228+AE228)</f>
        <v>0</v>
      </c>
      <c r="AH228" s="96">
        <f t="shared" ref="AH228:AH249" si="644">SUM(AB228+AD228+AF228)</f>
        <v>0</v>
      </c>
      <c r="AI228" s="96">
        <f t="shared" ref="AI228:AI249" si="645">SUM(Y228+AG228)</f>
        <v>0</v>
      </c>
      <c r="AJ228" s="96">
        <f t="shared" ref="AJ228:AJ249" si="646">SUM(Z228,AH228)</f>
        <v>0</v>
      </c>
      <c r="AK228" s="96"/>
      <c r="AL228" s="96">
        <f t="shared" ref="AL228:AL249" si="647">M228*AK228*$AL$2/1000</f>
        <v>0</v>
      </c>
      <c r="AM228" s="96"/>
      <c r="AN228" s="96">
        <f t="shared" ref="AN228:AN249" si="648">M228*AM228*$AN$2/1000</f>
        <v>0</v>
      </c>
      <c r="AO228" s="96"/>
      <c r="AP228" s="96">
        <f t="shared" ref="AP228:AP249" si="649">M228*AO228*$AP$2/1000</f>
        <v>0</v>
      </c>
      <c r="AQ228" s="96">
        <f t="shared" ref="AQ228:AQ249" si="650">SUM(AK228+AM228+AO228)</f>
        <v>0</v>
      </c>
      <c r="AR228" s="96">
        <f t="shared" ref="AR228:AR249" si="651">SUM(AL228+AN228+AP228)</f>
        <v>0</v>
      </c>
      <c r="AS228" s="96"/>
      <c r="AT228" s="96">
        <f t="shared" ref="AT228:AT249" si="652">O228*AS228*$AT$2/1000</f>
        <v>0</v>
      </c>
      <c r="AU228" s="96"/>
      <c r="AV228" s="96">
        <f t="shared" ref="AV228:AV249" si="653">O228*AU228*$AV$2/1000</f>
        <v>0</v>
      </c>
      <c r="AW228" s="96"/>
      <c r="AX228" s="96">
        <f t="shared" ref="AX228:AX249" si="654">O228*AW228*$AX$2/1000</f>
        <v>0</v>
      </c>
      <c r="AY228" s="96">
        <f t="shared" ref="AY228:AY249" si="655">SUM(AS228+AU228+AW228)</f>
        <v>0</v>
      </c>
      <c r="AZ228" s="96">
        <f t="shared" ref="AZ228:AZ249" si="656">SUM(AT228+AV228+AX228)</f>
        <v>0</v>
      </c>
      <c r="BA228" s="96">
        <f t="shared" ref="BA228:BA249" si="657">SUM(AQ228+AY228)</f>
        <v>0</v>
      </c>
      <c r="BB228" s="96">
        <f t="shared" ref="BB228:BB249" si="658">SUM(AR228,AZ228)</f>
        <v>0</v>
      </c>
      <c r="BC228" s="1" t="s">
        <v>1060</v>
      </c>
    </row>
    <row r="229" spans="1:55" ht="11.25" customHeight="1">
      <c r="A229" s="492">
        <v>128</v>
      </c>
      <c r="B229" s="13"/>
      <c r="C229" s="23"/>
      <c r="D229" s="36"/>
      <c r="E229" s="21" t="s">
        <v>2119</v>
      </c>
      <c r="F229" s="45" t="s">
        <v>2120</v>
      </c>
      <c r="G229" s="45" t="s">
        <v>1059</v>
      </c>
      <c r="H229" s="265" t="s">
        <v>359</v>
      </c>
      <c r="I229" s="18">
        <v>7.83</v>
      </c>
      <c r="J229" s="157"/>
      <c r="K229" s="18">
        <v>7.83</v>
      </c>
      <c r="L229" s="157"/>
      <c r="M229" s="18"/>
      <c r="N229" s="157"/>
      <c r="O229" s="18"/>
      <c r="P229" s="157"/>
      <c r="Q229" s="96">
        <f t="shared" si="633"/>
        <v>3.9920000000000004</v>
      </c>
      <c r="R229" s="337">
        <f t="shared" si="634"/>
        <v>45.678980980799999</v>
      </c>
      <c r="S229" s="96">
        <v>0.67400000000000004</v>
      </c>
      <c r="T229" s="96">
        <f t="shared" si="635"/>
        <v>7.6187473830000005</v>
      </c>
      <c r="U229" s="96">
        <v>1.8</v>
      </c>
      <c r="V229" s="96">
        <f t="shared" si="636"/>
        <v>20.270836440000004</v>
      </c>
      <c r="W229" s="96">
        <v>1.1180000000000001</v>
      </c>
      <c r="X229" s="96">
        <f t="shared" si="637"/>
        <v>13.151656837799999</v>
      </c>
      <c r="Y229" s="96">
        <f t="shared" si="638"/>
        <v>3.5920000000000005</v>
      </c>
      <c r="Z229" s="96">
        <f t="shared" si="639"/>
        <v>41.0412406608</v>
      </c>
      <c r="AA229" s="96">
        <v>0.4</v>
      </c>
      <c r="AB229" s="96">
        <f t="shared" si="640"/>
        <v>4.6377403199999998</v>
      </c>
      <c r="AC229" s="96"/>
      <c r="AD229" s="96">
        <f t="shared" si="641"/>
        <v>0</v>
      </c>
      <c r="AE229" s="96"/>
      <c r="AF229" s="95">
        <f t="shared" si="642"/>
        <v>0</v>
      </c>
      <c r="AG229" s="96">
        <f t="shared" si="643"/>
        <v>0.4</v>
      </c>
      <c r="AH229" s="96">
        <f t="shared" si="644"/>
        <v>4.6377403199999998</v>
      </c>
      <c r="AI229" s="96">
        <f t="shared" si="645"/>
        <v>3.9920000000000004</v>
      </c>
      <c r="AJ229" s="96">
        <f t="shared" si="646"/>
        <v>45.678980980799999</v>
      </c>
      <c r="AK229" s="96"/>
      <c r="AL229" s="96">
        <f t="shared" si="647"/>
        <v>0</v>
      </c>
      <c r="AM229" s="96"/>
      <c r="AN229" s="96">
        <f t="shared" si="648"/>
        <v>0</v>
      </c>
      <c r="AO229" s="96"/>
      <c r="AP229" s="96">
        <f t="shared" si="649"/>
        <v>0</v>
      </c>
      <c r="AQ229" s="96">
        <f t="shared" si="650"/>
        <v>0</v>
      </c>
      <c r="AR229" s="96">
        <f t="shared" si="651"/>
        <v>0</v>
      </c>
      <c r="AS229" s="96"/>
      <c r="AT229" s="96">
        <f t="shared" si="652"/>
        <v>0</v>
      </c>
      <c r="AU229" s="96"/>
      <c r="AV229" s="96">
        <f t="shared" si="653"/>
        <v>0</v>
      </c>
      <c r="AW229" s="96"/>
      <c r="AX229" s="96">
        <f t="shared" si="654"/>
        <v>0</v>
      </c>
      <c r="AY229" s="96">
        <f t="shared" si="655"/>
        <v>0</v>
      </c>
      <c r="AZ229" s="96">
        <f t="shared" si="656"/>
        <v>0</v>
      </c>
      <c r="BA229" s="96">
        <f t="shared" si="657"/>
        <v>0</v>
      </c>
      <c r="BB229" s="96">
        <f t="shared" si="658"/>
        <v>0</v>
      </c>
      <c r="BC229" s="1" t="s">
        <v>1060</v>
      </c>
    </row>
    <row r="230" spans="1:55" ht="11.25" customHeight="1">
      <c r="A230" s="492">
        <v>128</v>
      </c>
      <c r="B230" s="13"/>
      <c r="C230" s="23"/>
      <c r="D230" s="36"/>
      <c r="E230" s="21" t="s">
        <v>2121</v>
      </c>
      <c r="F230" s="45" t="s">
        <v>2122</v>
      </c>
      <c r="G230" s="45" t="s">
        <v>1059</v>
      </c>
      <c r="H230" s="265" t="s">
        <v>359</v>
      </c>
      <c r="I230" s="18">
        <v>7.83</v>
      </c>
      <c r="J230" s="157"/>
      <c r="K230" s="18">
        <v>7.83</v>
      </c>
      <c r="L230" s="157"/>
      <c r="M230" s="18"/>
      <c r="N230" s="157"/>
      <c r="O230" s="18"/>
      <c r="P230" s="157"/>
      <c r="Q230" s="96">
        <f t="shared" si="633"/>
        <v>0</v>
      </c>
      <c r="R230" s="337">
        <f t="shared" si="634"/>
        <v>0</v>
      </c>
      <c r="S230" s="96"/>
      <c r="T230" s="96">
        <f t="shared" si="635"/>
        <v>0</v>
      </c>
      <c r="U230" s="96"/>
      <c r="V230" s="96">
        <f t="shared" si="636"/>
        <v>0</v>
      </c>
      <c r="W230" s="96"/>
      <c r="X230" s="96">
        <f t="shared" si="637"/>
        <v>0</v>
      </c>
      <c r="Y230" s="96">
        <f t="shared" si="638"/>
        <v>0</v>
      </c>
      <c r="Z230" s="96">
        <f t="shared" si="639"/>
        <v>0</v>
      </c>
      <c r="AA230" s="96"/>
      <c r="AB230" s="96">
        <f t="shared" si="640"/>
        <v>0</v>
      </c>
      <c r="AC230" s="96"/>
      <c r="AD230" s="96">
        <f t="shared" si="641"/>
        <v>0</v>
      </c>
      <c r="AE230" s="96"/>
      <c r="AF230" s="95">
        <f t="shared" si="642"/>
        <v>0</v>
      </c>
      <c r="AG230" s="96">
        <f t="shared" si="643"/>
        <v>0</v>
      </c>
      <c r="AH230" s="96">
        <f t="shared" si="644"/>
        <v>0</v>
      </c>
      <c r="AI230" s="96">
        <f t="shared" si="645"/>
        <v>0</v>
      </c>
      <c r="AJ230" s="96">
        <f t="shared" si="646"/>
        <v>0</v>
      </c>
      <c r="AK230" s="96"/>
      <c r="AL230" s="96">
        <f t="shared" si="647"/>
        <v>0</v>
      </c>
      <c r="AM230" s="96"/>
      <c r="AN230" s="96">
        <f t="shared" si="648"/>
        <v>0</v>
      </c>
      <c r="AO230" s="96"/>
      <c r="AP230" s="96">
        <f t="shared" si="649"/>
        <v>0</v>
      </c>
      <c r="AQ230" s="96">
        <f t="shared" si="650"/>
        <v>0</v>
      </c>
      <c r="AR230" s="96">
        <f t="shared" si="651"/>
        <v>0</v>
      </c>
      <c r="AS230" s="96"/>
      <c r="AT230" s="96">
        <f t="shared" si="652"/>
        <v>0</v>
      </c>
      <c r="AU230" s="96"/>
      <c r="AV230" s="96">
        <f t="shared" si="653"/>
        <v>0</v>
      </c>
      <c r="AW230" s="96"/>
      <c r="AX230" s="96">
        <f t="shared" si="654"/>
        <v>0</v>
      </c>
      <c r="AY230" s="96">
        <f t="shared" si="655"/>
        <v>0</v>
      </c>
      <c r="AZ230" s="96">
        <f t="shared" si="656"/>
        <v>0</v>
      </c>
      <c r="BA230" s="96">
        <f t="shared" si="657"/>
        <v>0</v>
      </c>
      <c r="BB230" s="96">
        <f t="shared" si="658"/>
        <v>0</v>
      </c>
      <c r="BC230" s="1" t="s">
        <v>1060</v>
      </c>
    </row>
    <row r="231" spans="1:55">
      <c r="A231" s="492">
        <v>129</v>
      </c>
      <c r="B231" s="13"/>
      <c r="C231" s="23"/>
      <c r="D231" s="36"/>
      <c r="E231" s="21" t="s">
        <v>2322</v>
      </c>
      <c r="F231" s="45" t="s">
        <v>2323</v>
      </c>
      <c r="G231" s="45" t="s">
        <v>1059</v>
      </c>
      <c r="H231" s="265" t="s">
        <v>359</v>
      </c>
      <c r="I231" s="18">
        <v>9.09</v>
      </c>
      <c r="J231" s="157"/>
      <c r="K231" s="18">
        <v>7.95</v>
      </c>
      <c r="L231" s="157"/>
      <c r="M231" s="18"/>
      <c r="N231" s="157"/>
      <c r="O231" s="18"/>
      <c r="P231" s="157"/>
      <c r="Q231" s="96">
        <f t="shared" ref="Q231" si="659">SUM(AI231+BA231)</f>
        <v>0</v>
      </c>
      <c r="R231" s="337">
        <f t="shared" ref="R231" si="660">SUM(AJ231+BB231)</f>
        <v>0</v>
      </c>
      <c r="S231" s="96"/>
      <c r="T231" s="96">
        <f t="shared" ref="T231" si="661">I231*S231*$T$2/1000</f>
        <v>0</v>
      </c>
      <c r="U231" s="96"/>
      <c r="V231" s="96">
        <f t="shared" ref="V231" si="662">I231*U231*$V$2/1000</f>
        <v>0</v>
      </c>
      <c r="W231" s="96"/>
      <c r="X231" s="96">
        <f t="shared" ref="X231" si="663">I231*W231*$X$2/1000</f>
        <v>0</v>
      </c>
      <c r="Y231" s="96">
        <f t="shared" ref="Y231" si="664">SUM(S231+U231+W231)</f>
        <v>0</v>
      </c>
      <c r="Z231" s="96">
        <f t="shared" ref="Z231" si="665">SUM(T231+V231+X231)</f>
        <v>0</v>
      </c>
      <c r="AA231" s="96"/>
      <c r="AB231" s="96">
        <f t="shared" ref="AB231" si="666">K231*AA231*$AB$2/1000</f>
        <v>0</v>
      </c>
      <c r="AC231" s="96"/>
      <c r="AD231" s="96">
        <f t="shared" ref="AD231" si="667">K231*AC231*$AD$2/1000</f>
        <v>0</v>
      </c>
      <c r="AE231" s="96"/>
      <c r="AF231" s="95">
        <f t="shared" ref="AF231" si="668">K231*AE231*$AF$2/1000</f>
        <v>0</v>
      </c>
      <c r="AG231" s="96">
        <f t="shared" ref="AG231" si="669">SUM(AA231+AC231+AE231)</f>
        <v>0</v>
      </c>
      <c r="AH231" s="96">
        <f t="shared" ref="AH231" si="670">SUM(AB231+AD231+AF231)</f>
        <v>0</v>
      </c>
      <c r="AI231" s="96">
        <f t="shared" ref="AI231" si="671">SUM(Y231+AG231)</f>
        <v>0</v>
      </c>
      <c r="AJ231" s="96">
        <f t="shared" ref="AJ231" si="672">SUM(Z231,AH231)</f>
        <v>0</v>
      </c>
      <c r="AK231" s="96"/>
      <c r="AL231" s="96">
        <f t="shared" ref="AL231" si="673">M231*AK231*$AL$2/1000</f>
        <v>0</v>
      </c>
      <c r="AM231" s="96"/>
      <c r="AN231" s="96">
        <f t="shared" ref="AN231" si="674">M231*AM231*$AN$2/1000</f>
        <v>0</v>
      </c>
      <c r="AO231" s="96"/>
      <c r="AP231" s="96">
        <f t="shared" ref="AP231" si="675">M231*AO231*$AP$2/1000</f>
        <v>0</v>
      </c>
      <c r="AQ231" s="96">
        <f t="shared" ref="AQ231" si="676">SUM(AK231+AM231+AO231)</f>
        <v>0</v>
      </c>
      <c r="AR231" s="96">
        <f t="shared" ref="AR231" si="677">SUM(AL231+AN231+AP231)</f>
        <v>0</v>
      </c>
      <c r="AS231" s="96"/>
      <c r="AT231" s="96">
        <f t="shared" ref="AT231" si="678">O231*AS231*$AT$2/1000</f>
        <v>0</v>
      </c>
      <c r="AU231" s="96"/>
      <c r="AV231" s="96">
        <f t="shared" ref="AV231" si="679">O231*AU231*$AV$2/1000</f>
        <v>0</v>
      </c>
      <c r="AW231" s="96"/>
      <c r="AX231" s="96">
        <f t="shared" ref="AX231" si="680">O231*AW231*$AX$2/1000</f>
        <v>0</v>
      </c>
      <c r="AY231" s="96">
        <f t="shared" ref="AY231" si="681">SUM(AS231+AU231+AW231)</f>
        <v>0</v>
      </c>
      <c r="AZ231" s="96">
        <f t="shared" ref="AZ231" si="682">SUM(AT231+AV231+AX231)</f>
        <v>0</v>
      </c>
      <c r="BA231" s="96">
        <f t="shared" ref="BA231" si="683">SUM(AQ231+AY231)</f>
        <v>0</v>
      </c>
      <c r="BB231" s="96">
        <f t="shared" ref="BB231" si="684">SUM(AR231,AZ231)</f>
        <v>0</v>
      </c>
      <c r="BC231" s="1" t="s">
        <v>1060</v>
      </c>
    </row>
    <row r="232" spans="1:55">
      <c r="A232" s="492">
        <v>129</v>
      </c>
      <c r="B232" s="13"/>
      <c r="C232" s="23"/>
      <c r="D232" s="36"/>
      <c r="E232" s="21" t="s">
        <v>2123</v>
      </c>
      <c r="F232" s="45" t="s">
        <v>2124</v>
      </c>
      <c r="G232" s="45" t="s">
        <v>1059</v>
      </c>
      <c r="H232" s="265" t="s">
        <v>359</v>
      </c>
      <c r="I232" s="18">
        <v>7.95</v>
      </c>
      <c r="J232" s="157"/>
      <c r="K232" s="18">
        <v>7.95</v>
      </c>
      <c r="L232" s="157"/>
      <c r="M232" s="18"/>
      <c r="N232" s="157"/>
      <c r="O232" s="18"/>
      <c r="P232" s="157"/>
      <c r="Q232" s="96">
        <f t="shared" si="633"/>
        <v>0</v>
      </c>
      <c r="R232" s="337">
        <f t="shared" si="634"/>
        <v>0</v>
      </c>
      <c r="S232" s="96"/>
      <c r="T232" s="96">
        <f t="shared" si="635"/>
        <v>0</v>
      </c>
      <c r="U232" s="96"/>
      <c r="V232" s="96">
        <f t="shared" si="636"/>
        <v>0</v>
      </c>
      <c r="W232" s="96"/>
      <c r="X232" s="96">
        <f t="shared" si="637"/>
        <v>0</v>
      </c>
      <c r="Y232" s="96">
        <f t="shared" si="638"/>
        <v>0</v>
      </c>
      <c r="Z232" s="96">
        <f t="shared" si="639"/>
        <v>0</v>
      </c>
      <c r="AA232" s="96"/>
      <c r="AB232" s="96">
        <f t="shared" si="640"/>
        <v>0</v>
      </c>
      <c r="AC232" s="96"/>
      <c r="AD232" s="96">
        <f t="shared" si="641"/>
        <v>0</v>
      </c>
      <c r="AE232" s="96"/>
      <c r="AF232" s="95">
        <f t="shared" si="642"/>
        <v>0</v>
      </c>
      <c r="AG232" s="96">
        <f t="shared" si="643"/>
        <v>0</v>
      </c>
      <c r="AH232" s="96">
        <f t="shared" si="644"/>
        <v>0</v>
      </c>
      <c r="AI232" s="96">
        <f t="shared" si="645"/>
        <v>0</v>
      </c>
      <c r="AJ232" s="96">
        <f t="shared" si="646"/>
        <v>0</v>
      </c>
      <c r="AK232" s="96"/>
      <c r="AL232" s="96">
        <f t="shared" si="647"/>
        <v>0</v>
      </c>
      <c r="AM232" s="96"/>
      <c r="AN232" s="96">
        <f t="shared" si="648"/>
        <v>0</v>
      </c>
      <c r="AO232" s="96"/>
      <c r="AP232" s="96">
        <f t="shared" si="649"/>
        <v>0</v>
      </c>
      <c r="AQ232" s="96">
        <f t="shared" si="650"/>
        <v>0</v>
      </c>
      <c r="AR232" s="96">
        <f t="shared" si="651"/>
        <v>0</v>
      </c>
      <c r="AS232" s="96"/>
      <c r="AT232" s="96">
        <f t="shared" si="652"/>
        <v>0</v>
      </c>
      <c r="AU232" s="96"/>
      <c r="AV232" s="96">
        <f t="shared" si="653"/>
        <v>0</v>
      </c>
      <c r="AW232" s="96"/>
      <c r="AX232" s="96">
        <f t="shared" si="654"/>
        <v>0</v>
      </c>
      <c r="AY232" s="96">
        <f t="shared" si="655"/>
        <v>0</v>
      </c>
      <c r="AZ232" s="96">
        <f t="shared" si="656"/>
        <v>0</v>
      </c>
      <c r="BA232" s="96">
        <f t="shared" si="657"/>
        <v>0</v>
      </c>
      <c r="BB232" s="96">
        <f t="shared" si="658"/>
        <v>0</v>
      </c>
      <c r="BC232" s="1" t="s">
        <v>1060</v>
      </c>
    </row>
    <row r="233" spans="1:55">
      <c r="A233" s="492">
        <v>129</v>
      </c>
      <c r="B233" s="13"/>
      <c r="C233" s="23"/>
      <c r="D233" s="36"/>
      <c r="E233" s="21" t="s">
        <v>2125</v>
      </c>
      <c r="F233" s="45" t="s">
        <v>2126</v>
      </c>
      <c r="G233" s="45" t="s">
        <v>1059</v>
      </c>
      <c r="H233" s="265" t="s">
        <v>359</v>
      </c>
      <c r="I233" s="18">
        <v>7.95</v>
      </c>
      <c r="J233" s="157"/>
      <c r="K233" s="18">
        <v>7.95</v>
      </c>
      <c r="L233" s="157"/>
      <c r="M233" s="18"/>
      <c r="N233" s="157"/>
      <c r="O233" s="18"/>
      <c r="P233" s="157"/>
      <c r="Q233" s="96">
        <f t="shared" si="633"/>
        <v>0</v>
      </c>
      <c r="R233" s="337">
        <f t="shared" si="634"/>
        <v>0</v>
      </c>
      <c r="S233" s="96"/>
      <c r="T233" s="96">
        <f t="shared" si="635"/>
        <v>0</v>
      </c>
      <c r="U233" s="96"/>
      <c r="V233" s="96">
        <f t="shared" si="636"/>
        <v>0</v>
      </c>
      <c r="W233" s="96"/>
      <c r="X233" s="96">
        <f t="shared" si="637"/>
        <v>0</v>
      </c>
      <c r="Y233" s="96">
        <f t="shared" si="638"/>
        <v>0</v>
      </c>
      <c r="Z233" s="96">
        <f t="shared" si="639"/>
        <v>0</v>
      </c>
      <c r="AA233" s="96"/>
      <c r="AB233" s="96">
        <f t="shared" si="640"/>
        <v>0</v>
      </c>
      <c r="AC233" s="96"/>
      <c r="AD233" s="96">
        <f t="shared" si="641"/>
        <v>0</v>
      </c>
      <c r="AE233" s="96"/>
      <c r="AF233" s="95">
        <f t="shared" si="642"/>
        <v>0</v>
      </c>
      <c r="AG233" s="96">
        <f t="shared" si="643"/>
        <v>0</v>
      </c>
      <c r="AH233" s="96">
        <f t="shared" si="644"/>
        <v>0</v>
      </c>
      <c r="AI233" s="96">
        <f t="shared" si="645"/>
        <v>0</v>
      </c>
      <c r="AJ233" s="96">
        <f t="shared" si="646"/>
        <v>0</v>
      </c>
      <c r="AK233" s="96"/>
      <c r="AL233" s="96">
        <f t="shared" si="647"/>
        <v>0</v>
      </c>
      <c r="AM233" s="96"/>
      <c r="AN233" s="96">
        <f t="shared" si="648"/>
        <v>0</v>
      </c>
      <c r="AO233" s="96"/>
      <c r="AP233" s="96">
        <f t="shared" si="649"/>
        <v>0</v>
      </c>
      <c r="AQ233" s="96">
        <f t="shared" si="650"/>
        <v>0</v>
      </c>
      <c r="AR233" s="96">
        <f t="shared" si="651"/>
        <v>0</v>
      </c>
      <c r="AS233" s="96"/>
      <c r="AT233" s="96">
        <f t="shared" si="652"/>
        <v>0</v>
      </c>
      <c r="AU233" s="96"/>
      <c r="AV233" s="96">
        <f t="shared" si="653"/>
        <v>0</v>
      </c>
      <c r="AW233" s="96"/>
      <c r="AX233" s="96">
        <f t="shared" si="654"/>
        <v>0</v>
      </c>
      <c r="AY233" s="96">
        <f t="shared" si="655"/>
        <v>0</v>
      </c>
      <c r="AZ233" s="96">
        <f t="shared" si="656"/>
        <v>0</v>
      </c>
      <c r="BA233" s="96">
        <f t="shared" si="657"/>
        <v>0</v>
      </c>
      <c r="BB233" s="96">
        <f t="shared" si="658"/>
        <v>0</v>
      </c>
      <c r="BC233" s="1" t="s">
        <v>1060</v>
      </c>
    </row>
    <row r="234" spans="1:55">
      <c r="A234" s="492">
        <v>129</v>
      </c>
      <c r="B234" s="13"/>
      <c r="C234" s="23"/>
      <c r="D234" s="36"/>
      <c r="E234" s="21" t="s">
        <v>2127</v>
      </c>
      <c r="F234" s="45" t="s">
        <v>2128</v>
      </c>
      <c r="G234" s="45" t="s">
        <v>1059</v>
      </c>
      <c r="H234" s="265" t="s">
        <v>359</v>
      </c>
      <c r="I234" s="18">
        <v>7.95</v>
      </c>
      <c r="J234" s="157"/>
      <c r="K234" s="18">
        <v>7.95</v>
      </c>
      <c r="L234" s="157"/>
      <c r="M234" s="18"/>
      <c r="N234" s="157"/>
      <c r="O234" s="18"/>
      <c r="P234" s="157"/>
      <c r="Q234" s="96">
        <f t="shared" si="633"/>
        <v>0</v>
      </c>
      <c r="R234" s="337">
        <f t="shared" si="634"/>
        <v>0</v>
      </c>
      <c r="S234" s="96"/>
      <c r="T234" s="96">
        <f t="shared" si="635"/>
        <v>0</v>
      </c>
      <c r="U234" s="96"/>
      <c r="V234" s="96">
        <f t="shared" si="636"/>
        <v>0</v>
      </c>
      <c r="W234" s="96"/>
      <c r="X234" s="96">
        <f t="shared" si="637"/>
        <v>0</v>
      </c>
      <c r="Y234" s="96">
        <f t="shared" si="638"/>
        <v>0</v>
      </c>
      <c r="Z234" s="96">
        <f t="shared" si="639"/>
        <v>0</v>
      </c>
      <c r="AA234" s="96"/>
      <c r="AB234" s="96">
        <f t="shared" si="640"/>
        <v>0</v>
      </c>
      <c r="AC234" s="96"/>
      <c r="AD234" s="96">
        <f t="shared" si="641"/>
        <v>0</v>
      </c>
      <c r="AE234" s="96"/>
      <c r="AF234" s="95">
        <f t="shared" si="642"/>
        <v>0</v>
      </c>
      <c r="AG234" s="96">
        <f t="shared" si="643"/>
        <v>0</v>
      </c>
      <c r="AH234" s="96">
        <f t="shared" si="644"/>
        <v>0</v>
      </c>
      <c r="AI234" s="96">
        <f t="shared" si="645"/>
        <v>0</v>
      </c>
      <c r="AJ234" s="96">
        <f t="shared" si="646"/>
        <v>0</v>
      </c>
      <c r="AK234" s="96"/>
      <c r="AL234" s="96">
        <f t="shared" si="647"/>
        <v>0</v>
      </c>
      <c r="AM234" s="96"/>
      <c r="AN234" s="96">
        <f t="shared" si="648"/>
        <v>0</v>
      </c>
      <c r="AO234" s="96"/>
      <c r="AP234" s="96">
        <f t="shared" si="649"/>
        <v>0</v>
      </c>
      <c r="AQ234" s="96">
        <f t="shared" si="650"/>
        <v>0</v>
      </c>
      <c r="AR234" s="96">
        <f t="shared" si="651"/>
        <v>0</v>
      </c>
      <c r="AS234" s="96"/>
      <c r="AT234" s="96">
        <f t="shared" si="652"/>
        <v>0</v>
      </c>
      <c r="AU234" s="96"/>
      <c r="AV234" s="96">
        <f t="shared" si="653"/>
        <v>0</v>
      </c>
      <c r="AW234" s="96"/>
      <c r="AX234" s="96">
        <f t="shared" si="654"/>
        <v>0</v>
      </c>
      <c r="AY234" s="96">
        <f t="shared" si="655"/>
        <v>0</v>
      </c>
      <c r="AZ234" s="96">
        <f t="shared" si="656"/>
        <v>0</v>
      </c>
      <c r="BA234" s="96">
        <f t="shared" si="657"/>
        <v>0</v>
      </c>
      <c r="BB234" s="96">
        <f t="shared" si="658"/>
        <v>0</v>
      </c>
      <c r="BC234" s="1" t="s">
        <v>1060</v>
      </c>
    </row>
    <row r="235" spans="1:55">
      <c r="A235" s="492">
        <v>129</v>
      </c>
      <c r="B235" s="13"/>
      <c r="C235" s="23"/>
      <c r="D235" s="36"/>
      <c r="E235" s="21" t="s">
        <v>2129</v>
      </c>
      <c r="F235" s="45" t="s">
        <v>2130</v>
      </c>
      <c r="G235" s="45" t="s">
        <v>1059</v>
      </c>
      <c r="H235" s="265" t="s">
        <v>359</v>
      </c>
      <c r="I235" s="18">
        <v>7.95</v>
      </c>
      <c r="J235" s="157"/>
      <c r="K235" s="18">
        <v>7.95</v>
      </c>
      <c r="L235" s="157"/>
      <c r="M235" s="18"/>
      <c r="N235" s="157"/>
      <c r="O235" s="18"/>
      <c r="P235" s="157"/>
      <c r="Q235" s="96">
        <f t="shared" si="633"/>
        <v>0</v>
      </c>
      <c r="R235" s="337">
        <f t="shared" si="634"/>
        <v>0</v>
      </c>
      <c r="S235" s="96"/>
      <c r="T235" s="96">
        <f t="shared" si="635"/>
        <v>0</v>
      </c>
      <c r="U235" s="96"/>
      <c r="V235" s="96">
        <f t="shared" si="636"/>
        <v>0</v>
      </c>
      <c r="W235" s="96"/>
      <c r="X235" s="96">
        <f t="shared" si="637"/>
        <v>0</v>
      </c>
      <c r="Y235" s="96">
        <f t="shared" si="638"/>
        <v>0</v>
      </c>
      <c r="Z235" s="96">
        <f t="shared" si="639"/>
        <v>0</v>
      </c>
      <c r="AA235" s="96"/>
      <c r="AB235" s="96">
        <f t="shared" si="640"/>
        <v>0</v>
      </c>
      <c r="AC235" s="96"/>
      <c r="AD235" s="96">
        <f t="shared" si="641"/>
        <v>0</v>
      </c>
      <c r="AE235" s="96"/>
      <c r="AF235" s="95">
        <f t="shared" si="642"/>
        <v>0</v>
      </c>
      <c r="AG235" s="96">
        <f t="shared" si="643"/>
        <v>0</v>
      </c>
      <c r="AH235" s="96">
        <f t="shared" si="644"/>
        <v>0</v>
      </c>
      <c r="AI235" s="96">
        <f t="shared" si="645"/>
        <v>0</v>
      </c>
      <c r="AJ235" s="96">
        <f t="shared" si="646"/>
        <v>0</v>
      </c>
      <c r="AK235" s="96"/>
      <c r="AL235" s="96">
        <f t="shared" si="647"/>
        <v>0</v>
      </c>
      <c r="AM235" s="96"/>
      <c r="AN235" s="96">
        <f t="shared" si="648"/>
        <v>0</v>
      </c>
      <c r="AO235" s="96"/>
      <c r="AP235" s="96">
        <f t="shared" si="649"/>
        <v>0</v>
      </c>
      <c r="AQ235" s="96">
        <f t="shared" si="650"/>
        <v>0</v>
      </c>
      <c r="AR235" s="96">
        <f t="shared" si="651"/>
        <v>0</v>
      </c>
      <c r="AS235" s="96"/>
      <c r="AT235" s="96">
        <f t="shared" si="652"/>
        <v>0</v>
      </c>
      <c r="AU235" s="96"/>
      <c r="AV235" s="96">
        <f t="shared" si="653"/>
        <v>0</v>
      </c>
      <c r="AW235" s="96"/>
      <c r="AX235" s="96">
        <f t="shared" si="654"/>
        <v>0</v>
      </c>
      <c r="AY235" s="96">
        <f t="shared" si="655"/>
        <v>0</v>
      </c>
      <c r="AZ235" s="96">
        <f t="shared" si="656"/>
        <v>0</v>
      </c>
      <c r="BA235" s="96">
        <f t="shared" si="657"/>
        <v>0</v>
      </c>
      <c r="BB235" s="96">
        <f t="shared" si="658"/>
        <v>0</v>
      </c>
      <c r="BC235" s="1" t="s">
        <v>1060</v>
      </c>
    </row>
    <row r="236" spans="1:55">
      <c r="A236" s="492">
        <v>129</v>
      </c>
      <c r="B236" s="13"/>
      <c r="C236" s="23"/>
      <c r="D236" s="36"/>
      <c r="E236" s="21" t="s">
        <v>2131</v>
      </c>
      <c r="F236" s="45" t="s">
        <v>2132</v>
      </c>
      <c r="G236" s="45" t="s">
        <v>1059</v>
      </c>
      <c r="H236" s="265" t="s">
        <v>359</v>
      </c>
      <c r="I236" s="18">
        <v>7.95</v>
      </c>
      <c r="J236" s="157"/>
      <c r="K236" s="18">
        <v>7.95</v>
      </c>
      <c r="L236" s="157"/>
      <c r="M236" s="18"/>
      <c r="N236" s="157"/>
      <c r="O236" s="18"/>
      <c r="P236" s="157"/>
      <c r="Q236" s="96">
        <f t="shared" si="633"/>
        <v>0</v>
      </c>
      <c r="R236" s="337">
        <f t="shared" si="634"/>
        <v>0</v>
      </c>
      <c r="S236" s="96"/>
      <c r="T236" s="96">
        <f t="shared" si="635"/>
        <v>0</v>
      </c>
      <c r="U236" s="96"/>
      <c r="V236" s="96">
        <f t="shared" si="636"/>
        <v>0</v>
      </c>
      <c r="W236" s="96"/>
      <c r="X236" s="96">
        <f t="shared" si="637"/>
        <v>0</v>
      </c>
      <c r="Y236" s="96">
        <f t="shared" si="638"/>
        <v>0</v>
      </c>
      <c r="Z236" s="96">
        <f t="shared" si="639"/>
        <v>0</v>
      </c>
      <c r="AA236" s="96"/>
      <c r="AB236" s="96">
        <f t="shared" si="640"/>
        <v>0</v>
      </c>
      <c r="AC236" s="96"/>
      <c r="AD236" s="96">
        <f t="shared" si="641"/>
        <v>0</v>
      </c>
      <c r="AE236" s="96"/>
      <c r="AF236" s="95">
        <f t="shared" si="642"/>
        <v>0</v>
      </c>
      <c r="AG236" s="96">
        <f t="shared" si="643"/>
        <v>0</v>
      </c>
      <c r="AH236" s="96">
        <f t="shared" si="644"/>
        <v>0</v>
      </c>
      <c r="AI236" s="96">
        <f t="shared" si="645"/>
        <v>0</v>
      </c>
      <c r="AJ236" s="96">
        <f t="shared" si="646"/>
        <v>0</v>
      </c>
      <c r="AK236" s="96"/>
      <c r="AL236" s="96">
        <f t="shared" si="647"/>
        <v>0</v>
      </c>
      <c r="AM236" s="96"/>
      <c r="AN236" s="96">
        <f t="shared" si="648"/>
        <v>0</v>
      </c>
      <c r="AO236" s="96"/>
      <c r="AP236" s="96">
        <f t="shared" si="649"/>
        <v>0</v>
      </c>
      <c r="AQ236" s="96">
        <f t="shared" si="650"/>
        <v>0</v>
      </c>
      <c r="AR236" s="96">
        <f t="shared" si="651"/>
        <v>0</v>
      </c>
      <c r="AS236" s="96"/>
      <c r="AT236" s="96">
        <f t="shared" si="652"/>
        <v>0</v>
      </c>
      <c r="AU236" s="96"/>
      <c r="AV236" s="96">
        <f t="shared" si="653"/>
        <v>0</v>
      </c>
      <c r="AW236" s="96"/>
      <c r="AX236" s="96">
        <f t="shared" si="654"/>
        <v>0</v>
      </c>
      <c r="AY236" s="96">
        <f t="shared" si="655"/>
        <v>0</v>
      </c>
      <c r="AZ236" s="96">
        <f t="shared" si="656"/>
        <v>0</v>
      </c>
      <c r="BA236" s="96">
        <f t="shared" si="657"/>
        <v>0</v>
      </c>
      <c r="BB236" s="96">
        <f t="shared" si="658"/>
        <v>0</v>
      </c>
      <c r="BC236" s="1" t="s">
        <v>1060</v>
      </c>
    </row>
    <row r="237" spans="1:55">
      <c r="A237" s="492">
        <v>129</v>
      </c>
      <c r="B237" s="13"/>
      <c r="C237" s="23"/>
      <c r="D237" s="36"/>
      <c r="E237" s="21" t="s">
        <v>2133</v>
      </c>
      <c r="F237" s="45" t="s">
        <v>2134</v>
      </c>
      <c r="G237" s="45" t="s">
        <v>1059</v>
      </c>
      <c r="H237" s="265" t="s">
        <v>359</v>
      </c>
      <c r="I237" s="18">
        <v>7.95</v>
      </c>
      <c r="J237" s="157"/>
      <c r="K237" s="18">
        <v>7.95</v>
      </c>
      <c r="L237" s="157"/>
      <c r="M237" s="18"/>
      <c r="N237" s="157"/>
      <c r="O237" s="18"/>
      <c r="P237" s="157"/>
      <c r="Q237" s="96">
        <f t="shared" si="633"/>
        <v>0</v>
      </c>
      <c r="R237" s="337">
        <f t="shared" si="634"/>
        <v>0</v>
      </c>
      <c r="S237" s="96"/>
      <c r="T237" s="96">
        <f t="shared" si="635"/>
        <v>0</v>
      </c>
      <c r="U237" s="96"/>
      <c r="V237" s="96">
        <f t="shared" si="636"/>
        <v>0</v>
      </c>
      <c r="W237" s="96"/>
      <c r="X237" s="96">
        <f t="shared" si="637"/>
        <v>0</v>
      </c>
      <c r="Y237" s="96">
        <f t="shared" si="638"/>
        <v>0</v>
      </c>
      <c r="Z237" s="96">
        <f t="shared" si="639"/>
        <v>0</v>
      </c>
      <c r="AA237" s="96"/>
      <c r="AB237" s="96">
        <f t="shared" si="640"/>
        <v>0</v>
      </c>
      <c r="AC237" s="96"/>
      <c r="AD237" s="96">
        <f t="shared" si="641"/>
        <v>0</v>
      </c>
      <c r="AE237" s="96"/>
      <c r="AF237" s="95">
        <f t="shared" si="642"/>
        <v>0</v>
      </c>
      <c r="AG237" s="96">
        <f t="shared" si="643"/>
        <v>0</v>
      </c>
      <c r="AH237" s="96">
        <f t="shared" si="644"/>
        <v>0</v>
      </c>
      <c r="AI237" s="96">
        <f t="shared" si="645"/>
        <v>0</v>
      </c>
      <c r="AJ237" s="96">
        <f t="shared" si="646"/>
        <v>0</v>
      </c>
      <c r="AK237" s="96"/>
      <c r="AL237" s="96">
        <f t="shared" si="647"/>
        <v>0</v>
      </c>
      <c r="AM237" s="96"/>
      <c r="AN237" s="96">
        <f t="shared" si="648"/>
        <v>0</v>
      </c>
      <c r="AO237" s="96"/>
      <c r="AP237" s="96">
        <f t="shared" si="649"/>
        <v>0</v>
      </c>
      <c r="AQ237" s="96">
        <f t="shared" si="650"/>
        <v>0</v>
      </c>
      <c r="AR237" s="96">
        <f t="shared" si="651"/>
        <v>0</v>
      </c>
      <c r="AS237" s="96"/>
      <c r="AT237" s="96">
        <f t="shared" si="652"/>
        <v>0</v>
      </c>
      <c r="AU237" s="96"/>
      <c r="AV237" s="96">
        <f t="shared" si="653"/>
        <v>0</v>
      </c>
      <c r="AW237" s="96"/>
      <c r="AX237" s="96">
        <f t="shared" si="654"/>
        <v>0</v>
      </c>
      <c r="AY237" s="96">
        <f t="shared" si="655"/>
        <v>0</v>
      </c>
      <c r="AZ237" s="96">
        <f t="shared" si="656"/>
        <v>0</v>
      </c>
      <c r="BA237" s="96">
        <f t="shared" si="657"/>
        <v>0</v>
      </c>
      <c r="BB237" s="96">
        <f t="shared" si="658"/>
        <v>0</v>
      </c>
      <c r="BC237" s="1" t="s">
        <v>1060</v>
      </c>
    </row>
    <row r="238" spans="1:55">
      <c r="A238" s="492">
        <v>129</v>
      </c>
      <c r="B238" s="13"/>
      <c r="C238" s="23"/>
      <c r="D238" s="36"/>
      <c r="E238" s="21" t="s">
        <v>2135</v>
      </c>
      <c r="F238" s="45" t="s">
        <v>2136</v>
      </c>
      <c r="G238" s="45" t="s">
        <v>1059</v>
      </c>
      <c r="H238" s="265" t="s">
        <v>359</v>
      </c>
      <c r="I238" s="18">
        <v>7.95</v>
      </c>
      <c r="J238" s="157"/>
      <c r="K238" s="18">
        <v>7.95</v>
      </c>
      <c r="L238" s="157"/>
      <c r="M238" s="18"/>
      <c r="N238" s="157"/>
      <c r="O238" s="18"/>
      <c r="P238" s="157"/>
      <c r="Q238" s="96">
        <f t="shared" si="633"/>
        <v>0</v>
      </c>
      <c r="R238" s="337">
        <f t="shared" si="634"/>
        <v>0</v>
      </c>
      <c r="S238" s="96"/>
      <c r="T238" s="96">
        <f t="shared" si="635"/>
        <v>0</v>
      </c>
      <c r="U238" s="96"/>
      <c r="V238" s="96">
        <f t="shared" si="636"/>
        <v>0</v>
      </c>
      <c r="W238" s="96"/>
      <c r="X238" s="96">
        <f t="shared" si="637"/>
        <v>0</v>
      </c>
      <c r="Y238" s="96">
        <f t="shared" si="638"/>
        <v>0</v>
      </c>
      <c r="Z238" s="96">
        <f t="shared" si="639"/>
        <v>0</v>
      </c>
      <c r="AA238" s="96"/>
      <c r="AB238" s="96">
        <f t="shared" si="640"/>
        <v>0</v>
      </c>
      <c r="AC238" s="96"/>
      <c r="AD238" s="96">
        <f t="shared" si="641"/>
        <v>0</v>
      </c>
      <c r="AE238" s="96"/>
      <c r="AF238" s="95">
        <f t="shared" si="642"/>
        <v>0</v>
      </c>
      <c r="AG238" s="96">
        <f t="shared" si="643"/>
        <v>0</v>
      </c>
      <c r="AH238" s="96">
        <f t="shared" si="644"/>
        <v>0</v>
      </c>
      <c r="AI238" s="96">
        <f t="shared" si="645"/>
        <v>0</v>
      </c>
      <c r="AJ238" s="96">
        <f t="shared" si="646"/>
        <v>0</v>
      </c>
      <c r="AK238" s="96"/>
      <c r="AL238" s="96">
        <f t="shared" si="647"/>
        <v>0</v>
      </c>
      <c r="AM238" s="96"/>
      <c r="AN238" s="96">
        <f t="shared" si="648"/>
        <v>0</v>
      </c>
      <c r="AO238" s="96"/>
      <c r="AP238" s="96">
        <f t="shared" si="649"/>
        <v>0</v>
      </c>
      <c r="AQ238" s="96">
        <f t="shared" si="650"/>
        <v>0</v>
      </c>
      <c r="AR238" s="96">
        <f t="shared" si="651"/>
        <v>0</v>
      </c>
      <c r="AS238" s="96"/>
      <c r="AT238" s="96">
        <f t="shared" si="652"/>
        <v>0</v>
      </c>
      <c r="AU238" s="96"/>
      <c r="AV238" s="96">
        <f t="shared" si="653"/>
        <v>0</v>
      </c>
      <c r="AW238" s="96"/>
      <c r="AX238" s="96">
        <f t="shared" si="654"/>
        <v>0</v>
      </c>
      <c r="AY238" s="96">
        <f t="shared" si="655"/>
        <v>0</v>
      </c>
      <c r="AZ238" s="96">
        <f t="shared" si="656"/>
        <v>0</v>
      </c>
      <c r="BA238" s="96">
        <f t="shared" si="657"/>
        <v>0</v>
      </c>
      <c r="BB238" s="96">
        <f t="shared" si="658"/>
        <v>0</v>
      </c>
      <c r="BC238" s="1" t="s">
        <v>1060</v>
      </c>
    </row>
    <row r="239" spans="1:55">
      <c r="A239" s="492">
        <v>129</v>
      </c>
      <c r="B239" s="13"/>
      <c r="C239" s="23"/>
      <c r="D239" s="36"/>
      <c r="E239" s="21" t="s">
        <v>2137</v>
      </c>
      <c r="F239" s="45" t="s">
        <v>2138</v>
      </c>
      <c r="G239" s="45" t="s">
        <v>1059</v>
      </c>
      <c r="H239" s="265" t="s">
        <v>359</v>
      </c>
      <c r="I239" s="18">
        <v>7.95</v>
      </c>
      <c r="J239" s="157"/>
      <c r="K239" s="18">
        <v>7.95</v>
      </c>
      <c r="L239" s="157"/>
      <c r="M239" s="18"/>
      <c r="N239" s="157"/>
      <c r="O239" s="18"/>
      <c r="P239" s="157"/>
      <c r="Q239" s="96">
        <f t="shared" si="633"/>
        <v>0</v>
      </c>
      <c r="R239" s="337">
        <f t="shared" si="634"/>
        <v>0</v>
      </c>
      <c r="S239" s="96"/>
      <c r="T239" s="96">
        <f t="shared" si="635"/>
        <v>0</v>
      </c>
      <c r="U239" s="96"/>
      <c r="V239" s="96">
        <f t="shared" si="636"/>
        <v>0</v>
      </c>
      <c r="W239" s="96"/>
      <c r="X239" s="96">
        <f t="shared" si="637"/>
        <v>0</v>
      </c>
      <c r="Y239" s="96">
        <f t="shared" si="638"/>
        <v>0</v>
      </c>
      <c r="Z239" s="96">
        <f t="shared" si="639"/>
        <v>0</v>
      </c>
      <c r="AA239" s="96"/>
      <c r="AB239" s="96">
        <f t="shared" si="640"/>
        <v>0</v>
      </c>
      <c r="AC239" s="96"/>
      <c r="AD239" s="96">
        <f t="shared" si="641"/>
        <v>0</v>
      </c>
      <c r="AE239" s="96"/>
      <c r="AF239" s="95">
        <f t="shared" si="642"/>
        <v>0</v>
      </c>
      <c r="AG239" s="96">
        <f t="shared" si="643"/>
        <v>0</v>
      </c>
      <c r="AH239" s="96">
        <f t="shared" si="644"/>
        <v>0</v>
      </c>
      <c r="AI239" s="96">
        <f t="shared" si="645"/>
        <v>0</v>
      </c>
      <c r="AJ239" s="96">
        <f t="shared" si="646"/>
        <v>0</v>
      </c>
      <c r="AK239" s="96"/>
      <c r="AL239" s="96">
        <f t="shared" si="647"/>
        <v>0</v>
      </c>
      <c r="AM239" s="96"/>
      <c r="AN239" s="96">
        <f t="shared" si="648"/>
        <v>0</v>
      </c>
      <c r="AO239" s="96"/>
      <c r="AP239" s="96">
        <f t="shared" si="649"/>
        <v>0</v>
      </c>
      <c r="AQ239" s="96">
        <f t="shared" si="650"/>
        <v>0</v>
      </c>
      <c r="AR239" s="96">
        <f t="shared" si="651"/>
        <v>0</v>
      </c>
      <c r="AS239" s="96"/>
      <c r="AT239" s="96">
        <f t="shared" si="652"/>
        <v>0</v>
      </c>
      <c r="AU239" s="96"/>
      <c r="AV239" s="96">
        <f t="shared" si="653"/>
        <v>0</v>
      </c>
      <c r="AW239" s="96"/>
      <c r="AX239" s="96">
        <f t="shared" si="654"/>
        <v>0</v>
      </c>
      <c r="AY239" s="96">
        <f t="shared" si="655"/>
        <v>0</v>
      </c>
      <c r="AZ239" s="96">
        <f t="shared" si="656"/>
        <v>0</v>
      </c>
      <c r="BA239" s="96">
        <f t="shared" si="657"/>
        <v>0</v>
      </c>
      <c r="BB239" s="96">
        <f t="shared" si="658"/>
        <v>0</v>
      </c>
      <c r="BC239" s="1" t="s">
        <v>1060</v>
      </c>
    </row>
    <row r="240" spans="1:55">
      <c r="A240" s="492">
        <v>129</v>
      </c>
      <c r="B240" s="13"/>
      <c r="C240" s="23"/>
      <c r="D240" s="36"/>
      <c r="E240" s="21" t="s">
        <v>2139</v>
      </c>
      <c r="F240" s="45" t="s">
        <v>2140</v>
      </c>
      <c r="G240" s="45" t="s">
        <v>1059</v>
      </c>
      <c r="H240" s="265" t="s">
        <v>359</v>
      </c>
      <c r="I240" s="18">
        <v>7.95</v>
      </c>
      <c r="J240" s="157"/>
      <c r="K240" s="18">
        <v>7.95</v>
      </c>
      <c r="L240" s="157"/>
      <c r="M240" s="18"/>
      <c r="N240" s="157"/>
      <c r="O240" s="18"/>
      <c r="P240" s="157"/>
      <c r="Q240" s="96">
        <f t="shared" si="633"/>
        <v>0</v>
      </c>
      <c r="R240" s="337">
        <f t="shared" si="634"/>
        <v>0</v>
      </c>
      <c r="S240" s="96"/>
      <c r="T240" s="96">
        <f t="shared" si="635"/>
        <v>0</v>
      </c>
      <c r="U240" s="96"/>
      <c r="V240" s="96">
        <f t="shared" si="636"/>
        <v>0</v>
      </c>
      <c r="W240" s="96"/>
      <c r="X240" s="96">
        <f t="shared" si="637"/>
        <v>0</v>
      </c>
      <c r="Y240" s="96">
        <f t="shared" si="638"/>
        <v>0</v>
      </c>
      <c r="Z240" s="96">
        <f t="shared" si="639"/>
        <v>0</v>
      </c>
      <c r="AA240" s="96"/>
      <c r="AB240" s="96">
        <f t="shared" si="640"/>
        <v>0</v>
      </c>
      <c r="AC240" s="96"/>
      <c r="AD240" s="96">
        <f t="shared" si="641"/>
        <v>0</v>
      </c>
      <c r="AE240" s="96"/>
      <c r="AF240" s="95">
        <f t="shared" si="642"/>
        <v>0</v>
      </c>
      <c r="AG240" s="96">
        <f t="shared" si="643"/>
        <v>0</v>
      </c>
      <c r="AH240" s="96">
        <f t="shared" si="644"/>
        <v>0</v>
      </c>
      <c r="AI240" s="96">
        <f t="shared" si="645"/>
        <v>0</v>
      </c>
      <c r="AJ240" s="96">
        <f t="shared" si="646"/>
        <v>0</v>
      </c>
      <c r="AK240" s="96"/>
      <c r="AL240" s="96">
        <f t="shared" si="647"/>
        <v>0</v>
      </c>
      <c r="AM240" s="96"/>
      <c r="AN240" s="96">
        <f t="shared" si="648"/>
        <v>0</v>
      </c>
      <c r="AO240" s="96"/>
      <c r="AP240" s="96">
        <f t="shared" si="649"/>
        <v>0</v>
      </c>
      <c r="AQ240" s="96">
        <f t="shared" si="650"/>
        <v>0</v>
      </c>
      <c r="AR240" s="96">
        <f t="shared" si="651"/>
        <v>0</v>
      </c>
      <c r="AS240" s="96"/>
      <c r="AT240" s="96">
        <f t="shared" si="652"/>
        <v>0</v>
      </c>
      <c r="AU240" s="96"/>
      <c r="AV240" s="96">
        <f t="shared" si="653"/>
        <v>0</v>
      </c>
      <c r="AW240" s="96"/>
      <c r="AX240" s="96">
        <f t="shared" si="654"/>
        <v>0</v>
      </c>
      <c r="AY240" s="96">
        <f t="shared" si="655"/>
        <v>0</v>
      </c>
      <c r="AZ240" s="96">
        <f t="shared" si="656"/>
        <v>0</v>
      </c>
      <c r="BA240" s="96">
        <f t="shared" si="657"/>
        <v>0</v>
      </c>
      <c r="BB240" s="96">
        <f t="shared" si="658"/>
        <v>0</v>
      </c>
      <c r="BC240" s="1" t="s">
        <v>1060</v>
      </c>
    </row>
    <row r="241" spans="1:55">
      <c r="A241" s="492">
        <v>129</v>
      </c>
      <c r="B241" s="13"/>
      <c r="C241" s="23"/>
      <c r="D241" s="36"/>
      <c r="E241" s="21" t="s">
        <v>2320</v>
      </c>
      <c r="F241" s="45" t="s">
        <v>2321</v>
      </c>
      <c r="G241" s="45" t="s">
        <v>1059</v>
      </c>
      <c r="H241" s="265" t="s">
        <v>359</v>
      </c>
      <c r="I241" s="18">
        <v>28.5</v>
      </c>
      <c r="J241" s="157"/>
      <c r="K241" s="18">
        <v>28.5</v>
      </c>
      <c r="L241" s="157"/>
      <c r="M241" s="18"/>
      <c r="N241" s="157"/>
      <c r="O241" s="18"/>
      <c r="P241" s="157"/>
      <c r="Q241" s="96">
        <f t="shared" ref="Q241" si="685">SUM(AI241+BA241)</f>
        <v>0</v>
      </c>
      <c r="R241" s="337">
        <f t="shared" ref="R241" si="686">SUM(AJ241+BB241)</f>
        <v>0</v>
      </c>
      <c r="S241" s="96"/>
      <c r="T241" s="96">
        <f t="shared" ref="T241" si="687">I241*S241*$T$2/1000</f>
        <v>0</v>
      </c>
      <c r="U241" s="96"/>
      <c r="V241" s="96">
        <f t="shared" ref="V241" si="688">I241*U241*$V$2/1000</f>
        <v>0</v>
      </c>
      <c r="W241" s="96"/>
      <c r="X241" s="96">
        <f t="shared" ref="X241" si="689">I241*W241*$X$2/1000</f>
        <v>0</v>
      </c>
      <c r="Y241" s="96">
        <f t="shared" ref="Y241" si="690">SUM(S241+U241+W241)</f>
        <v>0</v>
      </c>
      <c r="Z241" s="96">
        <f t="shared" ref="Z241" si="691">SUM(T241+V241+X241)</f>
        <v>0</v>
      </c>
      <c r="AA241" s="96"/>
      <c r="AB241" s="96">
        <f t="shared" ref="AB241" si="692">K241*AA241*$AB$2/1000</f>
        <v>0</v>
      </c>
      <c r="AC241" s="96"/>
      <c r="AD241" s="96">
        <f t="shared" ref="AD241" si="693">K241*AC241*$AD$2/1000</f>
        <v>0</v>
      </c>
      <c r="AE241" s="96"/>
      <c r="AF241" s="95">
        <f t="shared" ref="AF241" si="694">K241*AE241*$AF$2/1000</f>
        <v>0</v>
      </c>
      <c r="AG241" s="96">
        <f t="shared" ref="AG241" si="695">SUM(AA241+AC241+AE241)</f>
        <v>0</v>
      </c>
      <c r="AH241" s="96">
        <f t="shared" ref="AH241" si="696">SUM(AB241+AD241+AF241)</f>
        <v>0</v>
      </c>
      <c r="AI241" s="96">
        <f t="shared" ref="AI241" si="697">SUM(Y241+AG241)</f>
        <v>0</v>
      </c>
      <c r="AJ241" s="96">
        <f t="shared" ref="AJ241" si="698">SUM(Z241,AH241)</f>
        <v>0</v>
      </c>
      <c r="AK241" s="96"/>
      <c r="AL241" s="96">
        <f t="shared" ref="AL241" si="699">M241*AK241*$AL$2/1000</f>
        <v>0</v>
      </c>
      <c r="AM241" s="96"/>
      <c r="AN241" s="96">
        <f t="shared" ref="AN241" si="700">M241*AM241*$AN$2/1000</f>
        <v>0</v>
      </c>
      <c r="AO241" s="96"/>
      <c r="AP241" s="96">
        <f t="shared" ref="AP241" si="701">M241*AO241*$AP$2/1000</f>
        <v>0</v>
      </c>
      <c r="AQ241" s="96">
        <f t="shared" ref="AQ241" si="702">SUM(AK241+AM241+AO241)</f>
        <v>0</v>
      </c>
      <c r="AR241" s="96">
        <f t="shared" ref="AR241" si="703">SUM(AL241+AN241+AP241)</f>
        <v>0</v>
      </c>
      <c r="AS241" s="96"/>
      <c r="AT241" s="96">
        <f t="shared" ref="AT241" si="704">O241*AS241*$AT$2/1000</f>
        <v>0</v>
      </c>
      <c r="AU241" s="96"/>
      <c r="AV241" s="96">
        <f t="shared" ref="AV241" si="705">O241*AU241*$AV$2/1000</f>
        <v>0</v>
      </c>
      <c r="AW241" s="96"/>
      <c r="AX241" s="96">
        <f t="shared" ref="AX241" si="706">O241*AW241*$AX$2/1000</f>
        <v>0</v>
      </c>
      <c r="AY241" s="96">
        <f t="shared" ref="AY241" si="707">SUM(AS241+AU241+AW241)</f>
        <v>0</v>
      </c>
      <c r="AZ241" s="96">
        <f t="shared" ref="AZ241" si="708">SUM(AT241+AV241+AX241)</f>
        <v>0</v>
      </c>
      <c r="BA241" s="96">
        <f t="shared" ref="BA241" si="709">SUM(AQ241+AY241)</f>
        <v>0</v>
      </c>
      <c r="BB241" s="96">
        <f t="shared" ref="BB241" si="710">SUM(AR241,AZ241)</f>
        <v>0</v>
      </c>
      <c r="BC241" s="1" t="s">
        <v>1060</v>
      </c>
    </row>
    <row r="242" spans="1:55">
      <c r="A242" s="492">
        <v>129</v>
      </c>
      <c r="B242" s="13"/>
      <c r="C242" s="23"/>
      <c r="D242" s="36"/>
      <c r="E242" s="21" t="s">
        <v>2279</v>
      </c>
      <c r="F242" s="45" t="s">
        <v>2280</v>
      </c>
      <c r="G242" s="45" t="s">
        <v>1059</v>
      </c>
      <c r="H242" s="265" t="s">
        <v>359</v>
      </c>
      <c r="I242" s="18">
        <v>28.5</v>
      </c>
      <c r="J242" s="157"/>
      <c r="K242" s="18">
        <v>28.5</v>
      </c>
      <c r="L242" s="157"/>
      <c r="M242" s="18"/>
      <c r="N242" s="157"/>
      <c r="O242" s="18"/>
      <c r="P242" s="157"/>
      <c r="Q242" s="96">
        <f t="shared" si="633"/>
        <v>0</v>
      </c>
      <c r="R242" s="337">
        <f t="shared" si="634"/>
        <v>0</v>
      </c>
      <c r="S242" s="96"/>
      <c r="T242" s="96">
        <f t="shared" si="635"/>
        <v>0</v>
      </c>
      <c r="U242" s="96"/>
      <c r="V242" s="96">
        <f t="shared" si="636"/>
        <v>0</v>
      </c>
      <c r="W242" s="96"/>
      <c r="X242" s="96">
        <f t="shared" si="637"/>
        <v>0</v>
      </c>
      <c r="Y242" s="96">
        <f t="shared" si="638"/>
        <v>0</v>
      </c>
      <c r="Z242" s="96">
        <f t="shared" si="639"/>
        <v>0</v>
      </c>
      <c r="AA242" s="96"/>
      <c r="AB242" s="96">
        <f t="shared" si="640"/>
        <v>0</v>
      </c>
      <c r="AC242" s="96"/>
      <c r="AD242" s="96">
        <f t="shared" si="641"/>
        <v>0</v>
      </c>
      <c r="AE242" s="96"/>
      <c r="AF242" s="95">
        <f t="shared" si="642"/>
        <v>0</v>
      </c>
      <c r="AG242" s="96">
        <f t="shared" si="643"/>
        <v>0</v>
      </c>
      <c r="AH242" s="96">
        <f t="shared" si="644"/>
        <v>0</v>
      </c>
      <c r="AI242" s="96">
        <f t="shared" si="645"/>
        <v>0</v>
      </c>
      <c r="AJ242" s="96">
        <f t="shared" si="646"/>
        <v>0</v>
      </c>
      <c r="AK242" s="96"/>
      <c r="AL242" s="96">
        <f t="shared" si="647"/>
        <v>0</v>
      </c>
      <c r="AM242" s="96"/>
      <c r="AN242" s="96">
        <f t="shared" si="648"/>
        <v>0</v>
      </c>
      <c r="AO242" s="96"/>
      <c r="AP242" s="96">
        <f t="shared" si="649"/>
        <v>0</v>
      </c>
      <c r="AQ242" s="96">
        <f t="shared" si="650"/>
        <v>0</v>
      </c>
      <c r="AR242" s="96">
        <f t="shared" si="651"/>
        <v>0</v>
      </c>
      <c r="AS242" s="96"/>
      <c r="AT242" s="96">
        <f t="shared" si="652"/>
        <v>0</v>
      </c>
      <c r="AU242" s="96"/>
      <c r="AV242" s="96">
        <f t="shared" si="653"/>
        <v>0</v>
      </c>
      <c r="AW242" s="96"/>
      <c r="AX242" s="96">
        <f t="shared" si="654"/>
        <v>0</v>
      </c>
      <c r="AY242" s="96">
        <f t="shared" si="655"/>
        <v>0</v>
      </c>
      <c r="AZ242" s="96">
        <f t="shared" si="656"/>
        <v>0</v>
      </c>
      <c r="BA242" s="96">
        <f t="shared" si="657"/>
        <v>0</v>
      </c>
      <c r="BB242" s="96">
        <f t="shared" si="658"/>
        <v>0</v>
      </c>
      <c r="BC242" s="1" t="s">
        <v>1060</v>
      </c>
    </row>
    <row r="243" spans="1:55">
      <c r="A243" s="492">
        <v>133</v>
      </c>
      <c r="B243" s="13"/>
      <c r="C243" s="23"/>
      <c r="D243" s="36"/>
      <c r="E243" s="21" t="s">
        <v>590</v>
      </c>
      <c r="F243" s="45" t="s">
        <v>591</v>
      </c>
      <c r="G243" s="45" t="s">
        <v>1059</v>
      </c>
      <c r="H243" s="265" t="s">
        <v>359</v>
      </c>
      <c r="I243" s="18">
        <v>2.39</v>
      </c>
      <c r="J243" s="157"/>
      <c r="K243" s="18">
        <v>2.39</v>
      </c>
      <c r="L243" s="157"/>
      <c r="M243" s="18"/>
      <c r="N243" s="157"/>
      <c r="O243" s="18"/>
      <c r="P243" s="157"/>
      <c r="Q243" s="96">
        <f t="shared" si="633"/>
        <v>544.5</v>
      </c>
      <c r="R243" s="337">
        <f t="shared" si="634"/>
        <v>1897.2552722376001</v>
      </c>
      <c r="S243" s="96">
        <v>270.33600000000001</v>
      </c>
      <c r="T243" s="96">
        <f t="shared" si="635"/>
        <v>932.74665369600018</v>
      </c>
      <c r="U243" s="96">
        <v>129.88800000000001</v>
      </c>
      <c r="V243" s="96">
        <f t="shared" si="636"/>
        <v>446.4823885632</v>
      </c>
      <c r="W243" s="96">
        <v>143.88</v>
      </c>
      <c r="X243" s="96">
        <f t="shared" si="637"/>
        <v>516.62477948399999</v>
      </c>
      <c r="Y243" s="96">
        <f t="shared" si="638"/>
        <v>544.10400000000004</v>
      </c>
      <c r="Z243" s="96">
        <f t="shared" si="639"/>
        <v>1895.8538217432001</v>
      </c>
      <c r="AA243" s="96">
        <v>0.39600000000000002</v>
      </c>
      <c r="AB243" s="96">
        <f t="shared" si="640"/>
        <v>1.4014504944000001</v>
      </c>
      <c r="AC243" s="96"/>
      <c r="AD243" s="96">
        <f t="shared" si="641"/>
        <v>0</v>
      </c>
      <c r="AE243" s="96"/>
      <c r="AF243" s="95">
        <f t="shared" si="642"/>
        <v>0</v>
      </c>
      <c r="AG243" s="96">
        <f t="shared" si="643"/>
        <v>0.39600000000000002</v>
      </c>
      <c r="AH243" s="96">
        <f t="shared" si="644"/>
        <v>1.4014504944000001</v>
      </c>
      <c r="AI243" s="96">
        <f t="shared" si="645"/>
        <v>544.5</v>
      </c>
      <c r="AJ243" s="96">
        <f t="shared" si="646"/>
        <v>1897.2552722376001</v>
      </c>
      <c r="AK243" s="96"/>
      <c r="AL243" s="96">
        <f>M243*AK243*$AL$2/1000</f>
        <v>0</v>
      </c>
      <c r="AM243" s="96"/>
      <c r="AN243" s="96">
        <f t="shared" si="648"/>
        <v>0</v>
      </c>
      <c r="AO243" s="96"/>
      <c r="AP243" s="96">
        <f t="shared" si="649"/>
        <v>0</v>
      </c>
      <c r="AQ243" s="96">
        <f t="shared" si="650"/>
        <v>0</v>
      </c>
      <c r="AR243" s="96">
        <f t="shared" si="651"/>
        <v>0</v>
      </c>
      <c r="AS243" s="96"/>
      <c r="AT243" s="96">
        <f t="shared" si="652"/>
        <v>0</v>
      </c>
      <c r="AU243" s="96"/>
      <c r="AV243" s="96">
        <f t="shared" si="653"/>
        <v>0</v>
      </c>
      <c r="AW243" s="96"/>
      <c r="AX243" s="96">
        <f t="shared" si="654"/>
        <v>0</v>
      </c>
      <c r="AY243" s="96">
        <f t="shared" si="655"/>
        <v>0</v>
      </c>
      <c r="AZ243" s="96">
        <f t="shared" si="656"/>
        <v>0</v>
      </c>
      <c r="BA243" s="96">
        <f t="shared" si="657"/>
        <v>0</v>
      </c>
      <c r="BB243" s="96">
        <f t="shared" si="658"/>
        <v>0</v>
      </c>
      <c r="BC243" s="1" t="s">
        <v>1715</v>
      </c>
    </row>
    <row r="244" spans="1:55">
      <c r="A244" s="492">
        <v>132</v>
      </c>
      <c r="B244" s="13"/>
      <c r="C244" s="13"/>
      <c r="D244" s="15"/>
      <c r="E244" s="21" t="s">
        <v>708</v>
      </c>
      <c r="F244" s="45" t="s">
        <v>709</v>
      </c>
      <c r="G244" s="45" t="s">
        <v>1059</v>
      </c>
      <c r="H244" s="265" t="s">
        <v>358</v>
      </c>
      <c r="I244" s="18">
        <v>3.02</v>
      </c>
      <c r="J244" s="157"/>
      <c r="K244" s="18">
        <v>3.02</v>
      </c>
      <c r="L244" s="157"/>
      <c r="M244" s="18"/>
      <c r="N244" s="157"/>
      <c r="O244" s="18"/>
      <c r="P244" s="157"/>
      <c r="Q244" s="96">
        <f t="shared" si="633"/>
        <v>176.61600000000001</v>
      </c>
      <c r="R244" s="337">
        <f t="shared" si="634"/>
        <v>776.5443178416001</v>
      </c>
      <c r="S244" s="96">
        <v>87.912000000000006</v>
      </c>
      <c r="T244" s="96">
        <f t="shared" si="635"/>
        <v>383.28075957600009</v>
      </c>
      <c r="U244" s="96">
        <v>47.52</v>
      </c>
      <c r="V244" s="96">
        <f t="shared" si="636"/>
        <v>206.405267904</v>
      </c>
      <c r="W244" s="96">
        <v>41.183999999999997</v>
      </c>
      <c r="X244" s="96">
        <f t="shared" si="637"/>
        <v>186.85829036159996</v>
      </c>
      <c r="Y244" s="96">
        <f t="shared" si="638"/>
        <v>176.61600000000001</v>
      </c>
      <c r="Z244" s="96">
        <f t="shared" si="639"/>
        <v>776.5443178416001</v>
      </c>
      <c r="AA244" s="96"/>
      <c r="AB244" s="96">
        <f t="shared" si="640"/>
        <v>0</v>
      </c>
      <c r="AC244" s="96"/>
      <c r="AD244" s="96">
        <f t="shared" si="641"/>
        <v>0</v>
      </c>
      <c r="AE244" s="96"/>
      <c r="AF244" s="95">
        <f t="shared" si="642"/>
        <v>0</v>
      </c>
      <c r="AG244" s="96">
        <f t="shared" si="643"/>
        <v>0</v>
      </c>
      <c r="AH244" s="96">
        <f t="shared" si="644"/>
        <v>0</v>
      </c>
      <c r="AI244" s="96">
        <f t="shared" si="645"/>
        <v>176.61600000000001</v>
      </c>
      <c r="AJ244" s="96">
        <f t="shared" si="646"/>
        <v>776.5443178416001</v>
      </c>
      <c r="AK244" s="96"/>
      <c r="AL244" s="96">
        <f t="shared" si="647"/>
        <v>0</v>
      </c>
      <c r="AM244" s="96"/>
      <c r="AN244" s="96">
        <f t="shared" si="648"/>
        <v>0</v>
      </c>
      <c r="AO244" s="96"/>
      <c r="AP244" s="96">
        <f t="shared" si="649"/>
        <v>0</v>
      </c>
      <c r="AQ244" s="96">
        <f t="shared" si="650"/>
        <v>0</v>
      </c>
      <c r="AR244" s="96">
        <f t="shared" si="651"/>
        <v>0</v>
      </c>
      <c r="AS244" s="96"/>
      <c r="AT244" s="96">
        <f t="shared" si="652"/>
        <v>0</v>
      </c>
      <c r="AU244" s="96"/>
      <c r="AV244" s="96">
        <f t="shared" si="653"/>
        <v>0</v>
      </c>
      <c r="AW244" s="96"/>
      <c r="AX244" s="96">
        <f t="shared" si="654"/>
        <v>0</v>
      </c>
      <c r="AY244" s="96">
        <f t="shared" si="655"/>
        <v>0</v>
      </c>
      <c r="AZ244" s="96">
        <f t="shared" si="656"/>
        <v>0</v>
      </c>
      <c r="BA244" s="96">
        <f t="shared" si="657"/>
        <v>0</v>
      </c>
      <c r="BB244" s="96">
        <f t="shared" si="658"/>
        <v>0</v>
      </c>
      <c r="BC244" s="1" t="s">
        <v>1715</v>
      </c>
    </row>
    <row r="245" spans="1:55">
      <c r="A245" s="492">
        <v>133</v>
      </c>
      <c r="B245" s="13"/>
      <c r="C245" s="23"/>
      <c r="D245" s="36"/>
      <c r="E245" s="21" t="s">
        <v>1768</v>
      </c>
      <c r="F245" s="45" t="s">
        <v>591</v>
      </c>
      <c r="G245" s="45" t="s">
        <v>1059</v>
      </c>
      <c r="H245" s="265" t="s">
        <v>360</v>
      </c>
      <c r="I245" s="18">
        <v>2.5</v>
      </c>
      <c r="J245" s="157"/>
      <c r="K245" s="18">
        <v>2.5</v>
      </c>
      <c r="L245" s="157"/>
      <c r="M245" s="18"/>
      <c r="N245" s="157"/>
      <c r="O245" s="18"/>
      <c r="P245" s="157"/>
      <c r="Q245" s="96">
        <f t="shared" si="633"/>
        <v>26.855</v>
      </c>
      <c r="R245" s="337">
        <f t="shared" si="634"/>
        <v>100.86536587500001</v>
      </c>
      <c r="S245" s="96"/>
      <c r="T245" s="96">
        <f t="shared" si="635"/>
        <v>0</v>
      </c>
      <c r="U245" s="96"/>
      <c r="V245" s="96">
        <f t="shared" si="636"/>
        <v>0</v>
      </c>
      <c r="W245" s="96">
        <v>26.855</v>
      </c>
      <c r="X245" s="96">
        <f t="shared" si="637"/>
        <v>100.86536587500001</v>
      </c>
      <c r="Y245" s="96">
        <f t="shared" si="638"/>
        <v>26.855</v>
      </c>
      <c r="Z245" s="96">
        <f t="shared" si="639"/>
        <v>100.86536587500001</v>
      </c>
      <c r="AA245" s="96"/>
      <c r="AB245" s="96">
        <f t="shared" si="640"/>
        <v>0</v>
      </c>
      <c r="AC245" s="96"/>
      <c r="AD245" s="96">
        <f t="shared" si="641"/>
        <v>0</v>
      </c>
      <c r="AE245" s="96"/>
      <c r="AF245" s="95">
        <f t="shared" si="642"/>
        <v>0</v>
      </c>
      <c r="AG245" s="96">
        <f t="shared" si="643"/>
        <v>0</v>
      </c>
      <c r="AH245" s="96">
        <f t="shared" si="644"/>
        <v>0</v>
      </c>
      <c r="AI245" s="96">
        <f t="shared" si="645"/>
        <v>26.855</v>
      </c>
      <c r="AJ245" s="96">
        <f t="shared" si="646"/>
        <v>100.86536587500001</v>
      </c>
      <c r="AK245" s="96"/>
      <c r="AL245" s="96">
        <f t="shared" si="647"/>
        <v>0</v>
      </c>
      <c r="AM245" s="96"/>
      <c r="AN245" s="96">
        <f t="shared" si="648"/>
        <v>0</v>
      </c>
      <c r="AO245" s="96"/>
      <c r="AP245" s="96">
        <f t="shared" si="649"/>
        <v>0</v>
      </c>
      <c r="AQ245" s="96">
        <f t="shared" si="650"/>
        <v>0</v>
      </c>
      <c r="AR245" s="96">
        <f t="shared" si="651"/>
        <v>0</v>
      </c>
      <c r="AS245" s="96"/>
      <c r="AT245" s="96">
        <f t="shared" si="652"/>
        <v>0</v>
      </c>
      <c r="AU245" s="96"/>
      <c r="AV245" s="96">
        <f t="shared" si="653"/>
        <v>0</v>
      </c>
      <c r="AW245" s="96"/>
      <c r="AX245" s="96">
        <f t="shared" si="654"/>
        <v>0</v>
      </c>
      <c r="AY245" s="96">
        <f t="shared" si="655"/>
        <v>0</v>
      </c>
      <c r="AZ245" s="96">
        <f t="shared" si="656"/>
        <v>0</v>
      </c>
      <c r="BA245" s="96">
        <f t="shared" si="657"/>
        <v>0</v>
      </c>
      <c r="BB245" s="96">
        <f t="shared" si="658"/>
        <v>0</v>
      </c>
      <c r="BC245" s="1" t="s">
        <v>1715</v>
      </c>
    </row>
    <row r="246" spans="1:55">
      <c r="A246" s="492">
        <v>134</v>
      </c>
      <c r="B246" s="13"/>
      <c r="C246" s="23"/>
      <c r="D246" s="36"/>
      <c r="E246" s="62" t="s">
        <v>1769</v>
      </c>
      <c r="F246" s="419" t="s">
        <v>585</v>
      </c>
      <c r="G246" s="419" t="s">
        <v>1059</v>
      </c>
      <c r="H246" s="281" t="s">
        <v>359</v>
      </c>
      <c r="I246" s="420">
        <v>3.36</v>
      </c>
      <c r="J246" s="421"/>
      <c r="K246" s="420">
        <v>3.36</v>
      </c>
      <c r="L246" s="421"/>
      <c r="M246" s="420"/>
      <c r="N246" s="421"/>
      <c r="O246" s="420"/>
      <c r="P246" s="421"/>
      <c r="Q246" s="128">
        <f t="shared" si="633"/>
        <v>0</v>
      </c>
      <c r="R246" s="345">
        <f t="shared" si="634"/>
        <v>0</v>
      </c>
      <c r="S246" s="128"/>
      <c r="T246" s="128">
        <f t="shared" si="635"/>
        <v>0</v>
      </c>
      <c r="U246" s="128"/>
      <c r="V246" s="128">
        <f t="shared" si="636"/>
        <v>0</v>
      </c>
      <c r="W246" s="128"/>
      <c r="X246" s="128">
        <f t="shared" si="637"/>
        <v>0</v>
      </c>
      <c r="Y246" s="128">
        <f t="shared" si="638"/>
        <v>0</v>
      </c>
      <c r="Z246" s="128">
        <f t="shared" si="639"/>
        <v>0</v>
      </c>
      <c r="AA246" s="128"/>
      <c r="AB246" s="128">
        <f t="shared" si="640"/>
        <v>0</v>
      </c>
      <c r="AC246" s="128"/>
      <c r="AD246" s="128">
        <f t="shared" si="641"/>
        <v>0</v>
      </c>
      <c r="AE246" s="128"/>
      <c r="AF246" s="422">
        <f t="shared" si="642"/>
        <v>0</v>
      </c>
      <c r="AG246" s="128">
        <f t="shared" si="643"/>
        <v>0</v>
      </c>
      <c r="AH246" s="128">
        <f t="shared" si="644"/>
        <v>0</v>
      </c>
      <c r="AI246" s="128">
        <f t="shared" si="645"/>
        <v>0</v>
      </c>
      <c r="AJ246" s="128">
        <f t="shared" si="646"/>
        <v>0</v>
      </c>
      <c r="AK246" s="128"/>
      <c r="AL246" s="128">
        <f t="shared" si="647"/>
        <v>0</v>
      </c>
      <c r="AM246" s="128"/>
      <c r="AN246" s="128">
        <f t="shared" si="648"/>
        <v>0</v>
      </c>
      <c r="AO246" s="128"/>
      <c r="AP246" s="128">
        <f t="shared" si="649"/>
        <v>0</v>
      </c>
      <c r="AQ246" s="128">
        <f t="shared" si="650"/>
        <v>0</v>
      </c>
      <c r="AR246" s="128">
        <f t="shared" si="651"/>
        <v>0</v>
      </c>
      <c r="AS246" s="128"/>
      <c r="AT246" s="128">
        <f t="shared" si="652"/>
        <v>0</v>
      </c>
      <c r="AU246" s="128"/>
      <c r="AV246" s="128">
        <f t="shared" si="653"/>
        <v>0</v>
      </c>
      <c r="AW246" s="128"/>
      <c r="AX246" s="128">
        <f t="shared" si="654"/>
        <v>0</v>
      </c>
      <c r="AY246" s="128">
        <f t="shared" si="655"/>
        <v>0</v>
      </c>
      <c r="AZ246" s="128">
        <f t="shared" si="656"/>
        <v>0</v>
      </c>
      <c r="BA246" s="128">
        <f t="shared" si="657"/>
        <v>0</v>
      </c>
      <c r="BB246" s="128">
        <f t="shared" si="658"/>
        <v>0</v>
      </c>
      <c r="BC246" s="1" t="s">
        <v>1715</v>
      </c>
    </row>
    <row r="247" spans="1:55">
      <c r="A247" s="492">
        <v>136</v>
      </c>
      <c r="B247" s="13"/>
      <c r="C247" s="23"/>
      <c r="D247" s="36"/>
      <c r="E247" s="21" t="s">
        <v>586</v>
      </c>
      <c r="F247" s="45" t="s">
        <v>585</v>
      </c>
      <c r="G247" s="45" t="s">
        <v>1059</v>
      </c>
      <c r="H247" s="265" t="s">
        <v>359</v>
      </c>
      <c r="I247" s="18">
        <v>3.36</v>
      </c>
      <c r="J247" s="18"/>
      <c r="K247" s="18">
        <v>3.36</v>
      </c>
      <c r="L247" s="157"/>
      <c r="M247" s="18"/>
      <c r="N247" s="157"/>
      <c r="O247" s="18"/>
      <c r="P247" s="18"/>
      <c r="Q247" s="96">
        <f t="shared" si="633"/>
        <v>0</v>
      </c>
      <c r="R247" s="337">
        <f t="shared" si="634"/>
        <v>0</v>
      </c>
      <c r="S247" s="96"/>
      <c r="T247" s="96">
        <f t="shared" si="635"/>
        <v>0</v>
      </c>
      <c r="U247" s="96"/>
      <c r="V247" s="96">
        <f t="shared" si="636"/>
        <v>0</v>
      </c>
      <c r="W247" s="96"/>
      <c r="X247" s="96">
        <f t="shared" si="637"/>
        <v>0</v>
      </c>
      <c r="Y247" s="96">
        <f t="shared" si="638"/>
        <v>0</v>
      </c>
      <c r="Z247" s="96">
        <f t="shared" si="639"/>
        <v>0</v>
      </c>
      <c r="AA247" s="96"/>
      <c r="AB247" s="96">
        <f t="shared" si="640"/>
        <v>0</v>
      </c>
      <c r="AC247" s="96"/>
      <c r="AD247" s="96">
        <f t="shared" si="641"/>
        <v>0</v>
      </c>
      <c r="AE247" s="96"/>
      <c r="AF247" s="95">
        <f t="shared" si="642"/>
        <v>0</v>
      </c>
      <c r="AG247" s="96">
        <f t="shared" si="643"/>
        <v>0</v>
      </c>
      <c r="AH247" s="96">
        <f t="shared" si="644"/>
        <v>0</v>
      </c>
      <c r="AI247" s="96">
        <f t="shared" si="645"/>
        <v>0</v>
      </c>
      <c r="AJ247" s="96">
        <f t="shared" si="646"/>
        <v>0</v>
      </c>
      <c r="AK247" s="96"/>
      <c r="AL247" s="96">
        <f t="shared" si="647"/>
        <v>0</v>
      </c>
      <c r="AM247" s="96"/>
      <c r="AN247" s="96">
        <f t="shared" si="648"/>
        <v>0</v>
      </c>
      <c r="AO247" s="96"/>
      <c r="AP247" s="96">
        <f t="shared" si="649"/>
        <v>0</v>
      </c>
      <c r="AQ247" s="96">
        <f t="shared" si="650"/>
        <v>0</v>
      </c>
      <c r="AR247" s="96">
        <f t="shared" si="651"/>
        <v>0</v>
      </c>
      <c r="AS247" s="96"/>
      <c r="AT247" s="96">
        <f t="shared" si="652"/>
        <v>0</v>
      </c>
      <c r="AU247" s="96"/>
      <c r="AV247" s="96">
        <f t="shared" si="653"/>
        <v>0</v>
      </c>
      <c r="AW247" s="96"/>
      <c r="AX247" s="96">
        <f t="shared" si="654"/>
        <v>0</v>
      </c>
      <c r="AY247" s="96">
        <f t="shared" si="655"/>
        <v>0</v>
      </c>
      <c r="AZ247" s="96">
        <f t="shared" si="656"/>
        <v>0</v>
      </c>
      <c r="BA247" s="96">
        <f t="shared" si="657"/>
        <v>0</v>
      </c>
      <c r="BB247" s="96">
        <f t="shared" si="658"/>
        <v>0</v>
      </c>
      <c r="BC247" s="1" t="s">
        <v>1715</v>
      </c>
    </row>
    <row r="248" spans="1:55">
      <c r="A248" s="492">
        <v>137</v>
      </c>
      <c r="B248" s="13"/>
      <c r="C248" s="23"/>
      <c r="D248" s="36"/>
      <c r="E248" s="21" t="s">
        <v>669</v>
      </c>
      <c r="F248" s="45" t="s">
        <v>670</v>
      </c>
      <c r="G248" s="45" t="s">
        <v>1059</v>
      </c>
      <c r="H248" s="265" t="s">
        <v>359</v>
      </c>
      <c r="I248" s="18">
        <v>3.5</v>
      </c>
      <c r="J248" s="157"/>
      <c r="K248" s="18">
        <v>3.5</v>
      </c>
      <c r="L248" s="157"/>
      <c r="M248" s="18"/>
      <c r="N248" s="157"/>
      <c r="O248" s="18"/>
      <c r="P248" s="157"/>
      <c r="Q248" s="96">
        <f t="shared" si="633"/>
        <v>0</v>
      </c>
      <c r="R248" s="337">
        <f t="shared" si="634"/>
        <v>0</v>
      </c>
      <c r="S248" s="96"/>
      <c r="T248" s="96">
        <f t="shared" si="635"/>
        <v>0</v>
      </c>
      <c r="U248" s="96"/>
      <c r="V248" s="96">
        <f t="shared" si="636"/>
        <v>0</v>
      </c>
      <c r="W248" s="96"/>
      <c r="X248" s="96">
        <f t="shared" si="637"/>
        <v>0</v>
      </c>
      <c r="Y248" s="96">
        <f t="shared" si="638"/>
        <v>0</v>
      </c>
      <c r="Z248" s="96">
        <f t="shared" si="639"/>
        <v>0</v>
      </c>
      <c r="AA248" s="96"/>
      <c r="AB248" s="96">
        <f t="shared" si="640"/>
        <v>0</v>
      </c>
      <c r="AC248" s="96"/>
      <c r="AD248" s="96">
        <f t="shared" si="641"/>
        <v>0</v>
      </c>
      <c r="AE248" s="96"/>
      <c r="AF248" s="95">
        <f t="shared" si="642"/>
        <v>0</v>
      </c>
      <c r="AG248" s="96">
        <f t="shared" si="643"/>
        <v>0</v>
      </c>
      <c r="AH248" s="96">
        <f t="shared" si="644"/>
        <v>0</v>
      </c>
      <c r="AI248" s="96">
        <f t="shared" si="645"/>
        <v>0</v>
      </c>
      <c r="AJ248" s="96">
        <f t="shared" si="646"/>
        <v>0</v>
      </c>
      <c r="AK248" s="96"/>
      <c r="AL248" s="96">
        <f t="shared" si="647"/>
        <v>0</v>
      </c>
      <c r="AM248" s="96"/>
      <c r="AN248" s="96">
        <f t="shared" si="648"/>
        <v>0</v>
      </c>
      <c r="AO248" s="96"/>
      <c r="AP248" s="96">
        <f t="shared" si="649"/>
        <v>0</v>
      </c>
      <c r="AQ248" s="96">
        <f t="shared" si="650"/>
        <v>0</v>
      </c>
      <c r="AR248" s="96">
        <f t="shared" si="651"/>
        <v>0</v>
      </c>
      <c r="AS248" s="96"/>
      <c r="AT248" s="96">
        <f t="shared" si="652"/>
        <v>0</v>
      </c>
      <c r="AU248" s="96"/>
      <c r="AV248" s="96">
        <f t="shared" si="653"/>
        <v>0</v>
      </c>
      <c r="AW248" s="96"/>
      <c r="AX248" s="96">
        <f t="shared" si="654"/>
        <v>0</v>
      </c>
      <c r="AY248" s="96">
        <f t="shared" si="655"/>
        <v>0</v>
      </c>
      <c r="AZ248" s="96">
        <f t="shared" si="656"/>
        <v>0</v>
      </c>
      <c r="BA248" s="96">
        <f t="shared" si="657"/>
        <v>0</v>
      </c>
      <c r="BB248" s="96">
        <f t="shared" si="658"/>
        <v>0</v>
      </c>
      <c r="BC248" s="1" t="s">
        <v>1715</v>
      </c>
    </row>
    <row r="249" spans="1:55">
      <c r="A249" s="492">
        <v>137</v>
      </c>
      <c r="B249" s="13"/>
      <c r="C249" s="23"/>
      <c r="D249" s="36"/>
      <c r="E249" s="24" t="s">
        <v>1695</v>
      </c>
      <c r="F249" s="366" t="s">
        <v>1694</v>
      </c>
      <c r="G249" s="366" t="s">
        <v>1059</v>
      </c>
      <c r="H249" s="282" t="s">
        <v>359</v>
      </c>
      <c r="I249" s="306">
        <v>3.17</v>
      </c>
      <c r="J249" s="307"/>
      <c r="K249" s="306">
        <v>3.17</v>
      </c>
      <c r="L249" s="307"/>
      <c r="M249" s="306"/>
      <c r="N249" s="307"/>
      <c r="O249" s="306"/>
      <c r="P249" s="307"/>
      <c r="Q249" s="133">
        <f t="shared" si="633"/>
        <v>46.76</v>
      </c>
      <c r="R249" s="342">
        <f t="shared" si="634"/>
        <v>216.47673699159998</v>
      </c>
      <c r="S249" s="133">
        <v>15.128</v>
      </c>
      <c r="T249" s="133">
        <f t="shared" si="635"/>
        <v>69.231332924</v>
      </c>
      <c r="U249" s="133">
        <v>16.103999999999999</v>
      </c>
      <c r="V249" s="133">
        <f t="shared" si="636"/>
        <v>73.422712756799996</v>
      </c>
      <c r="W249" s="133">
        <v>13.635999999999999</v>
      </c>
      <c r="X249" s="133">
        <f t="shared" si="637"/>
        <v>64.941625904399984</v>
      </c>
      <c r="Y249" s="133">
        <f t="shared" si="638"/>
        <v>44.867999999999995</v>
      </c>
      <c r="Z249" s="133">
        <f t="shared" si="639"/>
        <v>207.59567158519997</v>
      </c>
      <c r="AA249" s="133">
        <v>1.8919999999999999</v>
      </c>
      <c r="AB249" s="133">
        <f t="shared" si="640"/>
        <v>8.8810654063999994</v>
      </c>
      <c r="AC249" s="133"/>
      <c r="AD249" s="133">
        <f t="shared" si="641"/>
        <v>0</v>
      </c>
      <c r="AE249" s="133"/>
      <c r="AF249" s="405">
        <f t="shared" si="642"/>
        <v>0</v>
      </c>
      <c r="AG249" s="133">
        <f t="shared" si="643"/>
        <v>1.8919999999999999</v>
      </c>
      <c r="AH249" s="133">
        <f t="shared" si="644"/>
        <v>8.8810654063999994</v>
      </c>
      <c r="AI249" s="133">
        <f t="shared" si="645"/>
        <v>46.76</v>
      </c>
      <c r="AJ249" s="133">
        <f t="shared" si="646"/>
        <v>216.47673699159998</v>
      </c>
      <c r="AK249" s="133"/>
      <c r="AL249" s="133">
        <f t="shared" si="647"/>
        <v>0</v>
      </c>
      <c r="AM249" s="133"/>
      <c r="AN249" s="133">
        <f t="shared" si="648"/>
        <v>0</v>
      </c>
      <c r="AO249" s="133"/>
      <c r="AP249" s="133">
        <f t="shared" si="649"/>
        <v>0</v>
      </c>
      <c r="AQ249" s="133">
        <f t="shared" si="650"/>
        <v>0</v>
      </c>
      <c r="AR249" s="133">
        <f t="shared" si="651"/>
        <v>0</v>
      </c>
      <c r="AS249" s="133"/>
      <c r="AT249" s="133">
        <f t="shared" si="652"/>
        <v>0</v>
      </c>
      <c r="AU249" s="133"/>
      <c r="AV249" s="133">
        <f t="shared" si="653"/>
        <v>0</v>
      </c>
      <c r="AW249" s="133"/>
      <c r="AX249" s="133">
        <f t="shared" si="654"/>
        <v>0</v>
      </c>
      <c r="AY249" s="133">
        <f t="shared" si="655"/>
        <v>0</v>
      </c>
      <c r="AZ249" s="133">
        <f t="shared" si="656"/>
        <v>0</v>
      </c>
      <c r="BA249" s="133">
        <f t="shared" si="657"/>
        <v>0</v>
      </c>
      <c r="BB249" s="133">
        <f t="shared" si="658"/>
        <v>0</v>
      </c>
      <c r="BC249" s="1" t="s">
        <v>1717</v>
      </c>
    </row>
    <row r="250" spans="1:55">
      <c r="A250" s="492">
        <v>138</v>
      </c>
      <c r="B250" s="26"/>
      <c r="C250" s="26"/>
      <c r="D250" s="27"/>
      <c r="E250" s="349" t="s">
        <v>330</v>
      </c>
      <c r="F250" s="28"/>
      <c r="G250" s="28"/>
      <c r="H250" s="269"/>
      <c r="I250" s="138"/>
      <c r="J250" s="98"/>
      <c r="K250" s="29"/>
      <c r="L250" s="159"/>
      <c r="M250" s="29"/>
      <c r="N250" s="159"/>
      <c r="O250" s="138"/>
      <c r="P250" s="98"/>
      <c r="Q250" s="570">
        <f t="shared" ref="Q250:BB250" si="711">SUM(Q150:Q249)</f>
        <v>1112.825</v>
      </c>
      <c r="R250" s="570">
        <f t="shared" si="711"/>
        <v>8602.1646609438012</v>
      </c>
      <c r="S250" s="570">
        <f t="shared" si="711"/>
        <v>462.26799999999997</v>
      </c>
      <c r="T250" s="570">
        <f t="shared" si="711"/>
        <v>2943.7158353265004</v>
      </c>
      <c r="U250" s="570">
        <f t="shared" si="711"/>
        <v>269.63600000000002</v>
      </c>
      <c r="V250" s="570">
        <f t="shared" si="711"/>
        <v>2050.5973684097999</v>
      </c>
      <c r="W250" s="570">
        <f t="shared" si="711"/>
        <v>321.92300000000006</v>
      </c>
      <c r="X250" s="570">
        <f t="shared" si="711"/>
        <v>2800.0494040418998</v>
      </c>
      <c r="Y250" s="570">
        <f t="shared" si="711"/>
        <v>1053.827</v>
      </c>
      <c r="Z250" s="570">
        <f t="shared" si="711"/>
        <v>7794.3626077782001</v>
      </c>
      <c r="AA250" s="570">
        <f t="shared" si="711"/>
        <v>58.998000000000012</v>
      </c>
      <c r="AB250" s="570">
        <f t="shared" si="711"/>
        <v>807.8020531656</v>
      </c>
      <c r="AC250" s="570">
        <f t="shared" si="711"/>
        <v>0</v>
      </c>
      <c r="AD250" s="570">
        <f t="shared" si="711"/>
        <v>0</v>
      </c>
      <c r="AE250" s="570">
        <f t="shared" si="711"/>
        <v>0</v>
      </c>
      <c r="AF250" s="571">
        <f t="shared" si="711"/>
        <v>0</v>
      </c>
      <c r="AG250" s="570">
        <f t="shared" si="711"/>
        <v>58.998000000000012</v>
      </c>
      <c r="AH250" s="570">
        <f t="shared" si="711"/>
        <v>807.8020531656</v>
      </c>
      <c r="AI250" s="570">
        <f t="shared" si="711"/>
        <v>1112.825</v>
      </c>
      <c r="AJ250" s="570">
        <f t="shared" si="711"/>
        <v>8602.1646609438012</v>
      </c>
      <c r="AK250" s="570">
        <f t="shared" si="711"/>
        <v>0</v>
      </c>
      <c r="AL250" s="570">
        <f t="shared" si="711"/>
        <v>0</v>
      </c>
      <c r="AM250" s="570">
        <f t="shared" si="711"/>
        <v>0</v>
      </c>
      <c r="AN250" s="570">
        <f t="shared" si="711"/>
        <v>0</v>
      </c>
      <c r="AO250" s="570">
        <f t="shared" si="711"/>
        <v>0</v>
      </c>
      <c r="AP250" s="570">
        <f t="shared" si="711"/>
        <v>0</v>
      </c>
      <c r="AQ250" s="570">
        <f t="shared" si="711"/>
        <v>0</v>
      </c>
      <c r="AR250" s="570">
        <f t="shared" si="711"/>
        <v>0</v>
      </c>
      <c r="AS250" s="570">
        <f t="shared" si="711"/>
        <v>0</v>
      </c>
      <c r="AT250" s="570">
        <f t="shared" si="711"/>
        <v>0</v>
      </c>
      <c r="AU250" s="570">
        <f t="shared" si="711"/>
        <v>0</v>
      </c>
      <c r="AV250" s="570">
        <f t="shared" si="711"/>
        <v>0</v>
      </c>
      <c r="AW250" s="570">
        <f t="shared" si="711"/>
        <v>0</v>
      </c>
      <c r="AX250" s="570">
        <f t="shared" si="711"/>
        <v>0</v>
      </c>
      <c r="AY250" s="570">
        <f t="shared" si="711"/>
        <v>0</v>
      </c>
      <c r="AZ250" s="570">
        <f t="shared" si="711"/>
        <v>0</v>
      </c>
      <c r="BA250" s="570">
        <f t="shared" si="711"/>
        <v>0</v>
      </c>
      <c r="BB250" s="570">
        <f t="shared" si="711"/>
        <v>0</v>
      </c>
      <c r="BC250" s="1" t="s">
        <v>1716</v>
      </c>
    </row>
    <row r="251" spans="1:55" hidden="1">
      <c r="A251" s="492">
        <v>139</v>
      </c>
      <c r="B251" s="13"/>
      <c r="C251" s="13"/>
      <c r="D251" s="350" t="s">
        <v>236</v>
      </c>
      <c r="E251" s="31" t="s">
        <v>463</v>
      </c>
      <c r="F251" s="310" t="s">
        <v>426</v>
      </c>
      <c r="G251" s="310" t="s">
        <v>1059</v>
      </c>
      <c r="H251" s="271" t="s">
        <v>358</v>
      </c>
      <c r="I251" s="61"/>
      <c r="J251" s="163"/>
      <c r="K251" s="61"/>
      <c r="L251" s="163"/>
      <c r="M251" s="61"/>
      <c r="N251" s="163"/>
      <c r="O251" s="61"/>
      <c r="P251" s="163"/>
      <c r="Q251" s="121">
        <f t="shared" ref="Q251:Q266" si="712">SUM(AI251+BA251)</f>
        <v>0</v>
      </c>
      <c r="R251" s="341">
        <f t="shared" ref="R251:R266" si="713">SUM(AJ251+BB251)</f>
        <v>0</v>
      </c>
      <c r="S251" s="121"/>
      <c r="T251" s="121">
        <f t="shared" ref="T251:T266" si="714">I251*S251*$T$2/1000</f>
        <v>0</v>
      </c>
      <c r="U251" s="121"/>
      <c r="V251" s="121">
        <f t="shared" ref="V251:V266" si="715">I251*U251*$V$2/1000</f>
        <v>0</v>
      </c>
      <c r="W251" s="121"/>
      <c r="X251" s="121">
        <f t="shared" ref="X251:X266" si="716">I251*W251*$X$2/1000</f>
        <v>0</v>
      </c>
      <c r="Y251" s="121">
        <f t="shared" ref="Y251:Y266" si="717">SUM(S251+U251+W251)</f>
        <v>0</v>
      </c>
      <c r="Z251" s="121">
        <f t="shared" ref="Z251:Z266" si="718">SUM(T251+V251+X251)</f>
        <v>0</v>
      </c>
      <c r="AA251" s="121"/>
      <c r="AB251" s="121">
        <f t="shared" ref="AB251:AB266" si="719">K251*AA251*$AB$2/1000</f>
        <v>0</v>
      </c>
      <c r="AC251" s="121"/>
      <c r="AD251" s="121">
        <f t="shared" ref="AD251:AD266" si="720">K251*AC251*$AD$2/1000</f>
        <v>0</v>
      </c>
      <c r="AE251" s="121"/>
      <c r="AF251" s="124">
        <f t="shared" ref="AF251:AF266" si="721">K251*AE251*$AF$2/1000</f>
        <v>0</v>
      </c>
      <c r="AG251" s="121">
        <f t="shared" ref="AG251:AG266" si="722">SUM(AA251+AC251+AE251)</f>
        <v>0</v>
      </c>
      <c r="AH251" s="121">
        <f t="shared" ref="AH251:AH266" si="723">SUM(AB251+AD251+AF251)</f>
        <v>0</v>
      </c>
      <c r="AI251" s="121">
        <f t="shared" ref="AI251:AI266" si="724">SUM(Y251+AG251)</f>
        <v>0</v>
      </c>
      <c r="AJ251" s="121">
        <f t="shared" ref="AJ251:AJ266" si="725">SUM(Z251,AH251)</f>
        <v>0</v>
      </c>
      <c r="AK251" s="121"/>
      <c r="AL251" s="121">
        <f t="shared" ref="AL251:AL266" si="726">M251*AK251*$AL$2/1000</f>
        <v>0</v>
      </c>
      <c r="AM251" s="121"/>
      <c r="AN251" s="121">
        <f t="shared" ref="AN251:AN266" si="727">M251*AM251*$AN$2/1000</f>
        <v>0</v>
      </c>
      <c r="AO251" s="121"/>
      <c r="AP251" s="121">
        <f t="shared" ref="AP251:AP266" si="728">M251*AO251*$AP$2/1000</f>
        <v>0</v>
      </c>
      <c r="AQ251" s="121">
        <f t="shared" ref="AQ251:AQ266" si="729">SUM(AK251+AM251+AO251)</f>
        <v>0</v>
      </c>
      <c r="AR251" s="121">
        <f t="shared" ref="AR251:AR266" si="730">SUM(AL251+AN251+AP251)</f>
        <v>0</v>
      </c>
      <c r="AS251" s="121"/>
      <c r="AT251" s="121">
        <f t="shared" ref="AT251:AT266" si="731">O251*AS251*$AT$2/1000</f>
        <v>0</v>
      </c>
      <c r="AU251" s="121"/>
      <c r="AV251" s="121">
        <f t="shared" ref="AV251:AV266" si="732">O251*AU251*$AV$2/1000</f>
        <v>0</v>
      </c>
      <c r="AW251" s="121"/>
      <c r="AX251" s="121">
        <f t="shared" ref="AX251:AX266" si="733">O251*AW251*$AX$2/1000</f>
        <v>0</v>
      </c>
      <c r="AY251" s="121">
        <f t="shared" ref="AY251:AY266" si="734">SUM(AS251+AU251+AW251)</f>
        <v>0</v>
      </c>
      <c r="AZ251" s="121">
        <f t="shared" ref="AZ251:AZ266" si="735">SUM(AT251+AV251+AX251)</f>
        <v>0</v>
      </c>
      <c r="BA251" s="121">
        <f t="shared" ref="BA251:BA266" si="736">SUM(AQ251+AY251)</f>
        <v>0</v>
      </c>
      <c r="BB251" s="121">
        <f t="shared" ref="BB251:BB266" si="737">SUM(AR251,AZ251)</f>
        <v>0</v>
      </c>
      <c r="BC251" s="1" t="s">
        <v>1715</v>
      </c>
    </row>
    <row r="252" spans="1:55" hidden="1">
      <c r="A252" s="492">
        <v>140</v>
      </c>
      <c r="B252" s="13"/>
      <c r="C252" s="13"/>
      <c r="D252" s="13"/>
      <c r="E252" s="21" t="s">
        <v>511</v>
      </c>
      <c r="F252" s="45" t="s">
        <v>510</v>
      </c>
      <c r="G252" s="45" t="s">
        <v>1059</v>
      </c>
      <c r="H252" s="265" t="s">
        <v>358</v>
      </c>
      <c r="I252" s="54"/>
      <c r="J252" s="162"/>
      <c r="K252" s="54"/>
      <c r="L252" s="162"/>
      <c r="M252" s="54"/>
      <c r="N252" s="162"/>
      <c r="O252" s="54"/>
      <c r="P252" s="162"/>
      <c r="Q252" s="96">
        <f t="shared" si="712"/>
        <v>0</v>
      </c>
      <c r="R252" s="337">
        <f t="shared" si="713"/>
        <v>0</v>
      </c>
      <c r="S252" s="96"/>
      <c r="T252" s="96">
        <f t="shared" si="714"/>
        <v>0</v>
      </c>
      <c r="U252" s="96"/>
      <c r="V252" s="96">
        <f t="shared" si="715"/>
        <v>0</v>
      </c>
      <c r="W252" s="96"/>
      <c r="X252" s="96">
        <f t="shared" si="716"/>
        <v>0</v>
      </c>
      <c r="Y252" s="96">
        <f t="shared" si="717"/>
        <v>0</v>
      </c>
      <c r="Z252" s="96">
        <f t="shared" si="718"/>
        <v>0</v>
      </c>
      <c r="AA252" s="96"/>
      <c r="AB252" s="96">
        <f t="shared" si="719"/>
        <v>0</v>
      </c>
      <c r="AC252" s="96"/>
      <c r="AD252" s="96">
        <f t="shared" si="720"/>
        <v>0</v>
      </c>
      <c r="AE252" s="96"/>
      <c r="AF252" s="95">
        <f t="shared" si="721"/>
        <v>0</v>
      </c>
      <c r="AG252" s="96">
        <f t="shared" si="722"/>
        <v>0</v>
      </c>
      <c r="AH252" s="96">
        <f t="shared" si="723"/>
        <v>0</v>
      </c>
      <c r="AI252" s="96">
        <f t="shared" si="724"/>
        <v>0</v>
      </c>
      <c r="AJ252" s="96">
        <f t="shared" si="725"/>
        <v>0</v>
      </c>
      <c r="AK252" s="96"/>
      <c r="AL252" s="96">
        <f t="shared" si="726"/>
        <v>0</v>
      </c>
      <c r="AM252" s="96"/>
      <c r="AN252" s="96">
        <f t="shared" si="727"/>
        <v>0</v>
      </c>
      <c r="AO252" s="96"/>
      <c r="AP252" s="96">
        <f t="shared" si="728"/>
        <v>0</v>
      </c>
      <c r="AQ252" s="96">
        <f t="shared" si="729"/>
        <v>0</v>
      </c>
      <c r="AR252" s="96">
        <f t="shared" si="730"/>
        <v>0</v>
      </c>
      <c r="AS252" s="96"/>
      <c r="AT252" s="96">
        <f t="shared" si="731"/>
        <v>0</v>
      </c>
      <c r="AU252" s="96"/>
      <c r="AV252" s="96">
        <f t="shared" si="732"/>
        <v>0</v>
      </c>
      <c r="AW252" s="96"/>
      <c r="AX252" s="96">
        <f t="shared" si="733"/>
        <v>0</v>
      </c>
      <c r="AY252" s="96">
        <f t="shared" si="734"/>
        <v>0</v>
      </c>
      <c r="AZ252" s="96">
        <f t="shared" si="735"/>
        <v>0</v>
      </c>
      <c r="BA252" s="96">
        <f t="shared" si="736"/>
        <v>0</v>
      </c>
      <c r="BB252" s="96">
        <f t="shared" si="737"/>
        <v>0</v>
      </c>
      <c r="BC252" s="1" t="s">
        <v>1715</v>
      </c>
    </row>
    <row r="253" spans="1:55" hidden="1">
      <c r="A253" s="492">
        <v>141</v>
      </c>
      <c r="B253" s="13"/>
      <c r="C253" s="13"/>
      <c r="D253" s="13"/>
      <c r="E253" s="351" t="s">
        <v>462</v>
      </c>
      <c r="F253" s="45" t="s">
        <v>460</v>
      </c>
      <c r="G253" s="45" t="s">
        <v>1059</v>
      </c>
      <c r="H253" s="265" t="s">
        <v>358</v>
      </c>
      <c r="I253" s="54"/>
      <c r="J253" s="162"/>
      <c r="K253" s="54"/>
      <c r="L253" s="162"/>
      <c r="M253" s="54"/>
      <c r="N253" s="162"/>
      <c r="O253" s="54"/>
      <c r="P253" s="162"/>
      <c r="Q253" s="96">
        <f t="shared" si="712"/>
        <v>0</v>
      </c>
      <c r="R253" s="337">
        <f t="shared" si="713"/>
        <v>0</v>
      </c>
      <c r="S253" s="96"/>
      <c r="T253" s="96">
        <f t="shared" si="714"/>
        <v>0</v>
      </c>
      <c r="U253" s="96"/>
      <c r="V253" s="96">
        <f t="shared" si="715"/>
        <v>0</v>
      </c>
      <c r="W253" s="96"/>
      <c r="X253" s="96">
        <f t="shared" si="716"/>
        <v>0</v>
      </c>
      <c r="Y253" s="96">
        <f t="shared" si="717"/>
        <v>0</v>
      </c>
      <c r="Z253" s="96">
        <f t="shared" si="718"/>
        <v>0</v>
      </c>
      <c r="AA253" s="96"/>
      <c r="AB253" s="96">
        <f t="shared" si="719"/>
        <v>0</v>
      </c>
      <c r="AC253" s="96"/>
      <c r="AD253" s="96">
        <f t="shared" si="720"/>
        <v>0</v>
      </c>
      <c r="AE253" s="96"/>
      <c r="AF253" s="95">
        <f t="shared" si="721"/>
        <v>0</v>
      </c>
      <c r="AG253" s="96">
        <f t="shared" si="722"/>
        <v>0</v>
      </c>
      <c r="AH253" s="96">
        <f t="shared" si="723"/>
        <v>0</v>
      </c>
      <c r="AI253" s="96">
        <f t="shared" si="724"/>
        <v>0</v>
      </c>
      <c r="AJ253" s="96">
        <f t="shared" si="725"/>
        <v>0</v>
      </c>
      <c r="AK253" s="96"/>
      <c r="AL253" s="96">
        <f t="shared" si="726"/>
        <v>0</v>
      </c>
      <c r="AM253" s="96"/>
      <c r="AN253" s="96">
        <f t="shared" si="727"/>
        <v>0</v>
      </c>
      <c r="AO253" s="96"/>
      <c r="AP253" s="96">
        <f t="shared" si="728"/>
        <v>0</v>
      </c>
      <c r="AQ253" s="96">
        <f t="shared" si="729"/>
        <v>0</v>
      </c>
      <c r="AR253" s="96">
        <f t="shared" si="730"/>
        <v>0</v>
      </c>
      <c r="AS253" s="96"/>
      <c r="AT253" s="96">
        <f t="shared" si="731"/>
        <v>0</v>
      </c>
      <c r="AU253" s="96"/>
      <c r="AV253" s="96">
        <f t="shared" si="732"/>
        <v>0</v>
      </c>
      <c r="AW253" s="96"/>
      <c r="AX253" s="96">
        <f t="shared" si="733"/>
        <v>0</v>
      </c>
      <c r="AY253" s="96">
        <f t="shared" si="734"/>
        <v>0</v>
      </c>
      <c r="AZ253" s="96">
        <f t="shared" si="735"/>
        <v>0</v>
      </c>
      <c r="BA253" s="96">
        <f t="shared" si="736"/>
        <v>0</v>
      </c>
      <c r="BB253" s="96">
        <f t="shared" si="737"/>
        <v>0</v>
      </c>
      <c r="BC253" s="1" t="s">
        <v>1715</v>
      </c>
    </row>
    <row r="254" spans="1:55" hidden="1">
      <c r="A254" s="492">
        <v>142</v>
      </c>
      <c r="B254" s="13"/>
      <c r="C254" s="13"/>
      <c r="D254" s="13"/>
      <c r="E254" s="21" t="s">
        <v>466</v>
      </c>
      <c r="F254" s="45" t="s">
        <v>461</v>
      </c>
      <c r="G254" s="45" t="s">
        <v>1059</v>
      </c>
      <c r="H254" s="265" t="s">
        <v>358</v>
      </c>
      <c r="I254" s="54"/>
      <c r="J254" s="162"/>
      <c r="K254" s="54"/>
      <c r="L254" s="162"/>
      <c r="M254" s="54"/>
      <c r="N254" s="162"/>
      <c r="O254" s="54"/>
      <c r="P254" s="162"/>
      <c r="Q254" s="96">
        <f t="shared" si="712"/>
        <v>0</v>
      </c>
      <c r="R254" s="337">
        <f t="shared" si="713"/>
        <v>0</v>
      </c>
      <c r="S254" s="96"/>
      <c r="T254" s="96">
        <f t="shared" si="714"/>
        <v>0</v>
      </c>
      <c r="U254" s="96"/>
      <c r="V254" s="96">
        <f t="shared" si="715"/>
        <v>0</v>
      </c>
      <c r="W254" s="96"/>
      <c r="X254" s="96">
        <f t="shared" si="716"/>
        <v>0</v>
      </c>
      <c r="Y254" s="96">
        <f t="shared" si="717"/>
        <v>0</v>
      </c>
      <c r="Z254" s="96">
        <f t="shared" si="718"/>
        <v>0</v>
      </c>
      <c r="AA254" s="96"/>
      <c r="AB254" s="96">
        <f t="shared" si="719"/>
        <v>0</v>
      </c>
      <c r="AC254" s="96"/>
      <c r="AD254" s="96">
        <f t="shared" si="720"/>
        <v>0</v>
      </c>
      <c r="AE254" s="96"/>
      <c r="AF254" s="95">
        <f t="shared" si="721"/>
        <v>0</v>
      </c>
      <c r="AG254" s="96">
        <f t="shared" si="722"/>
        <v>0</v>
      </c>
      <c r="AH254" s="96">
        <f t="shared" si="723"/>
        <v>0</v>
      </c>
      <c r="AI254" s="96">
        <f t="shared" si="724"/>
        <v>0</v>
      </c>
      <c r="AJ254" s="96">
        <f t="shared" si="725"/>
        <v>0</v>
      </c>
      <c r="AK254" s="96"/>
      <c r="AL254" s="96">
        <f t="shared" si="726"/>
        <v>0</v>
      </c>
      <c r="AM254" s="96"/>
      <c r="AN254" s="96">
        <f t="shared" si="727"/>
        <v>0</v>
      </c>
      <c r="AO254" s="96"/>
      <c r="AP254" s="96">
        <f t="shared" si="728"/>
        <v>0</v>
      </c>
      <c r="AQ254" s="96">
        <f t="shared" si="729"/>
        <v>0</v>
      </c>
      <c r="AR254" s="96">
        <f t="shared" si="730"/>
        <v>0</v>
      </c>
      <c r="AS254" s="96"/>
      <c r="AT254" s="96">
        <f t="shared" si="731"/>
        <v>0</v>
      </c>
      <c r="AU254" s="96"/>
      <c r="AV254" s="96">
        <f t="shared" si="732"/>
        <v>0</v>
      </c>
      <c r="AW254" s="96"/>
      <c r="AX254" s="96">
        <f t="shared" si="733"/>
        <v>0</v>
      </c>
      <c r="AY254" s="96">
        <f t="shared" si="734"/>
        <v>0</v>
      </c>
      <c r="AZ254" s="96">
        <f t="shared" si="735"/>
        <v>0</v>
      </c>
      <c r="BA254" s="96">
        <f t="shared" si="736"/>
        <v>0</v>
      </c>
      <c r="BB254" s="96">
        <f t="shared" si="737"/>
        <v>0</v>
      </c>
      <c r="BC254" s="1" t="s">
        <v>1715</v>
      </c>
    </row>
    <row r="255" spans="1:55" hidden="1">
      <c r="A255" s="492">
        <v>143</v>
      </c>
      <c r="B255" s="13"/>
      <c r="C255" s="13"/>
      <c r="D255" s="350"/>
      <c r="E255" s="21" t="s">
        <v>150</v>
      </c>
      <c r="F255" s="45" t="s">
        <v>239</v>
      </c>
      <c r="G255" s="45" t="s">
        <v>1059</v>
      </c>
      <c r="H255" s="265" t="s">
        <v>358</v>
      </c>
      <c r="I255" s="18"/>
      <c r="J255" s="157"/>
      <c r="K255" s="18"/>
      <c r="L255" s="157"/>
      <c r="M255" s="18"/>
      <c r="N255" s="157"/>
      <c r="O255" s="18"/>
      <c r="P255" s="157"/>
      <c r="Q255" s="96">
        <f t="shared" si="712"/>
        <v>0</v>
      </c>
      <c r="R255" s="337">
        <f t="shared" si="713"/>
        <v>0</v>
      </c>
      <c r="S255" s="96"/>
      <c r="T255" s="96">
        <f t="shared" si="714"/>
        <v>0</v>
      </c>
      <c r="U255" s="96"/>
      <c r="V255" s="96">
        <f t="shared" si="715"/>
        <v>0</v>
      </c>
      <c r="W255" s="96"/>
      <c r="X255" s="96">
        <f t="shared" si="716"/>
        <v>0</v>
      </c>
      <c r="Y255" s="96">
        <f t="shared" si="717"/>
        <v>0</v>
      </c>
      <c r="Z255" s="96">
        <f t="shared" si="718"/>
        <v>0</v>
      </c>
      <c r="AA255" s="96"/>
      <c r="AB255" s="96">
        <f t="shared" si="719"/>
        <v>0</v>
      </c>
      <c r="AC255" s="96"/>
      <c r="AD255" s="96">
        <f t="shared" si="720"/>
        <v>0</v>
      </c>
      <c r="AE255" s="96"/>
      <c r="AF255" s="95">
        <f t="shared" si="721"/>
        <v>0</v>
      </c>
      <c r="AG255" s="96">
        <f t="shared" si="722"/>
        <v>0</v>
      </c>
      <c r="AH255" s="96">
        <f t="shared" si="723"/>
        <v>0</v>
      </c>
      <c r="AI255" s="96">
        <f t="shared" si="724"/>
        <v>0</v>
      </c>
      <c r="AJ255" s="96">
        <f t="shared" si="725"/>
        <v>0</v>
      </c>
      <c r="AK255" s="96"/>
      <c r="AL255" s="96">
        <f t="shared" si="726"/>
        <v>0</v>
      </c>
      <c r="AM255" s="96"/>
      <c r="AN255" s="96">
        <f t="shared" si="727"/>
        <v>0</v>
      </c>
      <c r="AO255" s="96"/>
      <c r="AP255" s="96">
        <f t="shared" si="728"/>
        <v>0</v>
      </c>
      <c r="AQ255" s="96">
        <f t="shared" si="729"/>
        <v>0</v>
      </c>
      <c r="AR255" s="96">
        <f t="shared" si="730"/>
        <v>0</v>
      </c>
      <c r="AS255" s="96"/>
      <c r="AT255" s="96">
        <f t="shared" si="731"/>
        <v>0</v>
      </c>
      <c r="AU255" s="96"/>
      <c r="AV255" s="96">
        <f t="shared" si="732"/>
        <v>0</v>
      </c>
      <c r="AW255" s="96"/>
      <c r="AX255" s="96">
        <f t="shared" si="733"/>
        <v>0</v>
      </c>
      <c r="AY255" s="96">
        <f t="shared" si="734"/>
        <v>0</v>
      </c>
      <c r="AZ255" s="96">
        <f t="shared" si="735"/>
        <v>0</v>
      </c>
      <c r="BA255" s="96">
        <f t="shared" si="736"/>
        <v>0</v>
      </c>
      <c r="BB255" s="96">
        <f t="shared" si="737"/>
        <v>0</v>
      </c>
      <c r="BC255" s="1" t="s">
        <v>1715</v>
      </c>
    </row>
    <row r="256" spans="1:55" hidden="1">
      <c r="A256" s="492">
        <v>144</v>
      </c>
      <c r="B256" s="13"/>
      <c r="C256" s="23"/>
      <c r="D256" s="36"/>
      <c r="E256" s="21" t="s">
        <v>73</v>
      </c>
      <c r="F256" s="45" t="s">
        <v>240</v>
      </c>
      <c r="G256" s="45" t="s">
        <v>1059</v>
      </c>
      <c r="H256" s="265" t="s">
        <v>358</v>
      </c>
      <c r="I256" s="18"/>
      <c r="J256" s="157"/>
      <c r="K256" s="18"/>
      <c r="L256" s="157"/>
      <c r="M256" s="18"/>
      <c r="N256" s="157"/>
      <c r="O256" s="18"/>
      <c r="P256" s="157"/>
      <c r="Q256" s="96">
        <f t="shared" si="712"/>
        <v>0</v>
      </c>
      <c r="R256" s="337">
        <f t="shared" si="713"/>
        <v>0</v>
      </c>
      <c r="S256" s="96"/>
      <c r="T256" s="96">
        <f t="shared" si="714"/>
        <v>0</v>
      </c>
      <c r="U256" s="96"/>
      <c r="V256" s="96">
        <f t="shared" si="715"/>
        <v>0</v>
      </c>
      <c r="W256" s="96"/>
      <c r="X256" s="96">
        <f t="shared" si="716"/>
        <v>0</v>
      </c>
      <c r="Y256" s="96">
        <f t="shared" si="717"/>
        <v>0</v>
      </c>
      <c r="Z256" s="96">
        <f t="shared" si="718"/>
        <v>0</v>
      </c>
      <c r="AA256" s="96"/>
      <c r="AB256" s="96">
        <f t="shared" si="719"/>
        <v>0</v>
      </c>
      <c r="AC256" s="96"/>
      <c r="AD256" s="96">
        <f t="shared" si="720"/>
        <v>0</v>
      </c>
      <c r="AE256" s="96"/>
      <c r="AF256" s="95">
        <f t="shared" si="721"/>
        <v>0</v>
      </c>
      <c r="AG256" s="96">
        <f t="shared" si="722"/>
        <v>0</v>
      </c>
      <c r="AH256" s="96">
        <f t="shared" si="723"/>
        <v>0</v>
      </c>
      <c r="AI256" s="96">
        <f t="shared" si="724"/>
        <v>0</v>
      </c>
      <c r="AJ256" s="96">
        <f t="shared" si="725"/>
        <v>0</v>
      </c>
      <c r="AK256" s="96"/>
      <c r="AL256" s="96">
        <f t="shared" si="726"/>
        <v>0</v>
      </c>
      <c r="AM256" s="96"/>
      <c r="AN256" s="96">
        <f t="shared" si="727"/>
        <v>0</v>
      </c>
      <c r="AO256" s="96"/>
      <c r="AP256" s="96">
        <f t="shared" si="728"/>
        <v>0</v>
      </c>
      <c r="AQ256" s="96">
        <f t="shared" si="729"/>
        <v>0</v>
      </c>
      <c r="AR256" s="96">
        <f t="shared" si="730"/>
        <v>0</v>
      </c>
      <c r="AS256" s="96"/>
      <c r="AT256" s="96">
        <f t="shared" si="731"/>
        <v>0</v>
      </c>
      <c r="AU256" s="96"/>
      <c r="AV256" s="96">
        <f t="shared" si="732"/>
        <v>0</v>
      </c>
      <c r="AW256" s="96"/>
      <c r="AX256" s="96">
        <f t="shared" si="733"/>
        <v>0</v>
      </c>
      <c r="AY256" s="96">
        <f t="shared" si="734"/>
        <v>0</v>
      </c>
      <c r="AZ256" s="96">
        <f t="shared" si="735"/>
        <v>0</v>
      </c>
      <c r="BA256" s="96">
        <f t="shared" si="736"/>
        <v>0</v>
      </c>
      <c r="BB256" s="96">
        <f t="shared" si="737"/>
        <v>0</v>
      </c>
      <c r="BC256" s="1" t="s">
        <v>1715</v>
      </c>
    </row>
    <row r="257" spans="1:55" hidden="1">
      <c r="A257" s="492">
        <v>145</v>
      </c>
      <c r="B257" s="13"/>
      <c r="C257" s="23"/>
      <c r="D257" s="36"/>
      <c r="E257" s="21" t="s">
        <v>74</v>
      </c>
      <c r="F257" s="45" t="s">
        <v>241</v>
      </c>
      <c r="G257" s="45" t="s">
        <v>1059</v>
      </c>
      <c r="H257" s="265" t="s">
        <v>358</v>
      </c>
      <c r="I257" s="18"/>
      <c r="J257" s="157"/>
      <c r="K257" s="18"/>
      <c r="L257" s="157"/>
      <c r="M257" s="18"/>
      <c r="N257" s="157"/>
      <c r="O257" s="18"/>
      <c r="P257" s="157"/>
      <c r="Q257" s="96">
        <f t="shared" si="712"/>
        <v>0</v>
      </c>
      <c r="R257" s="337">
        <f t="shared" si="713"/>
        <v>0</v>
      </c>
      <c r="S257" s="96"/>
      <c r="T257" s="96">
        <f t="shared" si="714"/>
        <v>0</v>
      </c>
      <c r="U257" s="96"/>
      <c r="V257" s="96">
        <f t="shared" si="715"/>
        <v>0</v>
      </c>
      <c r="W257" s="96"/>
      <c r="X257" s="96">
        <f t="shared" si="716"/>
        <v>0</v>
      </c>
      <c r="Y257" s="96">
        <f t="shared" si="717"/>
        <v>0</v>
      </c>
      <c r="Z257" s="96">
        <f t="shared" si="718"/>
        <v>0</v>
      </c>
      <c r="AA257" s="96"/>
      <c r="AB257" s="96">
        <f t="shared" si="719"/>
        <v>0</v>
      </c>
      <c r="AC257" s="96"/>
      <c r="AD257" s="96">
        <f t="shared" si="720"/>
        <v>0</v>
      </c>
      <c r="AE257" s="96"/>
      <c r="AF257" s="95">
        <f t="shared" si="721"/>
        <v>0</v>
      </c>
      <c r="AG257" s="96">
        <f t="shared" si="722"/>
        <v>0</v>
      </c>
      <c r="AH257" s="96">
        <f t="shared" si="723"/>
        <v>0</v>
      </c>
      <c r="AI257" s="96">
        <f t="shared" si="724"/>
        <v>0</v>
      </c>
      <c r="AJ257" s="96">
        <f t="shared" si="725"/>
        <v>0</v>
      </c>
      <c r="AK257" s="96"/>
      <c r="AL257" s="96">
        <f t="shared" si="726"/>
        <v>0</v>
      </c>
      <c r="AM257" s="96"/>
      <c r="AN257" s="96">
        <f t="shared" si="727"/>
        <v>0</v>
      </c>
      <c r="AO257" s="96"/>
      <c r="AP257" s="96">
        <f t="shared" si="728"/>
        <v>0</v>
      </c>
      <c r="AQ257" s="96">
        <f t="shared" si="729"/>
        <v>0</v>
      </c>
      <c r="AR257" s="96">
        <f t="shared" si="730"/>
        <v>0</v>
      </c>
      <c r="AS257" s="96"/>
      <c r="AT257" s="96">
        <f t="shared" si="731"/>
        <v>0</v>
      </c>
      <c r="AU257" s="96"/>
      <c r="AV257" s="96">
        <f t="shared" si="732"/>
        <v>0</v>
      </c>
      <c r="AW257" s="96"/>
      <c r="AX257" s="96">
        <f t="shared" si="733"/>
        <v>0</v>
      </c>
      <c r="AY257" s="96">
        <f t="shared" si="734"/>
        <v>0</v>
      </c>
      <c r="AZ257" s="96">
        <f t="shared" si="735"/>
        <v>0</v>
      </c>
      <c r="BA257" s="96">
        <f t="shared" si="736"/>
        <v>0</v>
      </c>
      <c r="BB257" s="96">
        <f t="shared" si="737"/>
        <v>0</v>
      </c>
      <c r="BC257" s="1" t="s">
        <v>1715</v>
      </c>
    </row>
    <row r="258" spans="1:55" hidden="1">
      <c r="A258" s="492">
        <v>146</v>
      </c>
      <c r="B258" s="13"/>
      <c r="C258" s="23"/>
      <c r="D258" s="13"/>
      <c r="E258" s="21" t="s">
        <v>75</v>
      </c>
      <c r="F258" s="45" t="s">
        <v>242</v>
      </c>
      <c r="G258" s="45" t="s">
        <v>1059</v>
      </c>
      <c r="H258" s="265" t="s">
        <v>358</v>
      </c>
      <c r="I258" s="18"/>
      <c r="J258" s="157"/>
      <c r="K258" s="18"/>
      <c r="L258" s="157"/>
      <c r="M258" s="18"/>
      <c r="N258" s="157"/>
      <c r="O258" s="18"/>
      <c r="P258" s="157"/>
      <c r="Q258" s="96">
        <f t="shared" si="712"/>
        <v>0</v>
      </c>
      <c r="R258" s="337">
        <f t="shared" si="713"/>
        <v>0</v>
      </c>
      <c r="S258" s="96"/>
      <c r="T258" s="96">
        <f t="shared" si="714"/>
        <v>0</v>
      </c>
      <c r="U258" s="96"/>
      <c r="V258" s="96">
        <f t="shared" si="715"/>
        <v>0</v>
      </c>
      <c r="W258" s="96"/>
      <c r="X258" s="96">
        <f t="shared" si="716"/>
        <v>0</v>
      </c>
      <c r="Y258" s="96">
        <f t="shared" si="717"/>
        <v>0</v>
      </c>
      <c r="Z258" s="96">
        <f t="shared" si="718"/>
        <v>0</v>
      </c>
      <c r="AA258" s="96"/>
      <c r="AB258" s="96">
        <f t="shared" si="719"/>
        <v>0</v>
      </c>
      <c r="AC258" s="96"/>
      <c r="AD258" s="96">
        <f t="shared" si="720"/>
        <v>0</v>
      </c>
      <c r="AE258" s="96"/>
      <c r="AF258" s="95">
        <f t="shared" si="721"/>
        <v>0</v>
      </c>
      <c r="AG258" s="96">
        <f t="shared" si="722"/>
        <v>0</v>
      </c>
      <c r="AH258" s="96">
        <f t="shared" si="723"/>
        <v>0</v>
      </c>
      <c r="AI258" s="96">
        <f t="shared" si="724"/>
        <v>0</v>
      </c>
      <c r="AJ258" s="96">
        <f t="shared" si="725"/>
        <v>0</v>
      </c>
      <c r="AK258" s="96"/>
      <c r="AL258" s="96">
        <f t="shared" si="726"/>
        <v>0</v>
      </c>
      <c r="AM258" s="96"/>
      <c r="AN258" s="96">
        <f t="shared" si="727"/>
        <v>0</v>
      </c>
      <c r="AO258" s="96"/>
      <c r="AP258" s="96">
        <f t="shared" si="728"/>
        <v>0</v>
      </c>
      <c r="AQ258" s="96">
        <f t="shared" si="729"/>
        <v>0</v>
      </c>
      <c r="AR258" s="96">
        <f t="shared" si="730"/>
        <v>0</v>
      </c>
      <c r="AS258" s="96"/>
      <c r="AT258" s="96">
        <f t="shared" si="731"/>
        <v>0</v>
      </c>
      <c r="AU258" s="96"/>
      <c r="AV258" s="96">
        <f t="shared" si="732"/>
        <v>0</v>
      </c>
      <c r="AW258" s="96"/>
      <c r="AX258" s="96">
        <f t="shared" si="733"/>
        <v>0</v>
      </c>
      <c r="AY258" s="96">
        <f t="shared" si="734"/>
        <v>0</v>
      </c>
      <c r="AZ258" s="96">
        <f t="shared" si="735"/>
        <v>0</v>
      </c>
      <c r="BA258" s="96">
        <f t="shared" si="736"/>
        <v>0</v>
      </c>
      <c r="BB258" s="96">
        <f t="shared" si="737"/>
        <v>0</v>
      </c>
      <c r="BC258" s="1" t="s">
        <v>1715</v>
      </c>
    </row>
    <row r="259" spans="1:55" ht="12" hidden="1" customHeight="1">
      <c r="A259" s="492">
        <v>147</v>
      </c>
      <c r="B259" s="13"/>
      <c r="C259" s="23"/>
      <c r="D259" s="350"/>
      <c r="E259" s="21" t="s">
        <v>237</v>
      </c>
      <c r="F259" s="45" t="s">
        <v>148</v>
      </c>
      <c r="G259" s="45" t="s">
        <v>1059</v>
      </c>
      <c r="H259" s="265" t="s">
        <v>360</v>
      </c>
      <c r="I259" s="18"/>
      <c r="J259" s="157"/>
      <c r="K259" s="18"/>
      <c r="L259" s="157"/>
      <c r="M259" s="18"/>
      <c r="N259" s="157"/>
      <c r="O259" s="18"/>
      <c r="P259" s="157"/>
      <c r="Q259" s="96">
        <f t="shared" si="712"/>
        <v>0</v>
      </c>
      <c r="R259" s="337">
        <f t="shared" si="713"/>
        <v>0</v>
      </c>
      <c r="S259" s="96"/>
      <c r="T259" s="96">
        <f t="shared" si="714"/>
        <v>0</v>
      </c>
      <c r="U259" s="96"/>
      <c r="V259" s="96">
        <f t="shared" si="715"/>
        <v>0</v>
      </c>
      <c r="W259" s="96"/>
      <c r="X259" s="96">
        <f t="shared" si="716"/>
        <v>0</v>
      </c>
      <c r="Y259" s="96">
        <f t="shared" si="717"/>
        <v>0</v>
      </c>
      <c r="Z259" s="96">
        <f t="shared" si="718"/>
        <v>0</v>
      </c>
      <c r="AA259" s="96"/>
      <c r="AB259" s="96">
        <f t="shared" si="719"/>
        <v>0</v>
      </c>
      <c r="AC259" s="96"/>
      <c r="AD259" s="96">
        <f t="shared" si="720"/>
        <v>0</v>
      </c>
      <c r="AE259" s="96"/>
      <c r="AF259" s="95">
        <f t="shared" si="721"/>
        <v>0</v>
      </c>
      <c r="AG259" s="96">
        <f t="shared" si="722"/>
        <v>0</v>
      </c>
      <c r="AH259" s="96">
        <f t="shared" si="723"/>
        <v>0</v>
      </c>
      <c r="AI259" s="96">
        <f t="shared" si="724"/>
        <v>0</v>
      </c>
      <c r="AJ259" s="96">
        <f t="shared" si="725"/>
        <v>0</v>
      </c>
      <c r="AK259" s="96"/>
      <c r="AL259" s="96">
        <f t="shared" si="726"/>
        <v>0</v>
      </c>
      <c r="AM259" s="96"/>
      <c r="AN259" s="96">
        <f t="shared" si="727"/>
        <v>0</v>
      </c>
      <c r="AO259" s="96"/>
      <c r="AP259" s="96">
        <f t="shared" si="728"/>
        <v>0</v>
      </c>
      <c r="AQ259" s="96">
        <f t="shared" si="729"/>
        <v>0</v>
      </c>
      <c r="AR259" s="96">
        <f t="shared" si="730"/>
        <v>0</v>
      </c>
      <c r="AS259" s="96"/>
      <c r="AT259" s="96">
        <f t="shared" si="731"/>
        <v>0</v>
      </c>
      <c r="AU259" s="96"/>
      <c r="AV259" s="96">
        <f t="shared" si="732"/>
        <v>0</v>
      </c>
      <c r="AW259" s="96"/>
      <c r="AX259" s="96">
        <f t="shared" si="733"/>
        <v>0</v>
      </c>
      <c r="AY259" s="96">
        <f t="shared" si="734"/>
        <v>0</v>
      </c>
      <c r="AZ259" s="96">
        <f t="shared" si="735"/>
        <v>0</v>
      </c>
      <c r="BA259" s="96">
        <f t="shared" si="736"/>
        <v>0</v>
      </c>
      <c r="BB259" s="96">
        <f t="shared" si="737"/>
        <v>0</v>
      </c>
      <c r="BC259" s="1" t="s">
        <v>1715</v>
      </c>
    </row>
    <row r="260" spans="1:55" hidden="1">
      <c r="A260" s="492">
        <v>148</v>
      </c>
      <c r="B260" s="13"/>
      <c r="C260" s="23"/>
      <c r="D260" s="36"/>
      <c r="E260" s="21" t="s">
        <v>149</v>
      </c>
      <c r="F260" s="45" t="s">
        <v>238</v>
      </c>
      <c r="G260" s="45" t="s">
        <v>1059</v>
      </c>
      <c r="H260" s="265" t="s">
        <v>358</v>
      </c>
      <c r="I260" s="18">
        <v>4.92</v>
      </c>
      <c r="J260" s="157"/>
      <c r="K260" s="18"/>
      <c r="L260" s="157"/>
      <c r="M260" s="18"/>
      <c r="N260" s="157"/>
      <c r="O260" s="18"/>
      <c r="P260" s="157"/>
      <c r="Q260" s="96">
        <f t="shared" si="712"/>
        <v>0</v>
      </c>
      <c r="R260" s="337">
        <f t="shared" si="713"/>
        <v>0</v>
      </c>
      <c r="S260" s="96"/>
      <c r="T260" s="96">
        <f t="shared" si="714"/>
        <v>0</v>
      </c>
      <c r="U260" s="96"/>
      <c r="V260" s="96">
        <f t="shared" si="715"/>
        <v>0</v>
      </c>
      <c r="W260" s="96"/>
      <c r="X260" s="96">
        <f t="shared" si="716"/>
        <v>0</v>
      </c>
      <c r="Y260" s="96">
        <f t="shared" si="717"/>
        <v>0</v>
      </c>
      <c r="Z260" s="96">
        <f t="shared" si="718"/>
        <v>0</v>
      </c>
      <c r="AA260" s="96"/>
      <c r="AB260" s="96">
        <f t="shared" si="719"/>
        <v>0</v>
      </c>
      <c r="AC260" s="96"/>
      <c r="AD260" s="96">
        <f t="shared" si="720"/>
        <v>0</v>
      </c>
      <c r="AE260" s="96"/>
      <c r="AF260" s="95">
        <f t="shared" si="721"/>
        <v>0</v>
      </c>
      <c r="AG260" s="96">
        <f t="shared" si="722"/>
        <v>0</v>
      </c>
      <c r="AH260" s="96">
        <f t="shared" si="723"/>
        <v>0</v>
      </c>
      <c r="AI260" s="96">
        <f t="shared" si="724"/>
        <v>0</v>
      </c>
      <c r="AJ260" s="96">
        <f t="shared" si="725"/>
        <v>0</v>
      </c>
      <c r="AK260" s="96"/>
      <c r="AL260" s="96">
        <f t="shared" si="726"/>
        <v>0</v>
      </c>
      <c r="AM260" s="96"/>
      <c r="AN260" s="96">
        <f t="shared" si="727"/>
        <v>0</v>
      </c>
      <c r="AO260" s="96"/>
      <c r="AP260" s="96">
        <f t="shared" si="728"/>
        <v>0</v>
      </c>
      <c r="AQ260" s="96">
        <f t="shared" si="729"/>
        <v>0</v>
      </c>
      <c r="AR260" s="96">
        <f t="shared" si="730"/>
        <v>0</v>
      </c>
      <c r="AS260" s="96"/>
      <c r="AT260" s="96">
        <f t="shared" si="731"/>
        <v>0</v>
      </c>
      <c r="AU260" s="96"/>
      <c r="AV260" s="96">
        <f t="shared" si="732"/>
        <v>0</v>
      </c>
      <c r="AW260" s="96"/>
      <c r="AX260" s="96">
        <f t="shared" si="733"/>
        <v>0</v>
      </c>
      <c r="AY260" s="96">
        <f t="shared" si="734"/>
        <v>0</v>
      </c>
      <c r="AZ260" s="96">
        <f t="shared" si="735"/>
        <v>0</v>
      </c>
      <c r="BA260" s="96">
        <f t="shared" si="736"/>
        <v>0</v>
      </c>
      <c r="BB260" s="96">
        <f t="shared" si="737"/>
        <v>0</v>
      </c>
      <c r="BC260" s="1" t="s">
        <v>1715</v>
      </c>
    </row>
    <row r="261" spans="1:55" hidden="1">
      <c r="A261" s="492">
        <v>149</v>
      </c>
      <c r="B261" s="13"/>
      <c r="C261" s="23"/>
      <c r="D261" s="36"/>
      <c r="E261" s="21" t="s">
        <v>1766</v>
      </c>
      <c r="F261" s="45"/>
      <c r="G261" s="45" t="s">
        <v>1059</v>
      </c>
      <c r="H261" s="265" t="s">
        <v>358</v>
      </c>
      <c r="I261" s="18">
        <v>7.8</v>
      </c>
      <c r="J261" s="157"/>
      <c r="K261" s="18"/>
      <c r="L261" s="157"/>
      <c r="M261" s="18"/>
      <c r="N261" s="157"/>
      <c r="O261" s="18"/>
      <c r="P261" s="157"/>
      <c r="Q261" s="96">
        <f t="shared" si="712"/>
        <v>0</v>
      </c>
      <c r="R261" s="337">
        <f t="shared" si="713"/>
        <v>0</v>
      </c>
      <c r="S261" s="96"/>
      <c r="T261" s="96">
        <f t="shared" si="714"/>
        <v>0</v>
      </c>
      <c r="U261" s="96"/>
      <c r="V261" s="96">
        <f t="shared" si="715"/>
        <v>0</v>
      </c>
      <c r="W261" s="96"/>
      <c r="X261" s="96">
        <f t="shared" si="716"/>
        <v>0</v>
      </c>
      <c r="Y261" s="96">
        <f t="shared" si="717"/>
        <v>0</v>
      </c>
      <c r="Z261" s="96">
        <f t="shared" si="718"/>
        <v>0</v>
      </c>
      <c r="AA261" s="96"/>
      <c r="AB261" s="96">
        <f t="shared" si="719"/>
        <v>0</v>
      </c>
      <c r="AC261" s="96"/>
      <c r="AD261" s="96">
        <f t="shared" si="720"/>
        <v>0</v>
      </c>
      <c r="AE261" s="96"/>
      <c r="AF261" s="95">
        <f t="shared" si="721"/>
        <v>0</v>
      </c>
      <c r="AG261" s="96">
        <f t="shared" si="722"/>
        <v>0</v>
      </c>
      <c r="AH261" s="96">
        <f t="shared" si="723"/>
        <v>0</v>
      </c>
      <c r="AI261" s="96">
        <f t="shared" si="724"/>
        <v>0</v>
      </c>
      <c r="AJ261" s="96">
        <f t="shared" si="725"/>
        <v>0</v>
      </c>
      <c r="AK261" s="96"/>
      <c r="AL261" s="96">
        <f t="shared" si="726"/>
        <v>0</v>
      </c>
      <c r="AM261" s="96"/>
      <c r="AN261" s="96">
        <f t="shared" si="727"/>
        <v>0</v>
      </c>
      <c r="AO261" s="96"/>
      <c r="AP261" s="96">
        <f t="shared" si="728"/>
        <v>0</v>
      </c>
      <c r="AQ261" s="96">
        <f t="shared" si="729"/>
        <v>0</v>
      </c>
      <c r="AR261" s="96">
        <f t="shared" si="730"/>
        <v>0</v>
      </c>
      <c r="AS261" s="96"/>
      <c r="AT261" s="96">
        <f t="shared" si="731"/>
        <v>0</v>
      </c>
      <c r="AU261" s="96"/>
      <c r="AV261" s="96">
        <f t="shared" si="732"/>
        <v>0</v>
      </c>
      <c r="AW261" s="96"/>
      <c r="AX261" s="96">
        <f t="shared" si="733"/>
        <v>0</v>
      </c>
      <c r="AY261" s="96">
        <f t="shared" si="734"/>
        <v>0</v>
      </c>
      <c r="AZ261" s="96">
        <f t="shared" si="735"/>
        <v>0</v>
      </c>
      <c r="BA261" s="96">
        <f t="shared" si="736"/>
        <v>0</v>
      </c>
      <c r="BB261" s="96">
        <f t="shared" si="737"/>
        <v>0</v>
      </c>
      <c r="BC261" s="1" t="s">
        <v>1715</v>
      </c>
    </row>
    <row r="262" spans="1:55" hidden="1">
      <c r="A262" s="492">
        <v>150</v>
      </c>
      <c r="B262" s="13"/>
      <c r="C262" s="23"/>
      <c r="D262" s="36"/>
      <c r="E262" s="21" t="s">
        <v>1767</v>
      </c>
      <c r="F262" s="45"/>
      <c r="G262" s="45" t="s">
        <v>1059</v>
      </c>
      <c r="H262" s="265" t="s">
        <v>358</v>
      </c>
      <c r="I262" s="18">
        <v>10.199999999999999</v>
      </c>
      <c r="J262" s="157"/>
      <c r="K262" s="18"/>
      <c r="L262" s="157"/>
      <c r="M262" s="18"/>
      <c r="N262" s="157"/>
      <c r="O262" s="18"/>
      <c r="P262" s="157"/>
      <c r="Q262" s="96">
        <f t="shared" si="712"/>
        <v>0</v>
      </c>
      <c r="R262" s="337">
        <f t="shared" si="713"/>
        <v>0</v>
      </c>
      <c r="S262" s="96"/>
      <c r="T262" s="96">
        <f t="shared" si="714"/>
        <v>0</v>
      </c>
      <c r="U262" s="96"/>
      <c r="V262" s="96">
        <f t="shared" si="715"/>
        <v>0</v>
      </c>
      <c r="W262" s="96"/>
      <c r="X262" s="96">
        <f t="shared" si="716"/>
        <v>0</v>
      </c>
      <c r="Y262" s="96">
        <f t="shared" si="717"/>
        <v>0</v>
      </c>
      <c r="Z262" s="96">
        <f t="shared" si="718"/>
        <v>0</v>
      </c>
      <c r="AA262" s="96"/>
      <c r="AB262" s="96">
        <f t="shared" si="719"/>
        <v>0</v>
      </c>
      <c r="AC262" s="96"/>
      <c r="AD262" s="96">
        <f t="shared" si="720"/>
        <v>0</v>
      </c>
      <c r="AE262" s="96"/>
      <c r="AF262" s="95">
        <f t="shared" si="721"/>
        <v>0</v>
      </c>
      <c r="AG262" s="96">
        <f t="shared" si="722"/>
        <v>0</v>
      </c>
      <c r="AH262" s="96">
        <f t="shared" si="723"/>
        <v>0</v>
      </c>
      <c r="AI262" s="96">
        <f t="shared" si="724"/>
        <v>0</v>
      </c>
      <c r="AJ262" s="96">
        <f t="shared" si="725"/>
        <v>0</v>
      </c>
      <c r="AK262" s="96"/>
      <c r="AL262" s="96">
        <f t="shared" si="726"/>
        <v>0</v>
      </c>
      <c r="AM262" s="96"/>
      <c r="AN262" s="96">
        <f t="shared" si="727"/>
        <v>0</v>
      </c>
      <c r="AO262" s="96"/>
      <c r="AP262" s="96">
        <f t="shared" si="728"/>
        <v>0</v>
      </c>
      <c r="AQ262" s="96">
        <f t="shared" si="729"/>
        <v>0</v>
      </c>
      <c r="AR262" s="96">
        <f t="shared" si="730"/>
        <v>0</v>
      </c>
      <c r="AS262" s="96"/>
      <c r="AT262" s="96">
        <f t="shared" si="731"/>
        <v>0</v>
      </c>
      <c r="AU262" s="96"/>
      <c r="AV262" s="96">
        <f t="shared" si="732"/>
        <v>0</v>
      </c>
      <c r="AW262" s="96"/>
      <c r="AX262" s="96">
        <f t="shared" si="733"/>
        <v>0</v>
      </c>
      <c r="AY262" s="96">
        <f t="shared" si="734"/>
        <v>0</v>
      </c>
      <c r="AZ262" s="96">
        <f t="shared" si="735"/>
        <v>0</v>
      </c>
      <c r="BA262" s="96">
        <f t="shared" si="736"/>
        <v>0</v>
      </c>
      <c r="BB262" s="96">
        <f t="shared" si="737"/>
        <v>0</v>
      </c>
      <c r="BC262" s="1" t="s">
        <v>1715</v>
      </c>
    </row>
    <row r="263" spans="1:55" hidden="1">
      <c r="A263" s="492">
        <v>151</v>
      </c>
      <c r="B263" s="13"/>
      <c r="C263" s="23"/>
      <c r="D263" s="13"/>
      <c r="E263" s="21" t="s">
        <v>2225</v>
      </c>
      <c r="F263" s="45"/>
      <c r="G263" s="45" t="s">
        <v>1059</v>
      </c>
      <c r="H263" s="265" t="s">
        <v>358</v>
      </c>
      <c r="I263" s="18">
        <v>10.050000000000001</v>
      </c>
      <c r="J263" s="157"/>
      <c r="K263" s="18"/>
      <c r="L263" s="157"/>
      <c r="M263" s="18"/>
      <c r="N263" s="157"/>
      <c r="O263" s="18"/>
      <c r="P263" s="157"/>
      <c r="Q263" s="96">
        <f t="shared" si="712"/>
        <v>0</v>
      </c>
      <c r="R263" s="337">
        <f t="shared" si="713"/>
        <v>0</v>
      </c>
      <c r="S263" s="96"/>
      <c r="T263" s="96">
        <f t="shared" si="714"/>
        <v>0</v>
      </c>
      <c r="U263" s="96"/>
      <c r="V263" s="96">
        <f t="shared" si="715"/>
        <v>0</v>
      </c>
      <c r="W263" s="96"/>
      <c r="X263" s="96">
        <f t="shared" si="716"/>
        <v>0</v>
      </c>
      <c r="Y263" s="96">
        <f t="shared" si="717"/>
        <v>0</v>
      </c>
      <c r="Z263" s="96">
        <f t="shared" si="718"/>
        <v>0</v>
      </c>
      <c r="AA263" s="96"/>
      <c r="AB263" s="96">
        <f t="shared" si="719"/>
        <v>0</v>
      </c>
      <c r="AC263" s="96"/>
      <c r="AD263" s="96">
        <f t="shared" si="720"/>
        <v>0</v>
      </c>
      <c r="AE263" s="96"/>
      <c r="AF263" s="95">
        <f t="shared" si="721"/>
        <v>0</v>
      </c>
      <c r="AG263" s="96">
        <f t="shared" si="722"/>
        <v>0</v>
      </c>
      <c r="AH263" s="96">
        <f t="shared" si="723"/>
        <v>0</v>
      </c>
      <c r="AI263" s="96">
        <f t="shared" si="724"/>
        <v>0</v>
      </c>
      <c r="AJ263" s="96">
        <f t="shared" si="725"/>
        <v>0</v>
      </c>
      <c r="AK263" s="96"/>
      <c r="AL263" s="96">
        <f t="shared" si="726"/>
        <v>0</v>
      </c>
      <c r="AM263" s="96"/>
      <c r="AN263" s="96">
        <f t="shared" si="727"/>
        <v>0</v>
      </c>
      <c r="AO263" s="96"/>
      <c r="AP263" s="96">
        <f t="shared" si="728"/>
        <v>0</v>
      </c>
      <c r="AQ263" s="96">
        <f t="shared" si="729"/>
        <v>0</v>
      </c>
      <c r="AR263" s="96">
        <f t="shared" si="730"/>
        <v>0</v>
      </c>
      <c r="AS263" s="96"/>
      <c r="AT263" s="96">
        <f t="shared" si="731"/>
        <v>0</v>
      </c>
      <c r="AU263" s="96"/>
      <c r="AV263" s="96">
        <f t="shared" si="732"/>
        <v>0</v>
      </c>
      <c r="AW263" s="96"/>
      <c r="AX263" s="96">
        <f t="shared" si="733"/>
        <v>0</v>
      </c>
      <c r="AY263" s="96">
        <f t="shared" si="734"/>
        <v>0</v>
      </c>
      <c r="AZ263" s="96">
        <f t="shared" si="735"/>
        <v>0</v>
      </c>
      <c r="BA263" s="96">
        <f t="shared" si="736"/>
        <v>0</v>
      </c>
      <c r="BB263" s="96">
        <f t="shared" si="737"/>
        <v>0</v>
      </c>
      <c r="BC263" s="1" t="s">
        <v>1715</v>
      </c>
    </row>
    <row r="264" spans="1:55" ht="12" hidden="1" customHeight="1">
      <c r="A264" s="492">
        <v>152</v>
      </c>
      <c r="B264" s="13"/>
      <c r="C264" s="13"/>
      <c r="D264" s="13"/>
      <c r="E264" s="21" t="s">
        <v>464</v>
      </c>
      <c r="F264" s="45" t="s">
        <v>424</v>
      </c>
      <c r="G264" s="45" t="s">
        <v>1059</v>
      </c>
      <c r="H264" s="265" t="s">
        <v>358</v>
      </c>
      <c r="I264" s="18">
        <v>6.72</v>
      </c>
      <c r="J264" s="162"/>
      <c r="K264" s="18"/>
      <c r="L264" s="162"/>
      <c r="M264" s="18"/>
      <c r="N264" s="162"/>
      <c r="O264" s="18"/>
      <c r="P264" s="162"/>
      <c r="Q264" s="96">
        <f t="shared" si="712"/>
        <v>0</v>
      </c>
      <c r="R264" s="337">
        <f t="shared" si="713"/>
        <v>0</v>
      </c>
      <c r="S264" s="96"/>
      <c r="T264" s="96">
        <f t="shared" si="714"/>
        <v>0</v>
      </c>
      <c r="U264" s="96"/>
      <c r="V264" s="96">
        <f t="shared" si="715"/>
        <v>0</v>
      </c>
      <c r="W264" s="96"/>
      <c r="X264" s="96">
        <f t="shared" si="716"/>
        <v>0</v>
      </c>
      <c r="Y264" s="96">
        <f t="shared" si="717"/>
        <v>0</v>
      </c>
      <c r="Z264" s="96">
        <f t="shared" si="718"/>
        <v>0</v>
      </c>
      <c r="AA264" s="96"/>
      <c r="AB264" s="96">
        <f t="shared" si="719"/>
        <v>0</v>
      </c>
      <c r="AC264" s="96"/>
      <c r="AD264" s="96">
        <f t="shared" si="720"/>
        <v>0</v>
      </c>
      <c r="AE264" s="96"/>
      <c r="AF264" s="95">
        <f t="shared" si="721"/>
        <v>0</v>
      </c>
      <c r="AG264" s="96">
        <f t="shared" si="722"/>
        <v>0</v>
      </c>
      <c r="AH264" s="96">
        <f t="shared" si="723"/>
        <v>0</v>
      </c>
      <c r="AI264" s="96">
        <f t="shared" si="724"/>
        <v>0</v>
      </c>
      <c r="AJ264" s="96">
        <f t="shared" si="725"/>
        <v>0</v>
      </c>
      <c r="AK264" s="96"/>
      <c r="AL264" s="96">
        <f t="shared" si="726"/>
        <v>0</v>
      </c>
      <c r="AM264" s="96"/>
      <c r="AN264" s="96">
        <f t="shared" si="727"/>
        <v>0</v>
      </c>
      <c r="AO264" s="96"/>
      <c r="AP264" s="96">
        <f t="shared" si="728"/>
        <v>0</v>
      </c>
      <c r="AQ264" s="96">
        <f t="shared" si="729"/>
        <v>0</v>
      </c>
      <c r="AR264" s="96">
        <f t="shared" si="730"/>
        <v>0</v>
      </c>
      <c r="AS264" s="96"/>
      <c r="AT264" s="96">
        <f t="shared" si="731"/>
        <v>0</v>
      </c>
      <c r="AU264" s="96"/>
      <c r="AV264" s="96">
        <f t="shared" si="732"/>
        <v>0</v>
      </c>
      <c r="AW264" s="96"/>
      <c r="AX264" s="96">
        <f t="shared" si="733"/>
        <v>0</v>
      </c>
      <c r="AY264" s="96">
        <f t="shared" si="734"/>
        <v>0</v>
      </c>
      <c r="AZ264" s="96">
        <f t="shared" si="735"/>
        <v>0</v>
      </c>
      <c r="BA264" s="96">
        <f t="shared" si="736"/>
        <v>0</v>
      </c>
      <c r="BB264" s="96">
        <f t="shared" si="737"/>
        <v>0</v>
      </c>
      <c r="BC264" s="1" t="s">
        <v>1715</v>
      </c>
    </row>
    <row r="265" spans="1:55" hidden="1">
      <c r="A265" s="492">
        <v>153</v>
      </c>
      <c r="B265" s="13"/>
      <c r="C265" s="13"/>
      <c r="D265" s="13"/>
      <c r="E265" s="21" t="s">
        <v>465</v>
      </c>
      <c r="F265" s="45" t="s">
        <v>425</v>
      </c>
      <c r="G265" s="45" t="s">
        <v>1059</v>
      </c>
      <c r="H265" s="265" t="s">
        <v>358</v>
      </c>
      <c r="I265" s="18">
        <v>6.72</v>
      </c>
      <c r="J265" s="162"/>
      <c r="K265" s="18"/>
      <c r="L265" s="162"/>
      <c r="M265" s="18"/>
      <c r="N265" s="162"/>
      <c r="O265" s="18"/>
      <c r="P265" s="162"/>
      <c r="Q265" s="96">
        <f t="shared" si="712"/>
        <v>0</v>
      </c>
      <c r="R265" s="337">
        <f t="shared" si="713"/>
        <v>0</v>
      </c>
      <c r="S265" s="96"/>
      <c r="T265" s="96">
        <f t="shared" si="714"/>
        <v>0</v>
      </c>
      <c r="U265" s="96"/>
      <c r="V265" s="96">
        <f t="shared" si="715"/>
        <v>0</v>
      </c>
      <c r="W265" s="96"/>
      <c r="X265" s="96">
        <f t="shared" si="716"/>
        <v>0</v>
      </c>
      <c r="Y265" s="96">
        <f t="shared" si="717"/>
        <v>0</v>
      </c>
      <c r="Z265" s="96">
        <f t="shared" si="718"/>
        <v>0</v>
      </c>
      <c r="AA265" s="96"/>
      <c r="AB265" s="96">
        <f t="shared" si="719"/>
        <v>0</v>
      </c>
      <c r="AC265" s="96"/>
      <c r="AD265" s="96">
        <f t="shared" si="720"/>
        <v>0</v>
      </c>
      <c r="AE265" s="96"/>
      <c r="AF265" s="95">
        <f t="shared" si="721"/>
        <v>0</v>
      </c>
      <c r="AG265" s="96">
        <f t="shared" si="722"/>
        <v>0</v>
      </c>
      <c r="AH265" s="96">
        <f t="shared" si="723"/>
        <v>0</v>
      </c>
      <c r="AI265" s="96">
        <f t="shared" si="724"/>
        <v>0</v>
      </c>
      <c r="AJ265" s="96">
        <f t="shared" si="725"/>
        <v>0</v>
      </c>
      <c r="AK265" s="96"/>
      <c r="AL265" s="96">
        <f t="shared" si="726"/>
        <v>0</v>
      </c>
      <c r="AM265" s="96"/>
      <c r="AN265" s="96">
        <f t="shared" si="727"/>
        <v>0</v>
      </c>
      <c r="AO265" s="96"/>
      <c r="AP265" s="96">
        <f t="shared" si="728"/>
        <v>0</v>
      </c>
      <c r="AQ265" s="96">
        <f t="shared" si="729"/>
        <v>0</v>
      </c>
      <c r="AR265" s="96">
        <f t="shared" si="730"/>
        <v>0</v>
      </c>
      <c r="AS265" s="96"/>
      <c r="AT265" s="96">
        <f t="shared" si="731"/>
        <v>0</v>
      </c>
      <c r="AU265" s="96"/>
      <c r="AV265" s="96">
        <f t="shared" si="732"/>
        <v>0</v>
      </c>
      <c r="AW265" s="96"/>
      <c r="AX265" s="96">
        <f t="shared" si="733"/>
        <v>0</v>
      </c>
      <c r="AY265" s="96">
        <f t="shared" si="734"/>
        <v>0</v>
      </c>
      <c r="AZ265" s="96">
        <f t="shared" si="735"/>
        <v>0</v>
      </c>
      <c r="BA265" s="96">
        <f t="shared" si="736"/>
        <v>0</v>
      </c>
      <c r="BB265" s="96">
        <f t="shared" si="737"/>
        <v>0</v>
      </c>
      <c r="BC265" s="1" t="s">
        <v>1715</v>
      </c>
    </row>
    <row r="266" spans="1:55" hidden="1">
      <c r="A266" s="492">
        <v>154</v>
      </c>
      <c r="B266" s="13"/>
      <c r="C266" s="23"/>
      <c r="D266" s="13"/>
      <c r="E266" s="50" t="s">
        <v>513</v>
      </c>
      <c r="F266" s="64" t="s">
        <v>512</v>
      </c>
      <c r="G266" s="64" t="s">
        <v>1059</v>
      </c>
      <c r="H266" s="272" t="s">
        <v>358</v>
      </c>
      <c r="I266" s="38">
        <v>7.12</v>
      </c>
      <c r="J266" s="158"/>
      <c r="K266" s="38"/>
      <c r="L266" s="158"/>
      <c r="M266" s="38"/>
      <c r="N266" s="158"/>
      <c r="O266" s="38"/>
      <c r="P266" s="158"/>
      <c r="Q266" s="94">
        <f t="shared" si="712"/>
        <v>0</v>
      </c>
      <c r="R266" s="338">
        <f t="shared" si="713"/>
        <v>0</v>
      </c>
      <c r="S266" s="94"/>
      <c r="T266" s="94">
        <f t="shared" si="714"/>
        <v>0</v>
      </c>
      <c r="U266" s="94"/>
      <c r="V266" s="94">
        <f t="shared" si="715"/>
        <v>0</v>
      </c>
      <c r="W266" s="94"/>
      <c r="X266" s="94">
        <f t="shared" si="716"/>
        <v>0</v>
      </c>
      <c r="Y266" s="94">
        <f t="shared" si="717"/>
        <v>0</v>
      </c>
      <c r="Z266" s="94">
        <f t="shared" si="718"/>
        <v>0</v>
      </c>
      <c r="AA266" s="94"/>
      <c r="AB266" s="94">
        <f t="shared" si="719"/>
        <v>0</v>
      </c>
      <c r="AC266" s="94"/>
      <c r="AD266" s="94">
        <f t="shared" si="720"/>
        <v>0</v>
      </c>
      <c r="AE266" s="94"/>
      <c r="AF266" s="119">
        <f t="shared" si="721"/>
        <v>0</v>
      </c>
      <c r="AG266" s="94">
        <f t="shared" si="722"/>
        <v>0</v>
      </c>
      <c r="AH266" s="94">
        <f t="shared" si="723"/>
        <v>0</v>
      </c>
      <c r="AI266" s="94">
        <f t="shared" si="724"/>
        <v>0</v>
      </c>
      <c r="AJ266" s="94">
        <f t="shared" si="725"/>
        <v>0</v>
      </c>
      <c r="AK266" s="94"/>
      <c r="AL266" s="94">
        <f t="shared" si="726"/>
        <v>0</v>
      </c>
      <c r="AM266" s="94"/>
      <c r="AN266" s="94">
        <f t="shared" si="727"/>
        <v>0</v>
      </c>
      <c r="AO266" s="94"/>
      <c r="AP266" s="94">
        <f t="shared" si="728"/>
        <v>0</v>
      </c>
      <c r="AQ266" s="94">
        <f t="shared" si="729"/>
        <v>0</v>
      </c>
      <c r="AR266" s="94">
        <f t="shared" si="730"/>
        <v>0</v>
      </c>
      <c r="AS266" s="94"/>
      <c r="AT266" s="94">
        <f t="shared" si="731"/>
        <v>0</v>
      </c>
      <c r="AU266" s="94"/>
      <c r="AV266" s="94">
        <f t="shared" si="732"/>
        <v>0</v>
      </c>
      <c r="AW266" s="94"/>
      <c r="AX266" s="94">
        <f t="shared" si="733"/>
        <v>0</v>
      </c>
      <c r="AY266" s="94">
        <f t="shared" si="734"/>
        <v>0</v>
      </c>
      <c r="AZ266" s="94">
        <f t="shared" si="735"/>
        <v>0</v>
      </c>
      <c r="BA266" s="94">
        <f t="shared" si="736"/>
        <v>0</v>
      </c>
      <c r="BB266" s="94">
        <f t="shared" si="737"/>
        <v>0</v>
      </c>
      <c r="BC266" s="1" t="s">
        <v>1715</v>
      </c>
    </row>
    <row r="267" spans="1:55" hidden="1">
      <c r="A267" s="492">
        <v>155</v>
      </c>
      <c r="B267" s="26"/>
      <c r="C267" s="26"/>
      <c r="D267" s="27"/>
      <c r="E267" s="349" t="s">
        <v>330</v>
      </c>
      <c r="F267" s="28"/>
      <c r="G267" s="28"/>
      <c r="H267" s="269"/>
      <c r="I267" s="138"/>
      <c r="J267" s="98"/>
      <c r="K267" s="29"/>
      <c r="L267" s="159"/>
      <c r="M267" s="29"/>
      <c r="N267" s="159"/>
      <c r="O267" s="138"/>
      <c r="P267" s="98"/>
      <c r="Q267" s="120">
        <f t="shared" ref="Q267:BB267" si="738">SUM(Q251:Q266)</f>
        <v>0</v>
      </c>
      <c r="R267" s="120">
        <f t="shared" si="738"/>
        <v>0</v>
      </c>
      <c r="S267" s="120">
        <f t="shared" si="738"/>
        <v>0</v>
      </c>
      <c r="T267" s="120">
        <f t="shared" si="738"/>
        <v>0</v>
      </c>
      <c r="U267" s="120">
        <f t="shared" si="738"/>
        <v>0</v>
      </c>
      <c r="V267" s="120">
        <f t="shared" si="738"/>
        <v>0</v>
      </c>
      <c r="W267" s="120">
        <f t="shared" si="738"/>
        <v>0</v>
      </c>
      <c r="X267" s="120">
        <f t="shared" si="738"/>
        <v>0</v>
      </c>
      <c r="Y267" s="120">
        <f t="shared" si="738"/>
        <v>0</v>
      </c>
      <c r="Z267" s="120">
        <f t="shared" si="738"/>
        <v>0</v>
      </c>
      <c r="AA267" s="120">
        <f t="shared" si="738"/>
        <v>0</v>
      </c>
      <c r="AB267" s="120">
        <f t="shared" si="738"/>
        <v>0</v>
      </c>
      <c r="AC267" s="120">
        <f t="shared" si="738"/>
        <v>0</v>
      </c>
      <c r="AD267" s="120">
        <f t="shared" si="738"/>
        <v>0</v>
      </c>
      <c r="AE267" s="120">
        <f t="shared" si="738"/>
        <v>0</v>
      </c>
      <c r="AF267" s="129">
        <f t="shared" si="738"/>
        <v>0</v>
      </c>
      <c r="AG267" s="120">
        <f t="shared" si="738"/>
        <v>0</v>
      </c>
      <c r="AH267" s="120">
        <f t="shared" si="738"/>
        <v>0</v>
      </c>
      <c r="AI267" s="120">
        <f t="shared" si="738"/>
        <v>0</v>
      </c>
      <c r="AJ267" s="120">
        <f t="shared" si="738"/>
        <v>0</v>
      </c>
      <c r="AK267" s="120">
        <f t="shared" si="738"/>
        <v>0</v>
      </c>
      <c r="AL267" s="120">
        <f t="shared" si="738"/>
        <v>0</v>
      </c>
      <c r="AM267" s="120">
        <f t="shared" si="738"/>
        <v>0</v>
      </c>
      <c r="AN267" s="120">
        <f t="shared" si="738"/>
        <v>0</v>
      </c>
      <c r="AO267" s="120">
        <f t="shared" si="738"/>
        <v>0</v>
      </c>
      <c r="AP267" s="120">
        <f t="shared" si="738"/>
        <v>0</v>
      </c>
      <c r="AQ267" s="120">
        <f t="shared" si="738"/>
        <v>0</v>
      </c>
      <c r="AR267" s="120">
        <f t="shared" si="738"/>
        <v>0</v>
      </c>
      <c r="AS267" s="120">
        <f t="shared" si="738"/>
        <v>0</v>
      </c>
      <c r="AT267" s="120">
        <f t="shared" si="738"/>
        <v>0</v>
      </c>
      <c r="AU267" s="120">
        <f t="shared" si="738"/>
        <v>0</v>
      </c>
      <c r="AV267" s="120">
        <f t="shared" si="738"/>
        <v>0</v>
      </c>
      <c r="AW267" s="120">
        <f t="shared" si="738"/>
        <v>0</v>
      </c>
      <c r="AX267" s="120">
        <f t="shared" si="738"/>
        <v>0</v>
      </c>
      <c r="AY267" s="120">
        <f t="shared" si="738"/>
        <v>0</v>
      </c>
      <c r="AZ267" s="120">
        <f t="shared" si="738"/>
        <v>0</v>
      </c>
      <c r="BA267" s="120">
        <f t="shared" si="738"/>
        <v>0</v>
      </c>
      <c r="BB267" s="120">
        <f t="shared" si="738"/>
        <v>0</v>
      </c>
      <c r="BC267" s="1" t="s">
        <v>1716</v>
      </c>
    </row>
    <row r="268" spans="1:55" hidden="1">
      <c r="A268" s="492">
        <v>156</v>
      </c>
      <c r="B268" s="13"/>
      <c r="C268" s="13"/>
      <c r="D268" s="352" t="s">
        <v>574</v>
      </c>
      <c r="E268" s="31" t="s">
        <v>243</v>
      </c>
      <c r="F268" s="310" t="s">
        <v>44</v>
      </c>
      <c r="G268" s="310" t="s">
        <v>1059</v>
      </c>
      <c r="H268" s="271" t="s">
        <v>358</v>
      </c>
      <c r="I268" s="43"/>
      <c r="J268" s="161"/>
      <c r="K268" s="43"/>
      <c r="L268" s="161"/>
      <c r="M268" s="43"/>
      <c r="N268" s="161"/>
      <c r="O268" s="43"/>
      <c r="P268" s="161"/>
      <c r="Q268" s="121">
        <f t="shared" ref="Q268:Q280" si="739">SUM(AI268+BA268)</f>
        <v>0</v>
      </c>
      <c r="R268" s="341">
        <f t="shared" ref="R268:R280" si="740">SUM(AJ268+BB268)</f>
        <v>0</v>
      </c>
      <c r="S268" s="121"/>
      <c r="T268" s="121">
        <f t="shared" ref="T268:T280" si="741">I268*S268*$T$2/1000</f>
        <v>0</v>
      </c>
      <c r="U268" s="121"/>
      <c r="V268" s="121">
        <f t="shared" ref="V268:V280" si="742">I268*U268*$V$2/1000</f>
        <v>0</v>
      </c>
      <c r="W268" s="121"/>
      <c r="X268" s="121">
        <f t="shared" ref="X268:X280" si="743">I268*W268*$X$2/1000</f>
        <v>0</v>
      </c>
      <c r="Y268" s="121">
        <f t="shared" ref="Y268:Y280" si="744">SUM(S268+U268+W268)</f>
        <v>0</v>
      </c>
      <c r="Z268" s="121">
        <f t="shared" ref="Z268:Z280" si="745">SUM(T268+V268+X268)</f>
        <v>0</v>
      </c>
      <c r="AA268" s="121"/>
      <c r="AB268" s="121">
        <f t="shared" ref="AB268:AB280" si="746">K268*AA268*$AB$2/1000</f>
        <v>0</v>
      </c>
      <c r="AC268" s="121"/>
      <c r="AD268" s="121">
        <f t="shared" ref="AD268:AD280" si="747">K268*AC268*$AD$2/1000</f>
        <v>0</v>
      </c>
      <c r="AE268" s="121"/>
      <c r="AF268" s="124">
        <f t="shared" ref="AF268:AF280" si="748">K268*AE268*$AF$2/1000</f>
        <v>0</v>
      </c>
      <c r="AG268" s="121">
        <f t="shared" ref="AG268:AG280" si="749">SUM(AA268+AC268+AE268)</f>
        <v>0</v>
      </c>
      <c r="AH268" s="121">
        <f t="shared" ref="AH268:AH280" si="750">SUM(AB268+AD268+AF268)</f>
        <v>0</v>
      </c>
      <c r="AI268" s="121">
        <f t="shared" ref="AI268:AI280" si="751">SUM(Y268+AG268)</f>
        <v>0</v>
      </c>
      <c r="AJ268" s="121">
        <f t="shared" ref="AJ268:AJ280" si="752">SUM(Z268,AH268)</f>
        <v>0</v>
      </c>
      <c r="AK268" s="121"/>
      <c r="AL268" s="121">
        <f t="shared" ref="AL268:AL280" si="753">M268*AK268*$AL$2/1000</f>
        <v>0</v>
      </c>
      <c r="AM268" s="121"/>
      <c r="AN268" s="121">
        <f t="shared" ref="AN268:AN280" si="754">M268*AM268*$AN$2/1000</f>
        <v>0</v>
      </c>
      <c r="AO268" s="121"/>
      <c r="AP268" s="121">
        <f t="shared" ref="AP268:AP280" si="755">M268*AO268*$AP$2/1000</f>
        <v>0</v>
      </c>
      <c r="AQ268" s="121">
        <f t="shared" ref="AQ268:AQ280" si="756">SUM(AK268+AM268+AO268)</f>
        <v>0</v>
      </c>
      <c r="AR268" s="121">
        <f t="shared" ref="AR268:AR280" si="757">SUM(AL268+AN268+AP268)</f>
        <v>0</v>
      </c>
      <c r="AS268" s="121"/>
      <c r="AT268" s="121">
        <f t="shared" ref="AT268:AT280" si="758">O268*AS268*$AT$2/1000</f>
        <v>0</v>
      </c>
      <c r="AU268" s="121"/>
      <c r="AV268" s="121">
        <f t="shared" ref="AV268:AV280" si="759">O268*AU268*$AV$2/1000</f>
        <v>0</v>
      </c>
      <c r="AW268" s="121"/>
      <c r="AX268" s="121">
        <f t="shared" ref="AX268:AX280" si="760">O268*AW268*$AX$2/1000</f>
        <v>0</v>
      </c>
      <c r="AY268" s="121">
        <f t="shared" ref="AY268:AY280" si="761">SUM(AS268+AU268+AW268)</f>
        <v>0</v>
      </c>
      <c r="AZ268" s="121">
        <f t="shared" ref="AZ268:AZ280" si="762">SUM(AT268+AV268+AX268)</f>
        <v>0</v>
      </c>
      <c r="BA268" s="121">
        <f t="shared" ref="BA268:BA280" si="763">SUM(AQ268+AY268)</f>
        <v>0</v>
      </c>
      <c r="BB268" s="121">
        <f t="shared" ref="BB268:BB280" si="764">SUM(AR268,AZ268)</f>
        <v>0</v>
      </c>
      <c r="BC268" s="1" t="s">
        <v>1715</v>
      </c>
    </row>
    <row r="269" spans="1:55" hidden="1">
      <c r="A269" s="492">
        <v>157</v>
      </c>
      <c r="B269" s="13"/>
      <c r="C269" s="13"/>
      <c r="D269" s="13"/>
      <c r="E269" s="21" t="s">
        <v>262</v>
      </c>
      <c r="F269" s="45" t="s">
        <v>263</v>
      </c>
      <c r="G269" s="45" t="s">
        <v>1059</v>
      </c>
      <c r="H269" s="265" t="s">
        <v>358</v>
      </c>
      <c r="I269" s="18"/>
      <c r="J269" s="157"/>
      <c r="K269" s="18"/>
      <c r="L269" s="157"/>
      <c r="M269" s="18"/>
      <c r="N269" s="157"/>
      <c r="O269" s="18"/>
      <c r="P269" s="157"/>
      <c r="Q269" s="96">
        <f t="shared" si="739"/>
        <v>0</v>
      </c>
      <c r="R269" s="337">
        <f t="shared" si="740"/>
        <v>0</v>
      </c>
      <c r="S269" s="96"/>
      <c r="T269" s="96">
        <f t="shared" si="741"/>
        <v>0</v>
      </c>
      <c r="U269" s="96"/>
      <c r="V269" s="96">
        <f t="shared" si="742"/>
        <v>0</v>
      </c>
      <c r="W269" s="96"/>
      <c r="X269" s="96">
        <f t="shared" si="743"/>
        <v>0</v>
      </c>
      <c r="Y269" s="96">
        <f t="shared" si="744"/>
        <v>0</v>
      </c>
      <c r="Z269" s="96">
        <f t="shared" si="745"/>
        <v>0</v>
      </c>
      <c r="AA269" s="96"/>
      <c r="AB269" s="96">
        <f t="shared" si="746"/>
        <v>0</v>
      </c>
      <c r="AC269" s="96"/>
      <c r="AD269" s="96">
        <f t="shared" si="747"/>
        <v>0</v>
      </c>
      <c r="AE269" s="96"/>
      <c r="AF269" s="95">
        <f t="shared" si="748"/>
        <v>0</v>
      </c>
      <c r="AG269" s="96">
        <f t="shared" si="749"/>
        <v>0</v>
      </c>
      <c r="AH269" s="96">
        <f t="shared" si="750"/>
        <v>0</v>
      </c>
      <c r="AI269" s="96">
        <f t="shared" si="751"/>
        <v>0</v>
      </c>
      <c r="AJ269" s="96">
        <f t="shared" si="752"/>
        <v>0</v>
      </c>
      <c r="AK269" s="96"/>
      <c r="AL269" s="96">
        <f t="shared" si="753"/>
        <v>0</v>
      </c>
      <c r="AM269" s="96"/>
      <c r="AN269" s="96">
        <f t="shared" si="754"/>
        <v>0</v>
      </c>
      <c r="AO269" s="96"/>
      <c r="AP269" s="96">
        <f t="shared" si="755"/>
        <v>0</v>
      </c>
      <c r="AQ269" s="96">
        <f t="shared" si="756"/>
        <v>0</v>
      </c>
      <c r="AR269" s="96">
        <f t="shared" si="757"/>
        <v>0</v>
      </c>
      <c r="AS269" s="96"/>
      <c r="AT269" s="96">
        <f t="shared" si="758"/>
        <v>0</v>
      </c>
      <c r="AU269" s="96"/>
      <c r="AV269" s="96">
        <f t="shared" si="759"/>
        <v>0</v>
      </c>
      <c r="AW269" s="96"/>
      <c r="AX269" s="96">
        <f t="shared" si="760"/>
        <v>0</v>
      </c>
      <c r="AY269" s="96">
        <f t="shared" si="761"/>
        <v>0</v>
      </c>
      <c r="AZ269" s="96">
        <f t="shared" si="762"/>
        <v>0</v>
      </c>
      <c r="BA269" s="96">
        <f t="shared" si="763"/>
        <v>0</v>
      </c>
      <c r="BB269" s="96">
        <f t="shared" si="764"/>
        <v>0</v>
      </c>
      <c r="BC269" s="1" t="s">
        <v>1715</v>
      </c>
    </row>
    <row r="270" spans="1:55" hidden="1">
      <c r="A270" s="492">
        <v>158</v>
      </c>
      <c r="B270" s="13"/>
      <c r="C270" s="13"/>
      <c r="D270" s="13"/>
      <c r="E270" s="21" t="s">
        <v>704</v>
      </c>
      <c r="F270" s="45" t="s">
        <v>703</v>
      </c>
      <c r="G270" s="45" t="s">
        <v>1059</v>
      </c>
      <c r="H270" s="265" t="s">
        <v>358</v>
      </c>
      <c r="I270" s="18"/>
      <c r="J270" s="157"/>
      <c r="K270" s="18"/>
      <c r="L270" s="157"/>
      <c r="M270" s="18"/>
      <c r="N270" s="157"/>
      <c r="O270" s="18"/>
      <c r="P270" s="157"/>
      <c r="Q270" s="96">
        <f t="shared" si="739"/>
        <v>0</v>
      </c>
      <c r="R270" s="337">
        <f t="shared" si="740"/>
        <v>0</v>
      </c>
      <c r="S270" s="96"/>
      <c r="T270" s="96">
        <f t="shared" si="741"/>
        <v>0</v>
      </c>
      <c r="U270" s="96"/>
      <c r="V270" s="96">
        <f t="shared" si="742"/>
        <v>0</v>
      </c>
      <c r="W270" s="96"/>
      <c r="X270" s="96">
        <f t="shared" si="743"/>
        <v>0</v>
      </c>
      <c r="Y270" s="96">
        <f t="shared" si="744"/>
        <v>0</v>
      </c>
      <c r="Z270" s="96">
        <f t="shared" si="745"/>
        <v>0</v>
      </c>
      <c r="AA270" s="96"/>
      <c r="AB270" s="96">
        <f t="shared" si="746"/>
        <v>0</v>
      </c>
      <c r="AC270" s="96"/>
      <c r="AD270" s="96">
        <f t="shared" si="747"/>
        <v>0</v>
      </c>
      <c r="AE270" s="96"/>
      <c r="AF270" s="95">
        <f t="shared" si="748"/>
        <v>0</v>
      </c>
      <c r="AG270" s="96">
        <f t="shared" si="749"/>
        <v>0</v>
      </c>
      <c r="AH270" s="96">
        <f t="shared" si="750"/>
        <v>0</v>
      </c>
      <c r="AI270" s="96">
        <f t="shared" si="751"/>
        <v>0</v>
      </c>
      <c r="AJ270" s="96">
        <f t="shared" si="752"/>
        <v>0</v>
      </c>
      <c r="AK270" s="96"/>
      <c r="AL270" s="96">
        <f t="shared" si="753"/>
        <v>0</v>
      </c>
      <c r="AM270" s="96"/>
      <c r="AN270" s="96">
        <f t="shared" si="754"/>
        <v>0</v>
      </c>
      <c r="AO270" s="96"/>
      <c r="AP270" s="96">
        <f t="shared" si="755"/>
        <v>0</v>
      </c>
      <c r="AQ270" s="96">
        <f t="shared" si="756"/>
        <v>0</v>
      </c>
      <c r="AR270" s="96">
        <f t="shared" si="757"/>
        <v>0</v>
      </c>
      <c r="AS270" s="96"/>
      <c r="AT270" s="96">
        <f t="shared" si="758"/>
        <v>0</v>
      </c>
      <c r="AU270" s="96"/>
      <c r="AV270" s="96">
        <f t="shared" si="759"/>
        <v>0</v>
      </c>
      <c r="AW270" s="96"/>
      <c r="AX270" s="96">
        <f t="shared" si="760"/>
        <v>0</v>
      </c>
      <c r="AY270" s="96">
        <f t="shared" si="761"/>
        <v>0</v>
      </c>
      <c r="AZ270" s="96">
        <f t="shared" si="762"/>
        <v>0</v>
      </c>
      <c r="BA270" s="96">
        <f t="shared" si="763"/>
        <v>0</v>
      </c>
      <c r="BB270" s="96">
        <f t="shared" si="764"/>
        <v>0</v>
      </c>
      <c r="BC270" s="1" t="s">
        <v>1715</v>
      </c>
    </row>
    <row r="271" spans="1:55" hidden="1">
      <c r="A271" s="492">
        <v>159</v>
      </c>
      <c r="B271" s="13"/>
      <c r="C271" s="13"/>
      <c r="D271" s="13"/>
      <c r="E271" s="21" t="s">
        <v>721</v>
      </c>
      <c r="F271" s="45" t="s">
        <v>722</v>
      </c>
      <c r="G271" s="45" t="s">
        <v>1059</v>
      </c>
      <c r="H271" s="265" t="s">
        <v>358</v>
      </c>
      <c r="I271" s="18"/>
      <c r="J271" s="157"/>
      <c r="K271" s="18"/>
      <c r="L271" s="157"/>
      <c r="M271" s="18"/>
      <c r="N271" s="157"/>
      <c r="O271" s="18"/>
      <c r="P271" s="157"/>
      <c r="Q271" s="96">
        <f t="shared" si="739"/>
        <v>0</v>
      </c>
      <c r="R271" s="337">
        <f t="shared" si="740"/>
        <v>0</v>
      </c>
      <c r="S271" s="96"/>
      <c r="T271" s="96">
        <f t="shared" si="741"/>
        <v>0</v>
      </c>
      <c r="U271" s="96"/>
      <c r="V271" s="96">
        <f t="shared" si="742"/>
        <v>0</v>
      </c>
      <c r="W271" s="96"/>
      <c r="X271" s="96">
        <f t="shared" si="743"/>
        <v>0</v>
      </c>
      <c r="Y271" s="96">
        <f t="shared" si="744"/>
        <v>0</v>
      </c>
      <c r="Z271" s="96">
        <f t="shared" si="745"/>
        <v>0</v>
      </c>
      <c r="AA271" s="96"/>
      <c r="AB271" s="96">
        <f t="shared" si="746"/>
        <v>0</v>
      </c>
      <c r="AC271" s="96"/>
      <c r="AD271" s="96">
        <f t="shared" si="747"/>
        <v>0</v>
      </c>
      <c r="AE271" s="96"/>
      <c r="AF271" s="95">
        <f t="shared" si="748"/>
        <v>0</v>
      </c>
      <c r="AG271" s="96">
        <f t="shared" si="749"/>
        <v>0</v>
      </c>
      <c r="AH271" s="96">
        <f t="shared" si="750"/>
        <v>0</v>
      </c>
      <c r="AI271" s="96">
        <f t="shared" si="751"/>
        <v>0</v>
      </c>
      <c r="AJ271" s="96">
        <f t="shared" si="752"/>
        <v>0</v>
      </c>
      <c r="AK271" s="96"/>
      <c r="AL271" s="96">
        <f t="shared" si="753"/>
        <v>0</v>
      </c>
      <c r="AM271" s="96"/>
      <c r="AN271" s="96">
        <f t="shared" si="754"/>
        <v>0</v>
      </c>
      <c r="AO271" s="96"/>
      <c r="AP271" s="96">
        <f t="shared" si="755"/>
        <v>0</v>
      </c>
      <c r="AQ271" s="96">
        <f t="shared" si="756"/>
        <v>0</v>
      </c>
      <c r="AR271" s="96">
        <f t="shared" si="757"/>
        <v>0</v>
      </c>
      <c r="AS271" s="96"/>
      <c r="AT271" s="96">
        <f t="shared" si="758"/>
        <v>0</v>
      </c>
      <c r="AU271" s="96"/>
      <c r="AV271" s="96">
        <f t="shared" si="759"/>
        <v>0</v>
      </c>
      <c r="AW271" s="96"/>
      <c r="AX271" s="96">
        <f t="shared" si="760"/>
        <v>0</v>
      </c>
      <c r="AY271" s="96">
        <f t="shared" si="761"/>
        <v>0</v>
      </c>
      <c r="AZ271" s="96">
        <f t="shared" si="762"/>
        <v>0</v>
      </c>
      <c r="BA271" s="96">
        <f t="shared" si="763"/>
        <v>0</v>
      </c>
      <c r="BB271" s="96">
        <f t="shared" si="764"/>
        <v>0</v>
      </c>
      <c r="BC271" s="1" t="s">
        <v>1715</v>
      </c>
    </row>
    <row r="272" spans="1:55" hidden="1">
      <c r="A272" s="492">
        <v>160</v>
      </c>
      <c r="B272" s="13"/>
      <c r="C272" s="13"/>
      <c r="D272" s="13"/>
      <c r="E272" s="21" t="s">
        <v>723</v>
      </c>
      <c r="F272" s="45" t="s">
        <v>724</v>
      </c>
      <c r="G272" s="45" t="s">
        <v>1059</v>
      </c>
      <c r="H272" s="265" t="s">
        <v>358</v>
      </c>
      <c r="I272" s="18"/>
      <c r="J272" s="157"/>
      <c r="K272" s="18"/>
      <c r="L272" s="157"/>
      <c r="M272" s="18"/>
      <c r="N272" s="157"/>
      <c r="O272" s="18"/>
      <c r="P272" s="157"/>
      <c r="Q272" s="96">
        <f t="shared" si="739"/>
        <v>0</v>
      </c>
      <c r="R272" s="337">
        <f t="shared" si="740"/>
        <v>0</v>
      </c>
      <c r="S272" s="96"/>
      <c r="T272" s="96">
        <f t="shared" si="741"/>
        <v>0</v>
      </c>
      <c r="U272" s="96"/>
      <c r="V272" s="96">
        <f t="shared" si="742"/>
        <v>0</v>
      </c>
      <c r="W272" s="96"/>
      <c r="X272" s="96">
        <f t="shared" si="743"/>
        <v>0</v>
      </c>
      <c r="Y272" s="96">
        <f t="shared" si="744"/>
        <v>0</v>
      </c>
      <c r="Z272" s="96">
        <f t="shared" si="745"/>
        <v>0</v>
      </c>
      <c r="AA272" s="96"/>
      <c r="AB272" s="96">
        <f t="shared" si="746"/>
        <v>0</v>
      </c>
      <c r="AC272" s="96"/>
      <c r="AD272" s="96">
        <f t="shared" si="747"/>
        <v>0</v>
      </c>
      <c r="AE272" s="96"/>
      <c r="AF272" s="95">
        <f t="shared" si="748"/>
        <v>0</v>
      </c>
      <c r="AG272" s="96">
        <f t="shared" si="749"/>
        <v>0</v>
      </c>
      <c r="AH272" s="96">
        <f t="shared" si="750"/>
        <v>0</v>
      </c>
      <c r="AI272" s="96">
        <f t="shared" si="751"/>
        <v>0</v>
      </c>
      <c r="AJ272" s="96">
        <f t="shared" si="752"/>
        <v>0</v>
      </c>
      <c r="AK272" s="96"/>
      <c r="AL272" s="96">
        <f t="shared" si="753"/>
        <v>0</v>
      </c>
      <c r="AM272" s="96"/>
      <c r="AN272" s="96">
        <f t="shared" si="754"/>
        <v>0</v>
      </c>
      <c r="AO272" s="96"/>
      <c r="AP272" s="96">
        <f t="shared" si="755"/>
        <v>0</v>
      </c>
      <c r="AQ272" s="96">
        <f t="shared" si="756"/>
        <v>0</v>
      </c>
      <c r="AR272" s="96">
        <f t="shared" si="757"/>
        <v>0</v>
      </c>
      <c r="AS272" s="96"/>
      <c r="AT272" s="96">
        <f t="shared" si="758"/>
        <v>0</v>
      </c>
      <c r="AU272" s="96"/>
      <c r="AV272" s="96">
        <f t="shared" si="759"/>
        <v>0</v>
      </c>
      <c r="AW272" s="96"/>
      <c r="AX272" s="96">
        <f t="shared" si="760"/>
        <v>0</v>
      </c>
      <c r="AY272" s="96">
        <f t="shared" si="761"/>
        <v>0</v>
      </c>
      <c r="AZ272" s="96">
        <f t="shared" si="762"/>
        <v>0</v>
      </c>
      <c r="BA272" s="96">
        <f t="shared" si="763"/>
        <v>0</v>
      </c>
      <c r="BB272" s="96">
        <f t="shared" si="764"/>
        <v>0</v>
      </c>
      <c r="BC272" s="1" t="s">
        <v>1715</v>
      </c>
    </row>
    <row r="273" spans="1:55" hidden="1">
      <c r="A273" s="492">
        <v>161</v>
      </c>
      <c r="B273" s="13"/>
      <c r="C273" s="13"/>
      <c r="D273" s="13"/>
      <c r="E273" s="21" t="s">
        <v>45</v>
      </c>
      <c r="F273" s="45" t="s">
        <v>46</v>
      </c>
      <c r="G273" s="45" t="s">
        <v>1059</v>
      </c>
      <c r="H273" s="265" t="s">
        <v>358</v>
      </c>
      <c r="I273" s="18"/>
      <c r="J273" s="157"/>
      <c r="K273" s="18"/>
      <c r="L273" s="157"/>
      <c r="M273" s="18"/>
      <c r="N273" s="157"/>
      <c r="O273" s="18"/>
      <c r="P273" s="157"/>
      <c r="Q273" s="96">
        <f t="shared" si="739"/>
        <v>0</v>
      </c>
      <c r="R273" s="337">
        <f t="shared" si="740"/>
        <v>0</v>
      </c>
      <c r="S273" s="96"/>
      <c r="T273" s="96">
        <f t="shared" si="741"/>
        <v>0</v>
      </c>
      <c r="U273" s="96"/>
      <c r="V273" s="96">
        <f t="shared" si="742"/>
        <v>0</v>
      </c>
      <c r="W273" s="96"/>
      <c r="X273" s="96">
        <f t="shared" si="743"/>
        <v>0</v>
      </c>
      <c r="Y273" s="96">
        <f t="shared" si="744"/>
        <v>0</v>
      </c>
      <c r="Z273" s="96">
        <f t="shared" si="745"/>
        <v>0</v>
      </c>
      <c r="AA273" s="96"/>
      <c r="AB273" s="96">
        <f t="shared" si="746"/>
        <v>0</v>
      </c>
      <c r="AC273" s="96"/>
      <c r="AD273" s="96">
        <f t="shared" si="747"/>
        <v>0</v>
      </c>
      <c r="AE273" s="96"/>
      <c r="AF273" s="95">
        <f t="shared" si="748"/>
        <v>0</v>
      </c>
      <c r="AG273" s="96">
        <f t="shared" si="749"/>
        <v>0</v>
      </c>
      <c r="AH273" s="96">
        <f t="shared" si="750"/>
        <v>0</v>
      </c>
      <c r="AI273" s="96">
        <f t="shared" si="751"/>
        <v>0</v>
      </c>
      <c r="AJ273" s="96">
        <f t="shared" si="752"/>
        <v>0</v>
      </c>
      <c r="AK273" s="96"/>
      <c r="AL273" s="96">
        <f t="shared" si="753"/>
        <v>0</v>
      </c>
      <c r="AM273" s="96"/>
      <c r="AN273" s="96">
        <f t="shared" si="754"/>
        <v>0</v>
      </c>
      <c r="AO273" s="96"/>
      <c r="AP273" s="96">
        <f t="shared" si="755"/>
        <v>0</v>
      </c>
      <c r="AQ273" s="96">
        <f t="shared" si="756"/>
        <v>0</v>
      </c>
      <c r="AR273" s="96">
        <f t="shared" si="757"/>
        <v>0</v>
      </c>
      <c r="AS273" s="96"/>
      <c r="AT273" s="96">
        <f t="shared" si="758"/>
        <v>0</v>
      </c>
      <c r="AU273" s="96"/>
      <c r="AV273" s="96">
        <f t="shared" si="759"/>
        <v>0</v>
      </c>
      <c r="AW273" s="96"/>
      <c r="AX273" s="96">
        <f t="shared" si="760"/>
        <v>0</v>
      </c>
      <c r="AY273" s="96">
        <f t="shared" si="761"/>
        <v>0</v>
      </c>
      <c r="AZ273" s="96">
        <f t="shared" si="762"/>
        <v>0</v>
      </c>
      <c r="BA273" s="96">
        <f t="shared" si="763"/>
        <v>0</v>
      </c>
      <c r="BB273" s="96">
        <f t="shared" si="764"/>
        <v>0</v>
      </c>
      <c r="BC273" s="1" t="s">
        <v>1715</v>
      </c>
    </row>
    <row r="274" spans="1:55" hidden="1">
      <c r="A274" s="492">
        <v>162</v>
      </c>
      <c r="B274" s="13"/>
      <c r="C274" s="13"/>
      <c r="D274" s="13"/>
      <c r="E274" s="21" t="s">
        <v>151</v>
      </c>
      <c r="F274" s="45" t="s">
        <v>47</v>
      </c>
      <c r="G274" s="45" t="s">
        <v>1059</v>
      </c>
      <c r="H274" s="265" t="s">
        <v>358</v>
      </c>
      <c r="I274" s="18"/>
      <c r="J274" s="157"/>
      <c r="K274" s="18"/>
      <c r="L274" s="157"/>
      <c r="M274" s="18"/>
      <c r="N274" s="157"/>
      <c r="O274" s="18"/>
      <c r="P274" s="157"/>
      <c r="Q274" s="96">
        <f t="shared" si="739"/>
        <v>0</v>
      </c>
      <c r="R274" s="337">
        <f t="shared" si="740"/>
        <v>0</v>
      </c>
      <c r="S274" s="96"/>
      <c r="T274" s="96">
        <f t="shared" si="741"/>
        <v>0</v>
      </c>
      <c r="U274" s="96"/>
      <c r="V274" s="96">
        <f t="shared" si="742"/>
        <v>0</v>
      </c>
      <c r="W274" s="96"/>
      <c r="X274" s="96">
        <f t="shared" si="743"/>
        <v>0</v>
      </c>
      <c r="Y274" s="96">
        <f t="shared" si="744"/>
        <v>0</v>
      </c>
      <c r="Z274" s="96">
        <f t="shared" si="745"/>
        <v>0</v>
      </c>
      <c r="AA274" s="96"/>
      <c r="AB274" s="96">
        <f t="shared" si="746"/>
        <v>0</v>
      </c>
      <c r="AC274" s="96"/>
      <c r="AD274" s="96">
        <f t="shared" si="747"/>
        <v>0</v>
      </c>
      <c r="AE274" s="96"/>
      <c r="AF274" s="95">
        <f t="shared" si="748"/>
        <v>0</v>
      </c>
      <c r="AG274" s="96">
        <f t="shared" si="749"/>
        <v>0</v>
      </c>
      <c r="AH274" s="96">
        <f t="shared" si="750"/>
        <v>0</v>
      </c>
      <c r="AI274" s="96">
        <f t="shared" si="751"/>
        <v>0</v>
      </c>
      <c r="AJ274" s="96">
        <f t="shared" si="752"/>
        <v>0</v>
      </c>
      <c r="AK274" s="96"/>
      <c r="AL274" s="96">
        <f t="shared" si="753"/>
        <v>0</v>
      </c>
      <c r="AM274" s="96"/>
      <c r="AN274" s="96">
        <f t="shared" si="754"/>
        <v>0</v>
      </c>
      <c r="AO274" s="96"/>
      <c r="AP274" s="96">
        <f t="shared" si="755"/>
        <v>0</v>
      </c>
      <c r="AQ274" s="96">
        <f t="shared" si="756"/>
        <v>0</v>
      </c>
      <c r="AR274" s="96">
        <f t="shared" si="757"/>
        <v>0</v>
      </c>
      <c r="AS274" s="96"/>
      <c r="AT274" s="96">
        <f t="shared" si="758"/>
        <v>0</v>
      </c>
      <c r="AU274" s="96"/>
      <c r="AV274" s="96">
        <f t="shared" si="759"/>
        <v>0</v>
      </c>
      <c r="AW274" s="96"/>
      <c r="AX274" s="96">
        <f t="shared" si="760"/>
        <v>0</v>
      </c>
      <c r="AY274" s="96">
        <f t="shared" si="761"/>
        <v>0</v>
      </c>
      <c r="AZ274" s="96">
        <f t="shared" si="762"/>
        <v>0</v>
      </c>
      <c r="BA274" s="96">
        <f t="shared" si="763"/>
        <v>0</v>
      </c>
      <c r="BB274" s="96">
        <f t="shared" si="764"/>
        <v>0</v>
      </c>
      <c r="BC274" s="1" t="s">
        <v>1715</v>
      </c>
    </row>
    <row r="275" spans="1:55" hidden="1">
      <c r="A275" s="492">
        <v>163</v>
      </c>
      <c r="B275" s="13"/>
      <c r="C275" s="23"/>
      <c r="D275" s="13"/>
      <c r="E275" s="21" t="s">
        <v>244</v>
      </c>
      <c r="F275" s="45" t="s">
        <v>245</v>
      </c>
      <c r="G275" s="45" t="s">
        <v>1059</v>
      </c>
      <c r="H275" s="265" t="s">
        <v>358</v>
      </c>
      <c r="I275" s="18"/>
      <c r="J275" s="157"/>
      <c r="K275" s="18"/>
      <c r="L275" s="157"/>
      <c r="M275" s="18"/>
      <c r="N275" s="157"/>
      <c r="O275" s="18"/>
      <c r="P275" s="157"/>
      <c r="Q275" s="96">
        <f t="shared" si="739"/>
        <v>0</v>
      </c>
      <c r="R275" s="337">
        <f t="shared" si="740"/>
        <v>0</v>
      </c>
      <c r="S275" s="96"/>
      <c r="T275" s="96">
        <f t="shared" si="741"/>
        <v>0</v>
      </c>
      <c r="U275" s="96"/>
      <c r="V275" s="96">
        <f t="shared" si="742"/>
        <v>0</v>
      </c>
      <c r="W275" s="96"/>
      <c r="X275" s="96">
        <f t="shared" si="743"/>
        <v>0</v>
      </c>
      <c r="Y275" s="96">
        <f t="shared" si="744"/>
        <v>0</v>
      </c>
      <c r="Z275" s="96">
        <f t="shared" si="745"/>
        <v>0</v>
      </c>
      <c r="AA275" s="96"/>
      <c r="AB275" s="96">
        <f t="shared" si="746"/>
        <v>0</v>
      </c>
      <c r="AC275" s="96"/>
      <c r="AD275" s="96">
        <f t="shared" si="747"/>
        <v>0</v>
      </c>
      <c r="AE275" s="96"/>
      <c r="AF275" s="95">
        <f t="shared" si="748"/>
        <v>0</v>
      </c>
      <c r="AG275" s="96">
        <f t="shared" si="749"/>
        <v>0</v>
      </c>
      <c r="AH275" s="96">
        <f t="shared" si="750"/>
        <v>0</v>
      </c>
      <c r="AI275" s="96">
        <f t="shared" si="751"/>
        <v>0</v>
      </c>
      <c r="AJ275" s="96">
        <f t="shared" si="752"/>
        <v>0</v>
      </c>
      <c r="AK275" s="96"/>
      <c r="AL275" s="96">
        <f t="shared" si="753"/>
        <v>0</v>
      </c>
      <c r="AM275" s="96"/>
      <c r="AN275" s="96">
        <f t="shared" si="754"/>
        <v>0</v>
      </c>
      <c r="AO275" s="96"/>
      <c r="AP275" s="96">
        <f t="shared" si="755"/>
        <v>0</v>
      </c>
      <c r="AQ275" s="96">
        <f t="shared" si="756"/>
        <v>0</v>
      </c>
      <c r="AR275" s="96">
        <f t="shared" si="757"/>
        <v>0</v>
      </c>
      <c r="AS275" s="96"/>
      <c r="AT275" s="96">
        <f t="shared" si="758"/>
        <v>0</v>
      </c>
      <c r="AU275" s="96"/>
      <c r="AV275" s="96">
        <f t="shared" si="759"/>
        <v>0</v>
      </c>
      <c r="AW275" s="96"/>
      <c r="AX275" s="96">
        <f t="shared" si="760"/>
        <v>0</v>
      </c>
      <c r="AY275" s="96">
        <f t="shared" si="761"/>
        <v>0</v>
      </c>
      <c r="AZ275" s="96">
        <f t="shared" si="762"/>
        <v>0</v>
      </c>
      <c r="BA275" s="96">
        <f t="shared" si="763"/>
        <v>0</v>
      </c>
      <c r="BB275" s="96">
        <f t="shared" si="764"/>
        <v>0</v>
      </c>
      <c r="BC275" s="1" t="s">
        <v>1718</v>
      </c>
    </row>
    <row r="276" spans="1:55" hidden="1">
      <c r="A276" s="492">
        <v>164</v>
      </c>
      <c r="B276" s="13"/>
      <c r="C276" s="13"/>
      <c r="D276" s="13"/>
      <c r="E276" s="21" t="s">
        <v>152</v>
      </c>
      <c r="F276" s="45" t="s">
        <v>39</v>
      </c>
      <c r="G276" s="45" t="s">
        <v>1059</v>
      </c>
      <c r="H276" s="265" t="s">
        <v>358</v>
      </c>
      <c r="I276" s="18"/>
      <c r="J276" s="157"/>
      <c r="K276" s="18"/>
      <c r="L276" s="157"/>
      <c r="M276" s="18"/>
      <c r="N276" s="157"/>
      <c r="O276" s="18"/>
      <c r="P276" s="157"/>
      <c r="Q276" s="96">
        <f t="shared" si="739"/>
        <v>0</v>
      </c>
      <c r="R276" s="337">
        <f t="shared" si="740"/>
        <v>0</v>
      </c>
      <c r="S276" s="96"/>
      <c r="T276" s="96">
        <f t="shared" si="741"/>
        <v>0</v>
      </c>
      <c r="U276" s="96"/>
      <c r="V276" s="96">
        <f t="shared" si="742"/>
        <v>0</v>
      </c>
      <c r="W276" s="96"/>
      <c r="X276" s="96">
        <f t="shared" si="743"/>
        <v>0</v>
      </c>
      <c r="Y276" s="96">
        <f t="shared" si="744"/>
        <v>0</v>
      </c>
      <c r="Z276" s="96">
        <f t="shared" si="745"/>
        <v>0</v>
      </c>
      <c r="AA276" s="96"/>
      <c r="AB276" s="96">
        <f t="shared" si="746"/>
        <v>0</v>
      </c>
      <c r="AC276" s="96"/>
      <c r="AD276" s="96">
        <f t="shared" si="747"/>
        <v>0</v>
      </c>
      <c r="AE276" s="96"/>
      <c r="AF276" s="95">
        <f t="shared" si="748"/>
        <v>0</v>
      </c>
      <c r="AG276" s="96">
        <f t="shared" si="749"/>
        <v>0</v>
      </c>
      <c r="AH276" s="96">
        <f t="shared" si="750"/>
        <v>0</v>
      </c>
      <c r="AI276" s="96">
        <f t="shared" si="751"/>
        <v>0</v>
      </c>
      <c r="AJ276" s="96">
        <f t="shared" si="752"/>
        <v>0</v>
      </c>
      <c r="AK276" s="96"/>
      <c r="AL276" s="96">
        <f t="shared" si="753"/>
        <v>0</v>
      </c>
      <c r="AM276" s="96"/>
      <c r="AN276" s="96">
        <f t="shared" si="754"/>
        <v>0</v>
      </c>
      <c r="AO276" s="96"/>
      <c r="AP276" s="96">
        <f t="shared" si="755"/>
        <v>0</v>
      </c>
      <c r="AQ276" s="96">
        <f t="shared" si="756"/>
        <v>0</v>
      </c>
      <c r="AR276" s="96">
        <f t="shared" si="757"/>
        <v>0</v>
      </c>
      <c r="AS276" s="96"/>
      <c r="AT276" s="96">
        <f t="shared" si="758"/>
        <v>0</v>
      </c>
      <c r="AU276" s="96"/>
      <c r="AV276" s="96">
        <f t="shared" si="759"/>
        <v>0</v>
      </c>
      <c r="AW276" s="96"/>
      <c r="AX276" s="96">
        <f t="shared" si="760"/>
        <v>0</v>
      </c>
      <c r="AY276" s="96">
        <f t="shared" si="761"/>
        <v>0</v>
      </c>
      <c r="AZ276" s="96">
        <f t="shared" si="762"/>
        <v>0</v>
      </c>
      <c r="BA276" s="96">
        <f t="shared" si="763"/>
        <v>0</v>
      </c>
      <c r="BB276" s="96">
        <f t="shared" si="764"/>
        <v>0</v>
      </c>
      <c r="BC276" s="1" t="s">
        <v>1718</v>
      </c>
    </row>
    <row r="277" spans="1:55" hidden="1">
      <c r="A277" s="492">
        <v>165</v>
      </c>
      <c r="B277" s="13"/>
      <c r="C277" s="33"/>
      <c r="D277" s="353"/>
      <c r="E277" s="354" t="s">
        <v>71</v>
      </c>
      <c r="F277" s="45" t="s">
        <v>144</v>
      </c>
      <c r="G277" s="45" t="s">
        <v>1059</v>
      </c>
      <c r="H277" s="265" t="s">
        <v>360</v>
      </c>
      <c r="I277" s="18"/>
      <c r="J277" s="157"/>
      <c r="K277" s="18"/>
      <c r="L277" s="157"/>
      <c r="M277" s="18"/>
      <c r="N277" s="157"/>
      <c r="O277" s="18"/>
      <c r="P277" s="157"/>
      <c r="Q277" s="96">
        <f t="shared" si="739"/>
        <v>0</v>
      </c>
      <c r="R277" s="337">
        <f t="shared" si="740"/>
        <v>0</v>
      </c>
      <c r="S277" s="96"/>
      <c r="T277" s="96">
        <f t="shared" si="741"/>
        <v>0</v>
      </c>
      <c r="U277" s="96"/>
      <c r="V277" s="96">
        <f t="shared" si="742"/>
        <v>0</v>
      </c>
      <c r="W277" s="96"/>
      <c r="X277" s="96">
        <f t="shared" si="743"/>
        <v>0</v>
      </c>
      <c r="Y277" s="96">
        <f t="shared" si="744"/>
        <v>0</v>
      </c>
      <c r="Z277" s="96">
        <f t="shared" si="745"/>
        <v>0</v>
      </c>
      <c r="AA277" s="96"/>
      <c r="AB277" s="96">
        <f t="shared" si="746"/>
        <v>0</v>
      </c>
      <c r="AC277" s="96"/>
      <c r="AD277" s="96">
        <f t="shared" si="747"/>
        <v>0</v>
      </c>
      <c r="AE277" s="96"/>
      <c r="AF277" s="95">
        <f t="shared" si="748"/>
        <v>0</v>
      </c>
      <c r="AG277" s="96">
        <f t="shared" si="749"/>
        <v>0</v>
      </c>
      <c r="AH277" s="96">
        <f t="shared" si="750"/>
        <v>0</v>
      </c>
      <c r="AI277" s="96">
        <f t="shared" si="751"/>
        <v>0</v>
      </c>
      <c r="AJ277" s="96">
        <f t="shared" si="752"/>
        <v>0</v>
      </c>
      <c r="AK277" s="96"/>
      <c r="AL277" s="96">
        <f t="shared" si="753"/>
        <v>0</v>
      </c>
      <c r="AM277" s="96"/>
      <c r="AN277" s="96">
        <f t="shared" si="754"/>
        <v>0</v>
      </c>
      <c r="AO277" s="96"/>
      <c r="AP277" s="96">
        <f t="shared" si="755"/>
        <v>0</v>
      </c>
      <c r="AQ277" s="96">
        <f t="shared" si="756"/>
        <v>0</v>
      </c>
      <c r="AR277" s="96">
        <f t="shared" si="757"/>
        <v>0</v>
      </c>
      <c r="AS277" s="96"/>
      <c r="AT277" s="96">
        <f t="shared" si="758"/>
        <v>0</v>
      </c>
      <c r="AU277" s="96"/>
      <c r="AV277" s="96">
        <f t="shared" si="759"/>
        <v>0</v>
      </c>
      <c r="AW277" s="96"/>
      <c r="AX277" s="96">
        <f t="shared" si="760"/>
        <v>0</v>
      </c>
      <c r="AY277" s="96">
        <f t="shared" si="761"/>
        <v>0</v>
      </c>
      <c r="AZ277" s="96">
        <f t="shared" si="762"/>
        <v>0</v>
      </c>
      <c r="BA277" s="96">
        <f t="shared" si="763"/>
        <v>0</v>
      </c>
      <c r="BB277" s="96">
        <f t="shared" si="764"/>
        <v>0</v>
      </c>
      <c r="BC277" s="1" t="s">
        <v>1718</v>
      </c>
    </row>
    <row r="278" spans="1:55" hidden="1">
      <c r="A278" s="492">
        <v>166</v>
      </c>
      <c r="B278" s="13"/>
      <c r="C278" s="33"/>
      <c r="D278" s="353"/>
      <c r="E278" s="354" t="s">
        <v>145</v>
      </c>
      <c r="F278" s="45" t="s">
        <v>146</v>
      </c>
      <c r="G278" s="45" t="s">
        <v>1059</v>
      </c>
      <c r="H278" s="265" t="s">
        <v>360</v>
      </c>
      <c r="I278" s="18"/>
      <c r="J278" s="157"/>
      <c r="K278" s="18"/>
      <c r="L278" s="157"/>
      <c r="M278" s="18"/>
      <c r="N278" s="157"/>
      <c r="O278" s="18"/>
      <c r="P278" s="157"/>
      <c r="Q278" s="96">
        <f t="shared" si="739"/>
        <v>0</v>
      </c>
      <c r="R278" s="337">
        <f t="shared" si="740"/>
        <v>0</v>
      </c>
      <c r="S278" s="96"/>
      <c r="T278" s="96">
        <f t="shared" si="741"/>
        <v>0</v>
      </c>
      <c r="U278" s="96"/>
      <c r="V278" s="96">
        <f t="shared" si="742"/>
        <v>0</v>
      </c>
      <c r="W278" s="96"/>
      <c r="X278" s="96">
        <f t="shared" si="743"/>
        <v>0</v>
      </c>
      <c r="Y278" s="96">
        <f t="shared" si="744"/>
        <v>0</v>
      </c>
      <c r="Z278" s="96">
        <f t="shared" si="745"/>
        <v>0</v>
      </c>
      <c r="AA278" s="96"/>
      <c r="AB278" s="96">
        <f t="shared" si="746"/>
        <v>0</v>
      </c>
      <c r="AC278" s="96"/>
      <c r="AD278" s="96">
        <f t="shared" si="747"/>
        <v>0</v>
      </c>
      <c r="AE278" s="96"/>
      <c r="AF278" s="95">
        <f t="shared" si="748"/>
        <v>0</v>
      </c>
      <c r="AG278" s="96">
        <f t="shared" si="749"/>
        <v>0</v>
      </c>
      <c r="AH278" s="96">
        <f t="shared" si="750"/>
        <v>0</v>
      </c>
      <c r="AI278" s="96">
        <f t="shared" si="751"/>
        <v>0</v>
      </c>
      <c r="AJ278" s="96">
        <f t="shared" si="752"/>
        <v>0</v>
      </c>
      <c r="AK278" s="96"/>
      <c r="AL278" s="96">
        <f t="shared" si="753"/>
        <v>0</v>
      </c>
      <c r="AM278" s="96"/>
      <c r="AN278" s="96">
        <f t="shared" si="754"/>
        <v>0</v>
      </c>
      <c r="AO278" s="96"/>
      <c r="AP278" s="96">
        <f t="shared" si="755"/>
        <v>0</v>
      </c>
      <c r="AQ278" s="96">
        <f t="shared" si="756"/>
        <v>0</v>
      </c>
      <c r="AR278" s="96">
        <f t="shared" si="757"/>
        <v>0</v>
      </c>
      <c r="AS278" s="96"/>
      <c r="AT278" s="96">
        <f t="shared" si="758"/>
        <v>0</v>
      </c>
      <c r="AU278" s="96"/>
      <c r="AV278" s="96">
        <f t="shared" si="759"/>
        <v>0</v>
      </c>
      <c r="AW278" s="96"/>
      <c r="AX278" s="96">
        <f t="shared" si="760"/>
        <v>0</v>
      </c>
      <c r="AY278" s="96">
        <f t="shared" si="761"/>
        <v>0</v>
      </c>
      <c r="AZ278" s="96">
        <f t="shared" si="762"/>
        <v>0</v>
      </c>
      <c r="BA278" s="96">
        <f t="shared" si="763"/>
        <v>0</v>
      </c>
      <c r="BB278" s="96">
        <f t="shared" si="764"/>
        <v>0</v>
      </c>
      <c r="BC278" s="1" t="s">
        <v>1718</v>
      </c>
    </row>
    <row r="279" spans="1:55" hidden="1">
      <c r="A279" s="492">
        <v>167</v>
      </c>
      <c r="B279" s="13"/>
      <c r="C279" s="33"/>
      <c r="D279" s="353"/>
      <c r="E279" s="354" t="s">
        <v>343</v>
      </c>
      <c r="F279" s="45" t="s">
        <v>342</v>
      </c>
      <c r="G279" s="45" t="s">
        <v>1059</v>
      </c>
      <c r="H279" s="265" t="s">
        <v>360</v>
      </c>
      <c r="I279" s="18"/>
      <c r="J279" s="157"/>
      <c r="K279" s="18"/>
      <c r="L279" s="157"/>
      <c r="M279" s="18"/>
      <c r="N279" s="157"/>
      <c r="O279" s="18"/>
      <c r="P279" s="157"/>
      <c r="Q279" s="96">
        <f t="shared" si="739"/>
        <v>0</v>
      </c>
      <c r="R279" s="337">
        <f t="shared" si="740"/>
        <v>0</v>
      </c>
      <c r="S279" s="96"/>
      <c r="T279" s="96">
        <f t="shared" si="741"/>
        <v>0</v>
      </c>
      <c r="U279" s="96"/>
      <c r="V279" s="96">
        <f t="shared" si="742"/>
        <v>0</v>
      </c>
      <c r="W279" s="96"/>
      <c r="X279" s="96">
        <f t="shared" si="743"/>
        <v>0</v>
      </c>
      <c r="Y279" s="96">
        <f t="shared" si="744"/>
        <v>0</v>
      </c>
      <c r="Z279" s="96">
        <f t="shared" si="745"/>
        <v>0</v>
      </c>
      <c r="AA279" s="96"/>
      <c r="AB279" s="96">
        <f t="shared" si="746"/>
        <v>0</v>
      </c>
      <c r="AC279" s="96"/>
      <c r="AD279" s="96">
        <f t="shared" si="747"/>
        <v>0</v>
      </c>
      <c r="AE279" s="96"/>
      <c r="AF279" s="95">
        <f t="shared" si="748"/>
        <v>0</v>
      </c>
      <c r="AG279" s="96">
        <f t="shared" si="749"/>
        <v>0</v>
      </c>
      <c r="AH279" s="96">
        <f t="shared" si="750"/>
        <v>0</v>
      </c>
      <c r="AI279" s="96">
        <f t="shared" si="751"/>
        <v>0</v>
      </c>
      <c r="AJ279" s="96">
        <f t="shared" si="752"/>
        <v>0</v>
      </c>
      <c r="AK279" s="96"/>
      <c r="AL279" s="96">
        <f t="shared" si="753"/>
        <v>0</v>
      </c>
      <c r="AM279" s="96"/>
      <c r="AN279" s="96">
        <f t="shared" si="754"/>
        <v>0</v>
      </c>
      <c r="AO279" s="96"/>
      <c r="AP279" s="96">
        <f t="shared" si="755"/>
        <v>0</v>
      </c>
      <c r="AQ279" s="96">
        <f t="shared" si="756"/>
        <v>0</v>
      </c>
      <c r="AR279" s="96">
        <f t="shared" si="757"/>
        <v>0</v>
      </c>
      <c r="AS279" s="96"/>
      <c r="AT279" s="96">
        <f t="shared" si="758"/>
        <v>0</v>
      </c>
      <c r="AU279" s="96"/>
      <c r="AV279" s="96">
        <f t="shared" si="759"/>
        <v>0</v>
      </c>
      <c r="AW279" s="96"/>
      <c r="AX279" s="96">
        <f t="shared" si="760"/>
        <v>0</v>
      </c>
      <c r="AY279" s="96">
        <f t="shared" si="761"/>
        <v>0</v>
      </c>
      <c r="AZ279" s="96">
        <f t="shared" si="762"/>
        <v>0</v>
      </c>
      <c r="BA279" s="96">
        <f t="shared" si="763"/>
        <v>0</v>
      </c>
      <c r="BB279" s="96">
        <f t="shared" si="764"/>
        <v>0</v>
      </c>
      <c r="BC279" s="1" t="s">
        <v>1718</v>
      </c>
    </row>
    <row r="280" spans="1:55" hidden="1">
      <c r="A280" s="492">
        <v>168</v>
      </c>
      <c r="B280" s="13"/>
      <c r="C280" s="33"/>
      <c r="D280" s="353"/>
      <c r="E280" s="355" t="s">
        <v>442</v>
      </c>
      <c r="F280" s="64" t="s">
        <v>441</v>
      </c>
      <c r="G280" s="64" t="s">
        <v>1059</v>
      </c>
      <c r="H280" s="272" t="s">
        <v>360</v>
      </c>
      <c r="I280" s="38"/>
      <c r="J280" s="158"/>
      <c r="K280" s="38"/>
      <c r="L280" s="158"/>
      <c r="M280" s="38"/>
      <c r="N280" s="158"/>
      <c r="O280" s="38"/>
      <c r="P280" s="158"/>
      <c r="Q280" s="94">
        <f t="shared" si="739"/>
        <v>0</v>
      </c>
      <c r="R280" s="338">
        <f t="shared" si="740"/>
        <v>0</v>
      </c>
      <c r="S280" s="94"/>
      <c r="T280" s="94">
        <f t="shared" si="741"/>
        <v>0</v>
      </c>
      <c r="U280" s="94"/>
      <c r="V280" s="94">
        <f t="shared" si="742"/>
        <v>0</v>
      </c>
      <c r="W280" s="94"/>
      <c r="X280" s="94">
        <f t="shared" si="743"/>
        <v>0</v>
      </c>
      <c r="Y280" s="94">
        <f t="shared" si="744"/>
        <v>0</v>
      </c>
      <c r="Z280" s="94">
        <f t="shared" si="745"/>
        <v>0</v>
      </c>
      <c r="AA280" s="94"/>
      <c r="AB280" s="94">
        <f t="shared" si="746"/>
        <v>0</v>
      </c>
      <c r="AC280" s="94"/>
      <c r="AD280" s="94">
        <f t="shared" si="747"/>
        <v>0</v>
      </c>
      <c r="AE280" s="94"/>
      <c r="AF280" s="119">
        <f t="shared" si="748"/>
        <v>0</v>
      </c>
      <c r="AG280" s="94">
        <f t="shared" si="749"/>
        <v>0</v>
      </c>
      <c r="AH280" s="94">
        <f t="shared" si="750"/>
        <v>0</v>
      </c>
      <c r="AI280" s="94">
        <f t="shared" si="751"/>
        <v>0</v>
      </c>
      <c r="AJ280" s="94">
        <f t="shared" si="752"/>
        <v>0</v>
      </c>
      <c r="AK280" s="94"/>
      <c r="AL280" s="94">
        <f t="shared" si="753"/>
        <v>0</v>
      </c>
      <c r="AM280" s="94"/>
      <c r="AN280" s="94">
        <f t="shared" si="754"/>
        <v>0</v>
      </c>
      <c r="AO280" s="94"/>
      <c r="AP280" s="94">
        <f t="shared" si="755"/>
        <v>0</v>
      </c>
      <c r="AQ280" s="94">
        <f t="shared" si="756"/>
        <v>0</v>
      </c>
      <c r="AR280" s="94">
        <f t="shared" si="757"/>
        <v>0</v>
      </c>
      <c r="AS280" s="94"/>
      <c r="AT280" s="94">
        <f t="shared" si="758"/>
        <v>0</v>
      </c>
      <c r="AU280" s="94"/>
      <c r="AV280" s="94">
        <f t="shared" si="759"/>
        <v>0</v>
      </c>
      <c r="AW280" s="94"/>
      <c r="AX280" s="94">
        <f t="shared" si="760"/>
        <v>0</v>
      </c>
      <c r="AY280" s="94">
        <f t="shared" si="761"/>
        <v>0</v>
      </c>
      <c r="AZ280" s="94">
        <f t="shared" si="762"/>
        <v>0</v>
      </c>
      <c r="BA280" s="94">
        <f t="shared" si="763"/>
        <v>0</v>
      </c>
      <c r="BB280" s="94">
        <f t="shared" si="764"/>
        <v>0</v>
      </c>
      <c r="BC280" s="1" t="s">
        <v>1718</v>
      </c>
    </row>
    <row r="281" spans="1:55" hidden="1">
      <c r="A281" s="492">
        <v>169</v>
      </c>
      <c r="B281" s="26"/>
      <c r="C281" s="26"/>
      <c r="D281" s="27"/>
      <c r="E281" s="349" t="s">
        <v>330</v>
      </c>
      <c r="F281" s="28"/>
      <c r="G281" s="28"/>
      <c r="H281" s="269"/>
      <c r="I281" s="138"/>
      <c r="J281" s="98"/>
      <c r="K281" s="29"/>
      <c r="L281" s="159"/>
      <c r="M281" s="29"/>
      <c r="N281" s="159"/>
      <c r="O281" s="138"/>
      <c r="P281" s="98"/>
      <c r="Q281" s="120">
        <f t="shared" ref="Q281:BB281" si="765">SUM(Q268:Q280)</f>
        <v>0</v>
      </c>
      <c r="R281" s="120">
        <f t="shared" si="765"/>
        <v>0</v>
      </c>
      <c r="S281" s="120">
        <f t="shared" si="765"/>
        <v>0</v>
      </c>
      <c r="T281" s="120">
        <f t="shared" si="765"/>
        <v>0</v>
      </c>
      <c r="U281" s="120">
        <f t="shared" si="765"/>
        <v>0</v>
      </c>
      <c r="V281" s="120">
        <f t="shared" si="765"/>
        <v>0</v>
      </c>
      <c r="W281" s="120">
        <f t="shared" si="765"/>
        <v>0</v>
      </c>
      <c r="X281" s="120">
        <f t="shared" si="765"/>
        <v>0</v>
      </c>
      <c r="Y281" s="120">
        <f t="shared" si="765"/>
        <v>0</v>
      </c>
      <c r="Z281" s="120">
        <f t="shared" si="765"/>
        <v>0</v>
      </c>
      <c r="AA281" s="120">
        <f t="shared" si="765"/>
        <v>0</v>
      </c>
      <c r="AB281" s="120">
        <f t="shared" si="765"/>
        <v>0</v>
      </c>
      <c r="AC281" s="120">
        <f t="shared" si="765"/>
        <v>0</v>
      </c>
      <c r="AD281" s="120">
        <f t="shared" si="765"/>
        <v>0</v>
      </c>
      <c r="AE281" s="120">
        <f t="shared" si="765"/>
        <v>0</v>
      </c>
      <c r="AF281" s="129">
        <f t="shared" si="765"/>
        <v>0</v>
      </c>
      <c r="AG281" s="120">
        <f t="shared" si="765"/>
        <v>0</v>
      </c>
      <c r="AH281" s="120">
        <f t="shared" si="765"/>
        <v>0</v>
      </c>
      <c r="AI281" s="120">
        <f t="shared" si="765"/>
        <v>0</v>
      </c>
      <c r="AJ281" s="120">
        <f t="shared" si="765"/>
        <v>0</v>
      </c>
      <c r="AK281" s="120">
        <f t="shared" si="765"/>
        <v>0</v>
      </c>
      <c r="AL281" s="120">
        <f t="shared" si="765"/>
        <v>0</v>
      </c>
      <c r="AM281" s="120">
        <f t="shared" si="765"/>
        <v>0</v>
      </c>
      <c r="AN281" s="120">
        <f t="shared" si="765"/>
        <v>0</v>
      </c>
      <c r="AO281" s="120">
        <f t="shared" si="765"/>
        <v>0</v>
      </c>
      <c r="AP281" s="120">
        <f t="shared" si="765"/>
        <v>0</v>
      </c>
      <c r="AQ281" s="120">
        <f t="shared" si="765"/>
        <v>0</v>
      </c>
      <c r="AR281" s="120">
        <f t="shared" si="765"/>
        <v>0</v>
      </c>
      <c r="AS281" s="120">
        <f t="shared" si="765"/>
        <v>0</v>
      </c>
      <c r="AT281" s="120">
        <f t="shared" si="765"/>
        <v>0</v>
      </c>
      <c r="AU281" s="120">
        <f t="shared" si="765"/>
        <v>0</v>
      </c>
      <c r="AV281" s="120">
        <f t="shared" si="765"/>
        <v>0</v>
      </c>
      <c r="AW281" s="120">
        <f t="shared" si="765"/>
        <v>0</v>
      </c>
      <c r="AX281" s="120">
        <f t="shared" si="765"/>
        <v>0</v>
      </c>
      <c r="AY281" s="120">
        <f t="shared" si="765"/>
        <v>0</v>
      </c>
      <c r="AZ281" s="120">
        <f t="shared" si="765"/>
        <v>0</v>
      </c>
      <c r="BA281" s="120">
        <f t="shared" si="765"/>
        <v>0</v>
      </c>
      <c r="BB281" s="120">
        <f t="shared" si="765"/>
        <v>0</v>
      </c>
      <c r="BC281" s="1" t="s">
        <v>1716</v>
      </c>
    </row>
    <row r="282" spans="1:55">
      <c r="A282" s="492">
        <v>170</v>
      </c>
      <c r="B282" s="26"/>
      <c r="C282" s="27" t="s">
        <v>134</v>
      </c>
      <c r="D282" s="28"/>
      <c r="E282" s="28"/>
      <c r="F282" s="28"/>
      <c r="G282" s="28"/>
      <c r="H282" s="269"/>
      <c r="I282" s="139"/>
      <c r="J282" s="99"/>
      <c r="K282" s="30"/>
      <c r="L282" s="160"/>
      <c r="M282" s="30"/>
      <c r="N282" s="160"/>
      <c r="O282" s="139"/>
      <c r="P282" s="99"/>
      <c r="Q282" s="120">
        <f t="shared" ref="Q282:BB282" si="766">SUM(Q281,Q267,Q250,Q149)</f>
        <v>1116.059</v>
      </c>
      <c r="R282" s="120">
        <f t="shared" si="766"/>
        <v>8628.5784448494014</v>
      </c>
      <c r="S282" s="120">
        <f t="shared" si="766"/>
        <v>462.26799999999997</v>
      </c>
      <c r="T282" s="120">
        <f t="shared" si="766"/>
        <v>2943.7158353265004</v>
      </c>
      <c r="U282" s="120">
        <f t="shared" si="766"/>
        <v>271.358</v>
      </c>
      <c r="V282" s="120">
        <f t="shared" si="766"/>
        <v>2064.3924967302</v>
      </c>
      <c r="W282" s="120">
        <f t="shared" si="766"/>
        <v>323.18300000000005</v>
      </c>
      <c r="X282" s="120">
        <f t="shared" si="766"/>
        <v>2810.5933371758997</v>
      </c>
      <c r="Y282" s="120">
        <f t="shared" si="766"/>
        <v>1056.809</v>
      </c>
      <c r="Z282" s="120">
        <f t="shared" si="766"/>
        <v>7818.7016692325997</v>
      </c>
      <c r="AA282" s="120">
        <f t="shared" si="766"/>
        <v>59.250000000000014</v>
      </c>
      <c r="AB282" s="120">
        <f t="shared" si="766"/>
        <v>809.87677561680005</v>
      </c>
      <c r="AC282" s="120">
        <f t="shared" si="766"/>
        <v>0</v>
      </c>
      <c r="AD282" s="120">
        <f t="shared" si="766"/>
        <v>0</v>
      </c>
      <c r="AE282" s="120">
        <f t="shared" si="766"/>
        <v>0</v>
      </c>
      <c r="AF282" s="129">
        <f t="shared" si="766"/>
        <v>0</v>
      </c>
      <c r="AG282" s="120">
        <f t="shared" si="766"/>
        <v>59.250000000000014</v>
      </c>
      <c r="AH282" s="120">
        <f t="shared" si="766"/>
        <v>809.87677561680005</v>
      </c>
      <c r="AI282" s="120">
        <f t="shared" si="766"/>
        <v>1116.059</v>
      </c>
      <c r="AJ282" s="120">
        <f t="shared" si="766"/>
        <v>8628.5784448494014</v>
      </c>
      <c r="AK282" s="120">
        <f t="shared" si="766"/>
        <v>0</v>
      </c>
      <c r="AL282" s="120">
        <f t="shared" si="766"/>
        <v>0</v>
      </c>
      <c r="AM282" s="120">
        <f t="shared" si="766"/>
        <v>0</v>
      </c>
      <c r="AN282" s="120">
        <f t="shared" si="766"/>
        <v>0</v>
      </c>
      <c r="AO282" s="120">
        <f t="shared" si="766"/>
        <v>0</v>
      </c>
      <c r="AP282" s="120">
        <f t="shared" si="766"/>
        <v>0</v>
      </c>
      <c r="AQ282" s="120">
        <f t="shared" si="766"/>
        <v>0</v>
      </c>
      <c r="AR282" s="120">
        <f t="shared" si="766"/>
        <v>0</v>
      </c>
      <c r="AS282" s="120">
        <f t="shared" si="766"/>
        <v>0</v>
      </c>
      <c r="AT282" s="120">
        <f t="shared" si="766"/>
        <v>0</v>
      </c>
      <c r="AU282" s="120">
        <f t="shared" si="766"/>
        <v>0</v>
      </c>
      <c r="AV282" s="120">
        <f t="shared" si="766"/>
        <v>0</v>
      </c>
      <c r="AW282" s="120">
        <f t="shared" si="766"/>
        <v>0</v>
      </c>
      <c r="AX282" s="120">
        <f t="shared" si="766"/>
        <v>0</v>
      </c>
      <c r="AY282" s="120">
        <f t="shared" si="766"/>
        <v>0</v>
      </c>
      <c r="AZ282" s="120">
        <f t="shared" si="766"/>
        <v>0</v>
      </c>
      <c r="BA282" s="120">
        <f t="shared" si="766"/>
        <v>0</v>
      </c>
      <c r="BB282" s="120">
        <f t="shared" si="766"/>
        <v>0</v>
      </c>
      <c r="BC282" s="1" t="s">
        <v>1716</v>
      </c>
    </row>
    <row r="283" spans="1:55" hidden="1">
      <c r="A283" s="492">
        <v>171</v>
      </c>
      <c r="B283" s="13"/>
      <c r="C283" s="52" t="s">
        <v>258</v>
      </c>
      <c r="D283" s="52" t="s">
        <v>258</v>
      </c>
      <c r="E283" s="356" t="s">
        <v>259</v>
      </c>
      <c r="F283" s="468" t="s">
        <v>260</v>
      </c>
      <c r="G283" s="467" t="s">
        <v>1061</v>
      </c>
      <c r="H283" s="278" t="s">
        <v>358</v>
      </c>
      <c r="I283" s="143"/>
      <c r="J283" s="357"/>
      <c r="K283" s="56"/>
      <c r="L283" s="358"/>
      <c r="M283" s="56"/>
      <c r="N283" s="358"/>
      <c r="O283" s="143"/>
      <c r="P283" s="357"/>
      <c r="Q283" s="97">
        <f>SUM(AI283+BA283)</f>
        <v>0</v>
      </c>
      <c r="R283" s="359">
        <f>SUM(AJ283+BB283)</f>
        <v>0</v>
      </c>
      <c r="S283" s="97"/>
      <c r="T283" s="97">
        <f>I283*S283*$T$2/1000</f>
        <v>0</v>
      </c>
      <c r="U283" s="97"/>
      <c r="V283" s="360">
        <f>I283*U283*$V$2/1000</f>
        <v>0</v>
      </c>
      <c r="W283" s="217"/>
      <c r="X283" s="361">
        <f>I283*W283*$X$2/1000</f>
        <v>0</v>
      </c>
      <c r="Y283" s="194">
        <f>SUM(S283+U283+W283)</f>
        <v>0</v>
      </c>
      <c r="Z283" s="360">
        <f>SUM(T283+V283+X283)</f>
        <v>0</v>
      </c>
      <c r="AA283" s="217"/>
      <c r="AB283" s="361">
        <f>K283*AA283*$AB$2/1000</f>
        <v>0</v>
      </c>
      <c r="AC283" s="217"/>
      <c r="AD283" s="360">
        <f>K283*AC283*$AD$2/1000</f>
        <v>0</v>
      </c>
      <c r="AE283" s="217"/>
      <c r="AF283" s="226">
        <f>K283*AE283*$AF$2/1000</f>
        <v>0</v>
      </c>
      <c r="AG283" s="194">
        <f>SUM(AA283+AC283+AE283)</f>
        <v>0</v>
      </c>
      <c r="AH283" s="97">
        <f>SUM(AB283+AD283+AF283)</f>
        <v>0</v>
      </c>
      <c r="AI283" s="97">
        <f>SUM(Y283+AG283)</f>
        <v>0</v>
      </c>
      <c r="AJ283" s="360">
        <f>SUM(Z283,AH283)</f>
        <v>0</v>
      </c>
      <c r="AK283" s="217"/>
      <c r="AL283" s="360">
        <f>M283*AK283*$AL$2/1000</f>
        <v>0</v>
      </c>
      <c r="AM283" s="362"/>
      <c r="AN283" s="360">
        <f>M283*AM283*$AN$2/1000</f>
        <v>0</v>
      </c>
      <c r="AO283" s="217"/>
      <c r="AP283" s="361">
        <f>M283*AO283*$AP$2/1000</f>
        <v>0</v>
      </c>
      <c r="AQ283" s="194">
        <f>SUM(AK283+AM283+AO283)</f>
        <v>0</v>
      </c>
      <c r="AR283" s="97">
        <f>SUM(AL283+AN283+AP283)</f>
        <v>0</v>
      </c>
      <c r="AS283" s="97"/>
      <c r="AT283" s="360">
        <f>O283*AS283*$AT$2/1000</f>
        <v>0</v>
      </c>
      <c r="AU283" s="217"/>
      <c r="AV283" s="360">
        <f>O283*AU283*$AV$2/1000</f>
        <v>0</v>
      </c>
      <c r="AW283" s="217"/>
      <c r="AX283" s="361">
        <f>O283*AW283*$AX$2/1000</f>
        <v>0</v>
      </c>
      <c r="AY283" s="194">
        <f>SUM(AS283+AU283+AW283)</f>
        <v>0</v>
      </c>
      <c r="AZ283" s="97">
        <f>SUM(AT283+AV283+AX283)</f>
        <v>0</v>
      </c>
      <c r="BA283" s="97">
        <f>SUM(AQ283+AY283)</f>
        <v>0</v>
      </c>
      <c r="BB283" s="97">
        <f>SUM(AR283,AZ283)</f>
        <v>0</v>
      </c>
      <c r="BC283" s="1" t="s">
        <v>1719</v>
      </c>
    </row>
    <row r="284" spans="1:55" hidden="1">
      <c r="A284" s="492">
        <v>172</v>
      </c>
      <c r="B284" s="26"/>
      <c r="C284" s="27" t="s">
        <v>134</v>
      </c>
      <c r="D284" s="51"/>
      <c r="E284" s="324"/>
      <c r="F284" s="91"/>
      <c r="G284" s="28"/>
      <c r="H284" s="269"/>
      <c r="I284" s="139"/>
      <c r="J284" s="100"/>
      <c r="K284" s="30"/>
      <c r="L284" s="30"/>
      <c r="M284" s="30"/>
      <c r="N284" s="30"/>
      <c r="O284" s="139"/>
      <c r="P284" s="100"/>
      <c r="Q284" s="120">
        <f t="shared" ref="Q284:BB284" si="767">SUM(Q283)</f>
        <v>0</v>
      </c>
      <c r="R284" s="120">
        <f t="shared" si="767"/>
        <v>0</v>
      </c>
      <c r="S284" s="120">
        <f t="shared" si="767"/>
        <v>0</v>
      </c>
      <c r="T284" s="120">
        <f t="shared" si="767"/>
        <v>0</v>
      </c>
      <c r="U284" s="120">
        <f t="shared" si="767"/>
        <v>0</v>
      </c>
      <c r="V284" s="120">
        <f t="shared" si="767"/>
        <v>0</v>
      </c>
      <c r="W284" s="120">
        <f t="shared" si="767"/>
        <v>0</v>
      </c>
      <c r="X284" s="120">
        <f t="shared" si="767"/>
        <v>0</v>
      </c>
      <c r="Y284" s="120">
        <f t="shared" si="767"/>
        <v>0</v>
      </c>
      <c r="Z284" s="120">
        <f t="shared" si="767"/>
        <v>0</v>
      </c>
      <c r="AA284" s="120">
        <f t="shared" si="767"/>
        <v>0</v>
      </c>
      <c r="AB284" s="120">
        <f t="shared" si="767"/>
        <v>0</v>
      </c>
      <c r="AC284" s="120">
        <f t="shared" si="767"/>
        <v>0</v>
      </c>
      <c r="AD284" s="120">
        <f t="shared" si="767"/>
        <v>0</v>
      </c>
      <c r="AE284" s="120">
        <f t="shared" si="767"/>
        <v>0</v>
      </c>
      <c r="AF284" s="129">
        <f t="shared" si="767"/>
        <v>0</v>
      </c>
      <c r="AG284" s="120">
        <f t="shared" si="767"/>
        <v>0</v>
      </c>
      <c r="AH284" s="120">
        <f t="shared" si="767"/>
        <v>0</v>
      </c>
      <c r="AI284" s="120">
        <f t="shared" si="767"/>
        <v>0</v>
      </c>
      <c r="AJ284" s="120">
        <f t="shared" si="767"/>
        <v>0</v>
      </c>
      <c r="AK284" s="120">
        <f t="shared" si="767"/>
        <v>0</v>
      </c>
      <c r="AL284" s="120">
        <f t="shared" si="767"/>
        <v>0</v>
      </c>
      <c r="AM284" s="120">
        <f t="shared" si="767"/>
        <v>0</v>
      </c>
      <c r="AN284" s="120">
        <f t="shared" si="767"/>
        <v>0</v>
      </c>
      <c r="AO284" s="120">
        <f t="shared" si="767"/>
        <v>0</v>
      </c>
      <c r="AP284" s="120">
        <f t="shared" si="767"/>
        <v>0</v>
      </c>
      <c r="AQ284" s="120">
        <f t="shared" si="767"/>
        <v>0</v>
      </c>
      <c r="AR284" s="120">
        <f t="shared" si="767"/>
        <v>0</v>
      </c>
      <c r="AS284" s="120">
        <f t="shared" si="767"/>
        <v>0</v>
      </c>
      <c r="AT284" s="120">
        <f t="shared" si="767"/>
        <v>0</v>
      </c>
      <c r="AU284" s="120">
        <f t="shared" si="767"/>
        <v>0</v>
      </c>
      <c r="AV284" s="120">
        <f t="shared" si="767"/>
        <v>0</v>
      </c>
      <c r="AW284" s="120">
        <f t="shared" si="767"/>
        <v>0</v>
      </c>
      <c r="AX284" s="120">
        <f t="shared" si="767"/>
        <v>0</v>
      </c>
      <c r="AY284" s="120">
        <f t="shared" si="767"/>
        <v>0</v>
      </c>
      <c r="AZ284" s="120">
        <f t="shared" si="767"/>
        <v>0</v>
      </c>
      <c r="BA284" s="120">
        <f t="shared" si="767"/>
        <v>0</v>
      </c>
      <c r="BB284" s="120">
        <f t="shared" si="767"/>
        <v>0</v>
      </c>
      <c r="BC284" s="1" t="s">
        <v>1719</v>
      </c>
    </row>
    <row r="285" spans="1:55" hidden="1">
      <c r="A285" s="492">
        <v>173</v>
      </c>
      <c r="B285" s="14"/>
      <c r="C285" s="40" t="s">
        <v>364</v>
      </c>
      <c r="D285" s="40" t="s">
        <v>364</v>
      </c>
      <c r="E285" s="21" t="s">
        <v>508</v>
      </c>
      <c r="F285" s="45" t="s">
        <v>509</v>
      </c>
      <c r="G285" s="547" t="s">
        <v>1060</v>
      </c>
      <c r="H285" s="271" t="s">
        <v>358</v>
      </c>
      <c r="I285" s="142"/>
      <c r="J285" s="101"/>
      <c r="K285" s="54"/>
      <c r="L285" s="162"/>
      <c r="M285" s="54"/>
      <c r="N285" s="162"/>
      <c r="O285" s="142"/>
      <c r="P285" s="101"/>
      <c r="Q285" s="121">
        <f t="shared" ref="Q285:R288" si="768">SUM(AI285+BA285)</f>
        <v>0</v>
      </c>
      <c r="R285" s="341">
        <f t="shared" si="768"/>
        <v>0</v>
      </c>
      <c r="S285" s="96"/>
      <c r="T285" s="121">
        <f>I285*S285*$T$2/1000</f>
        <v>0</v>
      </c>
      <c r="U285" s="96"/>
      <c r="V285" s="212">
        <f>I285*U285*$V$2/1000</f>
        <v>0</v>
      </c>
      <c r="W285" s="206"/>
      <c r="X285" s="205">
        <f>I285*W285*$X$2/1000</f>
        <v>0</v>
      </c>
      <c r="Y285" s="194">
        <f>SUM(S285+U285+W285)</f>
        <v>0</v>
      </c>
      <c r="Z285" s="212">
        <f>SUM(T285+V285+X285)</f>
        <v>0</v>
      </c>
      <c r="AA285" s="206"/>
      <c r="AB285" s="212">
        <f>K285*AA285*$AB$2/1000</f>
        <v>0</v>
      </c>
      <c r="AC285" s="206"/>
      <c r="AD285" s="212">
        <f>K285*AC285*$AD$2/1000</f>
        <v>0</v>
      </c>
      <c r="AE285" s="206"/>
      <c r="AF285" s="212">
        <f>K285*AE285*$AF$2/1000</f>
        <v>0</v>
      </c>
      <c r="AG285" s="188">
        <f t="shared" ref="AG285:AH288" si="769">SUM(AA285+AC285+AE285)</f>
        <v>0</v>
      </c>
      <c r="AH285" s="95">
        <f t="shared" si="769"/>
        <v>0</v>
      </c>
      <c r="AI285" s="121">
        <f>SUM(Y285+AG285)</f>
        <v>0</v>
      </c>
      <c r="AJ285" s="212">
        <f>SUM(Z285,AH285)</f>
        <v>0</v>
      </c>
      <c r="AK285" s="206"/>
      <c r="AL285" s="180">
        <f>M285*AK285*$AL$2/1000</f>
        <v>0</v>
      </c>
      <c r="AM285" s="243"/>
      <c r="AN285" s="180">
        <f>M285*AM285*$AN$2/1000</f>
        <v>0</v>
      </c>
      <c r="AO285" s="206"/>
      <c r="AP285" s="214">
        <f>M285*AO285*$AP$2/1000</f>
        <v>0</v>
      </c>
      <c r="AQ285" s="192">
        <f t="shared" ref="AQ285:AR288" si="770">SUM(AK285+AM285+AO285)</f>
        <v>0</v>
      </c>
      <c r="AR285" s="94">
        <f t="shared" si="770"/>
        <v>0</v>
      </c>
      <c r="AS285" s="96"/>
      <c r="AT285" s="180">
        <f>O285*AS285*$AT$2/1000</f>
        <v>0</v>
      </c>
      <c r="AU285" s="206"/>
      <c r="AV285" s="180">
        <f>O285*AU285*$AV$2/1000</f>
        <v>0</v>
      </c>
      <c r="AW285" s="206"/>
      <c r="AX285" s="214">
        <f>O285*AW285*$AX$2/1000</f>
        <v>0</v>
      </c>
      <c r="AY285" s="192">
        <f t="shared" ref="AY285:AZ288" si="771">SUM(AS285+AU285+AW285)</f>
        <v>0</v>
      </c>
      <c r="AZ285" s="97">
        <f t="shared" si="771"/>
        <v>0</v>
      </c>
      <c r="BA285" s="97">
        <f>SUM(AQ285+AY285)</f>
        <v>0</v>
      </c>
      <c r="BB285" s="97">
        <f>SUM(AR285,AZ285)</f>
        <v>0</v>
      </c>
      <c r="BC285" s="1" t="s">
        <v>1718</v>
      </c>
    </row>
    <row r="286" spans="1:55" hidden="1">
      <c r="A286" s="492">
        <v>174</v>
      </c>
      <c r="B286" s="14"/>
      <c r="C286" s="40"/>
      <c r="D286" s="40"/>
      <c r="E286" s="21" t="s">
        <v>717</v>
      </c>
      <c r="F286" s="45" t="s">
        <v>718</v>
      </c>
      <c r="G286" s="547" t="s">
        <v>1061</v>
      </c>
      <c r="H286" s="284" t="s">
        <v>358</v>
      </c>
      <c r="I286" s="142"/>
      <c r="J286" s="101"/>
      <c r="K286" s="54"/>
      <c r="L286" s="162"/>
      <c r="M286" s="54"/>
      <c r="N286" s="162"/>
      <c r="O286" s="142"/>
      <c r="P286" s="101"/>
      <c r="Q286" s="130">
        <f t="shared" si="768"/>
        <v>0</v>
      </c>
      <c r="R286" s="347">
        <f t="shared" si="768"/>
        <v>0</v>
      </c>
      <c r="S286" s="96"/>
      <c r="T286" s="121">
        <f>I286*S286*$T$2/1000</f>
        <v>0</v>
      </c>
      <c r="U286" s="96"/>
      <c r="V286" s="212">
        <f>I286*U286*$V$2/1000</f>
        <v>0</v>
      </c>
      <c r="W286" s="206"/>
      <c r="X286" s="205">
        <f>I286*W286*$X$2/1000</f>
        <v>0</v>
      </c>
      <c r="Y286" s="194">
        <f>SUM(S286+U286+W286)</f>
        <v>0</v>
      </c>
      <c r="Z286" s="212">
        <f>SUM(T286+V286+X286)</f>
        <v>0</v>
      </c>
      <c r="AA286" s="206"/>
      <c r="AB286" s="205">
        <f>K286*AA286*$AB$2/1000</f>
        <v>0</v>
      </c>
      <c r="AC286" s="206"/>
      <c r="AD286" s="205">
        <f>K286*AC286*$AD$2/1000</f>
        <v>0</v>
      </c>
      <c r="AE286" s="206"/>
      <c r="AF286" s="205">
        <f>K286*AE286*$AF$2/1000</f>
        <v>0</v>
      </c>
      <c r="AG286" s="188">
        <f t="shared" si="769"/>
        <v>0</v>
      </c>
      <c r="AH286" s="95">
        <f t="shared" si="769"/>
        <v>0</v>
      </c>
      <c r="AI286" s="96">
        <f>SUM(Y286+AG286)</f>
        <v>0</v>
      </c>
      <c r="AJ286" s="205">
        <f>SUM(Z286,AH286)</f>
        <v>0</v>
      </c>
      <c r="AK286" s="206"/>
      <c r="AL286" s="180">
        <f>M286*AK286*$AL$2/1000</f>
        <v>0</v>
      </c>
      <c r="AM286" s="243"/>
      <c r="AN286" s="180">
        <f>M286*AM286*$AN$2/1000</f>
        <v>0</v>
      </c>
      <c r="AO286" s="206"/>
      <c r="AP286" s="214">
        <f>M286*AO286*$AP$2/1000</f>
        <v>0</v>
      </c>
      <c r="AQ286" s="192">
        <f t="shared" si="770"/>
        <v>0</v>
      </c>
      <c r="AR286" s="94">
        <f t="shared" si="770"/>
        <v>0</v>
      </c>
      <c r="AS286" s="96"/>
      <c r="AT286" s="180">
        <f>O286*AS286*$AT$2/1000</f>
        <v>0</v>
      </c>
      <c r="AU286" s="206"/>
      <c r="AV286" s="180">
        <f>O286*AU286*$AV$2/1000</f>
        <v>0</v>
      </c>
      <c r="AW286" s="206"/>
      <c r="AX286" s="214">
        <f>O286*AW286*$AX$2/1000</f>
        <v>0</v>
      </c>
      <c r="AY286" s="192">
        <f t="shared" si="771"/>
        <v>0</v>
      </c>
      <c r="AZ286" s="97">
        <f t="shared" si="771"/>
        <v>0</v>
      </c>
      <c r="BA286" s="97">
        <f>SUM(AQ286+AY286)</f>
        <v>0</v>
      </c>
      <c r="BB286" s="97">
        <f>SUM(AR286,AZ286)</f>
        <v>0</v>
      </c>
      <c r="BC286" s="1" t="s">
        <v>1718</v>
      </c>
    </row>
    <row r="287" spans="1:55" hidden="1">
      <c r="A287" s="492">
        <v>175</v>
      </c>
      <c r="B287" s="14"/>
      <c r="C287" s="14"/>
      <c r="D287" s="13"/>
      <c r="E287" s="21" t="s">
        <v>665</v>
      </c>
      <c r="F287" s="45" t="s">
        <v>666</v>
      </c>
      <c r="G287" s="507" t="s">
        <v>1061</v>
      </c>
      <c r="H287" s="265" t="s">
        <v>357</v>
      </c>
      <c r="I287" s="142"/>
      <c r="J287" s="101"/>
      <c r="K287" s="54"/>
      <c r="L287" s="162"/>
      <c r="M287" s="54"/>
      <c r="N287" s="162"/>
      <c r="O287" s="142"/>
      <c r="P287" s="101"/>
      <c r="Q287" s="96">
        <f t="shared" si="768"/>
        <v>0</v>
      </c>
      <c r="R287" s="337">
        <f t="shared" si="768"/>
        <v>0</v>
      </c>
      <c r="S287" s="96"/>
      <c r="T287" s="96">
        <f>I287*S287*$T$2/1000</f>
        <v>0</v>
      </c>
      <c r="U287" s="96"/>
      <c r="V287" s="205">
        <f>I287*U287*$V$2/1000</f>
        <v>0</v>
      </c>
      <c r="W287" s="206"/>
      <c r="X287" s="205">
        <f>I287*W287*$X$2/1000</f>
        <v>0</v>
      </c>
      <c r="Y287" s="188"/>
      <c r="Z287" s="205">
        <f>SUM(T287+V287+X287)</f>
        <v>0</v>
      </c>
      <c r="AA287" s="206"/>
      <c r="AB287" s="205">
        <f>K287*AA287*$AB$2/1000</f>
        <v>0</v>
      </c>
      <c r="AC287" s="206"/>
      <c r="AD287" s="205">
        <f>K287*AC287*$AD$2/1000</f>
        <v>0</v>
      </c>
      <c r="AE287" s="206"/>
      <c r="AF287" s="205">
        <f>M287*AE287*$AF$2/1000</f>
        <v>0</v>
      </c>
      <c r="AG287" s="188">
        <f t="shared" si="769"/>
        <v>0</v>
      </c>
      <c r="AH287" s="95">
        <f t="shared" si="769"/>
        <v>0</v>
      </c>
      <c r="AI287" s="96">
        <f>SUM(Y287+AG287)</f>
        <v>0</v>
      </c>
      <c r="AJ287" s="205">
        <f>SUM(Z287,AH287)</f>
        <v>0</v>
      </c>
      <c r="AK287" s="206"/>
      <c r="AL287" s="180">
        <f>M287*AK287*$AL$2/1000</f>
        <v>0</v>
      </c>
      <c r="AM287" s="243"/>
      <c r="AN287" s="180">
        <f>M287*AM287*$AN$2/1000</f>
        <v>0</v>
      </c>
      <c r="AO287" s="206"/>
      <c r="AP287" s="214">
        <f>M287*AO287*$AP$2/1000</f>
        <v>0</v>
      </c>
      <c r="AQ287" s="192">
        <f t="shared" si="770"/>
        <v>0</v>
      </c>
      <c r="AR287" s="94">
        <f t="shared" si="770"/>
        <v>0</v>
      </c>
      <c r="AS287" s="96"/>
      <c r="AT287" s="180">
        <f>O287*AS287*$AT$2/1000</f>
        <v>0</v>
      </c>
      <c r="AU287" s="206"/>
      <c r="AV287" s="180">
        <f>O287*AU287*$AV$2/1000</f>
        <v>0</v>
      </c>
      <c r="AW287" s="206"/>
      <c r="AX287" s="214">
        <f>O287*AW287*$AX$2/1000</f>
        <v>0</v>
      </c>
      <c r="AY287" s="192">
        <f t="shared" si="771"/>
        <v>0</v>
      </c>
      <c r="AZ287" s="97">
        <f t="shared" si="771"/>
        <v>0</v>
      </c>
      <c r="BA287" s="97">
        <f>SUM(AQ287+AY287)</f>
        <v>0</v>
      </c>
      <c r="BB287" s="97">
        <f>SUM(AR287,AZ287)</f>
        <v>0</v>
      </c>
      <c r="BC287" s="1" t="s">
        <v>1718</v>
      </c>
    </row>
    <row r="288" spans="1:55" hidden="1">
      <c r="A288" s="492">
        <v>176</v>
      </c>
      <c r="B288" s="14"/>
      <c r="C288" s="40"/>
      <c r="D288" s="24"/>
      <c r="E288" s="50"/>
      <c r="F288" s="64"/>
      <c r="G288" s="548"/>
      <c r="H288" s="272"/>
      <c r="I288" s="144"/>
      <c r="J288" s="107"/>
      <c r="K288" s="57"/>
      <c r="L288" s="166"/>
      <c r="M288" s="57"/>
      <c r="N288" s="166"/>
      <c r="O288" s="144"/>
      <c r="P288" s="107"/>
      <c r="Q288" s="133">
        <f t="shared" si="768"/>
        <v>0</v>
      </c>
      <c r="R288" s="342">
        <f t="shared" si="768"/>
        <v>0</v>
      </c>
      <c r="S288" s="94"/>
      <c r="T288" s="133">
        <f>I288*S288*$T$2/1000</f>
        <v>0</v>
      </c>
      <c r="U288" s="94"/>
      <c r="V288" s="186">
        <f>I288*U288*$V$2/1000</f>
        <v>0</v>
      </c>
      <c r="W288" s="213"/>
      <c r="X288" s="214">
        <f>I288*W288*$X$2/1000</f>
        <v>0</v>
      </c>
      <c r="Y288" s="192"/>
      <c r="Z288" s="186">
        <f>SUM(T288+V288+X288)</f>
        <v>0</v>
      </c>
      <c r="AA288" s="213"/>
      <c r="AB288" s="369">
        <f>K288*AA288*$AB$2/1000</f>
        <v>0</v>
      </c>
      <c r="AC288" s="213"/>
      <c r="AD288" s="186">
        <f>K288*AC288*$AD$2/1000</f>
        <v>0</v>
      </c>
      <c r="AE288" s="213"/>
      <c r="AF288" s="369">
        <f>M288*AE288*$AF$2/1000</f>
        <v>0</v>
      </c>
      <c r="AG288" s="196">
        <f t="shared" si="769"/>
        <v>0</v>
      </c>
      <c r="AH288" s="422">
        <f t="shared" si="769"/>
        <v>0</v>
      </c>
      <c r="AI288" s="133">
        <f>SUM(Y288+AG288)</f>
        <v>0</v>
      </c>
      <c r="AJ288" s="186">
        <f>SUM(Z288,AH288)</f>
        <v>0</v>
      </c>
      <c r="AK288" s="213"/>
      <c r="AL288" s="180">
        <f>M288*AK288*$AL$2/1000</f>
        <v>0</v>
      </c>
      <c r="AM288" s="247"/>
      <c r="AN288" s="180">
        <f>M288*AM288*$AN$2/1000</f>
        <v>0</v>
      </c>
      <c r="AO288" s="213"/>
      <c r="AP288" s="214">
        <f>M288*AO288*$AP$2/1000</f>
        <v>0</v>
      </c>
      <c r="AQ288" s="192">
        <f t="shared" si="770"/>
        <v>0</v>
      </c>
      <c r="AR288" s="94">
        <f t="shared" si="770"/>
        <v>0</v>
      </c>
      <c r="AS288" s="94"/>
      <c r="AT288" s="180">
        <f>O288*AS288*$AT$2/1000</f>
        <v>0</v>
      </c>
      <c r="AU288" s="213"/>
      <c r="AV288" s="180">
        <f>O288*AU288*$AV$2/1000</f>
        <v>0</v>
      </c>
      <c r="AW288" s="213"/>
      <c r="AX288" s="214">
        <f>O288*AW288*$AX$2/1000</f>
        <v>0</v>
      </c>
      <c r="AY288" s="192">
        <f t="shared" si="771"/>
        <v>0</v>
      </c>
      <c r="AZ288" s="97">
        <f t="shared" si="771"/>
        <v>0</v>
      </c>
      <c r="BA288" s="97">
        <f>SUM(AQ288+AY288)</f>
        <v>0</v>
      </c>
      <c r="BB288" s="97">
        <f>SUM(AR288,AZ288)</f>
        <v>0</v>
      </c>
      <c r="BC288" s="1" t="s">
        <v>1718</v>
      </c>
    </row>
    <row r="289" spans="1:55" hidden="1">
      <c r="A289" s="492">
        <v>177</v>
      </c>
      <c r="B289" s="26"/>
      <c r="C289" s="27" t="s">
        <v>134</v>
      </c>
      <c r="D289" s="28"/>
      <c r="E289" s="28"/>
      <c r="F289" s="28"/>
      <c r="G289" s="28"/>
      <c r="H289" s="269"/>
      <c r="I289" s="138"/>
      <c r="J289" s="102"/>
      <c r="K289" s="29"/>
      <c r="L289" s="29"/>
      <c r="M289" s="29"/>
      <c r="N289" s="29"/>
      <c r="O289" s="138"/>
      <c r="P289" s="102"/>
      <c r="Q289" s="120">
        <f t="shared" ref="Q289:BB289" si="772">SUM(Q285:Q288)</f>
        <v>0</v>
      </c>
      <c r="R289" s="120">
        <f t="shared" si="772"/>
        <v>0</v>
      </c>
      <c r="S289" s="120">
        <f t="shared" si="772"/>
        <v>0</v>
      </c>
      <c r="T289" s="120">
        <f t="shared" si="772"/>
        <v>0</v>
      </c>
      <c r="U289" s="120">
        <f t="shared" si="772"/>
        <v>0</v>
      </c>
      <c r="V289" s="120">
        <f t="shared" si="772"/>
        <v>0</v>
      </c>
      <c r="W289" s="120">
        <f t="shared" si="772"/>
        <v>0</v>
      </c>
      <c r="X289" s="120">
        <f t="shared" si="772"/>
        <v>0</v>
      </c>
      <c r="Y289" s="120">
        <f t="shared" si="772"/>
        <v>0</v>
      </c>
      <c r="Z289" s="120">
        <f t="shared" si="772"/>
        <v>0</v>
      </c>
      <c r="AA289" s="120">
        <f t="shared" si="772"/>
        <v>0</v>
      </c>
      <c r="AB289" s="120">
        <f t="shared" si="772"/>
        <v>0</v>
      </c>
      <c r="AC289" s="120">
        <f t="shared" si="772"/>
        <v>0</v>
      </c>
      <c r="AD289" s="120">
        <f t="shared" si="772"/>
        <v>0</v>
      </c>
      <c r="AE289" s="120">
        <f t="shared" si="772"/>
        <v>0</v>
      </c>
      <c r="AF289" s="120">
        <f t="shared" si="772"/>
        <v>0</v>
      </c>
      <c r="AG289" s="125">
        <f t="shared" si="772"/>
        <v>0</v>
      </c>
      <c r="AH289" s="125">
        <f t="shared" si="772"/>
        <v>0</v>
      </c>
      <c r="AI289" s="120">
        <f t="shared" si="772"/>
        <v>0</v>
      </c>
      <c r="AJ289" s="120">
        <f t="shared" si="772"/>
        <v>0</v>
      </c>
      <c r="AK289" s="120">
        <f t="shared" si="772"/>
        <v>0</v>
      </c>
      <c r="AL289" s="120">
        <f t="shared" si="772"/>
        <v>0</v>
      </c>
      <c r="AM289" s="120">
        <f t="shared" si="772"/>
        <v>0</v>
      </c>
      <c r="AN289" s="120">
        <f t="shared" si="772"/>
        <v>0</v>
      </c>
      <c r="AO289" s="120">
        <f t="shared" si="772"/>
        <v>0</v>
      </c>
      <c r="AP289" s="120">
        <f t="shared" si="772"/>
        <v>0</v>
      </c>
      <c r="AQ289" s="120">
        <f t="shared" si="772"/>
        <v>0</v>
      </c>
      <c r="AR289" s="120">
        <f t="shared" si="772"/>
        <v>0</v>
      </c>
      <c r="AS289" s="120">
        <f t="shared" si="772"/>
        <v>0</v>
      </c>
      <c r="AT289" s="120">
        <f t="shared" si="772"/>
        <v>0</v>
      </c>
      <c r="AU289" s="120">
        <f t="shared" si="772"/>
        <v>0</v>
      </c>
      <c r="AV289" s="120">
        <f t="shared" si="772"/>
        <v>0</v>
      </c>
      <c r="AW289" s="120">
        <f t="shared" si="772"/>
        <v>0</v>
      </c>
      <c r="AX289" s="120">
        <f t="shared" si="772"/>
        <v>0</v>
      </c>
      <c r="AY289" s="120">
        <f t="shared" si="772"/>
        <v>0</v>
      </c>
      <c r="AZ289" s="120">
        <f t="shared" si="772"/>
        <v>0</v>
      </c>
      <c r="BA289" s="120">
        <f t="shared" si="772"/>
        <v>0</v>
      </c>
      <c r="BB289" s="120">
        <f t="shared" si="772"/>
        <v>0</v>
      </c>
      <c r="BC289" s="1" t="s">
        <v>1719</v>
      </c>
    </row>
    <row r="290" spans="1:55">
      <c r="A290" s="492">
        <v>178</v>
      </c>
      <c r="B290" s="58" t="s">
        <v>153</v>
      </c>
      <c r="C290" s="59"/>
      <c r="D290" s="59"/>
      <c r="E290" s="59"/>
      <c r="F290" s="59"/>
      <c r="G290" s="59"/>
      <c r="H290" s="279"/>
      <c r="I290" s="145"/>
      <c r="J290" s="103"/>
      <c r="K290" s="60"/>
      <c r="L290" s="60"/>
      <c r="M290" s="60"/>
      <c r="N290" s="60"/>
      <c r="O290" s="145"/>
      <c r="P290" s="103"/>
      <c r="Q290" s="126">
        <f t="shared" ref="Q290:BB290" si="773">SUM(Q289,Q282,Q144,Q29,Q284)</f>
        <v>2225.8069999999998</v>
      </c>
      <c r="R290" s="126">
        <f t="shared" si="773"/>
        <v>23259.293625908103</v>
      </c>
      <c r="S290" s="126">
        <f t="shared" si="773"/>
        <v>872.68900000000008</v>
      </c>
      <c r="T290" s="126">
        <f t="shared" si="773"/>
        <v>8108.1675859795005</v>
      </c>
      <c r="U290" s="126">
        <f t="shared" si="773"/>
        <v>612.84100000000001</v>
      </c>
      <c r="V290" s="126">
        <f t="shared" si="773"/>
        <v>7379.813155295401</v>
      </c>
      <c r="W290" s="126">
        <f t="shared" si="773"/>
        <v>605.85</v>
      </c>
      <c r="X290" s="126">
        <f t="shared" si="773"/>
        <v>6129.9793886939988</v>
      </c>
      <c r="Y290" s="126">
        <f t="shared" si="773"/>
        <v>2091.3799999999997</v>
      </c>
      <c r="Z290" s="126">
        <f t="shared" si="773"/>
        <v>21617.960129968898</v>
      </c>
      <c r="AA290" s="126">
        <f t="shared" si="773"/>
        <v>134.42700000000002</v>
      </c>
      <c r="AB290" s="126">
        <f t="shared" si="773"/>
        <v>1641.3334959392</v>
      </c>
      <c r="AC290" s="126">
        <f t="shared" si="773"/>
        <v>0</v>
      </c>
      <c r="AD290" s="126">
        <f t="shared" si="773"/>
        <v>0</v>
      </c>
      <c r="AE290" s="126">
        <f t="shared" si="773"/>
        <v>0</v>
      </c>
      <c r="AF290" s="126">
        <f t="shared" si="773"/>
        <v>0</v>
      </c>
      <c r="AG290" s="126">
        <f t="shared" si="773"/>
        <v>134.42700000000002</v>
      </c>
      <c r="AH290" s="126">
        <f t="shared" si="773"/>
        <v>1641.3334959392</v>
      </c>
      <c r="AI290" s="126">
        <f t="shared" si="773"/>
        <v>2225.8069999999998</v>
      </c>
      <c r="AJ290" s="126">
        <f t="shared" si="773"/>
        <v>23259.293625908103</v>
      </c>
      <c r="AK290" s="126">
        <f t="shared" si="773"/>
        <v>0</v>
      </c>
      <c r="AL290" s="126">
        <f t="shared" si="773"/>
        <v>0</v>
      </c>
      <c r="AM290" s="126">
        <f t="shared" si="773"/>
        <v>0</v>
      </c>
      <c r="AN290" s="126">
        <f t="shared" si="773"/>
        <v>0</v>
      </c>
      <c r="AO290" s="126">
        <f t="shared" si="773"/>
        <v>0</v>
      </c>
      <c r="AP290" s="126">
        <f t="shared" si="773"/>
        <v>0</v>
      </c>
      <c r="AQ290" s="126">
        <f t="shared" si="773"/>
        <v>0</v>
      </c>
      <c r="AR290" s="126">
        <f t="shared" si="773"/>
        <v>0</v>
      </c>
      <c r="AS290" s="126">
        <f t="shared" si="773"/>
        <v>0</v>
      </c>
      <c r="AT290" s="126">
        <f t="shared" si="773"/>
        <v>0</v>
      </c>
      <c r="AU290" s="126">
        <f t="shared" si="773"/>
        <v>0</v>
      </c>
      <c r="AV290" s="126">
        <f t="shared" si="773"/>
        <v>0</v>
      </c>
      <c r="AW290" s="126">
        <f t="shared" si="773"/>
        <v>0</v>
      </c>
      <c r="AX290" s="126">
        <f t="shared" si="773"/>
        <v>0</v>
      </c>
      <c r="AY290" s="126">
        <f t="shared" si="773"/>
        <v>0</v>
      </c>
      <c r="AZ290" s="126">
        <f t="shared" si="773"/>
        <v>0</v>
      </c>
      <c r="BA290" s="126">
        <f t="shared" si="773"/>
        <v>0</v>
      </c>
      <c r="BB290" s="126">
        <f t="shared" si="773"/>
        <v>0</v>
      </c>
      <c r="BC290" s="1" t="s">
        <v>1716</v>
      </c>
    </row>
    <row r="291" spans="1:55">
      <c r="A291" s="492">
        <v>179</v>
      </c>
      <c r="B291" s="52" t="s">
        <v>154</v>
      </c>
      <c r="C291" s="52" t="s">
        <v>33</v>
      </c>
      <c r="D291" s="52" t="s">
        <v>15</v>
      </c>
      <c r="E291" s="21" t="s">
        <v>155</v>
      </c>
      <c r="F291" s="22" t="s">
        <v>35</v>
      </c>
      <c r="G291" s="22" t="s">
        <v>1059</v>
      </c>
      <c r="H291" s="265" t="s">
        <v>358</v>
      </c>
      <c r="I291" s="54">
        <v>2.63</v>
      </c>
      <c r="J291" s="101"/>
      <c r="K291" s="54">
        <v>2.63</v>
      </c>
      <c r="L291" s="162"/>
      <c r="M291" s="54"/>
      <c r="N291" s="162"/>
      <c r="O291" s="54"/>
      <c r="P291" s="101"/>
      <c r="Q291" s="96">
        <f t="shared" ref="Q291:Q325" si="774">SUM(AI291+BA291)</f>
        <v>0</v>
      </c>
      <c r="R291" s="337">
        <f t="shared" ref="R291:R325" si="775">SUM(AJ291+BB291)</f>
        <v>0</v>
      </c>
      <c r="S291" s="96"/>
      <c r="T291" s="96">
        <f t="shared" ref="T291:T325" si="776">I291*S291*$T$2/1000</f>
        <v>0</v>
      </c>
      <c r="U291" s="96"/>
      <c r="V291" s="176">
        <f t="shared" ref="V291:V325" si="777">I291*U291*$V$2/1000</f>
        <v>0</v>
      </c>
      <c r="W291" s="206"/>
      <c r="X291" s="205">
        <f t="shared" ref="X291:X325" si="778">I291*W291*$X$2/1000</f>
        <v>0</v>
      </c>
      <c r="Y291" s="188">
        <f t="shared" ref="Y291:Y325" si="779">SUM(S291+U291+W291)</f>
        <v>0</v>
      </c>
      <c r="Z291" s="176">
        <f t="shared" ref="Z291:Z325" si="780">SUM(T291+V291+X291)</f>
        <v>0</v>
      </c>
      <c r="AA291" s="206"/>
      <c r="AB291" s="205">
        <f t="shared" ref="AB291:AB325" si="781">K291*AA291*$AB$2/1000</f>
        <v>0</v>
      </c>
      <c r="AC291" s="206"/>
      <c r="AD291" s="176">
        <f t="shared" ref="AD291:AD325" si="782">K291*AC291*$AD$2/1000</f>
        <v>0</v>
      </c>
      <c r="AE291" s="206"/>
      <c r="AF291" s="204">
        <f t="shared" ref="AF291:AF325" si="783">K291*AE291*$AF$2/1000</f>
        <v>0</v>
      </c>
      <c r="AG291" s="188">
        <f t="shared" ref="AG291:AG325" si="784">SUM(AA291+AC291+AE291)</f>
        <v>0</v>
      </c>
      <c r="AH291" s="96">
        <f t="shared" ref="AH291:AH325" si="785">SUM(AB291+AD291+AF291)</f>
        <v>0</v>
      </c>
      <c r="AI291" s="96">
        <f t="shared" ref="AI291:AI325" si="786">SUM(Y291+AG291)</f>
        <v>0</v>
      </c>
      <c r="AJ291" s="176">
        <f t="shared" ref="AJ291:AJ325" si="787">SUM(Z291,AH291)</f>
        <v>0</v>
      </c>
      <c r="AK291" s="206"/>
      <c r="AL291" s="176">
        <f t="shared" ref="AL291:AL325" si="788">M291*AK291*$AL$2/1000</f>
        <v>0</v>
      </c>
      <c r="AM291" s="243"/>
      <c r="AN291" s="176">
        <f t="shared" ref="AN291:AN325" si="789">M291*AM291*$AN$2/1000</f>
        <v>0</v>
      </c>
      <c r="AO291" s="206"/>
      <c r="AP291" s="205">
        <f t="shared" ref="AP291:AP325" si="790">M291*AO291*$AP$2/1000</f>
        <v>0</v>
      </c>
      <c r="AQ291" s="188">
        <f t="shared" ref="AQ291:AQ325" si="791">SUM(AK291+AM291+AO291)</f>
        <v>0</v>
      </c>
      <c r="AR291" s="96">
        <f t="shared" ref="AR291:AR325" si="792">SUM(AL291+AN291+AP291)</f>
        <v>0</v>
      </c>
      <c r="AS291" s="96"/>
      <c r="AT291" s="176">
        <f t="shared" ref="AT291:AT325" si="793">O291*AS291*$AT$2/1000</f>
        <v>0</v>
      </c>
      <c r="AU291" s="206"/>
      <c r="AV291" s="176">
        <f t="shared" ref="AV291:AV325" si="794">O291*AU291*$AV$2/1000</f>
        <v>0</v>
      </c>
      <c r="AW291" s="206"/>
      <c r="AX291" s="205">
        <f t="shared" ref="AX291:AX325" si="795">O291*AW291*$AX$2/1000</f>
        <v>0</v>
      </c>
      <c r="AY291" s="188">
        <f t="shared" ref="AY291:AY325" si="796">SUM(AS291+AU291+AW291)</f>
        <v>0</v>
      </c>
      <c r="AZ291" s="96">
        <f t="shared" ref="AZ291:AZ325" si="797">SUM(AT291+AV291+AX291)</f>
        <v>0</v>
      </c>
      <c r="BA291" s="96">
        <f t="shared" ref="BA291:BA325" si="798">SUM(AQ291+AY291)</f>
        <v>0</v>
      </c>
      <c r="BB291" s="96">
        <f t="shared" ref="BB291:BB325" si="799">SUM(AR291,AZ291)</f>
        <v>0</v>
      </c>
      <c r="BC291" s="1" t="s">
        <v>1715</v>
      </c>
    </row>
    <row r="292" spans="1:55">
      <c r="A292" s="492">
        <v>180</v>
      </c>
      <c r="B292" s="13"/>
      <c r="C292" s="13"/>
      <c r="D292" s="13"/>
      <c r="E292" s="21" t="s">
        <v>156</v>
      </c>
      <c r="F292" s="22" t="s">
        <v>59</v>
      </c>
      <c r="G292" s="22" t="s">
        <v>1059</v>
      </c>
      <c r="H292" s="265" t="s">
        <v>358</v>
      </c>
      <c r="I292" s="54">
        <v>2.76</v>
      </c>
      <c r="J292" s="101"/>
      <c r="K292" s="54">
        <v>2.76</v>
      </c>
      <c r="L292" s="162"/>
      <c r="M292" s="54"/>
      <c r="N292" s="162"/>
      <c r="O292" s="54"/>
      <c r="P292" s="101"/>
      <c r="Q292" s="96">
        <f t="shared" si="774"/>
        <v>0</v>
      </c>
      <c r="R292" s="337">
        <f t="shared" si="775"/>
        <v>0</v>
      </c>
      <c r="S292" s="96"/>
      <c r="T292" s="96">
        <f t="shared" si="776"/>
        <v>0</v>
      </c>
      <c r="U292" s="96"/>
      <c r="V292" s="176">
        <f t="shared" si="777"/>
        <v>0</v>
      </c>
      <c r="W292" s="206"/>
      <c r="X292" s="205">
        <f t="shared" si="778"/>
        <v>0</v>
      </c>
      <c r="Y292" s="188">
        <f t="shared" si="779"/>
        <v>0</v>
      </c>
      <c r="Z292" s="176">
        <f t="shared" si="780"/>
        <v>0</v>
      </c>
      <c r="AA292" s="206"/>
      <c r="AB292" s="205">
        <f t="shared" si="781"/>
        <v>0</v>
      </c>
      <c r="AC292" s="206"/>
      <c r="AD292" s="176">
        <f t="shared" si="782"/>
        <v>0</v>
      </c>
      <c r="AE292" s="206"/>
      <c r="AF292" s="204">
        <f t="shared" si="783"/>
        <v>0</v>
      </c>
      <c r="AG292" s="188">
        <f t="shared" si="784"/>
        <v>0</v>
      </c>
      <c r="AH292" s="96">
        <f t="shared" si="785"/>
        <v>0</v>
      </c>
      <c r="AI292" s="96">
        <f t="shared" si="786"/>
        <v>0</v>
      </c>
      <c r="AJ292" s="176">
        <f t="shared" si="787"/>
        <v>0</v>
      </c>
      <c r="AK292" s="206"/>
      <c r="AL292" s="176">
        <f t="shared" si="788"/>
        <v>0</v>
      </c>
      <c r="AM292" s="243"/>
      <c r="AN292" s="176">
        <f t="shared" si="789"/>
        <v>0</v>
      </c>
      <c r="AO292" s="206"/>
      <c r="AP292" s="205">
        <f t="shared" si="790"/>
        <v>0</v>
      </c>
      <c r="AQ292" s="188">
        <f t="shared" si="791"/>
        <v>0</v>
      </c>
      <c r="AR292" s="96">
        <f t="shared" si="792"/>
        <v>0</v>
      </c>
      <c r="AS292" s="96"/>
      <c r="AT292" s="176">
        <f t="shared" si="793"/>
        <v>0</v>
      </c>
      <c r="AU292" s="206"/>
      <c r="AV292" s="176">
        <f t="shared" si="794"/>
        <v>0</v>
      </c>
      <c r="AW292" s="206"/>
      <c r="AX292" s="205">
        <f t="shared" si="795"/>
        <v>0</v>
      </c>
      <c r="AY292" s="188">
        <f t="shared" si="796"/>
        <v>0</v>
      </c>
      <c r="AZ292" s="96">
        <f t="shared" si="797"/>
        <v>0</v>
      </c>
      <c r="BA292" s="96">
        <f t="shared" si="798"/>
        <v>0</v>
      </c>
      <c r="BB292" s="96">
        <f t="shared" si="799"/>
        <v>0</v>
      </c>
      <c r="BC292" s="1" t="s">
        <v>1715</v>
      </c>
    </row>
    <row r="293" spans="1:55">
      <c r="A293" s="492">
        <v>181</v>
      </c>
      <c r="B293" s="13"/>
      <c r="C293" s="13"/>
      <c r="D293" s="13"/>
      <c r="E293" s="21" t="s">
        <v>141</v>
      </c>
      <c r="F293" s="22" t="s">
        <v>41</v>
      </c>
      <c r="G293" s="22" t="s">
        <v>1059</v>
      </c>
      <c r="H293" s="265" t="s">
        <v>358</v>
      </c>
      <c r="I293" s="54">
        <v>3.29</v>
      </c>
      <c r="J293" s="101"/>
      <c r="K293" s="54">
        <v>3.29</v>
      </c>
      <c r="L293" s="162"/>
      <c r="M293" s="54"/>
      <c r="N293" s="162"/>
      <c r="O293" s="54"/>
      <c r="P293" s="101"/>
      <c r="Q293" s="96">
        <f t="shared" si="774"/>
        <v>0</v>
      </c>
      <c r="R293" s="337">
        <f t="shared" si="775"/>
        <v>0</v>
      </c>
      <c r="S293" s="96"/>
      <c r="T293" s="96">
        <f t="shared" si="776"/>
        <v>0</v>
      </c>
      <c r="U293" s="96"/>
      <c r="V293" s="176">
        <f t="shared" si="777"/>
        <v>0</v>
      </c>
      <c r="W293" s="206"/>
      <c r="X293" s="205">
        <f t="shared" si="778"/>
        <v>0</v>
      </c>
      <c r="Y293" s="188">
        <f t="shared" si="779"/>
        <v>0</v>
      </c>
      <c r="Z293" s="176">
        <f t="shared" si="780"/>
        <v>0</v>
      </c>
      <c r="AA293" s="206"/>
      <c r="AB293" s="205">
        <f t="shared" si="781"/>
        <v>0</v>
      </c>
      <c r="AC293" s="206"/>
      <c r="AD293" s="176">
        <f t="shared" si="782"/>
        <v>0</v>
      </c>
      <c r="AE293" s="206"/>
      <c r="AF293" s="204">
        <f t="shared" si="783"/>
        <v>0</v>
      </c>
      <c r="AG293" s="188">
        <f t="shared" si="784"/>
        <v>0</v>
      </c>
      <c r="AH293" s="96">
        <f t="shared" si="785"/>
        <v>0</v>
      </c>
      <c r="AI293" s="96">
        <f t="shared" si="786"/>
        <v>0</v>
      </c>
      <c r="AJ293" s="176">
        <f t="shared" si="787"/>
        <v>0</v>
      </c>
      <c r="AK293" s="206"/>
      <c r="AL293" s="176">
        <f t="shared" si="788"/>
        <v>0</v>
      </c>
      <c r="AM293" s="243"/>
      <c r="AN293" s="176">
        <f t="shared" si="789"/>
        <v>0</v>
      </c>
      <c r="AO293" s="206"/>
      <c r="AP293" s="205">
        <f t="shared" si="790"/>
        <v>0</v>
      </c>
      <c r="AQ293" s="188">
        <f t="shared" si="791"/>
        <v>0</v>
      </c>
      <c r="AR293" s="96">
        <f t="shared" si="792"/>
        <v>0</v>
      </c>
      <c r="AS293" s="96"/>
      <c r="AT293" s="176">
        <f t="shared" si="793"/>
        <v>0</v>
      </c>
      <c r="AU293" s="206"/>
      <c r="AV293" s="176">
        <f t="shared" si="794"/>
        <v>0</v>
      </c>
      <c r="AW293" s="206"/>
      <c r="AX293" s="205">
        <f t="shared" si="795"/>
        <v>0</v>
      </c>
      <c r="AY293" s="188">
        <f t="shared" si="796"/>
        <v>0</v>
      </c>
      <c r="AZ293" s="96">
        <f t="shared" si="797"/>
        <v>0</v>
      </c>
      <c r="BA293" s="96">
        <f t="shared" si="798"/>
        <v>0</v>
      </c>
      <c r="BB293" s="96">
        <f t="shared" si="799"/>
        <v>0</v>
      </c>
      <c r="BC293" s="1" t="s">
        <v>1715</v>
      </c>
    </row>
    <row r="294" spans="1:55">
      <c r="A294" s="492">
        <v>183</v>
      </c>
      <c r="B294" s="13"/>
      <c r="C294" s="13"/>
      <c r="D294" s="13"/>
      <c r="E294" s="89" t="s">
        <v>913</v>
      </c>
      <c r="F294" s="90" t="s">
        <v>676</v>
      </c>
      <c r="G294" s="45" t="s">
        <v>1059</v>
      </c>
      <c r="H294" s="265" t="s">
        <v>358</v>
      </c>
      <c r="I294" s="54">
        <v>3.25</v>
      </c>
      <c r="J294" s="101"/>
      <c r="K294" s="54">
        <v>3.25</v>
      </c>
      <c r="L294" s="162"/>
      <c r="M294" s="54"/>
      <c r="N294" s="162"/>
      <c r="O294" s="54"/>
      <c r="P294" s="101"/>
      <c r="Q294" s="96">
        <f t="shared" si="774"/>
        <v>63.36</v>
      </c>
      <c r="R294" s="337">
        <f t="shared" si="775"/>
        <v>302.09431824000001</v>
      </c>
      <c r="S294" s="96">
        <v>12.672000000000001</v>
      </c>
      <c r="T294" s="96">
        <f t="shared" si="776"/>
        <v>59.455281600000006</v>
      </c>
      <c r="U294" s="96">
        <v>16.896000000000001</v>
      </c>
      <c r="V294" s="176">
        <f t="shared" si="777"/>
        <v>78.977733120000011</v>
      </c>
      <c r="W294" s="206">
        <v>14.784000000000001</v>
      </c>
      <c r="X294" s="205">
        <f t="shared" si="778"/>
        <v>72.185873760000007</v>
      </c>
      <c r="Y294" s="188">
        <f t="shared" si="779"/>
        <v>44.352000000000004</v>
      </c>
      <c r="Z294" s="176">
        <f t="shared" si="780"/>
        <v>210.61888848000001</v>
      </c>
      <c r="AA294" s="206">
        <v>19.007999999999999</v>
      </c>
      <c r="AB294" s="205">
        <f t="shared" si="781"/>
        <v>91.475429759999997</v>
      </c>
      <c r="AC294" s="206"/>
      <c r="AD294" s="176">
        <f t="shared" si="782"/>
        <v>0</v>
      </c>
      <c r="AE294" s="206"/>
      <c r="AF294" s="204">
        <f t="shared" si="783"/>
        <v>0</v>
      </c>
      <c r="AG294" s="188">
        <f t="shared" si="784"/>
        <v>19.007999999999999</v>
      </c>
      <c r="AH294" s="96">
        <f t="shared" si="785"/>
        <v>91.475429759999997</v>
      </c>
      <c r="AI294" s="96">
        <f t="shared" si="786"/>
        <v>63.36</v>
      </c>
      <c r="AJ294" s="176">
        <f t="shared" si="787"/>
        <v>302.09431824000001</v>
      </c>
      <c r="AK294" s="206"/>
      <c r="AL294" s="176">
        <f t="shared" si="788"/>
        <v>0</v>
      </c>
      <c r="AM294" s="243"/>
      <c r="AN294" s="176">
        <f t="shared" si="789"/>
        <v>0</v>
      </c>
      <c r="AO294" s="206"/>
      <c r="AP294" s="205">
        <f t="shared" si="790"/>
        <v>0</v>
      </c>
      <c r="AQ294" s="188">
        <f t="shared" si="791"/>
        <v>0</v>
      </c>
      <c r="AR294" s="96">
        <f t="shared" si="792"/>
        <v>0</v>
      </c>
      <c r="AS294" s="96"/>
      <c r="AT294" s="176">
        <f t="shared" si="793"/>
        <v>0</v>
      </c>
      <c r="AU294" s="206"/>
      <c r="AV294" s="176">
        <f t="shared" si="794"/>
        <v>0</v>
      </c>
      <c r="AW294" s="206"/>
      <c r="AX294" s="205">
        <f t="shared" si="795"/>
        <v>0</v>
      </c>
      <c r="AY294" s="188">
        <f t="shared" si="796"/>
        <v>0</v>
      </c>
      <c r="AZ294" s="96">
        <f t="shared" si="797"/>
        <v>0</v>
      </c>
      <c r="BA294" s="96">
        <f t="shared" si="798"/>
        <v>0</v>
      </c>
      <c r="BB294" s="96">
        <f t="shared" si="799"/>
        <v>0</v>
      </c>
      <c r="BC294" s="1" t="s">
        <v>1715</v>
      </c>
    </row>
    <row r="295" spans="1:55">
      <c r="A295" s="492">
        <v>184</v>
      </c>
      <c r="B295" s="13"/>
      <c r="C295" s="13"/>
      <c r="D295" s="13"/>
      <c r="E295" s="21" t="s">
        <v>780</v>
      </c>
      <c r="F295" s="45" t="s">
        <v>677</v>
      </c>
      <c r="G295" s="45" t="s">
        <v>1059</v>
      </c>
      <c r="H295" s="265" t="s">
        <v>358</v>
      </c>
      <c r="I295" s="54">
        <v>3.89</v>
      </c>
      <c r="J295" s="101"/>
      <c r="K295" s="54">
        <v>3.89</v>
      </c>
      <c r="L295" s="162"/>
      <c r="M295" s="54"/>
      <c r="N295" s="162"/>
      <c r="O295" s="54"/>
      <c r="P295" s="101"/>
      <c r="Q295" s="96">
        <f t="shared" si="774"/>
        <v>12.848000000000001</v>
      </c>
      <c r="R295" s="337">
        <f t="shared" si="775"/>
        <v>73.398043012800017</v>
      </c>
      <c r="S295" s="96">
        <v>7.3920000000000003</v>
      </c>
      <c r="T295" s="96">
        <f t="shared" si="776"/>
        <v>41.51198251200001</v>
      </c>
      <c r="U295" s="96"/>
      <c r="V295" s="176">
        <f t="shared" si="777"/>
        <v>0</v>
      </c>
      <c r="W295" s="206">
        <v>5.4560000000000004</v>
      </c>
      <c r="X295" s="205">
        <f t="shared" si="778"/>
        <v>31.886060500800003</v>
      </c>
      <c r="Y295" s="188">
        <f t="shared" si="779"/>
        <v>12.848000000000001</v>
      </c>
      <c r="Z295" s="176">
        <f t="shared" si="780"/>
        <v>73.398043012800017</v>
      </c>
      <c r="AA295" s="206"/>
      <c r="AB295" s="205">
        <f t="shared" si="781"/>
        <v>0</v>
      </c>
      <c r="AC295" s="206"/>
      <c r="AD295" s="176">
        <f t="shared" si="782"/>
        <v>0</v>
      </c>
      <c r="AE295" s="206"/>
      <c r="AF295" s="204">
        <f t="shared" si="783"/>
        <v>0</v>
      </c>
      <c r="AG295" s="188">
        <f t="shared" si="784"/>
        <v>0</v>
      </c>
      <c r="AH295" s="96">
        <f t="shared" si="785"/>
        <v>0</v>
      </c>
      <c r="AI295" s="96">
        <f t="shared" si="786"/>
        <v>12.848000000000001</v>
      </c>
      <c r="AJ295" s="176">
        <f t="shared" si="787"/>
        <v>73.398043012800017</v>
      </c>
      <c r="AK295" s="206"/>
      <c r="AL295" s="176">
        <f t="shared" si="788"/>
        <v>0</v>
      </c>
      <c r="AM295" s="243"/>
      <c r="AN295" s="176">
        <f t="shared" si="789"/>
        <v>0</v>
      </c>
      <c r="AO295" s="206"/>
      <c r="AP295" s="205">
        <f t="shared" si="790"/>
        <v>0</v>
      </c>
      <c r="AQ295" s="188">
        <f t="shared" si="791"/>
        <v>0</v>
      </c>
      <c r="AR295" s="96">
        <f t="shared" si="792"/>
        <v>0</v>
      </c>
      <c r="AS295" s="96"/>
      <c r="AT295" s="176">
        <f t="shared" si="793"/>
        <v>0</v>
      </c>
      <c r="AU295" s="206"/>
      <c r="AV295" s="176">
        <f t="shared" si="794"/>
        <v>0</v>
      </c>
      <c r="AW295" s="206"/>
      <c r="AX295" s="205">
        <f t="shared" si="795"/>
        <v>0</v>
      </c>
      <c r="AY295" s="188">
        <f t="shared" si="796"/>
        <v>0</v>
      </c>
      <c r="AZ295" s="96">
        <f t="shared" si="797"/>
        <v>0</v>
      </c>
      <c r="BA295" s="96">
        <f t="shared" si="798"/>
        <v>0</v>
      </c>
      <c r="BB295" s="96">
        <f t="shared" si="799"/>
        <v>0</v>
      </c>
      <c r="BC295" s="1" t="s">
        <v>1715</v>
      </c>
    </row>
    <row r="296" spans="1:55">
      <c r="B296" s="13"/>
      <c r="C296" s="13"/>
      <c r="D296" s="13"/>
      <c r="E296" s="21" t="s">
        <v>1730</v>
      </c>
      <c r="F296" s="22" t="s">
        <v>1182</v>
      </c>
      <c r="G296" s="45" t="s">
        <v>1059</v>
      </c>
      <c r="H296" s="265" t="s">
        <v>358</v>
      </c>
      <c r="I296" s="54">
        <v>4</v>
      </c>
      <c r="J296" s="101"/>
      <c r="K296" s="54">
        <v>4</v>
      </c>
      <c r="L296" s="162"/>
      <c r="M296" s="54"/>
      <c r="N296" s="162"/>
      <c r="O296" s="54"/>
      <c r="P296" s="101"/>
      <c r="Q296" s="96">
        <f t="shared" si="774"/>
        <v>30.008000000000003</v>
      </c>
      <c r="R296" s="337">
        <f t="shared" si="775"/>
        <v>178.40351584000001</v>
      </c>
      <c r="S296" s="96">
        <v>0.44</v>
      </c>
      <c r="T296" s="96">
        <f t="shared" si="776"/>
        <v>2.5408240000000002</v>
      </c>
      <c r="U296" s="96"/>
      <c r="V296" s="176">
        <f t="shared" si="777"/>
        <v>0</v>
      </c>
      <c r="W296" s="206">
        <v>8.4480000000000004</v>
      </c>
      <c r="X296" s="205">
        <f t="shared" si="778"/>
        <v>50.768087039999998</v>
      </c>
      <c r="Y296" s="188">
        <f t="shared" si="779"/>
        <v>8.8879999999999999</v>
      </c>
      <c r="Z296" s="176">
        <f t="shared" si="780"/>
        <v>53.308911039999998</v>
      </c>
      <c r="AA296" s="206">
        <v>21.12</v>
      </c>
      <c r="AB296" s="205">
        <f t="shared" si="781"/>
        <v>125.0946048</v>
      </c>
      <c r="AC296" s="206"/>
      <c r="AD296" s="176">
        <f t="shared" si="782"/>
        <v>0</v>
      </c>
      <c r="AE296" s="206"/>
      <c r="AF296" s="205">
        <f t="shared" si="783"/>
        <v>0</v>
      </c>
      <c r="AG296" s="188">
        <f t="shared" si="784"/>
        <v>21.12</v>
      </c>
      <c r="AH296" s="96">
        <f t="shared" si="785"/>
        <v>125.0946048</v>
      </c>
      <c r="AI296" s="96">
        <f t="shared" si="786"/>
        <v>30.008000000000003</v>
      </c>
      <c r="AJ296" s="176">
        <f t="shared" si="787"/>
        <v>178.40351584000001</v>
      </c>
      <c r="AK296" s="206"/>
      <c r="AL296" s="176">
        <f t="shared" si="788"/>
        <v>0</v>
      </c>
      <c r="AM296" s="243"/>
      <c r="AN296" s="176">
        <f t="shared" si="789"/>
        <v>0</v>
      </c>
      <c r="AO296" s="206"/>
      <c r="AP296" s="205">
        <f t="shared" si="790"/>
        <v>0</v>
      </c>
      <c r="AQ296" s="188">
        <f t="shared" si="791"/>
        <v>0</v>
      </c>
      <c r="AR296" s="96">
        <f t="shared" si="792"/>
        <v>0</v>
      </c>
      <c r="AS296" s="96"/>
      <c r="AT296" s="176">
        <f t="shared" si="793"/>
        <v>0</v>
      </c>
      <c r="AU296" s="206"/>
      <c r="AV296" s="176">
        <f t="shared" si="794"/>
        <v>0</v>
      </c>
      <c r="AW296" s="206"/>
      <c r="AX296" s="205">
        <f t="shared" si="795"/>
        <v>0</v>
      </c>
      <c r="AY296" s="188">
        <f t="shared" si="796"/>
        <v>0</v>
      </c>
      <c r="AZ296" s="96">
        <f t="shared" si="797"/>
        <v>0</v>
      </c>
      <c r="BA296" s="96">
        <f t="shared" si="798"/>
        <v>0</v>
      </c>
      <c r="BB296" s="96">
        <f t="shared" si="799"/>
        <v>0</v>
      </c>
      <c r="BC296" s="1" t="s">
        <v>1715</v>
      </c>
    </row>
    <row r="297" spans="1:55">
      <c r="B297" s="13"/>
      <c r="C297" s="13"/>
      <c r="D297" s="13"/>
      <c r="E297" s="21" t="s">
        <v>1731</v>
      </c>
      <c r="F297" s="22" t="s">
        <v>1183</v>
      </c>
      <c r="G297" s="45" t="s">
        <v>1059</v>
      </c>
      <c r="H297" s="265" t="s">
        <v>358</v>
      </c>
      <c r="I297" s="54">
        <v>4.76</v>
      </c>
      <c r="J297" s="101"/>
      <c r="K297" s="54">
        <v>4.76</v>
      </c>
      <c r="L297" s="162"/>
      <c r="M297" s="54"/>
      <c r="N297" s="162"/>
      <c r="O297" s="54"/>
      <c r="P297" s="101"/>
      <c r="Q297" s="96">
        <f t="shared" si="774"/>
        <v>0</v>
      </c>
      <c r="R297" s="337">
        <f t="shared" si="775"/>
        <v>0</v>
      </c>
      <c r="S297" s="96"/>
      <c r="T297" s="96">
        <f t="shared" si="776"/>
        <v>0</v>
      </c>
      <c r="U297" s="96"/>
      <c r="V297" s="176">
        <f t="shared" si="777"/>
        <v>0</v>
      </c>
      <c r="W297" s="206"/>
      <c r="X297" s="205">
        <f t="shared" si="778"/>
        <v>0</v>
      </c>
      <c r="Y297" s="188">
        <f t="shared" si="779"/>
        <v>0</v>
      </c>
      <c r="Z297" s="176">
        <f t="shared" si="780"/>
        <v>0</v>
      </c>
      <c r="AA297" s="206"/>
      <c r="AB297" s="205">
        <f t="shared" si="781"/>
        <v>0</v>
      </c>
      <c r="AC297" s="206"/>
      <c r="AD297" s="176">
        <f t="shared" si="782"/>
        <v>0</v>
      </c>
      <c r="AE297" s="206"/>
      <c r="AF297" s="205">
        <f t="shared" si="783"/>
        <v>0</v>
      </c>
      <c r="AG297" s="188">
        <f t="shared" si="784"/>
        <v>0</v>
      </c>
      <c r="AH297" s="96">
        <f t="shared" si="785"/>
        <v>0</v>
      </c>
      <c r="AI297" s="96">
        <f t="shared" si="786"/>
        <v>0</v>
      </c>
      <c r="AJ297" s="176">
        <f t="shared" si="787"/>
        <v>0</v>
      </c>
      <c r="AK297" s="206"/>
      <c r="AL297" s="176">
        <f t="shared" si="788"/>
        <v>0</v>
      </c>
      <c r="AM297" s="243"/>
      <c r="AN297" s="176">
        <f t="shared" si="789"/>
        <v>0</v>
      </c>
      <c r="AO297" s="206"/>
      <c r="AP297" s="205">
        <f t="shared" si="790"/>
        <v>0</v>
      </c>
      <c r="AQ297" s="188">
        <f t="shared" si="791"/>
        <v>0</v>
      </c>
      <c r="AR297" s="96">
        <f t="shared" si="792"/>
        <v>0</v>
      </c>
      <c r="AS297" s="96"/>
      <c r="AT297" s="176">
        <f t="shared" si="793"/>
        <v>0</v>
      </c>
      <c r="AU297" s="206"/>
      <c r="AV297" s="176">
        <f t="shared" si="794"/>
        <v>0</v>
      </c>
      <c r="AW297" s="206"/>
      <c r="AX297" s="205">
        <f t="shared" si="795"/>
        <v>0</v>
      </c>
      <c r="AY297" s="188">
        <f t="shared" si="796"/>
        <v>0</v>
      </c>
      <c r="AZ297" s="96">
        <f t="shared" si="797"/>
        <v>0</v>
      </c>
      <c r="BA297" s="96">
        <f t="shared" si="798"/>
        <v>0</v>
      </c>
      <c r="BB297" s="96">
        <f t="shared" si="799"/>
        <v>0</v>
      </c>
      <c r="BC297" s="1" t="s">
        <v>1715</v>
      </c>
    </row>
    <row r="298" spans="1:55">
      <c r="A298" s="492">
        <v>186</v>
      </c>
      <c r="B298" s="52" t="s">
        <v>1648</v>
      </c>
      <c r="C298" s="52" t="s">
        <v>33</v>
      </c>
      <c r="D298" s="52" t="s">
        <v>15</v>
      </c>
      <c r="E298" s="89" t="s">
        <v>1649</v>
      </c>
      <c r="F298" s="90" t="s">
        <v>676</v>
      </c>
      <c r="G298" s="90" t="s">
        <v>1059</v>
      </c>
      <c r="H298" s="265" t="s">
        <v>358</v>
      </c>
      <c r="I298" s="54">
        <v>3.23</v>
      </c>
      <c r="J298" s="101"/>
      <c r="K298" s="54">
        <v>3.23</v>
      </c>
      <c r="L298" s="162"/>
      <c r="M298" s="54"/>
      <c r="N298" s="162"/>
      <c r="O298" s="54"/>
      <c r="P298" s="101"/>
      <c r="Q298" s="96">
        <f t="shared" si="774"/>
        <v>0</v>
      </c>
      <c r="R298" s="337">
        <f t="shared" si="775"/>
        <v>0</v>
      </c>
      <c r="S298" s="96"/>
      <c r="T298" s="96">
        <f t="shared" si="776"/>
        <v>0</v>
      </c>
      <c r="U298" s="96"/>
      <c r="V298" s="176">
        <f t="shared" si="777"/>
        <v>0</v>
      </c>
      <c r="W298" s="206"/>
      <c r="X298" s="205">
        <f t="shared" si="778"/>
        <v>0</v>
      </c>
      <c r="Y298" s="188">
        <f t="shared" si="779"/>
        <v>0</v>
      </c>
      <c r="Z298" s="176">
        <f t="shared" si="780"/>
        <v>0</v>
      </c>
      <c r="AA298" s="206"/>
      <c r="AB298" s="205">
        <f t="shared" si="781"/>
        <v>0</v>
      </c>
      <c r="AC298" s="206"/>
      <c r="AD298" s="176">
        <f t="shared" si="782"/>
        <v>0</v>
      </c>
      <c r="AE298" s="206"/>
      <c r="AF298" s="204">
        <f t="shared" si="783"/>
        <v>0</v>
      </c>
      <c r="AG298" s="188">
        <f t="shared" si="784"/>
        <v>0</v>
      </c>
      <c r="AH298" s="96">
        <f t="shared" si="785"/>
        <v>0</v>
      </c>
      <c r="AI298" s="96">
        <f t="shared" si="786"/>
        <v>0</v>
      </c>
      <c r="AJ298" s="176">
        <f t="shared" si="787"/>
        <v>0</v>
      </c>
      <c r="AK298" s="206"/>
      <c r="AL298" s="176">
        <f t="shared" si="788"/>
        <v>0</v>
      </c>
      <c r="AM298" s="243"/>
      <c r="AN298" s="176">
        <f t="shared" si="789"/>
        <v>0</v>
      </c>
      <c r="AO298" s="206"/>
      <c r="AP298" s="205">
        <f t="shared" si="790"/>
        <v>0</v>
      </c>
      <c r="AQ298" s="188">
        <f t="shared" si="791"/>
        <v>0</v>
      </c>
      <c r="AR298" s="96">
        <f t="shared" si="792"/>
        <v>0</v>
      </c>
      <c r="AS298" s="96"/>
      <c r="AT298" s="176">
        <f t="shared" si="793"/>
        <v>0</v>
      </c>
      <c r="AU298" s="206"/>
      <c r="AV298" s="176">
        <f t="shared" si="794"/>
        <v>0</v>
      </c>
      <c r="AW298" s="206"/>
      <c r="AX298" s="205">
        <f t="shared" si="795"/>
        <v>0</v>
      </c>
      <c r="AY298" s="188">
        <f t="shared" si="796"/>
        <v>0</v>
      </c>
      <c r="AZ298" s="96">
        <f t="shared" si="797"/>
        <v>0</v>
      </c>
      <c r="BA298" s="96">
        <f t="shared" si="798"/>
        <v>0</v>
      </c>
      <c r="BB298" s="96">
        <f t="shared" si="799"/>
        <v>0</v>
      </c>
      <c r="BC298" s="1" t="s">
        <v>1715</v>
      </c>
    </row>
    <row r="299" spans="1:55">
      <c r="A299" s="492">
        <v>187</v>
      </c>
      <c r="B299" s="13"/>
      <c r="C299" s="13"/>
      <c r="D299" s="13"/>
      <c r="E299" s="21" t="s">
        <v>1650</v>
      </c>
      <c r="F299" s="45" t="s">
        <v>677</v>
      </c>
      <c r="G299" s="22" t="s">
        <v>1059</v>
      </c>
      <c r="H299" s="265" t="s">
        <v>358</v>
      </c>
      <c r="I299" s="54">
        <v>3.82</v>
      </c>
      <c r="J299" s="101"/>
      <c r="K299" s="54">
        <v>3.82</v>
      </c>
      <c r="L299" s="162"/>
      <c r="M299" s="54"/>
      <c r="N299" s="162"/>
      <c r="O299" s="54"/>
      <c r="P299" s="101"/>
      <c r="Q299" s="128">
        <f t="shared" si="774"/>
        <v>0</v>
      </c>
      <c r="R299" s="337">
        <f t="shared" si="775"/>
        <v>0</v>
      </c>
      <c r="S299" s="96"/>
      <c r="T299" s="96">
        <f t="shared" si="776"/>
        <v>0</v>
      </c>
      <c r="U299" s="96"/>
      <c r="V299" s="176">
        <f t="shared" si="777"/>
        <v>0</v>
      </c>
      <c r="W299" s="206"/>
      <c r="X299" s="205">
        <f t="shared" si="778"/>
        <v>0</v>
      </c>
      <c r="Y299" s="188">
        <f t="shared" si="779"/>
        <v>0</v>
      </c>
      <c r="Z299" s="176">
        <f t="shared" si="780"/>
        <v>0</v>
      </c>
      <c r="AA299" s="206"/>
      <c r="AB299" s="205">
        <f t="shared" si="781"/>
        <v>0</v>
      </c>
      <c r="AC299" s="206"/>
      <c r="AD299" s="176">
        <f t="shared" si="782"/>
        <v>0</v>
      </c>
      <c r="AE299" s="206"/>
      <c r="AF299" s="204">
        <f t="shared" si="783"/>
        <v>0</v>
      </c>
      <c r="AG299" s="188">
        <f t="shared" si="784"/>
        <v>0</v>
      </c>
      <c r="AH299" s="96">
        <f t="shared" si="785"/>
        <v>0</v>
      </c>
      <c r="AI299" s="96">
        <f t="shared" si="786"/>
        <v>0</v>
      </c>
      <c r="AJ299" s="176">
        <f t="shared" si="787"/>
        <v>0</v>
      </c>
      <c r="AK299" s="206"/>
      <c r="AL299" s="176">
        <f t="shared" si="788"/>
        <v>0</v>
      </c>
      <c r="AM299" s="243"/>
      <c r="AN299" s="176">
        <f t="shared" si="789"/>
        <v>0</v>
      </c>
      <c r="AO299" s="206"/>
      <c r="AP299" s="205">
        <f t="shared" si="790"/>
        <v>0</v>
      </c>
      <c r="AQ299" s="188">
        <f t="shared" si="791"/>
        <v>0</v>
      </c>
      <c r="AR299" s="96">
        <f t="shared" si="792"/>
        <v>0</v>
      </c>
      <c r="AS299" s="96"/>
      <c r="AT299" s="176">
        <f t="shared" si="793"/>
        <v>0</v>
      </c>
      <c r="AU299" s="206"/>
      <c r="AV299" s="176">
        <f t="shared" si="794"/>
        <v>0</v>
      </c>
      <c r="AW299" s="206"/>
      <c r="AX299" s="205">
        <f t="shared" si="795"/>
        <v>0</v>
      </c>
      <c r="AY299" s="188">
        <f t="shared" si="796"/>
        <v>0</v>
      </c>
      <c r="AZ299" s="96">
        <f t="shared" si="797"/>
        <v>0</v>
      </c>
      <c r="BA299" s="96">
        <f t="shared" si="798"/>
        <v>0</v>
      </c>
      <c r="BB299" s="96">
        <f t="shared" si="799"/>
        <v>0</v>
      </c>
      <c r="BC299" s="1" t="s">
        <v>1715</v>
      </c>
    </row>
    <row r="300" spans="1:55">
      <c r="A300" s="492">
        <v>187</v>
      </c>
      <c r="B300" s="13"/>
      <c r="C300" s="13"/>
      <c r="D300" s="13"/>
      <c r="E300" s="21" t="s">
        <v>586</v>
      </c>
      <c r="F300" s="45" t="s">
        <v>585</v>
      </c>
      <c r="G300" s="22" t="s">
        <v>1059</v>
      </c>
      <c r="H300" s="265" t="s">
        <v>358</v>
      </c>
      <c r="I300" s="54">
        <v>4.08</v>
      </c>
      <c r="J300" s="101"/>
      <c r="K300" s="54">
        <v>4.08</v>
      </c>
      <c r="L300" s="162"/>
      <c r="M300" s="54"/>
      <c r="N300" s="162"/>
      <c r="O300" s="54"/>
      <c r="P300" s="101"/>
      <c r="Q300" s="205">
        <f t="shared" si="774"/>
        <v>0</v>
      </c>
      <c r="R300" s="541">
        <f t="shared" si="775"/>
        <v>0</v>
      </c>
      <c r="S300" s="96"/>
      <c r="T300" s="96">
        <f t="shared" si="776"/>
        <v>0</v>
      </c>
      <c r="U300" s="96"/>
      <c r="V300" s="176">
        <f t="shared" si="777"/>
        <v>0</v>
      </c>
      <c r="W300" s="206"/>
      <c r="X300" s="205">
        <f t="shared" si="778"/>
        <v>0</v>
      </c>
      <c r="Y300" s="188">
        <f t="shared" si="779"/>
        <v>0</v>
      </c>
      <c r="Z300" s="176">
        <f t="shared" si="780"/>
        <v>0</v>
      </c>
      <c r="AA300" s="206"/>
      <c r="AB300" s="205">
        <f t="shared" si="781"/>
        <v>0</v>
      </c>
      <c r="AC300" s="206"/>
      <c r="AD300" s="176">
        <f t="shared" si="782"/>
        <v>0</v>
      </c>
      <c r="AE300" s="206"/>
      <c r="AF300" s="204">
        <f t="shared" si="783"/>
        <v>0</v>
      </c>
      <c r="AG300" s="188">
        <f t="shared" si="784"/>
        <v>0</v>
      </c>
      <c r="AH300" s="96">
        <f t="shared" si="785"/>
        <v>0</v>
      </c>
      <c r="AI300" s="96">
        <f t="shared" si="786"/>
        <v>0</v>
      </c>
      <c r="AJ300" s="176">
        <f t="shared" si="787"/>
        <v>0</v>
      </c>
      <c r="AK300" s="206"/>
      <c r="AL300" s="176">
        <f t="shared" si="788"/>
        <v>0</v>
      </c>
      <c r="AM300" s="243"/>
      <c r="AN300" s="176">
        <f t="shared" si="789"/>
        <v>0</v>
      </c>
      <c r="AO300" s="206"/>
      <c r="AP300" s="205">
        <f t="shared" si="790"/>
        <v>0</v>
      </c>
      <c r="AQ300" s="188">
        <f t="shared" si="791"/>
        <v>0</v>
      </c>
      <c r="AR300" s="96">
        <f t="shared" si="792"/>
        <v>0</v>
      </c>
      <c r="AS300" s="96"/>
      <c r="AT300" s="176">
        <f t="shared" si="793"/>
        <v>0</v>
      </c>
      <c r="AU300" s="206"/>
      <c r="AV300" s="176">
        <f t="shared" si="794"/>
        <v>0</v>
      </c>
      <c r="AW300" s="206"/>
      <c r="AX300" s="205">
        <f t="shared" si="795"/>
        <v>0</v>
      </c>
      <c r="AY300" s="188">
        <f t="shared" si="796"/>
        <v>0</v>
      </c>
      <c r="AZ300" s="96">
        <f t="shared" si="797"/>
        <v>0</v>
      </c>
      <c r="BA300" s="96">
        <f t="shared" si="798"/>
        <v>0</v>
      </c>
      <c r="BB300" s="96">
        <f t="shared" si="799"/>
        <v>0</v>
      </c>
      <c r="BC300" s="1" t="s">
        <v>1715</v>
      </c>
    </row>
    <row r="301" spans="1:55">
      <c r="A301" s="492">
        <v>187</v>
      </c>
      <c r="B301" s="24"/>
      <c r="C301" s="24"/>
      <c r="D301" s="24"/>
      <c r="E301" s="21" t="s">
        <v>669</v>
      </c>
      <c r="F301" s="45" t="s">
        <v>670</v>
      </c>
      <c r="G301" s="22" t="s">
        <v>1059</v>
      </c>
      <c r="H301" s="265" t="s">
        <v>358</v>
      </c>
      <c r="I301" s="54">
        <v>4.76</v>
      </c>
      <c r="J301" s="101"/>
      <c r="K301" s="54">
        <v>4.76</v>
      </c>
      <c r="L301" s="162"/>
      <c r="M301" s="54"/>
      <c r="N301" s="162"/>
      <c r="O301" s="54"/>
      <c r="P301" s="101"/>
      <c r="Q301" s="130">
        <f t="shared" si="774"/>
        <v>0</v>
      </c>
      <c r="R301" s="337">
        <f t="shared" si="775"/>
        <v>0</v>
      </c>
      <c r="S301" s="96"/>
      <c r="T301" s="96">
        <f t="shared" si="776"/>
        <v>0</v>
      </c>
      <c r="U301" s="96"/>
      <c r="V301" s="176">
        <f t="shared" si="777"/>
        <v>0</v>
      </c>
      <c r="W301" s="206"/>
      <c r="X301" s="205">
        <f t="shared" si="778"/>
        <v>0</v>
      </c>
      <c r="Y301" s="188">
        <f t="shared" si="779"/>
        <v>0</v>
      </c>
      <c r="Z301" s="176">
        <f t="shared" si="780"/>
        <v>0</v>
      </c>
      <c r="AA301" s="206"/>
      <c r="AB301" s="205">
        <f t="shared" si="781"/>
        <v>0</v>
      </c>
      <c r="AC301" s="206"/>
      <c r="AD301" s="176">
        <f t="shared" si="782"/>
        <v>0</v>
      </c>
      <c r="AE301" s="206"/>
      <c r="AF301" s="204">
        <f t="shared" si="783"/>
        <v>0</v>
      </c>
      <c r="AG301" s="188">
        <f t="shared" si="784"/>
        <v>0</v>
      </c>
      <c r="AH301" s="96">
        <f t="shared" si="785"/>
        <v>0</v>
      </c>
      <c r="AI301" s="96">
        <f t="shared" si="786"/>
        <v>0</v>
      </c>
      <c r="AJ301" s="176">
        <f t="shared" si="787"/>
        <v>0</v>
      </c>
      <c r="AK301" s="206"/>
      <c r="AL301" s="176">
        <f t="shared" si="788"/>
        <v>0</v>
      </c>
      <c r="AM301" s="243"/>
      <c r="AN301" s="176">
        <f t="shared" si="789"/>
        <v>0</v>
      </c>
      <c r="AO301" s="206"/>
      <c r="AP301" s="205">
        <f t="shared" si="790"/>
        <v>0</v>
      </c>
      <c r="AQ301" s="188">
        <f t="shared" si="791"/>
        <v>0</v>
      </c>
      <c r="AR301" s="96">
        <f t="shared" si="792"/>
        <v>0</v>
      </c>
      <c r="AS301" s="96"/>
      <c r="AT301" s="176">
        <f t="shared" si="793"/>
        <v>0</v>
      </c>
      <c r="AU301" s="206"/>
      <c r="AV301" s="176">
        <f t="shared" si="794"/>
        <v>0</v>
      </c>
      <c r="AW301" s="206"/>
      <c r="AX301" s="205">
        <f t="shared" si="795"/>
        <v>0</v>
      </c>
      <c r="AY301" s="188">
        <f t="shared" si="796"/>
        <v>0</v>
      </c>
      <c r="AZ301" s="96">
        <f t="shared" si="797"/>
        <v>0</v>
      </c>
      <c r="BA301" s="96">
        <f t="shared" si="798"/>
        <v>0</v>
      </c>
      <c r="BB301" s="96">
        <f t="shared" si="799"/>
        <v>0</v>
      </c>
      <c r="BC301" s="1" t="s">
        <v>1715</v>
      </c>
    </row>
    <row r="302" spans="1:55">
      <c r="A302" s="492">
        <v>186</v>
      </c>
      <c r="B302" s="52" t="s">
        <v>1450</v>
      </c>
      <c r="C302" s="52" t="s">
        <v>33</v>
      </c>
      <c r="D302" s="52" t="s">
        <v>15</v>
      </c>
      <c r="E302" s="89" t="s">
        <v>1651</v>
      </c>
      <c r="F302" s="90" t="s">
        <v>676</v>
      </c>
      <c r="G302" s="90" t="s">
        <v>1059</v>
      </c>
      <c r="H302" s="265" t="s">
        <v>358</v>
      </c>
      <c r="I302" s="54">
        <v>3.3</v>
      </c>
      <c r="J302" s="101"/>
      <c r="K302" s="54">
        <v>3.3</v>
      </c>
      <c r="L302" s="162"/>
      <c r="M302" s="54"/>
      <c r="N302" s="162"/>
      <c r="O302" s="54"/>
      <c r="P302" s="101"/>
      <c r="Q302" s="96">
        <f t="shared" si="774"/>
        <v>16.544</v>
      </c>
      <c r="R302" s="337">
        <f t="shared" si="775"/>
        <v>80.026500179999999</v>
      </c>
      <c r="S302" s="96">
        <v>6.6440000000000001</v>
      </c>
      <c r="T302" s="96">
        <f t="shared" si="776"/>
        <v>31.652314980000003</v>
      </c>
      <c r="U302" s="96">
        <v>1.6E-2</v>
      </c>
      <c r="V302" s="176">
        <f t="shared" si="777"/>
        <v>7.5940127999999996E-2</v>
      </c>
      <c r="W302" s="206"/>
      <c r="X302" s="205">
        <f t="shared" si="778"/>
        <v>0</v>
      </c>
      <c r="Y302" s="188">
        <f t="shared" si="779"/>
        <v>6.66</v>
      </c>
      <c r="Z302" s="176">
        <f t="shared" si="780"/>
        <v>31.728255108000003</v>
      </c>
      <c r="AA302" s="206">
        <v>9.8840000000000003</v>
      </c>
      <c r="AB302" s="205">
        <f t="shared" si="781"/>
        <v>48.298245072</v>
      </c>
      <c r="AC302" s="206"/>
      <c r="AD302" s="176">
        <f t="shared" si="782"/>
        <v>0</v>
      </c>
      <c r="AE302" s="206"/>
      <c r="AF302" s="204">
        <f t="shared" si="783"/>
        <v>0</v>
      </c>
      <c r="AG302" s="188">
        <f t="shared" si="784"/>
        <v>9.8840000000000003</v>
      </c>
      <c r="AH302" s="96">
        <f t="shared" si="785"/>
        <v>48.298245072</v>
      </c>
      <c r="AI302" s="96">
        <f t="shared" si="786"/>
        <v>16.544</v>
      </c>
      <c r="AJ302" s="176">
        <f t="shared" si="787"/>
        <v>80.026500179999999</v>
      </c>
      <c r="AK302" s="206"/>
      <c r="AL302" s="176">
        <f t="shared" si="788"/>
        <v>0</v>
      </c>
      <c r="AM302" s="243"/>
      <c r="AN302" s="176">
        <f t="shared" si="789"/>
        <v>0</v>
      </c>
      <c r="AO302" s="206"/>
      <c r="AP302" s="205">
        <f t="shared" si="790"/>
        <v>0</v>
      </c>
      <c r="AQ302" s="188">
        <f t="shared" si="791"/>
        <v>0</v>
      </c>
      <c r="AR302" s="96">
        <f t="shared" si="792"/>
        <v>0</v>
      </c>
      <c r="AS302" s="96"/>
      <c r="AT302" s="176">
        <f t="shared" si="793"/>
        <v>0</v>
      </c>
      <c r="AU302" s="206"/>
      <c r="AV302" s="176">
        <f t="shared" si="794"/>
        <v>0</v>
      </c>
      <c r="AW302" s="206"/>
      <c r="AX302" s="205">
        <f t="shared" si="795"/>
        <v>0</v>
      </c>
      <c r="AY302" s="188">
        <f t="shared" si="796"/>
        <v>0</v>
      </c>
      <c r="AZ302" s="96">
        <f t="shared" si="797"/>
        <v>0</v>
      </c>
      <c r="BA302" s="96">
        <f t="shared" si="798"/>
        <v>0</v>
      </c>
      <c r="BB302" s="96">
        <f t="shared" si="799"/>
        <v>0</v>
      </c>
      <c r="BC302" s="1" t="s">
        <v>1715</v>
      </c>
    </row>
    <row r="303" spans="1:55">
      <c r="A303" s="492">
        <v>187</v>
      </c>
      <c r="B303" s="13"/>
      <c r="C303" s="13"/>
      <c r="D303" s="13"/>
      <c r="E303" s="21" t="s">
        <v>1652</v>
      </c>
      <c r="F303" s="45" t="s">
        <v>677</v>
      </c>
      <c r="G303" s="22" t="s">
        <v>1059</v>
      </c>
      <c r="H303" s="265" t="s">
        <v>358</v>
      </c>
      <c r="I303" s="54">
        <v>3.9</v>
      </c>
      <c r="J303" s="101"/>
      <c r="K303" s="54">
        <v>3.9</v>
      </c>
      <c r="L303" s="162"/>
      <c r="M303" s="54"/>
      <c r="N303" s="162"/>
      <c r="O303" s="54"/>
      <c r="P303" s="101"/>
      <c r="Q303" s="96">
        <f t="shared" si="774"/>
        <v>0</v>
      </c>
      <c r="R303" s="337">
        <f t="shared" si="775"/>
        <v>0</v>
      </c>
      <c r="S303" s="96"/>
      <c r="T303" s="96">
        <f t="shared" si="776"/>
        <v>0</v>
      </c>
      <c r="U303" s="96"/>
      <c r="V303" s="176">
        <f t="shared" si="777"/>
        <v>0</v>
      </c>
      <c r="W303" s="206"/>
      <c r="X303" s="205">
        <f t="shared" si="778"/>
        <v>0</v>
      </c>
      <c r="Y303" s="188">
        <f t="shared" si="779"/>
        <v>0</v>
      </c>
      <c r="Z303" s="176">
        <f t="shared" si="780"/>
        <v>0</v>
      </c>
      <c r="AA303" s="206"/>
      <c r="AB303" s="205">
        <f t="shared" si="781"/>
        <v>0</v>
      </c>
      <c r="AC303" s="206"/>
      <c r="AD303" s="176">
        <f t="shared" si="782"/>
        <v>0</v>
      </c>
      <c r="AE303" s="206"/>
      <c r="AF303" s="204">
        <f t="shared" si="783"/>
        <v>0</v>
      </c>
      <c r="AG303" s="188">
        <f t="shared" si="784"/>
        <v>0</v>
      </c>
      <c r="AH303" s="96">
        <f t="shared" si="785"/>
        <v>0</v>
      </c>
      <c r="AI303" s="96">
        <f t="shared" si="786"/>
        <v>0</v>
      </c>
      <c r="AJ303" s="176">
        <f t="shared" si="787"/>
        <v>0</v>
      </c>
      <c r="AK303" s="206"/>
      <c r="AL303" s="176">
        <f t="shared" si="788"/>
        <v>0</v>
      </c>
      <c r="AM303" s="243"/>
      <c r="AN303" s="176">
        <f t="shared" si="789"/>
        <v>0</v>
      </c>
      <c r="AO303" s="206"/>
      <c r="AP303" s="205">
        <f t="shared" si="790"/>
        <v>0</v>
      </c>
      <c r="AQ303" s="188">
        <f t="shared" si="791"/>
        <v>0</v>
      </c>
      <c r="AR303" s="96">
        <f t="shared" si="792"/>
        <v>0</v>
      </c>
      <c r="AS303" s="96"/>
      <c r="AT303" s="176">
        <f t="shared" si="793"/>
        <v>0</v>
      </c>
      <c r="AU303" s="206"/>
      <c r="AV303" s="176">
        <f t="shared" si="794"/>
        <v>0</v>
      </c>
      <c r="AW303" s="206"/>
      <c r="AX303" s="205">
        <f t="shared" si="795"/>
        <v>0</v>
      </c>
      <c r="AY303" s="188">
        <f t="shared" si="796"/>
        <v>0</v>
      </c>
      <c r="AZ303" s="96">
        <f t="shared" si="797"/>
        <v>0</v>
      </c>
      <c r="BA303" s="96">
        <f t="shared" si="798"/>
        <v>0</v>
      </c>
      <c r="BB303" s="96">
        <f t="shared" si="799"/>
        <v>0</v>
      </c>
      <c r="BC303" s="1" t="s">
        <v>1715</v>
      </c>
    </row>
    <row r="304" spans="1:55">
      <c r="A304" s="492">
        <v>187</v>
      </c>
      <c r="B304" s="13"/>
      <c r="C304" s="13"/>
      <c r="D304" s="13"/>
      <c r="E304" s="21" t="s">
        <v>1728</v>
      </c>
      <c r="F304" s="45" t="s">
        <v>585</v>
      </c>
      <c r="G304" s="22" t="s">
        <v>1059</v>
      </c>
      <c r="H304" s="265" t="s">
        <v>358</v>
      </c>
      <c r="I304" s="54">
        <v>4.0599999999999996</v>
      </c>
      <c r="J304" s="101"/>
      <c r="K304" s="54">
        <v>4.0599999999999996</v>
      </c>
      <c r="L304" s="162"/>
      <c r="M304" s="54"/>
      <c r="N304" s="162"/>
      <c r="O304" s="54"/>
      <c r="P304" s="101"/>
      <c r="Q304" s="96">
        <f t="shared" si="774"/>
        <v>97.152000000000001</v>
      </c>
      <c r="R304" s="337">
        <f t="shared" si="775"/>
        <v>575.93440248959996</v>
      </c>
      <c r="S304" s="96">
        <v>43.295999999999999</v>
      </c>
      <c r="T304" s="96">
        <f t="shared" si="776"/>
        <v>253.76733782400001</v>
      </c>
      <c r="U304" s="96">
        <v>20.064</v>
      </c>
      <c r="V304" s="176">
        <f t="shared" si="777"/>
        <v>117.16042947839998</v>
      </c>
      <c r="W304" s="206">
        <v>21.12</v>
      </c>
      <c r="X304" s="205">
        <f t="shared" si="778"/>
        <v>128.82402086399998</v>
      </c>
      <c r="Y304" s="188">
        <f t="shared" si="779"/>
        <v>84.48</v>
      </c>
      <c r="Z304" s="176">
        <f t="shared" si="780"/>
        <v>499.75178816639993</v>
      </c>
      <c r="AA304" s="206">
        <v>12.672000000000001</v>
      </c>
      <c r="AB304" s="205">
        <f t="shared" si="781"/>
        <v>76.182614323199985</v>
      </c>
      <c r="AC304" s="206"/>
      <c r="AD304" s="176">
        <f t="shared" si="782"/>
        <v>0</v>
      </c>
      <c r="AE304" s="206"/>
      <c r="AF304" s="204">
        <f t="shared" si="783"/>
        <v>0</v>
      </c>
      <c r="AG304" s="188">
        <f t="shared" si="784"/>
        <v>12.672000000000001</v>
      </c>
      <c r="AH304" s="96">
        <f t="shared" si="785"/>
        <v>76.182614323199985</v>
      </c>
      <c r="AI304" s="96">
        <f t="shared" si="786"/>
        <v>97.152000000000001</v>
      </c>
      <c r="AJ304" s="176">
        <f t="shared" si="787"/>
        <v>575.93440248959996</v>
      </c>
      <c r="AK304" s="206"/>
      <c r="AL304" s="176">
        <f t="shared" si="788"/>
        <v>0</v>
      </c>
      <c r="AM304" s="243"/>
      <c r="AN304" s="176">
        <f t="shared" si="789"/>
        <v>0</v>
      </c>
      <c r="AO304" s="206"/>
      <c r="AP304" s="205">
        <f t="shared" si="790"/>
        <v>0</v>
      </c>
      <c r="AQ304" s="188">
        <f t="shared" si="791"/>
        <v>0</v>
      </c>
      <c r="AR304" s="96">
        <f t="shared" si="792"/>
        <v>0</v>
      </c>
      <c r="AS304" s="96"/>
      <c r="AT304" s="176">
        <f t="shared" si="793"/>
        <v>0</v>
      </c>
      <c r="AU304" s="206"/>
      <c r="AV304" s="176">
        <f t="shared" si="794"/>
        <v>0</v>
      </c>
      <c r="AW304" s="206"/>
      <c r="AX304" s="205">
        <f t="shared" si="795"/>
        <v>0</v>
      </c>
      <c r="AY304" s="188">
        <f t="shared" si="796"/>
        <v>0</v>
      </c>
      <c r="AZ304" s="96">
        <f t="shared" si="797"/>
        <v>0</v>
      </c>
      <c r="BA304" s="96">
        <f t="shared" si="798"/>
        <v>0</v>
      </c>
      <c r="BB304" s="96">
        <f t="shared" si="799"/>
        <v>0</v>
      </c>
      <c r="BC304" s="1" t="s">
        <v>1715</v>
      </c>
    </row>
    <row r="305" spans="1:55">
      <c r="A305" s="492">
        <v>187</v>
      </c>
      <c r="B305" s="24"/>
      <c r="C305" s="24"/>
      <c r="D305" s="24"/>
      <c r="E305" s="21" t="s">
        <v>1729</v>
      </c>
      <c r="F305" s="45" t="s">
        <v>670</v>
      </c>
      <c r="G305" s="22" t="s">
        <v>1059</v>
      </c>
      <c r="H305" s="265" t="s">
        <v>358</v>
      </c>
      <c r="I305" s="54">
        <v>4.7699999999999996</v>
      </c>
      <c r="J305" s="101"/>
      <c r="K305" s="54">
        <v>4.7699999999999996</v>
      </c>
      <c r="L305" s="162"/>
      <c r="M305" s="54"/>
      <c r="N305" s="162"/>
      <c r="O305" s="54"/>
      <c r="P305" s="101"/>
      <c r="Q305" s="96">
        <f t="shared" si="774"/>
        <v>0</v>
      </c>
      <c r="R305" s="337">
        <f t="shared" si="775"/>
        <v>0</v>
      </c>
      <c r="S305" s="96"/>
      <c r="T305" s="96">
        <f t="shared" si="776"/>
        <v>0</v>
      </c>
      <c r="U305" s="96"/>
      <c r="V305" s="176">
        <f t="shared" si="777"/>
        <v>0</v>
      </c>
      <c r="W305" s="206"/>
      <c r="X305" s="205">
        <f t="shared" si="778"/>
        <v>0</v>
      </c>
      <c r="Y305" s="188">
        <f t="shared" si="779"/>
        <v>0</v>
      </c>
      <c r="Z305" s="176">
        <f t="shared" si="780"/>
        <v>0</v>
      </c>
      <c r="AA305" s="206"/>
      <c r="AB305" s="205">
        <f t="shared" si="781"/>
        <v>0</v>
      </c>
      <c r="AC305" s="206"/>
      <c r="AD305" s="176">
        <f t="shared" si="782"/>
        <v>0</v>
      </c>
      <c r="AE305" s="206"/>
      <c r="AF305" s="204">
        <f t="shared" si="783"/>
        <v>0</v>
      </c>
      <c r="AG305" s="188">
        <f t="shared" si="784"/>
        <v>0</v>
      </c>
      <c r="AH305" s="96">
        <f t="shared" si="785"/>
        <v>0</v>
      </c>
      <c r="AI305" s="96">
        <f t="shared" si="786"/>
        <v>0</v>
      </c>
      <c r="AJ305" s="176">
        <f t="shared" si="787"/>
        <v>0</v>
      </c>
      <c r="AK305" s="206"/>
      <c r="AL305" s="176">
        <f t="shared" si="788"/>
        <v>0</v>
      </c>
      <c r="AM305" s="243"/>
      <c r="AN305" s="176">
        <f t="shared" si="789"/>
        <v>0</v>
      </c>
      <c r="AO305" s="206"/>
      <c r="AP305" s="205">
        <f t="shared" si="790"/>
        <v>0</v>
      </c>
      <c r="AQ305" s="188">
        <f t="shared" si="791"/>
        <v>0</v>
      </c>
      <c r="AR305" s="96">
        <f t="shared" si="792"/>
        <v>0</v>
      </c>
      <c r="AS305" s="96"/>
      <c r="AT305" s="176">
        <f t="shared" si="793"/>
        <v>0</v>
      </c>
      <c r="AU305" s="206"/>
      <c r="AV305" s="176">
        <f t="shared" si="794"/>
        <v>0</v>
      </c>
      <c r="AW305" s="206"/>
      <c r="AX305" s="205">
        <f t="shared" si="795"/>
        <v>0</v>
      </c>
      <c r="AY305" s="188">
        <f t="shared" si="796"/>
        <v>0</v>
      </c>
      <c r="AZ305" s="96">
        <f t="shared" si="797"/>
        <v>0</v>
      </c>
      <c r="BA305" s="96">
        <f t="shared" si="798"/>
        <v>0</v>
      </c>
      <c r="BB305" s="96">
        <f t="shared" si="799"/>
        <v>0</v>
      </c>
      <c r="BC305" s="1" t="s">
        <v>1715</v>
      </c>
    </row>
    <row r="306" spans="1:55">
      <c r="A306" s="492">
        <v>188</v>
      </c>
      <c r="B306" s="13" t="s">
        <v>650</v>
      </c>
      <c r="C306" s="13" t="s">
        <v>33</v>
      </c>
      <c r="D306" s="13" t="s">
        <v>15</v>
      </c>
      <c r="E306" s="89" t="s">
        <v>651</v>
      </c>
      <c r="F306" s="90" t="s">
        <v>43</v>
      </c>
      <c r="G306" s="90" t="s">
        <v>1059</v>
      </c>
      <c r="H306" s="265" t="s">
        <v>358</v>
      </c>
      <c r="I306" s="54">
        <v>3.54</v>
      </c>
      <c r="J306" s="101"/>
      <c r="K306" s="54">
        <v>3.54</v>
      </c>
      <c r="L306" s="162"/>
      <c r="M306" s="54"/>
      <c r="N306" s="162"/>
      <c r="O306" s="54"/>
      <c r="P306" s="101"/>
      <c r="Q306" s="96">
        <f t="shared" si="774"/>
        <v>0</v>
      </c>
      <c r="R306" s="337">
        <f t="shared" si="775"/>
        <v>0</v>
      </c>
      <c r="S306" s="96"/>
      <c r="T306" s="96">
        <f t="shared" si="776"/>
        <v>0</v>
      </c>
      <c r="U306" s="96"/>
      <c r="V306" s="176">
        <f t="shared" si="777"/>
        <v>0</v>
      </c>
      <c r="W306" s="206"/>
      <c r="X306" s="205">
        <f t="shared" si="778"/>
        <v>0</v>
      </c>
      <c r="Y306" s="188">
        <f t="shared" si="779"/>
        <v>0</v>
      </c>
      <c r="Z306" s="176">
        <f t="shared" si="780"/>
        <v>0</v>
      </c>
      <c r="AA306" s="206"/>
      <c r="AB306" s="205">
        <f t="shared" si="781"/>
        <v>0</v>
      </c>
      <c r="AC306" s="206"/>
      <c r="AD306" s="176">
        <f t="shared" si="782"/>
        <v>0</v>
      </c>
      <c r="AE306" s="206"/>
      <c r="AF306" s="204">
        <f t="shared" si="783"/>
        <v>0</v>
      </c>
      <c r="AG306" s="188">
        <f t="shared" si="784"/>
        <v>0</v>
      </c>
      <c r="AH306" s="96">
        <f t="shared" si="785"/>
        <v>0</v>
      </c>
      <c r="AI306" s="96">
        <f t="shared" si="786"/>
        <v>0</v>
      </c>
      <c r="AJ306" s="176">
        <f t="shared" si="787"/>
        <v>0</v>
      </c>
      <c r="AK306" s="206"/>
      <c r="AL306" s="176">
        <f t="shared" si="788"/>
        <v>0</v>
      </c>
      <c r="AM306" s="243"/>
      <c r="AN306" s="176">
        <f t="shared" si="789"/>
        <v>0</v>
      </c>
      <c r="AO306" s="206"/>
      <c r="AP306" s="205">
        <f t="shared" si="790"/>
        <v>0</v>
      </c>
      <c r="AQ306" s="188">
        <f t="shared" si="791"/>
        <v>0</v>
      </c>
      <c r="AR306" s="96">
        <f t="shared" si="792"/>
        <v>0</v>
      </c>
      <c r="AS306" s="96"/>
      <c r="AT306" s="176">
        <f t="shared" si="793"/>
        <v>0</v>
      </c>
      <c r="AU306" s="206"/>
      <c r="AV306" s="176">
        <f t="shared" si="794"/>
        <v>0</v>
      </c>
      <c r="AW306" s="206"/>
      <c r="AX306" s="205">
        <f t="shared" si="795"/>
        <v>0</v>
      </c>
      <c r="AY306" s="188">
        <f t="shared" si="796"/>
        <v>0</v>
      </c>
      <c r="AZ306" s="96">
        <f t="shared" si="797"/>
        <v>0</v>
      </c>
      <c r="BA306" s="96">
        <f t="shared" si="798"/>
        <v>0</v>
      </c>
      <c r="BB306" s="96">
        <f t="shared" si="799"/>
        <v>0</v>
      </c>
      <c r="BC306" s="1" t="s">
        <v>1715</v>
      </c>
    </row>
    <row r="307" spans="1:55">
      <c r="A307" s="492">
        <v>189</v>
      </c>
      <c r="B307" s="13"/>
      <c r="C307" s="13"/>
      <c r="D307" s="13"/>
      <c r="E307" s="21" t="s">
        <v>149</v>
      </c>
      <c r="F307" s="45" t="s">
        <v>652</v>
      </c>
      <c r="G307" s="45" t="s">
        <v>1059</v>
      </c>
      <c r="H307" s="265" t="s">
        <v>358</v>
      </c>
      <c r="I307" s="54">
        <v>5.43</v>
      </c>
      <c r="J307" s="101"/>
      <c r="K307" s="54">
        <v>5.43</v>
      </c>
      <c r="L307" s="162"/>
      <c r="M307" s="54"/>
      <c r="N307" s="162"/>
      <c r="O307" s="54"/>
      <c r="P307" s="101"/>
      <c r="Q307" s="96">
        <f t="shared" si="774"/>
        <v>0</v>
      </c>
      <c r="R307" s="337">
        <f t="shared" si="775"/>
        <v>0</v>
      </c>
      <c r="S307" s="96"/>
      <c r="T307" s="96">
        <f t="shared" si="776"/>
        <v>0</v>
      </c>
      <c r="U307" s="96"/>
      <c r="V307" s="176">
        <f t="shared" si="777"/>
        <v>0</v>
      </c>
      <c r="W307" s="206"/>
      <c r="X307" s="205">
        <f t="shared" si="778"/>
        <v>0</v>
      </c>
      <c r="Y307" s="188">
        <f t="shared" si="779"/>
        <v>0</v>
      </c>
      <c r="Z307" s="176">
        <f t="shared" si="780"/>
        <v>0</v>
      </c>
      <c r="AA307" s="206"/>
      <c r="AB307" s="205">
        <f t="shared" si="781"/>
        <v>0</v>
      </c>
      <c r="AC307" s="206"/>
      <c r="AD307" s="176">
        <f t="shared" si="782"/>
        <v>0</v>
      </c>
      <c r="AE307" s="206"/>
      <c r="AF307" s="204">
        <f t="shared" si="783"/>
        <v>0</v>
      </c>
      <c r="AG307" s="188">
        <f t="shared" si="784"/>
        <v>0</v>
      </c>
      <c r="AH307" s="96">
        <f t="shared" si="785"/>
        <v>0</v>
      </c>
      <c r="AI307" s="96">
        <f t="shared" si="786"/>
        <v>0</v>
      </c>
      <c r="AJ307" s="176">
        <f t="shared" si="787"/>
        <v>0</v>
      </c>
      <c r="AK307" s="206"/>
      <c r="AL307" s="176">
        <f t="shared" si="788"/>
        <v>0</v>
      </c>
      <c r="AM307" s="243"/>
      <c r="AN307" s="176">
        <f t="shared" si="789"/>
        <v>0</v>
      </c>
      <c r="AO307" s="206"/>
      <c r="AP307" s="205">
        <f t="shared" si="790"/>
        <v>0</v>
      </c>
      <c r="AQ307" s="188">
        <f t="shared" si="791"/>
        <v>0</v>
      </c>
      <c r="AR307" s="96">
        <f t="shared" si="792"/>
        <v>0</v>
      </c>
      <c r="AS307" s="96"/>
      <c r="AT307" s="176">
        <f t="shared" si="793"/>
        <v>0</v>
      </c>
      <c r="AU307" s="206"/>
      <c r="AV307" s="176">
        <f t="shared" si="794"/>
        <v>0</v>
      </c>
      <c r="AW307" s="206"/>
      <c r="AX307" s="205">
        <f t="shared" si="795"/>
        <v>0</v>
      </c>
      <c r="AY307" s="188">
        <f t="shared" si="796"/>
        <v>0</v>
      </c>
      <c r="AZ307" s="96">
        <f t="shared" si="797"/>
        <v>0</v>
      </c>
      <c r="BA307" s="96">
        <f t="shared" si="798"/>
        <v>0</v>
      </c>
      <c r="BB307" s="96">
        <f t="shared" si="799"/>
        <v>0</v>
      </c>
      <c r="BC307" s="1" t="s">
        <v>1715</v>
      </c>
    </row>
    <row r="308" spans="1:55">
      <c r="A308" s="492">
        <v>191</v>
      </c>
      <c r="B308" s="13"/>
      <c r="C308" s="13"/>
      <c r="D308" s="13"/>
      <c r="E308" s="21" t="s">
        <v>1653</v>
      </c>
      <c r="F308" s="45" t="s">
        <v>591</v>
      </c>
      <c r="G308" s="45" t="s">
        <v>1059</v>
      </c>
      <c r="H308" s="265" t="s">
        <v>358</v>
      </c>
      <c r="I308" s="54">
        <v>3.27</v>
      </c>
      <c r="J308" s="101"/>
      <c r="K308" s="54">
        <v>3.27</v>
      </c>
      <c r="L308" s="162"/>
      <c r="M308" s="54"/>
      <c r="N308" s="162"/>
      <c r="O308" s="54"/>
      <c r="P308" s="101"/>
      <c r="Q308" s="96">
        <f t="shared" si="774"/>
        <v>4.2240000000000002</v>
      </c>
      <c r="R308" s="337">
        <f t="shared" si="775"/>
        <v>19.8659374848</v>
      </c>
      <c r="S308" s="96"/>
      <c r="T308" s="96">
        <f t="shared" si="776"/>
        <v>0</v>
      </c>
      <c r="U308" s="96">
        <v>4.2240000000000002</v>
      </c>
      <c r="V308" s="176">
        <f t="shared" si="777"/>
        <v>19.8659374848</v>
      </c>
      <c r="W308" s="206"/>
      <c r="X308" s="205">
        <f t="shared" si="778"/>
        <v>0</v>
      </c>
      <c r="Y308" s="188">
        <f t="shared" si="779"/>
        <v>4.2240000000000002</v>
      </c>
      <c r="Z308" s="176">
        <f t="shared" si="780"/>
        <v>19.8659374848</v>
      </c>
      <c r="AA308" s="206"/>
      <c r="AB308" s="205">
        <f t="shared" si="781"/>
        <v>0</v>
      </c>
      <c r="AC308" s="206"/>
      <c r="AD308" s="176">
        <f t="shared" si="782"/>
        <v>0</v>
      </c>
      <c r="AE308" s="206"/>
      <c r="AF308" s="204">
        <f t="shared" si="783"/>
        <v>0</v>
      </c>
      <c r="AG308" s="188">
        <f t="shared" si="784"/>
        <v>0</v>
      </c>
      <c r="AH308" s="96">
        <f t="shared" si="785"/>
        <v>0</v>
      </c>
      <c r="AI308" s="96">
        <f t="shared" si="786"/>
        <v>4.2240000000000002</v>
      </c>
      <c r="AJ308" s="176">
        <f t="shared" si="787"/>
        <v>19.8659374848</v>
      </c>
      <c r="AK308" s="206"/>
      <c r="AL308" s="176">
        <f t="shared" si="788"/>
        <v>0</v>
      </c>
      <c r="AM308" s="243"/>
      <c r="AN308" s="176">
        <f t="shared" si="789"/>
        <v>0</v>
      </c>
      <c r="AO308" s="206"/>
      <c r="AP308" s="205">
        <f t="shared" si="790"/>
        <v>0</v>
      </c>
      <c r="AQ308" s="188">
        <f t="shared" si="791"/>
        <v>0</v>
      </c>
      <c r="AR308" s="96">
        <f t="shared" si="792"/>
        <v>0</v>
      </c>
      <c r="AS308" s="96"/>
      <c r="AT308" s="176">
        <f t="shared" si="793"/>
        <v>0</v>
      </c>
      <c r="AU308" s="206"/>
      <c r="AV308" s="176">
        <f t="shared" si="794"/>
        <v>0</v>
      </c>
      <c r="AW308" s="206"/>
      <c r="AX308" s="205">
        <f t="shared" si="795"/>
        <v>0</v>
      </c>
      <c r="AY308" s="188">
        <f t="shared" si="796"/>
        <v>0</v>
      </c>
      <c r="AZ308" s="96">
        <f t="shared" si="797"/>
        <v>0</v>
      </c>
      <c r="BA308" s="96">
        <f t="shared" si="798"/>
        <v>0</v>
      </c>
      <c r="BB308" s="96">
        <f t="shared" si="799"/>
        <v>0</v>
      </c>
      <c r="BC308" s="1" t="s">
        <v>1715</v>
      </c>
    </row>
    <row r="309" spans="1:55">
      <c r="A309" s="492">
        <v>192</v>
      </c>
      <c r="B309" s="13"/>
      <c r="C309" s="13"/>
      <c r="D309" s="13"/>
      <c r="E309" s="21" t="s">
        <v>1654</v>
      </c>
      <c r="F309" s="508" t="s">
        <v>677</v>
      </c>
      <c r="G309" s="507" t="s">
        <v>1059</v>
      </c>
      <c r="H309" s="265" t="s">
        <v>358</v>
      </c>
      <c r="I309" s="458">
        <v>3.91</v>
      </c>
      <c r="J309" s="162"/>
      <c r="K309" s="458">
        <v>3.91</v>
      </c>
      <c r="L309" s="162"/>
      <c r="M309" s="458"/>
      <c r="N309" s="162"/>
      <c r="O309" s="458"/>
      <c r="P309" s="101"/>
      <c r="Q309" s="96">
        <f t="shared" si="774"/>
        <v>0</v>
      </c>
      <c r="R309" s="337">
        <f t="shared" si="775"/>
        <v>0</v>
      </c>
      <c r="S309" s="96"/>
      <c r="T309" s="96">
        <f t="shared" si="776"/>
        <v>0</v>
      </c>
      <c r="U309" s="96"/>
      <c r="V309" s="176">
        <f t="shared" si="777"/>
        <v>0</v>
      </c>
      <c r="W309" s="206"/>
      <c r="X309" s="205">
        <f t="shared" si="778"/>
        <v>0</v>
      </c>
      <c r="Y309" s="188">
        <f t="shared" si="779"/>
        <v>0</v>
      </c>
      <c r="Z309" s="176">
        <f t="shared" si="780"/>
        <v>0</v>
      </c>
      <c r="AA309" s="206"/>
      <c r="AB309" s="205">
        <f t="shared" si="781"/>
        <v>0</v>
      </c>
      <c r="AC309" s="206"/>
      <c r="AD309" s="176">
        <f t="shared" si="782"/>
        <v>0</v>
      </c>
      <c r="AE309" s="206"/>
      <c r="AF309" s="204">
        <f t="shared" si="783"/>
        <v>0</v>
      </c>
      <c r="AG309" s="188">
        <f t="shared" si="784"/>
        <v>0</v>
      </c>
      <c r="AH309" s="96">
        <f t="shared" si="785"/>
        <v>0</v>
      </c>
      <c r="AI309" s="96">
        <f t="shared" si="786"/>
        <v>0</v>
      </c>
      <c r="AJ309" s="176">
        <f t="shared" si="787"/>
        <v>0</v>
      </c>
      <c r="AK309" s="206"/>
      <c r="AL309" s="176">
        <f t="shared" si="788"/>
        <v>0</v>
      </c>
      <c r="AM309" s="243"/>
      <c r="AN309" s="176">
        <f t="shared" si="789"/>
        <v>0</v>
      </c>
      <c r="AO309" s="206"/>
      <c r="AP309" s="205">
        <f t="shared" si="790"/>
        <v>0</v>
      </c>
      <c r="AQ309" s="188">
        <f t="shared" si="791"/>
        <v>0</v>
      </c>
      <c r="AR309" s="96">
        <f t="shared" si="792"/>
        <v>0</v>
      </c>
      <c r="AS309" s="96"/>
      <c r="AT309" s="176">
        <f t="shared" si="793"/>
        <v>0</v>
      </c>
      <c r="AU309" s="206"/>
      <c r="AV309" s="176">
        <f t="shared" si="794"/>
        <v>0</v>
      </c>
      <c r="AW309" s="206"/>
      <c r="AX309" s="205">
        <f t="shared" si="795"/>
        <v>0</v>
      </c>
      <c r="AY309" s="188">
        <f t="shared" si="796"/>
        <v>0</v>
      </c>
      <c r="AZ309" s="96">
        <f t="shared" si="797"/>
        <v>0</v>
      </c>
      <c r="BA309" s="96">
        <f t="shared" si="798"/>
        <v>0</v>
      </c>
      <c r="BB309" s="96">
        <f t="shared" si="799"/>
        <v>0</v>
      </c>
      <c r="BC309" s="1" t="s">
        <v>1715</v>
      </c>
    </row>
    <row r="310" spans="1:55">
      <c r="A310" s="492">
        <v>194</v>
      </c>
      <c r="B310" s="13"/>
      <c r="C310" s="13"/>
      <c r="D310" s="13"/>
      <c r="E310" s="21" t="s">
        <v>1655</v>
      </c>
      <c r="F310" s="45" t="s">
        <v>696</v>
      </c>
      <c r="G310" s="45" t="s">
        <v>1059</v>
      </c>
      <c r="H310" s="265" t="s">
        <v>358</v>
      </c>
      <c r="I310" s="459">
        <v>4</v>
      </c>
      <c r="J310" s="162"/>
      <c r="K310" s="459">
        <v>4</v>
      </c>
      <c r="L310" s="162"/>
      <c r="M310" s="459"/>
      <c r="N310" s="162"/>
      <c r="O310" s="459"/>
      <c r="P310" s="101"/>
      <c r="Q310" s="96">
        <f t="shared" si="774"/>
        <v>25.344000000000001</v>
      </c>
      <c r="R310" s="337">
        <f t="shared" si="775"/>
        <v>149.18517504000002</v>
      </c>
      <c r="S310" s="96">
        <v>6.3360000000000003</v>
      </c>
      <c r="T310" s="96">
        <f t="shared" si="776"/>
        <v>36.587865600000008</v>
      </c>
      <c r="U310" s="96">
        <v>4.2240000000000002</v>
      </c>
      <c r="V310" s="176">
        <f t="shared" si="777"/>
        <v>24.300840960000002</v>
      </c>
      <c r="W310" s="206">
        <v>8.4480000000000004</v>
      </c>
      <c r="X310" s="205">
        <f t="shared" si="778"/>
        <v>50.768087039999998</v>
      </c>
      <c r="Y310" s="188">
        <f t="shared" si="779"/>
        <v>19.008000000000003</v>
      </c>
      <c r="Z310" s="176">
        <f t="shared" si="780"/>
        <v>111.65679360000001</v>
      </c>
      <c r="AA310" s="206">
        <v>6.3360000000000003</v>
      </c>
      <c r="AB310" s="205">
        <f t="shared" si="781"/>
        <v>37.528381440000004</v>
      </c>
      <c r="AC310" s="206"/>
      <c r="AD310" s="176">
        <f t="shared" si="782"/>
        <v>0</v>
      </c>
      <c r="AE310" s="206"/>
      <c r="AF310" s="204">
        <f t="shared" si="783"/>
        <v>0</v>
      </c>
      <c r="AG310" s="188">
        <f t="shared" si="784"/>
        <v>6.3360000000000003</v>
      </c>
      <c r="AH310" s="96">
        <f t="shared" si="785"/>
        <v>37.528381440000004</v>
      </c>
      <c r="AI310" s="96">
        <f t="shared" si="786"/>
        <v>25.344000000000001</v>
      </c>
      <c r="AJ310" s="176">
        <f t="shared" si="787"/>
        <v>149.18517504000002</v>
      </c>
      <c r="AK310" s="206"/>
      <c r="AL310" s="176">
        <f t="shared" si="788"/>
        <v>0</v>
      </c>
      <c r="AM310" s="243"/>
      <c r="AN310" s="176">
        <f t="shared" si="789"/>
        <v>0</v>
      </c>
      <c r="AO310" s="206"/>
      <c r="AP310" s="205">
        <f t="shared" si="790"/>
        <v>0</v>
      </c>
      <c r="AQ310" s="188">
        <f t="shared" si="791"/>
        <v>0</v>
      </c>
      <c r="AR310" s="96">
        <f t="shared" si="792"/>
        <v>0</v>
      </c>
      <c r="AS310" s="96"/>
      <c r="AT310" s="176">
        <f t="shared" si="793"/>
        <v>0</v>
      </c>
      <c r="AU310" s="206"/>
      <c r="AV310" s="176">
        <f t="shared" si="794"/>
        <v>0</v>
      </c>
      <c r="AW310" s="206"/>
      <c r="AX310" s="205">
        <f t="shared" si="795"/>
        <v>0</v>
      </c>
      <c r="AY310" s="188">
        <f t="shared" si="796"/>
        <v>0</v>
      </c>
      <c r="AZ310" s="96">
        <f t="shared" si="797"/>
        <v>0</v>
      </c>
      <c r="BA310" s="96">
        <f t="shared" si="798"/>
        <v>0</v>
      </c>
      <c r="BB310" s="96">
        <f t="shared" si="799"/>
        <v>0</v>
      </c>
      <c r="BC310" s="1" t="s">
        <v>1715</v>
      </c>
    </row>
    <row r="311" spans="1:55">
      <c r="A311" s="492">
        <v>196</v>
      </c>
      <c r="B311" s="13"/>
      <c r="C311" s="13"/>
      <c r="D311" s="13"/>
      <c r="E311" s="62" t="s">
        <v>1656</v>
      </c>
      <c r="F311" s="419" t="s">
        <v>670</v>
      </c>
      <c r="G311" s="63" t="s">
        <v>1059</v>
      </c>
      <c r="H311" s="281" t="s">
        <v>358</v>
      </c>
      <c r="I311" s="460">
        <v>4.76</v>
      </c>
      <c r="J311" s="162"/>
      <c r="K311" s="460">
        <v>4.76</v>
      </c>
      <c r="L311" s="165"/>
      <c r="M311" s="460"/>
      <c r="N311" s="165"/>
      <c r="O311" s="460"/>
      <c r="P311" s="106"/>
      <c r="Q311" s="128">
        <f t="shared" si="774"/>
        <v>1.056</v>
      </c>
      <c r="R311" s="345">
        <f t="shared" si="775"/>
        <v>7.4431289855999996</v>
      </c>
      <c r="S311" s="96"/>
      <c r="T311" s="96">
        <f t="shared" si="776"/>
        <v>0</v>
      </c>
      <c r="U311" s="96"/>
      <c r="V311" s="176">
        <f t="shared" si="777"/>
        <v>0</v>
      </c>
      <c r="W311" s="206"/>
      <c r="X311" s="205">
        <f t="shared" si="778"/>
        <v>0</v>
      </c>
      <c r="Y311" s="188">
        <f t="shared" si="779"/>
        <v>0</v>
      </c>
      <c r="Z311" s="176">
        <f t="shared" si="780"/>
        <v>0</v>
      </c>
      <c r="AA311" s="206">
        <v>1.056</v>
      </c>
      <c r="AB311" s="205">
        <f t="shared" si="781"/>
        <v>7.4431289855999996</v>
      </c>
      <c r="AC311" s="206"/>
      <c r="AD311" s="176">
        <f t="shared" si="782"/>
        <v>0</v>
      </c>
      <c r="AE311" s="206"/>
      <c r="AF311" s="204">
        <f t="shared" si="783"/>
        <v>0</v>
      </c>
      <c r="AG311" s="188">
        <f t="shared" si="784"/>
        <v>1.056</v>
      </c>
      <c r="AH311" s="96">
        <f t="shared" si="785"/>
        <v>7.4431289855999996</v>
      </c>
      <c r="AI311" s="96">
        <f t="shared" si="786"/>
        <v>1.056</v>
      </c>
      <c r="AJ311" s="176">
        <f t="shared" si="787"/>
        <v>7.4431289855999996</v>
      </c>
      <c r="AK311" s="206"/>
      <c r="AL311" s="176">
        <f t="shared" si="788"/>
        <v>0</v>
      </c>
      <c r="AM311" s="243"/>
      <c r="AN311" s="176">
        <f t="shared" si="789"/>
        <v>0</v>
      </c>
      <c r="AO311" s="206"/>
      <c r="AP311" s="205">
        <f t="shared" si="790"/>
        <v>0</v>
      </c>
      <c r="AQ311" s="188">
        <f t="shared" si="791"/>
        <v>0</v>
      </c>
      <c r="AR311" s="96">
        <f t="shared" si="792"/>
        <v>0</v>
      </c>
      <c r="AS311" s="96"/>
      <c r="AT311" s="176">
        <f t="shared" si="793"/>
        <v>0</v>
      </c>
      <c r="AU311" s="206"/>
      <c r="AV311" s="176">
        <f t="shared" si="794"/>
        <v>0</v>
      </c>
      <c r="AW311" s="206"/>
      <c r="AX311" s="205">
        <f t="shared" si="795"/>
        <v>0</v>
      </c>
      <c r="AY311" s="188">
        <f t="shared" si="796"/>
        <v>0</v>
      </c>
      <c r="AZ311" s="96">
        <f t="shared" si="797"/>
        <v>0</v>
      </c>
      <c r="BA311" s="96">
        <f t="shared" si="798"/>
        <v>0</v>
      </c>
      <c r="BB311" s="96">
        <f t="shared" si="799"/>
        <v>0</v>
      </c>
      <c r="BC311" s="1" t="s">
        <v>1060</v>
      </c>
    </row>
    <row r="312" spans="1:55">
      <c r="A312" s="492">
        <v>196</v>
      </c>
      <c r="B312" s="13"/>
      <c r="C312" s="13"/>
      <c r="D312" s="13"/>
      <c r="E312" s="62" t="s">
        <v>2616</v>
      </c>
      <c r="F312" s="419" t="s">
        <v>2618</v>
      </c>
      <c r="G312" s="63" t="s">
        <v>1059</v>
      </c>
      <c r="H312" s="281" t="s">
        <v>358</v>
      </c>
      <c r="I312" s="460"/>
      <c r="J312" s="162"/>
      <c r="K312" s="460">
        <v>5.65</v>
      </c>
      <c r="L312" s="165"/>
      <c r="M312" s="460"/>
      <c r="N312" s="165"/>
      <c r="O312" s="460"/>
      <c r="P312" s="106"/>
      <c r="Q312" s="128">
        <f t="shared" ref="Q312" si="800">SUM(AI312+BA312)</f>
        <v>0.03</v>
      </c>
      <c r="R312" s="345">
        <f t="shared" ref="R312" si="801">SUM(AJ312+BB312)</f>
        <v>0.25098882</v>
      </c>
      <c r="S312" s="96"/>
      <c r="T312" s="96">
        <f t="shared" ref="T312" si="802">I312*S312*$T$2/1000</f>
        <v>0</v>
      </c>
      <c r="U312" s="96"/>
      <c r="V312" s="176">
        <f t="shared" ref="V312" si="803">I312*U312*$V$2/1000</f>
        <v>0</v>
      </c>
      <c r="W312" s="206"/>
      <c r="X312" s="205">
        <f t="shared" ref="X312" si="804">I312*W312*$X$2/1000</f>
        <v>0</v>
      </c>
      <c r="Y312" s="188">
        <f t="shared" ref="Y312" si="805">SUM(S312+U312+W312)</f>
        <v>0</v>
      </c>
      <c r="Z312" s="176">
        <f t="shared" ref="Z312" si="806">SUM(T312+V312+X312)</f>
        <v>0</v>
      </c>
      <c r="AA312" s="206">
        <v>0.03</v>
      </c>
      <c r="AB312" s="205">
        <f t="shared" ref="AB312" si="807">K312*AA312*$AB$2/1000</f>
        <v>0.25098882</v>
      </c>
      <c r="AC312" s="206"/>
      <c r="AD312" s="176">
        <f t="shared" ref="AD312" si="808">K312*AC312*$AD$2/1000</f>
        <v>0</v>
      </c>
      <c r="AE312" s="206"/>
      <c r="AF312" s="204">
        <f t="shared" ref="AF312" si="809">K312*AE312*$AF$2/1000</f>
        <v>0</v>
      </c>
      <c r="AG312" s="188">
        <f t="shared" ref="AG312" si="810">SUM(AA312+AC312+AE312)</f>
        <v>0.03</v>
      </c>
      <c r="AH312" s="96">
        <f t="shared" ref="AH312" si="811">SUM(AB312+AD312+AF312)</f>
        <v>0.25098882</v>
      </c>
      <c r="AI312" s="96">
        <f t="shared" ref="AI312" si="812">SUM(Y312+AG312)</f>
        <v>0.03</v>
      </c>
      <c r="AJ312" s="176">
        <f t="shared" ref="AJ312" si="813">SUM(Z312,AH312)</f>
        <v>0.25098882</v>
      </c>
      <c r="AK312" s="206"/>
      <c r="AL312" s="176">
        <f t="shared" ref="AL312" si="814">M312*AK312*$AL$2/1000</f>
        <v>0</v>
      </c>
      <c r="AM312" s="243"/>
      <c r="AN312" s="176">
        <f t="shared" ref="AN312" si="815">M312*AM312*$AN$2/1000</f>
        <v>0</v>
      </c>
      <c r="AO312" s="206"/>
      <c r="AP312" s="205">
        <f t="shared" ref="AP312" si="816">M312*AO312*$AP$2/1000</f>
        <v>0</v>
      </c>
      <c r="AQ312" s="188">
        <f t="shared" ref="AQ312" si="817">SUM(AK312+AM312+AO312)</f>
        <v>0</v>
      </c>
      <c r="AR312" s="96">
        <f t="shared" ref="AR312" si="818">SUM(AL312+AN312+AP312)</f>
        <v>0</v>
      </c>
      <c r="AS312" s="96"/>
      <c r="AT312" s="176">
        <f t="shared" ref="AT312" si="819">O312*AS312*$AT$2/1000</f>
        <v>0</v>
      </c>
      <c r="AU312" s="206"/>
      <c r="AV312" s="176">
        <f t="shared" ref="AV312" si="820">O312*AU312*$AV$2/1000</f>
        <v>0</v>
      </c>
      <c r="AW312" s="206"/>
      <c r="AX312" s="205">
        <f t="shared" ref="AX312" si="821">O312*AW312*$AX$2/1000</f>
        <v>0</v>
      </c>
      <c r="AY312" s="188">
        <f t="shared" ref="AY312" si="822">SUM(AS312+AU312+AW312)</f>
        <v>0</v>
      </c>
      <c r="AZ312" s="96">
        <f t="shared" ref="AZ312" si="823">SUM(AT312+AV312+AX312)</f>
        <v>0</v>
      </c>
      <c r="BA312" s="96">
        <f t="shared" ref="BA312" si="824">SUM(AQ312+AY312)</f>
        <v>0</v>
      </c>
      <c r="BB312" s="96">
        <f t="shared" ref="BB312" si="825">SUM(AR312,AZ312)</f>
        <v>0</v>
      </c>
      <c r="BC312" s="1" t="s">
        <v>1060</v>
      </c>
    </row>
    <row r="313" spans="1:55">
      <c r="A313" s="492">
        <v>196</v>
      </c>
      <c r="B313" s="13"/>
      <c r="C313" s="13"/>
      <c r="D313" s="13"/>
      <c r="E313" s="62" t="s">
        <v>2617</v>
      </c>
      <c r="F313" s="419" t="s">
        <v>2619</v>
      </c>
      <c r="G313" s="63" t="s">
        <v>1059</v>
      </c>
      <c r="H313" s="281" t="s">
        <v>358</v>
      </c>
      <c r="I313" s="460"/>
      <c r="J313" s="162"/>
      <c r="K313" s="460">
        <v>6</v>
      </c>
      <c r="L313" s="165"/>
      <c r="M313" s="460"/>
      <c r="N313" s="165"/>
      <c r="O313" s="460"/>
      <c r="P313" s="106"/>
      <c r="Q313" s="128">
        <f t="shared" si="774"/>
        <v>0</v>
      </c>
      <c r="R313" s="345">
        <f t="shared" si="775"/>
        <v>0</v>
      </c>
      <c r="S313" s="96"/>
      <c r="T313" s="96">
        <f t="shared" si="776"/>
        <v>0</v>
      </c>
      <c r="U313" s="96"/>
      <c r="V313" s="176">
        <f t="shared" si="777"/>
        <v>0</v>
      </c>
      <c r="W313" s="206"/>
      <c r="X313" s="205">
        <f t="shared" si="778"/>
        <v>0</v>
      </c>
      <c r="Y313" s="188">
        <f t="shared" si="779"/>
        <v>0</v>
      </c>
      <c r="Z313" s="176">
        <f t="shared" si="780"/>
        <v>0</v>
      </c>
      <c r="AA313" s="206"/>
      <c r="AB313" s="205">
        <f t="shared" si="781"/>
        <v>0</v>
      </c>
      <c r="AC313" s="206"/>
      <c r="AD313" s="176">
        <f t="shared" si="782"/>
        <v>0</v>
      </c>
      <c r="AE313" s="206"/>
      <c r="AF313" s="204">
        <f t="shared" si="783"/>
        <v>0</v>
      </c>
      <c r="AG313" s="188">
        <f t="shared" si="784"/>
        <v>0</v>
      </c>
      <c r="AH313" s="96">
        <f t="shared" si="785"/>
        <v>0</v>
      </c>
      <c r="AI313" s="96">
        <f t="shared" si="786"/>
        <v>0</v>
      </c>
      <c r="AJ313" s="176">
        <f t="shared" si="787"/>
        <v>0</v>
      </c>
      <c r="AK313" s="206"/>
      <c r="AL313" s="176">
        <f t="shared" si="788"/>
        <v>0</v>
      </c>
      <c r="AM313" s="243"/>
      <c r="AN313" s="176">
        <f t="shared" si="789"/>
        <v>0</v>
      </c>
      <c r="AO313" s="206"/>
      <c r="AP313" s="205">
        <f t="shared" si="790"/>
        <v>0</v>
      </c>
      <c r="AQ313" s="188">
        <f t="shared" si="791"/>
        <v>0</v>
      </c>
      <c r="AR313" s="96">
        <f t="shared" si="792"/>
        <v>0</v>
      </c>
      <c r="AS313" s="96"/>
      <c r="AT313" s="176">
        <f t="shared" si="793"/>
        <v>0</v>
      </c>
      <c r="AU313" s="206"/>
      <c r="AV313" s="176">
        <f t="shared" si="794"/>
        <v>0</v>
      </c>
      <c r="AW313" s="206"/>
      <c r="AX313" s="205">
        <f t="shared" si="795"/>
        <v>0</v>
      </c>
      <c r="AY313" s="188">
        <f t="shared" si="796"/>
        <v>0</v>
      </c>
      <c r="AZ313" s="96">
        <f t="shared" si="797"/>
        <v>0</v>
      </c>
      <c r="BA313" s="96">
        <f t="shared" si="798"/>
        <v>0</v>
      </c>
      <c r="BB313" s="96">
        <f t="shared" si="799"/>
        <v>0</v>
      </c>
      <c r="BC313" s="1" t="s">
        <v>1715</v>
      </c>
    </row>
    <row r="314" spans="1:55">
      <c r="A314" s="492">
        <v>198</v>
      </c>
      <c r="B314" s="52" t="s">
        <v>1227</v>
      </c>
      <c r="C314" s="52"/>
      <c r="D314" s="52" t="s">
        <v>1228</v>
      </c>
      <c r="E314" s="31" t="s">
        <v>1229</v>
      </c>
      <c r="F314" s="32" t="s">
        <v>1232</v>
      </c>
      <c r="G314" s="310" t="s">
        <v>1056</v>
      </c>
      <c r="H314" s="271" t="s">
        <v>358</v>
      </c>
      <c r="I314" s="61">
        <v>6.1</v>
      </c>
      <c r="J314" s="162"/>
      <c r="K314" s="61">
        <v>6.1</v>
      </c>
      <c r="L314" s="162"/>
      <c r="M314" s="61"/>
      <c r="N314" s="162"/>
      <c r="O314" s="61"/>
      <c r="P314" s="162"/>
      <c r="Q314" s="96">
        <f t="shared" si="774"/>
        <v>0</v>
      </c>
      <c r="R314" s="337">
        <f t="shared" si="775"/>
        <v>0</v>
      </c>
      <c r="S314" s="96"/>
      <c r="T314" s="96">
        <f t="shared" si="776"/>
        <v>0</v>
      </c>
      <c r="U314" s="96"/>
      <c r="V314" s="176">
        <f t="shared" si="777"/>
        <v>0</v>
      </c>
      <c r="W314" s="206"/>
      <c r="X314" s="205">
        <f t="shared" si="778"/>
        <v>0</v>
      </c>
      <c r="Y314" s="188">
        <f t="shared" si="779"/>
        <v>0</v>
      </c>
      <c r="Z314" s="176">
        <f t="shared" si="780"/>
        <v>0</v>
      </c>
      <c r="AA314" s="206"/>
      <c r="AB314" s="205">
        <f t="shared" si="781"/>
        <v>0</v>
      </c>
      <c r="AC314" s="206"/>
      <c r="AD314" s="176">
        <f t="shared" si="782"/>
        <v>0</v>
      </c>
      <c r="AE314" s="206"/>
      <c r="AF314" s="204">
        <f t="shared" si="783"/>
        <v>0</v>
      </c>
      <c r="AG314" s="188">
        <f t="shared" si="784"/>
        <v>0</v>
      </c>
      <c r="AH314" s="96">
        <f t="shared" si="785"/>
        <v>0</v>
      </c>
      <c r="AI314" s="96">
        <f t="shared" si="786"/>
        <v>0</v>
      </c>
      <c r="AJ314" s="176">
        <f t="shared" si="787"/>
        <v>0</v>
      </c>
      <c r="AK314" s="206"/>
      <c r="AL314" s="176">
        <f t="shared" si="788"/>
        <v>0</v>
      </c>
      <c r="AM314" s="243"/>
      <c r="AN314" s="176">
        <f t="shared" si="789"/>
        <v>0</v>
      </c>
      <c r="AO314" s="206"/>
      <c r="AP314" s="205">
        <f t="shared" si="790"/>
        <v>0</v>
      </c>
      <c r="AQ314" s="188">
        <f t="shared" si="791"/>
        <v>0</v>
      </c>
      <c r="AR314" s="96">
        <f t="shared" si="792"/>
        <v>0</v>
      </c>
      <c r="AS314" s="96"/>
      <c r="AT314" s="176">
        <f t="shared" si="793"/>
        <v>0</v>
      </c>
      <c r="AU314" s="206"/>
      <c r="AV314" s="176">
        <f t="shared" si="794"/>
        <v>0</v>
      </c>
      <c r="AW314" s="206"/>
      <c r="AX314" s="205">
        <f t="shared" si="795"/>
        <v>0</v>
      </c>
      <c r="AY314" s="188">
        <f t="shared" si="796"/>
        <v>0</v>
      </c>
      <c r="AZ314" s="96">
        <f t="shared" si="797"/>
        <v>0</v>
      </c>
      <c r="BA314" s="96">
        <f t="shared" si="798"/>
        <v>0</v>
      </c>
      <c r="BB314" s="96">
        <f t="shared" si="799"/>
        <v>0</v>
      </c>
      <c r="BC314" s="1" t="s">
        <v>1715</v>
      </c>
    </row>
    <row r="315" spans="1:55">
      <c r="A315" s="492">
        <v>199</v>
      </c>
      <c r="B315" s="13"/>
      <c r="C315" s="13"/>
      <c r="D315" s="13"/>
      <c r="E315" s="50" t="s">
        <v>1230</v>
      </c>
      <c r="F315" s="64" t="s">
        <v>1231</v>
      </c>
      <c r="G315" s="366" t="s">
        <v>1056</v>
      </c>
      <c r="H315" s="272" t="s">
        <v>358</v>
      </c>
      <c r="I315" s="57">
        <v>7.6</v>
      </c>
      <c r="J315" s="162"/>
      <c r="K315" s="57">
        <v>7.6</v>
      </c>
      <c r="L315" s="162"/>
      <c r="M315" s="57"/>
      <c r="N315" s="162"/>
      <c r="O315" s="57"/>
      <c r="P315" s="162"/>
      <c r="Q315" s="96">
        <f t="shared" si="774"/>
        <v>0</v>
      </c>
      <c r="R315" s="337">
        <f t="shared" si="775"/>
        <v>0</v>
      </c>
      <c r="S315" s="96"/>
      <c r="T315" s="96">
        <f t="shared" si="776"/>
        <v>0</v>
      </c>
      <c r="U315" s="96"/>
      <c r="V315" s="176">
        <f t="shared" si="777"/>
        <v>0</v>
      </c>
      <c r="W315" s="206"/>
      <c r="X315" s="205">
        <f t="shared" si="778"/>
        <v>0</v>
      </c>
      <c r="Y315" s="188">
        <f t="shared" si="779"/>
        <v>0</v>
      </c>
      <c r="Z315" s="176">
        <f t="shared" si="780"/>
        <v>0</v>
      </c>
      <c r="AA315" s="206"/>
      <c r="AB315" s="205">
        <f t="shared" si="781"/>
        <v>0</v>
      </c>
      <c r="AC315" s="206"/>
      <c r="AD315" s="176">
        <f t="shared" si="782"/>
        <v>0</v>
      </c>
      <c r="AE315" s="206"/>
      <c r="AF315" s="204">
        <f t="shared" si="783"/>
        <v>0</v>
      </c>
      <c r="AG315" s="188">
        <f t="shared" si="784"/>
        <v>0</v>
      </c>
      <c r="AH315" s="96">
        <f t="shared" si="785"/>
        <v>0</v>
      </c>
      <c r="AI315" s="96">
        <f t="shared" si="786"/>
        <v>0</v>
      </c>
      <c r="AJ315" s="176">
        <f t="shared" si="787"/>
        <v>0</v>
      </c>
      <c r="AK315" s="206"/>
      <c r="AL315" s="176">
        <f t="shared" si="788"/>
        <v>0</v>
      </c>
      <c r="AM315" s="243"/>
      <c r="AN315" s="176">
        <f t="shared" si="789"/>
        <v>0</v>
      </c>
      <c r="AO315" s="206"/>
      <c r="AP315" s="205">
        <f t="shared" si="790"/>
        <v>0</v>
      </c>
      <c r="AQ315" s="188">
        <f t="shared" si="791"/>
        <v>0</v>
      </c>
      <c r="AR315" s="96">
        <f t="shared" si="792"/>
        <v>0</v>
      </c>
      <c r="AS315" s="96"/>
      <c r="AT315" s="176">
        <f t="shared" si="793"/>
        <v>0</v>
      </c>
      <c r="AU315" s="206"/>
      <c r="AV315" s="176">
        <f t="shared" si="794"/>
        <v>0</v>
      </c>
      <c r="AW315" s="206"/>
      <c r="AX315" s="205">
        <f t="shared" si="795"/>
        <v>0</v>
      </c>
      <c r="AY315" s="188">
        <f t="shared" si="796"/>
        <v>0</v>
      </c>
      <c r="AZ315" s="96">
        <f t="shared" si="797"/>
        <v>0</v>
      </c>
      <c r="BA315" s="96">
        <f t="shared" si="798"/>
        <v>0</v>
      </c>
      <c r="BB315" s="96">
        <f t="shared" si="799"/>
        <v>0</v>
      </c>
      <c r="BC315" s="1" t="s">
        <v>1715</v>
      </c>
    </row>
    <row r="316" spans="1:55">
      <c r="B316" s="52" t="s">
        <v>1122</v>
      </c>
      <c r="C316" s="52" t="s">
        <v>1123</v>
      </c>
      <c r="D316" s="52" t="s">
        <v>1124</v>
      </c>
      <c r="E316" s="89" t="s">
        <v>1657</v>
      </c>
      <c r="F316" s="90" t="s">
        <v>676</v>
      </c>
      <c r="G316" s="424" t="s">
        <v>1056</v>
      </c>
      <c r="H316" s="284" t="s">
        <v>358</v>
      </c>
      <c r="I316" s="75">
        <v>3.37</v>
      </c>
      <c r="J316" s="111"/>
      <c r="K316" s="75">
        <v>3.37</v>
      </c>
      <c r="L316" s="167"/>
      <c r="M316" s="75"/>
      <c r="N316" s="167"/>
      <c r="O316" s="75"/>
      <c r="P316" s="111"/>
      <c r="Q316" s="130">
        <f t="shared" si="774"/>
        <v>11.616</v>
      </c>
      <c r="R316" s="347">
        <f t="shared" si="775"/>
        <v>57.591441916800001</v>
      </c>
      <c r="S316" s="96"/>
      <c r="T316" s="96">
        <f t="shared" si="776"/>
        <v>0</v>
      </c>
      <c r="U316" s="96">
        <v>4.2240000000000002</v>
      </c>
      <c r="V316" s="176">
        <f t="shared" si="777"/>
        <v>20.473458508800004</v>
      </c>
      <c r="W316" s="206">
        <v>3.1680000000000001</v>
      </c>
      <c r="X316" s="205">
        <f t="shared" si="778"/>
        <v>16.0395424992</v>
      </c>
      <c r="Y316" s="188">
        <f t="shared" si="779"/>
        <v>7.3920000000000003</v>
      </c>
      <c r="Z316" s="176">
        <f t="shared" si="780"/>
        <v>36.513001008000003</v>
      </c>
      <c r="AA316" s="206">
        <v>4.2240000000000002</v>
      </c>
      <c r="AB316" s="205">
        <f t="shared" si="781"/>
        <v>21.078440908799998</v>
      </c>
      <c r="AC316" s="206"/>
      <c r="AD316" s="176">
        <f t="shared" si="782"/>
        <v>0</v>
      </c>
      <c r="AE316" s="206"/>
      <c r="AF316" s="205">
        <f t="shared" si="783"/>
        <v>0</v>
      </c>
      <c r="AG316" s="188">
        <f t="shared" si="784"/>
        <v>4.2240000000000002</v>
      </c>
      <c r="AH316" s="96">
        <f t="shared" si="785"/>
        <v>21.078440908799998</v>
      </c>
      <c r="AI316" s="96">
        <f t="shared" si="786"/>
        <v>11.616</v>
      </c>
      <c r="AJ316" s="176">
        <f t="shared" si="787"/>
        <v>57.591441916800001</v>
      </c>
      <c r="AK316" s="206"/>
      <c r="AL316" s="176">
        <f t="shared" si="788"/>
        <v>0</v>
      </c>
      <c r="AM316" s="243"/>
      <c r="AN316" s="176">
        <f t="shared" si="789"/>
        <v>0</v>
      </c>
      <c r="AO316" s="206"/>
      <c r="AP316" s="205">
        <f t="shared" si="790"/>
        <v>0</v>
      </c>
      <c r="AQ316" s="188">
        <f t="shared" si="791"/>
        <v>0</v>
      </c>
      <c r="AR316" s="96">
        <f t="shared" si="792"/>
        <v>0</v>
      </c>
      <c r="AS316" s="96"/>
      <c r="AT316" s="176">
        <f t="shared" si="793"/>
        <v>0</v>
      </c>
      <c r="AU316" s="206"/>
      <c r="AV316" s="176">
        <f t="shared" si="794"/>
        <v>0</v>
      </c>
      <c r="AW316" s="206"/>
      <c r="AX316" s="205">
        <f t="shared" si="795"/>
        <v>0</v>
      </c>
      <c r="AY316" s="188">
        <f t="shared" si="796"/>
        <v>0</v>
      </c>
      <c r="AZ316" s="96">
        <f t="shared" si="797"/>
        <v>0</v>
      </c>
      <c r="BA316" s="96">
        <f t="shared" si="798"/>
        <v>0</v>
      </c>
      <c r="BB316" s="96">
        <f t="shared" si="799"/>
        <v>0</v>
      </c>
      <c r="BC316" s="1" t="s">
        <v>1715</v>
      </c>
    </row>
    <row r="317" spans="1:55">
      <c r="B317" s="13"/>
      <c r="C317" s="13"/>
      <c r="D317" s="13"/>
      <c r="E317" s="21" t="s">
        <v>1658</v>
      </c>
      <c r="F317" s="22" t="s">
        <v>677</v>
      </c>
      <c r="G317" s="424" t="s">
        <v>1056</v>
      </c>
      <c r="H317" s="265" t="s">
        <v>358</v>
      </c>
      <c r="I317" s="54">
        <v>4.03</v>
      </c>
      <c r="J317" s="101"/>
      <c r="K317" s="54">
        <v>4.03</v>
      </c>
      <c r="L317" s="162"/>
      <c r="M317" s="54"/>
      <c r="N317" s="162"/>
      <c r="O317" s="54"/>
      <c r="P317" s="101"/>
      <c r="Q317" s="96">
        <f t="shared" si="774"/>
        <v>0</v>
      </c>
      <c r="R317" s="337">
        <f t="shared" si="775"/>
        <v>0</v>
      </c>
      <c r="S317" s="96"/>
      <c r="T317" s="96">
        <f t="shared" si="776"/>
        <v>0</v>
      </c>
      <c r="U317" s="96"/>
      <c r="V317" s="176">
        <f t="shared" si="777"/>
        <v>0</v>
      </c>
      <c r="W317" s="206"/>
      <c r="X317" s="205">
        <f t="shared" si="778"/>
        <v>0</v>
      </c>
      <c r="Y317" s="188">
        <f t="shared" si="779"/>
        <v>0</v>
      </c>
      <c r="Z317" s="176">
        <f t="shared" si="780"/>
        <v>0</v>
      </c>
      <c r="AA317" s="206"/>
      <c r="AB317" s="205">
        <f t="shared" si="781"/>
        <v>0</v>
      </c>
      <c r="AC317" s="206"/>
      <c r="AD317" s="176">
        <f t="shared" si="782"/>
        <v>0</v>
      </c>
      <c r="AE317" s="206"/>
      <c r="AF317" s="205">
        <f t="shared" si="783"/>
        <v>0</v>
      </c>
      <c r="AG317" s="188">
        <f t="shared" si="784"/>
        <v>0</v>
      </c>
      <c r="AH317" s="96">
        <f t="shared" si="785"/>
        <v>0</v>
      </c>
      <c r="AI317" s="96">
        <f t="shared" si="786"/>
        <v>0</v>
      </c>
      <c r="AJ317" s="176">
        <f t="shared" si="787"/>
        <v>0</v>
      </c>
      <c r="AK317" s="206"/>
      <c r="AL317" s="176">
        <f t="shared" si="788"/>
        <v>0</v>
      </c>
      <c r="AM317" s="243"/>
      <c r="AN317" s="176">
        <f t="shared" si="789"/>
        <v>0</v>
      </c>
      <c r="AO317" s="206"/>
      <c r="AP317" s="205">
        <f t="shared" si="790"/>
        <v>0</v>
      </c>
      <c r="AQ317" s="188">
        <f t="shared" si="791"/>
        <v>0</v>
      </c>
      <c r="AR317" s="96">
        <f t="shared" si="792"/>
        <v>0</v>
      </c>
      <c r="AS317" s="96"/>
      <c r="AT317" s="176">
        <f t="shared" si="793"/>
        <v>0</v>
      </c>
      <c r="AU317" s="206"/>
      <c r="AV317" s="176">
        <f t="shared" si="794"/>
        <v>0</v>
      </c>
      <c r="AW317" s="206"/>
      <c r="AX317" s="205">
        <f t="shared" si="795"/>
        <v>0</v>
      </c>
      <c r="AY317" s="188">
        <f t="shared" si="796"/>
        <v>0</v>
      </c>
      <c r="AZ317" s="96">
        <f t="shared" si="797"/>
        <v>0</v>
      </c>
      <c r="BA317" s="96">
        <f t="shared" si="798"/>
        <v>0</v>
      </c>
      <c r="BB317" s="96">
        <f t="shared" si="799"/>
        <v>0</v>
      </c>
      <c r="BC317" s="1" t="s">
        <v>1715</v>
      </c>
    </row>
    <row r="318" spans="1:55">
      <c r="B318" s="13"/>
      <c r="C318" s="13"/>
      <c r="D318" s="13"/>
      <c r="E318" s="21" t="s">
        <v>1659</v>
      </c>
      <c r="F318" s="22" t="s">
        <v>1110</v>
      </c>
      <c r="G318" s="424" t="s">
        <v>1056</v>
      </c>
      <c r="H318" s="265" t="s">
        <v>358</v>
      </c>
      <c r="I318" s="54">
        <v>4.13</v>
      </c>
      <c r="J318" s="101"/>
      <c r="K318" s="54">
        <v>4.13</v>
      </c>
      <c r="L318" s="162"/>
      <c r="M318" s="54"/>
      <c r="N318" s="162"/>
      <c r="O318" s="54"/>
      <c r="P318" s="101"/>
      <c r="Q318" s="96">
        <f t="shared" si="774"/>
        <v>12.672000000000001</v>
      </c>
      <c r="R318" s="337">
        <f t="shared" si="775"/>
        <v>77.508668159999985</v>
      </c>
      <c r="S318" s="96"/>
      <c r="T318" s="96">
        <f t="shared" si="776"/>
        <v>0</v>
      </c>
      <c r="U318" s="96">
        <v>4.2240000000000002</v>
      </c>
      <c r="V318" s="176">
        <f t="shared" si="777"/>
        <v>25.090618291200002</v>
      </c>
      <c r="W318" s="206">
        <v>8.4480000000000004</v>
      </c>
      <c r="X318" s="205">
        <f t="shared" si="778"/>
        <v>52.41804986879999</v>
      </c>
      <c r="Y318" s="188">
        <f t="shared" si="779"/>
        <v>12.672000000000001</v>
      </c>
      <c r="Z318" s="176">
        <f t="shared" si="780"/>
        <v>77.508668159999985</v>
      </c>
      <c r="AA318" s="206"/>
      <c r="AB318" s="205">
        <f t="shared" si="781"/>
        <v>0</v>
      </c>
      <c r="AC318" s="206"/>
      <c r="AD318" s="176">
        <f t="shared" si="782"/>
        <v>0</v>
      </c>
      <c r="AE318" s="206"/>
      <c r="AF318" s="205">
        <f t="shared" si="783"/>
        <v>0</v>
      </c>
      <c r="AG318" s="188">
        <f t="shared" si="784"/>
        <v>0</v>
      </c>
      <c r="AH318" s="96">
        <f t="shared" si="785"/>
        <v>0</v>
      </c>
      <c r="AI318" s="96">
        <f t="shared" si="786"/>
        <v>12.672000000000001</v>
      </c>
      <c r="AJ318" s="176">
        <f t="shared" si="787"/>
        <v>77.508668159999985</v>
      </c>
      <c r="AK318" s="206"/>
      <c r="AL318" s="176">
        <f t="shared" si="788"/>
        <v>0</v>
      </c>
      <c r="AM318" s="243"/>
      <c r="AN318" s="176">
        <f t="shared" si="789"/>
        <v>0</v>
      </c>
      <c r="AO318" s="206"/>
      <c r="AP318" s="205">
        <f t="shared" si="790"/>
        <v>0</v>
      </c>
      <c r="AQ318" s="188">
        <f t="shared" si="791"/>
        <v>0</v>
      </c>
      <c r="AR318" s="96">
        <f t="shared" si="792"/>
        <v>0</v>
      </c>
      <c r="AS318" s="96"/>
      <c r="AT318" s="176">
        <f t="shared" si="793"/>
        <v>0</v>
      </c>
      <c r="AU318" s="206"/>
      <c r="AV318" s="176">
        <f t="shared" si="794"/>
        <v>0</v>
      </c>
      <c r="AW318" s="206"/>
      <c r="AX318" s="205">
        <f t="shared" si="795"/>
        <v>0</v>
      </c>
      <c r="AY318" s="188">
        <f t="shared" si="796"/>
        <v>0</v>
      </c>
      <c r="AZ318" s="96">
        <f t="shared" si="797"/>
        <v>0</v>
      </c>
      <c r="BA318" s="96">
        <f t="shared" si="798"/>
        <v>0</v>
      </c>
      <c r="BB318" s="96">
        <f t="shared" si="799"/>
        <v>0</v>
      </c>
      <c r="BC318" s="1" t="s">
        <v>1715</v>
      </c>
    </row>
    <row r="319" spans="1:55">
      <c r="B319" s="13"/>
      <c r="C319" s="13"/>
      <c r="D319" s="13"/>
      <c r="E319" s="21" t="s">
        <v>1660</v>
      </c>
      <c r="F319" s="22" t="s">
        <v>1111</v>
      </c>
      <c r="G319" s="424" t="s">
        <v>1056</v>
      </c>
      <c r="H319" s="265" t="s">
        <v>358</v>
      </c>
      <c r="I319" s="54">
        <v>4.96</v>
      </c>
      <c r="J319" s="101"/>
      <c r="K319" s="54">
        <v>4.96</v>
      </c>
      <c r="L319" s="162"/>
      <c r="M319" s="54"/>
      <c r="N319" s="162"/>
      <c r="O319" s="54"/>
      <c r="P319" s="101"/>
      <c r="Q319" s="96">
        <f t="shared" si="774"/>
        <v>0</v>
      </c>
      <c r="R319" s="337">
        <f t="shared" si="775"/>
        <v>0</v>
      </c>
      <c r="S319" s="96"/>
      <c r="T319" s="96">
        <f t="shared" si="776"/>
        <v>0</v>
      </c>
      <c r="U319" s="96"/>
      <c r="V319" s="176">
        <f t="shared" si="777"/>
        <v>0</v>
      </c>
      <c r="W319" s="206"/>
      <c r="X319" s="205">
        <f t="shared" si="778"/>
        <v>0</v>
      </c>
      <c r="Y319" s="188">
        <f t="shared" si="779"/>
        <v>0</v>
      </c>
      <c r="Z319" s="176">
        <f t="shared" si="780"/>
        <v>0</v>
      </c>
      <c r="AA319" s="206"/>
      <c r="AB319" s="205">
        <f t="shared" si="781"/>
        <v>0</v>
      </c>
      <c r="AC319" s="206"/>
      <c r="AD319" s="176">
        <f t="shared" si="782"/>
        <v>0</v>
      </c>
      <c r="AE319" s="206"/>
      <c r="AF319" s="205">
        <f t="shared" si="783"/>
        <v>0</v>
      </c>
      <c r="AG319" s="188">
        <f t="shared" si="784"/>
        <v>0</v>
      </c>
      <c r="AH319" s="96">
        <f t="shared" si="785"/>
        <v>0</v>
      </c>
      <c r="AI319" s="96">
        <f t="shared" si="786"/>
        <v>0</v>
      </c>
      <c r="AJ319" s="176">
        <f t="shared" si="787"/>
        <v>0</v>
      </c>
      <c r="AK319" s="206"/>
      <c r="AL319" s="176">
        <f t="shared" si="788"/>
        <v>0</v>
      </c>
      <c r="AM319" s="243"/>
      <c r="AN319" s="176">
        <f t="shared" si="789"/>
        <v>0</v>
      </c>
      <c r="AO319" s="206"/>
      <c r="AP319" s="205">
        <f t="shared" si="790"/>
        <v>0</v>
      </c>
      <c r="AQ319" s="188">
        <f t="shared" si="791"/>
        <v>0</v>
      </c>
      <c r="AR319" s="96">
        <f t="shared" si="792"/>
        <v>0</v>
      </c>
      <c r="AS319" s="96"/>
      <c r="AT319" s="176">
        <f t="shared" si="793"/>
        <v>0</v>
      </c>
      <c r="AU319" s="206"/>
      <c r="AV319" s="176">
        <f t="shared" si="794"/>
        <v>0</v>
      </c>
      <c r="AW319" s="206"/>
      <c r="AX319" s="205">
        <f t="shared" si="795"/>
        <v>0</v>
      </c>
      <c r="AY319" s="188">
        <f t="shared" si="796"/>
        <v>0</v>
      </c>
      <c r="AZ319" s="96">
        <f t="shared" si="797"/>
        <v>0</v>
      </c>
      <c r="BA319" s="96">
        <f t="shared" si="798"/>
        <v>0</v>
      </c>
      <c r="BB319" s="96">
        <f t="shared" si="799"/>
        <v>0</v>
      </c>
      <c r="BC319" s="1" t="s">
        <v>1715</v>
      </c>
    </row>
    <row r="320" spans="1:55">
      <c r="A320" s="492">
        <v>179</v>
      </c>
      <c r="B320" s="52" t="s">
        <v>1425</v>
      </c>
      <c r="C320" s="52" t="s">
        <v>33</v>
      </c>
      <c r="D320" s="52" t="s">
        <v>572</v>
      </c>
      <c r="E320" s="21" t="s">
        <v>1661</v>
      </c>
      <c r="F320" s="22" t="s">
        <v>676</v>
      </c>
      <c r="G320" s="22" t="s">
        <v>1059</v>
      </c>
      <c r="H320" s="265" t="s">
        <v>358</v>
      </c>
      <c r="I320" s="54">
        <v>3.27</v>
      </c>
      <c r="J320" s="101"/>
      <c r="K320" s="54">
        <v>3.27</v>
      </c>
      <c r="L320" s="162"/>
      <c r="M320" s="54"/>
      <c r="N320" s="162"/>
      <c r="O320" s="54"/>
      <c r="P320" s="101"/>
      <c r="Q320" s="96">
        <f t="shared" si="774"/>
        <v>0</v>
      </c>
      <c r="R320" s="337">
        <f t="shared" si="775"/>
        <v>0</v>
      </c>
      <c r="S320" s="96"/>
      <c r="T320" s="96">
        <f t="shared" si="776"/>
        <v>0</v>
      </c>
      <c r="U320" s="96"/>
      <c r="V320" s="176">
        <f t="shared" si="777"/>
        <v>0</v>
      </c>
      <c r="W320" s="206"/>
      <c r="X320" s="205">
        <f t="shared" si="778"/>
        <v>0</v>
      </c>
      <c r="Y320" s="188">
        <f t="shared" si="779"/>
        <v>0</v>
      </c>
      <c r="Z320" s="176">
        <f t="shared" si="780"/>
        <v>0</v>
      </c>
      <c r="AA320" s="206"/>
      <c r="AB320" s="205">
        <f t="shared" si="781"/>
        <v>0</v>
      </c>
      <c r="AC320" s="206"/>
      <c r="AD320" s="176">
        <f t="shared" si="782"/>
        <v>0</v>
      </c>
      <c r="AE320" s="206"/>
      <c r="AF320" s="204">
        <f t="shared" si="783"/>
        <v>0</v>
      </c>
      <c r="AG320" s="188">
        <f t="shared" si="784"/>
        <v>0</v>
      </c>
      <c r="AH320" s="96">
        <f t="shared" si="785"/>
        <v>0</v>
      </c>
      <c r="AI320" s="96">
        <f t="shared" si="786"/>
        <v>0</v>
      </c>
      <c r="AJ320" s="176">
        <f t="shared" si="787"/>
        <v>0</v>
      </c>
      <c r="AK320" s="206"/>
      <c r="AL320" s="176">
        <f t="shared" si="788"/>
        <v>0</v>
      </c>
      <c r="AM320" s="243"/>
      <c r="AN320" s="176">
        <f t="shared" si="789"/>
        <v>0</v>
      </c>
      <c r="AO320" s="206"/>
      <c r="AP320" s="205">
        <f t="shared" si="790"/>
        <v>0</v>
      </c>
      <c r="AQ320" s="188">
        <f t="shared" si="791"/>
        <v>0</v>
      </c>
      <c r="AR320" s="96">
        <f t="shared" si="792"/>
        <v>0</v>
      </c>
      <c r="AS320" s="96"/>
      <c r="AT320" s="176">
        <f t="shared" si="793"/>
        <v>0</v>
      </c>
      <c r="AU320" s="206"/>
      <c r="AV320" s="176">
        <f t="shared" si="794"/>
        <v>0</v>
      </c>
      <c r="AW320" s="206"/>
      <c r="AX320" s="205">
        <f t="shared" si="795"/>
        <v>0</v>
      </c>
      <c r="AY320" s="188">
        <f t="shared" si="796"/>
        <v>0</v>
      </c>
      <c r="AZ320" s="96">
        <f t="shared" si="797"/>
        <v>0</v>
      </c>
      <c r="BA320" s="96">
        <f t="shared" si="798"/>
        <v>0</v>
      </c>
      <c r="BB320" s="96">
        <f t="shared" si="799"/>
        <v>0</v>
      </c>
      <c r="BC320" s="1" t="s">
        <v>1715</v>
      </c>
    </row>
    <row r="321" spans="1:55">
      <c r="A321" s="492">
        <v>180</v>
      </c>
      <c r="B321" s="13"/>
      <c r="C321" s="13"/>
      <c r="D321" s="13"/>
      <c r="E321" s="21" t="s">
        <v>1662</v>
      </c>
      <c r="F321" s="22" t="s">
        <v>677</v>
      </c>
      <c r="G321" s="22" t="s">
        <v>1059</v>
      </c>
      <c r="H321" s="265" t="s">
        <v>358</v>
      </c>
      <c r="I321" s="54">
        <v>3.91</v>
      </c>
      <c r="J321" s="101"/>
      <c r="K321" s="54">
        <v>3.91</v>
      </c>
      <c r="L321" s="162"/>
      <c r="M321" s="54"/>
      <c r="N321" s="162"/>
      <c r="O321" s="54"/>
      <c r="P321" s="101"/>
      <c r="Q321" s="96">
        <f t="shared" si="774"/>
        <v>0</v>
      </c>
      <c r="R321" s="337">
        <f t="shared" si="775"/>
        <v>0</v>
      </c>
      <c r="S321" s="96"/>
      <c r="T321" s="96">
        <f t="shared" si="776"/>
        <v>0</v>
      </c>
      <c r="U321" s="96"/>
      <c r="V321" s="176">
        <f t="shared" si="777"/>
        <v>0</v>
      </c>
      <c r="W321" s="206"/>
      <c r="X321" s="205">
        <f t="shared" si="778"/>
        <v>0</v>
      </c>
      <c r="Y321" s="188">
        <f t="shared" si="779"/>
        <v>0</v>
      </c>
      <c r="Z321" s="176">
        <f t="shared" si="780"/>
        <v>0</v>
      </c>
      <c r="AA321" s="206"/>
      <c r="AB321" s="205">
        <f t="shared" si="781"/>
        <v>0</v>
      </c>
      <c r="AC321" s="206"/>
      <c r="AD321" s="176">
        <f t="shared" si="782"/>
        <v>0</v>
      </c>
      <c r="AE321" s="206"/>
      <c r="AF321" s="204">
        <f t="shared" si="783"/>
        <v>0</v>
      </c>
      <c r="AG321" s="188">
        <f t="shared" si="784"/>
        <v>0</v>
      </c>
      <c r="AH321" s="96">
        <f t="shared" si="785"/>
        <v>0</v>
      </c>
      <c r="AI321" s="96">
        <f t="shared" si="786"/>
        <v>0</v>
      </c>
      <c r="AJ321" s="176">
        <f t="shared" si="787"/>
        <v>0</v>
      </c>
      <c r="AK321" s="206"/>
      <c r="AL321" s="176">
        <f t="shared" si="788"/>
        <v>0</v>
      </c>
      <c r="AM321" s="243"/>
      <c r="AN321" s="176">
        <f t="shared" si="789"/>
        <v>0</v>
      </c>
      <c r="AO321" s="206"/>
      <c r="AP321" s="205">
        <f t="shared" si="790"/>
        <v>0</v>
      </c>
      <c r="AQ321" s="188">
        <f t="shared" si="791"/>
        <v>0</v>
      </c>
      <c r="AR321" s="96">
        <f t="shared" si="792"/>
        <v>0</v>
      </c>
      <c r="AS321" s="96"/>
      <c r="AT321" s="176">
        <f t="shared" si="793"/>
        <v>0</v>
      </c>
      <c r="AU321" s="206"/>
      <c r="AV321" s="176">
        <f t="shared" si="794"/>
        <v>0</v>
      </c>
      <c r="AW321" s="206"/>
      <c r="AX321" s="205">
        <f t="shared" si="795"/>
        <v>0</v>
      </c>
      <c r="AY321" s="188">
        <f t="shared" si="796"/>
        <v>0</v>
      </c>
      <c r="AZ321" s="96">
        <f t="shared" si="797"/>
        <v>0</v>
      </c>
      <c r="BA321" s="96">
        <f t="shared" si="798"/>
        <v>0</v>
      </c>
      <c r="BB321" s="96">
        <f t="shared" si="799"/>
        <v>0</v>
      </c>
      <c r="BC321" s="1" t="s">
        <v>1715</v>
      </c>
    </row>
    <row r="322" spans="1:55">
      <c r="A322" s="492">
        <v>179</v>
      </c>
      <c r="B322" s="13"/>
      <c r="C322" s="13"/>
      <c r="D322" s="13"/>
      <c r="E322" s="21" t="s">
        <v>1663</v>
      </c>
      <c r="F322" s="22" t="s">
        <v>1110</v>
      </c>
      <c r="G322" s="22" t="s">
        <v>1059</v>
      </c>
      <c r="H322" s="265" t="s">
        <v>358</v>
      </c>
      <c r="I322" s="54">
        <v>4</v>
      </c>
      <c r="J322" s="101"/>
      <c r="K322" s="54">
        <v>4</v>
      </c>
      <c r="L322" s="162"/>
      <c r="M322" s="54"/>
      <c r="N322" s="162"/>
      <c r="O322" s="54"/>
      <c r="P322" s="101"/>
      <c r="Q322" s="96">
        <f t="shared" si="774"/>
        <v>0</v>
      </c>
      <c r="R322" s="337">
        <f t="shared" si="775"/>
        <v>0</v>
      </c>
      <c r="S322" s="96"/>
      <c r="T322" s="96">
        <f t="shared" si="776"/>
        <v>0</v>
      </c>
      <c r="U322" s="96"/>
      <c r="V322" s="176">
        <f t="shared" si="777"/>
        <v>0</v>
      </c>
      <c r="W322" s="206"/>
      <c r="X322" s="205">
        <f t="shared" si="778"/>
        <v>0</v>
      </c>
      <c r="Y322" s="188">
        <f t="shared" si="779"/>
        <v>0</v>
      </c>
      <c r="Z322" s="176">
        <f t="shared" si="780"/>
        <v>0</v>
      </c>
      <c r="AA322" s="206"/>
      <c r="AB322" s="205">
        <f t="shared" si="781"/>
        <v>0</v>
      </c>
      <c r="AC322" s="206"/>
      <c r="AD322" s="176">
        <f t="shared" si="782"/>
        <v>0</v>
      </c>
      <c r="AE322" s="206"/>
      <c r="AF322" s="204">
        <f t="shared" si="783"/>
        <v>0</v>
      </c>
      <c r="AG322" s="188">
        <f t="shared" si="784"/>
        <v>0</v>
      </c>
      <c r="AH322" s="96">
        <f t="shared" si="785"/>
        <v>0</v>
      </c>
      <c r="AI322" s="96">
        <f t="shared" si="786"/>
        <v>0</v>
      </c>
      <c r="AJ322" s="176">
        <f t="shared" si="787"/>
        <v>0</v>
      </c>
      <c r="AK322" s="206"/>
      <c r="AL322" s="176">
        <f t="shared" si="788"/>
        <v>0</v>
      </c>
      <c r="AM322" s="243"/>
      <c r="AN322" s="176">
        <f t="shared" si="789"/>
        <v>0</v>
      </c>
      <c r="AO322" s="206"/>
      <c r="AP322" s="205">
        <f t="shared" si="790"/>
        <v>0</v>
      </c>
      <c r="AQ322" s="188">
        <f t="shared" si="791"/>
        <v>0</v>
      </c>
      <c r="AR322" s="96">
        <f t="shared" si="792"/>
        <v>0</v>
      </c>
      <c r="AS322" s="96"/>
      <c r="AT322" s="176">
        <f t="shared" si="793"/>
        <v>0</v>
      </c>
      <c r="AU322" s="206"/>
      <c r="AV322" s="176">
        <f t="shared" si="794"/>
        <v>0</v>
      </c>
      <c r="AW322" s="206"/>
      <c r="AX322" s="205">
        <f t="shared" si="795"/>
        <v>0</v>
      </c>
      <c r="AY322" s="188">
        <f t="shared" si="796"/>
        <v>0</v>
      </c>
      <c r="AZ322" s="96">
        <f t="shared" si="797"/>
        <v>0</v>
      </c>
      <c r="BA322" s="96">
        <f t="shared" si="798"/>
        <v>0</v>
      </c>
      <c r="BB322" s="96">
        <f t="shared" si="799"/>
        <v>0</v>
      </c>
      <c r="BC322" s="1" t="s">
        <v>1715</v>
      </c>
    </row>
    <row r="323" spans="1:55">
      <c r="A323" s="492">
        <v>180</v>
      </c>
      <c r="B323" s="13"/>
      <c r="C323" s="13"/>
      <c r="D323" s="13"/>
      <c r="E323" s="21" t="s">
        <v>1664</v>
      </c>
      <c r="F323" s="22" t="s">
        <v>1111</v>
      </c>
      <c r="G323" s="22" t="s">
        <v>1059</v>
      </c>
      <c r="H323" s="265" t="s">
        <v>358</v>
      </c>
      <c r="I323" s="54">
        <v>4.76</v>
      </c>
      <c r="J323" s="101"/>
      <c r="K323" s="54">
        <v>4.76</v>
      </c>
      <c r="L323" s="162"/>
      <c r="M323" s="54"/>
      <c r="N323" s="162"/>
      <c r="O323" s="54"/>
      <c r="P323" s="101"/>
      <c r="Q323" s="96">
        <f t="shared" si="774"/>
        <v>0</v>
      </c>
      <c r="R323" s="337">
        <f t="shared" si="775"/>
        <v>0</v>
      </c>
      <c r="S323" s="96"/>
      <c r="T323" s="96">
        <f t="shared" si="776"/>
        <v>0</v>
      </c>
      <c r="U323" s="96"/>
      <c r="V323" s="176">
        <f t="shared" si="777"/>
        <v>0</v>
      </c>
      <c r="W323" s="206"/>
      <c r="X323" s="205">
        <f t="shared" si="778"/>
        <v>0</v>
      </c>
      <c r="Y323" s="188">
        <f t="shared" si="779"/>
        <v>0</v>
      </c>
      <c r="Z323" s="176">
        <f t="shared" si="780"/>
        <v>0</v>
      </c>
      <c r="AA323" s="206"/>
      <c r="AB323" s="205">
        <f t="shared" si="781"/>
        <v>0</v>
      </c>
      <c r="AC323" s="206"/>
      <c r="AD323" s="176">
        <f t="shared" si="782"/>
        <v>0</v>
      </c>
      <c r="AE323" s="206"/>
      <c r="AF323" s="204">
        <f t="shared" si="783"/>
        <v>0</v>
      </c>
      <c r="AG323" s="188">
        <f t="shared" si="784"/>
        <v>0</v>
      </c>
      <c r="AH323" s="96">
        <f t="shared" si="785"/>
        <v>0</v>
      </c>
      <c r="AI323" s="96">
        <f t="shared" si="786"/>
        <v>0</v>
      </c>
      <c r="AJ323" s="176">
        <f t="shared" si="787"/>
        <v>0</v>
      </c>
      <c r="AK323" s="206"/>
      <c r="AL323" s="176">
        <f t="shared" si="788"/>
        <v>0</v>
      </c>
      <c r="AM323" s="243"/>
      <c r="AN323" s="176">
        <f t="shared" si="789"/>
        <v>0</v>
      </c>
      <c r="AO323" s="206"/>
      <c r="AP323" s="205">
        <f t="shared" si="790"/>
        <v>0</v>
      </c>
      <c r="AQ323" s="188">
        <f t="shared" si="791"/>
        <v>0</v>
      </c>
      <c r="AR323" s="96">
        <f t="shared" si="792"/>
        <v>0</v>
      </c>
      <c r="AS323" s="96"/>
      <c r="AT323" s="176">
        <f t="shared" si="793"/>
        <v>0</v>
      </c>
      <c r="AU323" s="206"/>
      <c r="AV323" s="176">
        <f t="shared" si="794"/>
        <v>0</v>
      </c>
      <c r="AW323" s="206"/>
      <c r="AX323" s="205">
        <f t="shared" si="795"/>
        <v>0</v>
      </c>
      <c r="AY323" s="188">
        <f t="shared" si="796"/>
        <v>0</v>
      </c>
      <c r="AZ323" s="96">
        <f t="shared" si="797"/>
        <v>0</v>
      </c>
      <c r="BA323" s="96">
        <f t="shared" si="798"/>
        <v>0</v>
      </c>
      <c r="BB323" s="96">
        <f t="shared" si="799"/>
        <v>0</v>
      </c>
      <c r="BC323" s="1" t="s">
        <v>1715</v>
      </c>
    </row>
    <row r="324" spans="1:55">
      <c r="A324" s="492">
        <v>179</v>
      </c>
      <c r="B324" s="52" t="s">
        <v>1665</v>
      </c>
      <c r="C324" s="52" t="s">
        <v>33</v>
      </c>
      <c r="D324" s="52" t="s">
        <v>572</v>
      </c>
      <c r="E324" s="21" t="s">
        <v>1666</v>
      </c>
      <c r="F324" s="22" t="s">
        <v>676</v>
      </c>
      <c r="G324" s="22" t="s">
        <v>1059</v>
      </c>
      <c r="H324" s="265" t="s">
        <v>358</v>
      </c>
      <c r="I324" s="54">
        <v>3.37</v>
      </c>
      <c r="J324" s="101"/>
      <c r="K324" s="54">
        <v>3.26</v>
      </c>
      <c r="L324" s="162"/>
      <c r="M324" s="54"/>
      <c r="N324" s="162"/>
      <c r="O324" s="54"/>
      <c r="P324" s="101"/>
      <c r="Q324" s="96">
        <f t="shared" si="774"/>
        <v>151.03800000000001</v>
      </c>
      <c r="R324" s="337">
        <f t="shared" si="775"/>
        <v>747.36549977880009</v>
      </c>
      <c r="S324" s="96">
        <v>8.4480000000000004</v>
      </c>
      <c r="T324" s="96">
        <f t="shared" si="776"/>
        <v>41.10036902400001</v>
      </c>
      <c r="U324" s="96">
        <v>51.774000000000001</v>
      </c>
      <c r="V324" s="176">
        <f t="shared" si="777"/>
        <v>250.94527481880002</v>
      </c>
      <c r="W324" s="206">
        <v>71.808000000000007</v>
      </c>
      <c r="X324" s="205">
        <f t="shared" si="778"/>
        <v>363.56296331520008</v>
      </c>
      <c r="Y324" s="188">
        <f t="shared" si="779"/>
        <v>132.03</v>
      </c>
      <c r="Z324" s="176">
        <f t="shared" si="780"/>
        <v>655.60860715800004</v>
      </c>
      <c r="AA324" s="206">
        <v>19.007999999999999</v>
      </c>
      <c r="AB324" s="205">
        <f t="shared" si="781"/>
        <v>91.756892620799988</v>
      </c>
      <c r="AC324" s="206"/>
      <c r="AD324" s="176">
        <f t="shared" si="782"/>
        <v>0</v>
      </c>
      <c r="AE324" s="206"/>
      <c r="AF324" s="204">
        <f t="shared" si="783"/>
        <v>0</v>
      </c>
      <c r="AG324" s="188">
        <f t="shared" si="784"/>
        <v>19.007999999999999</v>
      </c>
      <c r="AH324" s="96">
        <f t="shared" si="785"/>
        <v>91.756892620799988</v>
      </c>
      <c r="AI324" s="96">
        <f t="shared" si="786"/>
        <v>151.03800000000001</v>
      </c>
      <c r="AJ324" s="176">
        <f t="shared" si="787"/>
        <v>747.36549977880009</v>
      </c>
      <c r="AK324" s="206"/>
      <c r="AL324" s="176">
        <f t="shared" si="788"/>
        <v>0</v>
      </c>
      <c r="AM324" s="243"/>
      <c r="AN324" s="176">
        <f t="shared" si="789"/>
        <v>0</v>
      </c>
      <c r="AO324" s="206"/>
      <c r="AP324" s="205">
        <f t="shared" si="790"/>
        <v>0</v>
      </c>
      <c r="AQ324" s="188">
        <f t="shared" si="791"/>
        <v>0</v>
      </c>
      <c r="AR324" s="96">
        <f t="shared" si="792"/>
        <v>0</v>
      </c>
      <c r="AS324" s="96"/>
      <c r="AT324" s="176">
        <f t="shared" si="793"/>
        <v>0</v>
      </c>
      <c r="AU324" s="206"/>
      <c r="AV324" s="176">
        <f t="shared" si="794"/>
        <v>0</v>
      </c>
      <c r="AW324" s="206"/>
      <c r="AX324" s="205">
        <f t="shared" si="795"/>
        <v>0</v>
      </c>
      <c r="AY324" s="188">
        <f t="shared" si="796"/>
        <v>0</v>
      </c>
      <c r="AZ324" s="96">
        <f t="shared" si="797"/>
        <v>0</v>
      </c>
      <c r="BA324" s="96">
        <f t="shared" si="798"/>
        <v>0</v>
      </c>
      <c r="BB324" s="96">
        <f t="shared" si="799"/>
        <v>0</v>
      </c>
      <c r="BC324" s="1" t="s">
        <v>1717</v>
      </c>
    </row>
    <row r="325" spans="1:55">
      <c r="A325" s="492">
        <v>187</v>
      </c>
      <c r="B325" s="13"/>
      <c r="C325" s="13"/>
      <c r="D325" s="13"/>
      <c r="E325" s="21" t="s">
        <v>2620</v>
      </c>
      <c r="F325" s="45" t="s">
        <v>2621</v>
      </c>
      <c r="G325" s="22" t="s">
        <v>1059</v>
      </c>
      <c r="H325" s="265" t="s">
        <v>358</v>
      </c>
      <c r="I325" s="54"/>
      <c r="J325" s="101"/>
      <c r="K325" s="54">
        <v>3.37</v>
      </c>
      <c r="L325" s="162"/>
      <c r="M325" s="54"/>
      <c r="N325" s="162"/>
      <c r="O325" s="54"/>
      <c r="P325" s="101"/>
      <c r="Q325" s="128">
        <f t="shared" si="774"/>
        <v>0.15</v>
      </c>
      <c r="R325" s="337">
        <f t="shared" si="775"/>
        <v>0.74852417999999987</v>
      </c>
      <c r="S325" s="96"/>
      <c r="T325" s="96">
        <f t="shared" si="776"/>
        <v>0</v>
      </c>
      <c r="U325" s="96"/>
      <c r="V325" s="176">
        <f t="shared" si="777"/>
        <v>0</v>
      </c>
      <c r="W325" s="206"/>
      <c r="X325" s="205">
        <f t="shared" si="778"/>
        <v>0</v>
      </c>
      <c r="Y325" s="188">
        <f t="shared" si="779"/>
        <v>0</v>
      </c>
      <c r="Z325" s="176">
        <f t="shared" si="780"/>
        <v>0</v>
      </c>
      <c r="AA325" s="206">
        <v>0.15</v>
      </c>
      <c r="AB325" s="205">
        <f t="shared" si="781"/>
        <v>0.74852417999999987</v>
      </c>
      <c r="AC325" s="206"/>
      <c r="AD325" s="176">
        <f t="shared" si="782"/>
        <v>0</v>
      </c>
      <c r="AE325" s="206"/>
      <c r="AF325" s="204">
        <f t="shared" si="783"/>
        <v>0</v>
      </c>
      <c r="AG325" s="188">
        <f t="shared" si="784"/>
        <v>0.15</v>
      </c>
      <c r="AH325" s="96">
        <f t="shared" si="785"/>
        <v>0.74852417999999987</v>
      </c>
      <c r="AI325" s="96">
        <f t="shared" si="786"/>
        <v>0.15</v>
      </c>
      <c r="AJ325" s="176">
        <f t="shared" si="787"/>
        <v>0.74852417999999987</v>
      </c>
      <c r="AK325" s="206"/>
      <c r="AL325" s="176">
        <f t="shared" si="788"/>
        <v>0</v>
      </c>
      <c r="AM325" s="243"/>
      <c r="AN325" s="176">
        <f t="shared" si="789"/>
        <v>0</v>
      </c>
      <c r="AO325" s="206"/>
      <c r="AP325" s="205">
        <f t="shared" si="790"/>
        <v>0</v>
      </c>
      <c r="AQ325" s="188">
        <f t="shared" si="791"/>
        <v>0</v>
      </c>
      <c r="AR325" s="96">
        <f t="shared" si="792"/>
        <v>0</v>
      </c>
      <c r="AS325" s="96"/>
      <c r="AT325" s="176">
        <f t="shared" si="793"/>
        <v>0</v>
      </c>
      <c r="AU325" s="206"/>
      <c r="AV325" s="176">
        <f t="shared" si="794"/>
        <v>0</v>
      </c>
      <c r="AW325" s="206"/>
      <c r="AX325" s="205">
        <f t="shared" si="795"/>
        <v>0</v>
      </c>
      <c r="AY325" s="188">
        <f t="shared" si="796"/>
        <v>0</v>
      </c>
      <c r="AZ325" s="96">
        <f t="shared" si="797"/>
        <v>0</v>
      </c>
      <c r="BA325" s="96">
        <f t="shared" si="798"/>
        <v>0</v>
      </c>
      <c r="BB325" s="96">
        <f t="shared" si="799"/>
        <v>0</v>
      </c>
      <c r="BC325" s="1" t="s">
        <v>1056</v>
      </c>
    </row>
    <row r="326" spans="1:55">
      <c r="A326" s="492">
        <v>180</v>
      </c>
      <c r="B326" s="13"/>
      <c r="C326" s="13"/>
      <c r="D326" s="13"/>
      <c r="E326" s="21" t="s">
        <v>1667</v>
      </c>
      <c r="F326" s="22" t="s">
        <v>677</v>
      </c>
      <c r="G326" s="22" t="s">
        <v>1059</v>
      </c>
      <c r="H326" s="265" t="s">
        <v>358</v>
      </c>
      <c r="I326" s="54">
        <v>4.03</v>
      </c>
      <c r="J326" s="101"/>
      <c r="K326" s="54">
        <v>4.03</v>
      </c>
      <c r="L326" s="162"/>
      <c r="M326" s="54"/>
      <c r="N326" s="162"/>
      <c r="O326" s="54"/>
      <c r="P326" s="101"/>
      <c r="Q326" s="96">
        <f t="shared" ref="Q326:Q371" si="826">SUM(AI326+BA326)</f>
        <v>1.23</v>
      </c>
      <c r="R326" s="337">
        <f t="shared" ref="R326:R371" si="827">SUM(AJ326+BB326)</f>
        <v>7.1293109940000008</v>
      </c>
      <c r="S326" s="96"/>
      <c r="T326" s="96">
        <f t="shared" ref="T326:T371" si="828">I326*S326*$T$2/1000</f>
        <v>0</v>
      </c>
      <c r="U326" s="96">
        <v>1.23</v>
      </c>
      <c r="V326" s="176">
        <f t="shared" ref="V326:V371" si="829">I326*U326*$V$2/1000</f>
        <v>7.1293109940000008</v>
      </c>
      <c r="W326" s="206"/>
      <c r="X326" s="205">
        <f t="shared" ref="X326:X371" si="830">I326*W326*$X$2/1000</f>
        <v>0</v>
      </c>
      <c r="Y326" s="188">
        <f t="shared" ref="Y326:Y371" si="831">SUM(S326+U326+W326)</f>
        <v>1.23</v>
      </c>
      <c r="Z326" s="176">
        <f t="shared" ref="Z326:Z371" si="832">SUM(T326+V326+X326)</f>
        <v>7.1293109940000008</v>
      </c>
      <c r="AA326" s="206"/>
      <c r="AB326" s="205">
        <f t="shared" ref="AB326:AB371" si="833">K326*AA326*$AB$2/1000</f>
        <v>0</v>
      </c>
      <c r="AC326" s="206"/>
      <c r="AD326" s="176">
        <f t="shared" ref="AD326:AD371" si="834">K326*AC326*$AD$2/1000</f>
        <v>0</v>
      </c>
      <c r="AE326" s="206"/>
      <c r="AF326" s="204">
        <f t="shared" ref="AF326:AF371" si="835">K326*AE326*$AF$2/1000</f>
        <v>0</v>
      </c>
      <c r="AG326" s="188">
        <f t="shared" ref="AG326:AG371" si="836">SUM(AA326+AC326+AE326)</f>
        <v>0</v>
      </c>
      <c r="AH326" s="96">
        <f t="shared" ref="AH326:AH371" si="837">SUM(AB326+AD326+AF326)</f>
        <v>0</v>
      </c>
      <c r="AI326" s="96">
        <f t="shared" ref="AI326:AI371" si="838">SUM(Y326+AG326)</f>
        <v>1.23</v>
      </c>
      <c r="AJ326" s="176">
        <f t="shared" ref="AJ326:AJ371" si="839">SUM(Z326,AH326)</f>
        <v>7.1293109940000008</v>
      </c>
      <c r="AK326" s="206"/>
      <c r="AL326" s="176">
        <f t="shared" ref="AL326:AL371" si="840">M326*AK326*$AL$2/1000</f>
        <v>0</v>
      </c>
      <c r="AM326" s="243"/>
      <c r="AN326" s="176">
        <f t="shared" ref="AN326:AN371" si="841">M326*AM326*$AN$2/1000</f>
        <v>0</v>
      </c>
      <c r="AO326" s="206"/>
      <c r="AP326" s="205">
        <f t="shared" ref="AP326:AP371" si="842">M326*AO326*$AP$2/1000</f>
        <v>0</v>
      </c>
      <c r="AQ326" s="188">
        <f t="shared" ref="AQ326:AQ371" si="843">SUM(AK326+AM326+AO326)</f>
        <v>0</v>
      </c>
      <c r="AR326" s="96">
        <f t="shared" ref="AR326:AR371" si="844">SUM(AL326+AN326+AP326)</f>
        <v>0</v>
      </c>
      <c r="AS326" s="96"/>
      <c r="AT326" s="176">
        <f t="shared" ref="AT326:AT371" si="845">O326*AS326*$AT$2/1000</f>
        <v>0</v>
      </c>
      <c r="AU326" s="206"/>
      <c r="AV326" s="176">
        <f t="shared" ref="AV326:AV371" si="846">O326*AU326*$AV$2/1000</f>
        <v>0</v>
      </c>
      <c r="AW326" s="206"/>
      <c r="AX326" s="205">
        <f t="shared" ref="AX326:AX371" si="847">O326*AW326*$AX$2/1000</f>
        <v>0</v>
      </c>
      <c r="AY326" s="188">
        <f t="shared" ref="AY326:AY371" si="848">SUM(AS326+AU326+AW326)</f>
        <v>0</v>
      </c>
      <c r="AZ326" s="96">
        <f t="shared" ref="AZ326:AZ371" si="849">SUM(AT326+AV326+AX326)</f>
        <v>0</v>
      </c>
      <c r="BA326" s="96">
        <f t="shared" ref="BA326:BA371" si="850">SUM(AQ326+AY326)</f>
        <v>0</v>
      </c>
      <c r="BB326" s="96">
        <f t="shared" ref="BB326:BB371" si="851">SUM(AR326,AZ326)</f>
        <v>0</v>
      </c>
      <c r="BC326" s="1" t="s">
        <v>1717</v>
      </c>
    </row>
    <row r="327" spans="1:55">
      <c r="A327" s="492">
        <v>180</v>
      </c>
      <c r="B327" s="13"/>
      <c r="C327" s="13"/>
      <c r="D327" s="13"/>
      <c r="E327" s="21" t="s">
        <v>1691</v>
      </c>
      <c r="F327" s="22" t="s">
        <v>1690</v>
      </c>
      <c r="G327" s="22" t="s">
        <v>1059</v>
      </c>
      <c r="H327" s="265" t="s">
        <v>358</v>
      </c>
      <c r="I327" s="54">
        <v>4.13</v>
      </c>
      <c r="J327" s="101"/>
      <c r="K327" s="54">
        <v>4.13</v>
      </c>
      <c r="L327" s="162"/>
      <c r="M327" s="54"/>
      <c r="N327" s="162"/>
      <c r="O327" s="54"/>
      <c r="P327" s="101"/>
      <c r="Q327" s="96">
        <f t="shared" si="826"/>
        <v>151.00799999999998</v>
      </c>
      <c r="R327" s="337">
        <f t="shared" si="827"/>
        <v>919.91794319040002</v>
      </c>
      <c r="S327" s="96">
        <v>11.616</v>
      </c>
      <c r="T327" s="96">
        <f t="shared" si="828"/>
        <v>69.257780592000003</v>
      </c>
      <c r="U327" s="96">
        <v>29.568000000000001</v>
      </c>
      <c r="V327" s="176">
        <f t="shared" si="829"/>
        <v>175.63432803840001</v>
      </c>
      <c r="W327" s="206">
        <v>38.015999999999998</v>
      </c>
      <c r="X327" s="205">
        <f t="shared" si="830"/>
        <v>235.88122440959998</v>
      </c>
      <c r="Y327" s="188">
        <f t="shared" si="831"/>
        <v>79.199999999999989</v>
      </c>
      <c r="Z327" s="176">
        <f t="shared" si="832"/>
        <v>480.77333304000001</v>
      </c>
      <c r="AA327" s="206">
        <v>71.808000000000007</v>
      </c>
      <c r="AB327" s="205">
        <f t="shared" si="833"/>
        <v>439.14461015040001</v>
      </c>
      <c r="AC327" s="206"/>
      <c r="AD327" s="176">
        <f t="shared" si="834"/>
        <v>0</v>
      </c>
      <c r="AE327" s="206"/>
      <c r="AF327" s="204">
        <f t="shared" si="835"/>
        <v>0</v>
      </c>
      <c r="AG327" s="188">
        <f t="shared" si="836"/>
        <v>71.808000000000007</v>
      </c>
      <c r="AH327" s="96">
        <f t="shared" si="837"/>
        <v>439.14461015040001</v>
      </c>
      <c r="AI327" s="96">
        <f t="shared" si="838"/>
        <v>151.00799999999998</v>
      </c>
      <c r="AJ327" s="176">
        <f t="shared" si="839"/>
        <v>919.91794319040002</v>
      </c>
      <c r="AK327" s="206"/>
      <c r="AL327" s="176">
        <f t="shared" si="840"/>
        <v>0</v>
      </c>
      <c r="AM327" s="243"/>
      <c r="AN327" s="176">
        <f t="shared" si="841"/>
        <v>0</v>
      </c>
      <c r="AO327" s="206"/>
      <c r="AP327" s="205">
        <f t="shared" si="842"/>
        <v>0</v>
      </c>
      <c r="AQ327" s="188">
        <f t="shared" si="843"/>
        <v>0</v>
      </c>
      <c r="AR327" s="96">
        <f t="shared" si="844"/>
        <v>0</v>
      </c>
      <c r="AS327" s="96"/>
      <c r="AT327" s="176">
        <f t="shared" si="845"/>
        <v>0</v>
      </c>
      <c r="AU327" s="206"/>
      <c r="AV327" s="176">
        <f t="shared" si="846"/>
        <v>0</v>
      </c>
      <c r="AW327" s="206"/>
      <c r="AX327" s="205">
        <f t="shared" si="847"/>
        <v>0</v>
      </c>
      <c r="AY327" s="188">
        <f t="shared" si="848"/>
        <v>0</v>
      </c>
      <c r="AZ327" s="96">
        <f t="shared" si="849"/>
        <v>0</v>
      </c>
      <c r="BA327" s="96">
        <f t="shared" si="850"/>
        <v>0</v>
      </c>
      <c r="BB327" s="96">
        <f t="shared" si="851"/>
        <v>0</v>
      </c>
      <c r="BC327" s="1" t="s">
        <v>1717</v>
      </c>
    </row>
    <row r="328" spans="1:55">
      <c r="A328" s="492">
        <v>180</v>
      </c>
      <c r="B328" s="13"/>
      <c r="C328" s="13"/>
      <c r="D328" s="13"/>
      <c r="E328" s="21" t="s">
        <v>1692</v>
      </c>
      <c r="F328" s="22" t="s">
        <v>1111</v>
      </c>
      <c r="G328" s="22" t="s">
        <v>1059</v>
      </c>
      <c r="H328" s="265" t="s">
        <v>358</v>
      </c>
      <c r="I328" s="54">
        <v>4.96</v>
      </c>
      <c r="J328" s="101"/>
      <c r="K328" s="54">
        <v>4.96</v>
      </c>
      <c r="L328" s="162"/>
      <c r="M328" s="54"/>
      <c r="N328" s="162"/>
      <c r="O328" s="54"/>
      <c r="P328" s="101"/>
      <c r="Q328" s="96">
        <f t="shared" si="826"/>
        <v>8.4480000000000004</v>
      </c>
      <c r="R328" s="337">
        <f t="shared" si="827"/>
        <v>60.266085580800002</v>
      </c>
      <c r="S328" s="96"/>
      <c r="T328" s="96">
        <f t="shared" si="828"/>
        <v>0</v>
      </c>
      <c r="U328" s="96">
        <v>8.4480000000000004</v>
      </c>
      <c r="V328" s="176">
        <f t="shared" si="829"/>
        <v>60.266085580800002</v>
      </c>
      <c r="W328" s="206"/>
      <c r="X328" s="205">
        <f t="shared" si="830"/>
        <v>0</v>
      </c>
      <c r="Y328" s="188">
        <f t="shared" si="831"/>
        <v>8.4480000000000004</v>
      </c>
      <c r="Z328" s="176">
        <f t="shared" si="832"/>
        <v>60.266085580800002</v>
      </c>
      <c r="AA328" s="206"/>
      <c r="AB328" s="205">
        <f t="shared" si="833"/>
        <v>0</v>
      </c>
      <c r="AC328" s="206"/>
      <c r="AD328" s="176">
        <f t="shared" si="834"/>
        <v>0</v>
      </c>
      <c r="AE328" s="206"/>
      <c r="AF328" s="204">
        <f t="shared" si="835"/>
        <v>0</v>
      </c>
      <c r="AG328" s="188">
        <f t="shared" si="836"/>
        <v>0</v>
      </c>
      <c r="AH328" s="96">
        <f t="shared" si="837"/>
        <v>0</v>
      </c>
      <c r="AI328" s="96">
        <f t="shared" si="838"/>
        <v>8.4480000000000004</v>
      </c>
      <c r="AJ328" s="176">
        <f t="shared" si="839"/>
        <v>60.266085580800002</v>
      </c>
      <c r="AK328" s="206"/>
      <c r="AL328" s="176">
        <f t="shared" si="840"/>
        <v>0</v>
      </c>
      <c r="AM328" s="243"/>
      <c r="AN328" s="176">
        <f t="shared" si="841"/>
        <v>0</v>
      </c>
      <c r="AO328" s="206"/>
      <c r="AP328" s="205">
        <f t="shared" si="842"/>
        <v>0</v>
      </c>
      <c r="AQ328" s="188">
        <f t="shared" si="843"/>
        <v>0</v>
      </c>
      <c r="AR328" s="96">
        <f t="shared" si="844"/>
        <v>0</v>
      </c>
      <c r="AS328" s="96"/>
      <c r="AT328" s="176">
        <f t="shared" si="845"/>
        <v>0</v>
      </c>
      <c r="AU328" s="206"/>
      <c r="AV328" s="176">
        <f t="shared" si="846"/>
        <v>0</v>
      </c>
      <c r="AW328" s="206"/>
      <c r="AX328" s="205">
        <f t="shared" si="847"/>
        <v>0</v>
      </c>
      <c r="AY328" s="188">
        <f t="shared" si="848"/>
        <v>0</v>
      </c>
      <c r="AZ328" s="96">
        <f t="shared" si="849"/>
        <v>0</v>
      </c>
      <c r="BA328" s="96">
        <f t="shared" si="850"/>
        <v>0</v>
      </c>
      <c r="BB328" s="96">
        <f t="shared" si="851"/>
        <v>0</v>
      </c>
      <c r="BC328" s="1" t="s">
        <v>1717</v>
      </c>
    </row>
    <row r="329" spans="1:55">
      <c r="A329" s="492">
        <v>186</v>
      </c>
      <c r="B329" s="52" t="s">
        <v>1705</v>
      </c>
      <c r="C329" s="52" t="s">
        <v>33</v>
      </c>
      <c r="D329" s="52" t="s">
        <v>15</v>
      </c>
      <c r="E329" s="21" t="s">
        <v>1706</v>
      </c>
      <c r="F329" s="90" t="s">
        <v>676</v>
      </c>
      <c r="G329" s="90" t="s">
        <v>1059</v>
      </c>
      <c r="H329" s="265" t="s">
        <v>358</v>
      </c>
      <c r="I329" s="54">
        <v>3.37</v>
      </c>
      <c r="J329" s="101"/>
      <c r="K329" s="54">
        <v>3.37</v>
      </c>
      <c r="L329" s="162"/>
      <c r="M329" s="54"/>
      <c r="N329" s="162"/>
      <c r="O329" s="54"/>
      <c r="P329" s="101"/>
      <c r="Q329" s="96">
        <f t="shared" si="826"/>
        <v>0</v>
      </c>
      <c r="R329" s="337">
        <f t="shared" si="827"/>
        <v>0</v>
      </c>
      <c r="S329" s="96"/>
      <c r="T329" s="96">
        <f t="shared" si="828"/>
        <v>0</v>
      </c>
      <c r="U329" s="96"/>
      <c r="V329" s="176">
        <f t="shared" si="829"/>
        <v>0</v>
      </c>
      <c r="W329" s="206"/>
      <c r="X329" s="205">
        <f t="shared" si="830"/>
        <v>0</v>
      </c>
      <c r="Y329" s="188">
        <f t="shared" si="831"/>
        <v>0</v>
      </c>
      <c r="Z329" s="176">
        <f t="shared" si="832"/>
        <v>0</v>
      </c>
      <c r="AA329" s="206"/>
      <c r="AB329" s="205">
        <f t="shared" si="833"/>
        <v>0</v>
      </c>
      <c r="AC329" s="206"/>
      <c r="AD329" s="176">
        <f t="shared" si="834"/>
        <v>0</v>
      </c>
      <c r="AE329" s="206"/>
      <c r="AF329" s="204">
        <f t="shared" si="835"/>
        <v>0</v>
      </c>
      <c r="AG329" s="188">
        <f t="shared" si="836"/>
        <v>0</v>
      </c>
      <c r="AH329" s="96">
        <f t="shared" si="837"/>
        <v>0</v>
      </c>
      <c r="AI329" s="96">
        <f t="shared" si="838"/>
        <v>0</v>
      </c>
      <c r="AJ329" s="176">
        <f t="shared" si="839"/>
        <v>0</v>
      </c>
      <c r="AK329" s="206"/>
      <c r="AL329" s="176">
        <f t="shared" si="840"/>
        <v>0</v>
      </c>
      <c r="AM329" s="243"/>
      <c r="AN329" s="176">
        <f t="shared" si="841"/>
        <v>0</v>
      </c>
      <c r="AO329" s="206"/>
      <c r="AP329" s="205">
        <f t="shared" si="842"/>
        <v>0</v>
      </c>
      <c r="AQ329" s="188">
        <f t="shared" si="843"/>
        <v>0</v>
      </c>
      <c r="AR329" s="96">
        <f t="shared" si="844"/>
        <v>0</v>
      </c>
      <c r="AS329" s="96"/>
      <c r="AT329" s="176">
        <f t="shared" si="845"/>
        <v>0</v>
      </c>
      <c r="AU329" s="206"/>
      <c r="AV329" s="176">
        <f t="shared" si="846"/>
        <v>0</v>
      </c>
      <c r="AW329" s="206"/>
      <c r="AX329" s="205">
        <f t="shared" si="847"/>
        <v>0</v>
      </c>
      <c r="AY329" s="188">
        <f t="shared" si="848"/>
        <v>0</v>
      </c>
      <c r="AZ329" s="96">
        <f t="shared" si="849"/>
        <v>0</v>
      </c>
      <c r="BA329" s="96">
        <f t="shared" si="850"/>
        <v>0</v>
      </c>
      <c r="BB329" s="96">
        <f t="shared" si="851"/>
        <v>0</v>
      </c>
      <c r="BC329" s="1" t="s">
        <v>1717</v>
      </c>
    </row>
    <row r="330" spans="1:55">
      <c r="A330" s="492">
        <v>187</v>
      </c>
      <c r="B330" s="13"/>
      <c r="C330" s="13"/>
      <c r="D330" s="13"/>
      <c r="E330" s="21" t="s">
        <v>1707</v>
      </c>
      <c r="F330" s="45" t="s">
        <v>677</v>
      </c>
      <c r="G330" s="22" t="s">
        <v>1059</v>
      </c>
      <c r="H330" s="265" t="s">
        <v>358</v>
      </c>
      <c r="I330" s="54">
        <v>4.03</v>
      </c>
      <c r="J330" s="101"/>
      <c r="K330" s="54">
        <v>4.03</v>
      </c>
      <c r="L330" s="162"/>
      <c r="M330" s="54"/>
      <c r="N330" s="162"/>
      <c r="O330" s="54"/>
      <c r="P330" s="101"/>
      <c r="Q330" s="128">
        <f t="shared" si="826"/>
        <v>0</v>
      </c>
      <c r="R330" s="337">
        <f t="shared" si="827"/>
        <v>0</v>
      </c>
      <c r="S330" s="96"/>
      <c r="T330" s="96">
        <f t="shared" si="828"/>
        <v>0</v>
      </c>
      <c r="U330" s="96"/>
      <c r="V330" s="176">
        <f t="shared" si="829"/>
        <v>0</v>
      </c>
      <c r="W330" s="206"/>
      <c r="X330" s="205">
        <f t="shared" si="830"/>
        <v>0</v>
      </c>
      <c r="Y330" s="188">
        <f t="shared" si="831"/>
        <v>0</v>
      </c>
      <c r="Z330" s="176">
        <f t="shared" si="832"/>
        <v>0</v>
      </c>
      <c r="AA330" s="206"/>
      <c r="AB330" s="205">
        <f t="shared" si="833"/>
        <v>0</v>
      </c>
      <c r="AC330" s="206"/>
      <c r="AD330" s="176">
        <f t="shared" si="834"/>
        <v>0</v>
      </c>
      <c r="AE330" s="206"/>
      <c r="AF330" s="204">
        <f t="shared" si="835"/>
        <v>0</v>
      </c>
      <c r="AG330" s="188">
        <f t="shared" si="836"/>
        <v>0</v>
      </c>
      <c r="AH330" s="96">
        <f t="shared" si="837"/>
        <v>0</v>
      </c>
      <c r="AI330" s="96">
        <f t="shared" si="838"/>
        <v>0</v>
      </c>
      <c r="AJ330" s="176">
        <f t="shared" si="839"/>
        <v>0</v>
      </c>
      <c r="AK330" s="206"/>
      <c r="AL330" s="176">
        <f t="shared" si="840"/>
        <v>0</v>
      </c>
      <c r="AM330" s="243"/>
      <c r="AN330" s="176">
        <f t="shared" si="841"/>
        <v>0</v>
      </c>
      <c r="AO330" s="206"/>
      <c r="AP330" s="205">
        <f t="shared" si="842"/>
        <v>0</v>
      </c>
      <c r="AQ330" s="188">
        <f t="shared" si="843"/>
        <v>0</v>
      </c>
      <c r="AR330" s="96">
        <f t="shared" si="844"/>
        <v>0</v>
      </c>
      <c r="AS330" s="96"/>
      <c r="AT330" s="176">
        <f t="shared" si="845"/>
        <v>0</v>
      </c>
      <c r="AU330" s="206"/>
      <c r="AV330" s="176">
        <f t="shared" si="846"/>
        <v>0</v>
      </c>
      <c r="AW330" s="206"/>
      <c r="AX330" s="205">
        <f t="shared" si="847"/>
        <v>0</v>
      </c>
      <c r="AY330" s="188">
        <f t="shared" si="848"/>
        <v>0</v>
      </c>
      <c r="AZ330" s="96">
        <f t="shared" si="849"/>
        <v>0</v>
      </c>
      <c r="BA330" s="96">
        <f t="shared" si="850"/>
        <v>0</v>
      </c>
      <c r="BB330" s="96">
        <f t="shared" si="851"/>
        <v>0</v>
      </c>
      <c r="BC330" s="1" t="s">
        <v>1717</v>
      </c>
    </row>
    <row r="331" spans="1:55">
      <c r="A331" s="492">
        <v>201</v>
      </c>
      <c r="B331" s="82" t="s">
        <v>852</v>
      </c>
      <c r="C331" s="82" t="s">
        <v>33</v>
      </c>
      <c r="D331" s="82" t="s">
        <v>574</v>
      </c>
      <c r="E331" s="21" t="s">
        <v>853</v>
      </c>
      <c r="F331" s="45" t="s">
        <v>1000</v>
      </c>
      <c r="G331" s="424" t="s">
        <v>1059</v>
      </c>
      <c r="H331" s="265" t="s">
        <v>358</v>
      </c>
      <c r="I331" s="54">
        <v>6.03</v>
      </c>
      <c r="J331" s="101"/>
      <c r="K331" s="54">
        <v>6.03</v>
      </c>
      <c r="L331" s="162"/>
      <c r="M331" s="54"/>
      <c r="N331" s="162"/>
      <c r="O331" s="54"/>
      <c r="P331" s="101"/>
      <c r="Q331" s="96">
        <f t="shared" si="826"/>
        <v>0</v>
      </c>
      <c r="R331" s="337">
        <f t="shared" si="827"/>
        <v>0</v>
      </c>
      <c r="S331" s="96"/>
      <c r="T331" s="96">
        <f t="shared" si="828"/>
        <v>0</v>
      </c>
      <c r="U331" s="96"/>
      <c r="V331" s="176">
        <f t="shared" si="829"/>
        <v>0</v>
      </c>
      <c r="W331" s="206"/>
      <c r="X331" s="205">
        <f t="shared" si="830"/>
        <v>0</v>
      </c>
      <c r="Y331" s="188">
        <f t="shared" si="831"/>
        <v>0</v>
      </c>
      <c r="Z331" s="176">
        <f t="shared" si="832"/>
        <v>0</v>
      </c>
      <c r="AA331" s="206"/>
      <c r="AB331" s="205">
        <f t="shared" si="833"/>
        <v>0</v>
      </c>
      <c r="AC331" s="206"/>
      <c r="AD331" s="176">
        <f t="shared" si="834"/>
        <v>0</v>
      </c>
      <c r="AE331" s="206"/>
      <c r="AF331" s="204">
        <f t="shared" si="835"/>
        <v>0</v>
      </c>
      <c r="AG331" s="188">
        <f t="shared" si="836"/>
        <v>0</v>
      </c>
      <c r="AH331" s="96">
        <f t="shared" si="837"/>
        <v>0</v>
      </c>
      <c r="AI331" s="96">
        <f t="shared" si="838"/>
        <v>0</v>
      </c>
      <c r="AJ331" s="176">
        <f t="shared" si="839"/>
        <v>0</v>
      </c>
      <c r="AK331" s="206"/>
      <c r="AL331" s="176">
        <f t="shared" si="840"/>
        <v>0</v>
      </c>
      <c r="AM331" s="243"/>
      <c r="AN331" s="176">
        <f t="shared" si="841"/>
        <v>0</v>
      </c>
      <c r="AO331" s="206"/>
      <c r="AP331" s="205">
        <f t="shared" si="842"/>
        <v>0</v>
      </c>
      <c r="AQ331" s="188">
        <f t="shared" si="843"/>
        <v>0</v>
      </c>
      <c r="AR331" s="96">
        <f t="shared" si="844"/>
        <v>0</v>
      </c>
      <c r="AS331" s="96"/>
      <c r="AT331" s="176">
        <f t="shared" si="845"/>
        <v>0</v>
      </c>
      <c r="AU331" s="206"/>
      <c r="AV331" s="176">
        <f t="shared" si="846"/>
        <v>0</v>
      </c>
      <c r="AW331" s="206"/>
      <c r="AX331" s="205">
        <f t="shared" si="847"/>
        <v>0</v>
      </c>
      <c r="AY331" s="188">
        <f t="shared" si="848"/>
        <v>0</v>
      </c>
      <c r="AZ331" s="96">
        <f t="shared" si="849"/>
        <v>0</v>
      </c>
      <c r="BA331" s="96">
        <f t="shared" si="850"/>
        <v>0</v>
      </c>
      <c r="BB331" s="96">
        <f t="shared" si="851"/>
        <v>0</v>
      </c>
      <c r="BC331" s="1" t="s">
        <v>1715</v>
      </c>
    </row>
    <row r="332" spans="1:55">
      <c r="A332" s="492">
        <v>201</v>
      </c>
      <c r="B332" s="52" t="s">
        <v>1680</v>
      </c>
      <c r="C332" s="52" t="s">
        <v>33</v>
      </c>
      <c r="D332" s="52"/>
      <c r="E332" s="21" t="s">
        <v>1671</v>
      </c>
      <c r="F332" s="45" t="s">
        <v>1736</v>
      </c>
      <c r="G332" s="45" t="s">
        <v>1059</v>
      </c>
      <c r="H332" s="265" t="s">
        <v>360</v>
      </c>
      <c r="I332" s="18">
        <v>20.7</v>
      </c>
      <c r="J332" s="101"/>
      <c r="K332" s="18">
        <v>20.7</v>
      </c>
      <c r="L332" s="162"/>
      <c r="M332" s="18"/>
      <c r="N332" s="162"/>
      <c r="O332" s="18"/>
      <c r="P332" s="101"/>
      <c r="Q332" s="96">
        <f t="shared" si="826"/>
        <v>0</v>
      </c>
      <c r="R332" s="337">
        <f t="shared" si="827"/>
        <v>0</v>
      </c>
      <c r="S332" s="96"/>
      <c r="T332" s="96">
        <f t="shared" si="828"/>
        <v>0</v>
      </c>
      <c r="U332" s="96"/>
      <c r="V332" s="176">
        <f t="shared" si="829"/>
        <v>0</v>
      </c>
      <c r="W332" s="206"/>
      <c r="X332" s="205">
        <f t="shared" si="830"/>
        <v>0</v>
      </c>
      <c r="Y332" s="188">
        <f t="shared" si="831"/>
        <v>0</v>
      </c>
      <c r="Z332" s="176">
        <f t="shared" si="832"/>
        <v>0</v>
      </c>
      <c r="AA332" s="206"/>
      <c r="AB332" s="205">
        <f t="shared" si="833"/>
        <v>0</v>
      </c>
      <c r="AC332" s="206"/>
      <c r="AD332" s="176">
        <f t="shared" si="834"/>
        <v>0</v>
      </c>
      <c r="AE332" s="206"/>
      <c r="AF332" s="204">
        <f t="shared" si="835"/>
        <v>0</v>
      </c>
      <c r="AG332" s="188">
        <f t="shared" si="836"/>
        <v>0</v>
      </c>
      <c r="AH332" s="96">
        <f t="shared" si="837"/>
        <v>0</v>
      </c>
      <c r="AI332" s="96">
        <f t="shared" si="838"/>
        <v>0</v>
      </c>
      <c r="AJ332" s="176">
        <f t="shared" si="839"/>
        <v>0</v>
      </c>
      <c r="AK332" s="206"/>
      <c r="AL332" s="176">
        <f t="shared" si="840"/>
        <v>0</v>
      </c>
      <c r="AM332" s="243"/>
      <c r="AN332" s="176">
        <f t="shared" si="841"/>
        <v>0</v>
      </c>
      <c r="AO332" s="206"/>
      <c r="AP332" s="205">
        <f t="shared" si="842"/>
        <v>0</v>
      </c>
      <c r="AQ332" s="188">
        <f t="shared" si="843"/>
        <v>0</v>
      </c>
      <c r="AR332" s="96">
        <f t="shared" si="844"/>
        <v>0</v>
      </c>
      <c r="AS332" s="96"/>
      <c r="AT332" s="176">
        <f t="shared" si="845"/>
        <v>0</v>
      </c>
      <c r="AU332" s="206"/>
      <c r="AV332" s="176">
        <f t="shared" si="846"/>
        <v>0</v>
      </c>
      <c r="AW332" s="206"/>
      <c r="AX332" s="205">
        <f t="shared" si="847"/>
        <v>0</v>
      </c>
      <c r="AY332" s="188">
        <f t="shared" si="848"/>
        <v>0</v>
      </c>
      <c r="AZ332" s="96">
        <f t="shared" si="849"/>
        <v>0</v>
      </c>
      <c r="BA332" s="96">
        <f t="shared" si="850"/>
        <v>0</v>
      </c>
      <c r="BB332" s="96">
        <f t="shared" si="851"/>
        <v>0</v>
      </c>
      <c r="BC332" s="1" t="s">
        <v>1717</v>
      </c>
    </row>
    <row r="333" spans="1:55">
      <c r="A333" s="492">
        <v>201</v>
      </c>
      <c r="B333" s="13"/>
      <c r="C333" s="13"/>
      <c r="D333" s="13"/>
      <c r="E333" s="21" t="s">
        <v>1671</v>
      </c>
      <c r="F333" s="45" t="s">
        <v>1737</v>
      </c>
      <c r="G333" s="424" t="s">
        <v>1059</v>
      </c>
      <c r="H333" s="265" t="s">
        <v>358</v>
      </c>
      <c r="I333" s="18">
        <v>20.7</v>
      </c>
      <c r="J333" s="101"/>
      <c r="K333" s="18">
        <v>20.7</v>
      </c>
      <c r="L333" s="162"/>
      <c r="M333" s="18"/>
      <c r="N333" s="162"/>
      <c r="O333" s="18"/>
      <c r="P333" s="101"/>
      <c r="Q333" s="96">
        <f t="shared" si="826"/>
        <v>0</v>
      </c>
      <c r="R333" s="337">
        <f t="shared" si="827"/>
        <v>0</v>
      </c>
      <c r="S333" s="96"/>
      <c r="T333" s="96">
        <f t="shared" si="828"/>
        <v>0</v>
      </c>
      <c r="U333" s="96"/>
      <c r="V333" s="176">
        <f t="shared" si="829"/>
        <v>0</v>
      </c>
      <c r="W333" s="206"/>
      <c r="X333" s="205">
        <f t="shared" si="830"/>
        <v>0</v>
      </c>
      <c r="Y333" s="188">
        <f t="shared" si="831"/>
        <v>0</v>
      </c>
      <c r="Z333" s="176">
        <f t="shared" si="832"/>
        <v>0</v>
      </c>
      <c r="AA333" s="206"/>
      <c r="AB333" s="205">
        <f t="shared" si="833"/>
        <v>0</v>
      </c>
      <c r="AC333" s="206"/>
      <c r="AD333" s="176">
        <f t="shared" si="834"/>
        <v>0</v>
      </c>
      <c r="AE333" s="206"/>
      <c r="AF333" s="204">
        <f t="shared" si="835"/>
        <v>0</v>
      </c>
      <c r="AG333" s="188">
        <f t="shared" si="836"/>
        <v>0</v>
      </c>
      <c r="AH333" s="96">
        <f t="shared" si="837"/>
        <v>0</v>
      </c>
      <c r="AI333" s="96">
        <f t="shared" si="838"/>
        <v>0</v>
      </c>
      <c r="AJ333" s="176">
        <f t="shared" si="839"/>
        <v>0</v>
      </c>
      <c r="AK333" s="206"/>
      <c r="AL333" s="176">
        <f t="shared" si="840"/>
        <v>0</v>
      </c>
      <c r="AM333" s="243"/>
      <c r="AN333" s="176">
        <f t="shared" si="841"/>
        <v>0</v>
      </c>
      <c r="AO333" s="206"/>
      <c r="AP333" s="205">
        <f t="shared" si="842"/>
        <v>0</v>
      </c>
      <c r="AQ333" s="188">
        <f t="shared" si="843"/>
        <v>0</v>
      </c>
      <c r="AR333" s="96">
        <f t="shared" si="844"/>
        <v>0</v>
      </c>
      <c r="AS333" s="96"/>
      <c r="AT333" s="176">
        <f t="shared" si="845"/>
        <v>0</v>
      </c>
      <c r="AU333" s="206"/>
      <c r="AV333" s="176">
        <f t="shared" si="846"/>
        <v>0</v>
      </c>
      <c r="AW333" s="206"/>
      <c r="AX333" s="205">
        <f t="shared" si="847"/>
        <v>0</v>
      </c>
      <c r="AY333" s="188">
        <f t="shared" si="848"/>
        <v>0</v>
      </c>
      <c r="AZ333" s="96">
        <f t="shared" si="849"/>
        <v>0</v>
      </c>
      <c r="BA333" s="96">
        <f t="shared" si="850"/>
        <v>0</v>
      </c>
      <c r="BB333" s="96">
        <f t="shared" si="851"/>
        <v>0</v>
      </c>
      <c r="BC333" s="1" t="s">
        <v>1060</v>
      </c>
    </row>
    <row r="334" spans="1:55">
      <c r="A334" s="492">
        <v>201</v>
      </c>
      <c r="B334" s="13"/>
      <c r="C334" s="13"/>
      <c r="D334" s="13"/>
      <c r="E334" s="21" t="s">
        <v>1671</v>
      </c>
      <c r="F334" s="45" t="s">
        <v>1738</v>
      </c>
      <c r="G334" s="424" t="s">
        <v>1059</v>
      </c>
      <c r="H334" s="265" t="s">
        <v>358</v>
      </c>
      <c r="I334" s="18">
        <v>20.7</v>
      </c>
      <c r="J334" s="101"/>
      <c r="K334" s="18">
        <v>20.7</v>
      </c>
      <c r="L334" s="162"/>
      <c r="M334" s="18"/>
      <c r="N334" s="162"/>
      <c r="O334" s="18"/>
      <c r="P334" s="101"/>
      <c r="Q334" s="96">
        <f t="shared" si="826"/>
        <v>0</v>
      </c>
      <c r="R334" s="337">
        <f t="shared" si="827"/>
        <v>0</v>
      </c>
      <c r="S334" s="96"/>
      <c r="T334" s="96">
        <f t="shared" si="828"/>
        <v>0</v>
      </c>
      <c r="U334" s="96"/>
      <c r="V334" s="176">
        <f t="shared" si="829"/>
        <v>0</v>
      </c>
      <c r="W334" s="206"/>
      <c r="X334" s="205">
        <f t="shared" si="830"/>
        <v>0</v>
      </c>
      <c r="Y334" s="188">
        <f t="shared" si="831"/>
        <v>0</v>
      </c>
      <c r="Z334" s="176">
        <f t="shared" si="832"/>
        <v>0</v>
      </c>
      <c r="AA334" s="206"/>
      <c r="AB334" s="205">
        <f t="shared" si="833"/>
        <v>0</v>
      </c>
      <c r="AC334" s="206"/>
      <c r="AD334" s="176">
        <f t="shared" si="834"/>
        <v>0</v>
      </c>
      <c r="AE334" s="206"/>
      <c r="AF334" s="204">
        <f t="shared" si="835"/>
        <v>0</v>
      </c>
      <c r="AG334" s="188">
        <f t="shared" si="836"/>
        <v>0</v>
      </c>
      <c r="AH334" s="96">
        <f t="shared" si="837"/>
        <v>0</v>
      </c>
      <c r="AI334" s="96">
        <f t="shared" si="838"/>
        <v>0</v>
      </c>
      <c r="AJ334" s="176">
        <f t="shared" si="839"/>
        <v>0</v>
      </c>
      <c r="AK334" s="206"/>
      <c r="AL334" s="176">
        <f t="shared" si="840"/>
        <v>0</v>
      </c>
      <c r="AM334" s="243"/>
      <c r="AN334" s="176">
        <f t="shared" si="841"/>
        <v>0</v>
      </c>
      <c r="AO334" s="206"/>
      <c r="AP334" s="205">
        <f t="shared" si="842"/>
        <v>0</v>
      </c>
      <c r="AQ334" s="188">
        <f t="shared" si="843"/>
        <v>0</v>
      </c>
      <c r="AR334" s="96">
        <f t="shared" si="844"/>
        <v>0</v>
      </c>
      <c r="AS334" s="96"/>
      <c r="AT334" s="176">
        <f t="shared" si="845"/>
        <v>0</v>
      </c>
      <c r="AU334" s="206"/>
      <c r="AV334" s="176">
        <f t="shared" si="846"/>
        <v>0</v>
      </c>
      <c r="AW334" s="206"/>
      <c r="AX334" s="205">
        <f t="shared" si="847"/>
        <v>0</v>
      </c>
      <c r="AY334" s="188">
        <f t="shared" si="848"/>
        <v>0</v>
      </c>
      <c r="AZ334" s="96">
        <f t="shared" si="849"/>
        <v>0</v>
      </c>
      <c r="BA334" s="96">
        <f t="shared" si="850"/>
        <v>0</v>
      </c>
      <c r="BB334" s="96">
        <f t="shared" si="851"/>
        <v>0</v>
      </c>
      <c r="BC334" s="1" t="s">
        <v>1060</v>
      </c>
    </row>
    <row r="335" spans="1:55">
      <c r="A335" s="492">
        <v>201</v>
      </c>
      <c r="B335" s="13"/>
      <c r="C335" s="13"/>
      <c r="D335" s="13"/>
      <c r="E335" s="21" t="s">
        <v>1671</v>
      </c>
      <c r="F335" s="45" t="s">
        <v>1739</v>
      </c>
      <c r="G335" s="424" t="s">
        <v>1059</v>
      </c>
      <c r="H335" s="265" t="s">
        <v>358</v>
      </c>
      <c r="I335" s="18">
        <v>20.7</v>
      </c>
      <c r="J335" s="101"/>
      <c r="K335" s="18">
        <v>20.7</v>
      </c>
      <c r="L335" s="162"/>
      <c r="M335" s="18"/>
      <c r="N335" s="162"/>
      <c r="O335" s="18"/>
      <c r="P335" s="101"/>
      <c r="Q335" s="96">
        <f t="shared" si="826"/>
        <v>0</v>
      </c>
      <c r="R335" s="337">
        <f t="shared" si="827"/>
        <v>0</v>
      </c>
      <c r="S335" s="96"/>
      <c r="T335" s="96">
        <f t="shared" si="828"/>
        <v>0</v>
      </c>
      <c r="U335" s="96"/>
      <c r="V335" s="176">
        <f t="shared" si="829"/>
        <v>0</v>
      </c>
      <c r="W335" s="206"/>
      <c r="X335" s="205">
        <f t="shared" si="830"/>
        <v>0</v>
      </c>
      <c r="Y335" s="188">
        <f t="shared" si="831"/>
        <v>0</v>
      </c>
      <c r="Z335" s="176">
        <f t="shared" si="832"/>
        <v>0</v>
      </c>
      <c r="AA335" s="206"/>
      <c r="AB335" s="205">
        <f t="shared" si="833"/>
        <v>0</v>
      </c>
      <c r="AC335" s="206"/>
      <c r="AD335" s="176">
        <f t="shared" si="834"/>
        <v>0</v>
      </c>
      <c r="AE335" s="206"/>
      <c r="AF335" s="204">
        <f t="shared" si="835"/>
        <v>0</v>
      </c>
      <c r="AG335" s="188">
        <f t="shared" si="836"/>
        <v>0</v>
      </c>
      <c r="AH335" s="96">
        <f t="shared" si="837"/>
        <v>0</v>
      </c>
      <c r="AI335" s="96">
        <f t="shared" si="838"/>
        <v>0</v>
      </c>
      <c r="AJ335" s="176">
        <f t="shared" si="839"/>
        <v>0</v>
      </c>
      <c r="AK335" s="206"/>
      <c r="AL335" s="176">
        <f t="shared" si="840"/>
        <v>0</v>
      </c>
      <c r="AM335" s="243"/>
      <c r="AN335" s="176">
        <f t="shared" si="841"/>
        <v>0</v>
      </c>
      <c r="AO335" s="206"/>
      <c r="AP335" s="205">
        <f t="shared" si="842"/>
        <v>0</v>
      </c>
      <c r="AQ335" s="188">
        <f t="shared" si="843"/>
        <v>0</v>
      </c>
      <c r="AR335" s="96">
        <f t="shared" si="844"/>
        <v>0</v>
      </c>
      <c r="AS335" s="96"/>
      <c r="AT335" s="176">
        <f t="shared" si="845"/>
        <v>0</v>
      </c>
      <c r="AU335" s="206"/>
      <c r="AV335" s="176">
        <f t="shared" si="846"/>
        <v>0</v>
      </c>
      <c r="AW335" s="206"/>
      <c r="AX335" s="205">
        <f t="shared" si="847"/>
        <v>0</v>
      </c>
      <c r="AY335" s="188">
        <f t="shared" si="848"/>
        <v>0</v>
      </c>
      <c r="AZ335" s="96">
        <f t="shared" si="849"/>
        <v>0</v>
      </c>
      <c r="BA335" s="96">
        <f t="shared" si="850"/>
        <v>0</v>
      </c>
      <c r="BB335" s="96">
        <f t="shared" si="851"/>
        <v>0</v>
      </c>
      <c r="BC335" s="1" t="s">
        <v>1060</v>
      </c>
    </row>
    <row r="336" spans="1:55">
      <c r="A336" s="492">
        <v>201</v>
      </c>
      <c r="B336" s="13"/>
      <c r="C336" s="13"/>
      <c r="D336" s="13"/>
      <c r="E336" s="21" t="s">
        <v>1671</v>
      </c>
      <c r="F336" s="45" t="s">
        <v>1740</v>
      </c>
      <c r="G336" s="424" t="s">
        <v>1059</v>
      </c>
      <c r="H336" s="265" t="s">
        <v>358</v>
      </c>
      <c r="I336" s="18">
        <v>20.7</v>
      </c>
      <c r="J336" s="101"/>
      <c r="K336" s="18">
        <v>20.7</v>
      </c>
      <c r="L336" s="162"/>
      <c r="M336" s="18"/>
      <c r="N336" s="162"/>
      <c r="O336" s="18"/>
      <c r="P336" s="101"/>
      <c r="Q336" s="96">
        <f t="shared" si="826"/>
        <v>0.24</v>
      </c>
      <c r="R336" s="337">
        <f t="shared" si="827"/>
        <v>7.1720532000000006</v>
      </c>
      <c r="S336" s="96">
        <v>0.24</v>
      </c>
      <c r="T336" s="96">
        <f t="shared" si="828"/>
        <v>7.1720532000000006</v>
      </c>
      <c r="U336" s="96"/>
      <c r="V336" s="176">
        <f t="shared" si="829"/>
        <v>0</v>
      </c>
      <c r="W336" s="206"/>
      <c r="X336" s="205">
        <f t="shared" si="830"/>
        <v>0</v>
      </c>
      <c r="Y336" s="188">
        <f t="shared" si="831"/>
        <v>0.24</v>
      </c>
      <c r="Z336" s="176">
        <f t="shared" si="832"/>
        <v>7.1720532000000006</v>
      </c>
      <c r="AA336" s="206"/>
      <c r="AB336" s="205">
        <f t="shared" si="833"/>
        <v>0</v>
      </c>
      <c r="AC336" s="206"/>
      <c r="AD336" s="176">
        <f t="shared" si="834"/>
        <v>0</v>
      </c>
      <c r="AE336" s="206"/>
      <c r="AF336" s="204">
        <f t="shared" si="835"/>
        <v>0</v>
      </c>
      <c r="AG336" s="188">
        <f t="shared" si="836"/>
        <v>0</v>
      </c>
      <c r="AH336" s="96">
        <f t="shared" si="837"/>
        <v>0</v>
      </c>
      <c r="AI336" s="96">
        <f t="shared" si="838"/>
        <v>0.24</v>
      </c>
      <c r="AJ336" s="176">
        <f t="shared" si="839"/>
        <v>7.1720532000000006</v>
      </c>
      <c r="AK336" s="206"/>
      <c r="AL336" s="176">
        <f t="shared" si="840"/>
        <v>0</v>
      </c>
      <c r="AM336" s="243"/>
      <c r="AN336" s="176">
        <f t="shared" si="841"/>
        <v>0</v>
      </c>
      <c r="AO336" s="206"/>
      <c r="AP336" s="205">
        <f t="shared" si="842"/>
        <v>0</v>
      </c>
      <c r="AQ336" s="188">
        <f t="shared" si="843"/>
        <v>0</v>
      </c>
      <c r="AR336" s="96">
        <f t="shared" si="844"/>
        <v>0</v>
      </c>
      <c r="AS336" s="96"/>
      <c r="AT336" s="176">
        <f t="shared" si="845"/>
        <v>0</v>
      </c>
      <c r="AU336" s="206"/>
      <c r="AV336" s="176">
        <f t="shared" si="846"/>
        <v>0</v>
      </c>
      <c r="AW336" s="206"/>
      <c r="AX336" s="205">
        <f t="shared" si="847"/>
        <v>0</v>
      </c>
      <c r="AY336" s="188">
        <f t="shared" si="848"/>
        <v>0</v>
      </c>
      <c r="AZ336" s="96">
        <f t="shared" si="849"/>
        <v>0</v>
      </c>
      <c r="BA336" s="96">
        <f t="shared" si="850"/>
        <v>0</v>
      </c>
      <c r="BB336" s="96">
        <f t="shared" si="851"/>
        <v>0</v>
      </c>
      <c r="BC336" s="1" t="s">
        <v>1060</v>
      </c>
    </row>
    <row r="337" spans="1:55">
      <c r="A337" s="492">
        <v>201</v>
      </c>
      <c r="B337" s="13"/>
      <c r="C337" s="13"/>
      <c r="D337" s="13"/>
      <c r="E337" s="21" t="s">
        <v>1671</v>
      </c>
      <c r="F337" s="45" t="s">
        <v>1741</v>
      </c>
      <c r="G337" s="424" t="s">
        <v>1059</v>
      </c>
      <c r="H337" s="265" t="s">
        <v>358</v>
      </c>
      <c r="I337" s="18">
        <v>20.7</v>
      </c>
      <c r="J337" s="101"/>
      <c r="K337" s="18">
        <v>20.7</v>
      </c>
      <c r="L337" s="162"/>
      <c r="M337" s="18"/>
      <c r="N337" s="162"/>
      <c r="O337" s="18"/>
      <c r="P337" s="101"/>
      <c r="Q337" s="96">
        <f t="shared" si="826"/>
        <v>0</v>
      </c>
      <c r="R337" s="337">
        <f t="shared" si="827"/>
        <v>0</v>
      </c>
      <c r="S337" s="96"/>
      <c r="T337" s="96">
        <f t="shared" si="828"/>
        <v>0</v>
      </c>
      <c r="U337" s="96"/>
      <c r="V337" s="176">
        <f t="shared" si="829"/>
        <v>0</v>
      </c>
      <c r="W337" s="206"/>
      <c r="X337" s="205">
        <f t="shared" si="830"/>
        <v>0</v>
      </c>
      <c r="Y337" s="188">
        <f t="shared" si="831"/>
        <v>0</v>
      </c>
      <c r="Z337" s="176">
        <f t="shared" si="832"/>
        <v>0</v>
      </c>
      <c r="AA337" s="206"/>
      <c r="AB337" s="205">
        <f t="shared" si="833"/>
        <v>0</v>
      </c>
      <c r="AC337" s="206"/>
      <c r="AD337" s="176">
        <f t="shared" si="834"/>
        <v>0</v>
      </c>
      <c r="AE337" s="206"/>
      <c r="AF337" s="204">
        <f t="shared" si="835"/>
        <v>0</v>
      </c>
      <c r="AG337" s="188">
        <f t="shared" si="836"/>
        <v>0</v>
      </c>
      <c r="AH337" s="96">
        <f t="shared" si="837"/>
        <v>0</v>
      </c>
      <c r="AI337" s="96">
        <f t="shared" si="838"/>
        <v>0</v>
      </c>
      <c r="AJ337" s="176">
        <f t="shared" si="839"/>
        <v>0</v>
      </c>
      <c r="AK337" s="206"/>
      <c r="AL337" s="176">
        <f t="shared" si="840"/>
        <v>0</v>
      </c>
      <c r="AM337" s="243"/>
      <c r="AN337" s="176">
        <f t="shared" si="841"/>
        <v>0</v>
      </c>
      <c r="AO337" s="206"/>
      <c r="AP337" s="205">
        <f t="shared" si="842"/>
        <v>0</v>
      </c>
      <c r="AQ337" s="188">
        <f t="shared" si="843"/>
        <v>0</v>
      </c>
      <c r="AR337" s="96">
        <f t="shared" si="844"/>
        <v>0</v>
      </c>
      <c r="AS337" s="96"/>
      <c r="AT337" s="176">
        <f t="shared" si="845"/>
        <v>0</v>
      </c>
      <c r="AU337" s="206"/>
      <c r="AV337" s="176">
        <f t="shared" si="846"/>
        <v>0</v>
      </c>
      <c r="AW337" s="206"/>
      <c r="AX337" s="205">
        <f t="shared" si="847"/>
        <v>0</v>
      </c>
      <c r="AY337" s="188">
        <f t="shared" si="848"/>
        <v>0</v>
      </c>
      <c r="AZ337" s="96">
        <f t="shared" si="849"/>
        <v>0</v>
      </c>
      <c r="BA337" s="96">
        <f t="shared" si="850"/>
        <v>0</v>
      </c>
      <c r="BB337" s="96">
        <f t="shared" si="851"/>
        <v>0</v>
      </c>
      <c r="BC337" s="1" t="s">
        <v>1060</v>
      </c>
    </row>
    <row r="338" spans="1:55">
      <c r="A338" s="492">
        <v>201</v>
      </c>
      <c r="B338" s="13"/>
      <c r="C338" s="13"/>
      <c r="D338" s="13"/>
      <c r="E338" s="21" t="s">
        <v>1671</v>
      </c>
      <c r="F338" s="45" t="s">
        <v>1742</v>
      </c>
      <c r="G338" s="424" t="s">
        <v>1059</v>
      </c>
      <c r="H338" s="265" t="s">
        <v>358</v>
      </c>
      <c r="I338" s="18">
        <v>20.7</v>
      </c>
      <c r="J338" s="101"/>
      <c r="K338" s="18">
        <v>20.7</v>
      </c>
      <c r="L338" s="162"/>
      <c r="M338" s="18"/>
      <c r="N338" s="162"/>
      <c r="O338" s="18"/>
      <c r="P338" s="101"/>
      <c r="Q338" s="96">
        <f t="shared" si="826"/>
        <v>0</v>
      </c>
      <c r="R338" s="337">
        <f t="shared" si="827"/>
        <v>0</v>
      </c>
      <c r="S338" s="96"/>
      <c r="T338" s="96">
        <f t="shared" si="828"/>
        <v>0</v>
      </c>
      <c r="U338" s="96"/>
      <c r="V338" s="176">
        <f t="shared" si="829"/>
        <v>0</v>
      </c>
      <c r="W338" s="206"/>
      <c r="X338" s="205">
        <f t="shared" si="830"/>
        <v>0</v>
      </c>
      <c r="Y338" s="188">
        <f t="shared" si="831"/>
        <v>0</v>
      </c>
      <c r="Z338" s="176">
        <f t="shared" si="832"/>
        <v>0</v>
      </c>
      <c r="AA338" s="206"/>
      <c r="AB338" s="205">
        <f t="shared" si="833"/>
        <v>0</v>
      </c>
      <c r="AC338" s="206"/>
      <c r="AD338" s="176">
        <f t="shared" si="834"/>
        <v>0</v>
      </c>
      <c r="AE338" s="206"/>
      <c r="AF338" s="204">
        <f t="shared" si="835"/>
        <v>0</v>
      </c>
      <c r="AG338" s="188">
        <f t="shared" si="836"/>
        <v>0</v>
      </c>
      <c r="AH338" s="96">
        <f t="shared" si="837"/>
        <v>0</v>
      </c>
      <c r="AI338" s="96">
        <f t="shared" si="838"/>
        <v>0</v>
      </c>
      <c r="AJ338" s="176">
        <f t="shared" si="839"/>
        <v>0</v>
      </c>
      <c r="AK338" s="206"/>
      <c r="AL338" s="176">
        <f t="shared" si="840"/>
        <v>0</v>
      </c>
      <c r="AM338" s="243"/>
      <c r="AN338" s="176">
        <f t="shared" si="841"/>
        <v>0</v>
      </c>
      <c r="AO338" s="206"/>
      <c r="AP338" s="205">
        <f t="shared" si="842"/>
        <v>0</v>
      </c>
      <c r="AQ338" s="188">
        <f t="shared" si="843"/>
        <v>0</v>
      </c>
      <c r="AR338" s="96">
        <f t="shared" si="844"/>
        <v>0</v>
      </c>
      <c r="AS338" s="96"/>
      <c r="AT338" s="176">
        <f t="shared" si="845"/>
        <v>0</v>
      </c>
      <c r="AU338" s="206"/>
      <c r="AV338" s="176">
        <f t="shared" si="846"/>
        <v>0</v>
      </c>
      <c r="AW338" s="206"/>
      <c r="AX338" s="205">
        <f t="shared" si="847"/>
        <v>0</v>
      </c>
      <c r="AY338" s="188">
        <f t="shared" si="848"/>
        <v>0</v>
      </c>
      <c r="AZ338" s="96">
        <f t="shared" si="849"/>
        <v>0</v>
      </c>
      <c r="BA338" s="96">
        <f t="shared" si="850"/>
        <v>0</v>
      </c>
      <c r="BB338" s="96">
        <f t="shared" si="851"/>
        <v>0</v>
      </c>
      <c r="BC338" s="1" t="s">
        <v>1060</v>
      </c>
    </row>
    <row r="339" spans="1:55">
      <c r="A339" s="492">
        <v>201</v>
      </c>
      <c r="B339" s="13"/>
      <c r="C339" s="13"/>
      <c r="D339" s="13"/>
      <c r="E339" s="21" t="s">
        <v>1671</v>
      </c>
      <c r="F339" s="45" t="s">
        <v>1743</v>
      </c>
      <c r="G339" s="424" t="s">
        <v>1059</v>
      </c>
      <c r="H339" s="265" t="s">
        <v>358</v>
      </c>
      <c r="I339" s="18">
        <v>20.7</v>
      </c>
      <c r="J339" s="101"/>
      <c r="K339" s="18">
        <v>20.7</v>
      </c>
      <c r="L339" s="162"/>
      <c r="M339" s="18"/>
      <c r="N339" s="162"/>
      <c r="O339" s="18"/>
      <c r="P339" s="101"/>
      <c r="Q339" s="96">
        <f t="shared" si="826"/>
        <v>0</v>
      </c>
      <c r="R339" s="337">
        <f t="shared" si="827"/>
        <v>0</v>
      </c>
      <c r="S339" s="96"/>
      <c r="T339" s="96">
        <f t="shared" si="828"/>
        <v>0</v>
      </c>
      <c r="U339" s="96"/>
      <c r="V339" s="176">
        <f t="shared" si="829"/>
        <v>0</v>
      </c>
      <c r="W339" s="206"/>
      <c r="X339" s="205">
        <f t="shared" si="830"/>
        <v>0</v>
      </c>
      <c r="Y339" s="188">
        <f t="shared" si="831"/>
        <v>0</v>
      </c>
      <c r="Z339" s="176">
        <f t="shared" si="832"/>
        <v>0</v>
      </c>
      <c r="AA339" s="206"/>
      <c r="AB339" s="205">
        <f t="shared" si="833"/>
        <v>0</v>
      </c>
      <c r="AC339" s="206"/>
      <c r="AD339" s="176">
        <f t="shared" si="834"/>
        <v>0</v>
      </c>
      <c r="AE339" s="206"/>
      <c r="AF339" s="204">
        <f t="shared" si="835"/>
        <v>0</v>
      </c>
      <c r="AG339" s="188">
        <f t="shared" si="836"/>
        <v>0</v>
      </c>
      <c r="AH339" s="96">
        <f t="shared" si="837"/>
        <v>0</v>
      </c>
      <c r="AI339" s="96">
        <f t="shared" si="838"/>
        <v>0</v>
      </c>
      <c r="AJ339" s="176">
        <f t="shared" si="839"/>
        <v>0</v>
      </c>
      <c r="AK339" s="206"/>
      <c r="AL339" s="176">
        <f t="shared" si="840"/>
        <v>0</v>
      </c>
      <c r="AM339" s="243"/>
      <c r="AN339" s="176">
        <f t="shared" si="841"/>
        <v>0</v>
      </c>
      <c r="AO339" s="206"/>
      <c r="AP339" s="205">
        <f t="shared" si="842"/>
        <v>0</v>
      </c>
      <c r="AQ339" s="188">
        <f t="shared" si="843"/>
        <v>0</v>
      </c>
      <c r="AR339" s="96">
        <f t="shared" si="844"/>
        <v>0</v>
      </c>
      <c r="AS339" s="96"/>
      <c r="AT339" s="176">
        <f t="shared" si="845"/>
        <v>0</v>
      </c>
      <c r="AU339" s="206"/>
      <c r="AV339" s="176">
        <f t="shared" si="846"/>
        <v>0</v>
      </c>
      <c r="AW339" s="206"/>
      <c r="AX339" s="205">
        <f t="shared" si="847"/>
        <v>0</v>
      </c>
      <c r="AY339" s="188">
        <f t="shared" si="848"/>
        <v>0</v>
      </c>
      <c r="AZ339" s="96">
        <f t="shared" si="849"/>
        <v>0</v>
      </c>
      <c r="BA339" s="96">
        <f t="shared" si="850"/>
        <v>0</v>
      </c>
      <c r="BB339" s="96">
        <f t="shared" si="851"/>
        <v>0</v>
      </c>
      <c r="BC339" s="1" t="s">
        <v>1060</v>
      </c>
    </row>
    <row r="340" spans="1:55">
      <c r="A340" s="492">
        <v>201</v>
      </c>
      <c r="B340" s="13"/>
      <c r="C340" s="13"/>
      <c r="D340" s="13"/>
      <c r="E340" s="21" t="s">
        <v>1671</v>
      </c>
      <c r="F340" s="45" t="s">
        <v>1744</v>
      </c>
      <c r="G340" s="424" t="s">
        <v>1059</v>
      </c>
      <c r="H340" s="265" t="s">
        <v>358</v>
      </c>
      <c r="I340" s="18">
        <v>20.7</v>
      </c>
      <c r="J340" s="101"/>
      <c r="K340" s="18">
        <v>20.7</v>
      </c>
      <c r="L340" s="162"/>
      <c r="M340" s="18"/>
      <c r="N340" s="162"/>
      <c r="O340" s="18"/>
      <c r="P340" s="101"/>
      <c r="Q340" s="96">
        <f t="shared" si="826"/>
        <v>0</v>
      </c>
      <c r="R340" s="337">
        <f t="shared" si="827"/>
        <v>0</v>
      </c>
      <c r="S340" s="96"/>
      <c r="T340" s="96">
        <f t="shared" si="828"/>
        <v>0</v>
      </c>
      <c r="U340" s="96"/>
      <c r="V340" s="176">
        <f t="shared" si="829"/>
        <v>0</v>
      </c>
      <c r="W340" s="206"/>
      <c r="X340" s="205">
        <f t="shared" si="830"/>
        <v>0</v>
      </c>
      <c r="Y340" s="188">
        <f t="shared" si="831"/>
        <v>0</v>
      </c>
      <c r="Z340" s="176">
        <f t="shared" si="832"/>
        <v>0</v>
      </c>
      <c r="AA340" s="206"/>
      <c r="AB340" s="205">
        <f t="shared" si="833"/>
        <v>0</v>
      </c>
      <c r="AC340" s="206"/>
      <c r="AD340" s="176">
        <f t="shared" si="834"/>
        <v>0</v>
      </c>
      <c r="AE340" s="206"/>
      <c r="AF340" s="204">
        <f t="shared" si="835"/>
        <v>0</v>
      </c>
      <c r="AG340" s="188">
        <f t="shared" si="836"/>
        <v>0</v>
      </c>
      <c r="AH340" s="96">
        <f t="shared" si="837"/>
        <v>0</v>
      </c>
      <c r="AI340" s="96">
        <f t="shared" si="838"/>
        <v>0</v>
      </c>
      <c r="AJ340" s="176">
        <f t="shared" si="839"/>
        <v>0</v>
      </c>
      <c r="AK340" s="206"/>
      <c r="AL340" s="176">
        <f t="shared" si="840"/>
        <v>0</v>
      </c>
      <c r="AM340" s="243"/>
      <c r="AN340" s="176">
        <f t="shared" si="841"/>
        <v>0</v>
      </c>
      <c r="AO340" s="206"/>
      <c r="AP340" s="205">
        <f t="shared" si="842"/>
        <v>0</v>
      </c>
      <c r="AQ340" s="188">
        <f t="shared" si="843"/>
        <v>0</v>
      </c>
      <c r="AR340" s="96">
        <f t="shared" si="844"/>
        <v>0</v>
      </c>
      <c r="AS340" s="96"/>
      <c r="AT340" s="176">
        <f t="shared" si="845"/>
        <v>0</v>
      </c>
      <c r="AU340" s="206"/>
      <c r="AV340" s="176">
        <f t="shared" si="846"/>
        <v>0</v>
      </c>
      <c r="AW340" s="206"/>
      <c r="AX340" s="205">
        <f t="shared" si="847"/>
        <v>0</v>
      </c>
      <c r="AY340" s="188">
        <f t="shared" si="848"/>
        <v>0</v>
      </c>
      <c r="AZ340" s="96">
        <f t="shared" si="849"/>
        <v>0</v>
      </c>
      <c r="BA340" s="96">
        <f t="shared" si="850"/>
        <v>0</v>
      </c>
      <c r="BB340" s="96">
        <f t="shared" si="851"/>
        <v>0</v>
      </c>
      <c r="BC340" s="1" t="s">
        <v>1060</v>
      </c>
    </row>
    <row r="341" spans="1:55">
      <c r="A341" s="492">
        <v>201</v>
      </c>
      <c r="B341" s="24"/>
      <c r="C341" s="24"/>
      <c r="D341" s="24"/>
      <c r="E341" s="21" t="s">
        <v>1671</v>
      </c>
      <c r="F341" s="45" t="s">
        <v>1745</v>
      </c>
      <c r="G341" s="424" t="s">
        <v>1059</v>
      </c>
      <c r="H341" s="265" t="s">
        <v>358</v>
      </c>
      <c r="I341" s="18">
        <v>20.7</v>
      </c>
      <c r="J341" s="101"/>
      <c r="K341" s="18">
        <v>20.7</v>
      </c>
      <c r="L341" s="162"/>
      <c r="M341" s="18"/>
      <c r="N341" s="162"/>
      <c r="O341" s="18"/>
      <c r="P341" s="101"/>
      <c r="Q341" s="96">
        <f t="shared" si="826"/>
        <v>0</v>
      </c>
      <c r="R341" s="337">
        <f t="shared" si="827"/>
        <v>0</v>
      </c>
      <c r="S341" s="96"/>
      <c r="T341" s="96">
        <f t="shared" si="828"/>
        <v>0</v>
      </c>
      <c r="U341" s="96"/>
      <c r="V341" s="176">
        <f t="shared" si="829"/>
        <v>0</v>
      </c>
      <c r="W341" s="206"/>
      <c r="X341" s="205">
        <f t="shared" si="830"/>
        <v>0</v>
      </c>
      <c r="Y341" s="188">
        <f t="shared" si="831"/>
        <v>0</v>
      </c>
      <c r="Z341" s="176">
        <f t="shared" si="832"/>
        <v>0</v>
      </c>
      <c r="AA341" s="206"/>
      <c r="AB341" s="205">
        <f t="shared" si="833"/>
        <v>0</v>
      </c>
      <c r="AC341" s="206"/>
      <c r="AD341" s="176">
        <f t="shared" si="834"/>
        <v>0</v>
      </c>
      <c r="AE341" s="206"/>
      <c r="AF341" s="204">
        <f t="shared" si="835"/>
        <v>0</v>
      </c>
      <c r="AG341" s="188">
        <f t="shared" si="836"/>
        <v>0</v>
      </c>
      <c r="AH341" s="96">
        <f t="shared" si="837"/>
        <v>0</v>
      </c>
      <c r="AI341" s="96">
        <f t="shared" si="838"/>
        <v>0</v>
      </c>
      <c r="AJ341" s="176">
        <f t="shared" si="839"/>
        <v>0</v>
      </c>
      <c r="AK341" s="206"/>
      <c r="AL341" s="176">
        <f t="shared" si="840"/>
        <v>0</v>
      </c>
      <c r="AM341" s="243"/>
      <c r="AN341" s="176">
        <f t="shared" si="841"/>
        <v>0</v>
      </c>
      <c r="AO341" s="206"/>
      <c r="AP341" s="205">
        <f t="shared" si="842"/>
        <v>0</v>
      </c>
      <c r="AQ341" s="188">
        <f t="shared" si="843"/>
        <v>0</v>
      </c>
      <c r="AR341" s="96">
        <f t="shared" si="844"/>
        <v>0</v>
      </c>
      <c r="AS341" s="96"/>
      <c r="AT341" s="176">
        <f t="shared" si="845"/>
        <v>0</v>
      </c>
      <c r="AU341" s="206"/>
      <c r="AV341" s="176">
        <f t="shared" si="846"/>
        <v>0</v>
      </c>
      <c r="AW341" s="206"/>
      <c r="AX341" s="205">
        <f t="shared" si="847"/>
        <v>0</v>
      </c>
      <c r="AY341" s="188">
        <f t="shared" si="848"/>
        <v>0</v>
      </c>
      <c r="AZ341" s="96">
        <f t="shared" si="849"/>
        <v>0</v>
      </c>
      <c r="BA341" s="96">
        <f t="shared" si="850"/>
        <v>0</v>
      </c>
      <c r="BB341" s="96">
        <f t="shared" si="851"/>
        <v>0</v>
      </c>
      <c r="BC341" s="1" t="s">
        <v>1060</v>
      </c>
    </row>
    <row r="342" spans="1:55">
      <c r="A342" s="492">
        <v>179</v>
      </c>
      <c r="B342" s="52" t="s">
        <v>2239</v>
      </c>
      <c r="C342" s="52" t="s">
        <v>33</v>
      </c>
      <c r="D342" s="52"/>
      <c r="E342" s="21" t="s">
        <v>1671</v>
      </c>
      <c r="F342" s="45" t="s">
        <v>1736</v>
      </c>
      <c r="G342" s="22" t="s">
        <v>1059</v>
      </c>
      <c r="H342" s="265" t="s">
        <v>358</v>
      </c>
      <c r="I342" s="54">
        <v>19.899999999999999</v>
      </c>
      <c r="J342" s="101"/>
      <c r="K342" s="54">
        <v>19.899999999999999</v>
      </c>
      <c r="L342" s="162"/>
      <c r="M342" s="54"/>
      <c r="N342" s="162"/>
      <c r="O342" s="54"/>
      <c r="P342" s="101"/>
      <c r="Q342" s="96">
        <f t="shared" si="826"/>
        <v>1.98</v>
      </c>
      <c r="R342" s="337">
        <f t="shared" si="827"/>
        <v>58.27781465999999</v>
      </c>
      <c r="S342" s="96"/>
      <c r="T342" s="96">
        <f t="shared" si="828"/>
        <v>0</v>
      </c>
      <c r="U342" s="96">
        <v>0.72</v>
      </c>
      <c r="V342" s="176">
        <f t="shared" si="829"/>
        <v>20.607389279999996</v>
      </c>
      <c r="W342" s="206">
        <v>1.26</v>
      </c>
      <c r="X342" s="205">
        <f t="shared" si="830"/>
        <v>37.67042537999999</v>
      </c>
      <c r="Y342" s="188">
        <f t="shared" si="831"/>
        <v>1.98</v>
      </c>
      <c r="Z342" s="176">
        <f t="shared" si="832"/>
        <v>58.27781465999999</v>
      </c>
      <c r="AA342" s="206"/>
      <c r="AB342" s="205">
        <f t="shared" si="833"/>
        <v>0</v>
      </c>
      <c r="AC342" s="206"/>
      <c r="AD342" s="176">
        <f t="shared" si="834"/>
        <v>0</v>
      </c>
      <c r="AE342" s="206"/>
      <c r="AF342" s="204">
        <f t="shared" si="835"/>
        <v>0</v>
      </c>
      <c r="AG342" s="188">
        <f t="shared" si="836"/>
        <v>0</v>
      </c>
      <c r="AH342" s="96">
        <f t="shared" si="837"/>
        <v>0</v>
      </c>
      <c r="AI342" s="96">
        <f t="shared" si="838"/>
        <v>1.98</v>
      </c>
      <c r="AJ342" s="176">
        <f t="shared" si="839"/>
        <v>58.27781465999999</v>
      </c>
      <c r="AK342" s="206"/>
      <c r="AL342" s="176">
        <f t="shared" si="840"/>
        <v>0</v>
      </c>
      <c r="AM342" s="243"/>
      <c r="AN342" s="176">
        <f t="shared" si="841"/>
        <v>0</v>
      </c>
      <c r="AO342" s="206"/>
      <c r="AP342" s="205">
        <f t="shared" si="842"/>
        <v>0</v>
      </c>
      <c r="AQ342" s="188">
        <f t="shared" si="843"/>
        <v>0</v>
      </c>
      <c r="AR342" s="96">
        <f t="shared" si="844"/>
        <v>0</v>
      </c>
      <c r="AS342" s="96"/>
      <c r="AT342" s="176">
        <f t="shared" si="845"/>
        <v>0</v>
      </c>
      <c r="AU342" s="206"/>
      <c r="AV342" s="176">
        <f t="shared" si="846"/>
        <v>0</v>
      </c>
      <c r="AW342" s="206"/>
      <c r="AX342" s="205">
        <f t="shared" si="847"/>
        <v>0</v>
      </c>
      <c r="AY342" s="188">
        <f t="shared" si="848"/>
        <v>0</v>
      </c>
      <c r="AZ342" s="96">
        <f t="shared" si="849"/>
        <v>0</v>
      </c>
      <c r="BA342" s="96">
        <f t="shared" si="850"/>
        <v>0</v>
      </c>
      <c r="BB342" s="96">
        <f t="shared" si="851"/>
        <v>0</v>
      </c>
      <c r="BC342" s="1" t="s">
        <v>1060</v>
      </c>
    </row>
    <row r="343" spans="1:55">
      <c r="A343" s="492">
        <v>180</v>
      </c>
      <c r="B343" s="13"/>
      <c r="C343" s="13"/>
      <c r="D343" s="13"/>
      <c r="E343" s="21" t="s">
        <v>1671</v>
      </c>
      <c r="F343" s="45" t="s">
        <v>1737</v>
      </c>
      <c r="G343" s="22" t="s">
        <v>1059</v>
      </c>
      <c r="H343" s="265" t="s">
        <v>358</v>
      </c>
      <c r="I343" s="54">
        <v>19.899999999999999</v>
      </c>
      <c r="J343" s="101"/>
      <c r="K343" s="54">
        <v>19.899999999999999</v>
      </c>
      <c r="L343" s="162"/>
      <c r="M343" s="54"/>
      <c r="N343" s="162"/>
      <c r="O343" s="54"/>
      <c r="P343" s="101"/>
      <c r="Q343" s="96">
        <f t="shared" ref="Q343:Q344" si="852">SUM(AI343+BA343)</f>
        <v>0</v>
      </c>
      <c r="R343" s="337">
        <f t="shared" ref="R343:R344" si="853">SUM(AJ343+BB343)</f>
        <v>0</v>
      </c>
      <c r="S343" s="96"/>
      <c r="T343" s="96">
        <f t="shared" ref="T343:T344" si="854">I343*S343*$T$2/1000</f>
        <v>0</v>
      </c>
      <c r="U343" s="96"/>
      <c r="V343" s="176">
        <f t="shared" ref="V343:V344" si="855">I343*U343*$V$2/1000</f>
        <v>0</v>
      </c>
      <c r="W343" s="206"/>
      <c r="X343" s="205">
        <f t="shared" ref="X343:X344" si="856">I343*W343*$X$2/1000</f>
        <v>0</v>
      </c>
      <c r="Y343" s="188">
        <f t="shared" ref="Y343:Y344" si="857">SUM(S343+U343+W343)</f>
        <v>0</v>
      </c>
      <c r="Z343" s="176">
        <f t="shared" ref="Z343:Z344" si="858">SUM(T343+V343+X343)</f>
        <v>0</v>
      </c>
      <c r="AA343" s="206"/>
      <c r="AB343" s="205">
        <f t="shared" ref="AB343:AB344" si="859">K343*AA343*$AB$2/1000</f>
        <v>0</v>
      </c>
      <c r="AC343" s="206"/>
      <c r="AD343" s="176">
        <f t="shared" ref="AD343:AD344" si="860">K343*AC343*$AD$2/1000</f>
        <v>0</v>
      </c>
      <c r="AE343" s="206"/>
      <c r="AF343" s="204">
        <f t="shared" ref="AF343:AF344" si="861">K343*AE343*$AF$2/1000</f>
        <v>0</v>
      </c>
      <c r="AG343" s="188">
        <f t="shared" ref="AG343:AG344" si="862">SUM(AA343+AC343+AE343)</f>
        <v>0</v>
      </c>
      <c r="AH343" s="96">
        <f t="shared" ref="AH343:AH344" si="863">SUM(AB343+AD343+AF343)</f>
        <v>0</v>
      </c>
      <c r="AI343" s="96">
        <f t="shared" ref="AI343:AI344" si="864">SUM(Y343+AG343)</f>
        <v>0</v>
      </c>
      <c r="AJ343" s="176">
        <f t="shared" ref="AJ343:AJ344" si="865">SUM(Z343,AH343)</f>
        <v>0</v>
      </c>
      <c r="AK343" s="206"/>
      <c r="AL343" s="176">
        <f t="shared" ref="AL343:AL344" si="866">M343*AK343*$AL$2/1000</f>
        <v>0</v>
      </c>
      <c r="AM343" s="243"/>
      <c r="AN343" s="176">
        <f t="shared" ref="AN343:AN344" si="867">M343*AM343*$AN$2/1000</f>
        <v>0</v>
      </c>
      <c r="AO343" s="206"/>
      <c r="AP343" s="205">
        <f t="shared" ref="AP343:AP344" si="868">M343*AO343*$AP$2/1000</f>
        <v>0</v>
      </c>
      <c r="AQ343" s="188">
        <f t="shared" ref="AQ343:AQ344" si="869">SUM(AK343+AM343+AO343)</f>
        <v>0</v>
      </c>
      <c r="AR343" s="96">
        <f t="shared" ref="AR343:AR344" si="870">SUM(AL343+AN343+AP343)</f>
        <v>0</v>
      </c>
      <c r="AS343" s="96"/>
      <c r="AT343" s="176">
        <f t="shared" ref="AT343:AT344" si="871">O343*AS343*$AT$2/1000</f>
        <v>0</v>
      </c>
      <c r="AU343" s="206"/>
      <c r="AV343" s="176">
        <f t="shared" ref="AV343:AV344" si="872">O343*AU343*$AV$2/1000</f>
        <v>0</v>
      </c>
      <c r="AW343" s="206"/>
      <c r="AX343" s="205">
        <f t="shared" ref="AX343:AX344" si="873">O343*AW343*$AX$2/1000</f>
        <v>0</v>
      </c>
      <c r="AY343" s="188">
        <f t="shared" ref="AY343:AY344" si="874">SUM(AS343+AU343+AW343)</f>
        <v>0</v>
      </c>
      <c r="AZ343" s="96">
        <f t="shared" ref="AZ343:AZ344" si="875">SUM(AT343+AV343+AX343)</f>
        <v>0</v>
      </c>
      <c r="BA343" s="96">
        <f t="shared" ref="BA343:BA344" si="876">SUM(AQ343+AY343)</f>
        <v>0</v>
      </c>
      <c r="BB343" s="96">
        <f t="shared" ref="BB343:BB344" si="877">SUM(AR343,AZ343)</f>
        <v>0</v>
      </c>
      <c r="BC343" s="1" t="s">
        <v>1060</v>
      </c>
    </row>
    <row r="344" spans="1:55">
      <c r="A344" s="492">
        <v>179</v>
      </c>
      <c r="B344" s="13"/>
      <c r="C344" s="13"/>
      <c r="D344" s="13"/>
      <c r="E344" s="21" t="s">
        <v>1671</v>
      </c>
      <c r="F344" s="45" t="s">
        <v>1738</v>
      </c>
      <c r="G344" s="22" t="s">
        <v>1059</v>
      </c>
      <c r="H344" s="265" t="s">
        <v>358</v>
      </c>
      <c r="I344" s="54">
        <v>19.899999999999999</v>
      </c>
      <c r="J344" s="101"/>
      <c r="K344" s="54">
        <v>19.899999999999999</v>
      </c>
      <c r="L344" s="162"/>
      <c r="M344" s="54"/>
      <c r="N344" s="162"/>
      <c r="O344" s="54"/>
      <c r="P344" s="101"/>
      <c r="Q344" s="96">
        <f t="shared" si="852"/>
        <v>0</v>
      </c>
      <c r="R344" s="337">
        <f t="shared" si="853"/>
        <v>0</v>
      </c>
      <c r="S344" s="96"/>
      <c r="T344" s="96">
        <f t="shared" si="854"/>
        <v>0</v>
      </c>
      <c r="U344" s="96"/>
      <c r="V344" s="176">
        <f t="shared" si="855"/>
        <v>0</v>
      </c>
      <c r="W344" s="206"/>
      <c r="X344" s="205">
        <f t="shared" si="856"/>
        <v>0</v>
      </c>
      <c r="Y344" s="188">
        <f t="shared" si="857"/>
        <v>0</v>
      </c>
      <c r="Z344" s="176">
        <f t="shared" si="858"/>
        <v>0</v>
      </c>
      <c r="AA344" s="206"/>
      <c r="AB344" s="205">
        <f t="shared" si="859"/>
        <v>0</v>
      </c>
      <c r="AC344" s="206"/>
      <c r="AD344" s="176">
        <f t="shared" si="860"/>
        <v>0</v>
      </c>
      <c r="AE344" s="206"/>
      <c r="AF344" s="204">
        <f t="shared" si="861"/>
        <v>0</v>
      </c>
      <c r="AG344" s="188">
        <f t="shared" si="862"/>
        <v>0</v>
      </c>
      <c r="AH344" s="96">
        <f t="shared" si="863"/>
        <v>0</v>
      </c>
      <c r="AI344" s="96">
        <f t="shared" si="864"/>
        <v>0</v>
      </c>
      <c r="AJ344" s="176">
        <f t="shared" si="865"/>
        <v>0</v>
      </c>
      <c r="AK344" s="206"/>
      <c r="AL344" s="176">
        <f t="shared" si="866"/>
        <v>0</v>
      </c>
      <c r="AM344" s="243"/>
      <c r="AN344" s="176">
        <f t="shared" si="867"/>
        <v>0</v>
      </c>
      <c r="AO344" s="206"/>
      <c r="AP344" s="205">
        <f t="shared" si="868"/>
        <v>0</v>
      </c>
      <c r="AQ344" s="188">
        <f t="shared" si="869"/>
        <v>0</v>
      </c>
      <c r="AR344" s="96">
        <f t="shared" si="870"/>
        <v>0</v>
      </c>
      <c r="AS344" s="96"/>
      <c r="AT344" s="176">
        <f t="shared" si="871"/>
        <v>0</v>
      </c>
      <c r="AU344" s="206"/>
      <c r="AV344" s="176">
        <f t="shared" si="872"/>
        <v>0</v>
      </c>
      <c r="AW344" s="206"/>
      <c r="AX344" s="205">
        <f t="shared" si="873"/>
        <v>0</v>
      </c>
      <c r="AY344" s="188">
        <f t="shared" si="874"/>
        <v>0</v>
      </c>
      <c r="AZ344" s="96">
        <f t="shared" si="875"/>
        <v>0</v>
      </c>
      <c r="BA344" s="96">
        <f t="shared" si="876"/>
        <v>0</v>
      </c>
      <c r="BB344" s="96">
        <f t="shared" si="877"/>
        <v>0</v>
      </c>
      <c r="BC344" s="1" t="s">
        <v>1060</v>
      </c>
    </row>
    <row r="345" spans="1:55">
      <c r="A345" s="492">
        <v>180</v>
      </c>
      <c r="B345" s="13"/>
      <c r="C345" s="13"/>
      <c r="D345" s="13"/>
      <c r="E345" s="21" t="s">
        <v>1671</v>
      </c>
      <c r="F345" s="45" t="s">
        <v>1739</v>
      </c>
      <c r="G345" s="22" t="s">
        <v>1059</v>
      </c>
      <c r="H345" s="265" t="s">
        <v>358</v>
      </c>
      <c r="I345" s="54">
        <v>19.899999999999999</v>
      </c>
      <c r="J345" s="101"/>
      <c r="K345" s="54">
        <v>19.899999999999999</v>
      </c>
      <c r="L345" s="162"/>
      <c r="M345" s="54"/>
      <c r="N345" s="162"/>
      <c r="O345" s="54"/>
      <c r="P345" s="101"/>
      <c r="Q345" s="96">
        <f t="shared" ref="Q345:Q346" si="878">SUM(AI345+BA345)</f>
        <v>0</v>
      </c>
      <c r="R345" s="337">
        <f t="shared" ref="R345:R346" si="879">SUM(AJ345+BB345)</f>
        <v>0</v>
      </c>
      <c r="S345" s="96"/>
      <c r="T345" s="96">
        <f t="shared" ref="T345:T346" si="880">I345*S345*$T$2/1000</f>
        <v>0</v>
      </c>
      <c r="U345" s="96"/>
      <c r="V345" s="176">
        <f t="shared" ref="V345:V346" si="881">I345*U345*$V$2/1000</f>
        <v>0</v>
      </c>
      <c r="W345" s="206"/>
      <c r="X345" s="205">
        <f t="shared" ref="X345:X346" si="882">I345*W345*$X$2/1000</f>
        <v>0</v>
      </c>
      <c r="Y345" s="188">
        <f t="shared" ref="Y345:Y346" si="883">SUM(S345+U345+W345)</f>
        <v>0</v>
      </c>
      <c r="Z345" s="176">
        <f t="shared" ref="Z345:Z346" si="884">SUM(T345+V345+X345)</f>
        <v>0</v>
      </c>
      <c r="AA345" s="206"/>
      <c r="AB345" s="205">
        <f t="shared" ref="AB345:AB346" si="885">K345*AA345*$AB$2/1000</f>
        <v>0</v>
      </c>
      <c r="AC345" s="206"/>
      <c r="AD345" s="176">
        <f t="shared" ref="AD345:AD346" si="886">K345*AC345*$AD$2/1000</f>
        <v>0</v>
      </c>
      <c r="AE345" s="206"/>
      <c r="AF345" s="204">
        <f t="shared" ref="AF345:AF346" si="887">K345*AE345*$AF$2/1000</f>
        <v>0</v>
      </c>
      <c r="AG345" s="188">
        <f t="shared" ref="AG345:AG346" si="888">SUM(AA345+AC345+AE345)</f>
        <v>0</v>
      </c>
      <c r="AH345" s="96">
        <f t="shared" ref="AH345:AH346" si="889">SUM(AB345+AD345+AF345)</f>
        <v>0</v>
      </c>
      <c r="AI345" s="96">
        <f t="shared" ref="AI345:AI346" si="890">SUM(Y345+AG345)</f>
        <v>0</v>
      </c>
      <c r="AJ345" s="176">
        <f t="shared" ref="AJ345:AJ346" si="891">SUM(Z345,AH345)</f>
        <v>0</v>
      </c>
      <c r="AK345" s="206"/>
      <c r="AL345" s="176">
        <f t="shared" ref="AL345:AL346" si="892">M345*AK345*$AL$2/1000</f>
        <v>0</v>
      </c>
      <c r="AM345" s="243"/>
      <c r="AN345" s="176">
        <f t="shared" ref="AN345:AN346" si="893">M345*AM345*$AN$2/1000</f>
        <v>0</v>
      </c>
      <c r="AO345" s="206"/>
      <c r="AP345" s="205">
        <f t="shared" ref="AP345:AP346" si="894">M345*AO345*$AP$2/1000</f>
        <v>0</v>
      </c>
      <c r="AQ345" s="188">
        <f t="shared" ref="AQ345:AQ346" si="895">SUM(AK345+AM345+AO345)</f>
        <v>0</v>
      </c>
      <c r="AR345" s="96">
        <f t="shared" ref="AR345:AR346" si="896">SUM(AL345+AN345+AP345)</f>
        <v>0</v>
      </c>
      <c r="AS345" s="96"/>
      <c r="AT345" s="176">
        <f t="shared" ref="AT345:AT346" si="897">O345*AS345*$AT$2/1000</f>
        <v>0</v>
      </c>
      <c r="AU345" s="206"/>
      <c r="AV345" s="176">
        <f t="shared" ref="AV345:AV346" si="898">O345*AU345*$AV$2/1000</f>
        <v>0</v>
      </c>
      <c r="AW345" s="206"/>
      <c r="AX345" s="205">
        <f t="shared" ref="AX345:AX346" si="899">O345*AW345*$AX$2/1000</f>
        <v>0</v>
      </c>
      <c r="AY345" s="188">
        <f t="shared" ref="AY345:AY346" si="900">SUM(AS345+AU345+AW345)</f>
        <v>0</v>
      </c>
      <c r="AZ345" s="96">
        <f t="shared" ref="AZ345:AZ346" si="901">SUM(AT345+AV345+AX345)</f>
        <v>0</v>
      </c>
      <c r="BA345" s="96">
        <f t="shared" ref="BA345:BA346" si="902">SUM(AQ345+AY345)</f>
        <v>0</v>
      </c>
      <c r="BB345" s="96">
        <f t="shared" ref="BB345:BB346" si="903">SUM(AR345,AZ345)</f>
        <v>0</v>
      </c>
      <c r="BC345" s="1" t="s">
        <v>1060</v>
      </c>
    </row>
    <row r="346" spans="1:55">
      <c r="A346" s="492">
        <v>179</v>
      </c>
      <c r="B346" s="13"/>
      <c r="C346" s="13"/>
      <c r="D346" s="13"/>
      <c r="E346" s="21" t="s">
        <v>1671</v>
      </c>
      <c r="F346" s="45" t="s">
        <v>1740</v>
      </c>
      <c r="G346" s="22" t="s">
        <v>1059</v>
      </c>
      <c r="H346" s="265" t="s">
        <v>358</v>
      </c>
      <c r="I346" s="54">
        <v>19.899999999999999</v>
      </c>
      <c r="J346" s="101"/>
      <c r="K346" s="54">
        <v>19.899999999999999</v>
      </c>
      <c r="L346" s="162"/>
      <c r="M346" s="54"/>
      <c r="N346" s="162"/>
      <c r="O346" s="54"/>
      <c r="P346" s="101"/>
      <c r="Q346" s="96">
        <f t="shared" si="878"/>
        <v>2.1</v>
      </c>
      <c r="R346" s="337">
        <f t="shared" si="879"/>
        <v>62.363031929999991</v>
      </c>
      <c r="S346" s="96"/>
      <c r="T346" s="96">
        <f t="shared" si="880"/>
        <v>0</v>
      </c>
      <c r="U346" s="96">
        <v>0.33</v>
      </c>
      <c r="V346" s="176">
        <f t="shared" si="881"/>
        <v>9.4450534200000007</v>
      </c>
      <c r="W346" s="206">
        <v>1.77</v>
      </c>
      <c r="X346" s="205">
        <f t="shared" si="882"/>
        <v>52.91797850999999</v>
      </c>
      <c r="Y346" s="188">
        <f t="shared" si="883"/>
        <v>2.1</v>
      </c>
      <c r="Z346" s="176">
        <f t="shared" si="884"/>
        <v>62.363031929999991</v>
      </c>
      <c r="AA346" s="206"/>
      <c r="AB346" s="205">
        <f t="shared" si="885"/>
        <v>0</v>
      </c>
      <c r="AC346" s="206"/>
      <c r="AD346" s="176">
        <f t="shared" si="886"/>
        <v>0</v>
      </c>
      <c r="AE346" s="206"/>
      <c r="AF346" s="204">
        <f t="shared" si="887"/>
        <v>0</v>
      </c>
      <c r="AG346" s="188">
        <f t="shared" si="888"/>
        <v>0</v>
      </c>
      <c r="AH346" s="96">
        <f t="shared" si="889"/>
        <v>0</v>
      </c>
      <c r="AI346" s="96">
        <f t="shared" si="890"/>
        <v>2.1</v>
      </c>
      <c r="AJ346" s="176">
        <f t="shared" si="891"/>
        <v>62.363031929999991</v>
      </c>
      <c r="AK346" s="206"/>
      <c r="AL346" s="176">
        <f t="shared" si="892"/>
        <v>0</v>
      </c>
      <c r="AM346" s="243"/>
      <c r="AN346" s="176">
        <f t="shared" si="893"/>
        <v>0</v>
      </c>
      <c r="AO346" s="206"/>
      <c r="AP346" s="205">
        <f t="shared" si="894"/>
        <v>0</v>
      </c>
      <c r="AQ346" s="188">
        <f t="shared" si="895"/>
        <v>0</v>
      </c>
      <c r="AR346" s="96">
        <f t="shared" si="896"/>
        <v>0</v>
      </c>
      <c r="AS346" s="96"/>
      <c r="AT346" s="176">
        <f t="shared" si="897"/>
        <v>0</v>
      </c>
      <c r="AU346" s="206"/>
      <c r="AV346" s="176">
        <f t="shared" si="898"/>
        <v>0</v>
      </c>
      <c r="AW346" s="206"/>
      <c r="AX346" s="205">
        <f t="shared" si="899"/>
        <v>0</v>
      </c>
      <c r="AY346" s="188">
        <f t="shared" si="900"/>
        <v>0</v>
      </c>
      <c r="AZ346" s="96">
        <f t="shared" si="901"/>
        <v>0</v>
      </c>
      <c r="BA346" s="96">
        <f t="shared" si="902"/>
        <v>0</v>
      </c>
      <c r="BB346" s="96">
        <f t="shared" si="903"/>
        <v>0</v>
      </c>
      <c r="BC346" s="1" t="s">
        <v>1060</v>
      </c>
    </row>
    <row r="347" spans="1:55">
      <c r="A347" s="492">
        <v>180</v>
      </c>
      <c r="B347" s="13"/>
      <c r="C347" s="13"/>
      <c r="D347" s="13"/>
      <c r="E347" s="21" t="s">
        <v>1671</v>
      </c>
      <c r="F347" s="45" t="s">
        <v>1741</v>
      </c>
      <c r="G347" s="22" t="s">
        <v>1059</v>
      </c>
      <c r="H347" s="265" t="s">
        <v>358</v>
      </c>
      <c r="I347" s="54">
        <v>19.899999999999999</v>
      </c>
      <c r="J347" s="101"/>
      <c r="K347" s="54">
        <v>19.899999999999999</v>
      </c>
      <c r="L347" s="162"/>
      <c r="M347" s="54"/>
      <c r="N347" s="162"/>
      <c r="O347" s="54"/>
      <c r="P347" s="101"/>
      <c r="Q347" s="96">
        <f t="shared" ref="Q347:Q348" si="904">SUM(AI347+BA347)</f>
        <v>0.6</v>
      </c>
      <c r="R347" s="337">
        <f t="shared" ref="R347:R348" si="905">SUM(AJ347+BB347)</f>
        <v>17.900024129999995</v>
      </c>
      <c r="S347" s="96"/>
      <c r="T347" s="96">
        <f t="shared" ref="T347:T348" si="906">I347*S347*$T$2/1000</f>
        <v>0</v>
      </c>
      <c r="U347" s="96">
        <v>0.03</v>
      </c>
      <c r="V347" s="176">
        <f t="shared" ref="V347:V348" si="907">I347*U347*$V$2/1000</f>
        <v>0.85864121999999998</v>
      </c>
      <c r="W347" s="206">
        <v>0.56999999999999995</v>
      </c>
      <c r="X347" s="205">
        <f t="shared" ref="X347:X348" si="908">I347*W347*$X$2/1000</f>
        <v>17.041382909999996</v>
      </c>
      <c r="Y347" s="188">
        <f t="shared" ref="Y347:Y348" si="909">SUM(S347+U347+W347)</f>
        <v>0.6</v>
      </c>
      <c r="Z347" s="176">
        <f t="shared" ref="Z347:Z348" si="910">SUM(T347+V347+X347)</f>
        <v>17.900024129999995</v>
      </c>
      <c r="AA347" s="206"/>
      <c r="AB347" s="205">
        <f t="shared" ref="AB347:AB348" si="911">K347*AA347*$AB$2/1000</f>
        <v>0</v>
      </c>
      <c r="AC347" s="206"/>
      <c r="AD347" s="176">
        <f t="shared" ref="AD347:AD348" si="912">K347*AC347*$AD$2/1000</f>
        <v>0</v>
      </c>
      <c r="AE347" s="206"/>
      <c r="AF347" s="204">
        <f t="shared" ref="AF347:AF348" si="913">K347*AE347*$AF$2/1000</f>
        <v>0</v>
      </c>
      <c r="AG347" s="188">
        <f t="shared" ref="AG347:AG348" si="914">SUM(AA347+AC347+AE347)</f>
        <v>0</v>
      </c>
      <c r="AH347" s="96">
        <f t="shared" ref="AH347:AH348" si="915">SUM(AB347+AD347+AF347)</f>
        <v>0</v>
      </c>
      <c r="AI347" s="96">
        <f t="shared" ref="AI347:AI348" si="916">SUM(Y347+AG347)</f>
        <v>0.6</v>
      </c>
      <c r="AJ347" s="176">
        <f t="shared" ref="AJ347:AJ348" si="917">SUM(Z347,AH347)</f>
        <v>17.900024129999995</v>
      </c>
      <c r="AK347" s="206"/>
      <c r="AL347" s="176">
        <f t="shared" ref="AL347:AL348" si="918">M347*AK347*$AL$2/1000</f>
        <v>0</v>
      </c>
      <c r="AM347" s="243"/>
      <c r="AN347" s="176">
        <f t="shared" ref="AN347:AN348" si="919">M347*AM347*$AN$2/1000</f>
        <v>0</v>
      </c>
      <c r="AO347" s="206"/>
      <c r="AP347" s="205">
        <f t="shared" ref="AP347:AP348" si="920">M347*AO347*$AP$2/1000</f>
        <v>0</v>
      </c>
      <c r="AQ347" s="188">
        <f t="shared" ref="AQ347:AQ348" si="921">SUM(AK347+AM347+AO347)</f>
        <v>0</v>
      </c>
      <c r="AR347" s="96">
        <f t="shared" ref="AR347:AR348" si="922">SUM(AL347+AN347+AP347)</f>
        <v>0</v>
      </c>
      <c r="AS347" s="96"/>
      <c r="AT347" s="176">
        <f t="shared" ref="AT347:AT348" si="923">O347*AS347*$AT$2/1000</f>
        <v>0</v>
      </c>
      <c r="AU347" s="206"/>
      <c r="AV347" s="176">
        <f t="shared" ref="AV347:AV348" si="924">O347*AU347*$AV$2/1000</f>
        <v>0</v>
      </c>
      <c r="AW347" s="206"/>
      <c r="AX347" s="205">
        <f t="shared" ref="AX347:AX348" si="925">O347*AW347*$AX$2/1000</f>
        <v>0</v>
      </c>
      <c r="AY347" s="188">
        <f t="shared" ref="AY347:AY348" si="926">SUM(AS347+AU347+AW347)</f>
        <v>0</v>
      </c>
      <c r="AZ347" s="96">
        <f t="shared" ref="AZ347:AZ348" si="927">SUM(AT347+AV347+AX347)</f>
        <v>0</v>
      </c>
      <c r="BA347" s="96">
        <f t="shared" ref="BA347:BA348" si="928">SUM(AQ347+AY347)</f>
        <v>0</v>
      </c>
      <c r="BB347" s="96">
        <f t="shared" ref="BB347:BB348" si="929">SUM(AR347,AZ347)</f>
        <v>0</v>
      </c>
      <c r="BC347" s="1" t="s">
        <v>1060</v>
      </c>
    </row>
    <row r="348" spans="1:55">
      <c r="A348" s="492">
        <v>179</v>
      </c>
      <c r="B348" s="13"/>
      <c r="C348" s="13"/>
      <c r="D348" s="13"/>
      <c r="E348" s="21" t="s">
        <v>1671</v>
      </c>
      <c r="F348" s="45" t="s">
        <v>1742</v>
      </c>
      <c r="G348" s="22" t="s">
        <v>1059</v>
      </c>
      <c r="H348" s="265" t="s">
        <v>358</v>
      </c>
      <c r="I348" s="54">
        <v>19.899999999999999</v>
      </c>
      <c r="J348" s="101"/>
      <c r="K348" s="54">
        <v>19.899999999999999</v>
      </c>
      <c r="L348" s="162"/>
      <c r="M348" s="54"/>
      <c r="N348" s="162"/>
      <c r="O348" s="54"/>
      <c r="P348" s="101"/>
      <c r="Q348" s="96">
        <f t="shared" si="904"/>
        <v>0</v>
      </c>
      <c r="R348" s="337">
        <f t="shared" si="905"/>
        <v>0</v>
      </c>
      <c r="S348" s="96"/>
      <c r="T348" s="96">
        <f t="shared" si="906"/>
        <v>0</v>
      </c>
      <c r="U348" s="96"/>
      <c r="V348" s="176">
        <f t="shared" si="907"/>
        <v>0</v>
      </c>
      <c r="W348" s="206"/>
      <c r="X348" s="205">
        <f t="shared" si="908"/>
        <v>0</v>
      </c>
      <c r="Y348" s="188">
        <f t="shared" si="909"/>
        <v>0</v>
      </c>
      <c r="Z348" s="176">
        <f t="shared" si="910"/>
        <v>0</v>
      </c>
      <c r="AA348" s="206"/>
      <c r="AB348" s="205">
        <f t="shared" si="911"/>
        <v>0</v>
      </c>
      <c r="AC348" s="206"/>
      <c r="AD348" s="176">
        <f t="shared" si="912"/>
        <v>0</v>
      </c>
      <c r="AE348" s="206"/>
      <c r="AF348" s="204">
        <f t="shared" si="913"/>
        <v>0</v>
      </c>
      <c r="AG348" s="188">
        <f t="shared" si="914"/>
        <v>0</v>
      </c>
      <c r="AH348" s="96">
        <f t="shared" si="915"/>
        <v>0</v>
      </c>
      <c r="AI348" s="96">
        <f t="shared" si="916"/>
        <v>0</v>
      </c>
      <c r="AJ348" s="176">
        <f t="shared" si="917"/>
        <v>0</v>
      </c>
      <c r="AK348" s="206"/>
      <c r="AL348" s="176">
        <f t="shared" si="918"/>
        <v>0</v>
      </c>
      <c r="AM348" s="243"/>
      <c r="AN348" s="176">
        <f t="shared" si="919"/>
        <v>0</v>
      </c>
      <c r="AO348" s="206"/>
      <c r="AP348" s="205">
        <f t="shared" si="920"/>
        <v>0</v>
      </c>
      <c r="AQ348" s="188">
        <f t="shared" si="921"/>
        <v>0</v>
      </c>
      <c r="AR348" s="96">
        <f t="shared" si="922"/>
        <v>0</v>
      </c>
      <c r="AS348" s="96"/>
      <c r="AT348" s="176">
        <f t="shared" si="923"/>
        <v>0</v>
      </c>
      <c r="AU348" s="206"/>
      <c r="AV348" s="176">
        <f t="shared" si="924"/>
        <v>0</v>
      </c>
      <c r="AW348" s="206"/>
      <c r="AX348" s="205">
        <f t="shared" si="925"/>
        <v>0</v>
      </c>
      <c r="AY348" s="188">
        <f t="shared" si="926"/>
        <v>0</v>
      </c>
      <c r="AZ348" s="96">
        <f t="shared" si="927"/>
        <v>0</v>
      </c>
      <c r="BA348" s="96">
        <f t="shared" si="928"/>
        <v>0</v>
      </c>
      <c r="BB348" s="96">
        <f t="shared" si="929"/>
        <v>0</v>
      </c>
      <c r="BC348" s="1" t="s">
        <v>1060</v>
      </c>
    </row>
    <row r="349" spans="1:55">
      <c r="A349" s="492">
        <v>180</v>
      </c>
      <c r="B349" s="13"/>
      <c r="C349" s="13"/>
      <c r="D349" s="13"/>
      <c r="E349" s="21" t="s">
        <v>1671</v>
      </c>
      <c r="F349" s="45" t="s">
        <v>1743</v>
      </c>
      <c r="G349" s="22" t="s">
        <v>1059</v>
      </c>
      <c r="H349" s="265" t="s">
        <v>358</v>
      </c>
      <c r="I349" s="54">
        <v>19.899999999999999</v>
      </c>
      <c r="J349" s="101"/>
      <c r="K349" s="54">
        <v>19.899999999999999</v>
      </c>
      <c r="L349" s="162"/>
      <c r="M349" s="54"/>
      <c r="N349" s="162"/>
      <c r="O349" s="54"/>
      <c r="P349" s="101"/>
      <c r="Q349" s="96">
        <f t="shared" si="826"/>
        <v>0</v>
      </c>
      <c r="R349" s="337">
        <f t="shared" si="827"/>
        <v>0</v>
      </c>
      <c r="S349" s="96"/>
      <c r="T349" s="96">
        <f t="shared" si="828"/>
        <v>0</v>
      </c>
      <c r="U349" s="96"/>
      <c r="V349" s="176">
        <f t="shared" si="829"/>
        <v>0</v>
      </c>
      <c r="W349" s="206"/>
      <c r="X349" s="205">
        <f t="shared" si="830"/>
        <v>0</v>
      </c>
      <c r="Y349" s="188">
        <f t="shared" si="831"/>
        <v>0</v>
      </c>
      <c r="Z349" s="176">
        <f t="shared" si="832"/>
        <v>0</v>
      </c>
      <c r="AA349" s="206"/>
      <c r="AB349" s="205">
        <f t="shared" si="833"/>
        <v>0</v>
      </c>
      <c r="AC349" s="206"/>
      <c r="AD349" s="176">
        <f t="shared" si="834"/>
        <v>0</v>
      </c>
      <c r="AE349" s="206"/>
      <c r="AF349" s="204">
        <f t="shared" si="835"/>
        <v>0</v>
      </c>
      <c r="AG349" s="188">
        <f t="shared" si="836"/>
        <v>0</v>
      </c>
      <c r="AH349" s="96">
        <f t="shared" si="837"/>
        <v>0</v>
      </c>
      <c r="AI349" s="96">
        <f t="shared" si="838"/>
        <v>0</v>
      </c>
      <c r="AJ349" s="176">
        <f t="shared" si="839"/>
        <v>0</v>
      </c>
      <c r="AK349" s="206"/>
      <c r="AL349" s="176">
        <f t="shared" si="840"/>
        <v>0</v>
      </c>
      <c r="AM349" s="243"/>
      <c r="AN349" s="176">
        <f t="shared" si="841"/>
        <v>0</v>
      </c>
      <c r="AO349" s="206"/>
      <c r="AP349" s="205">
        <f t="shared" si="842"/>
        <v>0</v>
      </c>
      <c r="AQ349" s="188">
        <f t="shared" si="843"/>
        <v>0</v>
      </c>
      <c r="AR349" s="96">
        <f t="shared" si="844"/>
        <v>0</v>
      </c>
      <c r="AS349" s="96"/>
      <c r="AT349" s="176">
        <f t="shared" si="845"/>
        <v>0</v>
      </c>
      <c r="AU349" s="206"/>
      <c r="AV349" s="176">
        <f t="shared" si="846"/>
        <v>0</v>
      </c>
      <c r="AW349" s="206"/>
      <c r="AX349" s="205">
        <f t="shared" si="847"/>
        <v>0</v>
      </c>
      <c r="AY349" s="188">
        <f t="shared" si="848"/>
        <v>0</v>
      </c>
      <c r="AZ349" s="96">
        <f t="shared" si="849"/>
        <v>0</v>
      </c>
      <c r="BA349" s="96">
        <f t="shared" si="850"/>
        <v>0</v>
      </c>
      <c r="BB349" s="96">
        <f t="shared" si="851"/>
        <v>0</v>
      </c>
      <c r="BC349" s="1" t="s">
        <v>1060</v>
      </c>
    </row>
    <row r="350" spans="1:55">
      <c r="A350" s="492">
        <v>179</v>
      </c>
      <c r="B350" s="13"/>
      <c r="C350" s="13"/>
      <c r="D350" s="13"/>
      <c r="E350" s="21" t="s">
        <v>1671</v>
      </c>
      <c r="F350" s="45" t="s">
        <v>1744</v>
      </c>
      <c r="G350" s="22" t="s">
        <v>1059</v>
      </c>
      <c r="H350" s="265" t="s">
        <v>358</v>
      </c>
      <c r="I350" s="54">
        <v>19.899999999999999</v>
      </c>
      <c r="J350" s="101"/>
      <c r="K350" s="54">
        <v>19.899999999999999</v>
      </c>
      <c r="L350" s="162"/>
      <c r="M350" s="54"/>
      <c r="N350" s="162"/>
      <c r="O350" s="54"/>
      <c r="P350" s="101"/>
      <c r="Q350" s="96">
        <f t="shared" si="826"/>
        <v>0.3</v>
      </c>
      <c r="R350" s="337">
        <f t="shared" si="827"/>
        <v>8.9691488999999986</v>
      </c>
      <c r="S350" s="96"/>
      <c r="T350" s="96">
        <f t="shared" si="828"/>
        <v>0</v>
      </c>
      <c r="U350" s="96"/>
      <c r="V350" s="176">
        <f t="shared" si="829"/>
        <v>0</v>
      </c>
      <c r="W350" s="206">
        <v>0.3</v>
      </c>
      <c r="X350" s="205">
        <f t="shared" si="830"/>
        <v>8.9691488999999986</v>
      </c>
      <c r="Y350" s="188">
        <f t="shared" si="831"/>
        <v>0.3</v>
      </c>
      <c r="Z350" s="176">
        <f t="shared" si="832"/>
        <v>8.9691488999999986</v>
      </c>
      <c r="AA350" s="206"/>
      <c r="AB350" s="205">
        <f t="shared" si="833"/>
        <v>0</v>
      </c>
      <c r="AC350" s="206"/>
      <c r="AD350" s="176">
        <f t="shared" si="834"/>
        <v>0</v>
      </c>
      <c r="AE350" s="206"/>
      <c r="AF350" s="204">
        <f t="shared" si="835"/>
        <v>0</v>
      </c>
      <c r="AG350" s="188">
        <f t="shared" si="836"/>
        <v>0</v>
      </c>
      <c r="AH350" s="96">
        <f t="shared" si="837"/>
        <v>0</v>
      </c>
      <c r="AI350" s="96">
        <f t="shared" si="838"/>
        <v>0.3</v>
      </c>
      <c r="AJ350" s="176">
        <f t="shared" si="839"/>
        <v>8.9691488999999986</v>
      </c>
      <c r="AK350" s="206"/>
      <c r="AL350" s="176">
        <f t="shared" si="840"/>
        <v>0</v>
      </c>
      <c r="AM350" s="243"/>
      <c r="AN350" s="176">
        <f t="shared" si="841"/>
        <v>0</v>
      </c>
      <c r="AO350" s="206"/>
      <c r="AP350" s="205">
        <f t="shared" si="842"/>
        <v>0</v>
      </c>
      <c r="AQ350" s="188">
        <f t="shared" si="843"/>
        <v>0</v>
      </c>
      <c r="AR350" s="96">
        <f t="shared" si="844"/>
        <v>0</v>
      </c>
      <c r="AS350" s="96"/>
      <c r="AT350" s="176">
        <f t="shared" si="845"/>
        <v>0</v>
      </c>
      <c r="AU350" s="206"/>
      <c r="AV350" s="176">
        <f t="shared" si="846"/>
        <v>0</v>
      </c>
      <c r="AW350" s="206"/>
      <c r="AX350" s="205">
        <f t="shared" si="847"/>
        <v>0</v>
      </c>
      <c r="AY350" s="188">
        <f t="shared" si="848"/>
        <v>0</v>
      </c>
      <c r="AZ350" s="96">
        <f t="shared" si="849"/>
        <v>0</v>
      </c>
      <c r="BA350" s="96">
        <f t="shared" si="850"/>
        <v>0</v>
      </c>
      <c r="BB350" s="96">
        <f t="shared" si="851"/>
        <v>0</v>
      </c>
      <c r="BC350" s="1" t="s">
        <v>1060</v>
      </c>
    </row>
    <row r="351" spans="1:55">
      <c r="A351" s="492">
        <v>180</v>
      </c>
      <c r="B351" s="13"/>
      <c r="C351" s="13"/>
      <c r="D351" s="13"/>
      <c r="E351" s="21" t="s">
        <v>1671</v>
      </c>
      <c r="F351" s="45" t="s">
        <v>1745</v>
      </c>
      <c r="G351" s="22" t="s">
        <v>1059</v>
      </c>
      <c r="H351" s="265" t="s">
        <v>358</v>
      </c>
      <c r="I351" s="54">
        <v>19.899999999999999</v>
      </c>
      <c r="J351" s="101"/>
      <c r="K351" s="54">
        <v>19.899999999999999</v>
      </c>
      <c r="L351" s="162"/>
      <c r="M351" s="54"/>
      <c r="N351" s="162"/>
      <c r="O351" s="54"/>
      <c r="P351" s="101"/>
      <c r="Q351" s="96">
        <f t="shared" si="826"/>
        <v>0</v>
      </c>
      <c r="R351" s="337">
        <f t="shared" si="827"/>
        <v>0</v>
      </c>
      <c r="S351" s="96"/>
      <c r="T351" s="96">
        <f t="shared" si="828"/>
        <v>0</v>
      </c>
      <c r="U351" s="96"/>
      <c r="V351" s="176">
        <f t="shared" si="829"/>
        <v>0</v>
      </c>
      <c r="W351" s="206"/>
      <c r="X351" s="205">
        <f t="shared" si="830"/>
        <v>0</v>
      </c>
      <c r="Y351" s="188">
        <f t="shared" si="831"/>
        <v>0</v>
      </c>
      <c r="Z351" s="176">
        <f t="shared" si="832"/>
        <v>0</v>
      </c>
      <c r="AA351" s="206"/>
      <c r="AB351" s="205">
        <f t="shared" si="833"/>
        <v>0</v>
      </c>
      <c r="AC351" s="206"/>
      <c r="AD351" s="176">
        <f t="shared" si="834"/>
        <v>0</v>
      </c>
      <c r="AE351" s="206"/>
      <c r="AF351" s="204">
        <f t="shared" si="835"/>
        <v>0</v>
      </c>
      <c r="AG351" s="188">
        <f t="shared" si="836"/>
        <v>0</v>
      </c>
      <c r="AH351" s="96">
        <f t="shared" si="837"/>
        <v>0</v>
      </c>
      <c r="AI351" s="96">
        <f t="shared" si="838"/>
        <v>0</v>
      </c>
      <c r="AJ351" s="176">
        <f t="shared" si="839"/>
        <v>0</v>
      </c>
      <c r="AK351" s="206"/>
      <c r="AL351" s="176">
        <f t="shared" si="840"/>
        <v>0</v>
      </c>
      <c r="AM351" s="243"/>
      <c r="AN351" s="176">
        <f t="shared" si="841"/>
        <v>0</v>
      </c>
      <c r="AO351" s="206"/>
      <c r="AP351" s="205">
        <f t="shared" si="842"/>
        <v>0</v>
      </c>
      <c r="AQ351" s="188">
        <f t="shared" si="843"/>
        <v>0</v>
      </c>
      <c r="AR351" s="96">
        <f t="shared" si="844"/>
        <v>0</v>
      </c>
      <c r="AS351" s="96"/>
      <c r="AT351" s="176">
        <f t="shared" si="845"/>
        <v>0</v>
      </c>
      <c r="AU351" s="206"/>
      <c r="AV351" s="176">
        <f t="shared" si="846"/>
        <v>0</v>
      </c>
      <c r="AW351" s="206"/>
      <c r="AX351" s="205">
        <f t="shared" si="847"/>
        <v>0</v>
      </c>
      <c r="AY351" s="188">
        <f t="shared" si="848"/>
        <v>0</v>
      </c>
      <c r="AZ351" s="96">
        <f t="shared" si="849"/>
        <v>0</v>
      </c>
      <c r="BA351" s="96">
        <f t="shared" si="850"/>
        <v>0</v>
      </c>
      <c r="BB351" s="96">
        <f t="shared" si="851"/>
        <v>0</v>
      </c>
      <c r="BC351" s="1" t="s">
        <v>1060</v>
      </c>
    </row>
    <row r="352" spans="1:55">
      <c r="A352" s="492">
        <v>202</v>
      </c>
      <c r="B352" s="52" t="s">
        <v>653</v>
      </c>
      <c r="C352" s="52" t="s">
        <v>654</v>
      </c>
      <c r="D352" s="52" t="s">
        <v>655</v>
      </c>
      <c r="E352" s="89" t="s">
        <v>656</v>
      </c>
      <c r="F352" s="424" t="s">
        <v>657</v>
      </c>
      <c r="G352" s="424" t="s">
        <v>1059</v>
      </c>
      <c r="H352" s="265" t="s">
        <v>357</v>
      </c>
      <c r="I352" s="54">
        <v>6.94</v>
      </c>
      <c r="J352" s="101"/>
      <c r="K352" s="54">
        <v>6.94</v>
      </c>
      <c r="L352" s="162"/>
      <c r="M352" s="54"/>
      <c r="N352" s="162"/>
      <c r="O352" s="54"/>
      <c r="P352" s="101"/>
      <c r="Q352" s="96">
        <f t="shared" si="826"/>
        <v>0</v>
      </c>
      <c r="R352" s="337">
        <f t="shared" si="827"/>
        <v>0</v>
      </c>
      <c r="S352" s="96"/>
      <c r="T352" s="96">
        <f t="shared" si="828"/>
        <v>0</v>
      </c>
      <c r="U352" s="96"/>
      <c r="V352" s="176">
        <f t="shared" si="829"/>
        <v>0</v>
      </c>
      <c r="W352" s="206"/>
      <c r="X352" s="205">
        <f t="shared" si="830"/>
        <v>0</v>
      </c>
      <c r="Y352" s="188">
        <f t="shared" si="831"/>
        <v>0</v>
      </c>
      <c r="Z352" s="176">
        <f t="shared" si="832"/>
        <v>0</v>
      </c>
      <c r="AA352" s="206"/>
      <c r="AB352" s="205">
        <f t="shared" si="833"/>
        <v>0</v>
      </c>
      <c r="AC352" s="206"/>
      <c r="AD352" s="176">
        <f t="shared" si="834"/>
        <v>0</v>
      </c>
      <c r="AE352" s="206"/>
      <c r="AF352" s="204">
        <f t="shared" si="835"/>
        <v>0</v>
      </c>
      <c r="AG352" s="188">
        <f t="shared" si="836"/>
        <v>0</v>
      </c>
      <c r="AH352" s="96">
        <f t="shared" si="837"/>
        <v>0</v>
      </c>
      <c r="AI352" s="96">
        <f t="shared" si="838"/>
        <v>0</v>
      </c>
      <c r="AJ352" s="176">
        <f t="shared" si="839"/>
        <v>0</v>
      </c>
      <c r="AK352" s="206"/>
      <c r="AL352" s="176">
        <f t="shared" si="840"/>
        <v>0</v>
      </c>
      <c r="AM352" s="243"/>
      <c r="AN352" s="176">
        <f t="shared" si="841"/>
        <v>0</v>
      </c>
      <c r="AO352" s="206"/>
      <c r="AP352" s="205">
        <f t="shared" si="842"/>
        <v>0</v>
      </c>
      <c r="AQ352" s="188">
        <f t="shared" si="843"/>
        <v>0</v>
      </c>
      <c r="AR352" s="96">
        <f t="shared" si="844"/>
        <v>0</v>
      </c>
      <c r="AS352" s="96"/>
      <c r="AT352" s="176">
        <f t="shared" si="845"/>
        <v>0</v>
      </c>
      <c r="AU352" s="206"/>
      <c r="AV352" s="176">
        <f t="shared" si="846"/>
        <v>0</v>
      </c>
      <c r="AW352" s="206"/>
      <c r="AX352" s="205">
        <f t="shared" si="847"/>
        <v>0</v>
      </c>
      <c r="AY352" s="188">
        <f t="shared" si="848"/>
        <v>0</v>
      </c>
      <c r="AZ352" s="96">
        <f t="shared" si="849"/>
        <v>0</v>
      </c>
      <c r="BA352" s="96">
        <f t="shared" si="850"/>
        <v>0</v>
      </c>
      <c r="BB352" s="96">
        <f t="shared" si="851"/>
        <v>0</v>
      </c>
      <c r="BC352" s="1" t="s">
        <v>1715</v>
      </c>
    </row>
    <row r="353" spans="1:55">
      <c r="A353" s="492">
        <v>203</v>
      </c>
      <c r="B353" s="13"/>
      <c r="C353" s="13"/>
      <c r="D353" s="13"/>
      <c r="E353" s="433" t="s">
        <v>894</v>
      </c>
      <c r="F353" s="424" t="s">
        <v>895</v>
      </c>
      <c r="G353" s="424" t="s">
        <v>1059</v>
      </c>
      <c r="H353" s="265" t="s">
        <v>357</v>
      </c>
      <c r="I353" s="54">
        <v>7.82</v>
      </c>
      <c r="J353" s="101"/>
      <c r="K353" s="54">
        <v>7.82</v>
      </c>
      <c r="L353" s="162"/>
      <c r="M353" s="54"/>
      <c r="N353" s="162"/>
      <c r="O353" s="54"/>
      <c r="P353" s="101"/>
      <c r="Q353" s="96">
        <f t="shared" si="826"/>
        <v>0</v>
      </c>
      <c r="R353" s="337">
        <f t="shared" si="827"/>
        <v>0</v>
      </c>
      <c r="S353" s="96"/>
      <c r="T353" s="96">
        <f t="shared" si="828"/>
        <v>0</v>
      </c>
      <c r="U353" s="96"/>
      <c r="V353" s="176">
        <f t="shared" si="829"/>
        <v>0</v>
      </c>
      <c r="W353" s="206"/>
      <c r="X353" s="205">
        <f t="shared" si="830"/>
        <v>0</v>
      </c>
      <c r="Y353" s="188">
        <f t="shared" si="831"/>
        <v>0</v>
      </c>
      <c r="Z353" s="176">
        <f t="shared" si="832"/>
        <v>0</v>
      </c>
      <c r="AA353" s="206"/>
      <c r="AB353" s="205">
        <f t="shared" si="833"/>
        <v>0</v>
      </c>
      <c r="AC353" s="206"/>
      <c r="AD353" s="176">
        <f t="shared" si="834"/>
        <v>0</v>
      </c>
      <c r="AE353" s="206"/>
      <c r="AF353" s="204">
        <f t="shared" si="835"/>
        <v>0</v>
      </c>
      <c r="AG353" s="188">
        <f t="shared" si="836"/>
        <v>0</v>
      </c>
      <c r="AH353" s="96">
        <f t="shared" si="837"/>
        <v>0</v>
      </c>
      <c r="AI353" s="96">
        <f t="shared" si="838"/>
        <v>0</v>
      </c>
      <c r="AJ353" s="176">
        <f t="shared" si="839"/>
        <v>0</v>
      </c>
      <c r="AK353" s="206"/>
      <c r="AL353" s="176">
        <f t="shared" si="840"/>
        <v>0</v>
      </c>
      <c r="AM353" s="243"/>
      <c r="AN353" s="176">
        <f t="shared" si="841"/>
        <v>0</v>
      </c>
      <c r="AO353" s="206"/>
      <c r="AP353" s="205">
        <f t="shared" si="842"/>
        <v>0</v>
      </c>
      <c r="AQ353" s="188">
        <f t="shared" si="843"/>
        <v>0</v>
      </c>
      <c r="AR353" s="96">
        <f t="shared" si="844"/>
        <v>0</v>
      </c>
      <c r="AS353" s="96"/>
      <c r="AT353" s="176">
        <f t="shared" si="845"/>
        <v>0</v>
      </c>
      <c r="AU353" s="206"/>
      <c r="AV353" s="176">
        <f t="shared" si="846"/>
        <v>0</v>
      </c>
      <c r="AW353" s="206"/>
      <c r="AX353" s="205">
        <f t="shared" si="847"/>
        <v>0</v>
      </c>
      <c r="AY353" s="188">
        <f t="shared" si="848"/>
        <v>0</v>
      </c>
      <c r="AZ353" s="96">
        <f t="shared" si="849"/>
        <v>0</v>
      </c>
      <c r="BA353" s="96">
        <f t="shared" si="850"/>
        <v>0</v>
      </c>
      <c r="BB353" s="96">
        <f t="shared" si="851"/>
        <v>0</v>
      </c>
      <c r="BC353" s="1" t="s">
        <v>1715</v>
      </c>
    </row>
    <row r="354" spans="1:55">
      <c r="A354" s="492">
        <v>204</v>
      </c>
      <c r="B354" s="13"/>
      <c r="C354" s="13"/>
      <c r="D354" s="13"/>
      <c r="E354" s="21" t="s">
        <v>658</v>
      </c>
      <c r="F354" s="22" t="s">
        <v>659</v>
      </c>
      <c r="G354" s="45" t="s">
        <v>1059</v>
      </c>
      <c r="H354" s="265" t="s">
        <v>357</v>
      </c>
      <c r="I354" s="66">
        <v>7.56</v>
      </c>
      <c r="J354" s="101"/>
      <c r="K354" s="66">
        <v>7.56</v>
      </c>
      <c r="L354" s="162"/>
      <c r="M354" s="66"/>
      <c r="N354" s="162"/>
      <c r="O354" s="66"/>
      <c r="P354" s="101"/>
      <c r="Q354" s="96">
        <f t="shared" si="826"/>
        <v>0</v>
      </c>
      <c r="R354" s="337">
        <f t="shared" si="827"/>
        <v>0</v>
      </c>
      <c r="S354" s="96"/>
      <c r="T354" s="96">
        <f t="shared" si="828"/>
        <v>0</v>
      </c>
      <c r="U354" s="96"/>
      <c r="V354" s="176">
        <f t="shared" si="829"/>
        <v>0</v>
      </c>
      <c r="W354" s="206"/>
      <c r="X354" s="205">
        <f t="shared" si="830"/>
        <v>0</v>
      </c>
      <c r="Y354" s="188">
        <f t="shared" si="831"/>
        <v>0</v>
      </c>
      <c r="Z354" s="176">
        <f t="shared" si="832"/>
        <v>0</v>
      </c>
      <c r="AA354" s="206"/>
      <c r="AB354" s="205">
        <f t="shared" si="833"/>
        <v>0</v>
      </c>
      <c r="AC354" s="206"/>
      <c r="AD354" s="176">
        <f t="shared" si="834"/>
        <v>0</v>
      </c>
      <c r="AE354" s="206"/>
      <c r="AF354" s="204">
        <f t="shared" si="835"/>
        <v>0</v>
      </c>
      <c r="AG354" s="188">
        <f t="shared" si="836"/>
        <v>0</v>
      </c>
      <c r="AH354" s="96">
        <f t="shared" si="837"/>
        <v>0</v>
      </c>
      <c r="AI354" s="96">
        <f t="shared" si="838"/>
        <v>0</v>
      </c>
      <c r="AJ354" s="176">
        <f t="shared" si="839"/>
        <v>0</v>
      </c>
      <c r="AK354" s="206"/>
      <c r="AL354" s="176">
        <f t="shared" si="840"/>
        <v>0</v>
      </c>
      <c r="AM354" s="243"/>
      <c r="AN354" s="176">
        <f t="shared" si="841"/>
        <v>0</v>
      </c>
      <c r="AO354" s="206"/>
      <c r="AP354" s="205">
        <f t="shared" si="842"/>
        <v>0</v>
      </c>
      <c r="AQ354" s="188">
        <f t="shared" si="843"/>
        <v>0</v>
      </c>
      <c r="AR354" s="96">
        <f t="shared" si="844"/>
        <v>0</v>
      </c>
      <c r="AS354" s="96"/>
      <c r="AT354" s="176">
        <f t="shared" si="845"/>
        <v>0</v>
      </c>
      <c r="AU354" s="206"/>
      <c r="AV354" s="176">
        <f t="shared" si="846"/>
        <v>0</v>
      </c>
      <c r="AW354" s="206"/>
      <c r="AX354" s="205">
        <f t="shared" si="847"/>
        <v>0</v>
      </c>
      <c r="AY354" s="188">
        <f t="shared" si="848"/>
        <v>0</v>
      </c>
      <c r="AZ354" s="96">
        <f t="shared" si="849"/>
        <v>0</v>
      </c>
      <c r="BA354" s="96">
        <f t="shared" si="850"/>
        <v>0</v>
      </c>
      <c r="BB354" s="96">
        <f t="shared" si="851"/>
        <v>0</v>
      </c>
      <c r="BC354" s="1" t="s">
        <v>1715</v>
      </c>
    </row>
    <row r="355" spans="1:55">
      <c r="A355" s="492">
        <v>204</v>
      </c>
      <c r="B355" s="13"/>
      <c r="C355" s="13"/>
      <c r="D355" s="13"/>
      <c r="E355" s="21" t="s">
        <v>1677</v>
      </c>
      <c r="F355" s="45" t="s">
        <v>975</v>
      </c>
      <c r="G355" s="45" t="s">
        <v>1059</v>
      </c>
      <c r="H355" s="265" t="s">
        <v>357</v>
      </c>
      <c r="I355" s="66">
        <v>6.12</v>
      </c>
      <c r="J355" s="101"/>
      <c r="K355" s="66">
        <v>6.12</v>
      </c>
      <c r="L355" s="162"/>
      <c r="M355" s="66"/>
      <c r="N355" s="162"/>
      <c r="O355" s="66"/>
      <c r="P355" s="101"/>
      <c r="Q355" s="96">
        <f t="shared" si="826"/>
        <v>57.472000000000001</v>
      </c>
      <c r="R355" s="337">
        <f t="shared" si="827"/>
        <v>510.80071795200001</v>
      </c>
      <c r="S355" s="96">
        <v>20.608000000000001</v>
      </c>
      <c r="T355" s="96">
        <f t="shared" si="828"/>
        <v>182.07452390400002</v>
      </c>
      <c r="U355" s="96">
        <v>26.047999999999998</v>
      </c>
      <c r="V355" s="176">
        <f t="shared" si="829"/>
        <v>229.27843445760001</v>
      </c>
      <c r="W355" s="206">
        <v>10.816000000000001</v>
      </c>
      <c r="X355" s="205">
        <f t="shared" si="830"/>
        <v>99.447759590400011</v>
      </c>
      <c r="Y355" s="188">
        <f t="shared" si="831"/>
        <v>57.472000000000001</v>
      </c>
      <c r="Z355" s="176">
        <f t="shared" si="832"/>
        <v>510.80071795200001</v>
      </c>
      <c r="AA355" s="206"/>
      <c r="AB355" s="205">
        <f t="shared" si="833"/>
        <v>0</v>
      </c>
      <c r="AC355" s="206"/>
      <c r="AD355" s="176">
        <f t="shared" si="834"/>
        <v>0</v>
      </c>
      <c r="AE355" s="206"/>
      <c r="AF355" s="204">
        <f t="shared" si="835"/>
        <v>0</v>
      </c>
      <c r="AG355" s="188">
        <f t="shared" si="836"/>
        <v>0</v>
      </c>
      <c r="AH355" s="96">
        <f t="shared" si="837"/>
        <v>0</v>
      </c>
      <c r="AI355" s="96">
        <f t="shared" si="838"/>
        <v>57.472000000000001</v>
      </c>
      <c r="AJ355" s="176">
        <f t="shared" si="839"/>
        <v>510.80071795200001</v>
      </c>
      <c r="AK355" s="206"/>
      <c r="AL355" s="176">
        <f>M355*AK355*$AL$2/1000</f>
        <v>0</v>
      </c>
      <c r="AM355" s="243"/>
      <c r="AN355" s="176">
        <f t="shared" si="841"/>
        <v>0</v>
      </c>
      <c r="AO355" s="206"/>
      <c r="AP355" s="205">
        <f t="shared" si="842"/>
        <v>0</v>
      </c>
      <c r="AQ355" s="188">
        <f t="shared" si="843"/>
        <v>0</v>
      </c>
      <c r="AR355" s="96">
        <f t="shared" si="844"/>
        <v>0</v>
      </c>
      <c r="AS355" s="96"/>
      <c r="AT355" s="176">
        <f t="shared" si="845"/>
        <v>0</v>
      </c>
      <c r="AU355" s="206"/>
      <c r="AV355" s="176">
        <f t="shared" si="846"/>
        <v>0</v>
      </c>
      <c r="AW355" s="206"/>
      <c r="AX355" s="205">
        <f t="shared" si="847"/>
        <v>0</v>
      </c>
      <c r="AY355" s="188">
        <f t="shared" si="848"/>
        <v>0</v>
      </c>
      <c r="AZ355" s="96">
        <f t="shared" si="849"/>
        <v>0</v>
      </c>
      <c r="BA355" s="96">
        <f t="shared" si="850"/>
        <v>0</v>
      </c>
      <c r="BB355" s="96">
        <f t="shared" si="851"/>
        <v>0</v>
      </c>
      <c r="BC355" s="1" t="s">
        <v>1717</v>
      </c>
    </row>
    <row r="356" spans="1:55">
      <c r="A356" s="492">
        <v>204</v>
      </c>
      <c r="B356" s="13"/>
      <c r="C356" s="13"/>
      <c r="D356" s="13"/>
      <c r="E356" s="21" t="s">
        <v>1578</v>
      </c>
      <c r="F356" s="22" t="s">
        <v>1579</v>
      </c>
      <c r="G356" s="45" t="s">
        <v>1059</v>
      </c>
      <c r="H356" s="265" t="s">
        <v>357</v>
      </c>
      <c r="I356" s="66">
        <v>6.6</v>
      </c>
      <c r="J356" s="101"/>
      <c r="K356" s="66">
        <v>6.6</v>
      </c>
      <c r="L356" s="162"/>
      <c r="M356" s="66"/>
      <c r="N356" s="162"/>
      <c r="O356" s="66"/>
      <c r="P356" s="101"/>
      <c r="Q356" s="96">
        <f t="shared" si="826"/>
        <v>62.400000000000006</v>
      </c>
      <c r="R356" s="337">
        <f t="shared" si="827"/>
        <v>604.57445136000001</v>
      </c>
      <c r="S356" s="96">
        <v>12.88</v>
      </c>
      <c r="T356" s="96">
        <f t="shared" si="828"/>
        <v>122.72179920000001</v>
      </c>
      <c r="U356" s="96">
        <v>17.600000000000001</v>
      </c>
      <c r="V356" s="176">
        <f t="shared" si="829"/>
        <v>167.06828159999998</v>
      </c>
      <c r="W356" s="206">
        <v>19.84</v>
      </c>
      <c r="X356" s="205">
        <f t="shared" si="830"/>
        <v>196.72633727999997</v>
      </c>
      <c r="Y356" s="188">
        <f t="shared" si="831"/>
        <v>50.320000000000007</v>
      </c>
      <c r="Z356" s="176">
        <f t="shared" si="832"/>
        <v>486.51641807999999</v>
      </c>
      <c r="AA356" s="206">
        <v>12.08</v>
      </c>
      <c r="AB356" s="205">
        <f t="shared" si="833"/>
        <v>118.05803327999999</v>
      </c>
      <c r="AC356" s="206"/>
      <c r="AD356" s="176">
        <f t="shared" si="834"/>
        <v>0</v>
      </c>
      <c r="AE356" s="206"/>
      <c r="AF356" s="204">
        <f t="shared" si="835"/>
        <v>0</v>
      </c>
      <c r="AG356" s="188">
        <f t="shared" si="836"/>
        <v>12.08</v>
      </c>
      <c r="AH356" s="96">
        <f t="shared" si="837"/>
        <v>118.05803327999999</v>
      </c>
      <c r="AI356" s="96">
        <f t="shared" si="838"/>
        <v>62.400000000000006</v>
      </c>
      <c r="AJ356" s="176">
        <f t="shared" si="839"/>
        <v>604.57445136000001</v>
      </c>
      <c r="AK356" s="206"/>
      <c r="AL356" s="176">
        <f t="shared" si="840"/>
        <v>0</v>
      </c>
      <c r="AM356" s="243"/>
      <c r="AN356" s="176">
        <f t="shared" si="841"/>
        <v>0</v>
      </c>
      <c r="AO356" s="206"/>
      <c r="AP356" s="205">
        <f t="shared" si="842"/>
        <v>0</v>
      </c>
      <c r="AQ356" s="188">
        <f t="shared" si="843"/>
        <v>0</v>
      </c>
      <c r="AR356" s="96">
        <f t="shared" si="844"/>
        <v>0</v>
      </c>
      <c r="AS356" s="96"/>
      <c r="AT356" s="176">
        <f t="shared" si="845"/>
        <v>0</v>
      </c>
      <c r="AU356" s="206"/>
      <c r="AV356" s="176">
        <f t="shared" si="846"/>
        <v>0</v>
      </c>
      <c r="AW356" s="206"/>
      <c r="AX356" s="205">
        <f t="shared" si="847"/>
        <v>0</v>
      </c>
      <c r="AY356" s="188">
        <f t="shared" si="848"/>
        <v>0</v>
      </c>
      <c r="AZ356" s="96">
        <f t="shared" si="849"/>
        <v>0</v>
      </c>
      <c r="BA356" s="96">
        <f t="shared" si="850"/>
        <v>0</v>
      </c>
      <c r="BB356" s="96">
        <f t="shared" si="851"/>
        <v>0</v>
      </c>
      <c r="BC356" s="1" t="s">
        <v>1717</v>
      </c>
    </row>
    <row r="357" spans="1:55">
      <c r="A357" s="492">
        <v>221</v>
      </c>
      <c r="B357" s="13"/>
      <c r="C357" s="13"/>
      <c r="D357" s="13"/>
      <c r="E357" s="89" t="s">
        <v>1678</v>
      </c>
      <c r="F357" s="90" t="s">
        <v>1679</v>
      </c>
      <c r="G357" s="22" t="s">
        <v>1060</v>
      </c>
      <c r="H357" s="265" t="s">
        <v>357</v>
      </c>
      <c r="I357" s="54">
        <v>7.05</v>
      </c>
      <c r="J357" s="101"/>
      <c r="K357" s="54">
        <v>7.05</v>
      </c>
      <c r="L357" s="162"/>
      <c r="M357" s="54"/>
      <c r="N357" s="162"/>
      <c r="O357" s="54"/>
      <c r="P357" s="101"/>
      <c r="Q357" s="96">
        <f t="shared" si="826"/>
        <v>4.7240000000000002</v>
      </c>
      <c r="R357" s="337">
        <f t="shared" si="827"/>
        <v>49.564095809999998</v>
      </c>
      <c r="S357" s="96">
        <v>0.40400000000000003</v>
      </c>
      <c r="T357" s="96">
        <f t="shared" si="828"/>
        <v>4.1118039300000007</v>
      </c>
      <c r="U357" s="96">
        <v>0.16</v>
      </c>
      <c r="V357" s="176">
        <f t="shared" si="829"/>
        <v>1.6223572799999999</v>
      </c>
      <c r="W357" s="206">
        <v>2.64</v>
      </c>
      <c r="X357" s="205">
        <f t="shared" si="830"/>
        <v>27.96211044</v>
      </c>
      <c r="Y357" s="188">
        <f t="shared" si="831"/>
        <v>3.2040000000000002</v>
      </c>
      <c r="Z357" s="176">
        <f t="shared" si="832"/>
        <v>33.69627165</v>
      </c>
      <c r="AA357" s="206">
        <v>1.52</v>
      </c>
      <c r="AB357" s="205">
        <f t="shared" si="833"/>
        <v>15.867824159999998</v>
      </c>
      <c r="AC357" s="206"/>
      <c r="AD357" s="176">
        <f t="shared" si="834"/>
        <v>0</v>
      </c>
      <c r="AE357" s="206"/>
      <c r="AF357" s="204">
        <f t="shared" si="835"/>
        <v>0</v>
      </c>
      <c r="AG357" s="188">
        <f t="shared" si="836"/>
        <v>1.52</v>
      </c>
      <c r="AH357" s="96">
        <f t="shared" si="837"/>
        <v>15.867824159999998</v>
      </c>
      <c r="AI357" s="96">
        <f t="shared" si="838"/>
        <v>4.7240000000000002</v>
      </c>
      <c r="AJ357" s="176">
        <f t="shared" si="839"/>
        <v>49.564095809999998</v>
      </c>
      <c r="AK357" s="206"/>
      <c r="AL357" s="176">
        <f t="shared" si="840"/>
        <v>0</v>
      </c>
      <c r="AM357" s="243"/>
      <c r="AN357" s="176">
        <f t="shared" si="841"/>
        <v>0</v>
      </c>
      <c r="AO357" s="206"/>
      <c r="AP357" s="205">
        <f t="shared" si="842"/>
        <v>0</v>
      </c>
      <c r="AQ357" s="188">
        <f t="shared" si="843"/>
        <v>0</v>
      </c>
      <c r="AR357" s="96">
        <f t="shared" si="844"/>
        <v>0</v>
      </c>
      <c r="AS357" s="96"/>
      <c r="AT357" s="176">
        <f t="shared" si="845"/>
        <v>0</v>
      </c>
      <c r="AU357" s="206"/>
      <c r="AV357" s="176">
        <f t="shared" si="846"/>
        <v>0</v>
      </c>
      <c r="AW357" s="206"/>
      <c r="AX357" s="205">
        <f t="shared" si="847"/>
        <v>0</v>
      </c>
      <c r="AY357" s="188">
        <f t="shared" si="848"/>
        <v>0</v>
      </c>
      <c r="AZ357" s="96">
        <f t="shared" si="849"/>
        <v>0</v>
      </c>
      <c r="BA357" s="96">
        <f t="shared" si="850"/>
        <v>0</v>
      </c>
      <c r="BB357" s="96">
        <f t="shared" si="851"/>
        <v>0</v>
      </c>
      <c r="BC357" s="1" t="s">
        <v>1717</v>
      </c>
    </row>
    <row r="358" spans="1:55">
      <c r="A358" s="492">
        <v>206</v>
      </c>
      <c r="B358" s="13"/>
      <c r="C358" s="13"/>
      <c r="D358" s="13"/>
      <c r="E358" s="433" t="s">
        <v>963</v>
      </c>
      <c r="F358" s="424" t="s">
        <v>964</v>
      </c>
      <c r="G358" s="424" t="s">
        <v>1056</v>
      </c>
      <c r="H358" s="265" t="s">
        <v>358</v>
      </c>
      <c r="I358" s="54">
        <v>7.9</v>
      </c>
      <c r="J358" s="101"/>
      <c r="K358" s="54">
        <v>7.9</v>
      </c>
      <c r="L358" s="162"/>
      <c r="M358" s="54"/>
      <c r="N358" s="162"/>
      <c r="O358" s="54"/>
      <c r="P358" s="101"/>
      <c r="Q358" s="96">
        <f t="shared" si="826"/>
        <v>6</v>
      </c>
      <c r="R358" s="337">
        <f t="shared" si="827"/>
        <v>71.212338000000003</v>
      </c>
      <c r="S358" s="96"/>
      <c r="T358" s="96">
        <f t="shared" si="828"/>
        <v>0</v>
      </c>
      <c r="U358" s="96"/>
      <c r="V358" s="176">
        <f t="shared" si="829"/>
        <v>0</v>
      </c>
      <c r="W358" s="206">
        <v>6</v>
      </c>
      <c r="X358" s="205">
        <f t="shared" si="830"/>
        <v>71.212338000000003</v>
      </c>
      <c r="Y358" s="188">
        <f t="shared" si="831"/>
        <v>6</v>
      </c>
      <c r="Z358" s="176">
        <f t="shared" si="832"/>
        <v>71.212338000000003</v>
      </c>
      <c r="AA358" s="206"/>
      <c r="AB358" s="205">
        <f t="shared" si="833"/>
        <v>0</v>
      </c>
      <c r="AC358" s="206"/>
      <c r="AD358" s="176">
        <f t="shared" si="834"/>
        <v>0</v>
      </c>
      <c r="AE358" s="206"/>
      <c r="AF358" s="204">
        <f t="shared" si="835"/>
        <v>0</v>
      </c>
      <c r="AG358" s="188">
        <f t="shared" si="836"/>
        <v>0</v>
      </c>
      <c r="AH358" s="96">
        <f t="shared" si="837"/>
        <v>0</v>
      </c>
      <c r="AI358" s="96">
        <f t="shared" si="838"/>
        <v>6</v>
      </c>
      <c r="AJ358" s="176">
        <f t="shared" si="839"/>
        <v>71.212338000000003</v>
      </c>
      <c r="AK358" s="206"/>
      <c r="AL358" s="176">
        <f t="shared" si="840"/>
        <v>0</v>
      </c>
      <c r="AM358" s="243"/>
      <c r="AN358" s="176">
        <f t="shared" si="841"/>
        <v>0</v>
      </c>
      <c r="AO358" s="206"/>
      <c r="AP358" s="205">
        <f t="shared" si="842"/>
        <v>0</v>
      </c>
      <c r="AQ358" s="188">
        <f t="shared" si="843"/>
        <v>0</v>
      </c>
      <c r="AR358" s="96">
        <f t="shared" si="844"/>
        <v>0</v>
      </c>
      <c r="AS358" s="96"/>
      <c r="AT358" s="176">
        <f t="shared" si="845"/>
        <v>0</v>
      </c>
      <c r="AU358" s="206"/>
      <c r="AV358" s="176">
        <f t="shared" si="846"/>
        <v>0</v>
      </c>
      <c r="AW358" s="206"/>
      <c r="AX358" s="205">
        <f t="shared" si="847"/>
        <v>0</v>
      </c>
      <c r="AY358" s="188">
        <f t="shared" si="848"/>
        <v>0</v>
      </c>
      <c r="AZ358" s="96">
        <f t="shared" si="849"/>
        <v>0</v>
      </c>
      <c r="BA358" s="96">
        <f t="shared" si="850"/>
        <v>0</v>
      </c>
      <c r="BB358" s="96">
        <f t="shared" si="851"/>
        <v>0</v>
      </c>
      <c r="BC358" s="1" t="s">
        <v>1715</v>
      </c>
    </row>
    <row r="359" spans="1:55">
      <c r="A359" s="492">
        <v>207</v>
      </c>
      <c r="B359" s="13"/>
      <c r="C359" s="13"/>
      <c r="D359" s="13"/>
      <c r="E359" s="433" t="s">
        <v>1001</v>
      </c>
      <c r="F359" s="424" t="s">
        <v>964</v>
      </c>
      <c r="G359" s="424" t="s">
        <v>1056</v>
      </c>
      <c r="H359" s="265" t="s">
        <v>358</v>
      </c>
      <c r="I359" s="54">
        <v>8.8699999999999992</v>
      </c>
      <c r="J359" s="101"/>
      <c r="K359" s="54">
        <v>8.8699999999999992</v>
      </c>
      <c r="L359" s="162"/>
      <c r="M359" s="54"/>
      <c r="N359" s="162"/>
      <c r="O359" s="54"/>
      <c r="P359" s="101"/>
      <c r="Q359" s="96">
        <f t="shared" si="826"/>
        <v>0</v>
      </c>
      <c r="R359" s="337">
        <f t="shared" si="827"/>
        <v>0</v>
      </c>
      <c r="S359" s="96"/>
      <c r="T359" s="96">
        <f t="shared" si="828"/>
        <v>0</v>
      </c>
      <c r="U359" s="96"/>
      <c r="V359" s="176">
        <f t="shared" si="829"/>
        <v>0</v>
      </c>
      <c r="W359" s="206"/>
      <c r="X359" s="205">
        <f t="shared" si="830"/>
        <v>0</v>
      </c>
      <c r="Y359" s="188">
        <f t="shared" si="831"/>
        <v>0</v>
      </c>
      <c r="Z359" s="176">
        <f t="shared" si="832"/>
        <v>0</v>
      </c>
      <c r="AA359" s="206"/>
      <c r="AB359" s="205">
        <f t="shared" si="833"/>
        <v>0</v>
      </c>
      <c r="AC359" s="206"/>
      <c r="AD359" s="176">
        <f t="shared" si="834"/>
        <v>0</v>
      </c>
      <c r="AE359" s="206"/>
      <c r="AF359" s="204">
        <f t="shared" si="835"/>
        <v>0</v>
      </c>
      <c r="AG359" s="188">
        <f t="shared" si="836"/>
        <v>0</v>
      </c>
      <c r="AH359" s="96">
        <f t="shared" si="837"/>
        <v>0</v>
      </c>
      <c r="AI359" s="96">
        <f t="shared" si="838"/>
        <v>0</v>
      </c>
      <c r="AJ359" s="176">
        <f t="shared" si="839"/>
        <v>0</v>
      </c>
      <c r="AK359" s="206"/>
      <c r="AL359" s="176">
        <f t="shared" si="840"/>
        <v>0</v>
      </c>
      <c r="AM359" s="243"/>
      <c r="AN359" s="176">
        <f t="shared" si="841"/>
        <v>0</v>
      </c>
      <c r="AO359" s="206"/>
      <c r="AP359" s="205">
        <f t="shared" si="842"/>
        <v>0</v>
      </c>
      <c r="AQ359" s="188">
        <f t="shared" si="843"/>
        <v>0</v>
      </c>
      <c r="AR359" s="96">
        <f t="shared" si="844"/>
        <v>0</v>
      </c>
      <c r="AS359" s="96"/>
      <c r="AT359" s="176">
        <f t="shared" si="845"/>
        <v>0</v>
      </c>
      <c r="AU359" s="206"/>
      <c r="AV359" s="176">
        <f t="shared" si="846"/>
        <v>0</v>
      </c>
      <c r="AW359" s="206"/>
      <c r="AX359" s="205">
        <f t="shared" si="847"/>
        <v>0</v>
      </c>
      <c r="AY359" s="188">
        <f t="shared" si="848"/>
        <v>0</v>
      </c>
      <c r="AZ359" s="96">
        <f t="shared" si="849"/>
        <v>0</v>
      </c>
      <c r="BA359" s="96">
        <f t="shared" si="850"/>
        <v>0</v>
      </c>
      <c r="BB359" s="96">
        <f t="shared" si="851"/>
        <v>0</v>
      </c>
      <c r="BC359" s="1" t="s">
        <v>1715</v>
      </c>
    </row>
    <row r="360" spans="1:55">
      <c r="A360" s="492">
        <v>208</v>
      </c>
      <c r="B360" s="13"/>
      <c r="C360" s="13"/>
      <c r="D360" s="13"/>
      <c r="E360" s="21" t="s">
        <v>1101</v>
      </c>
      <c r="F360" s="22" t="s">
        <v>1102</v>
      </c>
      <c r="G360" s="424" t="s">
        <v>1056</v>
      </c>
      <c r="H360" s="265" t="s">
        <v>358</v>
      </c>
      <c r="I360" s="54">
        <v>9.5</v>
      </c>
      <c r="J360" s="101"/>
      <c r="K360" s="54">
        <v>9.5</v>
      </c>
      <c r="L360" s="162"/>
      <c r="M360" s="54"/>
      <c r="N360" s="162"/>
      <c r="O360" s="54"/>
      <c r="P360" s="101"/>
      <c r="Q360" s="96">
        <f t="shared" si="826"/>
        <v>0</v>
      </c>
      <c r="R360" s="337">
        <f t="shared" si="827"/>
        <v>0</v>
      </c>
      <c r="S360" s="96"/>
      <c r="T360" s="96">
        <f t="shared" si="828"/>
        <v>0</v>
      </c>
      <c r="U360" s="96"/>
      <c r="V360" s="176">
        <f t="shared" si="829"/>
        <v>0</v>
      </c>
      <c r="W360" s="206"/>
      <c r="X360" s="205">
        <f t="shared" si="830"/>
        <v>0</v>
      </c>
      <c r="Y360" s="188">
        <f t="shared" si="831"/>
        <v>0</v>
      </c>
      <c r="Z360" s="176">
        <f t="shared" si="832"/>
        <v>0</v>
      </c>
      <c r="AA360" s="206"/>
      <c r="AB360" s="205">
        <f t="shared" si="833"/>
        <v>0</v>
      </c>
      <c r="AC360" s="206"/>
      <c r="AD360" s="176">
        <f t="shared" si="834"/>
        <v>0</v>
      </c>
      <c r="AE360" s="206"/>
      <c r="AF360" s="205">
        <f t="shared" si="835"/>
        <v>0</v>
      </c>
      <c r="AG360" s="188">
        <f t="shared" si="836"/>
        <v>0</v>
      </c>
      <c r="AH360" s="96">
        <f t="shared" si="837"/>
        <v>0</v>
      </c>
      <c r="AI360" s="96">
        <f t="shared" si="838"/>
        <v>0</v>
      </c>
      <c r="AJ360" s="176">
        <f t="shared" si="839"/>
        <v>0</v>
      </c>
      <c r="AK360" s="206"/>
      <c r="AL360" s="176">
        <f t="shared" si="840"/>
        <v>0</v>
      </c>
      <c r="AM360" s="243"/>
      <c r="AN360" s="176">
        <f t="shared" si="841"/>
        <v>0</v>
      </c>
      <c r="AO360" s="206"/>
      <c r="AP360" s="205">
        <f t="shared" si="842"/>
        <v>0</v>
      </c>
      <c r="AQ360" s="188">
        <f t="shared" si="843"/>
        <v>0</v>
      </c>
      <c r="AR360" s="96">
        <f t="shared" si="844"/>
        <v>0</v>
      </c>
      <c r="AS360" s="96"/>
      <c r="AT360" s="176">
        <f t="shared" si="845"/>
        <v>0</v>
      </c>
      <c r="AU360" s="206"/>
      <c r="AV360" s="176">
        <f t="shared" si="846"/>
        <v>0</v>
      </c>
      <c r="AW360" s="206"/>
      <c r="AX360" s="205">
        <f t="shared" si="847"/>
        <v>0</v>
      </c>
      <c r="AY360" s="188">
        <f t="shared" si="848"/>
        <v>0</v>
      </c>
      <c r="AZ360" s="96">
        <f t="shared" si="849"/>
        <v>0</v>
      </c>
      <c r="BA360" s="96">
        <f t="shared" si="850"/>
        <v>0</v>
      </c>
      <c r="BB360" s="96">
        <f t="shared" si="851"/>
        <v>0</v>
      </c>
      <c r="BC360" s="1" t="s">
        <v>1715</v>
      </c>
    </row>
    <row r="361" spans="1:55">
      <c r="A361" s="492">
        <v>205</v>
      </c>
      <c r="B361" s="13"/>
      <c r="C361" s="13"/>
      <c r="D361" s="13"/>
      <c r="E361" s="21" t="s">
        <v>2454</v>
      </c>
      <c r="F361" s="45" t="s">
        <v>964</v>
      </c>
      <c r="G361" s="424" t="s">
        <v>1056</v>
      </c>
      <c r="H361" s="265" t="s">
        <v>358</v>
      </c>
      <c r="I361" s="54">
        <v>7</v>
      </c>
      <c r="J361" s="101"/>
      <c r="K361" s="54">
        <v>7</v>
      </c>
      <c r="L361" s="162"/>
      <c r="M361" s="54"/>
      <c r="N361" s="162"/>
      <c r="O361" s="54"/>
      <c r="P361" s="101"/>
      <c r="Q361" s="96">
        <f t="shared" si="826"/>
        <v>2.4010000000000002</v>
      </c>
      <c r="R361" s="337">
        <f t="shared" si="827"/>
        <v>24.876365220000004</v>
      </c>
      <c r="S361" s="96">
        <v>0.03</v>
      </c>
      <c r="T361" s="96">
        <f t="shared" si="828"/>
        <v>0.30316650000000001</v>
      </c>
      <c r="U361" s="96">
        <v>0.01</v>
      </c>
      <c r="V361" s="176">
        <f t="shared" si="829"/>
        <v>0.10067820000000001</v>
      </c>
      <c r="W361" s="206"/>
      <c r="X361" s="205">
        <f t="shared" si="830"/>
        <v>0</v>
      </c>
      <c r="Y361" s="188">
        <f t="shared" si="831"/>
        <v>0.04</v>
      </c>
      <c r="Z361" s="176">
        <f t="shared" si="832"/>
        <v>0.4038447</v>
      </c>
      <c r="AA361" s="206">
        <v>2.3610000000000002</v>
      </c>
      <c r="AB361" s="205">
        <f t="shared" si="833"/>
        <v>24.472520520000003</v>
      </c>
      <c r="AC361" s="206"/>
      <c r="AD361" s="176">
        <f t="shared" si="834"/>
        <v>0</v>
      </c>
      <c r="AE361" s="206"/>
      <c r="AF361" s="204">
        <f t="shared" si="835"/>
        <v>0</v>
      </c>
      <c r="AG361" s="188">
        <f t="shared" si="836"/>
        <v>2.3610000000000002</v>
      </c>
      <c r="AH361" s="96">
        <f t="shared" si="837"/>
        <v>24.472520520000003</v>
      </c>
      <c r="AI361" s="96">
        <f t="shared" si="838"/>
        <v>2.4010000000000002</v>
      </c>
      <c r="AJ361" s="176">
        <f t="shared" si="839"/>
        <v>24.876365220000004</v>
      </c>
      <c r="AK361" s="206"/>
      <c r="AL361" s="176">
        <f t="shared" si="840"/>
        <v>0</v>
      </c>
      <c r="AM361" s="243"/>
      <c r="AN361" s="176">
        <f t="shared" si="841"/>
        <v>0</v>
      </c>
      <c r="AO361" s="206"/>
      <c r="AP361" s="205">
        <f t="shared" si="842"/>
        <v>0</v>
      </c>
      <c r="AQ361" s="188">
        <f t="shared" si="843"/>
        <v>0</v>
      </c>
      <c r="AR361" s="96">
        <f t="shared" si="844"/>
        <v>0</v>
      </c>
      <c r="AS361" s="96"/>
      <c r="AT361" s="176">
        <f t="shared" si="845"/>
        <v>0</v>
      </c>
      <c r="AU361" s="206"/>
      <c r="AV361" s="176">
        <f t="shared" si="846"/>
        <v>0</v>
      </c>
      <c r="AW361" s="206"/>
      <c r="AX361" s="205">
        <f t="shared" si="847"/>
        <v>0</v>
      </c>
      <c r="AY361" s="188">
        <f t="shared" si="848"/>
        <v>0</v>
      </c>
      <c r="AZ361" s="96">
        <f t="shared" si="849"/>
        <v>0</v>
      </c>
      <c r="BA361" s="96">
        <f t="shared" si="850"/>
        <v>0</v>
      </c>
      <c r="BB361" s="96">
        <f t="shared" si="851"/>
        <v>0</v>
      </c>
      <c r="BC361" s="1" t="s">
        <v>1060</v>
      </c>
    </row>
    <row r="362" spans="1:55">
      <c r="A362" s="492">
        <v>205</v>
      </c>
      <c r="B362" s="13"/>
      <c r="C362" s="13"/>
      <c r="D362" s="13"/>
      <c r="E362" s="21" t="s">
        <v>2455</v>
      </c>
      <c r="F362" s="45" t="s">
        <v>964</v>
      </c>
      <c r="G362" s="424" t="s">
        <v>1056</v>
      </c>
      <c r="H362" s="265" t="s">
        <v>358</v>
      </c>
      <c r="I362" s="54">
        <v>7</v>
      </c>
      <c r="J362" s="101"/>
      <c r="K362" s="54">
        <v>7</v>
      </c>
      <c r="L362" s="162"/>
      <c r="M362" s="54"/>
      <c r="N362" s="162"/>
      <c r="O362" s="54"/>
      <c r="P362" s="101"/>
      <c r="Q362" s="96">
        <f t="shared" ref="Q362" si="930">SUM(AI362+BA362)</f>
        <v>2.6</v>
      </c>
      <c r="R362" s="337">
        <f t="shared" ref="R362" si="931">SUM(AJ362+BB362)</f>
        <v>26.939063900000004</v>
      </c>
      <c r="S362" s="96">
        <v>0.03</v>
      </c>
      <c r="T362" s="96">
        <f t="shared" ref="T362" si="932">I362*S362*$T$2/1000</f>
        <v>0.30316650000000001</v>
      </c>
      <c r="U362" s="96">
        <v>0.01</v>
      </c>
      <c r="V362" s="176">
        <f t="shared" ref="V362" si="933">I362*U362*$V$2/1000</f>
        <v>0.10067820000000001</v>
      </c>
      <c r="W362" s="206"/>
      <c r="X362" s="205">
        <f t="shared" ref="X362" si="934">I362*W362*$X$2/1000</f>
        <v>0</v>
      </c>
      <c r="Y362" s="188">
        <f t="shared" ref="Y362" si="935">SUM(S362+U362+W362)</f>
        <v>0.04</v>
      </c>
      <c r="Z362" s="176">
        <f t="shared" ref="Z362" si="936">SUM(T362+V362+X362)</f>
        <v>0.4038447</v>
      </c>
      <c r="AA362" s="206">
        <v>2.56</v>
      </c>
      <c r="AB362" s="205">
        <f t="shared" ref="AB362" si="937">K362*AA362*$AB$2/1000</f>
        <v>26.535219200000004</v>
      </c>
      <c r="AC362" s="206"/>
      <c r="AD362" s="176">
        <f t="shared" ref="AD362" si="938">K362*AC362*$AD$2/1000</f>
        <v>0</v>
      </c>
      <c r="AE362" s="206"/>
      <c r="AF362" s="204">
        <f t="shared" ref="AF362" si="939">K362*AE362*$AF$2/1000</f>
        <v>0</v>
      </c>
      <c r="AG362" s="188">
        <f t="shared" ref="AG362" si="940">SUM(AA362+AC362+AE362)</f>
        <v>2.56</v>
      </c>
      <c r="AH362" s="96">
        <f t="shared" ref="AH362" si="941">SUM(AB362+AD362+AF362)</f>
        <v>26.535219200000004</v>
      </c>
      <c r="AI362" s="96">
        <f t="shared" ref="AI362" si="942">SUM(Y362+AG362)</f>
        <v>2.6</v>
      </c>
      <c r="AJ362" s="176">
        <f t="shared" ref="AJ362" si="943">SUM(Z362,AH362)</f>
        <v>26.939063900000004</v>
      </c>
      <c r="AK362" s="206"/>
      <c r="AL362" s="176">
        <f t="shared" ref="AL362" si="944">M362*AK362*$AL$2/1000</f>
        <v>0</v>
      </c>
      <c r="AM362" s="243"/>
      <c r="AN362" s="176">
        <f t="shared" ref="AN362" si="945">M362*AM362*$AN$2/1000</f>
        <v>0</v>
      </c>
      <c r="AO362" s="206"/>
      <c r="AP362" s="205">
        <f t="shared" ref="AP362" si="946">M362*AO362*$AP$2/1000</f>
        <v>0</v>
      </c>
      <c r="AQ362" s="188">
        <f t="shared" ref="AQ362" si="947">SUM(AK362+AM362+AO362)</f>
        <v>0</v>
      </c>
      <c r="AR362" s="96">
        <f t="shared" ref="AR362" si="948">SUM(AL362+AN362+AP362)</f>
        <v>0</v>
      </c>
      <c r="AS362" s="96"/>
      <c r="AT362" s="176">
        <f t="shared" ref="AT362" si="949">O362*AS362*$AT$2/1000</f>
        <v>0</v>
      </c>
      <c r="AU362" s="206"/>
      <c r="AV362" s="176">
        <f t="shared" ref="AV362" si="950">O362*AU362*$AV$2/1000</f>
        <v>0</v>
      </c>
      <c r="AW362" s="206"/>
      <c r="AX362" s="205">
        <f t="shared" ref="AX362" si="951">O362*AW362*$AX$2/1000</f>
        <v>0</v>
      </c>
      <c r="AY362" s="188">
        <f t="shared" ref="AY362" si="952">SUM(AS362+AU362+AW362)</f>
        <v>0</v>
      </c>
      <c r="AZ362" s="96">
        <f t="shared" ref="AZ362" si="953">SUM(AT362+AV362+AX362)</f>
        <v>0</v>
      </c>
      <c r="BA362" s="96">
        <f t="shared" ref="BA362" si="954">SUM(AQ362+AY362)</f>
        <v>0</v>
      </c>
      <c r="BB362" s="96">
        <f t="shared" ref="BB362" si="955">SUM(AR362,AZ362)</f>
        <v>0</v>
      </c>
      <c r="BC362" s="1" t="s">
        <v>1060</v>
      </c>
    </row>
    <row r="363" spans="1:55">
      <c r="A363" s="492">
        <v>205</v>
      </c>
      <c r="B363" s="13"/>
      <c r="C363" s="13"/>
      <c r="D363" s="13"/>
      <c r="E363" s="21" t="s">
        <v>1766</v>
      </c>
      <c r="F363" s="45" t="s">
        <v>964</v>
      </c>
      <c r="G363" s="424" t="s">
        <v>1056</v>
      </c>
      <c r="H363" s="265" t="s">
        <v>358</v>
      </c>
      <c r="I363" s="54">
        <v>6.5</v>
      </c>
      <c r="J363" s="101"/>
      <c r="K363" s="54">
        <v>6.5</v>
      </c>
      <c r="L363" s="162"/>
      <c r="M363" s="54"/>
      <c r="N363" s="162"/>
      <c r="O363" s="54"/>
      <c r="P363" s="101"/>
      <c r="Q363" s="96">
        <f t="shared" si="826"/>
        <v>25.125</v>
      </c>
      <c r="R363" s="337">
        <f t="shared" si="827"/>
        <v>239.52562595000003</v>
      </c>
      <c r="S363" s="96">
        <v>7.9950000000000001</v>
      </c>
      <c r="T363" s="96">
        <f t="shared" si="828"/>
        <v>75.022881375000011</v>
      </c>
      <c r="U363" s="96">
        <v>5.2</v>
      </c>
      <c r="V363" s="176">
        <f t="shared" si="829"/>
        <v>48.613188000000008</v>
      </c>
      <c r="W363" s="206">
        <v>7.5750000000000002</v>
      </c>
      <c r="X363" s="205">
        <f t="shared" si="830"/>
        <v>73.972942875000001</v>
      </c>
      <c r="Y363" s="188">
        <f t="shared" si="831"/>
        <v>20.77</v>
      </c>
      <c r="Z363" s="176">
        <f t="shared" si="832"/>
        <v>197.60901225000003</v>
      </c>
      <c r="AA363" s="206">
        <v>4.3550000000000004</v>
      </c>
      <c r="AB363" s="205">
        <f t="shared" si="833"/>
        <v>41.916613700000006</v>
      </c>
      <c r="AC363" s="206"/>
      <c r="AD363" s="176">
        <f t="shared" si="834"/>
        <v>0</v>
      </c>
      <c r="AE363" s="206"/>
      <c r="AF363" s="204">
        <f t="shared" si="835"/>
        <v>0</v>
      </c>
      <c r="AG363" s="188">
        <f t="shared" si="836"/>
        <v>4.3550000000000004</v>
      </c>
      <c r="AH363" s="96">
        <f t="shared" si="837"/>
        <v>41.916613700000006</v>
      </c>
      <c r="AI363" s="96">
        <f t="shared" si="838"/>
        <v>25.125</v>
      </c>
      <c r="AJ363" s="176">
        <f t="shared" si="839"/>
        <v>239.52562595000003</v>
      </c>
      <c r="AK363" s="206"/>
      <c r="AL363" s="176">
        <f t="shared" si="840"/>
        <v>0</v>
      </c>
      <c r="AM363" s="243"/>
      <c r="AN363" s="176">
        <f t="shared" si="841"/>
        <v>0</v>
      </c>
      <c r="AO363" s="206"/>
      <c r="AP363" s="205">
        <f t="shared" si="842"/>
        <v>0</v>
      </c>
      <c r="AQ363" s="188">
        <f t="shared" si="843"/>
        <v>0</v>
      </c>
      <c r="AR363" s="96">
        <f t="shared" si="844"/>
        <v>0</v>
      </c>
      <c r="AS363" s="96"/>
      <c r="AT363" s="176">
        <f t="shared" si="845"/>
        <v>0</v>
      </c>
      <c r="AU363" s="206"/>
      <c r="AV363" s="176">
        <f t="shared" si="846"/>
        <v>0</v>
      </c>
      <c r="AW363" s="206"/>
      <c r="AX363" s="205">
        <f t="shared" si="847"/>
        <v>0</v>
      </c>
      <c r="AY363" s="188">
        <f t="shared" si="848"/>
        <v>0</v>
      </c>
      <c r="AZ363" s="96">
        <f t="shared" si="849"/>
        <v>0</v>
      </c>
      <c r="BA363" s="96">
        <f t="shared" si="850"/>
        <v>0</v>
      </c>
      <c r="BB363" s="96">
        <f t="shared" si="851"/>
        <v>0</v>
      </c>
      <c r="BC363" s="1" t="s">
        <v>1715</v>
      </c>
    </row>
    <row r="364" spans="1:55">
      <c r="A364" s="492">
        <v>207</v>
      </c>
      <c r="B364" s="13"/>
      <c r="C364" s="13"/>
      <c r="D364" s="13"/>
      <c r="E364" s="433" t="s">
        <v>2212</v>
      </c>
      <c r="F364" s="424" t="s">
        <v>964</v>
      </c>
      <c r="G364" s="424" t="s">
        <v>1056</v>
      </c>
      <c r="H364" s="265" t="s">
        <v>358</v>
      </c>
      <c r="I364" s="54">
        <v>6.85</v>
      </c>
      <c r="J364" s="101"/>
      <c r="K364" s="54">
        <v>6.85</v>
      </c>
      <c r="L364" s="162"/>
      <c r="M364" s="54"/>
      <c r="N364" s="162"/>
      <c r="O364" s="54"/>
      <c r="P364" s="101"/>
      <c r="Q364" s="96">
        <f t="shared" ref="Q364" si="956">SUM(AI364+BA364)</f>
        <v>0.65</v>
      </c>
      <c r="R364" s="337">
        <f t="shared" ref="R364" si="957">SUM(AJ364+BB364)</f>
        <v>6.5531360700000008</v>
      </c>
      <c r="S364" s="96">
        <v>0.19500000000000001</v>
      </c>
      <c r="T364" s="96">
        <f t="shared" ref="T364" si="958">I364*S364*$T$2/1000</f>
        <v>1.9283554875000002</v>
      </c>
      <c r="U364" s="96"/>
      <c r="V364" s="176">
        <f t="shared" ref="V364" si="959">I364*U364*$V$2/1000</f>
        <v>0</v>
      </c>
      <c r="W364" s="206">
        <v>6.5000000000000002E-2</v>
      </c>
      <c r="X364" s="205">
        <f t="shared" ref="X364" si="960">I364*W364*$X$2/1000</f>
        <v>0.66893024249999999</v>
      </c>
      <c r="Y364" s="188">
        <f t="shared" ref="Y364" si="961">SUM(S364+U364+W364)</f>
        <v>0.26</v>
      </c>
      <c r="Z364" s="176">
        <f t="shared" ref="Z364" si="962">SUM(T364+V364+X364)</f>
        <v>2.5972857300000003</v>
      </c>
      <c r="AA364" s="206">
        <v>0.39</v>
      </c>
      <c r="AB364" s="205">
        <f t="shared" ref="AB364" si="963">K364*AA364*$AB$2/1000</f>
        <v>3.95585034</v>
      </c>
      <c r="AC364" s="206"/>
      <c r="AD364" s="176">
        <f t="shared" ref="AD364" si="964">K364*AC364*$AD$2/1000</f>
        <v>0</v>
      </c>
      <c r="AE364" s="206"/>
      <c r="AF364" s="204">
        <f t="shared" ref="AF364" si="965">K364*AE364*$AF$2/1000</f>
        <v>0</v>
      </c>
      <c r="AG364" s="188">
        <f t="shared" ref="AG364" si="966">SUM(AA364+AC364+AE364)</f>
        <v>0.39</v>
      </c>
      <c r="AH364" s="96">
        <f t="shared" ref="AH364" si="967">SUM(AB364+AD364+AF364)</f>
        <v>3.95585034</v>
      </c>
      <c r="AI364" s="96">
        <f t="shared" ref="AI364" si="968">SUM(Y364+AG364)</f>
        <v>0.65</v>
      </c>
      <c r="AJ364" s="176">
        <f t="shared" ref="AJ364" si="969">SUM(Z364,AH364)</f>
        <v>6.5531360700000008</v>
      </c>
      <c r="AK364" s="206"/>
      <c r="AL364" s="176">
        <f t="shared" ref="AL364" si="970">M364*AK364*$AL$2/1000</f>
        <v>0</v>
      </c>
      <c r="AM364" s="243"/>
      <c r="AN364" s="176">
        <f t="shared" ref="AN364" si="971">M364*AM364*$AN$2/1000</f>
        <v>0</v>
      </c>
      <c r="AO364" s="206"/>
      <c r="AP364" s="205">
        <f t="shared" ref="AP364" si="972">M364*AO364*$AP$2/1000</f>
        <v>0</v>
      </c>
      <c r="AQ364" s="188">
        <f t="shared" ref="AQ364" si="973">SUM(AK364+AM364+AO364)</f>
        <v>0</v>
      </c>
      <c r="AR364" s="96">
        <f t="shared" ref="AR364" si="974">SUM(AL364+AN364+AP364)</f>
        <v>0</v>
      </c>
      <c r="AS364" s="96"/>
      <c r="AT364" s="176">
        <f t="shared" ref="AT364" si="975">O364*AS364*$AT$2/1000</f>
        <v>0</v>
      </c>
      <c r="AU364" s="206"/>
      <c r="AV364" s="176">
        <f t="shared" ref="AV364" si="976">O364*AU364*$AV$2/1000</f>
        <v>0</v>
      </c>
      <c r="AW364" s="206"/>
      <c r="AX364" s="205">
        <f t="shared" ref="AX364" si="977">O364*AW364*$AX$2/1000</f>
        <v>0</v>
      </c>
      <c r="AY364" s="188">
        <f t="shared" ref="AY364" si="978">SUM(AS364+AU364+AW364)</f>
        <v>0</v>
      </c>
      <c r="AZ364" s="96">
        <f t="shared" ref="AZ364" si="979">SUM(AT364+AV364+AX364)</f>
        <v>0</v>
      </c>
      <c r="BA364" s="96">
        <f t="shared" ref="BA364" si="980">SUM(AQ364+AY364)</f>
        <v>0</v>
      </c>
      <c r="BB364" s="96">
        <f t="shared" ref="BB364" si="981">SUM(AR364,AZ364)</f>
        <v>0</v>
      </c>
      <c r="BC364" s="1" t="s">
        <v>1060</v>
      </c>
    </row>
    <row r="365" spans="1:55">
      <c r="A365" s="492">
        <v>208</v>
      </c>
      <c r="B365" s="13"/>
      <c r="C365" s="13"/>
      <c r="D365" s="13"/>
      <c r="E365" s="21" t="s">
        <v>1351</v>
      </c>
      <c r="F365" s="22" t="s">
        <v>1352</v>
      </c>
      <c r="G365" s="424" t="s">
        <v>1056</v>
      </c>
      <c r="H365" s="265" t="s">
        <v>358</v>
      </c>
      <c r="I365" s="54">
        <v>7.58</v>
      </c>
      <c r="J365" s="101"/>
      <c r="K365" s="54">
        <v>7.58</v>
      </c>
      <c r="L365" s="162"/>
      <c r="M365" s="54"/>
      <c r="N365" s="162"/>
      <c r="O365" s="54"/>
      <c r="P365" s="101"/>
      <c r="Q365" s="96">
        <f t="shared" si="826"/>
        <v>18.143999999999998</v>
      </c>
      <c r="R365" s="337">
        <f t="shared" si="827"/>
        <v>202.37178022319998</v>
      </c>
      <c r="S365" s="96">
        <v>6.8879999999999999</v>
      </c>
      <c r="T365" s="96">
        <f t="shared" si="828"/>
        <v>75.374467895999999</v>
      </c>
      <c r="U365" s="96">
        <v>2.1</v>
      </c>
      <c r="V365" s="176">
        <f t="shared" si="829"/>
        <v>22.894222680000002</v>
      </c>
      <c r="W365" s="206">
        <v>8.1479999999999997</v>
      </c>
      <c r="X365" s="205">
        <f t="shared" si="830"/>
        <v>92.789135560799991</v>
      </c>
      <c r="Y365" s="188">
        <f t="shared" si="831"/>
        <v>17.135999999999999</v>
      </c>
      <c r="Z365" s="176">
        <f t="shared" si="832"/>
        <v>191.05782613679997</v>
      </c>
      <c r="AA365" s="206">
        <v>1.008</v>
      </c>
      <c r="AB365" s="205">
        <f t="shared" si="833"/>
        <v>11.313954086400001</v>
      </c>
      <c r="AC365" s="206"/>
      <c r="AD365" s="176">
        <f t="shared" si="834"/>
        <v>0</v>
      </c>
      <c r="AE365" s="206"/>
      <c r="AF365" s="205">
        <f t="shared" si="835"/>
        <v>0</v>
      </c>
      <c r="AG365" s="188">
        <f t="shared" si="836"/>
        <v>1.008</v>
      </c>
      <c r="AH365" s="96">
        <f t="shared" si="837"/>
        <v>11.313954086400001</v>
      </c>
      <c r="AI365" s="96">
        <f t="shared" si="838"/>
        <v>18.143999999999998</v>
      </c>
      <c r="AJ365" s="176">
        <f t="shared" si="839"/>
        <v>202.37178022319998</v>
      </c>
      <c r="AK365" s="206"/>
      <c r="AL365" s="176">
        <f t="shared" si="840"/>
        <v>0</v>
      </c>
      <c r="AM365" s="243"/>
      <c r="AN365" s="176">
        <f t="shared" si="841"/>
        <v>0</v>
      </c>
      <c r="AO365" s="206"/>
      <c r="AP365" s="205">
        <f t="shared" si="842"/>
        <v>0</v>
      </c>
      <c r="AQ365" s="188">
        <f t="shared" si="843"/>
        <v>0</v>
      </c>
      <c r="AR365" s="96">
        <f t="shared" si="844"/>
        <v>0</v>
      </c>
      <c r="AS365" s="96"/>
      <c r="AT365" s="176">
        <f t="shared" si="845"/>
        <v>0</v>
      </c>
      <c r="AU365" s="206"/>
      <c r="AV365" s="176">
        <f t="shared" si="846"/>
        <v>0</v>
      </c>
      <c r="AW365" s="206"/>
      <c r="AX365" s="205">
        <f t="shared" si="847"/>
        <v>0</v>
      </c>
      <c r="AY365" s="188">
        <f t="shared" si="848"/>
        <v>0</v>
      </c>
      <c r="AZ365" s="96">
        <f t="shared" si="849"/>
        <v>0</v>
      </c>
      <c r="BA365" s="96">
        <f t="shared" si="850"/>
        <v>0</v>
      </c>
      <c r="BB365" s="96">
        <f t="shared" si="851"/>
        <v>0</v>
      </c>
      <c r="BC365" s="1" t="s">
        <v>1715</v>
      </c>
    </row>
    <row r="366" spans="1:55">
      <c r="A366" s="492">
        <v>205</v>
      </c>
      <c r="B366" s="13"/>
      <c r="C366" s="13"/>
      <c r="D366" s="13"/>
      <c r="E366" s="21" t="s">
        <v>1353</v>
      </c>
      <c r="F366" s="45" t="s">
        <v>1354</v>
      </c>
      <c r="G366" s="424" t="s">
        <v>1056</v>
      </c>
      <c r="H366" s="265" t="s">
        <v>358</v>
      </c>
      <c r="I366" s="54">
        <v>8.33</v>
      </c>
      <c r="J366" s="101"/>
      <c r="K366" s="54">
        <v>8.33</v>
      </c>
      <c r="L366" s="162"/>
      <c r="M366" s="54"/>
      <c r="N366" s="162"/>
      <c r="O366" s="54"/>
      <c r="P366" s="101"/>
      <c r="Q366" s="96">
        <f t="shared" si="826"/>
        <v>0</v>
      </c>
      <c r="R366" s="337">
        <f t="shared" si="827"/>
        <v>0</v>
      </c>
      <c r="S366" s="96"/>
      <c r="T366" s="96">
        <f t="shared" si="828"/>
        <v>0</v>
      </c>
      <c r="U366" s="96"/>
      <c r="V366" s="176">
        <f t="shared" si="829"/>
        <v>0</v>
      </c>
      <c r="W366" s="206"/>
      <c r="X366" s="205">
        <f t="shared" si="830"/>
        <v>0</v>
      </c>
      <c r="Y366" s="188">
        <f t="shared" si="831"/>
        <v>0</v>
      </c>
      <c r="Z366" s="176">
        <f t="shared" si="832"/>
        <v>0</v>
      </c>
      <c r="AA366" s="206"/>
      <c r="AB366" s="205">
        <f t="shared" si="833"/>
        <v>0</v>
      </c>
      <c r="AC366" s="206"/>
      <c r="AD366" s="176">
        <f t="shared" si="834"/>
        <v>0</v>
      </c>
      <c r="AE366" s="206"/>
      <c r="AF366" s="204">
        <f t="shared" si="835"/>
        <v>0</v>
      </c>
      <c r="AG366" s="188">
        <f t="shared" si="836"/>
        <v>0</v>
      </c>
      <c r="AH366" s="96">
        <f t="shared" si="837"/>
        <v>0</v>
      </c>
      <c r="AI366" s="96">
        <f t="shared" si="838"/>
        <v>0</v>
      </c>
      <c r="AJ366" s="176">
        <f t="shared" si="839"/>
        <v>0</v>
      </c>
      <c r="AK366" s="206"/>
      <c r="AL366" s="176">
        <f t="shared" si="840"/>
        <v>0</v>
      </c>
      <c r="AM366" s="243"/>
      <c r="AN366" s="176">
        <f t="shared" si="841"/>
        <v>0</v>
      </c>
      <c r="AO366" s="206"/>
      <c r="AP366" s="205">
        <f t="shared" si="842"/>
        <v>0</v>
      </c>
      <c r="AQ366" s="188">
        <f t="shared" si="843"/>
        <v>0</v>
      </c>
      <c r="AR366" s="96">
        <f t="shared" si="844"/>
        <v>0</v>
      </c>
      <c r="AS366" s="96"/>
      <c r="AT366" s="176">
        <f t="shared" si="845"/>
        <v>0</v>
      </c>
      <c r="AU366" s="206"/>
      <c r="AV366" s="176">
        <f t="shared" si="846"/>
        <v>0</v>
      </c>
      <c r="AW366" s="206"/>
      <c r="AX366" s="205">
        <f t="shared" si="847"/>
        <v>0</v>
      </c>
      <c r="AY366" s="188">
        <f t="shared" si="848"/>
        <v>0</v>
      </c>
      <c r="AZ366" s="96">
        <f t="shared" si="849"/>
        <v>0</v>
      </c>
      <c r="BA366" s="96">
        <f t="shared" si="850"/>
        <v>0</v>
      </c>
      <c r="BB366" s="96">
        <f t="shared" si="851"/>
        <v>0</v>
      </c>
      <c r="BC366" s="1" t="s">
        <v>1715</v>
      </c>
    </row>
    <row r="367" spans="1:55">
      <c r="A367" s="492">
        <v>205</v>
      </c>
      <c r="B367" s="13"/>
      <c r="C367" s="13"/>
      <c r="D367" s="13"/>
      <c r="E367" s="21" t="s">
        <v>1580</v>
      </c>
      <c r="F367" s="45" t="s">
        <v>1581</v>
      </c>
      <c r="G367" s="424" t="s">
        <v>1056</v>
      </c>
      <c r="H367" s="265" t="s">
        <v>358</v>
      </c>
      <c r="I367" s="54">
        <v>6.7</v>
      </c>
      <c r="J367" s="101"/>
      <c r="K367" s="54">
        <v>6.7</v>
      </c>
      <c r="L367" s="162"/>
      <c r="M367" s="54"/>
      <c r="N367" s="162"/>
      <c r="O367" s="54"/>
      <c r="P367" s="101"/>
      <c r="Q367" s="96">
        <f t="shared" si="826"/>
        <v>60.48</v>
      </c>
      <c r="R367" s="337">
        <f t="shared" si="827"/>
        <v>595.00953979999997</v>
      </c>
      <c r="S367" s="96">
        <v>7</v>
      </c>
      <c r="T367" s="96">
        <f t="shared" si="828"/>
        <v>67.707184999999996</v>
      </c>
      <c r="U367" s="96">
        <v>24.08</v>
      </c>
      <c r="V367" s="176">
        <f t="shared" si="829"/>
        <v>232.04311535999997</v>
      </c>
      <c r="W367" s="206">
        <v>24.72</v>
      </c>
      <c r="X367" s="205">
        <f t="shared" si="830"/>
        <v>248.82852887999996</v>
      </c>
      <c r="Y367" s="188">
        <f t="shared" si="831"/>
        <v>55.8</v>
      </c>
      <c r="Z367" s="176">
        <f t="shared" si="832"/>
        <v>548.57882924</v>
      </c>
      <c r="AA367" s="206">
        <v>4.68</v>
      </c>
      <c r="AB367" s="205">
        <f t="shared" si="833"/>
        <v>46.430710560000001</v>
      </c>
      <c r="AC367" s="206"/>
      <c r="AD367" s="176">
        <f t="shared" si="834"/>
        <v>0</v>
      </c>
      <c r="AE367" s="206"/>
      <c r="AF367" s="204">
        <f t="shared" si="835"/>
        <v>0</v>
      </c>
      <c r="AG367" s="188">
        <f t="shared" si="836"/>
        <v>4.68</v>
      </c>
      <c r="AH367" s="96">
        <f t="shared" si="837"/>
        <v>46.430710560000001</v>
      </c>
      <c r="AI367" s="96">
        <f t="shared" si="838"/>
        <v>60.48</v>
      </c>
      <c r="AJ367" s="176">
        <f t="shared" si="839"/>
        <v>595.00953979999997</v>
      </c>
      <c r="AK367" s="206"/>
      <c r="AL367" s="176">
        <f t="shared" si="840"/>
        <v>0</v>
      </c>
      <c r="AM367" s="243"/>
      <c r="AN367" s="176">
        <f t="shared" si="841"/>
        <v>0</v>
      </c>
      <c r="AO367" s="206"/>
      <c r="AP367" s="205">
        <f t="shared" si="842"/>
        <v>0</v>
      </c>
      <c r="AQ367" s="188">
        <f t="shared" si="843"/>
        <v>0</v>
      </c>
      <c r="AR367" s="96">
        <f t="shared" si="844"/>
        <v>0</v>
      </c>
      <c r="AS367" s="96"/>
      <c r="AT367" s="176">
        <f t="shared" si="845"/>
        <v>0</v>
      </c>
      <c r="AU367" s="206"/>
      <c r="AV367" s="176">
        <f t="shared" si="846"/>
        <v>0</v>
      </c>
      <c r="AW367" s="206"/>
      <c r="AX367" s="205">
        <f t="shared" si="847"/>
        <v>0</v>
      </c>
      <c r="AY367" s="188">
        <f t="shared" si="848"/>
        <v>0</v>
      </c>
      <c r="AZ367" s="96">
        <f t="shared" si="849"/>
        <v>0</v>
      </c>
      <c r="BA367" s="96">
        <f t="shared" si="850"/>
        <v>0</v>
      </c>
      <c r="BB367" s="96">
        <f t="shared" si="851"/>
        <v>0</v>
      </c>
      <c r="BC367" s="1" t="s">
        <v>1717</v>
      </c>
    </row>
    <row r="368" spans="1:55">
      <c r="A368" s="492">
        <v>205</v>
      </c>
      <c r="B368" s="13"/>
      <c r="C368" s="13"/>
      <c r="D368" s="13"/>
      <c r="E368" s="21" t="s">
        <v>1284</v>
      </c>
      <c r="F368" s="22" t="s">
        <v>1286</v>
      </c>
      <c r="G368" s="424" t="s">
        <v>1056</v>
      </c>
      <c r="H368" s="265" t="s">
        <v>358</v>
      </c>
      <c r="I368" s="54">
        <v>7.35</v>
      </c>
      <c r="J368" s="101"/>
      <c r="K368" s="54">
        <v>7.35</v>
      </c>
      <c r="L368" s="162"/>
      <c r="M368" s="54"/>
      <c r="N368" s="162"/>
      <c r="O368" s="54"/>
      <c r="P368" s="101"/>
      <c r="Q368" s="96">
        <f t="shared" si="826"/>
        <v>4.4000000000000004</v>
      </c>
      <c r="R368" s="337">
        <f t="shared" si="827"/>
        <v>48.249918779999994</v>
      </c>
      <c r="S368" s="96"/>
      <c r="T368" s="96">
        <f t="shared" si="828"/>
        <v>0</v>
      </c>
      <c r="U368" s="96"/>
      <c r="V368" s="176">
        <f t="shared" si="829"/>
        <v>0</v>
      </c>
      <c r="W368" s="206">
        <v>2.2799999999999998</v>
      </c>
      <c r="X368" s="205">
        <f t="shared" si="830"/>
        <v>25.176716459999994</v>
      </c>
      <c r="Y368" s="188">
        <f t="shared" si="831"/>
        <v>2.2799999999999998</v>
      </c>
      <c r="Z368" s="176">
        <f t="shared" si="832"/>
        <v>25.176716459999994</v>
      </c>
      <c r="AA368" s="206">
        <v>2.12</v>
      </c>
      <c r="AB368" s="205">
        <f t="shared" si="833"/>
        <v>23.07320232</v>
      </c>
      <c r="AC368" s="206"/>
      <c r="AD368" s="176">
        <f t="shared" si="834"/>
        <v>0</v>
      </c>
      <c r="AE368" s="206"/>
      <c r="AF368" s="204">
        <f t="shared" si="835"/>
        <v>0</v>
      </c>
      <c r="AG368" s="188">
        <f t="shared" si="836"/>
        <v>2.12</v>
      </c>
      <c r="AH368" s="96">
        <f t="shared" si="837"/>
        <v>23.07320232</v>
      </c>
      <c r="AI368" s="96">
        <f t="shared" si="838"/>
        <v>4.4000000000000004</v>
      </c>
      <c r="AJ368" s="176">
        <f t="shared" si="839"/>
        <v>48.249918779999994</v>
      </c>
      <c r="AK368" s="206"/>
      <c r="AL368" s="176">
        <f t="shared" si="840"/>
        <v>0</v>
      </c>
      <c r="AM368" s="243"/>
      <c r="AN368" s="176">
        <f t="shared" si="841"/>
        <v>0</v>
      </c>
      <c r="AO368" s="206"/>
      <c r="AP368" s="205">
        <f t="shared" si="842"/>
        <v>0</v>
      </c>
      <c r="AQ368" s="188">
        <f t="shared" si="843"/>
        <v>0</v>
      </c>
      <c r="AR368" s="96">
        <f t="shared" si="844"/>
        <v>0</v>
      </c>
      <c r="AS368" s="96"/>
      <c r="AT368" s="176">
        <f t="shared" si="845"/>
        <v>0</v>
      </c>
      <c r="AU368" s="206"/>
      <c r="AV368" s="176">
        <f t="shared" si="846"/>
        <v>0</v>
      </c>
      <c r="AW368" s="206"/>
      <c r="AX368" s="205">
        <f t="shared" si="847"/>
        <v>0</v>
      </c>
      <c r="AY368" s="188">
        <f t="shared" si="848"/>
        <v>0</v>
      </c>
      <c r="AZ368" s="96">
        <f t="shared" si="849"/>
        <v>0</v>
      </c>
      <c r="BA368" s="96">
        <f t="shared" si="850"/>
        <v>0</v>
      </c>
      <c r="BB368" s="96">
        <f t="shared" si="851"/>
        <v>0</v>
      </c>
      <c r="BC368" s="1" t="s">
        <v>1717</v>
      </c>
    </row>
    <row r="369" spans="1:55">
      <c r="B369" s="13"/>
      <c r="C369" s="13"/>
      <c r="D369" s="13"/>
      <c r="E369" s="21" t="s">
        <v>2224</v>
      </c>
      <c r="F369" s="90"/>
      <c r="G369" s="424" t="s">
        <v>1056</v>
      </c>
      <c r="H369" s="265" t="s">
        <v>358</v>
      </c>
      <c r="I369" s="54">
        <v>8.6</v>
      </c>
      <c r="J369" s="101"/>
      <c r="K369" s="54">
        <v>8.6</v>
      </c>
      <c r="L369" s="162"/>
      <c r="M369" s="54"/>
      <c r="N369" s="162"/>
      <c r="O369" s="54"/>
      <c r="P369" s="101"/>
      <c r="Q369" s="96">
        <f t="shared" ref="Q369" si="982">SUM(AI369+BA369)</f>
        <v>27.972000000000001</v>
      </c>
      <c r="R369" s="337">
        <f t="shared" ref="R369" si="983">SUM(AJ369+BB369)</f>
        <v>351.45723965399998</v>
      </c>
      <c r="S369" s="96">
        <v>10.098000000000001</v>
      </c>
      <c r="T369" s="96">
        <f t="shared" ref="T369" si="984">I369*S369*$T$2/1000</f>
        <v>125.37060822000001</v>
      </c>
      <c r="U369" s="96">
        <v>8.1</v>
      </c>
      <c r="V369" s="176">
        <f t="shared" ref="V369" si="985">I369*U369*$V$2/1000</f>
        <v>100.18919159999999</v>
      </c>
      <c r="W369" s="206">
        <v>7.6950000000000003</v>
      </c>
      <c r="X369" s="205">
        <f t="shared" ref="X369" si="986">I369*W369*$X$2/1000</f>
        <v>99.422339489999999</v>
      </c>
      <c r="Y369" s="188">
        <f t="shared" ref="Y369" si="987">SUM(S369+U369+W369)</f>
        <v>25.893000000000001</v>
      </c>
      <c r="Z369" s="176">
        <f t="shared" ref="Z369" si="988">SUM(T369+V369+X369)</f>
        <v>324.98213930999998</v>
      </c>
      <c r="AA369" s="206">
        <v>2.0790000000000002</v>
      </c>
      <c r="AB369" s="205">
        <f t="shared" ref="AB369" si="989">K369*AA369*$AB$2/1000</f>
        <v>26.475100344000001</v>
      </c>
      <c r="AC369" s="206"/>
      <c r="AD369" s="176">
        <f t="shared" ref="AD369" si="990">K369*AC369*$AD$2/1000</f>
        <v>0</v>
      </c>
      <c r="AE369" s="206"/>
      <c r="AF369" s="205">
        <f t="shared" ref="AF369" si="991">K369*AE369*$AF$2/1000</f>
        <v>0</v>
      </c>
      <c r="AG369" s="188">
        <f t="shared" ref="AG369" si="992">SUM(AA369+AC369+AE369)</f>
        <v>2.0790000000000002</v>
      </c>
      <c r="AH369" s="96">
        <f t="shared" ref="AH369" si="993">SUM(AB369+AD369+AF369)</f>
        <v>26.475100344000001</v>
      </c>
      <c r="AI369" s="96">
        <f t="shared" ref="AI369" si="994">SUM(Y369+AG369)</f>
        <v>27.972000000000001</v>
      </c>
      <c r="AJ369" s="176">
        <f t="shared" ref="AJ369" si="995">SUM(Z369,AH369)</f>
        <v>351.45723965399998</v>
      </c>
      <c r="AK369" s="206"/>
      <c r="AL369" s="176">
        <f t="shared" ref="AL369" si="996">M369*AK369*$AL$2/1000</f>
        <v>0</v>
      </c>
      <c r="AM369" s="243"/>
      <c r="AN369" s="176">
        <f t="shared" ref="AN369" si="997">M369*AM369*$AN$2/1000</f>
        <v>0</v>
      </c>
      <c r="AO369" s="206"/>
      <c r="AP369" s="205">
        <f t="shared" ref="AP369" si="998">M369*AO369*$AP$2/1000</f>
        <v>0</v>
      </c>
      <c r="AQ369" s="188">
        <f t="shared" ref="AQ369" si="999">SUM(AK369+AM369+AO369)</f>
        <v>0</v>
      </c>
      <c r="AR369" s="96">
        <f t="shared" ref="AR369" si="1000">SUM(AL369+AN369+AP369)</f>
        <v>0</v>
      </c>
      <c r="AS369" s="96"/>
      <c r="AT369" s="176">
        <f t="shared" ref="AT369" si="1001">O369*AS369*$AT$2/1000</f>
        <v>0</v>
      </c>
      <c r="AU369" s="206"/>
      <c r="AV369" s="176">
        <f t="shared" ref="AV369" si="1002">O369*AU369*$AV$2/1000</f>
        <v>0</v>
      </c>
      <c r="AW369" s="206"/>
      <c r="AX369" s="205">
        <f t="shared" ref="AX369" si="1003">O369*AW369*$AX$2/1000</f>
        <v>0</v>
      </c>
      <c r="AY369" s="188">
        <f t="shared" ref="AY369" si="1004">SUM(AS369+AU369+AW369)</f>
        <v>0</v>
      </c>
      <c r="AZ369" s="96">
        <f t="shared" ref="AZ369" si="1005">SUM(AT369+AV369+AX369)</f>
        <v>0</v>
      </c>
      <c r="BA369" s="96">
        <f t="shared" ref="BA369" si="1006">SUM(AQ369+AY369)</f>
        <v>0</v>
      </c>
      <c r="BB369" s="96">
        <f t="shared" ref="BB369" si="1007">SUM(AR369,AZ369)</f>
        <v>0</v>
      </c>
      <c r="BC369" s="1" t="s">
        <v>1060</v>
      </c>
    </row>
    <row r="370" spans="1:55">
      <c r="B370" s="13"/>
      <c r="C370" s="13"/>
      <c r="D370" s="13"/>
      <c r="E370" s="21" t="s">
        <v>1180</v>
      </c>
      <c r="F370" s="90" t="s">
        <v>660</v>
      </c>
      <c r="G370" s="424" t="s">
        <v>1056</v>
      </c>
      <c r="H370" s="265" t="s">
        <v>358</v>
      </c>
      <c r="I370" s="54">
        <v>7.49</v>
      </c>
      <c r="J370" s="101"/>
      <c r="K370" s="54">
        <v>7.49</v>
      </c>
      <c r="L370" s="162"/>
      <c r="M370" s="54"/>
      <c r="N370" s="162"/>
      <c r="O370" s="54"/>
      <c r="P370" s="101"/>
      <c r="Q370" s="96">
        <f t="shared" si="826"/>
        <v>0</v>
      </c>
      <c r="R370" s="337">
        <f t="shared" si="827"/>
        <v>0</v>
      </c>
      <c r="S370" s="96"/>
      <c r="T370" s="96">
        <f t="shared" si="828"/>
        <v>0</v>
      </c>
      <c r="U370" s="96"/>
      <c r="V370" s="176">
        <f t="shared" si="829"/>
        <v>0</v>
      </c>
      <c r="W370" s="206"/>
      <c r="X370" s="205">
        <f t="shared" si="830"/>
        <v>0</v>
      </c>
      <c r="Y370" s="188">
        <f t="shared" si="831"/>
        <v>0</v>
      </c>
      <c r="Z370" s="176">
        <f t="shared" si="832"/>
        <v>0</v>
      </c>
      <c r="AA370" s="206"/>
      <c r="AB370" s="205">
        <f t="shared" si="833"/>
        <v>0</v>
      </c>
      <c r="AC370" s="206"/>
      <c r="AD370" s="176">
        <f t="shared" si="834"/>
        <v>0</v>
      </c>
      <c r="AE370" s="206"/>
      <c r="AF370" s="205">
        <f t="shared" si="835"/>
        <v>0</v>
      </c>
      <c r="AG370" s="188">
        <f t="shared" si="836"/>
        <v>0</v>
      </c>
      <c r="AH370" s="96">
        <f t="shared" si="837"/>
        <v>0</v>
      </c>
      <c r="AI370" s="96">
        <f t="shared" si="838"/>
        <v>0</v>
      </c>
      <c r="AJ370" s="176">
        <f t="shared" si="839"/>
        <v>0</v>
      </c>
      <c r="AK370" s="206"/>
      <c r="AL370" s="176">
        <f t="shared" si="840"/>
        <v>0</v>
      </c>
      <c r="AM370" s="243"/>
      <c r="AN370" s="176">
        <f t="shared" si="841"/>
        <v>0</v>
      </c>
      <c r="AO370" s="206"/>
      <c r="AP370" s="205">
        <f t="shared" si="842"/>
        <v>0</v>
      </c>
      <c r="AQ370" s="188">
        <f t="shared" si="843"/>
        <v>0</v>
      </c>
      <c r="AR370" s="96">
        <f t="shared" si="844"/>
        <v>0</v>
      </c>
      <c r="AS370" s="96"/>
      <c r="AT370" s="176">
        <f t="shared" si="845"/>
        <v>0</v>
      </c>
      <c r="AU370" s="206"/>
      <c r="AV370" s="176">
        <f t="shared" si="846"/>
        <v>0</v>
      </c>
      <c r="AW370" s="206"/>
      <c r="AX370" s="205">
        <f t="shared" si="847"/>
        <v>0</v>
      </c>
      <c r="AY370" s="188">
        <f t="shared" si="848"/>
        <v>0</v>
      </c>
      <c r="AZ370" s="96">
        <f t="shared" si="849"/>
        <v>0</v>
      </c>
      <c r="BA370" s="96">
        <f t="shared" si="850"/>
        <v>0</v>
      </c>
      <c r="BB370" s="96">
        <f t="shared" si="851"/>
        <v>0</v>
      </c>
      <c r="BC370" s="1" t="s">
        <v>1715</v>
      </c>
    </row>
    <row r="371" spans="1:55">
      <c r="A371" s="492">
        <v>211</v>
      </c>
      <c r="B371" s="13"/>
      <c r="C371" s="13"/>
      <c r="D371" s="13"/>
      <c r="E371" s="21" t="s">
        <v>1181</v>
      </c>
      <c r="F371" s="22" t="s">
        <v>976</v>
      </c>
      <c r="G371" s="22" t="s">
        <v>1060</v>
      </c>
      <c r="H371" s="265" t="s">
        <v>358</v>
      </c>
      <c r="I371" s="75">
        <v>5.92</v>
      </c>
      <c r="J371" s="111"/>
      <c r="K371" s="75">
        <v>5.92</v>
      </c>
      <c r="L371" s="167"/>
      <c r="M371" s="75"/>
      <c r="N371" s="167"/>
      <c r="O371" s="75"/>
      <c r="P371" s="111"/>
      <c r="Q371" s="96">
        <f t="shared" si="826"/>
        <v>5.9820000000000002</v>
      </c>
      <c r="R371" s="337">
        <f t="shared" si="827"/>
        <v>51.069091344</v>
      </c>
      <c r="S371" s="96">
        <v>4.242</v>
      </c>
      <c r="T371" s="96">
        <f t="shared" si="828"/>
        <v>36.253862736000002</v>
      </c>
      <c r="U371" s="96">
        <v>1.74</v>
      </c>
      <c r="V371" s="176">
        <f t="shared" si="829"/>
        <v>14.815228608000002</v>
      </c>
      <c r="W371" s="206"/>
      <c r="X371" s="205">
        <f t="shared" si="830"/>
        <v>0</v>
      </c>
      <c r="Y371" s="188">
        <f t="shared" si="831"/>
        <v>5.9820000000000002</v>
      </c>
      <c r="Z371" s="176">
        <f t="shared" si="832"/>
        <v>51.069091344</v>
      </c>
      <c r="AA371" s="206"/>
      <c r="AB371" s="205">
        <f t="shared" si="833"/>
        <v>0</v>
      </c>
      <c r="AC371" s="206"/>
      <c r="AD371" s="176">
        <f t="shared" si="834"/>
        <v>0</v>
      </c>
      <c r="AE371" s="206"/>
      <c r="AF371" s="204">
        <f t="shared" si="835"/>
        <v>0</v>
      </c>
      <c r="AG371" s="188">
        <f t="shared" si="836"/>
        <v>0</v>
      </c>
      <c r="AH371" s="96">
        <f t="shared" si="837"/>
        <v>0</v>
      </c>
      <c r="AI371" s="96">
        <f t="shared" si="838"/>
        <v>5.9820000000000002</v>
      </c>
      <c r="AJ371" s="176">
        <f t="shared" si="839"/>
        <v>51.069091344</v>
      </c>
      <c r="AK371" s="206"/>
      <c r="AL371" s="176">
        <f t="shared" si="840"/>
        <v>0</v>
      </c>
      <c r="AM371" s="243"/>
      <c r="AN371" s="176">
        <f t="shared" si="841"/>
        <v>0</v>
      </c>
      <c r="AO371" s="206"/>
      <c r="AP371" s="205">
        <f t="shared" si="842"/>
        <v>0</v>
      </c>
      <c r="AQ371" s="188">
        <f t="shared" si="843"/>
        <v>0</v>
      </c>
      <c r="AR371" s="96">
        <f t="shared" si="844"/>
        <v>0</v>
      </c>
      <c r="AS371" s="96"/>
      <c r="AT371" s="176">
        <f t="shared" si="845"/>
        <v>0</v>
      </c>
      <c r="AU371" s="206"/>
      <c r="AV371" s="176">
        <f t="shared" si="846"/>
        <v>0</v>
      </c>
      <c r="AW371" s="206"/>
      <c r="AX371" s="205">
        <f t="shared" si="847"/>
        <v>0</v>
      </c>
      <c r="AY371" s="188">
        <f t="shared" si="848"/>
        <v>0</v>
      </c>
      <c r="AZ371" s="96">
        <f t="shared" si="849"/>
        <v>0</v>
      </c>
      <c r="BA371" s="96">
        <f t="shared" si="850"/>
        <v>0</v>
      </c>
      <c r="BB371" s="96">
        <f t="shared" si="851"/>
        <v>0</v>
      </c>
      <c r="BC371" s="1" t="s">
        <v>1715</v>
      </c>
    </row>
    <row r="372" spans="1:55">
      <c r="A372" s="492">
        <v>205</v>
      </c>
      <c r="B372" s="13"/>
      <c r="C372" s="13"/>
      <c r="D372" s="13"/>
      <c r="E372" s="21" t="s">
        <v>2219</v>
      </c>
      <c r="F372" s="45" t="s">
        <v>1604</v>
      </c>
      <c r="G372" s="424"/>
      <c r="H372" s="265"/>
      <c r="I372" s="54">
        <v>5.8</v>
      </c>
      <c r="J372" s="101"/>
      <c r="K372" s="54">
        <v>5.8</v>
      </c>
      <c r="L372" s="162"/>
      <c r="M372" s="54"/>
      <c r="N372" s="162"/>
      <c r="O372" s="54"/>
      <c r="P372" s="101"/>
      <c r="Q372" s="96">
        <f t="shared" ref="Q372:Q410" si="1008">SUM(AI372+BA372)</f>
        <v>54.824000000000005</v>
      </c>
      <c r="R372" s="337">
        <f t="shared" ref="R372:R410" si="1009">SUM(AJ372+BB372)</f>
        <v>465.706804976</v>
      </c>
      <c r="S372" s="96">
        <v>12.375999999999999</v>
      </c>
      <c r="T372" s="96">
        <f t="shared" ref="T372:T410" si="1010">I372*S372*$T$2/1000</f>
        <v>103.62635192</v>
      </c>
      <c r="U372" s="96">
        <v>17.864000000000001</v>
      </c>
      <c r="V372" s="176">
        <f t="shared" ref="V372:V410" si="1011">I372*U372*$V$2/1000</f>
        <v>149.01984451199999</v>
      </c>
      <c r="W372" s="206">
        <v>15.343999999999999</v>
      </c>
      <c r="X372" s="205">
        <f t="shared" ref="X372:X410" si="1012">I372*W372*$X$2/1000</f>
        <v>133.70371862399998</v>
      </c>
      <c r="Y372" s="188">
        <f t="shared" ref="Y372:Y410" si="1013">SUM(S372+U372+W372)</f>
        <v>45.584000000000003</v>
      </c>
      <c r="Z372" s="176">
        <f t="shared" ref="Z372:Z410" si="1014">SUM(T372+V372+X372)</f>
        <v>386.34991505599999</v>
      </c>
      <c r="AA372" s="206">
        <v>9.24</v>
      </c>
      <c r="AB372" s="205">
        <f t="shared" ref="AB372:AB410" si="1015">K372*AA372*$AB$2/1000</f>
        <v>79.35688992</v>
      </c>
      <c r="AC372" s="206"/>
      <c r="AD372" s="176">
        <f t="shared" ref="AD372:AD410" si="1016">K372*AC372*$AD$2/1000</f>
        <v>0</v>
      </c>
      <c r="AE372" s="206"/>
      <c r="AF372" s="204">
        <f t="shared" ref="AF372:AF410" si="1017">K372*AE372*$AF$2/1000</f>
        <v>0</v>
      </c>
      <c r="AG372" s="188">
        <f t="shared" ref="AG372:AG410" si="1018">SUM(AA372+AC372+AE372)</f>
        <v>9.24</v>
      </c>
      <c r="AH372" s="96">
        <f t="shared" ref="AH372:AH410" si="1019">SUM(AB372+AD372+AF372)</f>
        <v>79.35688992</v>
      </c>
      <c r="AI372" s="96">
        <f t="shared" ref="AI372:AI410" si="1020">SUM(Y372+AG372)</f>
        <v>54.824000000000005</v>
      </c>
      <c r="AJ372" s="176">
        <f t="shared" ref="AJ372:AJ410" si="1021">SUM(Z372,AH372)</f>
        <v>465.706804976</v>
      </c>
      <c r="AK372" s="206"/>
      <c r="AL372" s="176">
        <f t="shared" ref="AL372:AL410" si="1022">M372*AK372*$AL$2/1000</f>
        <v>0</v>
      </c>
      <c r="AM372" s="243"/>
      <c r="AN372" s="176">
        <f t="shared" ref="AN372:AN410" si="1023">M372*AM372*$AN$2/1000</f>
        <v>0</v>
      </c>
      <c r="AO372" s="206"/>
      <c r="AP372" s="205">
        <f t="shared" ref="AP372:AP410" si="1024">M372*AO372*$AP$2/1000</f>
        <v>0</v>
      </c>
      <c r="AQ372" s="188">
        <f t="shared" ref="AQ372:AQ410" si="1025">SUM(AK372+AM372+AO372)</f>
        <v>0</v>
      </c>
      <c r="AR372" s="96">
        <f t="shared" ref="AR372:AR410" si="1026">SUM(AL372+AN372+AP372)</f>
        <v>0</v>
      </c>
      <c r="AS372" s="96"/>
      <c r="AT372" s="176">
        <f t="shared" ref="AT372:AT410" si="1027">O372*AS372*$AT$2/1000</f>
        <v>0</v>
      </c>
      <c r="AU372" s="206"/>
      <c r="AV372" s="176">
        <f t="shared" ref="AV372:AV410" si="1028">O372*AU372*$AV$2/1000</f>
        <v>0</v>
      </c>
      <c r="AW372" s="206"/>
      <c r="AX372" s="205">
        <f t="shared" ref="AX372:AX410" si="1029">O372*AW372*$AX$2/1000</f>
        <v>0</v>
      </c>
      <c r="AY372" s="188">
        <f t="shared" ref="AY372:AY410" si="1030">SUM(AS372+AU372+AW372)</f>
        <v>0</v>
      </c>
      <c r="AZ372" s="96">
        <f t="shared" ref="AZ372:AZ410" si="1031">SUM(AT372+AV372+AX372)</f>
        <v>0</v>
      </c>
      <c r="BA372" s="96">
        <f t="shared" ref="BA372:BA410" si="1032">SUM(AQ372+AY372)</f>
        <v>0</v>
      </c>
      <c r="BB372" s="96">
        <f t="shared" ref="BB372:BB410" si="1033">SUM(AR372,AZ372)</f>
        <v>0</v>
      </c>
      <c r="BC372" s="1" t="s">
        <v>1717</v>
      </c>
    </row>
    <row r="373" spans="1:55">
      <c r="A373" s="492">
        <v>205</v>
      </c>
      <c r="B373" s="13"/>
      <c r="C373" s="13"/>
      <c r="D373" s="13"/>
      <c r="E373" s="21" t="s">
        <v>1598</v>
      </c>
      <c r="F373" s="45" t="s">
        <v>1605</v>
      </c>
      <c r="G373" s="424"/>
      <c r="H373" s="265"/>
      <c r="I373" s="54">
        <v>6.1</v>
      </c>
      <c r="J373" s="101"/>
      <c r="K373" s="54">
        <v>6.1</v>
      </c>
      <c r="L373" s="162"/>
      <c r="M373" s="54"/>
      <c r="N373" s="162"/>
      <c r="O373" s="54"/>
      <c r="P373" s="101"/>
      <c r="Q373" s="96">
        <f t="shared" si="1008"/>
        <v>3.4159999999999999</v>
      </c>
      <c r="R373" s="337">
        <f t="shared" si="1009"/>
        <v>30.309136367999997</v>
      </c>
      <c r="S373" s="96">
        <v>1.008</v>
      </c>
      <c r="T373" s="96">
        <f t="shared" si="1010"/>
        <v>8.8767151200000001</v>
      </c>
      <c r="U373" s="96">
        <v>1.512</v>
      </c>
      <c r="V373" s="176">
        <f t="shared" si="1011"/>
        <v>13.265359631999999</v>
      </c>
      <c r="W373" s="206">
        <v>0.56000000000000005</v>
      </c>
      <c r="X373" s="205">
        <f t="shared" si="1012"/>
        <v>5.1320959199999994</v>
      </c>
      <c r="Y373" s="188">
        <f t="shared" si="1013"/>
        <v>3.08</v>
      </c>
      <c r="Z373" s="176">
        <f t="shared" si="1014"/>
        <v>27.274170671999997</v>
      </c>
      <c r="AA373" s="206">
        <v>0.33600000000000002</v>
      </c>
      <c r="AB373" s="205">
        <f t="shared" si="1015"/>
        <v>3.0349656959999995</v>
      </c>
      <c r="AC373" s="206"/>
      <c r="AD373" s="176">
        <f t="shared" si="1016"/>
        <v>0</v>
      </c>
      <c r="AE373" s="206"/>
      <c r="AF373" s="204">
        <f t="shared" si="1017"/>
        <v>0</v>
      </c>
      <c r="AG373" s="188">
        <f t="shared" si="1018"/>
        <v>0.33600000000000002</v>
      </c>
      <c r="AH373" s="96">
        <f t="shared" si="1019"/>
        <v>3.0349656959999995</v>
      </c>
      <c r="AI373" s="96">
        <f t="shared" si="1020"/>
        <v>3.4159999999999999</v>
      </c>
      <c r="AJ373" s="176">
        <f t="shared" si="1021"/>
        <v>30.309136367999997</v>
      </c>
      <c r="AK373" s="206"/>
      <c r="AL373" s="176">
        <f t="shared" si="1022"/>
        <v>0</v>
      </c>
      <c r="AM373" s="243"/>
      <c r="AN373" s="176">
        <f t="shared" si="1023"/>
        <v>0</v>
      </c>
      <c r="AO373" s="206"/>
      <c r="AP373" s="205">
        <f t="shared" si="1024"/>
        <v>0</v>
      </c>
      <c r="AQ373" s="188">
        <f t="shared" si="1025"/>
        <v>0</v>
      </c>
      <c r="AR373" s="96">
        <f t="shared" si="1026"/>
        <v>0</v>
      </c>
      <c r="AS373" s="96"/>
      <c r="AT373" s="176">
        <f t="shared" si="1027"/>
        <v>0</v>
      </c>
      <c r="AU373" s="206"/>
      <c r="AV373" s="176">
        <f t="shared" si="1028"/>
        <v>0</v>
      </c>
      <c r="AW373" s="206"/>
      <c r="AX373" s="205">
        <f t="shared" si="1029"/>
        <v>0</v>
      </c>
      <c r="AY373" s="188">
        <f t="shared" si="1030"/>
        <v>0</v>
      </c>
      <c r="AZ373" s="96">
        <f t="shared" si="1031"/>
        <v>0</v>
      </c>
      <c r="BA373" s="96">
        <f t="shared" si="1032"/>
        <v>0</v>
      </c>
      <c r="BB373" s="96">
        <f t="shared" si="1033"/>
        <v>0</v>
      </c>
      <c r="BC373" s="1" t="s">
        <v>1717</v>
      </c>
    </row>
    <row r="374" spans="1:55">
      <c r="A374" s="492">
        <v>205</v>
      </c>
      <c r="B374" s="13"/>
      <c r="C374" s="13"/>
      <c r="D374" s="13"/>
      <c r="E374" s="21" t="s">
        <v>1599</v>
      </c>
      <c r="F374" s="45" t="s">
        <v>1606</v>
      </c>
      <c r="G374" s="424"/>
      <c r="H374" s="265"/>
      <c r="I374" s="54">
        <v>6.25</v>
      </c>
      <c r="J374" s="101"/>
      <c r="K374" s="54">
        <v>6.25</v>
      </c>
      <c r="L374" s="162"/>
      <c r="M374" s="54"/>
      <c r="N374" s="162"/>
      <c r="O374" s="54"/>
      <c r="P374" s="101"/>
      <c r="Q374" s="96">
        <f t="shared" si="1008"/>
        <v>21.335999999999999</v>
      </c>
      <c r="R374" s="337">
        <f t="shared" si="1009"/>
        <v>194.3647895</v>
      </c>
      <c r="S374" s="96">
        <v>7.056</v>
      </c>
      <c r="T374" s="96">
        <f t="shared" si="1010"/>
        <v>63.664965000000002</v>
      </c>
      <c r="U374" s="96">
        <v>7.1120000000000001</v>
      </c>
      <c r="V374" s="176">
        <f t="shared" si="1011"/>
        <v>63.930657000000004</v>
      </c>
      <c r="W374" s="206">
        <v>3.1920000000000002</v>
      </c>
      <c r="X374" s="205">
        <f t="shared" si="1012"/>
        <v>29.972281500000001</v>
      </c>
      <c r="Y374" s="188">
        <f t="shared" si="1013"/>
        <v>17.36</v>
      </c>
      <c r="Z374" s="176">
        <f t="shared" si="1014"/>
        <v>157.5679035</v>
      </c>
      <c r="AA374" s="206">
        <v>3.976</v>
      </c>
      <c r="AB374" s="205">
        <f t="shared" si="1015"/>
        <v>36.796886000000001</v>
      </c>
      <c r="AC374" s="206"/>
      <c r="AD374" s="176">
        <f t="shared" si="1016"/>
        <v>0</v>
      </c>
      <c r="AE374" s="206"/>
      <c r="AF374" s="204">
        <f t="shared" si="1017"/>
        <v>0</v>
      </c>
      <c r="AG374" s="188">
        <f t="shared" si="1018"/>
        <v>3.976</v>
      </c>
      <c r="AH374" s="96">
        <f t="shared" si="1019"/>
        <v>36.796886000000001</v>
      </c>
      <c r="AI374" s="96">
        <f t="shared" si="1020"/>
        <v>21.335999999999999</v>
      </c>
      <c r="AJ374" s="176">
        <f t="shared" si="1021"/>
        <v>194.3647895</v>
      </c>
      <c r="AK374" s="206"/>
      <c r="AL374" s="176">
        <f t="shared" si="1022"/>
        <v>0</v>
      </c>
      <c r="AM374" s="243"/>
      <c r="AN374" s="176">
        <f t="shared" si="1023"/>
        <v>0</v>
      </c>
      <c r="AO374" s="206"/>
      <c r="AP374" s="205">
        <f t="shared" si="1024"/>
        <v>0</v>
      </c>
      <c r="AQ374" s="188">
        <f t="shared" si="1025"/>
        <v>0</v>
      </c>
      <c r="AR374" s="96">
        <f t="shared" si="1026"/>
        <v>0</v>
      </c>
      <c r="AS374" s="96"/>
      <c r="AT374" s="176">
        <f t="shared" si="1027"/>
        <v>0</v>
      </c>
      <c r="AU374" s="206"/>
      <c r="AV374" s="176">
        <f t="shared" si="1028"/>
        <v>0</v>
      </c>
      <c r="AW374" s="206"/>
      <c r="AX374" s="205">
        <f t="shared" si="1029"/>
        <v>0</v>
      </c>
      <c r="AY374" s="188">
        <f t="shared" si="1030"/>
        <v>0</v>
      </c>
      <c r="AZ374" s="96">
        <f t="shared" si="1031"/>
        <v>0</v>
      </c>
      <c r="BA374" s="96">
        <f t="shared" si="1032"/>
        <v>0</v>
      </c>
      <c r="BB374" s="96">
        <f t="shared" si="1033"/>
        <v>0</v>
      </c>
      <c r="BC374" s="1" t="s">
        <v>1717</v>
      </c>
    </row>
    <row r="375" spans="1:55">
      <c r="A375" s="492">
        <v>205</v>
      </c>
      <c r="B375" s="13"/>
      <c r="C375" s="13"/>
      <c r="D375" s="13"/>
      <c r="E375" s="21" t="s">
        <v>1600</v>
      </c>
      <c r="F375" s="45" t="s">
        <v>1607</v>
      </c>
      <c r="G375" s="424"/>
      <c r="H375" s="265"/>
      <c r="I375" s="54">
        <v>6.55</v>
      </c>
      <c r="J375" s="101"/>
      <c r="K375" s="54">
        <v>6.55</v>
      </c>
      <c r="L375" s="162"/>
      <c r="M375" s="54"/>
      <c r="N375" s="162"/>
      <c r="O375" s="54"/>
      <c r="P375" s="101"/>
      <c r="Q375" s="96">
        <f t="shared" si="1008"/>
        <v>5.4880000000000004</v>
      </c>
      <c r="R375" s="337">
        <f t="shared" si="1009"/>
        <v>52.877348804</v>
      </c>
      <c r="S375" s="96">
        <v>1.8480000000000001</v>
      </c>
      <c r="T375" s="96">
        <f t="shared" si="1010"/>
        <v>17.474517060000004</v>
      </c>
      <c r="U375" s="96">
        <v>0.72799999999999998</v>
      </c>
      <c r="V375" s="176">
        <f t="shared" si="1011"/>
        <v>6.8581989839999995</v>
      </c>
      <c r="W375" s="206">
        <v>2.1280000000000001</v>
      </c>
      <c r="X375" s="205">
        <f t="shared" si="1012"/>
        <v>20.940634007999996</v>
      </c>
      <c r="Y375" s="188">
        <f t="shared" si="1013"/>
        <v>4.7040000000000006</v>
      </c>
      <c r="Z375" s="176">
        <f t="shared" si="1014"/>
        <v>45.273350051999998</v>
      </c>
      <c r="AA375" s="206">
        <v>0.78400000000000003</v>
      </c>
      <c r="AB375" s="205">
        <f t="shared" si="1015"/>
        <v>7.6039987520000007</v>
      </c>
      <c r="AC375" s="206"/>
      <c r="AD375" s="176">
        <f t="shared" si="1016"/>
        <v>0</v>
      </c>
      <c r="AE375" s="206"/>
      <c r="AF375" s="204">
        <f t="shared" si="1017"/>
        <v>0</v>
      </c>
      <c r="AG375" s="188">
        <f t="shared" si="1018"/>
        <v>0.78400000000000003</v>
      </c>
      <c r="AH375" s="96">
        <f t="shared" si="1019"/>
        <v>7.6039987520000007</v>
      </c>
      <c r="AI375" s="96">
        <f t="shared" si="1020"/>
        <v>5.4880000000000004</v>
      </c>
      <c r="AJ375" s="176">
        <f t="shared" si="1021"/>
        <v>52.877348804</v>
      </c>
      <c r="AK375" s="206"/>
      <c r="AL375" s="176">
        <f t="shared" si="1022"/>
        <v>0</v>
      </c>
      <c r="AM375" s="243"/>
      <c r="AN375" s="176">
        <f t="shared" si="1023"/>
        <v>0</v>
      </c>
      <c r="AO375" s="206"/>
      <c r="AP375" s="205">
        <f t="shared" si="1024"/>
        <v>0</v>
      </c>
      <c r="AQ375" s="188">
        <f t="shared" si="1025"/>
        <v>0</v>
      </c>
      <c r="AR375" s="96">
        <f t="shared" si="1026"/>
        <v>0</v>
      </c>
      <c r="AS375" s="96"/>
      <c r="AT375" s="176">
        <f t="shared" si="1027"/>
        <v>0</v>
      </c>
      <c r="AU375" s="206"/>
      <c r="AV375" s="176">
        <f t="shared" si="1028"/>
        <v>0</v>
      </c>
      <c r="AW375" s="206"/>
      <c r="AX375" s="205">
        <f t="shared" si="1029"/>
        <v>0</v>
      </c>
      <c r="AY375" s="188">
        <f t="shared" si="1030"/>
        <v>0</v>
      </c>
      <c r="AZ375" s="96">
        <f t="shared" si="1031"/>
        <v>0</v>
      </c>
      <c r="BA375" s="96">
        <f t="shared" si="1032"/>
        <v>0</v>
      </c>
      <c r="BB375" s="96">
        <f t="shared" si="1033"/>
        <v>0</v>
      </c>
      <c r="BC375" s="1" t="s">
        <v>1717</v>
      </c>
    </row>
    <row r="376" spans="1:55">
      <c r="A376" s="492">
        <v>205</v>
      </c>
      <c r="B376" s="13"/>
      <c r="C376" s="13"/>
      <c r="D376" s="13"/>
      <c r="E376" s="21" t="s">
        <v>1696</v>
      </c>
      <c r="F376" s="45" t="s">
        <v>1698</v>
      </c>
      <c r="G376" s="424"/>
      <c r="H376" s="265"/>
      <c r="I376" s="54">
        <v>6.7</v>
      </c>
      <c r="J376" s="101"/>
      <c r="K376" s="54">
        <v>6.7</v>
      </c>
      <c r="L376" s="162"/>
      <c r="M376" s="54"/>
      <c r="N376" s="162"/>
      <c r="O376" s="54"/>
      <c r="P376" s="101"/>
      <c r="Q376" s="96">
        <f t="shared" si="1008"/>
        <v>0.64700000000000002</v>
      </c>
      <c r="R376" s="337">
        <f t="shared" si="1009"/>
        <v>6.4200083399999999</v>
      </c>
      <c r="S376" s="96">
        <v>0.224</v>
      </c>
      <c r="T376" s="96">
        <f t="shared" si="1010"/>
        <v>2.1666299200000001</v>
      </c>
      <c r="U376" s="96"/>
      <c r="V376" s="176">
        <f t="shared" si="1011"/>
        <v>0</v>
      </c>
      <c r="W376" s="206">
        <v>0.39200000000000002</v>
      </c>
      <c r="X376" s="205">
        <f t="shared" si="1012"/>
        <v>3.9458245679999999</v>
      </c>
      <c r="Y376" s="188">
        <f t="shared" si="1013"/>
        <v>0.61599999999999999</v>
      </c>
      <c r="Z376" s="176">
        <f t="shared" si="1014"/>
        <v>6.112454488</v>
      </c>
      <c r="AA376" s="206">
        <v>3.1E-2</v>
      </c>
      <c r="AB376" s="205">
        <f t="shared" si="1015"/>
        <v>0.30755385200000002</v>
      </c>
      <c r="AC376" s="206"/>
      <c r="AD376" s="176">
        <f t="shared" si="1016"/>
        <v>0</v>
      </c>
      <c r="AE376" s="206"/>
      <c r="AF376" s="204">
        <f t="shared" si="1017"/>
        <v>0</v>
      </c>
      <c r="AG376" s="188">
        <f t="shared" si="1018"/>
        <v>3.1E-2</v>
      </c>
      <c r="AH376" s="96">
        <f t="shared" si="1019"/>
        <v>0.30755385200000002</v>
      </c>
      <c r="AI376" s="96">
        <f t="shared" si="1020"/>
        <v>0.64700000000000002</v>
      </c>
      <c r="AJ376" s="176">
        <f t="shared" si="1021"/>
        <v>6.4200083399999999</v>
      </c>
      <c r="AK376" s="206"/>
      <c r="AL376" s="176">
        <f t="shared" si="1022"/>
        <v>0</v>
      </c>
      <c r="AM376" s="243"/>
      <c r="AN376" s="176">
        <f t="shared" si="1023"/>
        <v>0</v>
      </c>
      <c r="AO376" s="206"/>
      <c r="AP376" s="205">
        <f t="shared" si="1024"/>
        <v>0</v>
      </c>
      <c r="AQ376" s="188">
        <f t="shared" si="1025"/>
        <v>0</v>
      </c>
      <c r="AR376" s="96">
        <f t="shared" si="1026"/>
        <v>0</v>
      </c>
      <c r="AS376" s="96"/>
      <c r="AT376" s="176">
        <f t="shared" si="1027"/>
        <v>0</v>
      </c>
      <c r="AU376" s="206"/>
      <c r="AV376" s="176">
        <f t="shared" si="1028"/>
        <v>0</v>
      </c>
      <c r="AW376" s="206"/>
      <c r="AX376" s="205">
        <f t="shared" si="1029"/>
        <v>0</v>
      </c>
      <c r="AY376" s="188">
        <f t="shared" si="1030"/>
        <v>0</v>
      </c>
      <c r="AZ376" s="96">
        <f t="shared" si="1031"/>
        <v>0</v>
      </c>
      <c r="BA376" s="96">
        <f t="shared" si="1032"/>
        <v>0</v>
      </c>
      <c r="BB376" s="96">
        <f t="shared" si="1033"/>
        <v>0</v>
      </c>
      <c r="BC376" s="1" t="s">
        <v>1717</v>
      </c>
    </row>
    <row r="377" spans="1:55">
      <c r="A377" s="492">
        <v>205</v>
      </c>
      <c r="B377" s="13"/>
      <c r="C377" s="13"/>
      <c r="D377" s="13"/>
      <c r="E377" s="21" t="s">
        <v>1697</v>
      </c>
      <c r="F377" s="45" t="s">
        <v>1699</v>
      </c>
      <c r="G377" s="424"/>
      <c r="H377" s="265"/>
      <c r="I377" s="54">
        <v>6.9</v>
      </c>
      <c r="J377" s="101"/>
      <c r="K377" s="54">
        <v>6.9</v>
      </c>
      <c r="L377" s="162"/>
      <c r="M377" s="54"/>
      <c r="N377" s="162"/>
      <c r="O377" s="54"/>
      <c r="P377" s="101"/>
      <c r="Q377" s="96">
        <f t="shared" si="1008"/>
        <v>0.1</v>
      </c>
      <c r="R377" s="337">
        <f t="shared" si="1009"/>
        <v>1.0300745039999999</v>
      </c>
      <c r="S377" s="96"/>
      <c r="T377" s="96">
        <f t="shared" si="1010"/>
        <v>0</v>
      </c>
      <c r="U377" s="96"/>
      <c r="V377" s="176">
        <f t="shared" si="1011"/>
        <v>0</v>
      </c>
      <c r="W377" s="206">
        <v>5.6000000000000001E-2</v>
      </c>
      <c r="X377" s="205">
        <f t="shared" si="1012"/>
        <v>0.58051576799999993</v>
      </c>
      <c r="Y377" s="188">
        <f t="shared" si="1013"/>
        <v>5.6000000000000001E-2</v>
      </c>
      <c r="Z377" s="176">
        <f t="shared" si="1014"/>
        <v>0.58051576799999993</v>
      </c>
      <c r="AA377" s="206">
        <v>4.3999999999999997E-2</v>
      </c>
      <c r="AB377" s="205">
        <f t="shared" si="1015"/>
        <v>0.44955873599999996</v>
      </c>
      <c r="AC377" s="206"/>
      <c r="AD377" s="176">
        <f t="shared" si="1016"/>
        <v>0</v>
      </c>
      <c r="AE377" s="206"/>
      <c r="AF377" s="204">
        <f t="shared" si="1017"/>
        <v>0</v>
      </c>
      <c r="AG377" s="188">
        <f t="shared" si="1018"/>
        <v>4.3999999999999997E-2</v>
      </c>
      <c r="AH377" s="96">
        <f t="shared" si="1019"/>
        <v>0.44955873599999996</v>
      </c>
      <c r="AI377" s="96">
        <f t="shared" si="1020"/>
        <v>0.1</v>
      </c>
      <c r="AJ377" s="176">
        <f t="shared" si="1021"/>
        <v>1.0300745039999999</v>
      </c>
      <c r="AK377" s="206"/>
      <c r="AL377" s="176">
        <f t="shared" si="1022"/>
        <v>0</v>
      </c>
      <c r="AM377" s="243"/>
      <c r="AN377" s="176">
        <f t="shared" si="1023"/>
        <v>0</v>
      </c>
      <c r="AO377" s="206"/>
      <c r="AP377" s="205">
        <f t="shared" si="1024"/>
        <v>0</v>
      </c>
      <c r="AQ377" s="188">
        <f t="shared" si="1025"/>
        <v>0</v>
      </c>
      <c r="AR377" s="96">
        <f t="shared" si="1026"/>
        <v>0</v>
      </c>
      <c r="AS377" s="96"/>
      <c r="AT377" s="176">
        <f t="shared" si="1027"/>
        <v>0</v>
      </c>
      <c r="AU377" s="206"/>
      <c r="AV377" s="176">
        <f t="shared" si="1028"/>
        <v>0</v>
      </c>
      <c r="AW377" s="206"/>
      <c r="AX377" s="205">
        <f t="shared" si="1029"/>
        <v>0</v>
      </c>
      <c r="AY377" s="188">
        <f t="shared" si="1030"/>
        <v>0</v>
      </c>
      <c r="AZ377" s="96">
        <f t="shared" si="1031"/>
        <v>0</v>
      </c>
      <c r="BA377" s="96">
        <f t="shared" si="1032"/>
        <v>0</v>
      </c>
      <c r="BB377" s="96">
        <f t="shared" si="1033"/>
        <v>0</v>
      </c>
      <c r="BC377" s="1" t="s">
        <v>1717</v>
      </c>
    </row>
    <row r="378" spans="1:55">
      <c r="A378" s="492">
        <v>205</v>
      </c>
      <c r="B378" s="13"/>
      <c r="C378" s="13"/>
      <c r="D378" s="13"/>
      <c r="E378" s="21" t="s">
        <v>1601</v>
      </c>
      <c r="F378" s="45" t="s">
        <v>1608</v>
      </c>
      <c r="G378" s="424"/>
      <c r="H378" s="265"/>
      <c r="I378" s="54">
        <v>6.8</v>
      </c>
      <c r="J378" s="101"/>
      <c r="K378" s="54">
        <v>6.8</v>
      </c>
      <c r="L378" s="162"/>
      <c r="M378" s="54"/>
      <c r="N378" s="162"/>
      <c r="O378" s="54"/>
      <c r="P378" s="101"/>
      <c r="Q378" s="96">
        <f t="shared" si="1008"/>
        <v>5.8319999999999999</v>
      </c>
      <c r="R378" s="337">
        <f t="shared" si="1009"/>
        <v>57.634270399999998</v>
      </c>
      <c r="S378" s="96">
        <v>2.2679999999999998</v>
      </c>
      <c r="T378" s="96">
        <f t="shared" si="1010"/>
        <v>22.264547759999999</v>
      </c>
      <c r="U378" s="96">
        <v>2.3759999999999999</v>
      </c>
      <c r="V378" s="176">
        <f t="shared" si="1011"/>
        <v>23.237679168</v>
      </c>
      <c r="W378" s="206">
        <v>1.1559999999999999</v>
      </c>
      <c r="X378" s="205">
        <f t="shared" si="1012"/>
        <v>11.809830095999997</v>
      </c>
      <c r="Y378" s="188">
        <f t="shared" si="1013"/>
        <v>5.8</v>
      </c>
      <c r="Z378" s="176">
        <f t="shared" si="1014"/>
        <v>57.312057023999998</v>
      </c>
      <c r="AA378" s="206">
        <v>3.2000000000000001E-2</v>
      </c>
      <c r="AB378" s="205">
        <f t="shared" si="1015"/>
        <v>0.322213376</v>
      </c>
      <c r="AC378" s="206"/>
      <c r="AD378" s="176">
        <f t="shared" si="1016"/>
        <v>0</v>
      </c>
      <c r="AE378" s="206"/>
      <c r="AF378" s="204">
        <f t="shared" si="1017"/>
        <v>0</v>
      </c>
      <c r="AG378" s="188">
        <f t="shared" si="1018"/>
        <v>3.2000000000000001E-2</v>
      </c>
      <c r="AH378" s="96">
        <f t="shared" si="1019"/>
        <v>0.322213376</v>
      </c>
      <c r="AI378" s="96">
        <f t="shared" si="1020"/>
        <v>5.8319999999999999</v>
      </c>
      <c r="AJ378" s="176">
        <f t="shared" si="1021"/>
        <v>57.634270399999998</v>
      </c>
      <c r="AK378" s="206"/>
      <c r="AL378" s="176">
        <f t="shared" si="1022"/>
        <v>0</v>
      </c>
      <c r="AM378" s="243"/>
      <c r="AN378" s="176">
        <f t="shared" si="1023"/>
        <v>0</v>
      </c>
      <c r="AO378" s="206"/>
      <c r="AP378" s="205">
        <f t="shared" si="1024"/>
        <v>0</v>
      </c>
      <c r="AQ378" s="188">
        <f t="shared" si="1025"/>
        <v>0</v>
      </c>
      <c r="AR378" s="96">
        <f t="shared" si="1026"/>
        <v>0</v>
      </c>
      <c r="AS378" s="96"/>
      <c r="AT378" s="176">
        <f t="shared" si="1027"/>
        <v>0</v>
      </c>
      <c r="AU378" s="206"/>
      <c r="AV378" s="176">
        <f t="shared" si="1028"/>
        <v>0</v>
      </c>
      <c r="AW378" s="206"/>
      <c r="AX378" s="205">
        <f t="shared" si="1029"/>
        <v>0</v>
      </c>
      <c r="AY378" s="188">
        <f t="shared" si="1030"/>
        <v>0</v>
      </c>
      <c r="AZ378" s="96">
        <f t="shared" si="1031"/>
        <v>0</v>
      </c>
      <c r="BA378" s="96">
        <f t="shared" si="1032"/>
        <v>0</v>
      </c>
      <c r="BB378" s="96">
        <f t="shared" si="1033"/>
        <v>0</v>
      </c>
      <c r="BC378" s="1" t="s">
        <v>1717</v>
      </c>
    </row>
    <row r="379" spans="1:55">
      <c r="A379" s="492">
        <v>205</v>
      </c>
      <c r="B379" s="13"/>
      <c r="C379" s="13"/>
      <c r="D379" s="13"/>
      <c r="E379" s="21" t="s">
        <v>1681</v>
      </c>
      <c r="F379" s="45" t="s">
        <v>1682</v>
      </c>
      <c r="G379" s="424"/>
      <c r="H379" s="265"/>
      <c r="I379" s="54">
        <v>7.15</v>
      </c>
      <c r="J379" s="101"/>
      <c r="K379" s="54">
        <v>7.15</v>
      </c>
      <c r="L379" s="162"/>
      <c r="M379" s="54"/>
      <c r="N379" s="162"/>
      <c r="O379" s="54"/>
      <c r="P379" s="101"/>
      <c r="Q379" s="96">
        <f t="shared" si="1008"/>
        <v>0.81099999999999994</v>
      </c>
      <c r="R379" s="337">
        <f t="shared" si="1009"/>
        <v>8.3670589144999994</v>
      </c>
      <c r="S379" s="96">
        <v>0.70299999999999996</v>
      </c>
      <c r="T379" s="96">
        <f t="shared" si="1010"/>
        <v>7.2564345425000001</v>
      </c>
      <c r="U379" s="96">
        <v>0.108</v>
      </c>
      <c r="V379" s="176">
        <f t="shared" si="1011"/>
        <v>1.110624372</v>
      </c>
      <c r="W379" s="206"/>
      <c r="X379" s="205">
        <f t="shared" si="1012"/>
        <v>0</v>
      </c>
      <c r="Y379" s="188">
        <f t="shared" si="1013"/>
        <v>0.81099999999999994</v>
      </c>
      <c r="Z379" s="176">
        <f t="shared" si="1014"/>
        <v>8.3670589144999994</v>
      </c>
      <c r="AA379" s="206"/>
      <c r="AB379" s="205">
        <f t="shared" si="1015"/>
        <v>0</v>
      </c>
      <c r="AC379" s="206"/>
      <c r="AD379" s="176">
        <f t="shared" si="1016"/>
        <v>0</v>
      </c>
      <c r="AE379" s="206"/>
      <c r="AF379" s="204">
        <f t="shared" si="1017"/>
        <v>0</v>
      </c>
      <c r="AG379" s="188">
        <f t="shared" si="1018"/>
        <v>0</v>
      </c>
      <c r="AH379" s="96">
        <f t="shared" si="1019"/>
        <v>0</v>
      </c>
      <c r="AI379" s="96">
        <f t="shared" si="1020"/>
        <v>0.81099999999999994</v>
      </c>
      <c r="AJ379" s="176">
        <f t="shared" si="1021"/>
        <v>8.3670589144999994</v>
      </c>
      <c r="AK379" s="206"/>
      <c r="AL379" s="176">
        <f t="shared" si="1022"/>
        <v>0</v>
      </c>
      <c r="AM379" s="243"/>
      <c r="AN379" s="176">
        <f t="shared" si="1023"/>
        <v>0</v>
      </c>
      <c r="AO379" s="206"/>
      <c r="AP379" s="205">
        <f t="shared" si="1024"/>
        <v>0</v>
      </c>
      <c r="AQ379" s="188">
        <f t="shared" si="1025"/>
        <v>0</v>
      </c>
      <c r="AR379" s="96">
        <f t="shared" si="1026"/>
        <v>0</v>
      </c>
      <c r="AS379" s="96"/>
      <c r="AT379" s="176">
        <f t="shared" si="1027"/>
        <v>0</v>
      </c>
      <c r="AU379" s="206"/>
      <c r="AV379" s="176">
        <f t="shared" si="1028"/>
        <v>0</v>
      </c>
      <c r="AW379" s="206"/>
      <c r="AX379" s="205">
        <f t="shared" si="1029"/>
        <v>0</v>
      </c>
      <c r="AY379" s="188">
        <f t="shared" si="1030"/>
        <v>0</v>
      </c>
      <c r="AZ379" s="96">
        <f t="shared" si="1031"/>
        <v>0</v>
      </c>
      <c r="BA379" s="96">
        <f t="shared" si="1032"/>
        <v>0</v>
      </c>
      <c r="BB379" s="96">
        <f t="shared" si="1033"/>
        <v>0</v>
      </c>
      <c r="BC379" s="1" t="s">
        <v>1717</v>
      </c>
    </row>
    <row r="380" spans="1:55">
      <c r="A380" s="492">
        <v>205</v>
      </c>
      <c r="B380" s="13"/>
      <c r="C380" s="13"/>
      <c r="D380" s="13"/>
      <c r="E380" s="21" t="s">
        <v>1602</v>
      </c>
      <c r="F380" s="45" t="s">
        <v>1609</v>
      </c>
      <c r="G380" s="424"/>
      <c r="H380" s="265"/>
      <c r="I380" s="54">
        <v>7</v>
      </c>
      <c r="J380" s="101"/>
      <c r="K380" s="54">
        <v>7</v>
      </c>
      <c r="L380" s="162"/>
      <c r="M380" s="54"/>
      <c r="N380" s="162"/>
      <c r="O380" s="54"/>
      <c r="P380" s="101"/>
      <c r="Q380" s="96">
        <f t="shared" si="1008"/>
        <v>0</v>
      </c>
      <c r="R380" s="337">
        <f t="shared" si="1009"/>
        <v>0</v>
      </c>
      <c r="S380" s="96"/>
      <c r="T380" s="96">
        <f t="shared" si="1010"/>
        <v>0</v>
      </c>
      <c r="U380" s="96"/>
      <c r="V380" s="176">
        <f t="shared" si="1011"/>
        <v>0</v>
      </c>
      <c r="W380" s="206"/>
      <c r="X380" s="205">
        <f t="shared" si="1012"/>
        <v>0</v>
      </c>
      <c r="Y380" s="188">
        <f t="shared" si="1013"/>
        <v>0</v>
      </c>
      <c r="Z380" s="176">
        <f t="shared" si="1014"/>
        <v>0</v>
      </c>
      <c r="AA380" s="206"/>
      <c r="AB380" s="205">
        <f t="shared" si="1015"/>
        <v>0</v>
      </c>
      <c r="AC380" s="206"/>
      <c r="AD380" s="176">
        <f t="shared" si="1016"/>
        <v>0</v>
      </c>
      <c r="AE380" s="206"/>
      <c r="AF380" s="204">
        <f t="shared" si="1017"/>
        <v>0</v>
      </c>
      <c r="AG380" s="188">
        <f t="shared" si="1018"/>
        <v>0</v>
      </c>
      <c r="AH380" s="96">
        <f t="shared" si="1019"/>
        <v>0</v>
      </c>
      <c r="AI380" s="96">
        <f t="shared" si="1020"/>
        <v>0</v>
      </c>
      <c r="AJ380" s="176">
        <f t="shared" si="1021"/>
        <v>0</v>
      </c>
      <c r="AK380" s="206"/>
      <c r="AL380" s="176">
        <f t="shared" si="1022"/>
        <v>0</v>
      </c>
      <c r="AM380" s="243"/>
      <c r="AN380" s="176">
        <f t="shared" si="1023"/>
        <v>0</v>
      </c>
      <c r="AO380" s="206"/>
      <c r="AP380" s="205">
        <f t="shared" si="1024"/>
        <v>0</v>
      </c>
      <c r="AQ380" s="188">
        <f t="shared" si="1025"/>
        <v>0</v>
      </c>
      <c r="AR380" s="96">
        <f t="shared" si="1026"/>
        <v>0</v>
      </c>
      <c r="AS380" s="96"/>
      <c r="AT380" s="176">
        <f t="shared" si="1027"/>
        <v>0</v>
      </c>
      <c r="AU380" s="206"/>
      <c r="AV380" s="176">
        <f t="shared" si="1028"/>
        <v>0</v>
      </c>
      <c r="AW380" s="206"/>
      <c r="AX380" s="205">
        <f t="shared" si="1029"/>
        <v>0</v>
      </c>
      <c r="AY380" s="188">
        <f t="shared" si="1030"/>
        <v>0</v>
      </c>
      <c r="AZ380" s="96">
        <f t="shared" si="1031"/>
        <v>0</v>
      </c>
      <c r="BA380" s="96">
        <f t="shared" si="1032"/>
        <v>0</v>
      </c>
      <c r="BB380" s="96">
        <f t="shared" si="1033"/>
        <v>0</v>
      </c>
      <c r="BC380" s="1" t="s">
        <v>1717</v>
      </c>
    </row>
    <row r="381" spans="1:55">
      <c r="A381" s="492">
        <v>205</v>
      </c>
      <c r="B381" s="13"/>
      <c r="C381" s="13"/>
      <c r="D381" s="13"/>
      <c r="E381" s="21" t="s">
        <v>1603</v>
      </c>
      <c r="F381" s="45" t="s">
        <v>1610</v>
      </c>
      <c r="G381" s="424"/>
      <c r="H381" s="265"/>
      <c r="I381" s="54">
        <v>8.9</v>
      </c>
      <c r="J381" s="101"/>
      <c r="K381" s="54">
        <v>8.9</v>
      </c>
      <c r="L381" s="162"/>
      <c r="M381" s="54"/>
      <c r="N381" s="162"/>
      <c r="O381" s="54"/>
      <c r="P381" s="101"/>
      <c r="Q381" s="96">
        <f t="shared" si="1008"/>
        <v>0</v>
      </c>
      <c r="R381" s="337">
        <f t="shared" si="1009"/>
        <v>0</v>
      </c>
      <c r="S381" s="96"/>
      <c r="T381" s="96">
        <f t="shared" si="1010"/>
        <v>0</v>
      </c>
      <c r="U381" s="96"/>
      <c r="V381" s="176">
        <f t="shared" si="1011"/>
        <v>0</v>
      </c>
      <c r="W381" s="206"/>
      <c r="X381" s="205">
        <f t="shared" si="1012"/>
        <v>0</v>
      </c>
      <c r="Y381" s="188">
        <f t="shared" si="1013"/>
        <v>0</v>
      </c>
      <c r="Z381" s="176">
        <f t="shared" si="1014"/>
        <v>0</v>
      </c>
      <c r="AA381" s="206"/>
      <c r="AB381" s="205">
        <f t="shared" si="1015"/>
        <v>0</v>
      </c>
      <c r="AC381" s="206"/>
      <c r="AD381" s="176">
        <f t="shared" si="1016"/>
        <v>0</v>
      </c>
      <c r="AE381" s="206"/>
      <c r="AF381" s="204">
        <f t="shared" si="1017"/>
        <v>0</v>
      </c>
      <c r="AG381" s="188">
        <f t="shared" si="1018"/>
        <v>0</v>
      </c>
      <c r="AH381" s="96">
        <f t="shared" si="1019"/>
        <v>0</v>
      </c>
      <c r="AI381" s="96">
        <f t="shared" si="1020"/>
        <v>0</v>
      </c>
      <c r="AJ381" s="176">
        <f t="shared" si="1021"/>
        <v>0</v>
      </c>
      <c r="AK381" s="206"/>
      <c r="AL381" s="176">
        <f t="shared" si="1022"/>
        <v>0</v>
      </c>
      <c r="AM381" s="243"/>
      <c r="AN381" s="176">
        <f t="shared" si="1023"/>
        <v>0</v>
      </c>
      <c r="AO381" s="206"/>
      <c r="AP381" s="205">
        <f t="shared" si="1024"/>
        <v>0</v>
      </c>
      <c r="AQ381" s="188">
        <f t="shared" si="1025"/>
        <v>0</v>
      </c>
      <c r="AR381" s="96">
        <f t="shared" si="1026"/>
        <v>0</v>
      </c>
      <c r="AS381" s="96"/>
      <c r="AT381" s="176">
        <f t="shared" si="1027"/>
        <v>0</v>
      </c>
      <c r="AU381" s="206"/>
      <c r="AV381" s="176">
        <f t="shared" si="1028"/>
        <v>0</v>
      </c>
      <c r="AW381" s="206"/>
      <c r="AX381" s="205">
        <f t="shared" si="1029"/>
        <v>0</v>
      </c>
      <c r="AY381" s="188">
        <f t="shared" si="1030"/>
        <v>0</v>
      </c>
      <c r="AZ381" s="96">
        <f t="shared" si="1031"/>
        <v>0</v>
      </c>
      <c r="BA381" s="96">
        <f t="shared" si="1032"/>
        <v>0</v>
      </c>
      <c r="BB381" s="96">
        <f t="shared" si="1033"/>
        <v>0</v>
      </c>
      <c r="BC381" s="1" t="s">
        <v>1717</v>
      </c>
    </row>
    <row r="382" spans="1:55">
      <c r="A382" s="492">
        <v>215</v>
      </c>
      <c r="B382" s="52" t="s">
        <v>661</v>
      </c>
      <c r="C382" s="52" t="s">
        <v>654</v>
      </c>
      <c r="D382" s="52" t="s">
        <v>655</v>
      </c>
      <c r="E382" s="21" t="s">
        <v>972</v>
      </c>
      <c r="F382" s="45" t="s">
        <v>974</v>
      </c>
      <c r="G382" s="45" t="s">
        <v>1057</v>
      </c>
      <c r="H382" s="265" t="s">
        <v>357</v>
      </c>
      <c r="I382" s="54">
        <v>4.84</v>
      </c>
      <c r="J382" s="101"/>
      <c r="K382" s="54">
        <v>4.84</v>
      </c>
      <c r="L382" s="162"/>
      <c r="M382" s="54"/>
      <c r="N382" s="162"/>
      <c r="O382" s="54"/>
      <c r="P382" s="101"/>
      <c r="Q382" s="96">
        <f t="shared" si="1008"/>
        <v>94.08</v>
      </c>
      <c r="R382" s="337">
        <f t="shared" si="1009"/>
        <v>665.99264540159993</v>
      </c>
      <c r="S382" s="96">
        <v>38.207999999999998</v>
      </c>
      <c r="T382" s="96">
        <f t="shared" si="1010"/>
        <v>266.96945932800003</v>
      </c>
      <c r="U382" s="96">
        <v>23.36</v>
      </c>
      <c r="V382" s="176">
        <f t="shared" si="1011"/>
        <v>162.613127424</v>
      </c>
      <c r="W382" s="206">
        <v>32.512</v>
      </c>
      <c r="X382" s="205">
        <f t="shared" si="1012"/>
        <v>236.41005864959999</v>
      </c>
      <c r="Y382" s="188">
        <f t="shared" si="1013"/>
        <v>94.08</v>
      </c>
      <c r="Z382" s="176">
        <f t="shared" si="1014"/>
        <v>665.99264540159993</v>
      </c>
      <c r="AA382" s="206"/>
      <c r="AB382" s="205">
        <f t="shared" si="1015"/>
        <v>0</v>
      </c>
      <c r="AC382" s="206"/>
      <c r="AD382" s="176">
        <f t="shared" si="1016"/>
        <v>0</v>
      </c>
      <c r="AE382" s="206"/>
      <c r="AF382" s="204">
        <f t="shared" si="1017"/>
        <v>0</v>
      </c>
      <c r="AG382" s="188">
        <f t="shared" si="1018"/>
        <v>0</v>
      </c>
      <c r="AH382" s="96">
        <f t="shared" si="1019"/>
        <v>0</v>
      </c>
      <c r="AI382" s="96">
        <f t="shared" si="1020"/>
        <v>94.08</v>
      </c>
      <c r="AJ382" s="176">
        <f t="shared" si="1021"/>
        <v>665.99264540159993</v>
      </c>
      <c r="AK382" s="206"/>
      <c r="AL382" s="176">
        <f t="shared" si="1022"/>
        <v>0</v>
      </c>
      <c r="AM382" s="243"/>
      <c r="AN382" s="176">
        <f t="shared" si="1023"/>
        <v>0</v>
      </c>
      <c r="AO382" s="206"/>
      <c r="AP382" s="205">
        <f t="shared" si="1024"/>
        <v>0</v>
      </c>
      <c r="AQ382" s="188">
        <f t="shared" si="1025"/>
        <v>0</v>
      </c>
      <c r="AR382" s="96">
        <f t="shared" si="1026"/>
        <v>0</v>
      </c>
      <c r="AS382" s="96"/>
      <c r="AT382" s="176">
        <f t="shared" si="1027"/>
        <v>0</v>
      </c>
      <c r="AU382" s="206"/>
      <c r="AV382" s="176">
        <f t="shared" si="1028"/>
        <v>0</v>
      </c>
      <c r="AW382" s="206"/>
      <c r="AX382" s="205">
        <f t="shared" si="1029"/>
        <v>0</v>
      </c>
      <c r="AY382" s="188">
        <f t="shared" si="1030"/>
        <v>0</v>
      </c>
      <c r="AZ382" s="96">
        <f t="shared" si="1031"/>
        <v>0</v>
      </c>
      <c r="BA382" s="96">
        <f t="shared" si="1032"/>
        <v>0</v>
      </c>
      <c r="BB382" s="96">
        <f t="shared" si="1033"/>
        <v>0</v>
      </c>
      <c r="BC382" s="1" t="s">
        <v>1715</v>
      </c>
    </row>
    <row r="383" spans="1:55">
      <c r="A383" s="492">
        <v>216</v>
      </c>
      <c r="B383" s="13"/>
      <c r="C383" s="13"/>
      <c r="D383" s="13"/>
      <c r="E383" s="21" t="s">
        <v>1003</v>
      </c>
      <c r="F383" s="45" t="s">
        <v>1002</v>
      </c>
      <c r="G383" s="45" t="s">
        <v>1057</v>
      </c>
      <c r="H383" s="265" t="s">
        <v>357</v>
      </c>
      <c r="I383" s="54">
        <v>5.64</v>
      </c>
      <c r="J383" s="101"/>
      <c r="K383" s="54">
        <v>5.64</v>
      </c>
      <c r="L383" s="162"/>
      <c r="M383" s="54"/>
      <c r="N383" s="162"/>
      <c r="O383" s="54"/>
      <c r="P383" s="101"/>
      <c r="Q383" s="96">
        <f t="shared" si="1008"/>
        <v>0.70399999999999996</v>
      </c>
      <c r="R383" s="337">
        <f t="shared" si="1009"/>
        <v>5.8261434624000001</v>
      </c>
      <c r="S383" s="96"/>
      <c r="T383" s="96">
        <f t="shared" si="1010"/>
        <v>0</v>
      </c>
      <c r="U383" s="96">
        <v>0.32</v>
      </c>
      <c r="V383" s="176">
        <f t="shared" si="1011"/>
        <v>2.5957716479999999</v>
      </c>
      <c r="W383" s="206">
        <v>0.192</v>
      </c>
      <c r="X383" s="205">
        <f t="shared" si="1012"/>
        <v>1.6268864256</v>
      </c>
      <c r="Y383" s="188">
        <f t="shared" si="1013"/>
        <v>0.51200000000000001</v>
      </c>
      <c r="Z383" s="176">
        <f t="shared" si="1014"/>
        <v>4.2226580735999999</v>
      </c>
      <c r="AA383" s="206">
        <v>0.192</v>
      </c>
      <c r="AB383" s="205">
        <f t="shared" si="1015"/>
        <v>1.6034853888</v>
      </c>
      <c r="AC383" s="206"/>
      <c r="AD383" s="176">
        <f t="shared" si="1016"/>
        <v>0</v>
      </c>
      <c r="AE383" s="206"/>
      <c r="AF383" s="204">
        <f t="shared" si="1017"/>
        <v>0</v>
      </c>
      <c r="AG383" s="188">
        <f t="shared" si="1018"/>
        <v>0.192</v>
      </c>
      <c r="AH383" s="96">
        <f t="shared" si="1019"/>
        <v>1.6034853888</v>
      </c>
      <c r="AI383" s="96">
        <f t="shared" si="1020"/>
        <v>0.70399999999999996</v>
      </c>
      <c r="AJ383" s="176">
        <f t="shared" si="1021"/>
        <v>5.8261434624000001</v>
      </c>
      <c r="AK383" s="206"/>
      <c r="AL383" s="176">
        <f t="shared" si="1022"/>
        <v>0</v>
      </c>
      <c r="AM383" s="243"/>
      <c r="AN383" s="176">
        <f t="shared" si="1023"/>
        <v>0</v>
      </c>
      <c r="AO383" s="206"/>
      <c r="AP383" s="205">
        <f t="shared" si="1024"/>
        <v>0</v>
      </c>
      <c r="AQ383" s="188">
        <f t="shared" si="1025"/>
        <v>0</v>
      </c>
      <c r="AR383" s="96">
        <f t="shared" si="1026"/>
        <v>0</v>
      </c>
      <c r="AS383" s="96"/>
      <c r="AT383" s="176">
        <f t="shared" si="1027"/>
        <v>0</v>
      </c>
      <c r="AU383" s="206"/>
      <c r="AV383" s="176">
        <f t="shared" si="1028"/>
        <v>0</v>
      </c>
      <c r="AW383" s="206"/>
      <c r="AX383" s="205">
        <f t="shared" si="1029"/>
        <v>0</v>
      </c>
      <c r="AY383" s="188">
        <f t="shared" si="1030"/>
        <v>0</v>
      </c>
      <c r="AZ383" s="96">
        <f t="shared" si="1031"/>
        <v>0</v>
      </c>
      <c r="BA383" s="96">
        <f t="shared" si="1032"/>
        <v>0</v>
      </c>
      <c r="BB383" s="96">
        <f t="shared" si="1033"/>
        <v>0</v>
      </c>
      <c r="BC383" s="1" t="s">
        <v>1715</v>
      </c>
    </row>
    <row r="384" spans="1:55">
      <c r="A384" s="492">
        <v>217</v>
      </c>
      <c r="B384" s="13"/>
      <c r="C384" s="13"/>
      <c r="D384" s="13"/>
      <c r="E384" s="21" t="s">
        <v>973</v>
      </c>
      <c r="F384" s="45" t="s">
        <v>975</v>
      </c>
      <c r="G384" s="45" t="s">
        <v>1057</v>
      </c>
      <c r="H384" s="265" t="s">
        <v>357</v>
      </c>
      <c r="I384" s="54">
        <v>5.73</v>
      </c>
      <c r="J384" s="101"/>
      <c r="K384" s="54">
        <v>5.73</v>
      </c>
      <c r="L384" s="162"/>
      <c r="M384" s="54"/>
      <c r="N384" s="162"/>
      <c r="O384" s="54"/>
      <c r="P384" s="101"/>
      <c r="Q384" s="96">
        <f t="shared" si="1008"/>
        <v>84.287999999999997</v>
      </c>
      <c r="R384" s="337">
        <f t="shared" si="1009"/>
        <v>705.91322668800012</v>
      </c>
      <c r="S384" s="96">
        <v>30.847999999999999</v>
      </c>
      <c r="T384" s="96">
        <f t="shared" si="1010"/>
        <v>255.17818809600001</v>
      </c>
      <c r="U384" s="96">
        <v>24.064</v>
      </c>
      <c r="V384" s="176">
        <f t="shared" si="1011"/>
        <v>198.3169539072</v>
      </c>
      <c r="W384" s="206">
        <v>25.6</v>
      </c>
      <c r="X384" s="205">
        <f t="shared" si="1012"/>
        <v>220.37965056000002</v>
      </c>
      <c r="Y384" s="188">
        <f t="shared" si="1013"/>
        <v>80.512</v>
      </c>
      <c r="Z384" s="176">
        <f t="shared" si="1014"/>
        <v>673.87479256320012</v>
      </c>
      <c r="AA384" s="206">
        <v>3.7759999999999998</v>
      </c>
      <c r="AB384" s="205">
        <f t="shared" si="1015"/>
        <v>32.038434124799998</v>
      </c>
      <c r="AC384" s="206"/>
      <c r="AD384" s="176">
        <f t="shared" si="1016"/>
        <v>0</v>
      </c>
      <c r="AE384" s="206"/>
      <c r="AF384" s="204">
        <f t="shared" si="1017"/>
        <v>0</v>
      </c>
      <c r="AG384" s="188">
        <f t="shared" si="1018"/>
        <v>3.7759999999999998</v>
      </c>
      <c r="AH384" s="96">
        <f t="shared" si="1019"/>
        <v>32.038434124799998</v>
      </c>
      <c r="AI384" s="96">
        <f t="shared" si="1020"/>
        <v>84.287999999999997</v>
      </c>
      <c r="AJ384" s="176">
        <f t="shared" si="1021"/>
        <v>705.91322668800012</v>
      </c>
      <c r="AK384" s="206"/>
      <c r="AL384" s="176">
        <f t="shared" si="1022"/>
        <v>0</v>
      </c>
      <c r="AM384" s="243"/>
      <c r="AN384" s="176">
        <f t="shared" si="1023"/>
        <v>0</v>
      </c>
      <c r="AO384" s="206"/>
      <c r="AP384" s="205">
        <f t="shared" si="1024"/>
        <v>0</v>
      </c>
      <c r="AQ384" s="188">
        <f t="shared" si="1025"/>
        <v>0</v>
      </c>
      <c r="AR384" s="96">
        <f t="shared" si="1026"/>
        <v>0</v>
      </c>
      <c r="AS384" s="96"/>
      <c r="AT384" s="176">
        <f t="shared" si="1027"/>
        <v>0</v>
      </c>
      <c r="AU384" s="206"/>
      <c r="AV384" s="176">
        <f t="shared" si="1028"/>
        <v>0</v>
      </c>
      <c r="AW384" s="206"/>
      <c r="AX384" s="205">
        <f t="shared" si="1029"/>
        <v>0</v>
      </c>
      <c r="AY384" s="188">
        <f t="shared" si="1030"/>
        <v>0</v>
      </c>
      <c r="AZ384" s="96">
        <f t="shared" si="1031"/>
        <v>0</v>
      </c>
      <c r="BA384" s="96">
        <f t="shared" si="1032"/>
        <v>0</v>
      </c>
      <c r="BB384" s="96">
        <f t="shared" si="1033"/>
        <v>0</v>
      </c>
      <c r="BC384" s="1" t="s">
        <v>1715</v>
      </c>
    </row>
    <row r="385" spans="1:55">
      <c r="A385" s="492">
        <v>218</v>
      </c>
      <c r="B385" s="13"/>
      <c r="C385" s="13"/>
      <c r="D385" s="13"/>
      <c r="E385" s="21" t="s">
        <v>1004</v>
      </c>
      <c r="F385" s="45" t="s">
        <v>1005</v>
      </c>
      <c r="G385" s="45" t="s">
        <v>1057</v>
      </c>
      <c r="H385" s="265" t="s">
        <v>357</v>
      </c>
      <c r="I385" s="54">
        <v>6.57</v>
      </c>
      <c r="J385" s="101"/>
      <c r="K385" s="54">
        <v>6.57</v>
      </c>
      <c r="L385" s="162"/>
      <c r="M385" s="54"/>
      <c r="N385" s="162"/>
      <c r="O385" s="54"/>
      <c r="P385" s="101"/>
      <c r="Q385" s="96">
        <f t="shared" si="1008"/>
        <v>5.12</v>
      </c>
      <c r="R385" s="337">
        <f t="shared" si="1009"/>
        <v>48.562076160000011</v>
      </c>
      <c r="S385" s="96">
        <v>5.12</v>
      </c>
      <c r="T385" s="96">
        <f t="shared" si="1010"/>
        <v>48.562076160000011</v>
      </c>
      <c r="U385" s="96"/>
      <c r="V385" s="176">
        <f t="shared" si="1011"/>
        <v>0</v>
      </c>
      <c r="W385" s="206"/>
      <c r="X385" s="205">
        <f t="shared" si="1012"/>
        <v>0</v>
      </c>
      <c r="Y385" s="188">
        <f t="shared" si="1013"/>
        <v>5.12</v>
      </c>
      <c r="Z385" s="176">
        <f t="shared" si="1014"/>
        <v>48.562076160000011</v>
      </c>
      <c r="AA385" s="206"/>
      <c r="AB385" s="205">
        <f t="shared" si="1015"/>
        <v>0</v>
      </c>
      <c r="AC385" s="206"/>
      <c r="AD385" s="176">
        <f t="shared" si="1016"/>
        <v>0</v>
      </c>
      <c r="AE385" s="206"/>
      <c r="AF385" s="204">
        <f t="shared" si="1017"/>
        <v>0</v>
      </c>
      <c r="AG385" s="188">
        <f t="shared" si="1018"/>
        <v>0</v>
      </c>
      <c r="AH385" s="96">
        <f t="shared" si="1019"/>
        <v>0</v>
      </c>
      <c r="AI385" s="96">
        <f t="shared" si="1020"/>
        <v>5.12</v>
      </c>
      <c r="AJ385" s="176">
        <f t="shared" si="1021"/>
        <v>48.562076160000011</v>
      </c>
      <c r="AK385" s="206"/>
      <c r="AL385" s="176">
        <f t="shared" si="1022"/>
        <v>0</v>
      </c>
      <c r="AM385" s="243"/>
      <c r="AN385" s="176">
        <f t="shared" si="1023"/>
        <v>0</v>
      </c>
      <c r="AO385" s="206"/>
      <c r="AP385" s="205">
        <f t="shared" si="1024"/>
        <v>0</v>
      </c>
      <c r="AQ385" s="188">
        <f t="shared" si="1025"/>
        <v>0</v>
      </c>
      <c r="AR385" s="96">
        <f t="shared" si="1026"/>
        <v>0</v>
      </c>
      <c r="AS385" s="96"/>
      <c r="AT385" s="176">
        <f t="shared" si="1027"/>
        <v>0</v>
      </c>
      <c r="AU385" s="206"/>
      <c r="AV385" s="176">
        <f t="shared" si="1028"/>
        <v>0</v>
      </c>
      <c r="AW385" s="206"/>
      <c r="AX385" s="205">
        <f t="shared" si="1029"/>
        <v>0</v>
      </c>
      <c r="AY385" s="188">
        <f t="shared" si="1030"/>
        <v>0</v>
      </c>
      <c r="AZ385" s="96">
        <f t="shared" si="1031"/>
        <v>0</v>
      </c>
      <c r="BA385" s="96">
        <f t="shared" si="1032"/>
        <v>0</v>
      </c>
      <c r="BB385" s="96">
        <f t="shared" si="1033"/>
        <v>0</v>
      </c>
      <c r="BC385" s="1" t="s">
        <v>1715</v>
      </c>
    </row>
    <row r="386" spans="1:55">
      <c r="A386" s="492">
        <v>219</v>
      </c>
      <c r="B386" s="13"/>
      <c r="C386" s="13"/>
      <c r="D386" s="13"/>
      <c r="E386" s="21" t="s">
        <v>878</v>
      </c>
      <c r="F386" s="22" t="s">
        <v>877</v>
      </c>
      <c r="G386" s="22" t="s">
        <v>1061</v>
      </c>
      <c r="H386" s="265" t="s">
        <v>357</v>
      </c>
      <c r="I386" s="54">
        <v>7.68</v>
      </c>
      <c r="J386" s="101"/>
      <c r="K386" s="54">
        <v>7.68</v>
      </c>
      <c r="L386" s="162"/>
      <c r="M386" s="54"/>
      <c r="N386" s="162"/>
      <c r="O386" s="54"/>
      <c r="P386" s="101"/>
      <c r="Q386" s="96">
        <f t="shared" si="1008"/>
        <v>0</v>
      </c>
      <c r="R386" s="337">
        <f t="shared" si="1009"/>
        <v>0</v>
      </c>
      <c r="S386" s="96"/>
      <c r="T386" s="96">
        <f t="shared" si="1010"/>
        <v>0</v>
      </c>
      <c r="U386" s="96"/>
      <c r="V386" s="176">
        <f t="shared" si="1011"/>
        <v>0</v>
      </c>
      <c r="W386" s="206"/>
      <c r="X386" s="205">
        <f t="shared" si="1012"/>
        <v>0</v>
      </c>
      <c r="Y386" s="188">
        <f t="shared" si="1013"/>
        <v>0</v>
      </c>
      <c r="Z386" s="176">
        <f t="shared" si="1014"/>
        <v>0</v>
      </c>
      <c r="AA386" s="206"/>
      <c r="AB386" s="205">
        <f t="shared" si="1015"/>
        <v>0</v>
      </c>
      <c r="AC386" s="206"/>
      <c r="AD386" s="176">
        <f t="shared" si="1016"/>
        <v>0</v>
      </c>
      <c r="AE386" s="206"/>
      <c r="AF386" s="204">
        <f t="shared" si="1017"/>
        <v>0</v>
      </c>
      <c r="AG386" s="188">
        <f t="shared" si="1018"/>
        <v>0</v>
      </c>
      <c r="AH386" s="96">
        <f t="shared" si="1019"/>
        <v>0</v>
      </c>
      <c r="AI386" s="96">
        <f t="shared" si="1020"/>
        <v>0</v>
      </c>
      <c r="AJ386" s="176">
        <f t="shared" si="1021"/>
        <v>0</v>
      </c>
      <c r="AK386" s="206"/>
      <c r="AL386" s="176">
        <f t="shared" si="1022"/>
        <v>0</v>
      </c>
      <c r="AM386" s="243"/>
      <c r="AN386" s="176">
        <f t="shared" si="1023"/>
        <v>0</v>
      </c>
      <c r="AO386" s="206"/>
      <c r="AP386" s="205">
        <f t="shared" si="1024"/>
        <v>0</v>
      </c>
      <c r="AQ386" s="188">
        <f t="shared" si="1025"/>
        <v>0</v>
      </c>
      <c r="AR386" s="96">
        <f t="shared" si="1026"/>
        <v>0</v>
      </c>
      <c r="AS386" s="96"/>
      <c r="AT386" s="176">
        <f t="shared" si="1027"/>
        <v>0</v>
      </c>
      <c r="AU386" s="206"/>
      <c r="AV386" s="176">
        <f t="shared" si="1028"/>
        <v>0</v>
      </c>
      <c r="AW386" s="206"/>
      <c r="AX386" s="205">
        <f t="shared" si="1029"/>
        <v>0</v>
      </c>
      <c r="AY386" s="188">
        <f t="shared" si="1030"/>
        <v>0</v>
      </c>
      <c r="AZ386" s="96">
        <f t="shared" si="1031"/>
        <v>0</v>
      </c>
      <c r="BA386" s="96">
        <f t="shared" si="1032"/>
        <v>0</v>
      </c>
      <c r="BB386" s="96">
        <f t="shared" si="1033"/>
        <v>0</v>
      </c>
      <c r="BC386" s="1" t="s">
        <v>1715</v>
      </c>
    </row>
    <row r="387" spans="1:55">
      <c r="A387" s="492">
        <v>220</v>
      </c>
      <c r="B387" s="13"/>
      <c r="C387" s="13"/>
      <c r="D387" s="13"/>
      <c r="E387" s="89" t="s">
        <v>103</v>
      </c>
      <c r="F387" s="90" t="s">
        <v>662</v>
      </c>
      <c r="G387" s="22" t="s">
        <v>1061</v>
      </c>
      <c r="H387" s="265" t="s">
        <v>357</v>
      </c>
      <c r="I387" s="54">
        <v>7.37</v>
      </c>
      <c r="J387" s="101"/>
      <c r="K387" s="54">
        <v>7.37</v>
      </c>
      <c r="L387" s="162"/>
      <c r="M387" s="54"/>
      <c r="N387" s="162"/>
      <c r="O387" s="54"/>
      <c r="P387" s="101"/>
      <c r="Q387" s="96">
        <f t="shared" si="1008"/>
        <v>6.7170000000000005</v>
      </c>
      <c r="R387" s="337">
        <f t="shared" si="1009"/>
        <v>72.867733095299997</v>
      </c>
      <c r="S387" s="96">
        <v>3.48</v>
      </c>
      <c r="T387" s="96">
        <f t="shared" si="1010"/>
        <v>37.026157740000002</v>
      </c>
      <c r="U387" s="96"/>
      <c r="V387" s="176">
        <f t="shared" si="1011"/>
        <v>0</v>
      </c>
      <c r="W387" s="206">
        <v>3.2370000000000001</v>
      </c>
      <c r="X387" s="205">
        <f t="shared" si="1012"/>
        <v>35.841575355299994</v>
      </c>
      <c r="Y387" s="188">
        <f t="shared" si="1013"/>
        <v>6.7170000000000005</v>
      </c>
      <c r="Z387" s="176">
        <f t="shared" si="1014"/>
        <v>72.867733095299997</v>
      </c>
      <c r="AA387" s="206"/>
      <c r="AB387" s="205">
        <f t="shared" si="1015"/>
        <v>0</v>
      </c>
      <c r="AC387" s="206"/>
      <c r="AD387" s="176">
        <f t="shared" si="1016"/>
        <v>0</v>
      </c>
      <c r="AE387" s="206"/>
      <c r="AF387" s="204">
        <f t="shared" si="1017"/>
        <v>0</v>
      </c>
      <c r="AG387" s="188">
        <f t="shared" si="1018"/>
        <v>0</v>
      </c>
      <c r="AH387" s="96">
        <f t="shared" si="1019"/>
        <v>0</v>
      </c>
      <c r="AI387" s="96">
        <f t="shared" si="1020"/>
        <v>6.7170000000000005</v>
      </c>
      <c r="AJ387" s="176">
        <f t="shared" si="1021"/>
        <v>72.867733095299997</v>
      </c>
      <c r="AK387" s="206"/>
      <c r="AL387" s="176">
        <f t="shared" si="1022"/>
        <v>0</v>
      </c>
      <c r="AM387" s="243"/>
      <c r="AN387" s="176">
        <f t="shared" si="1023"/>
        <v>0</v>
      </c>
      <c r="AO387" s="206"/>
      <c r="AP387" s="205">
        <f t="shared" si="1024"/>
        <v>0</v>
      </c>
      <c r="AQ387" s="188">
        <f t="shared" si="1025"/>
        <v>0</v>
      </c>
      <c r="AR387" s="96">
        <f t="shared" si="1026"/>
        <v>0</v>
      </c>
      <c r="AS387" s="96"/>
      <c r="AT387" s="176">
        <f t="shared" si="1027"/>
        <v>0</v>
      </c>
      <c r="AU387" s="206"/>
      <c r="AV387" s="176">
        <f t="shared" si="1028"/>
        <v>0</v>
      </c>
      <c r="AW387" s="206"/>
      <c r="AX387" s="205">
        <f t="shared" si="1029"/>
        <v>0</v>
      </c>
      <c r="AY387" s="188">
        <f t="shared" si="1030"/>
        <v>0</v>
      </c>
      <c r="AZ387" s="96">
        <f t="shared" si="1031"/>
        <v>0</v>
      </c>
      <c r="BA387" s="96">
        <f t="shared" si="1032"/>
        <v>0</v>
      </c>
      <c r="BB387" s="96">
        <f t="shared" si="1033"/>
        <v>0</v>
      </c>
      <c r="BC387" s="1" t="s">
        <v>1715</v>
      </c>
    </row>
    <row r="388" spans="1:55">
      <c r="A388" s="492">
        <v>221</v>
      </c>
      <c r="B388" s="13"/>
      <c r="C388" s="13"/>
      <c r="D388" s="13"/>
      <c r="E388" s="89" t="s">
        <v>656</v>
      </c>
      <c r="F388" s="90" t="s">
        <v>663</v>
      </c>
      <c r="G388" s="22" t="s">
        <v>1061</v>
      </c>
      <c r="H388" s="265" t="s">
        <v>357</v>
      </c>
      <c r="I388" s="54">
        <v>7.36</v>
      </c>
      <c r="J388" s="101"/>
      <c r="K388" s="54">
        <v>7.36</v>
      </c>
      <c r="L388" s="162"/>
      <c r="M388" s="54"/>
      <c r="N388" s="162"/>
      <c r="O388" s="54"/>
      <c r="P388" s="101"/>
      <c r="Q388" s="96">
        <f t="shared" si="1008"/>
        <v>0.02</v>
      </c>
      <c r="R388" s="337">
        <f t="shared" si="1009"/>
        <v>0.211711872</v>
      </c>
      <c r="S388" s="96"/>
      <c r="T388" s="96">
        <f t="shared" si="1010"/>
        <v>0</v>
      </c>
      <c r="U388" s="96">
        <v>0.02</v>
      </c>
      <c r="V388" s="176">
        <f t="shared" si="1011"/>
        <v>0.211711872</v>
      </c>
      <c r="W388" s="206"/>
      <c r="X388" s="205">
        <f t="shared" si="1012"/>
        <v>0</v>
      </c>
      <c r="Y388" s="188">
        <f t="shared" si="1013"/>
        <v>0.02</v>
      </c>
      <c r="Z388" s="176">
        <f t="shared" si="1014"/>
        <v>0.211711872</v>
      </c>
      <c r="AA388" s="206"/>
      <c r="AB388" s="205">
        <f t="shared" si="1015"/>
        <v>0</v>
      </c>
      <c r="AC388" s="206"/>
      <c r="AD388" s="176">
        <f t="shared" si="1016"/>
        <v>0</v>
      </c>
      <c r="AE388" s="206"/>
      <c r="AF388" s="204">
        <f t="shared" si="1017"/>
        <v>0</v>
      </c>
      <c r="AG388" s="188">
        <f t="shared" si="1018"/>
        <v>0</v>
      </c>
      <c r="AH388" s="96">
        <f t="shared" si="1019"/>
        <v>0</v>
      </c>
      <c r="AI388" s="96">
        <f t="shared" si="1020"/>
        <v>0.02</v>
      </c>
      <c r="AJ388" s="176">
        <f t="shared" si="1021"/>
        <v>0.211711872</v>
      </c>
      <c r="AK388" s="206"/>
      <c r="AL388" s="176">
        <f t="shared" si="1022"/>
        <v>0</v>
      </c>
      <c r="AM388" s="243"/>
      <c r="AN388" s="176">
        <f t="shared" si="1023"/>
        <v>0</v>
      </c>
      <c r="AO388" s="206"/>
      <c r="AP388" s="205">
        <f t="shared" si="1024"/>
        <v>0</v>
      </c>
      <c r="AQ388" s="188">
        <f t="shared" si="1025"/>
        <v>0</v>
      </c>
      <c r="AR388" s="96">
        <f t="shared" si="1026"/>
        <v>0</v>
      </c>
      <c r="AS388" s="96"/>
      <c r="AT388" s="176">
        <f t="shared" si="1027"/>
        <v>0</v>
      </c>
      <c r="AU388" s="206"/>
      <c r="AV388" s="176">
        <f t="shared" si="1028"/>
        <v>0</v>
      </c>
      <c r="AW388" s="206"/>
      <c r="AX388" s="205">
        <f t="shared" si="1029"/>
        <v>0</v>
      </c>
      <c r="AY388" s="188">
        <f t="shared" si="1030"/>
        <v>0</v>
      </c>
      <c r="AZ388" s="96">
        <f t="shared" si="1031"/>
        <v>0</v>
      </c>
      <c r="BA388" s="96">
        <f t="shared" si="1032"/>
        <v>0</v>
      </c>
      <c r="BB388" s="96">
        <f t="shared" si="1033"/>
        <v>0</v>
      </c>
      <c r="BC388" s="1" t="s">
        <v>1715</v>
      </c>
    </row>
    <row r="389" spans="1:55">
      <c r="A389" s="492">
        <v>222</v>
      </c>
      <c r="B389" s="13"/>
      <c r="C389" s="13"/>
      <c r="D389" s="13"/>
      <c r="E389" s="21" t="s">
        <v>658</v>
      </c>
      <c r="F389" s="90" t="s">
        <v>664</v>
      </c>
      <c r="G389" s="22" t="s">
        <v>1061</v>
      </c>
      <c r="H389" s="265" t="s">
        <v>357</v>
      </c>
      <c r="I389" s="54">
        <v>7.51</v>
      </c>
      <c r="J389" s="101"/>
      <c r="K389" s="54">
        <v>7.51</v>
      </c>
      <c r="L389" s="162"/>
      <c r="M389" s="54"/>
      <c r="N389" s="162"/>
      <c r="O389" s="54"/>
      <c r="P389" s="101"/>
      <c r="Q389" s="130">
        <f t="shared" si="1008"/>
        <v>1E-3</v>
      </c>
      <c r="R389" s="347">
        <f t="shared" si="1009"/>
        <v>1.1282798699999999E-2</v>
      </c>
      <c r="S389" s="130"/>
      <c r="T389" s="130">
        <f t="shared" si="1010"/>
        <v>0</v>
      </c>
      <c r="U389" s="130"/>
      <c r="V389" s="184">
        <f t="shared" si="1011"/>
        <v>0</v>
      </c>
      <c r="W389" s="222">
        <v>1E-3</v>
      </c>
      <c r="X389" s="223">
        <f t="shared" si="1012"/>
        <v>1.1282798699999999E-2</v>
      </c>
      <c r="Y389" s="197">
        <f t="shared" si="1013"/>
        <v>1E-3</v>
      </c>
      <c r="Z389" s="184">
        <f t="shared" si="1014"/>
        <v>1.1282798699999999E-2</v>
      </c>
      <c r="AA389" s="222"/>
      <c r="AB389" s="223">
        <f t="shared" si="1015"/>
        <v>0</v>
      </c>
      <c r="AC389" s="222"/>
      <c r="AD389" s="184">
        <f t="shared" si="1016"/>
        <v>0</v>
      </c>
      <c r="AE389" s="222"/>
      <c r="AF389" s="418">
        <f t="shared" si="1017"/>
        <v>0</v>
      </c>
      <c r="AG389" s="197">
        <f t="shared" si="1018"/>
        <v>0</v>
      </c>
      <c r="AH389" s="130">
        <f t="shared" si="1019"/>
        <v>0</v>
      </c>
      <c r="AI389" s="130">
        <f t="shared" si="1020"/>
        <v>1E-3</v>
      </c>
      <c r="AJ389" s="184">
        <f t="shared" si="1021"/>
        <v>1.1282798699999999E-2</v>
      </c>
      <c r="AK389" s="222"/>
      <c r="AL389" s="184">
        <f t="shared" si="1022"/>
        <v>0</v>
      </c>
      <c r="AM389" s="252"/>
      <c r="AN389" s="184">
        <f t="shared" si="1023"/>
        <v>0</v>
      </c>
      <c r="AO389" s="222"/>
      <c r="AP389" s="223">
        <f t="shared" si="1024"/>
        <v>0</v>
      </c>
      <c r="AQ389" s="197">
        <f t="shared" si="1025"/>
        <v>0</v>
      </c>
      <c r="AR389" s="130">
        <f t="shared" si="1026"/>
        <v>0</v>
      </c>
      <c r="AS389" s="130"/>
      <c r="AT389" s="184">
        <f t="shared" si="1027"/>
        <v>0</v>
      </c>
      <c r="AU389" s="222"/>
      <c r="AV389" s="184">
        <f t="shared" si="1028"/>
        <v>0</v>
      </c>
      <c r="AW389" s="222"/>
      <c r="AX389" s="223">
        <f t="shared" si="1029"/>
        <v>0</v>
      </c>
      <c r="AY389" s="197">
        <f t="shared" si="1030"/>
        <v>0</v>
      </c>
      <c r="AZ389" s="130">
        <f t="shared" si="1031"/>
        <v>0</v>
      </c>
      <c r="BA389" s="130">
        <f t="shared" si="1032"/>
        <v>0</v>
      </c>
      <c r="BB389" s="130">
        <f t="shared" si="1033"/>
        <v>0</v>
      </c>
      <c r="BC389" s="1" t="s">
        <v>1715</v>
      </c>
    </row>
    <row r="390" spans="1:55">
      <c r="A390" s="492">
        <v>224</v>
      </c>
      <c r="B390" s="13"/>
      <c r="C390" s="13"/>
      <c r="D390" s="13"/>
      <c r="E390" s="21" t="s">
        <v>1550</v>
      </c>
      <c r="F390" s="45" t="s">
        <v>1551</v>
      </c>
      <c r="G390" s="22" t="s">
        <v>1061</v>
      </c>
      <c r="H390" s="265" t="s">
        <v>358</v>
      </c>
      <c r="I390" s="66">
        <v>6.6</v>
      </c>
      <c r="J390" s="101"/>
      <c r="K390" s="66">
        <v>6.6</v>
      </c>
      <c r="L390" s="162"/>
      <c r="M390" s="66"/>
      <c r="N390" s="162"/>
      <c r="O390" s="66"/>
      <c r="P390" s="101"/>
      <c r="Q390" s="96">
        <f t="shared" si="1008"/>
        <v>10.4</v>
      </c>
      <c r="R390" s="337">
        <f t="shared" si="1009"/>
        <v>100.60677</v>
      </c>
      <c r="S390" s="96">
        <v>5.4</v>
      </c>
      <c r="T390" s="96">
        <f t="shared" si="1010"/>
        <v>51.451686000000002</v>
      </c>
      <c r="U390" s="96">
        <v>1</v>
      </c>
      <c r="V390" s="176">
        <f t="shared" si="1011"/>
        <v>9.4925160000000002</v>
      </c>
      <c r="W390" s="206">
        <v>4</v>
      </c>
      <c r="X390" s="205">
        <f t="shared" si="1012"/>
        <v>39.662567999999993</v>
      </c>
      <c r="Y390" s="188">
        <f t="shared" si="1013"/>
        <v>10.4</v>
      </c>
      <c r="Z390" s="176">
        <f t="shared" si="1014"/>
        <v>100.60677</v>
      </c>
      <c r="AA390" s="206"/>
      <c r="AB390" s="205">
        <f t="shared" si="1015"/>
        <v>0</v>
      </c>
      <c r="AC390" s="206"/>
      <c r="AD390" s="176">
        <f t="shared" si="1016"/>
        <v>0</v>
      </c>
      <c r="AE390" s="206"/>
      <c r="AF390" s="204">
        <f t="shared" si="1017"/>
        <v>0</v>
      </c>
      <c r="AG390" s="188">
        <f t="shared" si="1018"/>
        <v>0</v>
      </c>
      <c r="AH390" s="96">
        <f t="shared" si="1019"/>
        <v>0</v>
      </c>
      <c r="AI390" s="96">
        <f t="shared" si="1020"/>
        <v>10.4</v>
      </c>
      <c r="AJ390" s="176">
        <f t="shared" si="1021"/>
        <v>100.60677</v>
      </c>
      <c r="AK390" s="206"/>
      <c r="AL390" s="176">
        <f t="shared" si="1022"/>
        <v>0</v>
      </c>
      <c r="AM390" s="243"/>
      <c r="AN390" s="176">
        <f t="shared" si="1023"/>
        <v>0</v>
      </c>
      <c r="AO390" s="206"/>
      <c r="AP390" s="205">
        <f t="shared" si="1024"/>
        <v>0</v>
      </c>
      <c r="AQ390" s="188">
        <f t="shared" si="1025"/>
        <v>0</v>
      </c>
      <c r="AR390" s="96">
        <f t="shared" si="1026"/>
        <v>0</v>
      </c>
      <c r="AS390" s="96"/>
      <c r="AT390" s="176">
        <f t="shared" si="1027"/>
        <v>0</v>
      </c>
      <c r="AU390" s="206"/>
      <c r="AV390" s="176">
        <f t="shared" si="1028"/>
        <v>0</v>
      </c>
      <c r="AW390" s="206"/>
      <c r="AX390" s="205">
        <f t="shared" si="1029"/>
        <v>0</v>
      </c>
      <c r="AY390" s="188">
        <f t="shared" si="1030"/>
        <v>0</v>
      </c>
      <c r="AZ390" s="96">
        <f t="shared" si="1031"/>
        <v>0</v>
      </c>
      <c r="BA390" s="96">
        <f t="shared" si="1032"/>
        <v>0</v>
      </c>
      <c r="BB390" s="96">
        <f t="shared" si="1033"/>
        <v>0</v>
      </c>
      <c r="BC390" s="1" t="s">
        <v>1715</v>
      </c>
    </row>
    <row r="391" spans="1:55">
      <c r="A391" s="492">
        <v>221</v>
      </c>
      <c r="B391" s="13"/>
      <c r="C391" s="13"/>
      <c r="D391" s="13"/>
      <c r="E391" s="89" t="s">
        <v>1678</v>
      </c>
      <c r="F391" s="90" t="s">
        <v>1679</v>
      </c>
      <c r="G391" s="22" t="s">
        <v>1060</v>
      </c>
      <c r="H391" s="265" t="s">
        <v>357</v>
      </c>
      <c r="I391" s="54">
        <v>7.05</v>
      </c>
      <c r="J391" s="101"/>
      <c r="K391" s="54">
        <v>7.05</v>
      </c>
      <c r="L391" s="162"/>
      <c r="M391" s="54"/>
      <c r="N391" s="162"/>
      <c r="O391" s="54"/>
      <c r="P391" s="101"/>
      <c r="Q391" s="96">
        <f t="shared" si="1008"/>
        <v>0</v>
      </c>
      <c r="R391" s="337">
        <f t="shared" si="1009"/>
        <v>0</v>
      </c>
      <c r="S391" s="96"/>
      <c r="T391" s="96">
        <f t="shared" si="1010"/>
        <v>0</v>
      </c>
      <c r="U391" s="96"/>
      <c r="V391" s="176">
        <f t="shared" si="1011"/>
        <v>0</v>
      </c>
      <c r="W391" s="206"/>
      <c r="X391" s="205">
        <f t="shared" si="1012"/>
        <v>0</v>
      </c>
      <c r="Y391" s="188">
        <f t="shared" si="1013"/>
        <v>0</v>
      </c>
      <c r="Z391" s="176">
        <f t="shared" si="1014"/>
        <v>0</v>
      </c>
      <c r="AA391" s="206"/>
      <c r="AB391" s="205">
        <f t="shared" si="1015"/>
        <v>0</v>
      </c>
      <c r="AC391" s="206"/>
      <c r="AD391" s="176">
        <f t="shared" si="1016"/>
        <v>0</v>
      </c>
      <c r="AE391" s="206"/>
      <c r="AF391" s="204">
        <f t="shared" si="1017"/>
        <v>0</v>
      </c>
      <c r="AG391" s="188">
        <f t="shared" si="1018"/>
        <v>0</v>
      </c>
      <c r="AH391" s="96">
        <f t="shared" si="1019"/>
        <v>0</v>
      </c>
      <c r="AI391" s="96">
        <f t="shared" si="1020"/>
        <v>0</v>
      </c>
      <c r="AJ391" s="176">
        <f t="shared" si="1021"/>
        <v>0</v>
      </c>
      <c r="AK391" s="206"/>
      <c r="AL391" s="176">
        <f t="shared" si="1022"/>
        <v>0</v>
      </c>
      <c r="AM391" s="243"/>
      <c r="AN391" s="176">
        <f t="shared" si="1023"/>
        <v>0</v>
      </c>
      <c r="AO391" s="206"/>
      <c r="AP391" s="205">
        <f t="shared" si="1024"/>
        <v>0</v>
      </c>
      <c r="AQ391" s="188">
        <f t="shared" si="1025"/>
        <v>0</v>
      </c>
      <c r="AR391" s="96">
        <f t="shared" si="1026"/>
        <v>0</v>
      </c>
      <c r="AS391" s="96"/>
      <c r="AT391" s="176">
        <f t="shared" si="1027"/>
        <v>0</v>
      </c>
      <c r="AU391" s="206"/>
      <c r="AV391" s="176">
        <f t="shared" si="1028"/>
        <v>0</v>
      </c>
      <c r="AW391" s="206"/>
      <c r="AX391" s="205">
        <f t="shared" si="1029"/>
        <v>0</v>
      </c>
      <c r="AY391" s="188">
        <f t="shared" si="1030"/>
        <v>0</v>
      </c>
      <c r="AZ391" s="96">
        <f t="shared" si="1031"/>
        <v>0</v>
      </c>
      <c r="BA391" s="96">
        <f t="shared" si="1032"/>
        <v>0</v>
      </c>
      <c r="BB391" s="96">
        <f t="shared" si="1033"/>
        <v>0</v>
      </c>
      <c r="BC391" s="1" t="s">
        <v>1715</v>
      </c>
    </row>
    <row r="392" spans="1:55">
      <c r="A392" s="492">
        <v>223</v>
      </c>
      <c r="B392" s="13"/>
      <c r="C392" s="13"/>
      <c r="D392" s="13"/>
      <c r="E392" s="21" t="s">
        <v>1283</v>
      </c>
      <c r="F392" s="22" t="s">
        <v>1285</v>
      </c>
      <c r="G392" s="424" t="s">
        <v>1056</v>
      </c>
      <c r="H392" s="265" t="s">
        <v>358</v>
      </c>
      <c r="I392" s="54">
        <v>6.48</v>
      </c>
      <c r="J392" s="101"/>
      <c r="K392" s="54">
        <v>6.48</v>
      </c>
      <c r="L392" s="162"/>
      <c r="M392" s="54"/>
      <c r="N392" s="162"/>
      <c r="O392" s="54"/>
      <c r="P392" s="101"/>
      <c r="Q392" s="96">
        <f t="shared" si="1008"/>
        <v>128.72</v>
      </c>
      <c r="R392" s="337">
        <f t="shared" si="1009"/>
        <v>1223.9224364160002</v>
      </c>
      <c r="S392" s="96">
        <v>35</v>
      </c>
      <c r="T392" s="96">
        <f t="shared" si="1010"/>
        <v>327.41982000000007</v>
      </c>
      <c r="U392" s="96">
        <v>31.52</v>
      </c>
      <c r="V392" s="176">
        <f t="shared" si="1011"/>
        <v>293.76402969600002</v>
      </c>
      <c r="W392" s="206">
        <v>42.2</v>
      </c>
      <c r="X392" s="205">
        <f t="shared" si="1012"/>
        <v>410.83209072</v>
      </c>
      <c r="Y392" s="188">
        <f t="shared" si="1013"/>
        <v>108.72</v>
      </c>
      <c r="Z392" s="176">
        <f t="shared" si="1014"/>
        <v>1032.0159404160001</v>
      </c>
      <c r="AA392" s="206">
        <v>20</v>
      </c>
      <c r="AB392" s="205">
        <f t="shared" si="1015"/>
        <v>191.90649600000003</v>
      </c>
      <c r="AC392" s="206"/>
      <c r="AD392" s="176">
        <f t="shared" si="1016"/>
        <v>0</v>
      </c>
      <c r="AE392" s="206"/>
      <c r="AF392" s="204">
        <f t="shared" si="1017"/>
        <v>0</v>
      </c>
      <c r="AG392" s="188">
        <f t="shared" si="1018"/>
        <v>20</v>
      </c>
      <c r="AH392" s="96">
        <f t="shared" si="1019"/>
        <v>191.90649600000003</v>
      </c>
      <c r="AI392" s="96">
        <f t="shared" si="1020"/>
        <v>128.72</v>
      </c>
      <c r="AJ392" s="176">
        <f t="shared" si="1021"/>
        <v>1223.9224364160002</v>
      </c>
      <c r="AK392" s="206"/>
      <c r="AL392" s="176">
        <f t="shared" si="1022"/>
        <v>0</v>
      </c>
      <c r="AM392" s="243"/>
      <c r="AN392" s="176">
        <f t="shared" si="1023"/>
        <v>0</v>
      </c>
      <c r="AO392" s="206"/>
      <c r="AP392" s="205">
        <f t="shared" si="1024"/>
        <v>0</v>
      </c>
      <c r="AQ392" s="188">
        <f t="shared" si="1025"/>
        <v>0</v>
      </c>
      <c r="AR392" s="96">
        <f t="shared" si="1026"/>
        <v>0</v>
      </c>
      <c r="AS392" s="96"/>
      <c r="AT392" s="176">
        <f t="shared" si="1027"/>
        <v>0</v>
      </c>
      <c r="AU392" s="206"/>
      <c r="AV392" s="176">
        <f t="shared" si="1028"/>
        <v>0</v>
      </c>
      <c r="AW392" s="206"/>
      <c r="AX392" s="205">
        <f t="shared" si="1029"/>
        <v>0</v>
      </c>
      <c r="AY392" s="188">
        <f t="shared" si="1030"/>
        <v>0</v>
      </c>
      <c r="AZ392" s="96">
        <f t="shared" si="1031"/>
        <v>0</v>
      </c>
      <c r="BA392" s="96">
        <f t="shared" si="1032"/>
        <v>0</v>
      </c>
      <c r="BB392" s="96">
        <f t="shared" si="1033"/>
        <v>0</v>
      </c>
      <c r="BC392" s="1" t="s">
        <v>1715</v>
      </c>
    </row>
    <row r="393" spans="1:55">
      <c r="A393" s="492">
        <v>223</v>
      </c>
      <c r="B393" s="13"/>
      <c r="C393" s="13"/>
      <c r="D393" s="13"/>
      <c r="E393" s="21" t="s">
        <v>1284</v>
      </c>
      <c r="F393" s="22" t="s">
        <v>1286</v>
      </c>
      <c r="G393" s="424" t="s">
        <v>1056</v>
      </c>
      <c r="H393" s="265" t="s">
        <v>358</v>
      </c>
      <c r="I393" s="54">
        <v>7.35</v>
      </c>
      <c r="J393" s="101"/>
      <c r="K393" s="54">
        <v>7.35</v>
      </c>
      <c r="L393" s="162"/>
      <c r="M393" s="54"/>
      <c r="N393" s="162"/>
      <c r="O393" s="54"/>
      <c r="P393" s="101"/>
      <c r="Q393" s="96">
        <f t="shared" si="1008"/>
        <v>1</v>
      </c>
      <c r="R393" s="337">
        <f t="shared" si="1009"/>
        <v>10.721150999999999</v>
      </c>
      <c r="S393" s="96"/>
      <c r="T393" s="96">
        <f t="shared" si="1010"/>
        <v>0</v>
      </c>
      <c r="U393" s="96">
        <v>0.52</v>
      </c>
      <c r="V393" s="176">
        <f t="shared" si="1011"/>
        <v>5.4970297200000005</v>
      </c>
      <c r="W393" s="206"/>
      <c r="X393" s="205">
        <f t="shared" si="1012"/>
        <v>0</v>
      </c>
      <c r="Y393" s="188">
        <f t="shared" si="1013"/>
        <v>0.52</v>
      </c>
      <c r="Z393" s="176">
        <f t="shared" si="1014"/>
        <v>5.4970297200000005</v>
      </c>
      <c r="AA393" s="206">
        <v>0.48</v>
      </c>
      <c r="AB393" s="205">
        <f t="shared" si="1015"/>
        <v>5.2241212799999994</v>
      </c>
      <c r="AC393" s="206"/>
      <c r="AD393" s="176">
        <f t="shared" si="1016"/>
        <v>0</v>
      </c>
      <c r="AE393" s="206"/>
      <c r="AF393" s="204">
        <f t="shared" si="1017"/>
        <v>0</v>
      </c>
      <c r="AG393" s="188">
        <f t="shared" si="1018"/>
        <v>0.48</v>
      </c>
      <c r="AH393" s="96">
        <f t="shared" si="1019"/>
        <v>5.2241212799999994</v>
      </c>
      <c r="AI393" s="96">
        <f t="shared" si="1020"/>
        <v>1</v>
      </c>
      <c r="AJ393" s="176">
        <f t="shared" si="1021"/>
        <v>10.721150999999999</v>
      </c>
      <c r="AK393" s="206"/>
      <c r="AL393" s="176">
        <f t="shared" si="1022"/>
        <v>0</v>
      </c>
      <c r="AM393" s="243"/>
      <c r="AN393" s="176">
        <f t="shared" si="1023"/>
        <v>0</v>
      </c>
      <c r="AO393" s="206"/>
      <c r="AP393" s="205">
        <f t="shared" si="1024"/>
        <v>0</v>
      </c>
      <c r="AQ393" s="188">
        <f t="shared" si="1025"/>
        <v>0</v>
      </c>
      <c r="AR393" s="96">
        <f t="shared" si="1026"/>
        <v>0</v>
      </c>
      <c r="AS393" s="96"/>
      <c r="AT393" s="176">
        <f t="shared" si="1027"/>
        <v>0</v>
      </c>
      <c r="AU393" s="206"/>
      <c r="AV393" s="176">
        <f t="shared" si="1028"/>
        <v>0</v>
      </c>
      <c r="AW393" s="206"/>
      <c r="AX393" s="205">
        <f t="shared" si="1029"/>
        <v>0</v>
      </c>
      <c r="AY393" s="188">
        <f t="shared" si="1030"/>
        <v>0</v>
      </c>
      <c r="AZ393" s="96">
        <f t="shared" si="1031"/>
        <v>0</v>
      </c>
      <c r="BA393" s="96">
        <f t="shared" si="1032"/>
        <v>0</v>
      </c>
      <c r="BB393" s="96">
        <f t="shared" si="1033"/>
        <v>0</v>
      </c>
      <c r="BC393" s="1" t="s">
        <v>1715</v>
      </c>
    </row>
    <row r="394" spans="1:55">
      <c r="A394" s="492">
        <v>223</v>
      </c>
      <c r="B394" s="13"/>
      <c r="C394" s="13"/>
      <c r="D394" s="13"/>
      <c r="E394" s="21" t="s">
        <v>1287</v>
      </c>
      <c r="F394" s="22" t="s">
        <v>1289</v>
      </c>
      <c r="G394" s="424" t="s">
        <v>1056</v>
      </c>
      <c r="H394" s="265" t="s">
        <v>358</v>
      </c>
      <c r="I394" s="54">
        <v>7.4</v>
      </c>
      <c r="J394" s="101"/>
      <c r="K394" s="54">
        <v>7.4</v>
      </c>
      <c r="L394" s="162"/>
      <c r="M394" s="54"/>
      <c r="N394" s="162"/>
      <c r="O394" s="54"/>
      <c r="P394" s="101"/>
      <c r="Q394" s="96">
        <f t="shared" si="1008"/>
        <v>87.066000000000003</v>
      </c>
      <c r="R394" s="337">
        <f t="shared" si="1009"/>
        <v>941.59501178400012</v>
      </c>
      <c r="S394" s="96">
        <v>32.844000000000001</v>
      </c>
      <c r="T394" s="96">
        <f t="shared" si="1010"/>
        <v>350.87278044000004</v>
      </c>
      <c r="U394" s="96">
        <v>23.31</v>
      </c>
      <c r="V394" s="176">
        <f t="shared" si="1011"/>
        <v>248.09122044</v>
      </c>
      <c r="W394" s="206">
        <v>24.443999999999999</v>
      </c>
      <c r="X394" s="205">
        <f t="shared" si="1012"/>
        <v>271.75709887200003</v>
      </c>
      <c r="Y394" s="188">
        <f t="shared" si="1013"/>
        <v>80.597999999999999</v>
      </c>
      <c r="Z394" s="176">
        <f t="shared" si="1014"/>
        <v>870.7210997520001</v>
      </c>
      <c r="AA394" s="206">
        <v>6.468</v>
      </c>
      <c r="AB394" s="205">
        <f t="shared" si="1015"/>
        <v>70.873912031999993</v>
      </c>
      <c r="AC394" s="206"/>
      <c r="AD394" s="176">
        <f t="shared" si="1016"/>
        <v>0</v>
      </c>
      <c r="AE394" s="206"/>
      <c r="AF394" s="204">
        <f t="shared" si="1017"/>
        <v>0</v>
      </c>
      <c r="AG394" s="188">
        <f t="shared" si="1018"/>
        <v>6.468</v>
      </c>
      <c r="AH394" s="96">
        <f t="shared" si="1019"/>
        <v>70.873912031999993</v>
      </c>
      <c r="AI394" s="96">
        <f t="shared" si="1020"/>
        <v>87.066000000000003</v>
      </c>
      <c r="AJ394" s="176">
        <f t="shared" si="1021"/>
        <v>941.59501178400012</v>
      </c>
      <c r="AK394" s="206"/>
      <c r="AL394" s="176">
        <f t="shared" si="1022"/>
        <v>0</v>
      </c>
      <c r="AM394" s="243"/>
      <c r="AN394" s="176">
        <f t="shared" si="1023"/>
        <v>0</v>
      </c>
      <c r="AO394" s="206"/>
      <c r="AP394" s="205">
        <f t="shared" si="1024"/>
        <v>0</v>
      </c>
      <c r="AQ394" s="188">
        <f t="shared" si="1025"/>
        <v>0</v>
      </c>
      <c r="AR394" s="96">
        <f t="shared" si="1026"/>
        <v>0</v>
      </c>
      <c r="AS394" s="96"/>
      <c r="AT394" s="176">
        <f t="shared" si="1027"/>
        <v>0</v>
      </c>
      <c r="AU394" s="206"/>
      <c r="AV394" s="176">
        <f t="shared" si="1028"/>
        <v>0</v>
      </c>
      <c r="AW394" s="206"/>
      <c r="AX394" s="205">
        <f t="shared" si="1029"/>
        <v>0</v>
      </c>
      <c r="AY394" s="188">
        <f t="shared" si="1030"/>
        <v>0</v>
      </c>
      <c r="AZ394" s="96">
        <f t="shared" si="1031"/>
        <v>0</v>
      </c>
      <c r="BA394" s="96">
        <f t="shared" si="1032"/>
        <v>0</v>
      </c>
      <c r="BB394" s="96">
        <f t="shared" si="1033"/>
        <v>0</v>
      </c>
      <c r="BC394" s="1" t="s">
        <v>1715</v>
      </c>
    </row>
    <row r="395" spans="1:55">
      <c r="A395" s="492">
        <v>223</v>
      </c>
      <c r="B395" s="13"/>
      <c r="C395" s="13"/>
      <c r="D395" s="13"/>
      <c r="E395" s="21" t="s">
        <v>1288</v>
      </c>
      <c r="F395" s="22" t="s">
        <v>1290</v>
      </c>
      <c r="G395" s="424" t="s">
        <v>1056</v>
      </c>
      <c r="H395" s="265" t="s">
        <v>358</v>
      </c>
      <c r="I395" s="54">
        <v>8.33</v>
      </c>
      <c r="J395" s="101"/>
      <c r="K395" s="54">
        <v>8.33</v>
      </c>
      <c r="L395" s="162"/>
      <c r="M395" s="54"/>
      <c r="N395" s="162"/>
      <c r="O395" s="54"/>
      <c r="P395" s="101"/>
      <c r="Q395" s="96">
        <f t="shared" si="1008"/>
        <v>1.008</v>
      </c>
      <c r="R395" s="337">
        <f t="shared" si="1009"/>
        <v>12.076551446399998</v>
      </c>
      <c r="S395" s="96"/>
      <c r="T395" s="96">
        <f t="shared" si="1010"/>
        <v>0</v>
      </c>
      <c r="U395" s="96">
        <v>1.008</v>
      </c>
      <c r="V395" s="176">
        <f t="shared" si="1011"/>
        <v>12.076551446399998</v>
      </c>
      <c r="W395" s="206"/>
      <c r="X395" s="205">
        <f t="shared" si="1012"/>
        <v>0</v>
      </c>
      <c r="Y395" s="188">
        <f t="shared" si="1013"/>
        <v>1.008</v>
      </c>
      <c r="Z395" s="176">
        <f t="shared" si="1014"/>
        <v>12.076551446399998</v>
      </c>
      <c r="AA395" s="206"/>
      <c r="AB395" s="205">
        <f t="shared" si="1015"/>
        <v>0</v>
      </c>
      <c r="AC395" s="206"/>
      <c r="AD395" s="176">
        <f t="shared" si="1016"/>
        <v>0</v>
      </c>
      <c r="AE395" s="206"/>
      <c r="AF395" s="204">
        <f t="shared" si="1017"/>
        <v>0</v>
      </c>
      <c r="AG395" s="188">
        <f t="shared" si="1018"/>
        <v>0</v>
      </c>
      <c r="AH395" s="96">
        <f t="shared" si="1019"/>
        <v>0</v>
      </c>
      <c r="AI395" s="96">
        <f t="shared" si="1020"/>
        <v>1.008</v>
      </c>
      <c r="AJ395" s="176">
        <f t="shared" si="1021"/>
        <v>12.076551446399998</v>
      </c>
      <c r="AK395" s="206"/>
      <c r="AL395" s="176">
        <f t="shared" si="1022"/>
        <v>0</v>
      </c>
      <c r="AM395" s="243"/>
      <c r="AN395" s="176">
        <f t="shared" si="1023"/>
        <v>0</v>
      </c>
      <c r="AO395" s="206"/>
      <c r="AP395" s="205">
        <f t="shared" si="1024"/>
        <v>0</v>
      </c>
      <c r="AQ395" s="188">
        <f t="shared" si="1025"/>
        <v>0</v>
      </c>
      <c r="AR395" s="96">
        <f t="shared" si="1026"/>
        <v>0</v>
      </c>
      <c r="AS395" s="96"/>
      <c r="AT395" s="176">
        <f t="shared" si="1027"/>
        <v>0</v>
      </c>
      <c r="AU395" s="206"/>
      <c r="AV395" s="176">
        <f t="shared" si="1028"/>
        <v>0</v>
      </c>
      <c r="AW395" s="206"/>
      <c r="AX395" s="205">
        <f t="shared" si="1029"/>
        <v>0</v>
      </c>
      <c r="AY395" s="188">
        <f t="shared" si="1030"/>
        <v>0</v>
      </c>
      <c r="AZ395" s="96">
        <f t="shared" si="1031"/>
        <v>0</v>
      </c>
      <c r="BA395" s="96">
        <f t="shared" si="1032"/>
        <v>0</v>
      </c>
      <c r="BB395" s="96">
        <f t="shared" si="1033"/>
        <v>0</v>
      </c>
      <c r="BC395" s="1" t="s">
        <v>1715</v>
      </c>
    </row>
    <row r="396" spans="1:55">
      <c r="A396" s="492">
        <v>216</v>
      </c>
      <c r="B396" s="13"/>
      <c r="C396" s="13"/>
      <c r="D396" s="13"/>
      <c r="E396" s="21" t="s">
        <v>1766</v>
      </c>
      <c r="F396" s="45" t="s">
        <v>964</v>
      </c>
      <c r="G396" s="45" t="s">
        <v>1056</v>
      </c>
      <c r="H396" s="265" t="s">
        <v>357</v>
      </c>
      <c r="I396" s="54">
        <v>6.9</v>
      </c>
      <c r="J396" s="101"/>
      <c r="K396" s="54">
        <v>6.9</v>
      </c>
      <c r="L396" s="162"/>
      <c r="M396" s="54"/>
      <c r="N396" s="162"/>
      <c r="O396" s="54"/>
      <c r="P396" s="101"/>
      <c r="Q396" s="96">
        <f t="shared" ref="Q396:Q399" si="1034">SUM(AI396+BA396)</f>
        <v>10.009999999999998</v>
      </c>
      <c r="R396" s="337">
        <f t="shared" ref="R396:R399" si="1035">SUM(AJ396+BB396)</f>
        <v>100.11516118500001</v>
      </c>
      <c r="S396" s="96">
        <v>4.16</v>
      </c>
      <c r="T396" s="96">
        <f t="shared" ref="T396:T399" si="1036">I396*S396*$T$2/1000</f>
        <v>41.43852960000001</v>
      </c>
      <c r="U396" s="96">
        <v>4.0949999999999998</v>
      </c>
      <c r="V396" s="176">
        <f t="shared" ref="V396:V399" si="1037">I396*U396*$V$2/1000</f>
        <v>40.638755430000003</v>
      </c>
      <c r="W396" s="206">
        <v>0.71499999999999997</v>
      </c>
      <c r="X396" s="205">
        <f t="shared" ref="X396:X399" si="1038">I396*W396*$X$2/1000</f>
        <v>7.4119423949999996</v>
      </c>
      <c r="Y396" s="188">
        <f t="shared" ref="Y396:Y399" si="1039">SUM(S396+U396+W396)</f>
        <v>8.9699999999999989</v>
      </c>
      <c r="Z396" s="176">
        <f t="shared" ref="Z396:Z399" si="1040">SUM(T396+V396+X396)</f>
        <v>89.48922742500001</v>
      </c>
      <c r="AA396" s="206">
        <v>1.04</v>
      </c>
      <c r="AB396" s="205">
        <f t="shared" ref="AB396:AB399" si="1041">K396*AA396*$AB$2/1000</f>
        <v>10.625933760000002</v>
      </c>
      <c r="AC396" s="206"/>
      <c r="AD396" s="176">
        <f t="shared" ref="AD396:AD399" si="1042">K396*AC396*$AD$2/1000</f>
        <v>0</v>
      </c>
      <c r="AE396" s="206"/>
      <c r="AF396" s="204">
        <f t="shared" ref="AF396:AF399" si="1043">K396*AE396*$AF$2/1000</f>
        <v>0</v>
      </c>
      <c r="AG396" s="188">
        <f t="shared" ref="AG396:AG399" si="1044">SUM(AA396+AC396+AE396)</f>
        <v>1.04</v>
      </c>
      <c r="AH396" s="96">
        <f t="shared" ref="AH396:AH399" si="1045">SUM(AB396+AD396+AF396)</f>
        <v>10.625933760000002</v>
      </c>
      <c r="AI396" s="96">
        <f t="shared" ref="AI396:AI399" si="1046">SUM(Y396+AG396)</f>
        <v>10.009999999999998</v>
      </c>
      <c r="AJ396" s="176">
        <f t="shared" ref="AJ396:AJ399" si="1047">SUM(Z396,AH396)</f>
        <v>100.11516118500001</v>
      </c>
      <c r="AK396" s="206"/>
      <c r="AL396" s="176">
        <f t="shared" ref="AL396:AL399" si="1048">M396*AK396*$AL$2/1000</f>
        <v>0</v>
      </c>
      <c r="AM396" s="243"/>
      <c r="AN396" s="176">
        <f t="shared" ref="AN396:AN399" si="1049">M396*AM396*$AN$2/1000</f>
        <v>0</v>
      </c>
      <c r="AO396" s="206"/>
      <c r="AP396" s="205">
        <f t="shared" ref="AP396:AP399" si="1050">M396*AO396*$AP$2/1000</f>
        <v>0</v>
      </c>
      <c r="AQ396" s="188">
        <f t="shared" ref="AQ396:AQ399" si="1051">SUM(AK396+AM396+AO396)</f>
        <v>0</v>
      </c>
      <c r="AR396" s="96">
        <f t="shared" ref="AR396:AR399" si="1052">SUM(AL396+AN396+AP396)</f>
        <v>0</v>
      </c>
      <c r="AS396" s="96"/>
      <c r="AT396" s="176">
        <f t="shared" ref="AT396:AT399" si="1053">O396*AS396*$AT$2/1000</f>
        <v>0</v>
      </c>
      <c r="AU396" s="206"/>
      <c r="AV396" s="176">
        <f t="shared" ref="AV396:AV399" si="1054">O396*AU396*$AV$2/1000</f>
        <v>0</v>
      </c>
      <c r="AW396" s="206"/>
      <c r="AX396" s="205">
        <f t="shared" ref="AX396:AX399" si="1055">O396*AW396*$AX$2/1000</f>
        <v>0</v>
      </c>
      <c r="AY396" s="188">
        <f t="shared" ref="AY396:AY399" si="1056">SUM(AS396+AU396+AW396)</f>
        <v>0</v>
      </c>
      <c r="AZ396" s="96">
        <f t="shared" ref="AZ396:AZ399" si="1057">SUM(AT396+AV396+AX396)</f>
        <v>0</v>
      </c>
      <c r="BA396" s="96">
        <f t="shared" ref="BA396:BA399" si="1058">SUM(AQ396+AY396)</f>
        <v>0</v>
      </c>
      <c r="BB396" s="96">
        <f t="shared" ref="BB396:BB399" si="1059">SUM(AR396,AZ396)</f>
        <v>0</v>
      </c>
      <c r="BC396" s="1" t="s">
        <v>1060</v>
      </c>
    </row>
    <row r="397" spans="1:55">
      <c r="A397" s="492">
        <v>231</v>
      </c>
      <c r="B397" s="13"/>
      <c r="C397" s="13"/>
      <c r="D397" s="13"/>
      <c r="E397" s="21" t="s">
        <v>2411</v>
      </c>
      <c r="F397" s="45"/>
      <c r="G397" s="45" t="s">
        <v>1059</v>
      </c>
      <c r="H397" s="265" t="s">
        <v>358</v>
      </c>
      <c r="I397" s="54">
        <v>7.8</v>
      </c>
      <c r="J397" s="162"/>
      <c r="K397" s="54">
        <v>7.8</v>
      </c>
      <c r="L397" s="162"/>
      <c r="M397" s="54"/>
      <c r="N397" s="162"/>
      <c r="O397" s="54"/>
      <c r="P397" s="162"/>
      <c r="Q397" s="96">
        <f t="shared" ref="Q397:Q398" si="1060">SUM(AI397+BA397)</f>
        <v>17.490000000000002</v>
      </c>
      <c r="R397" s="337">
        <f t="shared" ref="R397:R398" si="1061">SUM(AJ397+BB397)</f>
        <v>198.23256413999999</v>
      </c>
      <c r="S397" s="96">
        <v>8.2260000000000009</v>
      </c>
      <c r="T397" s="96">
        <f t="shared" ref="T397:T398" si="1062">I397*S397*$T$2/1000</f>
        <v>92.628626220000001</v>
      </c>
      <c r="U397" s="96">
        <f>4.812+0.42</f>
        <v>5.2320000000000002</v>
      </c>
      <c r="V397" s="96">
        <f t="shared" ref="V397:V398" si="1063">I397*U397*$V$2/1000</f>
        <v>58.694815296000002</v>
      </c>
      <c r="W397" s="96">
        <v>2.016</v>
      </c>
      <c r="X397" s="96">
        <f t="shared" ref="X397:X398" si="1064">I397*W397*$X$2/1000</f>
        <v>23.624467775999996</v>
      </c>
      <c r="Y397" s="96">
        <f t="shared" ref="Y397:Y398" si="1065">SUM(S397+U397+W397)</f>
        <v>15.474000000000002</v>
      </c>
      <c r="Z397" s="96">
        <f t="shared" ref="Z397:Z398" si="1066">SUM(T397+V397+X397)</f>
        <v>174.94790929199999</v>
      </c>
      <c r="AA397" s="96">
        <v>2.016</v>
      </c>
      <c r="AB397" s="96">
        <f t="shared" ref="AB397:AB398" si="1067">K397*AA397*$AB$2/1000</f>
        <v>23.284654847999999</v>
      </c>
      <c r="AC397" s="96"/>
      <c r="AD397" s="96">
        <f t="shared" ref="AD397:AD398" si="1068">K397*AC397*$AD$2/1000</f>
        <v>0</v>
      </c>
      <c r="AE397" s="96"/>
      <c r="AF397" s="95">
        <f t="shared" ref="AF397:AF398" si="1069">K397*AE397*$AF$2/1000</f>
        <v>0</v>
      </c>
      <c r="AG397" s="96">
        <f t="shared" ref="AG397:AG398" si="1070">SUM(AA397+AC397+AE397)</f>
        <v>2.016</v>
      </c>
      <c r="AH397" s="96">
        <f t="shared" ref="AH397:AH398" si="1071">SUM(AB397+AD397+AF397)</f>
        <v>23.284654847999999</v>
      </c>
      <c r="AI397" s="96">
        <f t="shared" ref="AI397:AI398" si="1072">SUM(Y397+AG397)</f>
        <v>17.490000000000002</v>
      </c>
      <c r="AJ397" s="96">
        <f t="shared" ref="AJ397:AJ398" si="1073">SUM(Z397,AH397)</f>
        <v>198.23256413999999</v>
      </c>
      <c r="AK397" s="96"/>
      <c r="AL397" s="96">
        <f t="shared" ref="AL397:AL398" si="1074">M397*AK397*$AL$2/1000</f>
        <v>0</v>
      </c>
      <c r="AM397" s="96"/>
      <c r="AN397" s="96">
        <f t="shared" ref="AN397:AN398" si="1075">M397*AM397*$AN$2/1000</f>
        <v>0</v>
      </c>
      <c r="AO397" s="96"/>
      <c r="AP397" s="96">
        <f t="shared" ref="AP397:AP398" si="1076">M397*AO397*$AP$2/1000</f>
        <v>0</v>
      </c>
      <c r="AQ397" s="96">
        <f t="shared" ref="AQ397:AQ398" si="1077">SUM(AK397+AM397+AO397)</f>
        <v>0</v>
      </c>
      <c r="AR397" s="96">
        <f t="shared" ref="AR397:AR398" si="1078">SUM(AL397+AN397+AP397)</f>
        <v>0</v>
      </c>
      <c r="AS397" s="96"/>
      <c r="AT397" s="96">
        <f t="shared" ref="AT397:AT398" si="1079">O397*AS397*$AT$2/1000</f>
        <v>0</v>
      </c>
      <c r="AU397" s="96"/>
      <c r="AV397" s="96">
        <f t="shared" ref="AV397:AV398" si="1080">O397*AU397*$AV$2/1000</f>
        <v>0</v>
      </c>
      <c r="AW397" s="96"/>
      <c r="AX397" s="96">
        <f t="shared" ref="AX397:AX398" si="1081">O397*AW397*$AX$2/1000</f>
        <v>0</v>
      </c>
      <c r="AY397" s="96">
        <f t="shared" ref="AY397:AY398" si="1082">SUM(AS397+AU397+AW397)</f>
        <v>0</v>
      </c>
      <c r="AZ397" s="96">
        <f t="shared" ref="AZ397:AZ398" si="1083">SUM(AT397+AV397+AX397)</f>
        <v>0</v>
      </c>
      <c r="BA397" s="96">
        <f t="shared" ref="BA397:BA398" si="1084">SUM(AQ397+AY397)</f>
        <v>0</v>
      </c>
      <c r="BB397" s="96">
        <f t="shared" ref="BB397:BB398" si="1085">SUM(AR397,AZ397)</f>
        <v>0</v>
      </c>
      <c r="BC397" s="1" t="s">
        <v>1060</v>
      </c>
    </row>
    <row r="398" spans="1:55">
      <c r="A398" s="492">
        <v>221</v>
      </c>
      <c r="B398" s="13"/>
      <c r="C398" s="13"/>
      <c r="D398" s="13"/>
      <c r="E398" s="89" t="s">
        <v>2571</v>
      </c>
      <c r="F398" s="90"/>
      <c r="G398" s="22" t="s">
        <v>1060</v>
      </c>
      <c r="H398" s="265" t="s">
        <v>357</v>
      </c>
      <c r="I398" s="54"/>
      <c r="J398" s="101"/>
      <c r="K398" s="54">
        <v>8.15</v>
      </c>
      <c r="L398" s="162"/>
      <c r="M398" s="54"/>
      <c r="N398" s="162"/>
      <c r="O398" s="54"/>
      <c r="P398" s="101"/>
      <c r="Q398" s="96">
        <f t="shared" si="1060"/>
        <v>0.504</v>
      </c>
      <c r="R398" s="337">
        <f t="shared" si="1061"/>
        <v>6.0823697760000002</v>
      </c>
      <c r="S398" s="96"/>
      <c r="T398" s="96">
        <f t="shared" si="1062"/>
        <v>0</v>
      </c>
      <c r="U398" s="96"/>
      <c r="V398" s="176">
        <f t="shared" si="1063"/>
        <v>0</v>
      </c>
      <c r="W398" s="206"/>
      <c r="X398" s="205">
        <f t="shared" si="1064"/>
        <v>0</v>
      </c>
      <c r="Y398" s="188">
        <f t="shared" si="1065"/>
        <v>0</v>
      </c>
      <c r="Z398" s="176">
        <f t="shared" si="1066"/>
        <v>0</v>
      </c>
      <c r="AA398" s="206">
        <v>0.504</v>
      </c>
      <c r="AB398" s="205">
        <f t="shared" si="1067"/>
        <v>6.0823697760000002</v>
      </c>
      <c r="AC398" s="206"/>
      <c r="AD398" s="176">
        <f t="shared" si="1068"/>
        <v>0</v>
      </c>
      <c r="AE398" s="206"/>
      <c r="AF398" s="204">
        <f t="shared" si="1069"/>
        <v>0</v>
      </c>
      <c r="AG398" s="188">
        <f t="shared" si="1070"/>
        <v>0.504</v>
      </c>
      <c r="AH398" s="96">
        <f t="shared" si="1071"/>
        <v>6.0823697760000002</v>
      </c>
      <c r="AI398" s="96">
        <f t="shared" si="1072"/>
        <v>0.504</v>
      </c>
      <c r="AJ398" s="176">
        <f t="shared" si="1073"/>
        <v>6.0823697760000002</v>
      </c>
      <c r="AK398" s="206"/>
      <c r="AL398" s="176">
        <f t="shared" si="1074"/>
        <v>0</v>
      </c>
      <c r="AM398" s="243"/>
      <c r="AN398" s="176">
        <f t="shared" si="1075"/>
        <v>0</v>
      </c>
      <c r="AO398" s="206"/>
      <c r="AP398" s="205">
        <f t="shared" si="1076"/>
        <v>0</v>
      </c>
      <c r="AQ398" s="188">
        <f t="shared" si="1077"/>
        <v>0</v>
      </c>
      <c r="AR398" s="96">
        <f t="shared" si="1078"/>
        <v>0</v>
      </c>
      <c r="AS398" s="96"/>
      <c r="AT398" s="176">
        <f t="shared" si="1079"/>
        <v>0</v>
      </c>
      <c r="AU398" s="206"/>
      <c r="AV398" s="176">
        <f t="shared" si="1080"/>
        <v>0</v>
      </c>
      <c r="AW398" s="206"/>
      <c r="AX398" s="205">
        <f t="shared" si="1081"/>
        <v>0</v>
      </c>
      <c r="AY398" s="188">
        <f t="shared" si="1082"/>
        <v>0</v>
      </c>
      <c r="AZ398" s="96">
        <f t="shared" si="1083"/>
        <v>0</v>
      </c>
      <c r="BA398" s="96">
        <f t="shared" si="1084"/>
        <v>0</v>
      </c>
      <c r="BB398" s="96">
        <f t="shared" si="1085"/>
        <v>0</v>
      </c>
      <c r="BC398" s="1" t="s">
        <v>1060</v>
      </c>
    </row>
    <row r="399" spans="1:55">
      <c r="A399" s="492">
        <v>231</v>
      </c>
      <c r="B399" s="13"/>
      <c r="C399" s="13"/>
      <c r="D399" s="13"/>
      <c r="E399" s="21" t="s">
        <v>2412</v>
      </c>
      <c r="F399" s="45"/>
      <c r="G399" s="45" t="s">
        <v>1059</v>
      </c>
      <c r="H399" s="265" t="s">
        <v>358</v>
      </c>
      <c r="I399" s="54">
        <v>12.7</v>
      </c>
      <c r="J399" s="162"/>
      <c r="K399" s="54">
        <v>12.7</v>
      </c>
      <c r="L399" s="162"/>
      <c r="M399" s="54"/>
      <c r="N399" s="162"/>
      <c r="O399" s="54"/>
      <c r="P399" s="162"/>
      <c r="Q399" s="96">
        <f t="shared" si="1034"/>
        <v>15.384</v>
      </c>
      <c r="R399" s="337">
        <f t="shared" si="1035"/>
        <v>286.08980628</v>
      </c>
      <c r="S399" s="96">
        <v>2.8319999999999999</v>
      </c>
      <c r="T399" s="96">
        <f t="shared" si="1036"/>
        <v>51.922893359999996</v>
      </c>
      <c r="U399" s="96">
        <v>5.28</v>
      </c>
      <c r="V399" s="96">
        <f t="shared" si="1037"/>
        <v>96.443962560000003</v>
      </c>
      <c r="W399" s="96">
        <v>3.528</v>
      </c>
      <c r="X399" s="96">
        <f t="shared" si="1038"/>
        <v>67.314589271999992</v>
      </c>
      <c r="Y399" s="96">
        <f t="shared" si="1039"/>
        <v>11.64</v>
      </c>
      <c r="Z399" s="96">
        <f t="shared" si="1040"/>
        <v>215.68144519200001</v>
      </c>
      <c r="AA399" s="96">
        <v>3.7440000000000002</v>
      </c>
      <c r="AB399" s="96">
        <f t="shared" si="1041"/>
        <v>70.408361088000007</v>
      </c>
      <c r="AC399" s="96"/>
      <c r="AD399" s="96">
        <f t="shared" si="1042"/>
        <v>0</v>
      </c>
      <c r="AE399" s="96"/>
      <c r="AF399" s="95">
        <f t="shared" si="1043"/>
        <v>0</v>
      </c>
      <c r="AG399" s="96">
        <f t="shared" si="1044"/>
        <v>3.7440000000000002</v>
      </c>
      <c r="AH399" s="96">
        <f t="shared" si="1045"/>
        <v>70.408361088000007</v>
      </c>
      <c r="AI399" s="96">
        <f t="shared" si="1046"/>
        <v>15.384</v>
      </c>
      <c r="AJ399" s="96">
        <f t="shared" si="1047"/>
        <v>286.08980628</v>
      </c>
      <c r="AK399" s="96"/>
      <c r="AL399" s="96">
        <f t="shared" si="1048"/>
        <v>0</v>
      </c>
      <c r="AM399" s="96"/>
      <c r="AN399" s="96">
        <f t="shared" si="1049"/>
        <v>0</v>
      </c>
      <c r="AO399" s="96"/>
      <c r="AP399" s="96">
        <f t="shared" si="1050"/>
        <v>0</v>
      </c>
      <c r="AQ399" s="96">
        <f t="shared" si="1051"/>
        <v>0</v>
      </c>
      <c r="AR399" s="96">
        <f t="shared" si="1052"/>
        <v>0</v>
      </c>
      <c r="AS399" s="96"/>
      <c r="AT399" s="96">
        <f t="shared" si="1053"/>
        <v>0</v>
      </c>
      <c r="AU399" s="96"/>
      <c r="AV399" s="96">
        <f t="shared" si="1054"/>
        <v>0</v>
      </c>
      <c r="AW399" s="96"/>
      <c r="AX399" s="96">
        <f t="shared" si="1055"/>
        <v>0</v>
      </c>
      <c r="AY399" s="96">
        <f t="shared" si="1056"/>
        <v>0</v>
      </c>
      <c r="AZ399" s="96">
        <f t="shared" si="1057"/>
        <v>0</v>
      </c>
      <c r="BA399" s="96">
        <f t="shared" si="1058"/>
        <v>0</v>
      </c>
      <c r="BB399" s="96">
        <f t="shared" si="1059"/>
        <v>0</v>
      </c>
      <c r="BC399" s="1" t="s">
        <v>1060</v>
      </c>
    </row>
    <row r="400" spans="1:55">
      <c r="A400" s="492">
        <v>231</v>
      </c>
      <c r="B400" s="13"/>
      <c r="C400" s="13"/>
      <c r="D400" s="13"/>
      <c r="E400" s="433" t="s">
        <v>1586</v>
      </c>
      <c r="F400" s="45"/>
      <c r="G400" s="45" t="s">
        <v>1059</v>
      </c>
      <c r="H400" s="265" t="s">
        <v>358</v>
      </c>
      <c r="I400" s="54">
        <v>5.0999999999999996</v>
      </c>
      <c r="J400" s="162"/>
      <c r="K400" s="54">
        <v>5.0999999999999996</v>
      </c>
      <c r="L400" s="162"/>
      <c r="M400" s="54"/>
      <c r="N400" s="162"/>
      <c r="O400" s="54"/>
      <c r="P400" s="162"/>
      <c r="Q400" s="96">
        <f t="shared" si="1008"/>
        <v>59.879999999999995</v>
      </c>
      <c r="R400" s="337">
        <f t="shared" si="1009"/>
        <v>445.21875959999994</v>
      </c>
      <c r="S400" s="96">
        <v>22.8</v>
      </c>
      <c r="T400" s="96">
        <f t="shared" si="1010"/>
        <v>167.86762200000001</v>
      </c>
      <c r="U400" s="96">
        <v>16.559999999999999</v>
      </c>
      <c r="V400" s="96">
        <f t="shared" si="1011"/>
        <v>121.46968655999999</v>
      </c>
      <c r="W400" s="96">
        <v>8.32</v>
      </c>
      <c r="X400" s="96">
        <f t="shared" si="1012"/>
        <v>63.748563839999989</v>
      </c>
      <c r="Y400" s="96">
        <f t="shared" si="1013"/>
        <v>47.68</v>
      </c>
      <c r="Z400" s="96">
        <f t="shared" si="1014"/>
        <v>353.08587239999997</v>
      </c>
      <c r="AA400" s="96">
        <v>12.2</v>
      </c>
      <c r="AB400" s="96">
        <f t="shared" si="1015"/>
        <v>92.132887199999985</v>
      </c>
      <c r="AC400" s="96"/>
      <c r="AD400" s="96">
        <f t="shared" si="1016"/>
        <v>0</v>
      </c>
      <c r="AE400" s="96"/>
      <c r="AF400" s="95">
        <f t="shared" si="1017"/>
        <v>0</v>
      </c>
      <c r="AG400" s="96">
        <f t="shared" si="1018"/>
        <v>12.2</v>
      </c>
      <c r="AH400" s="96">
        <f t="shared" si="1019"/>
        <v>92.132887199999985</v>
      </c>
      <c r="AI400" s="96">
        <f t="shared" si="1020"/>
        <v>59.879999999999995</v>
      </c>
      <c r="AJ400" s="96">
        <f t="shared" si="1021"/>
        <v>445.21875959999994</v>
      </c>
      <c r="AK400" s="96"/>
      <c r="AL400" s="96">
        <f t="shared" si="1022"/>
        <v>0</v>
      </c>
      <c r="AM400" s="96"/>
      <c r="AN400" s="96">
        <f t="shared" si="1023"/>
        <v>0</v>
      </c>
      <c r="AO400" s="96"/>
      <c r="AP400" s="96">
        <f t="shared" si="1024"/>
        <v>0</v>
      </c>
      <c r="AQ400" s="96">
        <f t="shared" si="1025"/>
        <v>0</v>
      </c>
      <c r="AR400" s="96">
        <f t="shared" si="1026"/>
        <v>0</v>
      </c>
      <c r="AS400" s="96"/>
      <c r="AT400" s="96">
        <f t="shared" si="1027"/>
        <v>0</v>
      </c>
      <c r="AU400" s="206"/>
      <c r="AV400" s="96">
        <f t="shared" si="1028"/>
        <v>0</v>
      </c>
      <c r="AW400" s="96"/>
      <c r="AX400" s="96">
        <f t="shared" si="1029"/>
        <v>0</v>
      </c>
      <c r="AY400" s="96">
        <f t="shared" si="1030"/>
        <v>0</v>
      </c>
      <c r="AZ400" s="96">
        <f t="shared" si="1031"/>
        <v>0</v>
      </c>
      <c r="BA400" s="96">
        <f t="shared" si="1032"/>
        <v>0</v>
      </c>
      <c r="BB400" s="96">
        <f t="shared" si="1033"/>
        <v>0</v>
      </c>
      <c r="BC400" s="1" t="s">
        <v>1060</v>
      </c>
    </row>
    <row r="401" spans="1:55">
      <c r="A401" s="492">
        <v>227</v>
      </c>
      <c r="B401" s="13"/>
      <c r="C401" s="13"/>
      <c r="D401" s="13"/>
      <c r="E401" s="433" t="s">
        <v>1687</v>
      </c>
      <c r="F401" s="424" t="s">
        <v>964</v>
      </c>
      <c r="G401" s="424" t="s">
        <v>1056</v>
      </c>
      <c r="H401" s="265" t="s">
        <v>358</v>
      </c>
      <c r="I401" s="54">
        <v>5.35</v>
      </c>
      <c r="J401" s="101"/>
      <c r="K401" s="54">
        <v>5.35</v>
      </c>
      <c r="L401" s="162"/>
      <c r="M401" s="54"/>
      <c r="N401" s="162"/>
      <c r="O401" s="54"/>
      <c r="P401" s="101"/>
      <c r="Q401" s="96">
        <f t="shared" si="1008"/>
        <v>12.76</v>
      </c>
      <c r="R401" s="337">
        <f t="shared" si="1009"/>
        <v>99.763423079999981</v>
      </c>
      <c r="S401" s="96">
        <v>3</v>
      </c>
      <c r="T401" s="96">
        <f t="shared" si="1010"/>
        <v>23.170582499999998</v>
      </c>
      <c r="U401" s="96">
        <v>4.68</v>
      </c>
      <c r="V401" s="176">
        <f t="shared" si="1011"/>
        <v>36.011153879999995</v>
      </c>
      <c r="W401" s="206">
        <v>2.92</v>
      </c>
      <c r="X401" s="205">
        <f t="shared" si="1012"/>
        <v>23.470024139999992</v>
      </c>
      <c r="Y401" s="188">
        <f t="shared" si="1013"/>
        <v>10.6</v>
      </c>
      <c r="Z401" s="176">
        <f t="shared" si="1014"/>
        <v>82.651760519999982</v>
      </c>
      <c r="AA401" s="206">
        <v>2.16</v>
      </c>
      <c r="AB401" s="205">
        <f t="shared" si="1015"/>
        <v>17.111662559999996</v>
      </c>
      <c r="AC401" s="206"/>
      <c r="AD401" s="176">
        <f t="shared" si="1016"/>
        <v>0</v>
      </c>
      <c r="AE401" s="206"/>
      <c r="AF401" s="204">
        <f t="shared" si="1017"/>
        <v>0</v>
      </c>
      <c r="AG401" s="188">
        <f t="shared" si="1018"/>
        <v>2.16</v>
      </c>
      <c r="AH401" s="96">
        <f t="shared" si="1019"/>
        <v>17.111662559999996</v>
      </c>
      <c r="AI401" s="96">
        <f t="shared" si="1020"/>
        <v>12.76</v>
      </c>
      <c r="AJ401" s="176">
        <f t="shared" si="1021"/>
        <v>99.763423079999981</v>
      </c>
      <c r="AK401" s="206"/>
      <c r="AL401" s="176">
        <f t="shared" si="1022"/>
        <v>0</v>
      </c>
      <c r="AM401" s="243"/>
      <c r="AN401" s="176">
        <f t="shared" si="1023"/>
        <v>0</v>
      </c>
      <c r="AO401" s="206"/>
      <c r="AP401" s="205">
        <f t="shared" si="1024"/>
        <v>0</v>
      </c>
      <c r="AQ401" s="188">
        <f t="shared" si="1025"/>
        <v>0</v>
      </c>
      <c r="AR401" s="96">
        <f t="shared" si="1026"/>
        <v>0</v>
      </c>
      <c r="AS401" s="96"/>
      <c r="AT401" s="176">
        <f t="shared" si="1027"/>
        <v>0</v>
      </c>
      <c r="AU401" s="206"/>
      <c r="AV401" s="176">
        <f t="shared" si="1028"/>
        <v>0</v>
      </c>
      <c r="AW401" s="206"/>
      <c r="AX401" s="205">
        <f t="shared" si="1029"/>
        <v>0</v>
      </c>
      <c r="AY401" s="188">
        <f t="shared" si="1030"/>
        <v>0</v>
      </c>
      <c r="AZ401" s="96">
        <f t="shared" si="1031"/>
        <v>0</v>
      </c>
      <c r="BA401" s="96">
        <f t="shared" si="1032"/>
        <v>0</v>
      </c>
      <c r="BB401" s="96">
        <f t="shared" si="1033"/>
        <v>0</v>
      </c>
      <c r="BC401" s="1" t="s">
        <v>1717</v>
      </c>
    </row>
    <row r="402" spans="1:55">
      <c r="A402" s="492">
        <v>231</v>
      </c>
      <c r="B402" s="13"/>
      <c r="C402" s="13"/>
      <c r="D402" s="13"/>
      <c r="E402" s="21" t="s">
        <v>2049</v>
      </c>
      <c r="F402" s="45" t="s">
        <v>964</v>
      </c>
      <c r="G402" s="45" t="s">
        <v>1059</v>
      </c>
      <c r="H402" s="265" t="s">
        <v>358</v>
      </c>
      <c r="I402" s="54">
        <v>3.8</v>
      </c>
      <c r="J402" s="162"/>
      <c r="K402" s="54">
        <v>3.8</v>
      </c>
      <c r="L402" s="162"/>
      <c r="M402" s="54"/>
      <c r="N402" s="162"/>
      <c r="O402" s="54"/>
      <c r="P402" s="162"/>
      <c r="Q402" s="96">
        <f t="shared" si="1008"/>
        <v>76.893999999999991</v>
      </c>
      <c r="R402" s="337">
        <f t="shared" si="1009"/>
        <v>427.93741047599997</v>
      </c>
      <c r="S402" s="96">
        <v>22.512</v>
      </c>
      <c r="T402" s="96">
        <f t="shared" si="1010"/>
        <v>123.49790544</v>
      </c>
      <c r="U402" s="96">
        <v>22.378</v>
      </c>
      <c r="V402" s="96">
        <f t="shared" si="1011"/>
        <v>122.304452664</v>
      </c>
      <c r="W402" s="96">
        <v>24.99</v>
      </c>
      <c r="X402" s="96">
        <f t="shared" si="1012"/>
        <v>142.66805993999998</v>
      </c>
      <c r="Y402" s="96">
        <f t="shared" si="1013"/>
        <v>69.88</v>
      </c>
      <c r="Z402" s="96">
        <f t="shared" si="1014"/>
        <v>388.47041804399998</v>
      </c>
      <c r="AA402" s="96">
        <v>7.0140000000000002</v>
      </c>
      <c r="AB402" s="96">
        <f t="shared" si="1015"/>
        <v>39.466992431999998</v>
      </c>
      <c r="AC402" s="96"/>
      <c r="AD402" s="96">
        <f t="shared" si="1016"/>
        <v>0</v>
      </c>
      <c r="AE402" s="96"/>
      <c r="AF402" s="95">
        <f t="shared" si="1017"/>
        <v>0</v>
      </c>
      <c r="AG402" s="96">
        <f t="shared" si="1018"/>
        <v>7.0140000000000002</v>
      </c>
      <c r="AH402" s="96">
        <f t="shared" si="1019"/>
        <v>39.466992431999998</v>
      </c>
      <c r="AI402" s="96">
        <f t="shared" si="1020"/>
        <v>76.893999999999991</v>
      </c>
      <c r="AJ402" s="96">
        <f t="shared" si="1021"/>
        <v>427.93741047599997</v>
      </c>
      <c r="AK402" s="96"/>
      <c r="AL402" s="96">
        <f t="shared" si="1022"/>
        <v>0</v>
      </c>
      <c r="AM402" s="96"/>
      <c r="AN402" s="96">
        <f t="shared" si="1023"/>
        <v>0</v>
      </c>
      <c r="AO402" s="96"/>
      <c r="AP402" s="96">
        <f t="shared" si="1024"/>
        <v>0</v>
      </c>
      <c r="AQ402" s="96">
        <f t="shared" si="1025"/>
        <v>0</v>
      </c>
      <c r="AR402" s="96">
        <f t="shared" si="1026"/>
        <v>0</v>
      </c>
      <c r="AS402" s="96"/>
      <c r="AT402" s="96">
        <f t="shared" si="1027"/>
        <v>0</v>
      </c>
      <c r="AU402" s="96"/>
      <c r="AV402" s="96">
        <f t="shared" si="1028"/>
        <v>0</v>
      </c>
      <c r="AW402" s="96"/>
      <c r="AX402" s="96">
        <f t="shared" si="1029"/>
        <v>0</v>
      </c>
      <c r="AY402" s="96">
        <f t="shared" si="1030"/>
        <v>0</v>
      </c>
      <c r="AZ402" s="96">
        <f t="shared" si="1031"/>
        <v>0</v>
      </c>
      <c r="BA402" s="96">
        <f t="shared" si="1032"/>
        <v>0</v>
      </c>
      <c r="BB402" s="96">
        <f t="shared" si="1033"/>
        <v>0</v>
      </c>
      <c r="BC402" s="1" t="s">
        <v>1060</v>
      </c>
    </row>
    <row r="403" spans="1:55">
      <c r="A403" s="492">
        <v>231</v>
      </c>
      <c r="B403" s="13"/>
      <c r="C403" s="13"/>
      <c r="D403" s="13"/>
      <c r="E403" s="21" t="s">
        <v>2210</v>
      </c>
      <c r="F403" s="45" t="s">
        <v>964</v>
      </c>
      <c r="G403" s="45" t="s">
        <v>1059</v>
      </c>
      <c r="H403" s="265" t="s">
        <v>358</v>
      </c>
      <c r="I403" s="54">
        <v>4.2</v>
      </c>
      <c r="J403" s="162"/>
      <c r="K403" s="54">
        <v>4.2</v>
      </c>
      <c r="L403" s="162"/>
      <c r="M403" s="54"/>
      <c r="N403" s="162"/>
      <c r="O403" s="54"/>
      <c r="P403" s="162"/>
      <c r="Q403" s="96">
        <f t="shared" si="1008"/>
        <v>13.061999999999999</v>
      </c>
      <c r="R403" s="337">
        <f t="shared" si="1009"/>
        <v>79.583366268000006</v>
      </c>
      <c r="S403" s="96">
        <v>6.5519999999999996</v>
      </c>
      <c r="T403" s="96">
        <f t="shared" si="1010"/>
        <v>39.726938160000003</v>
      </c>
      <c r="U403" s="96">
        <v>4.5359999999999996</v>
      </c>
      <c r="V403" s="96">
        <f t="shared" si="1011"/>
        <v>27.400578911999997</v>
      </c>
      <c r="W403" s="96">
        <v>1.974</v>
      </c>
      <c r="X403" s="96">
        <f t="shared" si="1012"/>
        <v>12.455849196000001</v>
      </c>
      <c r="Y403" s="96">
        <f t="shared" si="1013"/>
        <v>13.061999999999999</v>
      </c>
      <c r="Z403" s="96">
        <f t="shared" si="1014"/>
        <v>79.583366268000006</v>
      </c>
      <c r="AA403" s="96"/>
      <c r="AB403" s="96">
        <f t="shared" si="1015"/>
        <v>0</v>
      </c>
      <c r="AC403" s="96"/>
      <c r="AD403" s="96">
        <f t="shared" si="1016"/>
        <v>0</v>
      </c>
      <c r="AE403" s="96"/>
      <c r="AF403" s="95">
        <f t="shared" si="1017"/>
        <v>0</v>
      </c>
      <c r="AG403" s="96">
        <f t="shared" si="1018"/>
        <v>0</v>
      </c>
      <c r="AH403" s="96">
        <f t="shared" si="1019"/>
        <v>0</v>
      </c>
      <c r="AI403" s="96">
        <f t="shared" si="1020"/>
        <v>13.061999999999999</v>
      </c>
      <c r="AJ403" s="96">
        <f t="shared" si="1021"/>
        <v>79.583366268000006</v>
      </c>
      <c r="AK403" s="96"/>
      <c r="AL403" s="96">
        <f t="shared" si="1022"/>
        <v>0</v>
      </c>
      <c r="AM403" s="96"/>
      <c r="AN403" s="96">
        <f t="shared" si="1023"/>
        <v>0</v>
      </c>
      <c r="AO403" s="96"/>
      <c r="AP403" s="96">
        <f t="shared" si="1024"/>
        <v>0</v>
      </c>
      <c r="AQ403" s="96">
        <f t="shared" si="1025"/>
        <v>0</v>
      </c>
      <c r="AR403" s="96">
        <f t="shared" si="1026"/>
        <v>0</v>
      </c>
      <c r="AS403" s="96"/>
      <c r="AT403" s="96">
        <f t="shared" si="1027"/>
        <v>0</v>
      </c>
      <c r="AU403" s="96"/>
      <c r="AV403" s="96">
        <f t="shared" si="1028"/>
        <v>0</v>
      </c>
      <c r="AW403" s="96"/>
      <c r="AX403" s="96">
        <f t="shared" si="1029"/>
        <v>0</v>
      </c>
      <c r="AY403" s="96">
        <f t="shared" si="1030"/>
        <v>0</v>
      </c>
      <c r="AZ403" s="96">
        <f t="shared" si="1031"/>
        <v>0</v>
      </c>
      <c r="BA403" s="96">
        <f t="shared" si="1032"/>
        <v>0</v>
      </c>
      <c r="BB403" s="96">
        <f t="shared" si="1033"/>
        <v>0</v>
      </c>
      <c r="BC403" s="1" t="s">
        <v>1060</v>
      </c>
    </row>
    <row r="404" spans="1:55">
      <c r="A404" s="492">
        <v>232</v>
      </c>
      <c r="B404" s="13"/>
      <c r="C404" s="13"/>
      <c r="D404" s="13"/>
      <c r="E404" s="19" t="s">
        <v>2050</v>
      </c>
      <c r="F404" s="45" t="s">
        <v>964</v>
      </c>
      <c r="G404" s="45" t="s">
        <v>1059</v>
      </c>
      <c r="H404" s="265" t="s">
        <v>358</v>
      </c>
      <c r="I404" s="54">
        <v>3.95</v>
      </c>
      <c r="J404" s="101"/>
      <c r="K404" s="54">
        <v>3.95</v>
      </c>
      <c r="L404" s="162"/>
      <c r="M404" s="54"/>
      <c r="N404" s="162"/>
      <c r="O404" s="54"/>
      <c r="P404" s="101"/>
      <c r="Q404" s="96">
        <f t="shared" si="1008"/>
        <v>40.11</v>
      </c>
      <c r="R404" s="337">
        <f t="shared" si="1009"/>
        <v>232.30827192300004</v>
      </c>
      <c r="S404" s="96">
        <v>14.28</v>
      </c>
      <c r="T404" s="96">
        <f t="shared" si="1010"/>
        <v>81.430521900000002</v>
      </c>
      <c r="U404" s="96">
        <v>8.4</v>
      </c>
      <c r="V404" s="176">
        <f t="shared" si="1011"/>
        <v>47.721466800000002</v>
      </c>
      <c r="W404" s="206">
        <v>14.154</v>
      </c>
      <c r="X404" s="205">
        <f t="shared" si="1012"/>
        <v>83.994952671000007</v>
      </c>
      <c r="Y404" s="188">
        <f t="shared" si="1013"/>
        <v>36.834000000000003</v>
      </c>
      <c r="Z404" s="176">
        <f t="shared" si="1014"/>
        <v>213.14694137100003</v>
      </c>
      <c r="AA404" s="206">
        <v>3.2759999999999998</v>
      </c>
      <c r="AB404" s="205">
        <f t="shared" si="1015"/>
        <v>19.161330551999999</v>
      </c>
      <c r="AC404" s="206"/>
      <c r="AD404" s="176">
        <f t="shared" si="1016"/>
        <v>0</v>
      </c>
      <c r="AE404" s="206"/>
      <c r="AF404" s="204">
        <f t="shared" si="1017"/>
        <v>0</v>
      </c>
      <c r="AG404" s="188">
        <f t="shared" si="1018"/>
        <v>3.2759999999999998</v>
      </c>
      <c r="AH404" s="96">
        <f t="shared" si="1019"/>
        <v>19.161330551999999</v>
      </c>
      <c r="AI404" s="96">
        <f t="shared" si="1020"/>
        <v>40.11</v>
      </c>
      <c r="AJ404" s="176">
        <f t="shared" si="1021"/>
        <v>232.30827192300004</v>
      </c>
      <c r="AK404" s="206"/>
      <c r="AL404" s="176">
        <f t="shared" si="1022"/>
        <v>0</v>
      </c>
      <c r="AM404" s="243"/>
      <c r="AN404" s="176">
        <f t="shared" si="1023"/>
        <v>0</v>
      </c>
      <c r="AO404" s="206"/>
      <c r="AP404" s="205">
        <f t="shared" si="1024"/>
        <v>0</v>
      </c>
      <c r="AQ404" s="188">
        <f t="shared" si="1025"/>
        <v>0</v>
      </c>
      <c r="AR404" s="96">
        <f t="shared" si="1026"/>
        <v>0</v>
      </c>
      <c r="AS404" s="96"/>
      <c r="AT404" s="176">
        <f t="shared" si="1027"/>
        <v>0</v>
      </c>
      <c r="AU404" s="206"/>
      <c r="AV404" s="176">
        <f t="shared" si="1028"/>
        <v>0</v>
      </c>
      <c r="AW404" s="206"/>
      <c r="AX404" s="205">
        <f t="shared" si="1029"/>
        <v>0</v>
      </c>
      <c r="AY404" s="188">
        <f t="shared" si="1030"/>
        <v>0</v>
      </c>
      <c r="AZ404" s="96">
        <f t="shared" si="1031"/>
        <v>0</v>
      </c>
      <c r="BA404" s="96">
        <f t="shared" si="1032"/>
        <v>0</v>
      </c>
      <c r="BB404" s="96">
        <f t="shared" si="1033"/>
        <v>0</v>
      </c>
      <c r="BC404" s="1" t="s">
        <v>1060</v>
      </c>
    </row>
    <row r="405" spans="1:55">
      <c r="A405" s="492">
        <v>231</v>
      </c>
      <c r="B405" s="13"/>
      <c r="C405" s="13"/>
      <c r="D405" s="13"/>
      <c r="E405" s="21" t="s">
        <v>2211</v>
      </c>
      <c r="F405" s="45" t="s">
        <v>964</v>
      </c>
      <c r="G405" s="45" t="s">
        <v>1059</v>
      </c>
      <c r="H405" s="265" t="s">
        <v>358</v>
      </c>
      <c r="I405" s="54">
        <v>4.3499999999999996</v>
      </c>
      <c r="J405" s="162"/>
      <c r="K405" s="54">
        <v>4.3499999999999996</v>
      </c>
      <c r="L405" s="162"/>
      <c r="M405" s="54"/>
      <c r="N405" s="162"/>
      <c r="O405" s="54"/>
      <c r="P405" s="162"/>
      <c r="Q405" s="96">
        <f t="shared" ref="Q405" si="1086">SUM(AI405+BA405)</f>
        <v>4.2620000000000005</v>
      </c>
      <c r="R405" s="337">
        <f t="shared" ref="R405" si="1087">SUM(AJ405+BB405)</f>
        <v>26.967260978999999</v>
      </c>
      <c r="S405" s="96">
        <v>1.4279999999999999</v>
      </c>
      <c r="T405" s="96">
        <f t="shared" ref="T405" si="1088">I405*S405*$T$2/1000</f>
        <v>8.9676650699999989</v>
      </c>
      <c r="U405" s="96">
        <v>1.7</v>
      </c>
      <c r="V405" s="96">
        <f t="shared" ref="V405" si="1089">I405*U405*$V$2/1000</f>
        <v>10.6359327</v>
      </c>
      <c r="W405" s="96">
        <v>0.63</v>
      </c>
      <c r="X405" s="96">
        <f t="shared" ref="X405" si="1090">I405*W405*$X$2/1000</f>
        <v>4.1172449849999992</v>
      </c>
      <c r="Y405" s="96">
        <f t="shared" ref="Y405" si="1091">SUM(S405+U405+W405)</f>
        <v>3.758</v>
      </c>
      <c r="Z405" s="96">
        <f t="shared" ref="Z405" si="1092">SUM(T405+V405+X405)</f>
        <v>23.720842755</v>
      </c>
      <c r="AA405" s="96">
        <v>0.504</v>
      </c>
      <c r="AB405" s="96">
        <f t="shared" ref="AB405" si="1093">K405*AA405*$AB$2/1000</f>
        <v>3.2464182239999997</v>
      </c>
      <c r="AC405" s="96"/>
      <c r="AD405" s="96">
        <f t="shared" ref="AD405" si="1094">K405*AC405*$AD$2/1000</f>
        <v>0</v>
      </c>
      <c r="AE405" s="96"/>
      <c r="AF405" s="95">
        <f t="shared" ref="AF405" si="1095">K405*AE405*$AF$2/1000</f>
        <v>0</v>
      </c>
      <c r="AG405" s="96">
        <f t="shared" ref="AG405" si="1096">SUM(AA405+AC405+AE405)</f>
        <v>0.504</v>
      </c>
      <c r="AH405" s="96">
        <f t="shared" ref="AH405" si="1097">SUM(AB405+AD405+AF405)</f>
        <v>3.2464182239999997</v>
      </c>
      <c r="AI405" s="96">
        <f t="shared" ref="AI405" si="1098">SUM(Y405+AG405)</f>
        <v>4.2620000000000005</v>
      </c>
      <c r="AJ405" s="96">
        <f t="shared" ref="AJ405" si="1099">SUM(Z405,AH405)</f>
        <v>26.967260978999999</v>
      </c>
      <c r="AK405" s="96"/>
      <c r="AL405" s="96">
        <f t="shared" ref="AL405" si="1100">M405*AK405*$AL$2/1000</f>
        <v>0</v>
      </c>
      <c r="AM405" s="96"/>
      <c r="AN405" s="96">
        <f t="shared" ref="AN405" si="1101">M405*AM405*$AN$2/1000</f>
        <v>0</v>
      </c>
      <c r="AO405" s="96"/>
      <c r="AP405" s="96">
        <f t="shared" ref="AP405" si="1102">M405*AO405*$AP$2/1000</f>
        <v>0</v>
      </c>
      <c r="AQ405" s="96">
        <f t="shared" ref="AQ405" si="1103">SUM(AK405+AM405+AO405)</f>
        <v>0</v>
      </c>
      <c r="AR405" s="96">
        <f t="shared" ref="AR405" si="1104">SUM(AL405+AN405+AP405)</f>
        <v>0</v>
      </c>
      <c r="AS405" s="96"/>
      <c r="AT405" s="96">
        <f t="shared" ref="AT405" si="1105">O405*AS405*$AT$2/1000</f>
        <v>0</v>
      </c>
      <c r="AU405" s="96"/>
      <c r="AV405" s="96">
        <f t="shared" ref="AV405" si="1106">O405*AU405*$AV$2/1000</f>
        <v>0</v>
      </c>
      <c r="AW405" s="96"/>
      <c r="AX405" s="96">
        <f t="shared" ref="AX405" si="1107">O405*AW405*$AX$2/1000</f>
        <v>0</v>
      </c>
      <c r="AY405" s="96">
        <f t="shared" ref="AY405" si="1108">SUM(AS405+AU405+AW405)</f>
        <v>0</v>
      </c>
      <c r="AZ405" s="96">
        <f t="shared" ref="AZ405" si="1109">SUM(AT405+AV405+AX405)</f>
        <v>0</v>
      </c>
      <c r="BA405" s="96">
        <f t="shared" ref="BA405" si="1110">SUM(AQ405+AY405)</f>
        <v>0</v>
      </c>
      <c r="BB405" s="96">
        <f t="shared" ref="BB405" si="1111">SUM(AR405,AZ405)</f>
        <v>0</v>
      </c>
      <c r="BC405" s="1" t="s">
        <v>1060</v>
      </c>
    </row>
    <row r="406" spans="1:55">
      <c r="A406" s="492">
        <v>231</v>
      </c>
      <c r="B406" s="13"/>
      <c r="C406" s="13"/>
      <c r="D406" s="13"/>
      <c r="E406" s="21" t="s">
        <v>2444</v>
      </c>
      <c r="F406" s="45" t="s">
        <v>964</v>
      </c>
      <c r="G406" s="45" t="s">
        <v>1059</v>
      </c>
      <c r="H406" s="265" t="s">
        <v>358</v>
      </c>
      <c r="I406" s="54">
        <v>3.95</v>
      </c>
      <c r="J406" s="162"/>
      <c r="K406" s="54">
        <v>3.95</v>
      </c>
      <c r="L406" s="162"/>
      <c r="M406" s="54"/>
      <c r="N406" s="162"/>
      <c r="O406" s="54"/>
      <c r="P406" s="162"/>
      <c r="Q406" s="96">
        <f t="shared" ref="Q406" si="1112">SUM(AI406+BA406)</f>
        <v>0.40700000000000003</v>
      </c>
      <c r="R406" s="337">
        <f t="shared" ref="R406" si="1113">SUM(AJ406+BB406)</f>
        <v>2.3531325125000002</v>
      </c>
      <c r="S406" s="96">
        <v>0.187</v>
      </c>
      <c r="T406" s="96">
        <f t="shared" ref="T406" si="1114">I406*S406*$T$2/1000</f>
        <v>1.0663520725</v>
      </c>
      <c r="U406" s="96"/>
      <c r="V406" s="96">
        <f t="shared" ref="V406" si="1115">I406*U406*$V$2/1000</f>
        <v>0</v>
      </c>
      <c r="W406" s="96"/>
      <c r="X406" s="96">
        <f t="shared" ref="X406" si="1116">I406*W406*$X$2/1000</f>
        <v>0</v>
      </c>
      <c r="Y406" s="96">
        <f t="shared" ref="Y406" si="1117">SUM(S406+U406+W406)</f>
        <v>0.187</v>
      </c>
      <c r="Z406" s="96">
        <f t="shared" ref="Z406" si="1118">SUM(T406+V406+X406)</f>
        <v>1.0663520725</v>
      </c>
      <c r="AA406" s="96">
        <v>0.22</v>
      </c>
      <c r="AB406" s="96">
        <f t="shared" ref="AB406" si="1119">K406*AA406*$AB$2/1000</f>
        <v>1.28678044</v>
      </c>
      <c r="AC406" s="96"/>
      <c r="AD406" s="96">
        <f t="shared" ref="AD406" si="1120">K406*AC406*$AD$2/1000</f>
        <v>0</v>
      </c>
      <c r="AE406" s="96"/>
      <c r="AF406" s="95">
        <f t="shared" ref="AF406" si="1121">K406*AE406*$AF$2/1000</f>
        <v>0</v>
      </c>
      <c r="AG406" s="96">
        <f t="shared" ref="AG406" si="1122">SUM(AA406+AC406+AE406)</f>
        <v>0.22</v>
      </c>
      <c r="AH406" s="96">
        <f t="shared" ref="AH406" si="1123">SUM(AB406+AD406+AF406)</f>
        <v>1.28678044</v>
      </c>
      <c r="AI406" s="96">
        <f t="shared" ref="AI406" si="1124">SUM(Y406+AG406)</f>
        <v>0.40700000000000003</v>
      </c>
      <c r="AJ406" s="96">
        <f t="shared" ref="AJ406" si="1125">SUM(Z406,AH406)</f>
        <v>2.3531325125000002</v>
      </c>
      <c r="AK406" s="96"/>
      <c r="AL406" s="96">
        <f t="shared" ref="AL406" si="1126">M406*AK406*$AL$2/1000</f>
        <v>0</v>
      </c>
      <c r="AM406" s="96"/>
      <c r="AN406" s="96">
        <f t="shared" ref="AN406" si="1127">M406*AM406*$AN$2/1000</f>
        <v>0</v>
      </c>
      <c r="AO406" s="96"/>
      <c r="AP406" s="96">
        <f t="shared" ref="AP406" si="1128">M406*AO406*$AP$2/1000</f>
        <v>0</v>
      </c>
      <c r="AQ406" s="96">
        <f t="shared" ref="AQ406" si="1129">SUM(AK406+AM406+AO406)</f>
        <v>0</v>
      </c>
      <c r="AR406" s="96">
        <f t="shared" ref="AR406" si="1130">SUM(AL406+AN406+AP406)</f>
        <v>0</v>
      </c>
      <c r="AS406" s="96"/>
      <c r="AT406" s="96">
        <f t="shared" ref="AT406" si="1131">O406*AS406*$AT$2/1000</f>
        <v>0</v>
      </c>
      <c r="AU406" s="96"/>
      <c r="AV406" s="96">
        <f t="shared" ref="AV406" si="1132">O406*AU406*$AV$2/1000</f>
        <v>0</v>
      </c>
      <c r="AW406" s="96"/>
      <c r="AX406" s="96">
        <f t="shared" ref="AX406" si="1133">O406*AW406*$AX$2/1000</f>
        <v>0</v>
      </c>
      <c r="AY406" s="96">
        <f t="shared" ref="AY406" si="1134">SUM(AS406+AU406+AW406)</f>
        <v>0</v>
      </c>
      <c r="AZ406" s="96">
        <f t="shared" ref="AZ406" si="1135">SUM(AT406+AV406+AX406)</f>
        <v>0</v>
      </c>
      <c r="BA406" s="96">
        <f t="shared" ref="BA406" si="1136">SUM(AQ406+AY406)</f>
        <v>0</v>
      </c>
      <c r="BB406" s="96">
        <f t="shared" ref="BB406" si="1137">SUM(AR406,AZ406)</f>
        <v>0</v>
      </c>
      <c r="BC406" s="1" t="s">
        <v>1060</v>
      </c>
    </row>
    <row r="407" spans="1:55">
      <c r="A407" s="492">
        <v>231</v>
      </c>
      <c r="B407" s="13"/>
      <c r="C407" s="13"/>
      <c r="D407" s="13"/>
      <c r="E407" s="21" t="s">
        <v>1767</v>
      </c>
      <c r="F407" s="45" t="s">
        <v>964</v>
      </c>
      <c r="G407" s="45" t="s">
        <v>1059</v>
      </c>
      <c r="H407" s="265" t="s">
        <v>358</v>
      </c>
      <c r="I407" s="54">
        <v>8.42</v>
      </c>
      <c r="J407" s="162"/>
      <c r="K407" s="54">
        <v>8.42</v>
      </c>
      <c r="L407" s="162"/>
      <c r="M407" s="54"/>
      <c r="N407" s="162"/>
      <c r="O407" s="54"/>
      <c r="P407" s="162"/>
      <c r="Q407" s="96">
        <f t="shared" si="1008"/>
        <v>45.683999999999997</v>
      </c>
      <c r="R407" s="337">
        <f t="shared" si="1009"/>
        <v>562.77013975920011</v>
      </c>
      <c r="S407" s="96">
        <v>15.66</v>
      </c>
      <c r="T407" s="96">
        <f t="shared" si="1010"/>
        <v>190.35564678</v>
      </c>
      <c r="U407" s="96">
        <v>13.148999999999999</v>
      </c>
      <c r="V407" s="96">
        <f t="shared" si="1011"/>
        <v>159.2363518308</v>
      </c>
      <c r="W407" s="96">
        <v>15.282</v>
      </c>
      <c r="X407" s="96">
        <f t="shared" si="1012"/>
        <v>193.31661842280002</v>
      </c>
      <c r="Y407" s="96">
        <f t="shared" si="1013"/>
        <v>44.090999999999994</v>
      </c>
      <c r="Z407" s="96">
        <f t="shared" si="1014"/>
        <v>542.90861703360008</v>
      </c>
      <c r="AA407" s="96">
        <v>1.593</v>
      </c>
      <c r="AB407" s="96">
        <f t="shared" si="1015"/>
        <v>19.8615227256</v>
      </c>
      <c r="AC407" s="96"/>
      <c r="AD407" s="96">
        <f t="shared" si="1016"/>
        <v>0</v>
      </c>
      <c r="AE407" s="96"/>
      <c r="AF407" s="95">
        <f t="shared" si="1017"/>
        <v>0</v>
      </c>
      <c r="AG407" s="96">
        <f t="shared" si="1018"/>
        <v>1.593</v>
      </c>
      <c r="AH407" s="96">
        <f t="shared" si="1019"/>
        <v>19.8615227256</v>
      </c>
      <c r="AI407" s="96">
        <f t="shared" si="1020"/>
        <v>45.683999999999997</v>
      </c>
      <c r="AJ407" s="96">
        <f t="shared" si="1021"/>
        <v>562.77013975920011</v>
      </c>
      <c r="AK407" s="96"/>
      <c r="AL407" s="96">
        <f t="shared" si="1022"/>
        <v>0</v>
      </c>
      <c r="AM407" s="96"/>
      <c r="AN407" s="96">
        <f t="shared" si="1023"/>
        <v>0</v>
      </c>
      <c r="AO407" s="96"/>
      <c r="AP407" s="96">
        <f t="shared" si="1024"/>
        <v>0</v>
      </c>
      <c r="AQ407" s="96">
        <f t="shared" si="1025"/>
        <v>0</v>
      </c>
      <c r="AR407" s="96">
        <f t="shared" si="1026"/>
        <v>0</v>
      </c>
      <c r="AS407" s="96"/>
      <c r="AT407" s="96">
        <f t="shared" si="1027"/>
        <v>0</v>
      </c>
      <c r="AU407" s="96"/>
      <c r="AV407" s="96">
        <f t="shared" si="1028"/>
        <v>0</v>
      </c>
      <c r="AW407" s="96"/>
      <c r="AX407" s="96">
        <f t="shared" si="1029"/>
        <v>0</v>
      </c>
      <c r="AY407" s="96">
        <f t="shared" si="1030"/>
        <v>0</v>
      </c>
      <c r="AZ407" s="96">
        <f t="shared" si="1031"/>
        <v>0</v>
      </c>
      <c r="BA407" s="96">
        <f t="shared" si="1032"/>
        <v>0</v>
      </c>
      <c r="BB407" s="96">
        <f t="shared" si="1033"/>
        <v>0</v>
      </c>
      <c r="BC407" s="1" t="s">
        <v>1060</v>
      </c>
    </row>
    <row r="408" spans="1:55">
      <c r="A408" s="492">
        <v>231</v>
      </c>
      <c r="B408" s="13"/>
      <c r="C408" s="13"/>
      <c r="D408" s="13"/>
      <c r="E408" s="21" t="s">
        <v>2213</v>
      </c>
      <c r="F408" s="45" t="s">
        <v>964</v>
      </c>
      <c r="G408" s="45" t="s">
        <v>1059</v>
      </c>
      <c r="H408" s="265" t="s">
        <v>358</v>
      </c>
      <c r="I408" s="54">
        <v>9.1999999999999993</v>
      </c>
      <c r="J408" s="162"/>
      <c r="K408" s="54">
        <v>9.1999999999999993</v>
      </c>
      <c r="L408" s="162"/>
      <c r="M408" s="54"/>
      <c r="N408" s="162"/>
      <c r="O408" s="54"/>
      <c r="P408" s="162"/>
      <c r="Q408" s="96">
        <f t="shared" si="1008"/>
        <v>1.377</v>
      </c>
      <c r="R408" s="337">
        <f t="shared" si="1009"/>
        <v>19.032624107999997</v>
      </c>
      <c r="S408" s="96"/>
      <c r="T408" s="96">
        <f t="shared" si="1010"/>
        <v>0</v>
      </c>
      <c r="U408" s="96"/>
      <c r="V408" s="96">
        <f t="shared" si="1011"/>
        <v>0</v>
      </c>
      <c r="W408" s="96">
        <v>1.377</v>
      </c>
      <c r="X408" s="96">
        <f t="shared" si="1012"/>
        <v>19.032624107999997</v>
      </c>
      <c r="Y408" s="96">
        <f t="shared" si="1013"/>
        <v>1.377</v>
      </c>
      <c r="Z408" s="96">
        <f t="shared" si="1014"/>
        <v>19.032624107999997</v>
      </c>
      <c r="AA408" s="96"/>
      <c r="AB408" s="96">
        <f t="shared" si="1015"/>
        <v>0</v>
      </c>
      <c r="AC408" s="96"/>
      <c r="AD408" s="96">
        <f t="shared" si="1016"/>
        <v>0</v>
      </c>
      <c r="AE408" s="96"/>
      <c r="AF408" s="95">
        <f t="shared" si="1017"/>
        <v>0</v>
      </c>
      <c r="AG408" s="96">
        <f t="shared" si="1018"/>
        <v>0</v>
      </c>
      <c r="AH408" s="96">
        <f t="shared" si="1019"/>
        <v>0</v>
      </c>
      <c r="AI408" s="96">
        <f t="shared" si="1020"/>
        <v>1.377</v>
      </c>
      <c r="AJ408" s="96">
        <f t="shared" si="1021"/>
        <v>19.032624107999997</v>
      </c>
      <c r="AK408" s="96"/>
      <c r="AL408" s="96">
        <f t="shared" si="1022"/>
        <v>0</v>
      </c>
      <c r="AM408" s="96"/>
      <c r="AN408" s="96">
        <f t="shared" si="1023"/>
        <v>0</v>
      </c>
      <c r="AO408" s="96"/>
      <c r="AP408" s="96">
        <f t="shared" si="1024"/>
        <v>0</v>
      </c>
      <c r="AQ408" s="96">
        <f t="shared" si="1025"/>
        <v>0</v>
      </c>
      <c r="AR408" s="96">
        <f t="shared" si="1026"/>
        <v>0</v>
      </c>
      <c r="AS408" s="96"/>
      <c r="AT408" s="96">
        <f t="shared" si="1027"/>
        <v>0</v>
      </c>
      <c r="AU408" s="96"/>
      <c r="AV408" s="96">
        <f t="shared" si="1028"/>
        <v>0</v>
      </c>
      <c r="AW408" s="96"/>
      <c r="AX408" s="96">
        <f t="shared" si="1029"/>
        <v>0</v>
      </c>
      <c r="AY408" s="96">
        <f t="shared" si="1030"/>
        <v>0</v>
      </c>
      <c r="AZ408" s="96">
        <f t="shared" si="1031"/>
        <v>0</v>
      </c>
      <c r="BA408" s="96">
        <f t="shared" si="1032"/>
        <v>0</v>
      </c>
      <c r="BB408" s="96">
        <f t="shared" si="1033"/>
        <v>0</v>
      </c>
      <c r="BC408" s="1" t="s">
        <v>1060</v>
      </c>
    </row>
    <row r="409" spans="1:55">
      <c r="B409" s="13"/>
      <c r="C409" s="13"/>
      <c r="D409" s="13"/>
      <c r="E409" s="21" t="s">
        <v>1208</v>
      </c>
      <c r="F409" s="22" t="s">
        <v>1209</v>
      </c>
      <c r="G409" s="424" t="s">
        <v>1056</v>
      </c>
      <c r="H409" s="265" t="s">
        <v>358</v>
      </c>
      <c r="I409" s="54">
        <v>7.08</v>
      </c>
      <c r="J409" s="101"/>
      <c r="K409" s="54">
        <v>7.08</v>
      </c>
      <c r="L409" s="162"/>
      <c r="M409" s="54"/>
      <c r="N409" s="162"/>
      <c r="O409" s="54"/>
      <c r="P409" s="101"/>
      <c r="Q409" s="96">
        <f t="shared" si="1008"/>
        <v>0</v>
      </c>
      <c r="R409" s="337">
        <f t="shared" si="1009"/>
        <v>0</v>
      </c>
      <c r="S409" s="96"/>
      <c r="T409" s="96">
        <f t="shared" si="1010"/>
        <v>0</v>
      </c>
      <c r="U409" s="96"/>
      <c r="V409" s="176">
        <f t="shared" si="1011"/>
        <v>0</v>
      </c>
      <c r="W409" s="206"/>
      <c r="X409" s="205">
        <f t="shared" si="1012"/>
        <v>0</v>
      </c>
      <c r="Y409" s="188">
        <f t="shared" si="1013"/>
        <v>0</v>
      </c>
      <c r="Z409" s="176">
        <f t="shared" si="1014"/>
        <v>0</v>
      </c>
      <c r="AA409" s="206"/>
      <c r="AB409" s="205">
        <f t="shared" si="1015"/>
        <v>0</v>
      </c>
      <c r="AC409" s="206"/>
      <c r="AD409" s="176">
        <f t="shared" si="1016"/>
        <v>0</v>
      </c>
      <c r="AE409" s="206"/>
      <c r="AF409" s="205">
        <f t="shared" si="1017"/>
        <v>0</v>
      </c>
      <c r="AG409" s="188">
        <f t="shared" si="1018"/>
        <v>0</v>
      </c>
      <c r="AH409" s="96">
        <f t="shared" si="1019"/>
        <v>0</v>
      </c>
      <c r="AI409" s="96">
        <f t="shared" si="1020"/>
        <v>0</v>
      </c>
      <c r="AJ409" s="176">
        <f t="shared" si="1021"/>
        <v>0</v>
      </c>
      <c r="AK409" s="206"/>
      <c r="AL409" s="176">
        <f t="shared" si="1022"/>
        <v>0</v>
      </c>
      <c r="AM409" s="243"/>
      <c r="AN409" s="176">
        <f t="shared" si="1023"/>
        <v>0</v>
      </c>
      <c r="AO409" s="206"/>
      <c r="AP409" s="205">
        <f t="shared" si="1024"/>
        <v>0</v>
      </c>
      <c r="AQ409" s="188">
        <f t="shared" si="1025"/>
        <v>0</v>
      </c>
      <c r="AR409" s="96">
        <f t="shared" si="1026"/>
        <v>0</v>
      </c>
      <c r="AS409" s="96"/>
      <c r="AT409" s="176">
        <f t="shared" si="1027"/>
        <v>0</v>
      </c>
      <c r="AU409" s="206"/>
      <c r="AV409" s="176">
        <f t="shared" si="1028"/>
        <v>0</v>
      </c>
      <c r="AW409" s="206"/>
      <c r="AX409" s="205">
        <f t="shared" si="1029"/>
        <v>0</v>
      </c>
      <c r="AY409" s="188">
        <f t="shared" si="1030"/>
        <v>0</v>
      </c>
      <c r="AZ409" s="96">
        <f t="shared" si="1031"/>
        <v>0</v>
      </c>
      <c r="BA409" s="96">
        <f t="shared" si="1032"/>
        <v>0</v>
      </c>
      <c r="BB409" s="96">
        <f t="shared" si="1033"/>
        <v>0</v>
      </c>
      <c r="BC409" s="1" t="s">
        <v>1715</v>
      </c>
    </row>
    <row r="410" spans="1:55">
      <c r="A410" s="492">
        <v>229</v>
      </c>
      <c r="B410" s="13"/>
      <c r="C410" s="13"/>
      <c r="D410" s="13"/>
      <c r="E410" s="62" t="s">
        <v>851</v>
      </c>
      <c r="F410" s="419" t="s">
        <v>1094</v>
      </c>
      <c r="G410" s="419" t="s">
        <v>1060</v>
      </c>
      <c r="H410" s="265" t="s">
        <v>358</v>
      </c>
      <c r="I410" s="54">
        <v>30.95</v>
      </c>
      <c r="J410" s="162"/>
      <c r="K410" s="54">
        <v>30.95</v>
      </c>
      <c r="L410" s="162"/>
      <c r="M410" s="54"/>
      <c r="N410" s="162"/>
      <c r="O410" s="54"/>
      <c r="P410" s="162"/>
      <c r="Q410" s="96">
        <f t="shared" si="1008"/>
        <v>0</v>
      </c>
      <c r="R410" s="337">
        <f t="shared" si="1009"/>
        <v>0</v>
      </c>
      <c r="S410" s="96"/>
      <c r="T410" s="96">
        <f t="shared" si="1010"/>
        <v>0</v>
      </c>
      <c r="U410" s="96"/>
      <c r="V410" s="96">
        <f t="shared" si="1011"/>
        <v>0</v>
      </c>
      <c r="W410" s="96"/>
      <c r="X410" s="96">
        <f t="shared" si="1012"/>
        <v>0</v>
      </c>
      <c r="Y410" s="96">
        <f t="shared" si="1013"/>
        <v>0</v>
      </c>
      <c r="Z410" s="96">
        <f t="shared" si="1014"/>
        <v>0</v>
      </c>
      <c r="AA410" s="96"/>
      <c r="AB410" s="96">
        <f t="shared" si="1015"/>
        <v>0</v>
      </c>
      <c r="AC410" s="96"/>
      <c r="AD410" s="96">
        <f t="shared" si="1016"/>
        <v>0</v>
      </c>
      <c r="AE410" s="96"/>
      <c r="AF410" s="95">
        <f t="shared" si="1017"/>
        <v>0</v>
      </c>
      <c r="AG410" s="96">
        <f t="shared" si="1018"/>
        <v>0</v>
      </c>
      <c r="AH410" s="96">
        <f t="shared" si="1019"/>
        <v>0</v>
      </c>
      <c r="AI410" s="96">
        <f t="shared" si="1020"/>
        <v>0</v>
      </c>
      <c r="AJ410" s="96">
        <f t="shared" si="1021"/>
        <v>0</v>
      </c>
      <c r="AK410" s="96"/>
      <c r="AL410" s="96">
        <f t="shared" si="1022"/>
        <v>0</v>
      </c>
      <c r="AM410" s="96"/>
      <c r="AN410" s="96">
        <f t="shared" si="1023"/>
        <v>0</v>
      </c>
      <c r="AO410" s="96"/>
      <c r="AP410" s="96">
        <f t="shared" si="1024"/>
        <v>0</v>
      </c>
      <c r="AQ410" s="96">
        <f t="shared" si="1025"/>
        <v>0</v>
      </c>
      <c r="AR410" s="96">
        <f t="shared" si="1026"/>
        <v>0</v>
      </c>
      <c r="AS410" s="96"/>
      <c r="AT410" s="96">
        <f t="shared" si="1027"/>
        <v>0</v>
      </c>
      <c r="AU410" s="96"/>
      <c r="AV410" s="96">
        <f t="shared" si="1028"/>
        <v>0</v>
      </c>
      <c r="AW410" s="96"/>
      <c r="AX410" s="96">
        <f t="shared" si="1029"/>
        <v>0</v>
      </c>
      <c r="AY410" s="96">
        <f t="shared" si="1030"/>
        <v>0</v>
      </c>
      <c r="AZ410" s="96">
        <f t="shared" si="1031"/>
        <v>0</v>
      </c>
      <c r="BA410" s="96">
        <f t="shared" si="1032"/>
        <v>0</v>
      </c>
      <c r="BB410" s="96">
        <f t="shared" si="1033"/>
        <v>0</v>
      </c>
      <c r="BC410" s="1" t="s">
        <v>1715</v>
      </c>
    </row>
    <row r="411" spans="1:55">
      <c r="A411" s="492">
        <v>231</v>
      </c>
      <c r="B411" s="13"/>
      <c r="C411" s="13"/>
      <c r="D411" s="13"/>
      <c r="E411" s="21" t="s">
        <v>885</v>
      </c>
      <c r="F411" s="45" t="s">
        <v>1095</v>
      </c>
      <c r="G411" s="45" t="s">
        <v>1059</v>
      </c>
      <c r="H411" s="265" t="s">
        <v>358</v>
      </c>
      <c r="I411" s="54">
        <v>29.95</v>
      </c>
      <c r="J411" s="162"/>
      <c r="K411" s="54">
        <v>29.95</v>
      </c>
      <c r="L411" s="162"/>
      <c r="M411" s="54"/>
      <c r="N411" s="162"/>
      <c r="O411" s="54"/>
      <c r="P411" s="162"/>
      <c r="Q411" s="96">
        <f t="shared" ref="Q411:Q441" si="1138">SUM(AI411+BA411)</f>
        <v>0</v>
      </c>
      <c r="R411" s="337">
        <f t="shared" ref="R411:R441" si="1139">SUM(AJ411+BB411)</f>
        <v>0</v>
      </c>
      <c r="S411" s="96"/>
      <c r="T411" s="96">
        <f t="shared" ref="T411:T441" si="1140">I411*S411*$T$2/1000</f>
        <v>0</v>
      </c>
      <c r="U411" s="96"/>
      <c r="V411" s="96">
        <f t="shared" ref="V411:V441" si="1141">I411*U411*$V$2/1000</f>
        <v>0</v>
      </c>
      <c r="W411" s="96"/>
      <c r="X411" s="96">
        <f t="shared" ref="X411:X441" si="1142">I411*W411*$X$2/1000</f>
        <v>0</v>
      </c>
      <c r="Y411" s="96">
        <f t="shared" ref="Y411:Y441" si="1143">SUM(S411+U411+W411)</f>
        <v>0</v>
      </c>
      <c r="Z411" s="96">
        <f t="shared" ref="Z411:Z441" si="1144">SUM(T411+V411+X411)</f>
        <v>0</v>
      </c>
      <c r="AA411" s="96"/>
      <c r="AB411" s="96">
        <f t="shared" ref="AB411:AB441" si="1145">K411*AA411*$AB$2/1000</f>
        <v>0</v>
      </c>
      <c r="AC411" s="96"/>
      <c r="AD411" s="96">
        <f t="shared" ref="AD411:AD441" si="1146">K411*AC411*$AD$2/1000</f>
        <v>0</v>
      </c>
      <c r="AE411" s="96"/>
      <c r="AF411" s="95">
        <f t="shared" ref="AF411:AF441" si="1147">K411*AE411*$AF$2/1000</f>
        <v>0</v>
      </c>
      <c r="AG411" s="96">
        <f t="shared" ref="AG411:AG441" si="1148">SUM(AA411+AC411+AE411)</f>
        <v>0</v>
      </c>
      <c r="AH411" s="96">
        <f t="shared" ref="AH411:AH441" si="1149">SUM(AB411+AD411+AF411)</f>
        <v>0</v>
      </c>
      <c r="AI411" s="96">
        <f t="shared" ref="AI411:AI441" si="1150">SUM(Y411+AG411)</f>
        <v>0</v>
      </c>
      <c r="AJ411" s="96">
        <f t="shared" ref="AJ411:AJ441" si="1151">SUM(Z411,AH411)</f>
        <v>0</v>
      </c>
      <c r="AK411" s="96"/>
      <c r="AL411" s="96">
        <f t="shared" ref="AL411:AL441" si="1152">M411*AK411*$AL$2/1000</f>
        <v>0</v>
      </c>
      <c r="AM411" s="96"/>
      <c r="AN411" s="96">
        <f t="shared" ref="AN411:AN441" si="1153">M411*AM411*$AN$2/1000</f>
        <v>0</v>
      </c>
      <c r="AO411" s="96"/>
      <c r="AP411" s="96">
        <f t="shared" ref="AP411:AP441" si="1154">M411*AO411*$AP$2/1000</f>
        <v>0</v>
      </c>
      <c r="AQ411" s="96">
        <f t="shared" ref="AQ411:AQ441" si="1155">SUM(AK411+AM411+AO411)</f>
        <v>0</v>
      </c>
      <c r="AR411" s="96">
        <f t="shared" ref="AR411:AR441" si="1156">SUM(AL411+AN411+AP411)</f>
        <v>0</v>
      </c>
      <c r="AS411" s="96"/>
      <c r="AT411" s="96">
        <f t="shared" ref="AT411:AT441" si="1157">O411*AS411*$AT$2/1000</f>
        <v>0</v>
      </c>
      <c r="AU411" s="96"/>
      <c r="AV411" s="96">
        <f t="shared" ref="AV411:AV441" si="1158">O411*AU411*$AV$2/1000</f>
        <v>0</v>
      </c>
      <c r="AW411" s="96"/>
      <c r="AX411" s="96">
        <f t="shared" ref="AX411:AX441" si="1159">O411*AW411*$AX$2/1000</f>
        <v>0</v>
      </c>
      <c r="AY411" s="96">
        <f t="shared" ref="AY411:AY441" si="1160">SUM(AS411+AU411+AW411)</f>
        <v>0</v>
      </c>
      <c r="AZ411" s="96">
        <f t="shared" ref="AZ411:AZ441" si="1161">SUM(AT411+AV411+AX411)</f>
        <v>0</v>
      </c>
      <c r="BA411" s="96">
        <f t="shared" ref="BA411:BA441" si="1162">SUM(AQ411+AY411)</f>
        <v>0</v>
      </c>
      <c r="BB411" s="96">
        <f t="shared" ref="BB411:BB441" si="1163">SUM(AR411,AZ411)</f>
        <v>0</v>
      </c>
      <c r="BC411" s="1" t="s">
        <v>1715</v>
      </c>
    </row>
    <row r="412" spans="1:55">
      <c r="A412" s="492">
        <v>232</v>
      </c>
      <c r="B412" s="13"/>
      <c r="C412" s="13"/>
      <c r="D412" s="13"/>
      <c r="E412" s="19" t="s">
        <v>920</v>
      </c>
      <c r="F412" s="45" t="s">
        <v>1096</v>
      </c>
      <c r="G412" s="45" t="s">
        <v>1059</v>
      </c>
      <c r="H412" s="265" t="s">
        <v>358</v>
      </c>
      <c r="I412" s="54">
        <v>30.14</v>
      </c>
      <c r="J412" s="101"/>
      <c r="K412" s="54">
        <v>30.14</v>
      </c>
      <c r="L412" s="162"/>
      <c r="M412" s="54"/>
      <c r="N412" s="162"/>
      <c r="O412" s="54"/>
      <c r="P412" s="101"/>
      <c r="Q412" s="96">
        <f t="shared" si="1138"/>
        <v>0</v>
      </c>
      <c r="R412" s="337">
        <f t="shared" si="1139"/>
        <v>0</v>
      </c>
      <c r="S412" s="96"/>
      <c r="T412" s="96">
        <f t="shared" si="1140"/>
        <v>0</v>
      </c>
      <c r="U412" s="96"/>
      <c r="V412" s="176">
        <f t="shared" si="1141"/>
        <v>0</v>
      </c>
      <c r="W412" s="206"/>
      <c r="X412" s="205">
        <f t="shared" si="1142"/>
        <v>0</v>
      </c>
      <c r="Y412" s="188">
        <f t="shared" si="1143"/>
        <v>0</v>
      </c>
      <c r="Z412" s="176">
        <f t="shared" si="1144"/>
        <v>0</v>
      </c>
      <c r="AA412" s="206"/>
      <c r="AB412" s="205">
        <f t="shared" si="1145"/>
        <v>0</v>
      </c>
      <c r="AC412" s="206"/>
      <c r="AD412" s="176">
        <f t="shared" si="1146"/>
        <v>0</v>
      </c>
      <c r="AE412" s="206"/>
      <c r="AF412" s="204">
        <f t="shared" si="1147"/>
        <v>0</v>
      </c>
      <c r="AG412" s="188">
        <f t="shared" si="1148"/>
        <v>0</v>
      </c>
      <c r="AH412" s="96">
        <f t="shared" si="1149"/>
        <v>0</v>
      </c>
      <c r="AI412" s="96">
        <f t="shared" si="1150"/>
        <v>0</v>
      </c>
      <c r="AJ412" s="176">
        <f t="shared" si="1151"/>
        <v>0</v>
      </c>
      <c r="AK412" s="206"/>
      <c r="AL412" s="176">
        <f t="shared" si="1152"/>
        <v>0</v>
      </c>
      <c r="AM412" s="243"/>
      <c r="AN412" s="176">
        <f t="shared" si="1153"/>
        <v>0</v>
      </c>
      <c r="AO412" s="206"/>
      <c r="AP412" s="205">
        <f t="shared" si="1154"/>
        <v>0</v>
      </c>
      <c r="AQ412" s="188">
        <f t="shared" si="1155"/>
        <v>0</v>
      </c>
      <c r="AR412" s="96">
        <f t="shared" si="1156"/>
        <v>0</v>
      </c>
      <c r="AS412" s="96"/>
      <c r="AT412" s="176">
        <f t="shared" si="1157"/>
        <v>0</v>
      </c>
      <c r="AU412" s="206"/>
      <c r="AV412" s="176">
        <f t="shared" si="1158"/>
        <v>0</v>
      </c>
      <c r="AW412" s="206"/>
      <c r="AX412" s="205">
        <f t="shared" si="1159"/>
        <v>0</v>
      </c>
      <c r="AY412" s="188">
        <f t="shared" si="1160"/>
        <v>0</v>
      </c>
      <c r="AZ412" s="96">
        <f t="shared" si="1161"/>
        <v>0</v>
      </c>
      <c r="BA412" s="96">
        <f t="shared" si="1162"/>
        <v>0</v>
      </c>
      <c r="BB412" s="96">
        <f t="shared" si="1163"/>
        <v>0</v>
      </c>
      <c r="BC412" s="1" t="s">
        <v>1715</v>
      </c>
    </row>
    <row r="413" spans="1:55">
      <c r="A413" s="492">
        <v>233</v>
      </c>
      <c r="B413" s="13"/>
      <c r="C413" s="13"/>
      <c r="D413" s="13"/>
      <c r="E413" s="19" t="s">
        <v>921</v>
      </c>
      <c r="F413" s="45" t="s">
        <v>1097</v>
      </c>
      <c r="G413" s="45" t="s">
        <v>1059</v>
      </c>
      <c r="H413" s="265" t="s">
        <v>358</v>
      </c>
      <c r="I413" s="54">
        <v>30.54</v>
      </c>
      <c r="J413" s="101"/>
      <c r="K413" s="54">
        <v>30.54</v>
      </c>
      <c r="L413" s="162"/>
      <c r="M413" s="54"/>
      <c r="N413" s="162"/>
      <c r="O413" s="54"/>
      <c r="P413" s="101"/>
      <c r="Q413" s="96">
        <f t="shared" si="1138"/>
        <v>0</v>
      </c>
      <c r="R413" s="337">
        <f t="shared" si="1139"/>
        <v>0</v>
      </c>
      <c r="S413" s="96"/>
      <c r="T413" s="96">
        <f t="shared" si="1140"/>
        <v>0</v>
      </c>
      <c r="U413" s="96"/>
      <c r="V413" s="176">
        <f t="shared" si="1141"/>
        <v>0</v>
      </c>
      <c r="W413" s="206"/>
      <c r="X413" s="205">
        <f t="shared" si="1142"/>
        <v>0</v>
      </c>
      <c r="Y413" s="188">
        <f t="shared" si="1143"/>
        <v>0</v>
      </c>
      <c r="Z413" s="176">
        <f t="shared" si="1144"/>
        <v>0</v>
      </c>
      <c r="AA413" s="206"/>
      <c r="AB413" s="205">
        <f t="shared" si="1145"/>
        <v>0</v>
      </c>
      <c r="AC413" s="206"/>
      <c r="AD413" s="176">
        <f t="shared" si="1146"/>
        <v>0</v>
      </c>
      <c r="AE413" s="206"/>
      <c r="AF413" s="204">
        <f t="shared" si="1147"/>
        <v>0</v>
      </c>
      <c r="AG413" s="188">
        <f t="shared" si="1148"/>
        <v>0</v>
      </c>
      <c r="AH413" s="96">
        <f t="shared" si="1149"/>
        <v>0</v>
      </c>
      <c r="AI413" s="96">
        <f t="shared" si="1150"/>
        <v>0</v>
      </c>
      <c r="AJ413" s="176">
        <f t="shared" si="1151"/>
        <v>0</v>
      </c>
      <c r="AK413" s="206"/>
      <c r="AL413" s="176">
        <f t="shared" si="1152"/>
        <v>0</v>
      </c>
      <c r="AM413" s="243"/>
      <c r="AN413" s="176">
        <f t="shared" si="1153"/>
        <v>0</v>
      </c>
      <c r="AO413" s="206"/>
      <c r="AP413" s="205">
        <f t="shared" si="1154"/>
        <v>0</v>
      </c>
      <c r="AQ413" s="188">
        <f t="shared" si="1155"/>
        <v>0</v>
      </c>
      <c r="AR413" s="96">
        <f t="shared" si="1156"/>
        <v>0</v>
      </c>
      <c r="AS413" s="96"/>
      <c r="AT413" s="176">
        <f t="shared" si="1157"/>
        <v>0</v>
      </c>
      <c r="AU413" s="206"/>
      <c r="AV413" s="176">
        <f t="shared" si="1158"/>
        <v>0</v>
      </c>
      <c r="AW413" s="206"/>
      <c r="AX413" s="205">
        <f t="shared" si="1159"/>
        <v>0</v>
      </c>
      <c r="AY413" s="188">
        <f t="shared" si="1160"/>
        <v>0</v>
      </c>
      <c r="AZ413" s="96">
        <f t="shared" si="1161"/>
        <v>0</v>
      </c>
      <c r="BA413" s="96">
        <f t="shared" si="1162"/>
        <v>0</v>
      </c>
      <c r="BB413" s="96">
        <f t="shared" si="1163"/>
        <v>0</v>
      </c>
      <c r="BC413" s="1" t="s">
        <v>1715</v>
      </c>
    </row>
    <row r="414" spans="1:55">
      <c r="B414" s="13"/>
      <c r="C414" s="13"/>
      <c r="D414" s="13"/>
      <c r="E414" s="19" t="s">
        <v>1210</v>
      </c>
      <c r="F414" s="22" t="s">
        <v>1211</v>
      </c>
      <c r="G414" s="424" t="s">
        <v>1056</v>
      </c>
      <c r="H414" s="265" t="s">
        <v>358</v>
      </c>
      <c r="I414" s="54">
        <v>5.72</v>
      </c>
      <c r="J414" s="101"/>
      <c r="K414" s="54">
        <v>5.72</v>
      </c>
      <c r="L414" s="162"/>
      <c r="M414" s="54"/>
      <c r="N414" s="162"/>
      <c r="O414" s="54"/>
      <c r="P414" s="101"/>
      <c r="Q414" s="96">
        <f t="shared" si="1138"/>
        <v>0.98899999999999999</v>
      </c>
      <c r="R414" s="337">
        <f t="shared" si="1139"/>
        <v>8.1513048187999999</v>
      </c>
      <c r="S414" s="96">
        <v>0.48499999999999999</v>
      </c>
      <c r="T414" s="96">
        <f t="shared" si="1140"/>
        <v>4.00497383</v>
      </c>
      <c r="U414" s="96">
        <v>0.504</v>
      </c>
      <c r="V414" s="176">
        <f t="shared" si="1141"/>
        <v>4.1463309888</v>
      </c>
      <c r="W414" s="206"/>
      <c r="X414" s="205">
        <f t="shared" si="1142"/>
        <v>0</v>
      </c>
      <c r="Y414" s="188">
        <f t="shared" si="1143"/>
        <v>0.98899999999999999</v>
      </c>
      <c r="Z414" s="176">
        <f t="shared" si="1144"/>
        <v>8.1513048187999999</v>
      </c>
      <c r="AA414" s="206"/>
      <c r="AB414" s="205">
        <f t="shared" si="1145"/>
        <v>0</v>
      </c>
      <c r="AC414" s="206"/>
      <c r="AD414" s="176">
        <f t="shared" si="1146"/>
        <v>0</v>
      </c>
      <c r="AE414" s="206"/>
      <c r="AF414" s="205">
        <f t="shared" si="1147"/>
        <v>0</v>
      </c>
      <c r="AG414" s="188">
        <f t="shared" si="1148"/>
        <v>0</v>
      </c>
      <c r="AH414" s="96">
        <f t="shared" si="1149"/>
        <v>0</v>
      </c>
      <c r="AI414" s="96">
        <f t="shared" si="1150"/>
        <v>0.98899999999999999</v>
      </c>
      <c r="AJ414" s="176">
        <f t="shared" si="1151"/>
        <v>8.1513048187999999</v>
      </c>
      <c r="AK414" s="206"/>
      <c r="AL414" s="176">
        <f t="shared" si="1152"/>
        <v>0</v>
      </c>
      <c r="AM414" s="243"/>
      <c r="AN414" s="176">
        <f t="shared" si="1153"/>
        <v>0</v>
      </c>
      <c r="AO414" s="206"/>
      <c r="AP414" s="205">
        <f t="shared" si="1154"/>
        <v>0</v>
      </c>
      <c r="AQ414" s="188">
        <f t="shared" si="1155"/>
        <v>0</v>
      </c>
      <c r="AR414" s="96">
        <f t="shared" si="1156"/>
        <v>0</v>
      </c>
      <c r="AS414" s="96"/>
      <c r="AT414" s="176">
        <f t="shared" si="1157"/>
        <v>0</v>
      </c>
      <c r="AU414" s="206"/>
      <c r="AV414" s="176">
        <f t="shared" si="1158"/>
        <v>0</v>
      </c>
      <c r="AW414" s="206"/>
      <c r="AX414" s="205">
        <f t="shared" si="1159"/>
        <v>0</v>
      </c>
      <c r="AY414" s="188">
        <f t="shared" si="1160"/>
        <v>0</v>
      </c>
      <c r="AZ414" s="96">
        <f t="shared" si="1161"/>
        <v>0</v>
      </c>
      <c r="BA414" s="96">
        <f t="shared" si="1162"/>
        <v>0</v>
      </c>
      <c r="BB414" s="96">
        <f t="shared" si="1163"/>
        <v>0</v>
      </c>
      <c r="BC414" s="1" t="s">
        <v>1715</v>
      </c>
    </row>
    <row r="415" spans="1:55">
      <c r="B415" s="13"/>
      <c r="C415" s="13"/>
      <c r="D415" s="13"/>
      <c r="E415" s="21" t="s">
        <v>1693</v>
      </c>
      <c r="F415" s="22" t="s">
        <v>1211</v>
      </c>
      <c r="G415" s="424" t="s">
        <v>1056</v>
      </c>
      <c r="H415" s="265" t="s">
        <v>358</v>
      </c>
      <c r="I415" s="54">
        <v>5.75</v>
      </c>
      <c r="J415" s="101"/>
      <c r="K415" s="54">
        <v>5.75</v>
      </c>
      <c r="L415" s="162"/>
      <c r="M415" s="54"/>
      <c r="N415" s="162"/>
      <c r="O415" s="54"/>
      <c r="P415" s="101"/>
      <c r="Q415" s="96">
        <f t="shared" si="1138"/>
        <v>0</v>
      </c>
      <c r="R415" s="337">
        <f t="shared" si="1139"/>
        <v>0</v>
      </c>
      <c r="S415" s="96"/>
      <c r="T415" s="96">
        <f t="shared" si="1140"/>
        <v>0</v>
      </c>
      <c r="U415" s="96"/>
      <c r="V415" s="176">
        <f t="shared" si="1141"/>
        <v>0</v>
      </c>
      <c r="W415" s="206"/>
      <c r="X415" s="205">
        <f t="shared" si="1142"/>
        <v>0</v>
      </c>
      <c r="Y415" s="188">
        <f t="shared" si="1143"/>
        <v>0</v>
      </c>
      <c r="Z415" s="176">
        <f t="shared" si="1144"/>
        <v>0</v>
      </c>
      <c r="AA415" s="206"/>
      <c r="AB415" s="205">
        <f t="shared" si="1145"/>
        <v>0</v>
      </c>
      <c r="AC415" s="206"/>
      <c r="AD415" s="176">
        <f t="shared" si="1146"/>
        <v>0</v>
      </c>
      <c r="AE415" s="206"/>
      <c r="AF415" s="205">
        <f t="shared" si="1147"/>
        <v>0</v>
      </c>
      <c r="AG415" s="188">
        <f t="shared" si="1148"/>
        <v>0</v>
      </c>
      <c r="AH415" s="96">
        <f t="shared" si="1149"/>
        <v>0</v>
      </c>
      <c r="AI415" s="96">
        <f t="shared" si="1150"/>
        <v>0</v>
      </c>
      <c r="AJ415" s="176">
        <f t="shared" si="1151"/>
        <v>0</v>
      </c>
      <c r="AK415" s="206"/>
      <c r="AL415" s="176">
        <f t="shared" si="1152"/>
        <v>0</v>
      </c>
      <c r="AM415" s="243"/>
      <c r="AN415" s="176">
        <f t="shared" si="1153"/>
        <v>0</v>
      </c>
      <c r="AO415" s="206"/>
      <c r="AP415" s="205">
        <f t="shared" si="1154"/>
        <v>0</v>
      </c>
      <c r="AQ415" s="188">
        <f t="shared" si="1155"/>
        <v>0</v>
      </c>
      <c r="AR415" s="96">
        <f t="shared" si="1156"/>
        <v>0</v>
      </c>
      <c r="AS415" s="96"/>
      <c r="AT415" s="176">
        <f t="shared" si="1157"/>
        <v>0</v>
      </c>
      <c r="AU415" s="206"/>
      <c r="AV415" s="176">
        <f t="shared" si="1158"/>
        <v>0</v>
      </c>
      <c r="AW415" s="206"/>
      <c r="AX415" s="205">
        <f t="shared" si="1159"/>
        <v>0</v>
      </c>
      <c r="AY415" s="188">
        <f t="shared" si="1160"/>
        <v>0</v>
      </c>
      <c r="AZ415" s="96">
        <f t="shared" si="1161"/>
        <v>0</v>
      </c>
      <c r="BA415" s="96">
        <f t="shared" si="1162"/>
        <v>0</v>
      </c>
      <c r="BB415" s="96">
        <f t="shared" si="1163"/>
        <v>0</v>
      </c>
      <c r="BC415" s="1" t="s">
        <v>1715</v>
      </c>
    </row>
    <row r="416" spans="1:55">
      <c r="B416" s="13"/>
      <c r="C416" s="13"/>
      <c r="D416" s="13"/>
      <c r="E416" s="21" t="s">
        <v>1212</v>
      </c>
      <c r="F416" s="22" t="s">
        <v>1213</v>
      </c>
      <c r="G416" s="424" t="s">
        <v>1056</v>
      </c>
      <c r="H416" s="265" t="s">
        <v>358</v>
      </c>
      <c r="I416" s="54">
        <v>5.28</v>
      </c>
      <c r="J416" s="101"/>
      <c r="K416" s="54">
        <v>5.28</v>
      </c>
      <c r="L416" s="162"/>
      <c r="M416" s="54"/>
      <c r="N416" s="162"/>
      <c r="O416" s="54"/>
      <c r="P416" s="101"/>
      <c r="Q416" s="96">
        <f t="shared" si="1138"/>
        <v>0</v>
      </c>
      <c r="R416" s="337">
        <f t="shared" si="1139"/>
        <v>0</v>
      </c>
      <c r="S416" s="96"/>
      <c r="T416" s="96">
        <f t="shared" si="1140"/>
        <v>0</v>
      </c>
      <c r="U416" s="96"/>
      <c r="V416" s="176">
        <f t="shared" si="1141"/>
        <v>0</v>
      </c>
      <c r="W416" s="206"/>
      <c r="X416" s="205">
        <f t="shared" si="1142"/>
        <v>0</v>
      </c>
      <c r="Y416" s="188">
        <f t="shared" si="1143"/>
        <v>0</v>
      </c>
      <c r="Z416" s="176">
        <f t="shared" si="1144"/>
        <v>0</v>
      </c>
      <c r="AA416" s="206"/>
      <c r="AB416" s="205">
        <f t="shared" si="1145"/>
        <v>0</v>
      </c>
      <c r="AC416" s="206"/>
      <c r="AD416" s="176">
        <f t="shared" si="1146"/>
        <v>0</v>
      </c>
      <c r="AE416" s="206"/>
      <c r="AF416" s="205">
        <f t="shared" si="1147"/>
        <v>0</v>
      </c>
      <c r="AG416" s="188">
        <f t="shared" si="1148"/>
        <v>0</v>
      </c>
      <c r="AH416" s="96">
        <f t="shared" si="1149"/>
        <v>0</v>
      </c>
      <c r="AI416" s="96">
        <f t="shared" si="1150"/>
        <v>0</v>
      </c>
      <c r="AJ416" s="176">
        <f t="shared" si="1151"/>
        <v>0</v>
      </c>
      <c r="AK416" s="206"/>
      <c r="AL416" s="176">
        <f t="shared" si="1152"/>
        <v>0</v>
      </c>
      <c r="AM416" s="243"/>
      <c r="AN416" s="176">
        <f t="shared" si="1153"/>
        <v>0</v>
      </c>
      <c r="AO416" s="206"/>
      <c r="AP416" s="205">
        <f t="shared" si="1154"/>
        <v>0</v>
      </c>
      <c r="AQ416" s="188">
        <f t="shared" si="1155"/>
        <v>0</v>
      </c>
      <c r="AR416" s="96">
        <f t="shared" si="1156"/>
        <v>0</v>
      </c>
      <c r="AS416" s="96"/>
      <c r="AT416" s="176">
        <f t="shared" si="1157"/>
        <v>0</v>
      </c>
      <c r="AU416" s="206"/>
      <c r="AV416" s="176">
        <f t="shared" si="1158"/>
        <v>0</v>
      </c>
      <c r="AW416" s="206"/>
      <c r="AX416" s="205">
        <f t="shared" si="1159"/>
        <v>0</v>
      </c>
      <c r="AY416" s="188">
        <f t="shared" si="1160"/>
        <v>0</v>
      </c>
      <c r="AZ416" s="96">
        <f t="shared" si="1161"/>
        <v>0</v>
      </c>
      <c r="BA416" s="96">
        <f t="shared" si="1162"/>
        <v>0</v>
      </c>
      <c r="BB416" s="96">
        <f t="shared" si="1163"/>
        <v>0</v>
      </c>
      <c r="BC416" s="1" t="s">
        <v>1715</v>
      </c>
    </row>
    <row r="417" spans="1:55">
      <c r="B417" s="13"/>
      <c r="C417" s="13"/>
      <c r="D417" s="13"/>
      <c r="E417" s="21" t="s">
        <v>2285</v>
      </c>
      <c r="F417" s="22" t="s">
        <v>964</v>
      </c>
      <c r="G417" s="424" t="s">
        <v>1056</v>
      </c>
      <c r="H417" s="265" t="s">
        <v>358</v>
      </c>
      <c r="I417" s="54">
        <v>6.25</v>
      </c>
      <c r="J417" s="101"/>
      <c r="K417" s="54">
        <v>6.25</v>
      </c>
      <c r="L417" s="162"/>
      <c r="M417" s="54"/>
      <c r="N417" s="162"/>
      <c r="O417" s="54"/>
      <c r="P417" s="101"/>
      <c r="Q417" s="96">
        <f t="shared" ref="Q417" si="1164">SUM(AI417+BA417)</f>
        <v>1.8780000000000001</v>
      </c>
      <c r="R417" s="337">
        <f t="shared" ref="R417" si="1165">SUM(AJ417+BB417)</f>
        <v>17.005789875000001</v>
      </c>
      <c r="S417" s="96"/>
      <c r="T417" s="96">
        <f t="shared" ref="T417" si="1166">I417*S417*$T$2/1000</f>
        <v>0</v>
      </c>
      <c r="U417" s="96">
        <v>1.5680000000000001</v>
      </c>
      <c r="V417" s="176">
        <f t="shared" ref="V417" si="1167">I417*U417*$V$2/1000</f>
        <v>14.094948</v>
      </c>
      <c r="W417" s="206">
        <v>0.31</v>
      </c>
      <c r="X417" s="205">
        <f t="shared" ref="X417" si="1168">I417*W417*$X$2/1000</f>
        <v>2.9108418749999996</v>
      </c>
      <c r="Y417" s="188">
        <f t="shared" ref="Y417" si="1169">SUM(S417+U417+W417)</f>
        <v>1.8780000000000001</v>
      </c>
      <c r="Z417" s="176">
        <f t="shared" ref="Z417" si="1170">SUM(T417+V417+X417)</f>
        <v>17.005789875000001</v>
      </c>
      <c r="AA417" s="206"/>
      <c r="AB417" s="205">
        <f t="shared" ref="AB417" si="1171">K417*AA417*$AB$2/1000</f>
        <v>0</v>
      </c>
      <c r="AC417" s="206"/>
      <c r="AD417" s="176">
        <f t="shared" ref="AD417" si="1172">K417*AC417*$AD$2/1000</f>
        <v>0</v>
      </c>
      <c r="AE417" s="206"/>
      <c r="AF417" s="205">
        <f t="shared" ref="AF417" si="1173">K417*AE417*$AF$2/1000</f>
        <v>0</v>
      </c>
      <c r="AG417" s="188">
        <f t="shared" ref="AG417" si="1174">SUM(AA417+AC417+AE417)</f>
        <v>0</v>
      </c>
      <c r="AH417" s="96">
        <f t="shared" ref="AH417" si="1175">SUM(AB417+AD417+AF417)</f>
        <v>0</v>
      </c>
      <c r="AI417" s="96">
        <f t="shared" ref="AI417" si="1176">SUM(Y417+AG417)</f>
        <v>1.8780000000000001</v>
      </c>
      <c r="AJ417" s="176">
        <f t="shared" ref="AJ417" si="1177">SUM(Z417,AH417)</f>
        <v>17.005789875000001</v>
      </c>
      <c r="AK417" s="206"/>
      <c r="AL417" s="176">
        <f t="shared" ref="AL417" si="1178">M417*AK417*$AL$2/1000</f>
        <v>0</v>
      </c>
      <c r="AM417" s="243"/>
      <c r="AN417" s="176">
        <f t="shared" ref="AN417" si="1179">M417*AM417*$AN$2/1000</f>
        <v>0</v>
      </c>
      <c r="AO417" s="206"/>
      <c r="AP417" s="205">
        <f t="shared" ref="AP417" si="1180">M417*AO417*$AP$2/1000</f>
        <v>0</v>
      </c>
      <c r="AQ417" s="188">
        <f t="shared" ref="AQ417" si="1181">SUM(AK417+AM417+AO417)</f>
        <v>0</v>
      </c>
      <c r="AR417" s="96">
        <f t="shared" ref="AR417" si="1182">SUM(AL417+AN417+AP417)</f>
        <v>0</v>
      </c>
      <c r="AS417" s="96"/>
      <c r="AT417" s="176">
        <f t="shared" ref="AT417" si="1183">O417*AS417*$AT$2/1000</f>
        <v>0</v>
      </c>
      <c r="AU417" s="206"/>
      <c r="AV417" s="176">
        <f t="shared" ref="AV417" si="1184">O417*AU417*$AV$2/1000</f>
        <v>0</v>
      </c>
      <c r="AW417" s="206"/>
      <c r="AX417" s="205">
        <f t="shared" ref="AX417" si="1185">O417*AW417*$AX$2/1000</f>
        <v>0</v>
      </c>
      <c r="AY417" s="188">
        <f t="shared" ref="AY417" si="1186">SUM(AS417+AU417+AW417)</f>
        <v>0</v>
      </c>
      <c r="AZ417" s="96">
        <f t="shared" ref="AZ417" si="1187">SUM(AT417+AV417+AX417)</f>
        <v>0</v>
      </c>
      <c r="BA417" s="96">
        <f t="shared" ref="BA417" si="1188">SUM(AQ417+AY417)</f>
        <v>0</v>
      </c>
      <c r="BB417" s="96">
        <f t="shared" ref="BB417" si="1189">SUM(AR417,AZ417)</f>
        <v>0</v>
      </c>
      <c r="BC417" s="1" t="s">
        <v>1060</v>
      </c>
    </row>
    <row r="418" spans="1:55">
      <c r="A418" s="492">
        <v>239</v>
      </c>
      <c r="B418" s="13"/>
      <c r="C418" s="13"/>
      <c r="D418" s="13"/>
      <c r="E418" s="21" t="s">
        <v>1599</v>
      </c>
      <c r="F418" s="45" t="s">
        <v>1606</v>
      </c>
      <c r="G418" s="45" t="s">
        <v>1064</v>
      </c>
      <c r="H418" s="265" t="s">
        <v>358</v>
      </c>
      <c r="I418" s="54">
        <v>6.35</v>
      </c>
      <c r="J418" s="101"/>
      <c r="K418" s="54">
        <v>6.35</v>
      </c>
      <c r="L418" s="162"/>
      <c r="M418" s="54"/>
      <c r="N418" s="162"/>
      <c r="O418" s="54"/>
      <c r="P418" s="101"/>
      <c r="Q418" s="96">
        <f t="shared" si="1138"/>
        <v>0.56000000000000005</v>
      </c>
      <c r="R418" s="337">
        <f t="shared" si="1139"/>
        <v>5.1144525600000001</v>
      </c>
      <c r="S418" s="96"/>
      <c r="T418" s="96">
        <f t="shared" si="1140"/>
        <v>0</v>
      </c>
      <c r="U418" s="96">
        <v>0.56000000000000005</v>
      </c>
      <c r="V418" s="176">
        <f t="shared" si="1141"/>
        <v>5.1144525600000001</v>
      </c>
      <c r="W418" s="206"/>
      <c r="X418" s="205">
        <f t="shared" si="1142"/>
        <v>0</v>
      </c>
      <c r="Y418" s="188">
        <f t="shared" si="1143"/>
        <v>0.56000000000000005</v>
      </c>
      <c r="Z418" s="176">
        <f t="shared" si="1144"/>
        <v>5.1144525600000001</v>
      </c>
      <c r="AA418" s="206"/>
      <c r="AB418" s="205">
        <f t="shared" si="1145"/>
        <v>0</v>
      </c>
      <c r="AC418" s="206"/>
      <c r="AD418" s="176">
        <f t="shared" si="1146"/>
        <v>0</v>
      </c>
      <c r="AE418" s="206"/>
      <c r="AF418" s="204">
        <f t="shared" si="1147"/>
        <v>0</v>
      </c>
      <c r="AG418" s="188">
        <f t="shared" si="1148"/>
        <v>0</v>
      </c>
      <c r="AH418" s="96">
        <f t="shared" si="1149"/>
        <v>0</v>
      </c>
      <c r="AI418" s="96">
        <f t="shared" si="1150"/>
        <v>0.56000000000000005</v>
      </c>
      <c r="AJ418" s="176">
        <f t="shared" si="1151"/>
        <v>5.1144525600000001</v>
      </c>
      <c r="AK418" s="206"/>
      <c r="AL418" s="176">
        <f t="shared" si="1152"/>
        <v>0</v>
      </c>
      <c r="AM418" s="243"/>
      <c r="AN418" s="176">
        <f t="shared" si="1153"/>
        <v>0</v>
      </c>
      <c r="AO418" s="206"/>
      <c r="AP418" s="205">
        <f t="shared" si="1154"/>
        <v>0</v>
      </c>
      <c r="AQ418" s="188">
        <f t="shared" si="1155"/>
        <v>0</v>
      </c>
      <c r="AR418" s="96">
        <f t="shared" si="1156"/>
        <v>0</v>
      </c>
      <c r="AS418" s="96"/>
      <c r="AT418" s="176">
        <f t="shared" si="1157"/>
        <v>0</v>
      </c>
      <c r="AU418" s="206"/>
      <c r="AV418" s="176">
        <f t="shared" si="1158"/>
        <v>0</v>
      </c>
      <c r="AW418" s="206"/>
      <c r="AX418" s="205">
        <f t="shared" si="1159"/>
        <v>0</v>
      </c>
      <c r="AY418" s="188">
        <f t="shared" si="1160"/>
        <v>0</v>
      </c>
      <c r="AZ418" s="96">
        <f t="shared" si="1161"/>
        <v>0</v>
      </c>
      <c r="BA418" s="96">
        <f t="shared" si="1162"/>
        <v>0</v>
      </c>
      <c r="BB418" s="96">
        <f t="shared" si="1163"/>
        <v>0</v>
      </c>
      <c r="BC418" s="1" t="s">
        <v>1717</v>
      </c>
    </row>
    <row r="419" spans="1:55">
      <c r="B419" s="13"/>
      <c r="C419" s="13"/>
      <c r="D419" s="13"/>
      <c r="E419" s="21" t="s">
        <v>1532</v>
      </c>
      <c r="F419" s="22" t="s">
        <v>1701</v>
      </c>
      <c r="G419" s="424" t="s">
        <v>1056</v>
      </c>
      <c r="H419" s="265" t="s">
        <v>358</v>
      </c>
      <c r="I419" s="54">
        <v>6.8</v>
      </c>
      <c r="J419" s="101"/>
      <c r="K419" s="54">
        <v>6.8</v>
      </c>
      <c r="L419" s="162"/>
      <c r="M419" s="54"/>
      <c r="N419" s="162"/>
      <c r="O419" s="54"/>
      <c r="P419" s="101"/>
      <c r="Q419" s="96">
        <f t="shared" si="1138"/>
        <v>1.62</v>
      </c>
      <c r="R419" s="337">
        <f t="shared" si="1139"/>
        <v>15.866303184</v>
      </c>
      <c r="S419" s="96">
        <v>0.61199999999999999</v>
      </c>
      <c r="T419" s="96">
        <f t="shared" si="1140"/>
        <v>6.0078938400000004</v>
      </c>
      <c r="U419" s="96">
        <v>1.008</v>
      </c>
      <c r="V419" s="176">
        <f t="shared" si="1141"/>
        <v>9.858409344</v>
      </c>
      <c r="W419" s="206"/>
      <c r="X419" s="205">
        <f t="shared" si="1142"/>
        <v>0</v>
      </c>
      <c r="Y419" s="188">
        <f t="shared" si="1143"/>
        <v>1.62</v>
      </c>
      <c r="Z419" s="176">
        <f t="shared" si="1144"/>
        <v>15.866303184</v>
      </c>
      <c r="AA419" s="206"/>
      <c r="AB419" s="205">
        <f t="shared" si="1145"/>
        <v>0</v>
      </c>
      <c r="AC419" s="206"/>
      <c r="AD419" s="176">
        <f t="shared" si="1146"/>
        <v>0</v>
      </c>
      <c r="AE419" s="206"/>
      <c r="AF419" s="205">
        <f t="shared" si="1147"/>
        <v>0</v>
      </c>
      <c r="AG419" s="188">
        <f t="shared" si="1148"/>
        <v>0</v>
      </c>
      <c r="AH419" s="96">
        <f t="shared" si="1149"/>
        <v>0</v>
      </c>
      <c r="AI419" s="96">
        <f t="shared" si="1150"/>
        <v>1.62</v>
      </c>
      <c r="AJ419" s="176">
        <f t="shared" si="1151"/>
        <v>15.866303184</v>
      </c>
      <c r="AK419" s="206"/>
      <c r="AL419" s="176">
        <f t="shared" si="1152"/>
        <v>0</v>
      </c>
      <c r="AM419" s="243"/>
      <c r="AN419" s="176">
        <f t="shared" si="1153"/>
        <v>0</v>
      </c>
      <c r="AO419" s="206"/>
      <c r="AP419" s="205">
        <f t="shared" si="1154"/>
        <v>0</v>
      </c>
      <c r="AQ419" s="188">
        <f t="shared" si="1155"/>
        <v>0</v>
      </c>
      <c r="AR419" s="96">
        <f t="shared" si="1156"/>
        <v>0</v>
      </c>
      <c r="AS419" s="96"/>
      <c r="AT419" s="176">
        <f t="shared" si="1157"/>
        <v>0</v>
      </c>
      <c r="AU419" s="206"/>
      <c r="AV419" s="176">
        <f t="shared" si="1158"/>
        <v>0</v>
      </c>
      <c r="AW419" s="206"/>
      <c r="AX419" s="205">
        <f t="shared" si="1159"/>
        <v>0</v>
      </c>
      <c r="AY419" s="188">
        <f t="shared" si="1160"/>
        <v>0</v>
      </c>
      <c r="AZ419" s="96">
        <f t="shared" si="1161"/>
        <v>0</v>
      </c>
      <c r="BA419" s="96">
        <f t="shared" si="1162"/>
        <v>0</v>
      </c>
      <c r="BB419" s="96">
        <f t="shared" si="1163"/>
        <v>0</v>
      </c>
      <c r="BC419" s="1" t="s">
        <v>1717</v>
      </c>
    </row>
    <row r="420" spans="1:55">
      <c r="A420" s="492">
        <v>179</v>
      </c>
      <c r="B420" s="52" t="s">
        <v>1395</v>
      </c>
      <c r="C420" s="52" t="s">
        <v>33</v>
      </c>
      <c r="D420" s="52" t="s">
        <v>1397</v>
      </c>
      <c r="E420" s="21" t="s">
        <v>1398</v>
      </c>
      <c r="F420" s="22" t="s">
        <v>1400</v>
      </c>
      <c r="G420" s="22" t="s">
        <v>1059</v>
      </c>
      <c r="H420" s="265" t="s">
        <v>358</v>
      </c>
      <c r="I420" s="54">
        <v>6.5</v>
      </c>
      <c r="J420" s="101"/>
      <c r="K420" s="54">
        <v>6.5</v>
      </c>
      <c r="L420" s="162"/>
      <c r="M420" s="54"/>
      <c r="N420" s="162"/>
      <c r="O420" s="54"/>
      <c r="P420" s="101"/>
      <c r="Q420" s="96">
        <f t="shared" si="1138"/>
        <v>0</v>
      </c>
      <c r="R420" s="337">
        <f t="shared" si="1139"/>
        <v>0</v>
      </c>
      <c r="S420" s="96"/>
      <c r="T420" s="96">
        <f t="shared" si="1140"/>
        <v>0</v>
      </c>
      <c r="U420" s="96"/>
      <c r="V420" s="176">
        <f t="shared" si="1141"/>
        <v>0</v>
      </c>
      <c r="W420" s="206"/>
      <c r="X420" s="205">
        <f t="shared" si="1142"/>
        <v>0</v>
      </c>
      <c r="Y420" s="188">
        <f t="shared" si="1143"/>
        <v>0</v>
      </c>
      <c r="Z420" s="176">
        <f t="shared" si="1144"/>
        <v>0</v>
      </c>
      <c r="AA420" s="206"/>
      <c r="AB420" s="205">
        <f t="shared" si="1145"/>
        <v>0</v>
      </c>
      <c r="AC420" s="206"/>
      <c r="AD420" s="176">
        <f t="shared" si="1146"/>
        <v>0</v>
      </c>
      <c r="AE420" s="206"/>
      <c r="AF420" s="204">
        <f t="shared" si="1147"/>
        <v>0</v>
      </c>
      <c r="AG420" s="188">
        <f t="shared" si="1148"/>
        <v>0</v>
      </c>
      <c r="AH420" s="96">
        <f t="shared" si="1149"/>
        <v>0</v>
      </c>
      <c r="AI420" s="96">
        <f t="shared" si="1150"/>
        <v>0</v>
      </c>
      <c r="AJ420" s="176">
        <f t="shared" si="1151"/>
        <v>0</v>
      </c>
      <c r="AK420" s="206"/>
      <c r="AL420" s="176">
        <f t="shared" si="1152"/>
        <v>0</v>
      </c>
      <c r="AM420" s="243"/>
      <c r="AN420" s="176">
        <f t="shared" si="1153"/>
        <v>0</v>
      </c>
      <c r="AO420" s="206"/>
      <c r="AP420" s="205">
        <f t="shared" si="1154"/>
        <v>0</v>
      </c>
      <c r="AQ420" s="188">
        <f t="shared" si="1155"/>
        <v>0</v>
      </c>
      <c r="AR420" s="96">
        <f t="shared" si="1156"/>
        <v>0</v>
      </c>
      <c r="AS420" s="96"/>
      <c r="AT420" s="176">
        <f t="shared" si="1157"/>
        <v>0</v>
      </c>
      <c r="AU420" s="206"/>
      <c r="AV420" s="176">
        <f t="shared" si="1158"/>
        <v>0</v>
      </c>
      <c r="AW420" s="206"/>
      <c r="AX420" s="205">
        <f t="shared" si="1159"/>
        <v>0</v>
      </c>
      <c r="AY420" s="188">
        <f t="shared" si="1160"/>
        <v>0</v>
      </c>
      <c r="AZ420" s="96">
        <f t="shared" si="1161"/>
        <v>0</v>
      </c>
      <c r="BA420" s="96">
        <f t="shared" si="1162"/>
        <v>0</v>
      </c>
      <c r="BB420" s="96">
        <f t="shared" si="1163"/>
        <v>0</v>
      </c>
      <c r="BC420" s="1" t="s">
        <v>1715</v>
      </c>
    </row>
    <row r="421" spans="1:55">
      <c r="A421" s="492">
        <v>180</v>
      </c>
      <c r="B421" s="13"/>
      <c r="C421" s="13" t="s">
        <v>1396</v>
      </c>
      <c r="D421" s="13"/>
      <c r="E421" s="21" t="s">
        <v>1399</v>
      </c>
      <c r="F421" s="22" t="s">
        <v>1401</v>
      </c>
      <c r="G421" s="22" t="s">
        <v>1059</v>
      </c>
      <c r="H421" s="265" t="s">
        <v>358</v>
      </c>
      <c r="I421" s="54">
        <v>8.6</v>
      </c>
      <c r="J421" s="101"/>
      <c r="K421" s="54">
        <v>8.6</v>
      </c>
      <c r="L421" s="162"/>
      <c r="M421" s="54"/>
      <c r="N421" s="162"/>
      <c r="O421" s="54"/>
      <c r="P421" s="101"/>
      <c r="Q421" s="96">
        <f t="shared" si="1138"/>
        <v>0</v>
      </c>
      <c r="R421" s="337">
        <f t="shared" si="1139"/>
        <v>0</v>
      </c>
      <c r="S421" s="96"/>
      <c r="T421" s="96">
        <f t="shared" si="1140"/>
        <v>0</v>
      </c>
      <c r="U421" s="96"/>
      <c r="V421" s="176">
        <f t="shared" si="1141"/>
        <v>0</v>
      </c>
      <c r="W421" s="206"/>
      <c r="X421" s="205">
        <f t="shared" si="1142"/>
        <v>0</v>
      </c>
      <c r="Y421" s="188">
        <f t="shared" si="1143"/>
        <v>0</v>
      </c>
      <c r="Z421" s="176">
        <f t="shared" si="1144"/>
        <v>0</v>
      </c>
      <c r="AA421" s="206"/>
      <c r="AB421" s="205">
        <f t="shared" si="1145"/>
        <v>0</v>
      </c>
      <c r="AC421" s="206"/>
      <c r="AD421" s="176">
        <f t="shared" si="1146"/>
        <v>0</v>
      </c>
      <c r="AE421" s="206"/>
      <c r="AF421" s="204">
        <f t="shared" si="1147"/>
        <v>0</v>
      </c>
      <c r="AG421" s="188">
        <f t="shared" si="1148"/>
        <v>0</v>
      </c>
      <c r="AH421" s="96">
        <f t="shared" si="1149"/>
        <v>0</v>
      </c>
      <c r="AI421" s="96">
        <f t="shared" si="1150"/>
        <v>0</v>
      </c>
      <c r="AJ421" s="176">
        <f t="shared" si="1151"/>
        <v>0</v>
      </c>
      <c r="AK421" s="206"/>
      <c r="AL421" s="176">
        <f t="shared" si="1152"/>
        <v>0</v>
      </c>
      <c r="AM421" s="243"/>
      <c r="AN421" s="176">
        <f t="shared" si="1153"/>
        <v>0</v>
      </c>
      <c r="AO421" s="206"/>
      <c r="AP421" s="205">
        <f t="shared" si="1154"/>
        <v>0</v>
      </c>
      <c r="AQ421" s="188">
        <f t="shared" si="1155"/>
        <v>0</v>
      </c>
      <c r="AR421" s="96">
        <f t="shared" si="1156"/>
        <v>0</v>
      </c>
      <c r="AS421" s="96"/>
      <c r="AT421" s="176">
        <f t="shared" si="1157"/>
        <v>0</v>
      </c>
      <c r="AU421" s="206"/>
      <c r="AV421" s="176">
        <f t="shared" si="1158"/>
        <v>0</v>
      </c>
      <c r="AW421" s="206"/>
      <c r="AX421" s="205">
        <f t="shared" si="1159"/>
        <v>0</v>
      </c>
      <c r="AY421" s="188">
        <f t="shared" si="1160"/>
        <v>0</v>
      </c>
      <c r="AZ421" s="96">
        <f t="shared" si="1161"/>
        <v>0</v>
      </c>
      <c r="BA421" s="96">
        <f t="shared" si="1162"/>
        <v>0</v>
      </c>
      <c r="BB421" s="96">
        <f t="shared" si="1163"/>
        <v>0</v>
      </c>
      <c r="BC421" s="1" t="s">
        <v>1715</v>
      </c>
    </row>
    <row r="422" spans="1:55">
      <c r="A422" s="492">
        <v>179</v>
      </c>
      <c r="B422" s="52" t="s">
        <v>1464</v>
      </c>
      <c r="C422" s="52" t="s">
        <v>33</v>
      </c>
      <c r="D422" s="52" t="s">
        <v>655</v>
      </c>
      <c r="E422" s="21" t="s">
        <v>1465</v>
      </c>
      <c r="F422" s="22" t="s">
        <v>964</v>
      </c>
      <c r="G422" s="22" t="s">
        <v>1059</v>
      </c>
      <c r="H422" s="265" t="s">
        <v>358</v>
      </c>
      <c r="I422" s="54">
        <v>6.5</v>
      </c>
      <c r="J422" s="101"/>
      <c r="K422" s="54">
        <v>6.5</v>
      </c>
      <c r="L422" s="162"/>
      <c r="M422" s="54"/>
      <c r="N422" s="162"/>
      <c r="O422" s="54"/>
      <c r="P422" s="101"/>
      <c r="Q422" s="96">
        <f t="shared" si="1138"/>
        <v>0</v>
      </c>
      <c r="R422" s="337">
        <f t="shared" si="1139"/>
        <v>0</v>
      </c>
      <c r="S422" s="96"/>
      <c r="T422" s="96">
        <f t="shared" si="1140"/>
        <v>0</v>
      </c>
      <c r="U422" s="96"/>
      <c r="V422" s="176">
        <f t="shared" si="1141"/>
        <v>0</v>
      </c>
      <c r="W422" s="206"/>
      <c r="X422" s="205">
        <f t="shared" si="1142"/>
        <v>0</v>
      </c>
      <c r="Y422" s="188">
        <f t="shared" si="1143"/>
        <v>0</v>
      </c>
      <c r="Z422" s="176">
        <f t="shared" si="1144"/>
        <v>0</v>
      </c>
      <c r="AA422" s="206"/>
      <c r="AB422" s="205">
        <f t="shared" si="1145"/>
        <v>0</v>
      </c>
      <c r="AC422" s="206"/>
      <c r="AD422" s="176">
        <f t="shared" si="1146"/>
        <v>0</v>
      </c>
      <c r="AE422" s="206"/>
      <c r="AF422" s="204">
        <f t="shared" si="1147"/>
        <v>0</v>
      </c>
      <c r="AG422" s="188">
        <f t="shared" si="1148"/>
        <v>0</v>
      </c>
      <c r="AH422" s="96">
        <f t="shared" si="1149"/>
        <v>0</v>
      </c>
      <c r="AI422" s="96">
        <f t="shared" si="1150"/>
        <v>0</v>
      </c>
      <c r="AJ422" s="176">
        <f t="shared" si="1151"/>
        <v>0</v>
      </c>
      <c r="AK422" s="206"/>
      <c r="AL422" s="176">
        <f t="shared" si="1152"/>
        <v>0</v>
      </c>
      <c r="AM422" s="243"/>
      <c r="AN422" s="176">
        <f t="shared" si="1153"/>
        <v>0</v>
      </c>
      <c r="AO422" s="206"/>
      <c r="AP422" s="205">
        <f t="shared" si="1154"/>
        <v>0</v>
      </c>
      <c r="AQ422" s="188">
        <f t="shared" si="1155"/>
        <v>0</v>
      </c>
      <c r="AR422" s="96">
        <f t="shared" si="1156"/>
        <v>0</v>
      </c>
      <c r="AS422" s="96"/>
      <c r="AT422" s="176">
        <f t="shared" si="1157"/>
        <v>0</v>
      </c>
      <c r="AU422" s="206"/>
      <c r="AV422" s="176">
        <f t="shared" si="1158"/>
        <v>0</v>
      </c>
      <c r="AW422" s="206"/>
      <c r="AX422" s="205">
        <f t="shared" si="1159"/>
        <v>0</v>
      </c>
      <c r="AY422" s="188">
        <f t="shared" si="1160"/>
        <v>0</v>
      </c>
      <c r="AZ422" s="96">
        <f t="shared" si="1161"/>
        <v>0</v>
      </c>
      <c r="BA422" s="96">
        <f t="shared" si="1162"/>
        <v>0</v>
      </c>
      <c r="BB422" s="96">
        <f t="shared" si="1163"/>
        <v>0</v>
      </c>
      <c r="BC422" s="1" t="s">
        <v>1715</v>
      </c>
    </row>
    <row r="423" spans="1:55">
      <c r="A423" s="492">
        <v>180</v>
      </c>
      <c r="B423" s="13"/>
      <c r="C423" s="13" t="s">
        <v>211</v>
      </c>
      <c r="D423" s="13"/>
      <c r="E423" s="21" t="s">
        <v>1466</v>
      </c>
      <c r="F423" s="22" t="s">
        <v>106</v>
      </c>
      <c r="G423" s="22" t="s">
        <v>1059</v>
      </c>
      <c r="H423" s="265" t="s">
        <v>358</v>
      </c>
      <c r="I423" s="54">
        <v>7.68</v>
      </c>
      <c r="J423" s="101"/>
      <c r="K423" s="54">
        <v>7.68</v>
      </c>
      <c r="L423" s="162"/>
      <c r="M423" s="54"/>
      <c r="N423" s="162"/>
      <c r="O423" s="54"/>
      <c r="P423" s="101"/>
      <c r="Q423" s="96">
        <f t="shared" si="1138"/>
        <v>0</v>
      </c>
      <c r="R423" s="337">
        <f t="shared" si="1139"/>
        <v>0</v>
      </c>
      <c r="S423" s="96"/>
      <c r="T423" s="96">
        <f t="shared" si="1140"/>
        <v>0</v>
      </c>
      <c r="U423" s="96"/>
      <c r="V423" s="176">
        <f t="shared" si="1141"/>
        <v>0</v>
      </c>
      <c r="W423" s="206"/>
      <c r="X423" s="205">
        <f t="shared" si="1142"/>
        <v>0</v>
      </c>
      <c r="Y423" s="188">
        <f t="shared" si="1143"/>
        <v>0</v>
      </c>
      <c r="Z423" s="176">
        <f t="shared" si="1144"/>
        <v>0</v>
      </c>
      <c r="AA423" s="206"/>
      <c r="AB423" s="205">
        <f t="shared" si="1145"/>
        <v>0</v>
      </c>
      <c r="AC423" s="206"/>
      <c r="AD423" s="176">
        <f t="shared" si="1146"/>
        <v>0</v>
      </c>
      <c r="AE423" s="206"/>
      <c r="AF423" s="204">
        <f t="shared" si="1147"/>
        <v>0</v>
      </c>
      <c r="AG423" s="188">
        <f t="shared" si="1148"/>
        <v>0</v>
      </c>
      <c r="AH423" s="96">
        <f t="shared" si="1149"/>
        <v>0</v>
      </c>
      <c r="AI423" s="96">
        <f t="shared" si="1150"/>
        <v>0</v>
      </c>
      <c r="AJ423" s="176">
        <f t="shared" si="1151"/>
        <v>0</v>
      </c>
      <c r="AK423" s="206"/>
      <c r="AL423" s="176">
        <f t="shared" si="1152"/>
        <v>0</v>
      </c>
      <c r="AM423" s="243"/>
      <c r="AN423" s="176">
        <f t="shared" si="1153"/>
        <v>0</v>
      </c>
      <c r="AO423" s="206"/>
      <c r="AP423" s="205">
        <f t="shared" si="1154"/>
        <v>0</v>
      </c>
      <c r="AQ423" s="188">
        <f t="shared" si="1155"/>
        <v>0</v>
      </c>
      <c r="AR423" s="96">
        <f t="shared" si="1156"/>
        <v>0</v>
      </c>
      <c r="AS423" s="96"/>
      <c r="AT423" s="176">
        <f t="shared" si="1157"/>
        <v>0</v>
      </c>
      <c r="AU423" s="206"/>
      <c r="AV423" s="176">
        <f t="shared" si="1158"/>
        <v>0</v>
      </c>
      <c r="AW423" s="206"/>
      <c r="AX423" s="205">
        <f t="shared" si="1159"/>
        <v>0</v>
      </c>
      <c r="AY423" s="188">
        <f t="shared" si="1160"/>
        <v>0</v>
      </c>
      <c r="AZ423" s="96">
        <f t="shared" si="1161"/>
        <v>0</v>
      </c>
      <c r="BA423" s="96">
        <f t="shared" si="1162"/>
        <v>0</v>
      </c>
      <c r="BB423" s="96">
        <f t="shared" si="1163"/>
        <v>0</v>
      </c>
      <c r="BC423" s="1" t="s">
        <v>1715</v>
      </c>
    </row>
    <row r="424" spans="1:55">
      <c r="A424" s="492">
        <v>179</v>
      </c>
      <c r="B424" s="13"/>
      <c r="C424" s="13"/>
      <c r="D424" s="13"/>
      <c r="E424" s="21" t="s">
        <v>1621</v>
      </c>
      <c r="F424" s="22" t="s">
        <v>1551</v>
      </c>
      <c r="G424" s="22" t="s">
        <v>1059</v>
      </c>
      <c r="H424" s="265" t="s">
        <v>358</v>
      </c>
      <c r="I424" s="54">
        <v>6.7</v>
      </c>
      <c r="J424" s="101"/>
      <c r="K424" s="54">
        <v>6.7</v>
      </c>
      <c r="L424" s="162"/>
      <c r="M424" s="54"/>
      <c r="N424" s="162"/>
      <c r="O424" s="54"/>
      <c r="P424" s="101"/>
      <c r="Q424" s="96">
        <f t="shared" si="1138"/>
        <v>0</v>
      </c>
      <c r="R424" s="337">
        <f t="shared" si="1139"/>
        <v>0</v>
      </c>
      <c r="S424" s="96"/>
      <c r="T424" s="96">
        <f t="shared" si="1140"/>
        <v>0</v>
      </c>
      <c r="U424" s="96"/>
      <c r="V424" s="176">
        <f t="shared" si="1141"/>
        <v>0</v>
      </c>
      <c r="W424" s="206"/>
      <c r="X424" s="205">
        <f t="shared" si="1142"/>
        <v>0</v>
      </c>
      <c r="Y424" s="188">
        <f t="shared" si="1143"/>
        <v>0</v>
      </c>
      <c r="Z424" s="176">
        <f t="shared" si="1144"/>
        <v>0</v>
      </c>
      <c r="AA424" s="206"/>
      <c r="AB424" s="205">
        <f t="shared" si="1145"/>
        <v>0</v>
      </c>
      <c r="AC424" s="206"/>
      <c r="AD424" s="176">
        <f t="shared" si="1146"/>
        <v>0</v>
      </c>
      <c r="AE424" s="206"/>
      <c r="AF424" s="204">
        <f t="shared" si="1147"/>
        <v>0</v>
      </c>
      <c r="AG424" s="188">
        <f t="shared" si="1148"/>
        <v>0</v>
      </c>
      <c r="AH424" s="96">
        <f t="shared" si="1149"/>
        <v>0</v>
      </c>
      <c r="AI424" s="96">
        <f t="shared" si="1150"/>
        <v>0</v>
      </c>
      <c r="AJ424" s="176">
        <f t="shared" si="1151"/>
        <v>0</v>
      </c>
      <c r="AK424" s="206"/>
      <c r="AL424" s="176">
        <f t="shared" si="1152"/>
        <v>0</v>
      </c>
      <c r="AM424" s="243"/>
      <c r="AN424" s="176">
        <f t="shared" si="1153"/>
        <v>0</v>
      </c>
      <c r="AO424" s="206"/>
      <c r="AP424" s="205">
        <f t="shared" si="1154"/>
        <v>0</v>
      </c>
      <c r="AQ424" s="188">
        <f t="shared" si="1155"/>
        <v>0</v>
      </c>
      <c r="AR424" s="96">
        <f t="shared" si="1156"/>
        <v>0</v>
      </c>
      <c r="AS424" s="96"/>
      <c r="AT424" s="176">
        <f t="shared" si="1157"/>
        <v>0</v>
      </c>
      <c r="AU424" s="206"/>
      <c r="AV424" s="176">
        <f t="shared" si="1158"/>
        <v>0</v>
      </c>
      <c r="AW424" s="206"/>
      <c r="AX424" s="205">
        <f t="shared" si="1159"/>
        <v>0</v>
      </c>
      <c r="AY424" s="188">
        <f t="shared" si="1160"/>
        <v>0</v>
      </c>
      <c r="AZ424" s="96">
        <f t="shared" si="1161"/>
        <v>0</v>
      </c>
      <c r="BA424" s="96">
        <f t="shared" si="1162"/>
        <v>0</v>
      </c>
      <c r="BB424" s="96">
        <f t="shared" si="1163"/>
        <v>0</v>
      </c>
      <c r="BC424" s="1" t="s">
        <v>1717</v>
      </c>
    </row>
    <row r="425" spans="1:55">
      <c r="A425" s="492">
        <v>179</v>
      </c>
      <c r="B425" s="13"/>
      <c r="C425" s="13"/>
      <c r="D425" s="13"/>
      <c r="E425" s="21" t="s">
        <v>1283</v>
      </c>
      <c r="F425" s="22" t="s">
        <v>1285</v>
      </c>
      <c r="G425" s="22" t="s">
        <v>1059</v>
      </c>
      <c r="H425" s="265" t="s">
        <v>358</v>
      </c>
      <c r="I425" s="54">
        <v>6.7</v>
      </c>
      <c r="J425" s="101"/>
      <c r="K425" s="54">
        <v>6.7</v>
      </c>
      <c r="L425" s="162"/>
      <c r="M425" s="54"/>
      <c r="N425" s="162"/>
      <c r="O425" s="54"/>
      <c r="P425" s="101"/>
      <c r="Q425" s="96">
        <f t="shared" si="1138"/>
        <v>0</v>
      </c>
      <c r="R425" s="337">
        <f t="shared" si="1139"/>
        <v>0</v>
      </c>
      <c r="S425" s="96"/>
      <c r="T425" s="96">
        <f t="shared" si="1140"/>
        <v>0</v>
      </c>
      <c r="U425" s="96"/>
      <c r="V425" s="176">
        <f t="shared" si="1141"/>
        <v>0</v>
      </c>
      <c r="W425" s="206"/>
      <c r="X425" s="205">
        <f t="shared" si="1142"/>
        <v>0</v>
      </c>
      <c r="Y425" s="188">
        <f t="shared" si="1143"/>
        <v>0</v>
      </c>
      <c r="Z425" s="176">
        <f t="shared" si="1144"/>
        <v>0</v>
      </c>
      <c r="AA425" s="206"/>
      <c r="AB425" s="205">
        <f t="shared" si="1145"/>
        <v>0</v>
      </c>
      <c r="AC425" s="206"/>
      <c r="AD425" s="176">
        <f t="shared" si="1146"/>
        <v>0</v>
      </c>
      <c r="AE425" s="206"/>
      <c r="AF425" s="204">
        <f t="shared" si="1147"/>
        <v>0</v>
      </c>
      <c r="AG425" s="188">
        <f t="shared" si="1148"/>
        <v>0</v>
      </c>
      <c r="AH425" s="96">
        <f t="shared" si="1149"/>
        <v>0</v>
      </c>
      <c r="AI425" s="96">
        <f t="shared" si="1150"/>
        <v>0</v>
      </c>
      <c r="AJ425" s="176">
        <f t="shared" si="1151"/>
        <v>0</v>
      </c>
      <c r="AK425" s="206"/>
      <c r="AL425" s="176">
        <f t="shared" si="1152"/>
        <v>0</v>
      </c>
      <c r="AM425" s="243"/>
      <c r="AN425" s="176">
        <f t="shared" si="1153"/>
        <v>0</v>
      </c>
      <c r="AO425" s="206"/>
      <c r="AP425" s="205">
        <f t="shared" si="1154"/>
        <v>0</v>
      </c>
      <c r="AQ425" s="188">
        <f t="shared" si="1155"/>
        <v>0</v>
      </c>
      <c r="AR425" s="96">
        <f t="shared" si="1156"/>
        <v>0</v>
      </c>
      <c r="AS425" s="96"/>
      <c r="AT425" s="176">
        <f t="shared" si="1157"/>
        <v>0</v>
      </c>
      <c r="AU425" s="206"/>
      <c r="AV425" s="176">
        <f t="shared" si="1158"/>
        <v>0</v>
      </c>
      <c r="AW425" s="206"/>
      <c r="AX425" s="205">
        <f t="shared" si="1159"/>
        <v>0</v>
      </c>
      <c r="AY425" s="188">
        <f t="shared" si="1160"/>
        <v>0</v>
      </c>
      <c r="AZ425" s="96">
        <f t="shared" si="1161"/>
        <v>0</v>
      </c>
      <c r="BA425" s="96">
        <f t="shared" si="1162"/>
        <v>0</v>
      </c>
      <c r="BB425" s="96">
        <f t="shared" si="1163"/>
        <v>0</v>
      </c>
      <c r="BC425" s="1" t="s">
        <v>1056</v>
      </c>
    </row>
    <row r="426" spans="1:55">
      <c r="A426" s="492">
        <v>179</v>
      </c>
      <c r="B426" s="13"/>
      <c r="C426" s="13"/>
      <c r="D426" s="13"/>
      <c r="E426" s="21" t="s">
        <v>1287</v>
      </c>
      <c r="F426" s="22" t="s">
        <v>1352</v>
      </c>
      <c r="G426" s="22" t="s">
        <v>1059</v>
      </c>
      <c r="H426" s="265" t="s">
        <v>358</v>
      </c>
      <c r="I426" s="54">
        <v>7.58</v>
      </c>
      <c r="J426" s="101"/>
      <c r="K426" s="54">
        <v>7.58</v>
      </c>
      <c r="L426" s="162"/>
      <c r="M426" s="54"/>
      <c r="N426" s="162"/>
      <c r="O426" s="54"/>
      <c r="P426" s="101"/>
      <c r="Q426" s="96">
        <f t="shared" si="1138"/>
        <v>0</v>
      </c>
      <c r="R426" s="337">
        <f t="shared" si="1139"/>
        <v>0</v>
      </c>
      <c r="S426" s="96"/>
      <c r="T426" s="96">
        <f t="shared" si="1140"/>
        <v>0</v>
      </c>
      <c r="U426" s="96"/>
      <c r="V426" s="176">
        <f t="shared" si="1141"/>
        <v>0</v>
      </c>
      <c r="W426" s="206"/>
      <c r="X426" s="205">
        <f t="shared" si="1142"/>
        <v>0</v>
      </c>
      <c r="Y426" s="188">
        <f t="shared" si="1143"/>
        <v>0</v>
      </c>
      <c r="Z426" s="176">
        <f t="shared" si="1144"/>
        <v>0</v>
      </c>
      <c r="AA426" s="206"/>
      <c r="AB426" s="205">
        <f t="shared" si="1145"/>
        <v>0</v>
      </c>
      <c r="AC426" s="206"/>
      <c r="AD426" s="176">
        <f t="shared" si="1146"/>
        <v>0</v>
      </c>
      <c r="AE426" s="206"/>
      <c r="AF426" s="204">
        <f t="shared" si="1147"/>
        <v>0</v>
      </c>
      <c r="AG426" s="188">
        <f t="shared" si="1148"/>
        <v>0</v>
      </c>
      <c r="AH426" s="96">
        <f t="shared" si="1149"/>
        <v>0</v>
      </c>
      <c r="AI426" s="96">
        <f t="shared" si="1150"/>
        <v>0</v>
      </c>
      <c r="AJ426" s="176">
        <f t="shared" si="1151"/>
        <v>0</v>
      </c>
      <c r="AK426" s="206"/>
      <c r="AL426" s="176">
        <f t="shared" si="1152"/>
        <v>0</v>
      </c>
      <c r="AM426" s="243"/>
      <c r="AN426" s="176">
        <f t="shared" si="1153"/>
        <v>0</v>
      </c>
      <c r="AO426" s="206"/>
      <c r="AP426" s="205">
        <f t="shared" si="1154"/>
        <v>0</v>
      </c>
      <c r="AQ426" s="188">
        <f t="shared" si="1155"/>
        <v>0</v>
      </c>
      <c r="AR426" s="96">
        <f t="shared" si="1156"/>
        <v>0</v>
      </c>
      <c r="AS426" s="96"/>
      <c r="AT426" s="176">
        <f t="shared" si="1157"/>
        <v>0</v>
      </c>
      <c r="AU426" s="206"/>
      <c r="AV426" s="176">
        <f t="shared" si="1158"/>
        <v>0</v>
      </c>
      <c r="AW426" s="206"/>
      <c r="AX426" s="205">
        <f t="shared" si="1159"/>
        <v>0</v>
      </c>
      <c r="AY426" s="188">
        <f t="shared" si="1160"/>
        <v>0</v>
      </c>
      <c r="AZ426" s="96">
        <f t="shared" si="1161"/>
        <v>0</v>
      </c>
      <c r="BA426" s="96">
        <f t="shared" si="1162"/>
        <v>0</v>
      </c>
      <c r="BB426" s="96">
        <f t="shared" si="1163"/>
        <v>0</v>
      </c>
      <c r="BC426" s="1" t="s">
        <v>1717</v>
      </c>
    </row>
    <row r="427" spans="1:55">
      <c r="A427" s="492">
        <v>180</v>
      </c>
      <c r="B427" s="24"/>
      <c r="C427" s="24"/>
      <c r="D427" s="24"/>
      <c r="E427" s="21" t="s">
        <v>972</v>
      </c>
      <c r="F427" s="22" t="s">
        <v>974</v>
      </c>
      <c r="G427" s="22" t="s">
        <v>1059</v>
      </c>
      <c r="H427" s="265" t="s">
        <v>358</v>
      </c>
      <c r="I427" s="54">
        <v>5.29</v>
      </c>
      <c r="J427" s="101"/>
      <c r="K427" s="54">
        <v>5.29</v>
      </c>
      <c r="L427" s="162"/>
      <c r="M427" s="54"/>
      <c r="N427" s="162"/>
      <c r="O427" s="54"/>
      <c r="P427" s="101"/>
      <c r="Q427" s="96">
        <f t="shared" si="1138"/>
        <v>0</v>
      </c>
      <c r="R427" s="337">
        <f t="shared" si="1139"/>
        <v>0</v>
      </c>
      <c r="S427" s="96"/>
      <c r="T427" s="96">
        <f t="shared" si="1140"/>
        <v>0</v>
      </c>
      <c r="U427" s="96"/>
      <c r="V427" s="176">
        <f t="shared" si="1141"/>
        <v>0</v>
      </c>
      <c r="W427" s="206"/>
      <c r="X427" s="205">
        <f t="shared" si="1142"/>
        <v>0</v>
      </c>
      <c r="Y427" s="188">
        <f t="shared" si="1143"/>
        <v>0</v>
      </c>
      <c r="Z427" s="176">
        <f t="shared" si="1144"/>
        <v>0</v>
      </c>
      <c r="AA427" s="206"/>
      <c r="AB427" s="205">
        <f t="shared" si="1145"/>
        <v>0</v>
      </c>
      <c r="AC427" s="206"/>
      <c r="AD427" s="176">
        <f t="shared" si="1146"/>
        <v>0</v>
      </c>
      <c r="AE427" s="206"/>
      <c r="AF427" s="204">
        <f t="shared" si="1147"/>
        <v>0</v>
      </c>
      <c r="AG427" s="188">
        <f t="shared" si="1148"/>
        <v>0</v>
      </c>
      <c r="AH427" s="96">
        <f t="shared" si="1149"/>
        <v>0</v>
      </c>
      <c r="AI427" s="96">
        <f t="shared" si="1150"/>
        <v>0</v>
      </c>
      <c r="AJ427" s="176">
        <f t="shared" si="1151"/>
        <v>0</v>
      </c>
      <c r="AK427" s="206"/>
      <c r="AL427" s="176">
        <f t="shared" si="1152"/>
        <v>0</v>
      </c>
      <c r="AM427" s="243"/>
      <c r="AN427" s="176">
        <f t="shared" si="1153"/>
        <v>0</v>
      </c>
      <c r="AO427" s="206"/>
      <c r="AP427" s="205">
        <f t="shared" si="1154"/>
        <v>0</v>
      </c>
      <c r="AQ427" s="188">
        <f t="shared" si="1155"/>
        <v>0</v>
      </c>
      <c r="AR427" s="96">
        <f t="shared" si="1156"/>
        <v>0</v>
      </c>
      <c r="AS427" s="96"/>
      <c r="AT427" s="176">
        <f t="shared" si="1157"/>
        <v>0</v>
      </c>
      <c r="AU427" s="206"/>
      <c r="AV427" s="176">
        <f t="shared" si="1158"/>
        <v>0</v>
      </c>
      <c r="AW427" s="206"/>
      <c r="AX427" s="205">
        <f t="shared" si="1159"/>
        <v>0</v>
      </c>
      <c r="AY427" s="188">
        <f t="shared" si="1160"/>
        <v>0</v>
      </c>
      <c r="AZ427" s="96">
        <f t="shared" si="1161"/>
        <v>0</v>
      </c>
      <c r="BA427" s="96">
        <f t="shared" si="1162"/>
        <v>0</v>
      </c>
      <c r="BB427" s="96">
        <f t="shared" si="1163"/>
        <v>0</v>
      </c>
      <c r="BC427" s="1" t="s">
        <v>1717</v>
      </c>
    </row>
    <row r="428" spans="1:55">
      <c r="A428" s="492">
        <v>179</v>
      </c>
      <c r="B428" s="52" t="s">
        <v>1527</v>
      </c>
      <c r="C428" s="52" t="s">
        <v>33</v>
      </c>
      <c r="D428" s="52" t="s">
        <v>236</v>
      </c>
      <c r="E428" s="21" t="s">
        <v>1668</v>
      </c>
      <c r="F428" s="22" t="s">
        <v>964</v>
      </c>
      <c r="G428" s="22" t="s">
        <v>1059</v>
      </c>
      <c r="H428" s="265" t="s">
        <v>358</v>
      </c>
      <c r="I428" s="54">
        <v>6.31</v>
      </c>
      <c r="J428" s="101"/>
      <c r="K428" s="54">
        <v>6.31</v>
      </c>
      <c r="L428" s="162"/>
      <c r="M428" s="54"/>
      <c r="N428" s="162"/>
      <c r="O428" s="54"/>
      <c r="P428" s="101"/>
      <c r="Q428" s="96">
        <f t="shared" si="1138"/>
        <v>0</v>
      </c>
      <c r="R428" s="337">
        <f t="shared" si="1139"/>
        <v>0</v>
      </c>
      <c r="S428" s="96"/>
      <c r="T428" s="96">
        <f t="shared" si="1140"/>
        <v>0</v>
      </c>
      <c r="U428" s="96"/>
      <c r="V428" s="176">
        <f t="shared" si="1141"/>
        <v>0</v>
      </c>
      <c r="W428" s="206"/>
      <c r="X428" s="205">
        <f t="shared" si="1142"/>
        <v>0</v>
      </c>
      <c r="Y428" s="188">
        <f t="shared" si="1143"/>
        <v>0</v>
      </c>
      <c r="Z428" s="176">
        <f t="shared" si="1144"/>
        <v>0</v>
      </c>
      <c r="AA428" s="206"/>
      <c r="AB428" s="205">
        <f t="shared" si="1145"/>
        <v>0</v>
      </c>
      <c r="AC428" s="206"/>
      <c r="AD428" s="176">
        <f t="shared" si="1146"/>
        <v>0</v>
      </c>
      <c r="AE428" s="206"/>
      <c r="AF428" s="204">
        <f t="shared" si="1147"/>
        <v>0</v>
      </c>
      <c r="AG428" s="188">
        <f t="shared" si="1148"/>
        <v>0</v>
      </c>
      <c r="AH428" s="96">
        <f t="shared" si="1149"/>
        <v>0</v>
      </c>
      <c r="AI428" s="96">
        <f t="shared" si="1150"/>
        <v>0</v>
      </c>
      <c r="AJ428" s="176">
        <f t="shared" si="1151"/>
        <v>0</v>
      </c>
      <c r="AK428" s="206"/>
      <c r="AL428" s="176">
        <f t="shared" si="1152"/>
        <v>0</v>
      </c>
      <c r="AM428" s="243"/>
      <c r="AN428" s="176">
        <f t="shared" si="1153"/>
        <v>0</v>
      </c>
      <c r="AO428" s="206"/>
      <c r="AP428" s="205">
        <f t="shared" si="1154"/>
        <v>0</v>
      </c>
      <c r="AQ428" s="188">
        <f t="shared" si="1155"/>
        <v>0</v>
      </c>
      <c r="AR428" s="96">
        <f t="shared" si="1156"/>
        <v>0</v>
      </c>
      <c r="AS428" s="96"/>
      <c r="AT428" s="176">
        <f t="shared" si="1157"/>
        <v>0</v>
      </c>
      <c r="AU428" s="206"/>
      <c r="AV428" s="176">
        <f t="shared" si="1158"/>
        <v>0</v>
      </c>
      <c r="AW428" s="206"/>
      <c r="AX428" s="205">
        <f t="shared" si="1159"/>
        <v>0</v>
      </c>
      <c r="AY428" s="188">
        <f t="shared" si="1160"/>
        <v>0</v>
      </c>
      <c r="AZ428" s="96">
        <f t="shared" si="1161"/>
        <v>0</v>
      </c>
      <c r="BA428" s="96">
        <f t="shared" si="1162"/>
        <v>0</v>
      </c>
      <c r="BB428" s="96">
        <f t="shared" si="1163"/>
        <v>0</v>
      </c>
      <c r="BC428" s="1" t="s">
        <v>1717</v>
      </c>
    </row>
    <row r="429" spans="1:55">
      <c r="A429" s="492">
        <v>180</v>
      </c>
      <c r="B429" s="13"/>
      <c r="C429" s="13"/>
      <c r="D429" s="13"/>
      <c r="E429" s="21" t="s">
        <v>1669</v>
      </c>
      <c r="F429" s="22" t="s">
        <v>964</v>
      </c>
      <c r="G429" s="22" t="s">
        <v>1059</v>
      </c>
      <c r="H429" s="265" t="s">
        <v>358</v>
      </c>
      <c r="I429" s="54">
        <v>7.49</v>
      </c>
      <c r="J429" s="101"/>
      <c r="K429" s="54">
        <v>7.49</v>
      </c>
      <c r="L429" s="162"/>
      <c r="M429" s="54"/>
      <c r="N429" s="162"/>
      <c r="O429" s="54"/>
      <c r="P429" s="101"/>
      <c r="Q429" s="96">
        <f t="shared" si="1138"/>
        <v>0</v>
      </c>
      <c r="R429" s="337">
        <f t="shared" si="1139"/>
        <v>0</v>
      </c>
      <c r="S429" s="96"/>
      <c r="T429" s="96">
        <f t="shared" si="1140"/>
        <v>0</v>
      </c>
      <c r="U429" s="96"/>
      <c r="V429" s="176">
        <f t="shared" si="1141"/>
        <v>0</v>
      </c>
      <c r="W429" s="206"/>
      <c r="X429" s="205">
        <f t="shared" si="1142"/>
        <v>0</v>
      </c>
      <c r="Y429" s="188">
        <f t="shared" si="1143"/>
        <v>0</v>
      </c>
      <c r="Z429" s="176">
        <f t="shared" si="1144"/>
        <v>0</v>
      </c>
      <c r="AA429" s="206"/>
      <c r="AB429" s="205">
        <f t="shared" si="1145"/>
        <v>0</v>
      </c>
      <c r="AC429" s="206"/>
      <c r="AD429" s="176">
        <f t="shared" si="1146"/>
        <v>0</v>
      </c>
      <c r="AE429" s="206"/>
      <c r="AF429" s="204">
        <f t="shared" si="1147"/>
        <v>0</v>
      </c>
      <c r="AG429" s="188">
        <f t="shared" si="1148"/>
        <v>0</v>
      </c>
      <c r="AH429" s="96">
        <f t="shared" si="1149"/>
        <v>0</v>
      </c>
      <c r="AI429" s="96">
        <f t="shared" si="1150"/>
        <v>0</v>
      </c>
      <c r="AJ429" s="176">
        <f t="shared" si="1151"/>
        <v>0</v>
      </c>
      <c r="AK429" s="206"/>
      <c r="AL429" s="176">
        <f t="shared" si="1152"/>
        <v>0</v>
      </c>
      <c r="AM429" s="243"/>
      <c r="AN429" s="176">
        <f t="shared" si="1153"/>
        <v>0</v>
      </c>
      <c r="AO429" s="206"/>
      <c r="AP429" s="205">
        <f t="shared" si="1154"/>
        <v>0</v>
      </c>
      <c r="AQ429" s="188">
        <f t="shared" si="1155"/>
        <v>0</v>
      </c>
      <c r="AR429" s="96">
        <f t="shared" si="1156"/>
        <v>0</v>
      </c>
      <c r="AS429" s="96"/>
      <c r="AT429" s="176">
        <f t="shared" si="1157"/>
        <v>0</v>
      </c>
      <c r="AU429" s="206"/>
      <c r="AV429" s="176">
        <f t="shared" si="1158"/>
        <v>0</v>
      </c>
      <c r="AW429" s="206"/>
      <c r="AX429" s="205">
        <f t="shared" si="1159"/>
        <v>0</v>
      </c>
      <c r="AY429" s="188">
        <f t="shared" si="1160"/>
        <v>0</v>
      </c>
      <c r="AZ429" s="96">
        <f t="shared" si="1161"/>
        <v>0</v>
      </c>
      <c r="BA429" s="96">
        <f t="shared" si="1162"/>
        <v>0</v>
      </c>
      <c r="BB429" s="96">
        <f t="shared" si="1163"/>
        <v>0</v>
      </c>
      <c r="BC429" s="1" t="s">
        <v>1717</v>
      </c>
    </row>
    <row r="430" spans="1:55">
      <c r="A430" s="492">
        <v>179</v>
      </c>
      <c r="B430" s="52" t="s">
        <v>1528</v>
      </c>
      <c r="C430" s="52" t="s">
        <v>33</v>
      </c>
      <c r="D430" s="52" t="s">
        <v>236</v>
      </c>
      <c r="E430" s="21" t="s">
        <v>1670</v>
      </c>
      <c r="F430" s="22" t="s">
        <v>964</v>
      </c>
      <c r="G430" s="22" t="s">
        <v>1059</v>
      </c>
      <c r="H430" s="265" t="s">
        <v>358</v>
      </c>
      <c r="I430" s="54">
        <v>6.31</v>
      </c>
      <c r="J430" s="101"/>
      <c r="K430" s="54">
        <v>6.31</v>
      </c>
      <c r="L430" s="162"/>
      <c r="M430" s="54"/>
      <c r="N430" s="162"/>
      <c r="O430" s="54"/>
      <c r="P430" s="101"/>
      <c r="Q430" s="96">
        <f t="shared" si="1138"/>
        <v>0</v>
      </c>
      <c r="R430" s="337">
        <f t="shared" si="1139"/>
        <v>0</v>
      </c>
      <c r="S430" s="96"/>
      <c r="T430" s="96">
        <f t="shared" si="1140"/>
        <v>0</v>
      </c>
      <c r="U430" s="96"/>
      <c r="V430" s="176">
        <f t="shared" si="1141"/>
        <v>0</v>
      </c>
      <c r="W430" s="206"/>
      <c r="X430" s="205">
        <f t="shared" si="1142"/>
        <v>0</v>
      </c>
      <c r="Y430" s="188">
        <f t="shared" si="1143"/>
        <v>0</v>
      </c>
      <c r="Z430" s="176">
        <f t="shared" si="1144"/>
        <v>0</v>
      </c>
      <c r="AA430" s="206"/>
      <c r="AB430" s="205">
        <f t="shared" si="1145"/>
        <v>0</v>
      </c>
      <c r="AC430" s="206"/>
      <c r="AD430" s="176">
        <f t="shared" si="1146"/>
        <v>0</v>
      </c>
      <c r="AE430" s="206"/>
      <c r="AF430" s="204">
        <f t="shared" si="1147"/>
        <v>0</v>
      </c>
      <c r="AG430" s="188">
        <f t="shared" si="1148"/>
        <v>0</v>
      </c>
      <c r="AH430" s="96">
        <f t="shared" si="1149"/>
        <v>0</v>
      </c>
      <c r="AI430" s="96">
        <f t="shared" si="1150"/>
        <v>0</v>
      </c>
      <c r="AJ430" s="176">
        <f t="shared" si="1151"/>
        <v>0</v>
      </c>
      <c r="AK430" s="206"/>
      <c r="AL430" s="176">
        <f t="shared" si="1152"/>
        <v>0</v>
      </c>
      <c r="AM430" s="243"/>
      <c r="AN430" s="176">
        <f t="shared" si="1153"/>
        <v>0</v>
      </c>
      <c r="AO430" s="206"/>
      <c r="AP430" s="205">
        <f t="shared" si="1154"/>
        <v>0</v>
      </c>
      <c r="AQ430" s="188">
        <f t="shared" si="1155"/>
        <v>0</v>
      </c>
      <c r="AR430" s="96">
        <f t="shared" si="1156"/>
        <v>0</v>
      </c>
      <c r="AS430" s="96"/>
      <c r="AT430" s="176">
        <f t="shared" si="1157"/>
        <v>0</v>
      </c>
      <c r="AU430" s="206"/>
      <c r="AV430" s="176">
        <f t="shared" si="1158"/>
        <v>0</v>
      </c>
      <c r="AW430" s="206"/>
      <c r="AX430" s="205">
        <f t="shared" si="1159"/>
        <v>0</v>
      </c>
      <c r="AY430" s="188">
        <f t="shared" si="1160"/>
        <v>0</v>
      </c>
      <c r="AZ430" s="96">
        <f t="shared" si="1161"/>
        <v>0</v>
      </c>
      <c r="BA430" s="96">
        <f t="shared" si="1162"/>
        <v>0</v>
      </c>
      <c r="BB430" s="96">
        <f t="shared" si="1163"/>
        <v>0</v>
      </c>
      <c r="BC430" s="1" t="s">
        <v>1717</v>
      </c>
    </row>
    <row r="431" spans="1:55">
      <c r="A431" s="492">
        <v>180</v>
      </c>
      <c r="B431" s="13"/>
      <c r="C431" s="13"/>
      <c r="D431" s="13"/>
      <c r="E431" s="21" t="s">
        <v>1529</v>
      </c>
      <c r="F431" s="22" t="s">
        <v>964</v>
      </c>
      <c r="G431" s="22" t="s">
        <v>1059</v>
      </c>
      <c r="H431" s="265" t="s">
        <v>358</v>
      </c>
      <c r="I431" s="54">
        <v>7.49</v>
      </c>
      <c r="J431" s="101"/>
      <c r="K431" s="54">
        <v>7.49</v>
      </c>
      <c r="L431" s="162"/>
      <c r="M431" s="54"/>
      <c r="N431" s="162"/>
      <c r="O431" s="54"/>
      <c r="P431" s="101"/>
      <c r="Q431" s="96">
        <f t="shared" ref="Q431" si="1190">SUM(AI431+BA431)</f>
        <v>0</v>
      </c>
      <c r="R431" s="337">
        <f t="shared" ref="R431" si="1191">SUM(AJ431+BB431)</f>
        <v>0</v>
      </c>
      <c r="S431" s="96"/>
      <c r="T431" s="96">
        <f t="shared" ref="T431" si="1192">I431*S431*$T$2/1000</f>
        <v>0</v>
      </c>
      <c r="U431" s="96"/>
      <c r="V431" s="176">
        <f t="shared" ref="V431" si="1193">I431*U431*$V$2/1000</f>
        <v>0</v>
      </c>
      <c r="W431" s="206"/>
      <c r="X431" s="205">
        <f t="shared" ref="X431" si="1194">I431*W431*$X$2/1000</f>
        <v>0</v>
      </c>
      <c r="Y431" s="188">
        <f t="shared" ref="Y431" si="1195">SUM(S431+U431+W431)</f>
        <v>0</v>
      </c>
      <c r="Z431" s="176">
        <f t="shared" ref="Z431" si="1196">SUM(T431+V431+X431)</f>
        <v>0</v>
      </c>
      <c r="AA431" s="206"/>
      <c r="AB431" s="205">
        <f t="shared" ref="AB431" si="1197">K431*AA431*$AB$2/1000</f>
        <v>0</v>
      </c>
      <c r="AC431" s="206"/>
      <c r="AD431" s="176">
        <f t="shared" ref="AD431" si="1198">K431*AC431*$AD$2/1000</f>
        <v>0</v>
      </c>
      <c r="AE431" s="206"/>
      <c r="AF431" s="204">
        <f t="shared" ref="AF431" si="1199">K431*AE431*$AF$2/1000</f>
        <v>0</v>
      </c>
      <c r="AG431" s="188">
        <f t="shared" ref="AG431" si="1200">SUM(AA431+AC431+AE431)</f>
        <v>0</v>
      </c>
      <c r="AH431" s="96">
        <f t="shared" ref="AH431" si="1201">SUM(AB431+AD431+AF431)</f>
        <v>0</v>
      </c>
      <c r="AI431" s="96">
        <f t="shared" ref="AI431" si="1202">SUM(Y431+AG431)</f>
        <v>0</v>
      </c>
      <c r="AJ431" s="176">
        <f t="shared" ref="AJ431" si="1203">SUM(Z431,AH431)</f>
        <v>0</v>
      </c>
      <c r="AK431" s="206"/>
      <c r="AL431" s="176">
        <f t="shared" ref="AL431" si="1204">M431*AK431*$AL$2/1000</f>
        <v>0</v>
      </c>
      <c r="AM431" s="243"/>
      <c r="AN431" s="176">
        <f t="shared" ref="AN431" si="1205">M431*AM431*$AN$2/1000</f>
        <v>0</v>
      </c>
      <c r="AO431" s="206"/>
      <c r="AP431" s="205">
        <f t="shared" ref="AP431" si="1206">M431*AO431*$AP$2/1000</f>
        <v>0</v>
      </c>
      <c r="AQ431" s="188">
        <f t="shared" ref="AQ431" si="1207">SUM(AK431+AM431+AO431)</f>
        <v>0</v>
      </c>
      <c r="AR431" s="96">
        <f t="shared" ref="AR431" si="1208">SUM(AL431+AN431+AP431)</f>
        <v>0</v>
      </c>
      <c r="AS431" s="96"/>
      <c r="AT431" s="176">
        <f t="shared" ref="AT431" si="1209">O431*AS431*$AT$2/1000</f>
        <v>0</v>
      </c>
      <c r="AU431" s="206"/>
      <c r="AV431" s="176">
        <f t="shared" ref="AV431" si="1210">O431*AU431*$AV$2/1000</f>
        <v>0</v>
      </c>
      <c r="AW431" s="206"/>
      <c r="AX431" s="205">
        <f t="shared" ref="AX431" si="1211">O431*AW431*$AX$2/1000</f>
        <v>0</v>
      </c>
      <c r="AY431" s="188">
        <f t="shared" ref="AY431" si="1212">SUM(AS431+AU431+AW431)</f>
        <v>0</v>
      </c>
      <c r="AZ431" s="96">
        <f t="shared" ref="AZ431" si="1213">SUM(AT431+AV431+AX431)</f>
        <v>0</v>
      </c>
      <c r="BA431" s="96">
        <f t="shared" ref="BA431" si="1214">SUM(AQ431+AY431)</f>
        <v>0</v>
      </c>
      <c r="BB431" s="96">
        <f t="shared" ref="BB431" si="1215">SUM(AR431,AZ431)</f>
        <v>0</v>
      </c>
      <c r="BC431" s="1" t="s">
        <v>1056</v>
      </c>
    </row>
    <row r="432" spans="1:55">
      <c r="A432" s="492">
        <v>180</v>
      </c>
      <c r="B432" s="13"/>
      <c r="C432" s="13"/>
      <c r="D432" s="13"/>
      <c r="E432" s="21" t="s">
        <v>1530</v>
      </c>
      <c r="F432" s="22" t="s">
        <v>964</v>
      </c>
      <c r="G432" s="22" t="s">
        <v>1059</v>
      </c>
      <c r="H432" s="265" t="s">
        <v>358</v>
      </c>
      <c r="I432" s="54"/>
      <c r="J432" s="101"/>
      <c r="K432" s="54">
        <v>5.9</v>
      </c>
      <c r="L432" s="162"/>
      <c r="M432" s="54"/>
      <c r="N432" s="162"/>
      <c r="O432" s="54"/>
      <c r="P432" s="101"/>
      <c r="Q432" s="96">
        <f t="shared" si="1138"/>
        <v>15.176</v>
      </c>
      <c r="R432" s="337">
        <f t="shared" si="1139"/>
        <v>132.58488118400004</v>
      </c>
      <c r="S432" s="96"/>
      <c r="T432" s="96">
        <f t="shared" si="1140"/>
        <v>0</v>
      </c>
      <c r="U432" s="96"/>
      <c r="V432" s="176">
        <f t="shared" si="1141"/>
        <v>0</v>
      </c>
      <c r="W432" s="206"/>
      <c r="X432" s="205">
        <f t="shared" si="1142"/>
        <v>0</v>
      </c>
      <c r="Y432" s="188">
        <f t="shared" si="1143"/>
        <v>0</v>
      </c>
      <c r="Z432" s="176">
        <f t="shared" si="1144"/>
        <v>0</v>
      </c>
      <c r="AA432" s="206">
        <v>15.176</v>
      </c>
      <c r="AB432" s="205">
        <f t="shared" si="1145"/>
        <v>132.58488118400004</v>
      </c>
      <c r="AC432" s="206"/>
      <c r="AD432" s="176">
        <f t="shared" si="1146"/>
        <v>0</v>
      </c>
      <c r="AE432" s="206"/>
      <c r="AF432" s="204">
        <f t="shared" si="1147"/>
        <v>0</v>
      </c>
      <c r="AG432" s="188">
        <f t="shared" si="1148"/>
        <v>15.176</v>
      </c>
      <c r="AH432" s="96">
        <f t="shared" si="1149"/>
        <v>132.58488118400004</v>
      </c>
      <c r="AI432" s="96">
        <f t="shared" si="1150"/>
        <v>15.176</v>
      </c>
      <c r="AJ432" s="176">
        <f t="shared" si="1151"/>
        <v>132.58488118400004</v>
      </c>
      <c r="AK432" s="206"/>
      <c r="AL432" s="176">
        <f t="shared" si="1152"/>
        <v>0</v>
      </c>
      <c r="AM432" s="243"/>
      <c r="AN432" s="176">
        <f t="shared" si="1153"/>
        <v>0</v>
      </c>
      <c r="AO432" s="206"/>
      <c r="AP432" s="205">
        <f t="shared" si="1154"/>
        <v>0</v>
      </c>
      <c r="AQ432" s="188">
        <f t="shared" si="1155"/>
        <v>0</v>
      </c>
      <c r="AR432" s="96">
        <f t="shared" si="1156"/>
        <v>0</v>
      </c>
      <c r="AS432" s="96"/>
      <c r="AT432" s="176">
        <f t="shared" si="1157"/>
        <v>0</v>
      </c>
      <c r="AU432" s="206"/>
      <c r="AV432" s="176">
        <f t="shared" si="1158"/>
        <v>0</v>
      </c>
      <c r="AW432" s="206"/>
      <c r="AX432" s="205">
        <f t="shared" si="1159"/>
        <v>0</v>
      </c>
      <c r="AY432" s="188">
        <f t="shared" si="1160"/>
        <v>0</v>
      </c>
      <c r="AZ432" s="96">
        <f t="shared" si="1161"/>
        <v>0</v>
      </c>
      <c r="BA432" s="96">
        <f t="shared" si="1162"/>
        <v>0</v>
      </c>
      <c r="BB432" s="96">
        <f t="shared" si="1163"/>
        <v>0</v>
      </c>
      <c r="BC432" s="1" t="s">
        <v>1717</v>
      </c>
    </row>
    <row r="433" spans="1:55">
      <c r="A433" s="492">
        <v>198</v>
      </c>
      <c r="B433" s="52" t="s">
        <v>2201</v>
      </c>
      <c r="C433" s="52" t="s">
        <v>211</v>
      </c>
      <c r="D433" s="52" t="s">
        <v>236</v>
      </c>
      <c r="E433" s="82" t="s">
        <v>2202</v>
      </c>
      <c r="F433" s="55" t="s">
        <v>2203</v>
      </c>
      <c r="G433" s="468" t="s">
        <v>1056</v>
      </c>
      <c r="H433" s="278" t="s">
        <v>358</v>
      </c>
      <c r="I433" s="56">
        <v>5.05</v>
      </c>
      <c r="J433" s="166"/>
      <c r="K433" s="56">
        <v>5.05</v>
      </c>
      <c r="L433" s="166"/>
      <c r="M433" s="56"/>
      <c r="N433" s="166"/>
      <c r="O433" s="56"/>
      <c r="P433" s="166"/>
      <c r="Q433" s="96">
        <f t="shared" si="1138"/>
        <v>2.96</v>
      </c>
      <c r="R433" s="337">
        <f t="shared" si="1139"/>
        <v>21.579680199999999</v>
      </c>
      <c r="S433" s="96">
        <v>2.96</v>
      </c>
      <c r="T433" s="96">
        <f t="shared" si="1140"/>
        <v>21.579680199999999</v>
      </c>
      <c r="U433" s="96"/>
      <c r="V433" s="176">
        <f t="shared" si="1141"/>
        <v>0</v>
      </c>
      <c r="W433" s="206"/>
      <c r="X433" s="205">
        <f t="shared" si="1142"/>
        <v>0</v>
      </c>
      <c r="Y433" s="188">
        <f t="shared" si="1143"/>
        <v>2.96</v>
      </c>
      <c r="Z433" s="176">
        <f t="shared" si="1144"/>
        <v>21.579680199999999</v>
      </c>
      <c r="AA433" s="206"/>
      <c r="AB433" s="205">
        <f t="shared" si="1145"/>
        <v>0</v>
      </c>
      <c r="AC433" s="206"/>
      <c r="AD433" s="176">
        <f t="shared" si="1146"/>
        <v>0</v>
      </c>
      <c r="AE433" s="206"/>
      <c r="AF433" s="204">
        <f t="shared" si="1147"/>
        <v>0</v>
      </c>
      <c r="AG433" s="188">
        <f t="shared" si="1148"/>
        <v>0</v>
      </c>
      <c r="AH433" s="96">
        <f t="shared" si="1149"/>
        <v>0</v>
      </c>
      <c r="AI433" s="96">
        <f t="shared" si="1150"/>
        <v>2.96</v>
      </c>
      <c r="AJ433" s="176">
        <f t="shared" si="1151"/>
        <v>21.579680199999999</v>
      </c>
      <c r="AK433" s="206"/>
      <c r="AL433" s="176">
        <f t="shared" si="1152"/>
        <v>0</v>
      </c>
      <c r="AM433" s="243"/>
      <c r="AN433" s="176">
        <f t="shared" si="1153"/>
        <v>0</v>
      </c>
      <c r="AO433" s="206"/>
      <c r="AP433" s="205">
        <f t="shared" si="1154"/>
        <v>0</v>
      </c>
      <c r="AQ433" s="188">
        <f t="shared" si="1155"/>
        <v>0</v>
      </c>
      <c r="AR433" s="96">
        <f t="shared" si="1156"/>
        <v>0</v>
      </c>
      <c r="AS433" s="96"/>
      <c r="AT433" s="176">
        <f t="shared" si="1157"/>
        <v>0</v>
      </c>
      <c r="AU433" s="206"/>
      <c r="AV433" s="176">
        <f t="shared" si="1158"/>
        <v>0</v>
      </c>
      <c r="AW433" s="206"/>
      <c r="AX433" s="205">
        <f t="shared" si="1159"/>
        <v>0</v>
      </c>
      <c r="AY433" s="188">
        <f t="shared" si="1160"/>
        <v>0</v>
      </c>
      <c r="AZ433" s="96">
        <f t="shared" si="1161"/>
        <v>0</v>
      </c>
      <c r="BA433" s="96">
        <f t="shared" si="1162"/>
        <v>0</v>
      </c>
      <c r="BB433" s="96">
        <f t="shared" si="1163"/>
        <v>0</v>
      </c>
      <c r="BC433" s="1" t="s">
        <v>1060</v>
      </c>
    </row>
    <row r="434" spans="1:55">
      <c r="A434" s="492">
        <v>199</v>
      </c>
      <c r="B434" s="13"/>
      <c r="C434" s="13"/>
      <c r="D434" s="13"/>
      <c r="E434" s="24" t="s">
        <v>2521</v>
      </c>
      <c r="F434" s="366" t="s">
        <v>964</v>
      </c>
      <c r="G434" s="366" t="s">
        <v>1056</v>
      </c>
      <c r="H434" s="282" t="s">
        <v>358</v>
      </c>
      <c r="I434" s="79">
        <v>5.75</v>
      </c>
      <c r="J434" s="167"/>
      <c r="K434" s="79">
        <v>5.75</v>
      </c>
      <c r="L434" s="167"/>
      <c r="M434" s="79"/>
      <c r="N434" s="167"/>
      <c r="O434" s="79"/>
      <c r="P434" s="167"/>
      <c r="Q434" s="96">
        <f t="shared" ref="Q434" si="1216">SUM(AI434+BA434)</f>
        <v>0.89900000000000002</v>
      </c>
      <c r="R434" s="337">
        <f t="shared" ref="R434" si="1217">SUM(AJ434+BB434)</f>
        <v>7.5813505049999996</v>
      </c>
      <c r="S434" s="96"/>
      <c r="T434" s="96">
        <f t="shared" ref="T434" si="1218">I434*S434*$T$2/1000</f>
        <v>0</v>
      </c>
      <c r="U434" s="96">
        <v>0.29899999999999999</v>
      </c>
      <c r="V434" s="176">
        <f t="shared" ref="V434" si="1219">I434*U434*$V$2/1000</f>
        <v>2.4727285050000001</v>
      </c>
      <c r="W434" s="206"/>
      <c r="X434" s="205">
        <f t="shared" ref="X434" si="1220">I434*W434*$X$2/1000</f>
        <v>0</v>
      </c>
      <c r="Y434" s="188">
        <f t="shared" ref="Y434" si="1221">SUM(S434+U434+W434)</f>
        <v>0.29899999999999999</v>
      </c>
      <c r="Z434" s="176">
        <f t="shared" ref="Z434" si="1222">SUM(T434+V434+X434)</f>
        <v>2.4727285050000001</v>
      </c>
      <c r="AA434" s="206">
        <v>0.6</v>
      </c>
      <c r="AB434" s="205">
        <f t="shared" ref="AB434" si="1223">K434*AA434*$AB$2/1000</f>
        <v>5.1086219999999996</v>
      </c>
      <c r="AC434" s="206"/>
      <c r="AD434" s="176">
        <f t="shared" ref="AD434" si="1224">K434*AC434*$AD$2/1000</f>
        <v>0</v>
      </c>
      <c r="AE434" s="206"/>
      <c r="AF434" s="204">
        <f t="shared" ref="AF434" si="1225">K434*AE434*$AF$2/1000</f>
        <v>0</v>
      </c>
      <c r="AG434" s="188">
        <f t="shared" ref="AG434" si="1226">SUM(AA434+AC434+AE434)</f>
        <v>0.6</v>
      </c>
      <c r="AH434" s="96">
        <f t="shared" ref="AH434" si="1227">SUM(AB434+AD434+AF434)</f>
        <v>5.1086219999999996</v>
      </c>
      <c r="AI434" s="96">
        <f t="shared" ref="AI434" si="1228">SUM(Y434+AG434)</f>
        <v>0.89900000000000002</v>
      </c>
      <c r="AJ434" s="176">
        <f t="shared" ref="AJ434" si="1229">SUM(Z434,AH434)</f>
        <v>7.5813505049999996</v>
      </c>
      <c r="AK434" s="206"/>
      <c r="AL434" s="176">
        <f t="shared" ref="AL434" si="1230">M434*AK434*$AL$2/1000</f>
        <v>0</v>
      </c>
      <c r="AM434" s="243"/>
      <c r="AN434" s="176">
        <f t="shared" ref="AN434" si="1231">M434*AM434*$AN$2/1000</f>
        <v>0</v>
      </c>
      <c r="AO434" s="206"/>
      <c r="AP434" s="205">
        <f t="shared" ref="AP434" si="1232">M434*AO434*$AP$2/1000</f>
        <v>0</v>
      </c>
      <c r="AQ434" s="188">
        <f t="shared" ref="AQ434" si="1233">SUM(AK434+AM434+AO434)</f>
        <v>0</v>
      </c>
      <c r="AR434" s="96">
        <f t="shared" ref="AR434" si="1234">SUM(AL434+AN434+AP434)</f>
        <v>0</v>
      </c>
      <c r="AS434" s="96"/>
      <c r="AT434" s="176">
        <f t="shared" ref="AT434" si="1235">O434*AS434*$AT$2/1000</f>
        <v>0</v>
      </c>
      <c r="AU434" s="206"/>
      <c r="AV434" s="176">
        <f t="shared" ref="AV434" si="1236">O434*AU434*$AV$2/1000</f>
        <v>0</v>
      </c>
      <c r="AW434" s="206"/>
      <c r="AX434" s="205">
        <f t="shared" ref="AX434" si="1237">O434*AW434*$AX$2/1000</f>
        <v>0</v>
      </c>
      <c r="AY434" s="188">
        <f t="shared" ref="AY434" si="1238">SUM(AS434+AU434+AW434)</f>
        <v>0</v>
      </c>
      <c r="AZ434" s="96">
        <f t="shared" ref="AZ434" si="1239">SUM(AT434+AV434+AX434)</f>
        <v>0</v>
      </c>
      <c r="BA434" s="96">
        <f t="shared" ref="BA434" si="1240">SUM(AQ434+AY434)</f>
        <v>0</v>
      </c>
      <c r="BB434" s="96">
        <f t="shared" ref="BB434" si="1241">SUM(AR434,AZ434)</f>
        <v>0</v>
      </c>
      <c r="BC434" s="1" t="s">
        <v>1060</v>
      </c>
    </row>
    <row r="435" spans="1:55">
      <c r="A435" s="492">
        <v>199</v>
      </c>
      <c r="B435" s="13"/>
      <c r="C435" s="13"/>
      <c r="D435" s="15"/>
      <c r="E435" s="564" t="s">
        <v>2431</v>
      </c>
      <c r="F435" s="565" t="s">
        <v>964</v>
      </c>
      <c r="G435" s="565" t="s">
        <v>1056</v>
      </c>
      <c r="H435" s="566" t="s">
        <v>358</v>
      </c>
      <c r="I435" s="567">
        <v>5.9</v>
      </c>
      <c r="J435" s="568"/>
      <c r="K435" s="567">
        <v>5.9</v>
      </c>
      <c r="L435" s="568"/>
      <c r="M435" s="567"/>
      <c r="N435" s="568"/>
      <c r="O435" s="567"/>
      <c r="P435" s="568"/>
      <c r="Q435" s="188">
        <f t="shared" ref="Q435:Q440" si="1242">SUM(AI435+BA435)</f>
        <v>3.7439999999999998</v>
      </c>
      <c r="R435" s="337">
        <f t="shared" ref="R435:R440" si="1243">SUM(AJ435+BB435)</f>
        <v>32.330510368000006</v>
      </c>
      <c r="S435" s="96">
        <v>1</v>
      </c>
      <c r="T435" s="96">
        <f t="shared" ref="T435:T440" si="1244">I435*S435*$T$2/1000</f>
        <v>8.5175350000000023</v>
      </c>
      <c r="U435" s="96">
        <v>1.008</v>
      </c>
      <c r="V435" s="176">
        <f t="shared" ref="V435:V440" si="1245">I435*U435*$V$2/1000</f>
        <v>8.5536198720000005</v>
      </c>
      <c r="W435" s="206">
        <v>0.72799999999999998</v>
      </c>
      <c r="X435" s="205">
        <f t="shared" ref="X435:X440" si="1246">I435*W435*$X$2/1000</f>
        <v>6.4529796240000001</v>
      </c>
      <c r="Y435" s="188">
        <f t="shared" ref="Y435:Y440" si="1247">SUM(S435+U435+W435)</f>
        <v>2.7359999999999998</v>
      </c>
      <c r="Z435" s="176">
        <f t="shared" ref="Z435:Z440" si="1248">SUM(T435+V435+X435)</f>
        <v>23.524134496000002</v>
      </c>
      <c r="AA435" s="206">
        <v>1.008</v>
      </c>
      <c r="AB435" s="205">
        <f t="shared" ref="AB435:AB440" si="1249">K435*AA435*$AB$2/1000</f>
        <v>8.8063758720000003</v>
      </c>
      <c r="AC435" s="206"/>
      <c r="AD435" s="176">
        <f t="shared" ref="AD435:AD440" si="1250">K435*AC435*$AD$2/1000</f>
        <v>0</v>
      </c>
      <c r="AE435" s="206"/>
      <c r="AF435" s="204">
        <f t="shared" ref="AF435:AF440" si="1251">K435*AE435*$AF$2/1000</f>
        <v>0</v>
      </c>
      <c r="AG435" s="188">
        <f t="shared" ref="AG435:AG440" si="1252">SUM(AA435+AC435+AE435)</f>
        <v>1.008</v>
      </c>
      <c r="AH435" s="96">
        <f t="shared" ref="AH435:AH440" si="1253">SUM(AB435+AD435+AF435)</f>
        <v>8.8063758720000003</v>
      </c>
      <c r="AI435" s="96">
        <f t="shared" ref="AI435:AI440" si="1254">SUM(Y435+AG435)</f>
        <v>3.7439999999999998</v>
      </c>
      <c r="AJ435" s="176">
        <f t="shared" ref="AJ435:AJ440" si="1255">SUM(Z435,AH435)</f>
        <v>32.330510368000006</v>
      </c>
      <c r="AK435" s="206"/>
      <c r="AL435" s="176">
        <f t="shared" ref="AL435:AL440" si="1256">M435*AK435*$AL$2/1000</f>
        <v>0</v>
      </c>
      <c r="AM435" s="243"/>
      <c r="AN435" s="176">
        <f t="shared" ref="AN435:AN440" si="1257">M435*AM435*$AN$2/1000</f>
        <v>0</v>
      </c>
      <c r="AO435" s="206"/>
      <c r="AP435" s="205">
        <f t="shared" ref="AP435:AP440" si="1258">M435*AO435*$AP$2/1000</f>
        <v>0</v>
      </c>
      <c r="AQ435" s="188">
        <f t="shared" ref="AQ435:AQ440" si="1259">SUM(AK435+AM435+AO435)</f>
        <v>0</v>
      </c>
      <c r="AR435" s="96">
        <f t="shared" ref="AR435:AR440" si="1260">SUM(AL435+AN435+AP435)</f>
        <v>0</v>
      </c>
      <c r="AS435" s="96"/>
      <c r="AT435" s="176">
        <f t="shared" ref="AT435:AT440" si="1261">O435*AS435*$AT$2/1000</f>
        <v>0</v>
      </c>
      <c r="AU435" s="206"/>
      <c r="AV435" s="176">
        <f t="shared" ref="AV435:AV440" si="1262">O435*AU435*$AV$2/1000</f>
        <v>0</v>
      </c>
      <c r="AW435" s="206"/>
      <c r="AX435" s="205">
        <f t="shared" ref="AX435:AX440" si="1263">O435*AW435*$AX$2/1000</f>
        <v>0</v>
      </c>
      <c r="AY435" s="188">
        <f t="shared" ref="AY435:AY440" si="1264">SUM(AS435+AU435+AW435)</f>
        <v>0</v>
      </c>
      <c r="AZ435" s="96">
        <f t="shared" ref="AZ435:AZ440" si="1265">SUM(AT435+AV435+AX435)</f>
        <v>0</v>
      </c>
      <c r="BA435" s="96">
        <f t="shared" ref="BA435:BA440" si="1266">SUM(AQ435+AY435)</f>
        <v>0</v>
      </c>
      <c r="BB435" s="96">
        <f t="shared" ref="BB435:BB440" si="1267">SUM(AR435,AZ435)</f>
        <v>0</v>
      </c>
      <c r="BC435" s="1" t="s">
        <v>1060</v>
      </c>
    </row>
    <row r="436" spans="1:55">
      <c r="A436" s="492">
        <v>199</v>
      </c>
      <c r="B436" s="13"/>
      <c r="C436" s="13"/>
      <c r="D436" s="15"/>
      <c r="E436" s="564" t="s">
        <v>2432</v>
      </c>
      <c r="F436" s="565" t="s">
        <v>964</v>
      </c>
      <c r="G436" s="565" t="s">
        <v>1056</v>
      </c>
      <c r="H436" s="566" t="s">
        <v>358</v>
      </c>
      <c r="I436" s="567">
        <v>5.75</v>
      </c>
      <c r="J436" s="568"/>
      <c r="K436" s="567">
        <v>5.75</v>
      </c>
      <c r="L436" s="568"/>
      <c r="M436" s="567"/>
      <c r="N436" s="568"/>
      <c r="O436" s="567"/>
      <c r="P436" s="568"/>
      <c r="Q436" s="188">
        <f t="shared" si="1242"/>
        <v>1.8080000000000001</v>
      </c>
      <c r="R436" s="337">
        <f t="shared" si="1243"/>
        <v>15.040959710000001</v>
      </c>
      <c r="S436" s="96">
        <v>0.5</v>
      </c>
      <c r="T436" s="96">
        <f t="shared" si="1244"/>
        <v>4.1504937500000008</v>
      </c>
      <c r="U436" s="96">
        <v>1.008</v>
      </c>
      <c r="V436" s="176">
        <f t="shared" si="1245"/>
        <v>8.33615496</v>
      </c>
      <c r="W436" s="206"/>
      <c r="X436" s="205">
        <f t="shared" si="1246"/>
        <v>0</v>
      </c>
      <c r="Y436" s="188">
        <f t="shared" si="1247"/>
        <v>1.508</v>
      </c>
      <c r="Z436" s="176">
        <f t="shared" si="1248"/>
        <v>12.486648710000001</v>
      </c>
      <c r="AA436" s="206">
        <v>0.3</v>
      </c>
      <c r="AB436" s="205">
        <f t="shared" si="1249"/>
        <v>2.5543109999999998</v>
      </c>
      <c r="AC436" s="206"/>
      <c r="AD436" s="176">
        <f t="shared" si="1250"/>
        <v>0</v>
      </c>
      <c r="AE436" s="206"/>
      <c r="AF436" s="204">
        <f t="shared" si="1251"/>
        <v>0</v>
      </c>
      <c r="AG436" s="188">
        <f t="shared" si="1252"/>
        <v>0.3</v>
      </c>
      <c r="AH436" s="96">
        <f t="shared" si="1253"/>
        <v>2.5543109999999998</v>
      </c>
      <c r="AI436" s="96">
        <f t="shared" si="1254"/>
        <v>1.8080000000000001</v>
      </c>
      <c r="AJ436" s="176">
        <f t="shared" si="1255"/>
        <v>15.040959710000001</v>
      </c>
      <c r="AK436" s="206"/>
      <c r="AL436" s="176">
        <f t="shared" si="1256"/>
        <v>0</v>
      </c>
      <c r="AM436" s="243"/>
      <c r="AN436" s="176">
        <f t="shared" si="1257"/>
        <v>0</v>
      </c>
      <c r="AO436" s="206"/>
      <c r="AP436" s="205">
        <f t="shared" si="1258"/>
        <v>0</v>
      </c>
      <c r="AQ436" s="188">
        <f t="shared" si="1259"/>
        <v>0</v>
      </c>
      <c r="AR436" s="96">
        <f t="shared" si="1260"/>
        <v>0</v>
      </c>
      <c r="AS436" s="96"/>
      <c r="AT436" s="176">
        <f t="shared" si="1261"/>
        <v>0</v>
      </c>
      <c r="AU436" s="206"/>
      <c r="AV436" s="176">
        <f t="shared" si="1262"/>
        <v>0</v>
      </c>
      <c r="AW436" s="206"/>
      <c r="AX436" s="205">
        <f t="shared" si="1263"/>
        <v>0</v>
      </c>
      <c r="AY436" s="188">
        <f t="shared" si="1264"/>
        <v>0</v>
      </c>
      <c r="AZ436" s="96">
        <f t="shared" si="1265"/>
        <v>0</v>
      </c>
      <c r="BA436" s="96">
        <f t="shared" si="1266"/>
        <v>0</v>
      </c>
      <c r="BB436" s="96">
        <f t="shared" si="1267"/>
        <v>0</v>
      </c>
      <c r="BC436" s="1" t="s">
        <v>1060</v>
      </c>
    </row>
    <row r="437" spans="1:55">
      <c r="A437" s="492">
        <v>199</v>
      </c>
      <c r="B437" s="13"/>
      <c r="C437" s="13"/>
      <c r="D437" s="13"/>
      <c r="E437" s="24" t="s">
        <v>2522</v>
      </c>
      <c r="F437" s="366" t="s">
        <v>964</v>
      </c>
      <c r="G437" s="366" t="s">
        <v>1056</v>
      </c>
      <c r="H437" s="282" t="s">
        <v>358</v>
      </c>
      <c r="I437" s="79">
        <v>5.05</v>
      </c>
      <c r="J437" s="167"/>
      <c r="K437" s="79">
        <v>5.05</v>
      </c>
      <c r="L437" s="167"/>
      <c r="M437" s="79"/>
      <c r="N437" s="167"/>
      <c r="O437" s="79"/>
      <c r="P437" s="167"/>
      <c r="Q437" s="96">
        <f t="shared" si="1242"/>
        <v>1.66</v>
      </c>
      <c r="R437" s="337">
        <f t="shared" si="1243"/>
        <v>12.16853858</v>
      </c>
      <c r="S437" s="96"/>
      <c r="T437" s="96">
        <f t="shared" si="1244"/>
        <v>0</v>
      </c>
      <c r="U437" s="96">
        <v>1.1399999999999999</v>
      </c>
      <c r="V437" s="176">
        <f t="shared" si="1245"/>
        <v>8.2800628199999995</v>
      </c>
      <c r="W437" s="206"/>
      <c r="X437" s="205">
        <f t="shared" si="1246"/>
        <v>0</v>
      </c>
      <c r="Y437" s="188">
        <f t="shared" si="1247"/>
        <v>1.1399999999999999</v>
      </c>
      <c r="Z437" s="176">
        <f t="shared" si="1248"/>
        <v>8.2800628199999995</v>
      </c>
      <c r="AA437" s="206">
        <v>0.52</v>
      </c>
      <c r="AB437" s="205">
        <f t="shared" si="1249"/>
        <v>3.8884757599999999</v>
      </c>
      <c r="AC437" s="206"/>
      <c r="AD437" s="176">
        <f t="shared" si="1250"/>
        <v>0</v>
      </c>
      <c r="AE437" s="206"/>
      <c r="AF437" s="204">
        <f t="shared" si="1251"/>
        <v>0</v>
      </c>
      <c r="AG437" s="188">
        <f t="shared" si="1252"/>
        <v>0.52</v>
      </c>
      <c r="AH437" s="96">
        <f t="shared" si="1253"/>
        <v>3.8884757599999999</v>
      </c>
      <c r="AI437" s="96">
        <f t="shared" si="1254"/>
        <v>1.66</v>
      </c>
      <c r="AJ437" s="176">
        <f t="shared" si="1255"/>
        <v>12.16853858</v>
      </c>
      <c r="AK437" s="206"/>
      <c r="AL437" s="176">
        <f t="shared" si="1256"/>
        <v>0</v>
      </c>
      <c r="AM437" s="243"/>
      <c r="AN437" s="176">
        <f t="shared" si="1257"/>
        <v>0</v>
      </c>
      <c r="AO437" s="206"/>
      <c r="AP437" s="205">
        <f t="shared" si="1258"/>
        <v>0</v>
      </c>
      <c r="AQ437" s="188">
        <f t="shared" si="1259"/>
        <v>0</v>
      </c>
      <c r="AR437" s="96">
        <f t="shared" si="1260"/>
        <v>0</v>
      </c>
      <c r="AS437" s="96"/>
      <c r="AT437" s="176">
        <f t="shared" si="1261"/>
        <v>0</v>
      </c>
      <c r="AU437" s="206"/>
      <c r="AV437" s="176">
        <f t="shared" si="1262"/>
        <v>0</v>
      </c>
      <c r="AW437" s="206"/>
      <c r="AX437" s="205">
        <f t="shared" si="1263"/>
        <v>0</v>
      </c>
      <c r="AY437" s="188">
        <f t="shared" si="1264"/>
        <v>0</v>
      </c>
      <c r="AZ437" s="96">
        <f t="shared" si="1265"/>
        <v>0</v>
      </c>
      <c r="BA437" s="96">
        <f t="shared" si="1266"/>
        <v>0</v>
      </c>
      <c r="BB437" s="96">
        <f t="shared" si="1267"/>
        <v>0</v>
      </c>
      <c r="BC437" s="1" t="s">
        <v>1060</v>
      </c>
    </row>
    <row r="438" spans="1:55">
      <c r="A438" s="492">
        <v>199</v>
      </c>
      <c r="B438" s="13"/>
      <c r="C438" s="13"/>
      <c r="D438" s="13"/>
      <c r="E438" s="24" t="s">
        <v>2622</v>
      </c>
      <c r="F438" s="366" t="s">
        <v>964</v>
      </c>
      <c r="G438" s="366" t="s">
        <v>1056</v>
      </c>
      <c r="H438" s="282" t="s">
        <v>358</v>
      </c>
      <c r="I438" s="79"/>
      <c r="J438" s="167"/>
      <c r="K438" s="79">
        <v>5.05</v>
      </c>
      <c r="L438" s="167"/>
      <c r="M438" s="79"/>
      <c r="N438" s="167"/>
      <c r="O438" s="79"/>
      <c r="P438" s="167"/>
      <c r="Q438" s="96">
        <f t="shared" si="1242"/>
        <v>0.64</v>
      </c>
      <c r="R438" s="337">
        <f t="shared" si="1243"/>
        <v>4.7858163200000003</v>
      </c>
      <c r="S438" s="96"/>
      <c r="T438" s="96">
        <f t="shared" si="1244"/>
        <v>0</v>
      </c>
      <c r="U438" s="96"/>
      <c r="V438" s="176">
        <f t="shared" si="1245"/>
        <v>0</v>
      </c>
      <c r="W438" s="206"/>
      <c r="X438" s="205">
        <f t="shared" si="1246"/>
        <v>0</v>
      </c>
      <c r="Y438" s="188">
        <f t="shared" si="1247"/>
        <v>0</v>
      </c>
      <c r="Z438" s="176">
        <f t="shared" si="1248"/>
        <v>0</v>
      </c>
      <c r="AA438" s="206">
        <v>0.64</v>
      </c>
      <c r="AB438" s="205">
        <f t="shared" si="1249"/>
        <v>4.7858163200000003</v>
      </c>
      <c r="AC438" s="206"/>
      <c r="AD438" s="176">
        <f t="shared" si="1250"/>
        <v>0</v>
      </c>
      <c r="AE438" s="206"/>
      <c r="AF438" s="204">
        <f t="shared" si="1251"/>
        <v>0</v>
      </c>
      <c r="AG438" s="188">
        <f t="shared" si="1252"/>
        <v>0.64</v>
      </c>
      <c r="AH438" s="96">
        <f t="shared" si="1253"/>
        <v>4.7858163200000003</v>
      </c>
      <c r="AI438" s="96">
        <f t="shared" si="1254"/>
        <v>0.64</v>
      </c>
      <c r="AJ438" s="176">
        <f t="shared" si="1255"/>
        <v>4.7858163200000003</v>
      </c>
      <c r="AK438" s="206"/>
      <c r="AL438" s="176">
        <f t="shared" si="1256"/>
        <v>0</v>
      </c>
      <c r="AM438" s="243"/>
      <c r="AN438" s="176">
        <f t="shared" si="1257"/>
        <v>0</v>
      </c>
      <c r="AO438" s="206"/>
      <c r="AP438" s="205">
        <f t="shared" si="1258"/>
        <v>0</v>
      </c>
      <c r="AQ438" s="188">
        <f t="shared" si="1259"/>
        <v>0</v>
      </c>
      <c r="AR438" s="96">
        <f t="shared" si="1260"/>
        <v>0</v>
      </c>
      <c r="AS438" s="96"/>
      <c r="AT438" s="176">
        <f t="shared" si="1261"/>
        <v>0</v>
      </c>
      <c r="AU438" s="206"/>
      <c r="AV438" s="176">
        <f t="shared" si="1262"/>
        <v>0</v>
      </c>
      <c r="AW438" s="206"/>
      <c r="AX438" s="205">
        <f t="shared" si="1263"/>
        <v>0</v>
      </c>
      <c r="AY438" s="188">
        <f t="shared" si="1264"/>
        <v>0</v>
      </c>
      <c r="AZ438" s="96">
        <f t="shared" si="1265"/>
        <v>0</v>
      </c>
      <c r="BA438" s="96">
        <f t="shared" si="1266"/>
        <v>0</v>
      </c>
      <c r="BB438" s="96">
        <f t="shared" si="1267"/>
        <v>0</v>
      </c>
      <c r="BC438" s="1" t="s">
        <v>1060</v>
      </c>
    </row>
    <row r="439" spans="1:55">
      <c r="A439" s="492">
        <v>199</v>
      </c>
      <c r="B439" s="13"/>
      <c r="C439" s="13"/>
      <c r="D439" s="13"/>
      <c r="E439" s="24" t="s">
        <v>2569</v>
      </c>
      <c r="F439" s="366" t="s">
        <v>964</v>
      </c>
      <c r="G439" s="366" t="s">
        <v>1056</v>
      </c>
      <c r="H439" s="282" t="s">
        <v>358</v>
      </c>
      <c r="I439" s="79">
        <v>12.52</v>
      </c>
      <c r="J439" s="167"/>
      <c r="K439" s="79">
        <v>12.52</v>
      </c>
      <c r="L439" s="167"/>
      <c r="M439" s="79"/>
      <c r="N439" s="167"/>
      <c r="O439" s="79"/>
      <c r="P439" s="167"/>
      <c r="Q439" s="96">
        <f t="shared" ref="Q439" si="1268">SUM(AI439+BA439)</f>
        <v>6.0999999999999999E-2</v>
      </c>
      <c r="R439" s="337">
        <f t="shared" ref="R439" si="1269">SUM(AJ439+BB439)</f>
        <v>1.1473900163999999</v>
      </c>
      <c r="S439" s="96"/>
      <c r="T439" s="96">
        <f t="shared" ref="T439" si="1270">I439*S439*$T$2/1000</f>
        <v>0</v>
      </c>
      <c r="U439" s="96"/>
      <c r="V439" s="176">
        <f t="shared" ref="V439" si="1271">I439*U439*$V$2/1000</f>
        <v>0</v>
      </c>
      <c r="W439" s="206">
        <v>6.0999999999999999E-2</v>
      </c>
      <c r="X439" s="205">
        <f t="shared" ref="X439" si="1272">I439*W439*$X$2/1000</f>
        <v>1.1473900163999999</v>
      </c>
      <c r="Y439" s="188">
        <f t="shared" ref="Y439" si="1273">SUM(S439+U439+W439)</f>
        <v>6.0999999999999999E-2</v>
      </c>
      <c r="Z439" s="176">
        <f t="shared" ref="Z439" si="1274">SUM(T439+V439+X439)</f>
        <v>1.1473900163999999</v>
      </c>
      <c r="AA439" s="206"/>
      <c r="AB439" s="205">
        <f t="shared" ref="AB439" si="1275">K439*AA439*$AB$2/1000</f>
        <v>0</v>
      </c>
      <c r="AC439" s="206"/>
      <c r="AD439" s="176">
        <f t="shared" ref="AD439" si="1276">K439*AC439*$AD$2/1000</f>
        <v>0</v>
      </c>
      <c r="AE439" s="206"/>
      <c r="AF439" s="204">
        <f t="shared" ref="AF439" si="1277">K439*AE439*$AF$2/1000</f>
        <v>0</v>
      </c>
      <c r="AG439" s="188">
        <f t="shared" ref="AG439" si="1278">SUM(AA439+AC439+AE439)</f>
        <v>0</v>
      </c>
      <c r="AH439" s="96">
        <f t="shared" ref="AH439" si="1279">SUM(AB439+AD439+AF439)</f>
        <v>0</v>
      </c>
      <c r="AI439" s="96">
        <f t="shared" ref="AI439" si="1280">SUM(Y439+AG439)</f>
        <v>6.0999999999999999E-2</v>
      </c>
      <c r="AJ439" s="176">
        <f t="shared" ref="AJ439" si="1281">SUM(Z439,AH439)</f>
        <v>1.1473900163999999</v>
      </c>
      <c r="AK439" s="206"/>
      <c r="AL439" s="176">
        <f t="shared" ref="AL439" si="1282">M439*AK439*$AL$2/1000</f>
        <v>0</v>
      </c>
      <c r="AM439" s="243"/>
      <c r="AN439" s="176">
        <f t="shared" ref="AN439" si="1283">M439*AM439*$AN$2/1000</f>
        <v>0</v>
      </c>
      <c r="AO439" s="206"/>
      <c r="AP439" s="205">
        <f t="shared" ref="AP439" si="1284">M439*AO439*$AP$2/1000</f>
        <v>0</v>
      </c>
      <c r="AQ439" s="188">
        <f t="shared" ref="AQ439" si="1285">SUM(AK439+AM439+AO439)</f>
        <v>0</v>
      </c>
      <c r="AR439" s="96">
        <f t="shared" ref="AR439" si="1286">SUM(AL439+AN439+AP439)</f>
        <v>0</v>
      </c>
      <c r="AS439" s="96"/>
      <c r="AT439" s="176">
        <f t="shared" ref="AT439" si="1287">O439*AS439*$AT$2/1000</f>
        <v>0</v>
      </c>
      <c r="AU439" s="206"/>
      <c r="AV439" s="176">
        <f t="shared" ref="AV439" si="1288">O439*AU439*$AV$2/1000</f>
        <v>0</v>
      </c>
      <c r="AW439" s="206"/>
      <c r="AX439" s="205">
        <f t="shared" ref="AX439" si="1289">O439*AW439*$AX$2/1000</f>
        <v>0</v>
      </c>
      <c r="AY439" s="188">
        <f t="shared" ref="AY439" si="1290">SUM(AS439+AU439+AW439)</f>
        <v>0</v>
      </c>
      <c r="AZ439" s="96">
        <f t="shared" ref="AZ439" si="1291">SUM(AT439+AV439+AX439)</f>
        <v>0</v>
      </c>
      <c r="BA439" s="96">
        <f t="shared" ref="BA439" si="1292">SUM(AQ439+AY439)</f>
        <v>0</v>
      </c>
      <c r="BB439" s="96">
        <f t="shared" ref="BB439" si="1293">SUM(AR439,AZ439)</f>
        <v>0</v>
      </c>
      <c r="BC439" s="1" t="s">
        <v>1060</v>
      </c>
    </row>
    <row r="440" spans="1:55">
      <c r="A440" s="492">
        <v>199</v>
      </c>
      <c r="B440" s="13"/>
      <c r="C440" s="13"/>
      <c r="D440" s="13"/>
      <c r="E440" s="24" t="s">
        <v>2570</v>
      </c>
      <c r="F440" s="366" t="s">
        <v>964</v>
      </c>
      <c r="G440" s="366" t="s">
        <v>1056</v>
      </c>
      <c r="H440" s="282" t="s">
        <v>358</v>
      </c>
      <c r="I440" s="79">
        <v>12.52</v>
      </c>
      <c r="J440" s="167"/>
      <c r="K440" s="79">
        <v>12.52</v>
      </c>
      <c r="L440" s="167"/>
      <c r="M440" s="79"/>
      <c r="N440" s="167"/>
      <c r="O440" s="79"/>
      <c r="P440" s="167"/>
      <c r="Q440" s="96">
        <f t="shared" si="1242"/>
        <v>6.8000000000000005E-2</v>
      </c>
      <c r="R440" s="337">
        <f t="shared" si="1243"/>
        <v>1.2790577231999998</v>
      </c>
      <c r="S440" s="96"/>
      <c r="T440" s="96">
        <f t="shared" si="1244"/>
        <v>0</v>
      </c>
      <c r="U440" s="96"/>
      <c r="V440" s="176">
        <f t="shared" si="1245"/>
        <v>0</v>
      </c>
      <c r="W440" s="206">
        <v>6.8000000000000005E-2</v>
      </c>
      <c r="X440" s="205">
        <f t="shared" si="1246"/>
        <v>1.2790577231999998</v>
      </c>
      <c r="Y440" s="188">
        <f t="shared" si="1247"/>
        <v>6.8000000000000005E-2</v>
      </c>
      <c r="Z440" s="176">
        <f t="shared" si="1248"/>
        <v>1.2790577231999998</v>
      </c>
      <c r="AA440" s="206"/>
      <c r="AB440" s="205">
        <f t="shared" si="1249"/>
        <v>0</v>
      </c>
      <c r="AC440" s="206"/>
      <c r="AD440" s="176">
        <f t="shared" si="1250"/>
        <v>0</v>
      </c>
      <c r="AE440" s="206"/>
      <c r="AF440" s="204">
        <f t="shared" si="1251"/>
        <v>0</v>
      </c>
      <c r="AG440" s="188">
        <f t="shared" si="1252"/>
        <v>0</v>
      </c>
      <c r="AH440" s="96">
        <f t="shared" si="1253"/>
        <v>0</v>
      </c>
      <c r="AI440" s="96">
        <f t="shared" si="1254"/>
        <v>6.8000000000000005E-2</v>
      </c>
      <c r="AJ440" s="176">
        <f t="shared" si="1255"/>
        <v>1.2790577231999998</v>
      </c>
      <c r="AK440" s="206"/>
      <c r="AL440" s="176">
        <f t="shared" si="1256"/>
        <v>0</v>
      </c>
      <c r="AM440" s="243"/>
      <c r="AN440" s="176">
        <f t="shared" si="1257"/>
        <v>0</v>
      </c>
      <c r="AO440" s="206"/>
      <c r="AP440" s="205">
        <f t="shared" si="1258"/>
        <v>0</v>
      </c>
      <c r="AQ440" s="188">
        <f t="shared" si="1259"/>
        <v>0</v>
      </c>
      <c r="AR440" s="96">
        <f t="shared" si="1260"/>
        <v>0</v>
      </c>
      <c r="AS440" s="96"/>
      <c r="AT440" s="176">
        <f t="shared" si="1261"/>
        <v>0</v>
      </c>
      <c r="AU440" s="206"/>
      <c r="AV440" s="176">
        <f t="shared" si="1262"/>
        <v>0</v>
      </c>
      <c r="AW440" s="206"/>
      <c r="AX440" s="205">
        <f t="shared" si="1263"/>
        <v>0</v>
      </c>
      <c r="AY440" s="188">
        <f t="shared" si="1264"/>
        <v>0</v>
      </c>
      <c r="AZ440" s="96">
        <f t="shared" si="1265"/>
        <v>0</v>
      </c>
      <c r="BA440" s="96">
        <f t="shared" si="1266"/>
        <v>0</v>
      </c>
      <c r="BB440" s="96">
        <f t="shared" si="1267"/>
        <v>0</v>
      </c>
      <c r="BC440" s="1" t="s">
        <v>1060</v>
      </c>
    </row>
    <row r="441" spans="1:55">
      <c r="A441" s="492">
        <v>199</v>
      </c>
      <c r="B441" s="13"/>
      <c r="C441" s="13"/>
      <c r="D441" s="13"/>
      <c r="E441" s="24"/>
      <c r="F441" s="366" t="s">
        <v>964</v>
      </c>
      <c r="G441" s="366" t="s">
        <v>1056</v>
      </c>
      <c r="H441" s="282" t="s">
        <v>358</v>
      </c>
      <c r="I441" s="79"/>
      <c r="J441" s="167"/>
      <c r="K441" s="79"/>
      <c r="L441" s="167"/>
      <c r="M441" s="79"/>
      <c r="N441" s="167"/>
      <c r="O441" s="79"/>
      <c r="P441" s="167"/>
      <c r="Q441" s="96">
        <f t="shared" si="1138"/>
        <v>0</v>
      </c>
      <c r="R441" s="337">
        <f t="shared" si="1139"/>
        <v>0</v>
      </c>
      <c r="S441" s="96"/>
      <c r="T441" s="96">
        <f t="shared" si="1140"/>
        <v>0</v>
      </c>
      <c r="U441" s="96"/>
      <c r="V441" s="176">
        <f t="shared" si="1141"/>
        <v>0</v>
      </c>
      <c r="W441" s="206"/>
      <c r="X441" s="205">
        <f t="shared" si="1142"/>
        <v>0</v>
      </c>
      <c r="Y441" s="188">
        <f t="shared" si="1143"/>
        <v>0</v>
      </c>
      <c r="Z441" s="176">
        <f t="shared" si="1144"/>
        <v>0</v>
      </c>
      <c r="AA441" s="206"/>
      <c r="AB441" s="205">
        <f t="shared" si="1145"/>
        <v>0</v>
      </c>
      <c r="AC441" s="206"/>
      <c r="AD441" s="176">
        <f t="shared" si="1146"/>
        <v>0</v>
      </c>
      <c r="AE441" s="206"/>
      <c r="AF441" s="204">
        <f t="shared" si="1147"/>
        <v>0</v>
      </c>
      <c r="AG441" s="188">
        <f t="shared" si="1148"/>
        <v>0</v>
      </c>
      <c r="AH441" s="96">
        <f t="shared" si="1149"/>
        <v>0</v>
      </c>
      <c r="AI441" s="96">
        <f t="shared" si="1150"/>
        <v>0</v>
      </c>
      <c r="AJ441" s="176">
        <f t="shared" si="1151"/>
        <v>0</v>
      </c>
      <c r="AK441" s="206"/>
      <c r="AL441" s="176">
        <f t="shared" si="1152"/>
        <v>0</v>
      </c>
      <c r="AM441" s="243"/>
      <c r="AN441" s="176">
        <f t="shared" si="1153"/>
        <v>0</v>
      </c>
      <c r="AO441" s="206"/>
      <c r="AP441" s="205">
        <f t="shared" si="1154"/>
        <v>0</v>
      </c>
      <c r="AQ441" s="188">
        <f t="shared" si="1155"/>
        <v>0</v>
      </c>
      <c r="AR441" s="96">
        <f t="shared" si="1156"/>
        <v>0</v>
      </c>
      <c r="AS441" s="96"/>
      <c r="AT441" s="176">
        <f t="shared" si="1157"/>
        <v>0</v>
      </c>
      <c r="AU441" s="206"/>
      <c r="AV441" s="176">
        <f t="shared" si="1158"/>
        <v>0</v>
      </c>
      <c r="AW441" s="206"/>
      <c r="AX441" s="205">
        <f t="shared" si="1159"/>
        <v>0</v>
      </c>
      <c r="AY441" s="188">
        <f t="shared" si="1160"/>
        <v>0</v>
      </c>
      <c r="AZ441" s="96">
        <f t="shared" si="1161"/>
        <v>0</v>
      </c>
      <c r="BA441" s="96">
        <f t="shared" si="1162"/>
        <v>0</v>
      </c>
      <c r="BB441" s="96">
        <f t="shared" si="1163"/>
        <v>0</v>
      </c>
      <c r="BC441" s="1" t="s">
        <v>1060</v>
      </c>
    </row>
    <row r="442" spans="1:55">
      <c r="A442" s="492">
        <v>240</v>
      </c>
      <c r="B442" s="58" t="s">
        <v>153</v>
      </c>
      <c r="C442" s="59"/>
      <c r="D442" s="59"/>
      <c r="E442" s="59"/>
      <c r="F442" s="59"/>
      <c r="G442" s="59"/>
      <c r="H442" s="279"/>
      <c r="I442" s="145"/>
      <c r="J442" s="103"/>
      <c r="K442" s="60"/>
      <c r="L442" s="60"/>
      <c r="M442" s="60"/>
      <c r="N442" s="60"/>
      <c r="O442" s="145"/>
      <c r="P442" s="103"/>
      <c r="Q442" s="126">
        <f t="shared" ref="Q442:BB442" si="1294">SUM(Q291:Q441)</f>
        <v>1711.7629999999995</v>
      </c>
      <c r="R442" s="126">
        <f t="shared" si="1294"/>
        <v>13560.121477838806</v>
      </c>
      <c r="S442" s="126">
        <f t="shared" si="1294"/>
        <v>451.03100000000012</v>
      </c>
      <c r="T442" s="126">
        <f t="shared" si="1294"/>
        <v>3663.3618188895002</v>
      </c>
      <c r="U442" s="126">
        <f t="shared" si="1294"/>
        <v>458.94699999999989</v>
      </c>
      <c r="V442" s="126">
        <f t="shared" si="1294"/>
        <v>3599.0515568129986</v>
      </c>
      <c r="W442" s="126">
        <f t="shared" si="1294"/>
        <v>505.46199999999993</v>
      </c>
      <c r="X442" s="126">
        <f t="shared" si="1294"/>
        <v>4130.6913016659018</v>
      </c>
      <c r="Y442" s="126">
        <f t="shared" si="1294"/>
        <v>1415.4399999999991</v>
      </c>
      <c r="Z442" s="126">
        <f t="shared" si="1294"/>
        <v>11393.104677368401</v>
      </c>
      <c r="AA442" s="126">
        <f t="shared" si="1294"/>
        <v>296.32300000000009</v>
      </c>
      <c r="AB442" s="126">
        <f t="shared" si="1294"/>
        <v>2167.0168004704001</v>
      </c>
      <c r="AC442" s="126">
        <f t="shared" si="1294"/>
        <v>0</v>
      </c>
      <c r="AD442" s="126">
        <f t="shared" si="1294"/>
        <v>0</v>
      </c>
      <c r="AE442" s="126">
        <f t="shared" si="1294"/>
        <v>0</v>
      </c>
      <c r="AF442" s="126">
        <f t="shared" si="1294"/>
        <v>0</v>
      </c>
      <c r="AG442" s="126">
        <f t="shared" si="1294"/>
        <v>296.32300000000009</v>
      </c>
      <c r="AH442" s="126">
        <f t="shared" si="1294"/>
        <v>2167.0168004704001</v>
      </c>
      <c r="AI442" s="126">
        <f t="shared" si="1294"/>
        <v>1711.7629999999995</v>
      </c>
      <c r="AJ442" s="126">
        <f t="shared" si="1294"/>
        <v>13560.121477838806</v>
      </c>
      <c r="AK442" s="126">
        <f t="shared" si="1294"/>
        <v>0</v>
      </c>
      <c r="AL442" s="126">
        <f t="shared" si="1294"/>
        <v>0</v>
      </c>
      <c r="AM442" s="126">
        <f t="shared" si="1294"/>
        <v>0</v>
      </c>
      <c r="AN442" s="126">
        <f t="shared" si="1294"/>
        <v>0</v>
      </c>
      <c r="AO442" s="126">
        <f t="shared" si="1294"/>
        <v>0</v>
      </c>
      <c r="AP442" s="126">
        <f t="shared" si="1294"/>
        <v>0</v>
      </c>
      <c r="AQ442" s="126">
        <f t="shared" si="1294"/>
        <v>0</v>
      </c>
      <c r="AR442" s="126">
        <f t="shared" si="1294"/>
        <v>0</v>
      </c>
      <c r="AS442" s="126">
        <f t="shared" si="1294"/>
        <v>0</v>
      </c>
      <c r="AT442" s="126">
        <f t="shared" si="1294"/>
        <v>0</v>
      </c>
      <c r="AU442" s="126">
        <f t="shared" si="1294"/>
        <v>0</v>
      </c>
      <c r="AV442" s="126">
        <f t="shared" si="1294"/>
        <v>0</v>
      </c>
      <c r="AW442" s="126">
        <f t="shared" si="1294"/>
        <v>0</v>
      </c>
      <c r="AX442" s="126">
        <f t="shared" si="1294"/>
        <v>0</v>
      </c>
      <c r="AY442" s="126">
        <f t="shared" si="1294"/>
        <v>0</v>
      </c>
      <c r="AZ442" s="126">
        <f t="shared" si="1294"/>
        <v>0</v>
      </c>
      <c r="BA442" s="126">
        <f t="shared" si="1294"/>
        <v>0</v>
      </c>
      <c r="BB442" s="126">
        <f t="shared" si="1294"/>
        <v>0</v>
      </c>
    </row>
    <row r="443" spans="1:55">
      <c r="A443" s="492">
        <v>241</v>
      </c>
      <c r="B443" s="13" t="s">
        <v>157</v>
      </c>
      <c r="C443" s="13" t="s">
        <v>158</v>
      </c>
      <c r="D443" s="13" t="s">
        <v>159</v>
      </c>
      <c r="E443" s="21" t="s">
        <v>295</v>
      </c>
      <c r="F443" s="310" t="s">
        <v>296</v>
      </c>
      <c r="G443" s="234" t="s">
        <v>1059</v>
      </c>
      <c r="H443" s="280" t="s">
        <v>360</v>
      </c>
      <c r="I443" s="146"/>
      <c r="J443" s="163">
        <v>4030</v>
      </c>
      <c r="K443" s="61"/>
      <c r="L443" s="163">
        <v>4030</v>
      </c>
      <c r="M443" s="61"/>
      <c r="N443" s="163"/>
      <c r="O443" s="146"/>
      <c r="P443" s="163"/>
      <c r="Q443" s="127">
        <f t="shared" ref="Q443:Q467" si="1295">SUM(AI443+BA443)</f>
        <v>0</v>
      </c>
      <c r="R443" s="343">
        <f t="shared" ref="R443:R467" si="1296">SUM(AJ443+BB443)</f>
        <v>0</v>
      </c>
      <c r="S443" s="127"/>
      <c r="T443" s="127">
        <f t="shared" ref="T443:T467" si="1297">J443*S443/1000</f>
        <v>0</v>
      </c>
      <c r="U443" s="127"/>
      <c r="V443" s="182">
        <f t="shared" ref="V443:V467" si="1298">J443*U443/1000</f>
        <v>0</v>
      </c>
      <c r="W443" s="218"/>
      <c r="X443" s="219">
        <f t="shared" ref="X443:X467" si="1299">J443*W443/1000</f>
        <v>0</v>
      </c>
      <c r="Y443" s="195">
        <f t="shared" ref="Y443:Y467" si="1300">SUM(S443+U443+W443)</f>
        <v>0</v>
      </c>
      <c r="Z443" s="182">
        <f t="shared" ref="Z443:Z467" si="1301">SUM(T443+V443+X443)</f>
        <v>0</v>
      </c>
      <c r="AA443" s="218"/>
      <c r="AB443" s="219">
        <f t="shared" ref="AB443:AB467" si="1302">L443*AA443/1000</f>
        <v>0</v>
      </c>
      <c r="AC443" s="218"/>
      <c r="AD443" s="182">
        <f t="shared" ref="AD443:AD467" si="1303">L443*AC443/1000</f>
        <v>0</v>
      </c>
      <c r="AE443" s="218"/>
      <c r="AF443" s="212">
        <f t="shared" ref="AF443:AF467" si="1304">L443*AE443/1000</f>
        <v>0</v>
      </c>
      <c r="AG443" s="195">
        <f t="shared" ref="AG443:AG467" si="1305">SUM(AA443+AC443+AE443)</f>
        <v>0</v>
      </c>
      <c r="AH443" s="127">
        <f t="shared" ref="AH443:AH467" si="1306">SUM(AB443+AD443+AF443)</f>
        <v>0</v>
      </c>
      <c r="AI443" s="127">
        <f t="shared" ref="AI443:AI467" si="1307">SUM(Y443+AG443)</f>
        <v>0</v>
      </c>
      <c r="AJ443" s="182">
        <f t="shared" ref="AJ443:AJ467" si="1308">SUM(Z443,AH443)</f>
        <v>0</v>
      </c>
      <c r="AK443" s="218"/>
      <c r="AL443" s="182">
        <f t="shared" ref="AL443:AL467" si="1309">N443*AK443/1000</f>
        <v>0</v>
      </c>
      <c r="AM443" s="250"/>
      <c r="AN443" s="182">
        <f t="shared" ref="AN443:AN467" si="1310">N443*AM443/1000</f>
        <v>0</v>
      </c>
      <c r="AO443" s="218"/>
      <c r="AP443" s="219">
        <f t="shared" ref="AP443:AP467" si="1311">N443*AO443/1000</f>
        <v>0</v>
      </c>
      <c r="AQ443" s="195">
        <f t="shared" ref="AQ443:AQ467" si="1312">SUM(AK443+AM443+AO443)</f>
        <v>0</v>
      </c>
      <c r="AR443" s="127">
        <f t="shared" ref="AR443:AR467" si="1313">SUM(AL443+AN443+AP443)</f>
        <v>0</v>
      </c>
      <c r="AS443" s="127"/>
      <c r="AT443" s="182">
        <f t="shared" ref="AT443:AT467" si="1314">P443*AS443/1000</f>
        <v>0</v>
      </c>
      <c r="AU443" s="218"/>
      <c r="AV443" s="182">
        <f t="shared" ref="AV443:AV467" si="1315">P443*AU443/1000</f>
        <v>0</v>
      </c>
      <c r="AW443" s="218"/>
      <c r="AX443" s="219">
        <f t="shared" ref="AX443:AX467" si="1316">P443*AW443/1000</f>
        <v>0</v>
      </c>
      <c r="AY443" s="195">
        <f t="shared" ref="AY443:AY467" si="1317">SUM(AS443+AU443+AW443)</f>
        <v>0</v>
      </c>
      <c r="AZ443" s="127">
        <f t="shared" ref="AZ443:AZ467" si="1318">SUM(AT443+AV443+AX443)</f>
        <v>0</v>
      </c>
      <c r="BA443" s="127">
        <f t="shared" ref="BA443:BA467" si="1319">SUM(AQ443+AY443)</f>
        <v>0</v>
      </c>
      <c r="BB443" s="127">
        <f t="shared" ref="BB443:BB467" si="1320">SUM(AR443,AZ443)</f>
        <v>0</v>
      </c>
    </row>
    <row r="444" spans="1:55">
      <c r="A444" s="492">
        <v>242</v>
      </c>
      <c r="B444" s="13"/>
      <c r="C444" s="13"/>
      <c r="D444" s="13" t="s">
        <v>159</v>
      </c>
      <c r="E444" s="21" t="s">
        <v>719</v>
      </c>
      <c r="F444" s="45" t="s">
        <v>720</v>
      </c>
      <c r="G444" s="22" t="s">
        <v>1059</v>
      </c>
      <c r="H444" s="265" t="s">
        <v>358</v>
      </c>
      <c r="I444" s="142"/>
      <c r="J444" s="162">
        <v>5000</v>
      </c>
      <c r="K444" s="54"/>
      <c r="L444" s="162">
        <v>5000</v>
      </c>
      <c r="M444" s="54"/>
      <c r="N444" s="162"/>
      <c r="O444" s="142"/>
      <c r="P444" s="162"/>
      <c r="Q444" s="96">
        <f t="shared" si="1295"/>
        <v>0</v>
      </c>
      <c r="R444" s="337">
        <f t="shared" si="1296"/>
        <v>0</v>
      </c>
      <c r="S444" s="96"/>
      <c r="T444" s="96">
        <f t="shared" si="1297"/>
        <v>0</v>
      </c>
      <c r="U444" s="96"/>
      <c r="V444" s="176">
        <f t="shared" si="1298"/>
        <v>0</v>
      </c>
      <c r="W444" s="206"/>
      <c r="X444" s="205">
        <f t="shared" si="1299"/>
        <v>0</v>
      </c>
      <c r="Y444" s="188">
        <f t="shared" si="1300"/>
        <v>0</v>
      </c>
      <c r="Z444" s="176">
        <f t="shared" si="1301"/>
        <v>0</v>
      </c>
      <c r="AA444" s="206"/>
      <c r="AB444" s="205">
        <f t="shared" si="1302"/>
        <v>0</v>
      </c>
      <c r="AC444" s="206"/>
      <c r="AD444" s="176">
        <f t="shared" si="1303"/>
        <v>0</v>
      </c>
      <c r="AE444" s="206"/>
      <c r="AF444" s="205">
        <f t="shared" si="1304"/>
        <v>0</v>
      </c>
      <c r="AG444" s="188">
        <f t="shared" si="1305"/>
        <v>0</v>
      </c>
      <c r="AH444" s="96">
        <f t="shared" si="1306"/>
        <v>0</v>
      </c>
      <c r="AI444" s="96">
        <f t="shared" si="1307"/>
        <v>0</v>
      </c>
      <c r="AJ444" s="176">
        <f t="shared" si="1308"/>
        <v>0</v>
      </c>
      <c r="AK444" s="206"/>
      <c r="AL444" s="176">
        <f t="shared" si="1309"/>
        <v>0</v>
      </c>
      <c r="AM444" s="243"/>
      <c r="AN444" s="176">
        <f t="shared" si="1310"/>
        <v>0</v>
      </c>
      <c r="AO444" s="206"/>
      <c r="AP444" s="205">
        <f t="shared" si="1311"/>
        <v>0</v>
      </c>
      <c r="AQ444" s="188">
        <f t="shared" si="1312"/>
        <v>0</v>
      </c>
      <c r="AR444" s="96">
        <f t="shared" si="1313"/>
        <v>0</v>
      </c>
      <c r="AS444" s="96"/>
      <c r="AT444" s="176">
        <f t="shared" si="1314"/>
        <v>0</v>
      </c>
      <c r="AU444" s="206"/>
      <c r="AV444" s="176">
        <f t="shared" si="1315"/>
        <v>0</v>
      </c>
      <c r="AW444" s="206"/>
      <c r="AX444" s="205">
        <f t="shared" si="1316"/>
        <v>0</v>
      </c>
      <c r="AY444" s="188">
        <f t="shared" si="1317"/>
        <v>0</v>
      </c>
      <c r="AZ444" s="96">
        <f t="shared" si="1318"/>
        <v>0</v>
      </c>
      <c r="BA444" s="96">
        <f t="shared" si="1319"/>
        <v>0</v>
      </c>
      <c r="BB444" s="96">
        <f t="shared" si="1320"/>
        <v>0</v>
      </c>
    </row>
    <row r="445" spans="1:55">
      <c r="A445" s="492">
        <v>243</v>
      </c>
      <c r="B445" s="13"/>
      <c r="C445" s="13"/>
      <c r="D445" s="13" t="s">
        <v>159</v>
      </c>
      <c r="E445" s="21" t="s">
        <v>297</v>
      </c>
      <c r="F445" s="45" t="s">
        <v>298</v>
      </c>
      <c r="G445" s="22" t="s">
        <v>1059</v>
      </c>
      <c r="H445" s="265" t="s">
        <v>358</v>
      </c>
      <c r="I445" s="142"/>
      <c r="J445" s="162">
        <v>4500</v>
      </c>
      <c r="K445" s="54"/>
      <c r="L445" s="162">
        <v>4500</v>
      </c>
      <c r="M445" s="54"/>
      <c r="N445" s="162"/>
      <c r="O445" s="142"/>
      <c r="P445" s="162"/>
      <c r="Q445" s="96">
        <f t="shared" si="1295"/>
        <v>0</v>
      </c>
      <c r="R445" s="337">
        <f t="shared" si="1296"/>
        <v>0</v>
      </c>
      <c r="S445" s="96"/>
      <c r="T445" s="96">
        <f t="shared" si="1297"/>
        <v>0</v>
      </c>
      <c r="U445" s="96"/>
      <c r="V445" s="176">
        <f t="shared" si="1298"/>
        <v>0</v>
      </c>
      <c r="W445" s="206"/>
      <c r="X445" s="205">
        <f t="shared" si="1299"/>
        <v>0</v>
      </c>
      <c r="Y445" s="188">
        <f t="shared" si="1300"/>
        <v>0</v>
      </c>
      <c r="Z445" s="176">
        <f t="shared" si="1301"/>
        <v>0</v>
      </c>
      <c r="AA445" s="206"/>
      <c r="AB445" s="205">
        <f t="shared" si="1302"/>
        <v>0</v>
      </c>
      <c r="AC445" s="206"/>
      <c r="AD445" s="176">
        <f t="shared" si="1303"/>
        <v>0</v>
      </c>
      <c r="AE445" s="206"/>
      <c r="AF445" s="205">
        <f t="shared" si="1304"/>
        <v>0</v>
      </c>
      <c r="AG445" s="188">
        <f t="shared" si="1305"/>
        <v>0</v>
      </c>
      <c r="AH445" s="96">
        <f t="shared" si="1306"/>
        <v>0</v>
      </c>
      <c r="AI445" s="96">
        <f t="shared" si="1307"/>
        <v>0</v>
      </c>
      <c r="AJ445" s="176">
        <f t="shared" si="1308"/>
        <v>0</v>
      </c>
      <c r="AK445" s="206"/>
      <c r="AL445" s="176">
        <f t="shared" si="1309"/>
        <v>0</v>
      </c>
      <c r="AM445" s="243"/>
      <c r="AN445" s="176">
        <f t="shared" si="1310"/>
        <v>0</v>
      </c>
      <c r="AO445" s="206"/>
      <c r="AP445" s="205">
        <f t="shared" si="1311"/>
        <v>0</v>
      </c>
      <c r="AQ445" s="188">
        <f t="shared" si="1312"/>
        <v>0</v>
      </c>
      <c r="AR445" s="96">
        <f t="shared" si="1313"/>
        <v>0</v>
      </c>
      <c r="AS445" s="96"/>
      <c r="AT445" s="176">
        <f t="shared" si="1314"/>
        <v>0</v>
      </c>
      <c r="AU445" s="206"/>
      <c r="AV445" s="176">
        <f t="shared" si="1315"/>
        <v>0</v>
      </c>
      <c r="AW445" s="206"/>
      <c r="AX445" s="205">
        <f t="shared" si="1316"/>
        <v>0</v>
      </c>
      <c r="AY445" s="188">
        <f t="shared" si="1317"/>
        <v>0</v>
      </c>
      <c r="AZ445" s="96">
        <f t="shared" si="1318"/>
        <v>0</v>
      </c>
      <c r="BA445" s="96">
        <f t="shared" si="1319"/>
        <v>0</v>
      </c>
      <c r="BB445" s="96">
        <f t="shared" si="1320"/>
        <v>0</v>
      </c>
    </row>
    <row r="446" spans="1:55" s="6" customFormat="1">
      <c r="A446" s="492">
        <v>244</v>
      </c>
      <c r="B446" s="14"/>
      <c r="C446" s="14"/>
      <c r="D446" s="13" t="s">
        <v>159</v>
      </c>
      <c r="E446" s="16" t="s">
        <v>344</v>
      </c>
      <c r="F446" s="44" t="s">
        <v>347</v>
      </c>
      <c r="G446" s="17" t="s">
        <v>1059</v>
      </c>
      <c r="H446" s="264" t="s">
        <v>358</v>
      </c>
      <c r="I446" s="240"/>
      <c r="J446" s="239">
        <v>5950</v>
      </c>
      <c r="K446" s="232"/>
      <c r="L446" s="239">
        <v>5950</v>
      </c>
      <c r="M446" s="232"/>
      <c r="N446" s="239"/>
      <c r="O446" s="240"/>
      <c r="P446" s="239"/>
      <c r="Q446" s="95">
        <f t="shared" si="1295"/>
        <v>8.26</v>
      </c>
      <c r="R446" s="335">
        <f t="shared" si="1296"/>
        <v>49.146999999999991</v>
      </c>
      <c r="S446" s="95">
        <v>3.08</v>
      </c>
      <c r="T446" s="95">
        <f t="shared" si="1297"/>
        <v>18.326000000000001</v>
      </c>
      <c r="U446" s="95"/>
      <c r="V446" s="175">
        <f t="shared" si="1298"/>
        <v>0</v>
      </c>
      <c r="W446" s="203">
        <v>2.2999999999999998</v>
      </c>
      <c r="X446" s="204">
        <f t="shared" si="1299"/>
        <v>13.684999999999999</v>
      </c>
      <c r="Y446" s="191">
        <f t="shared" si="1300"/>
        <v>5.38</v>
      </c>
      <c r="Z446" s="175">
        <f t="shared" si="1301"/>
        <v>32.010999999999996</v>
      </c>
      <c r="AA446" s="203">
        <v>2.88</v>
      </c>
      <c r="AB446" s="204">
        <f t="shared" si="1302"/>
        <v>17.135999999999999</v>
      </c>
      <c r="AC446" s="203"/>
      <c r="AD446" s="175">
        <f t="shared" si="1303"/>
        <v>0</v>
      </c>
      <c r="AE446" s="203"/>
      <c r="AF446" s="205">
        <f t="shared" si="1304"/>
        <v>0</v>
      </c>
      <c r="AG446" s="191">
        <f t="shared" si="1305"/>
        <v>2.88</v>
      </c>
      <c r="AH446" s="95">
        <f t="shared" si="1306"/>
        <v>17.135999999999999</v>
      </c>
      <c r="AI446" s="95">
        <f t="shared" si="1307"/>
        <v>8.26</v>
      </c>
      <c r="AJ446" s="175">
        <f t="shared" si="1308"/>
        <v>49.146999999999991</v>
      </c>
      <c r="AK446" s="203"/>
      <c r="AL446" s="175">
        <f t="shared" si="1309"/>
        <v>0</v>
      </c>
      <c r="AM446" s="242"/>
      <c r="AN446" s="175">
        <f t="shared" si="1310"/>
        <v>0</v>
      </c>
      <c r="AO446" s="203"/>
      <c r="AP446" s="204">
        <f t="shared" si="1311"/>
        <v>0</v>
      </c>
      <c r="AQ446" s="191">
        <f t="shared" si="1312"/>
        <v>0</v>
      </c>
      <c r="AR446" s="95">
        <f t="shared" si="1313"/>
        <v>0</v>
      </c>
      <c r="AS446" s="95"/>
      <c r="AT446" s="175">
        <f t="shared" si="1314"/>
        <v>0</v>
      </c>
      <c r="AU446" s="203"/>
      <c r="AV446" s="175">
        <f t="shared" si="1315"/>
        <v>0</v>
      </c>
      <c r="AW446" s="203"/>
      <c r="AX446" s="204">
        <f t="shared" si="1316"/>
        <v>0</v>
      </c>
      <c r="AY446" s="191">
        <f t="shared" si="1317"/>
        <v>0</v>
      </c>
      <c r="AZ446" s="95">
        <f t="shared" si="1318"/>
        <v>0</v>
      </c>
      <c r="BA446" s="95">
        <f t="shared" si="1319"/>
        <v>0</v>
      </c>
      <c r="BB446" s="95">
        <f t="shared" si="1320"/>
        <v>0</v>
      </c>
    </row>
    <row r="447" spans="1:55" s="6" customFormat="1">
      <c r="A447" s="492">
        <v>245</v>
      </c>
      <c r="B447" s="14"/>
      <c r="C447" s="14"/>
      <c r="D447" s="13" t="s">
        <v>159</v>
      </c>
      <c r="E447" s="16" t="s">
        <v>345</v>
      </c>
      <c r="F447" s="44" t="s">
        <v>348</v>
      </c>
      <c r="G447" s="17" t="s">
        <v>1059</v>
      </c>
      <c r="H447" s="264" t="s">
        <v>358</v>
      </c>
      <c r="I447" s="240"/>
      <c r="J447" s="239">
        <v>5940</v>
      </c>
      <c r="K447" s="232"/>
      <c r="L447" s="239">
        <v>5940</v>
      </c>
      <c r="M447" s="232"/>
      <c r="N447" s="239"/>
      <c r="O447" s="240"/>
      <c r="P447" s="239"/>
      <c r="Q447" s="95">
        <f t="shared" si="1295"/>
        <v>8.26</v>
      </c>
      <c r="R447" s="335">
        <f t="shared" si="1296"/>
        <v>49.064400000000006</v>
      </c>
      <c r="S447" s="95">
        <v>3.16</v>
      </c>
      <c r="T447" s="95">
        <f t="shared" si="1297"/>
        <v>18.770400000000002</v>
      </c>
      <c r="U447" s="95"/>
      <c r="V447" s="175">
        <f t="shared" si="1298"/>
        <v>0</v>
      </c>
      <c r="W447" s="203">
        <v>2.2999999999999998</v>
      </c>
      <c r="X447" s="204">
        <f t="shared" si="1299"/>
        <v>13.661999999999999</v>
      </c>
      <c r="Y447" s="191">
        <f t="shared" si="1300"/>
        <v>5.46</v>
      </c>
      <c r="Z447" s="175">
        <f t="shared" si="1301"/>
        <v>32.432400000000001</v>
      </c>
      <c r="AA447" s="203">
        <v>2.8</v>
      </c>
      <c r="AB447" s="204">
        <f t="shared" si="1302"/>
        <v>16.632000000000001</v>
      </c>
      <c r="AC447" s="203"/>
      <c r="AD447" s="175">
        <f t="shared" si="1303"/>
        <v>0</v>
      </c>
      <c r="AE447" s="203"/>
      <c r="AF447" s="205">
        <f t="shared" si="1304"/>
        <v>0</v>
      </c>
      <c r="AG447" s="191">
        <f t="shared" si="1305"/>
        <v>2.8</v>
      </c>
      <c r="AH447" s="95">
        <f t="shared" si="1306"/>
        <v>16.632000000000001</v>
      </c>
      <c r="AI447" s="95">
        <f t="shared" si="1307"/>
        <v>8.26</v>
      </c>
      <c r="AJ447" s="175">
        <f t="shared" si="1308"/>
        <v>49.064400000000006</v>
      </c>
      <c r="AK447" s="203"/>
      <c r="AL447" s="175">
        <f t="shared" si="1309"/>
        <v>0</v>
      </c>
      <c r="AM447" s="242"/>
      <c r="AN447" s="175">
        <f t="shared" si="1310"/>
        <v>0</v>
      </c>
      <c r="AO447" s="203"/>
      <c r="AP447" s="204">
        <f t="shared" si="1311"/>
        <v>0</v>
      </c>
      <c r="AQ447" s="191">
        <f t="shared" si="1312"/>
        <v>0</v>
      </c>
      <c r="AR447" s="95">
        <f t="shared" si="1313"/>
        <v>0</v>
      </c>
      <c r="AS447" s="95"/>
      <c r="AT447" s="175">
        <f t="shared" si="1314"/>
        <v>0</v>
      </c>
      <c r="AU447" s="203"/>
      <c r="AV447" s="175">
        <f t="shared" si="1315"/>
        <v>0</v>
      </c>
      <c r="AW447" s="203"/>
      <c r="AX447" s="204">
        <f t="shared" si="1316"/>
        <v>0</v>
      </c>
      <c r="AY447" s="191">
        <f t="shared" si="1317"/>
        <v>0</v>
      </c>
      <c r="AZ447" s="95">
        <f t="shared" si="1318"/>
        <v>0</v>
      </c>
      <c r="BA447" s="95">
        <f t="shared" si="1319"/>
        <v>0</v>
      </c>
      <c r="BB447" s="95">
        <f t="shared" si="1320"/>
        <v>0</v>
      </c>
    </row>
    <row r="448" spans="1:55" s="6" customFormat="1">
      <c r="A448" s="492">
        <v>246</v>
      </c>
      <c r="B448" s="14"/>
      <c r="C448" s="14"/>
      <c r="D448" s="13" t="s">
        <v>159</v>
      </c>
      <c r="E448" s="16" t="s">
        <v>346</v>
      </c>
      <c r="F448" s="44" t="s">
        <v>349</v>
      </c>
      <c r="G448" s="17" t="s">
        <v>1059</v>
      </c>
      <c r="H448" s="264" t="s">
        <v>358</v>
      </c>
      <c r="I448" s="240"/>
      <c r="J448" s="239">
        <v>5900</v>
      </c>
      <c r="K448" s="232"/>
      <c r="L448" s="239">
        <v>5900</v>
      </c>
      <c r="M448" s="232"/>
      <c r="N448" s="239"/>
      <c r="O448" s="240"/>
      <c r="P448" s="239"/>
      <c r="Q448" s="95">
        <f t="shared" si="1295"/>
        <v>5.7200000000000006</v>
      </c>
      <c r="R448" s="335">
        <f t="shared" si="1296"/>
        <v>33.748000000000005</v>
      </c>
      <c r="S448" s="95">
        <v>2.08</v>
      </c>
      <c r="T448" s="95">
        <f t="shared" si="1297"/>
        <v>12.272</v>
      </c>
      <c r="U448" s="95"/>
      <c r="V448" s="175">
        <f t="shared" si="1298"/>
        <v>0</v>
      </c>
      <c r="W448" s="203">
        <v>1</v>
      </c>
      <c r="X448" s="204">
        <f t="shared" si="1299"/>
        <v>5.9</v>
      </c>
      <c r="Y448" s="191">
        <f t="shared" si="1300"/>
        <v>3.08</v>
      </c>
      <c r="Z448" s="175">
        <f t="shared" si="1301"/>
        <v>18.172000000000001</v>
      </c>
      <c r="AA448" s="203">
        <v>2.64</v>
      </c>
      <c r="AB448" s="204">
        <f t="shared" si="1302"/>
        <v>15.576000000000001</v>
      </c>
      <c r="AC448" s="203"/>
      <c r="AD448" s="175">
        <f t="shared" si="1303"/>
        <v>0</v>
      </c>
      <c r="AE448" s="203"/>
      <c r="AF448" s="205">
        <f t="shared" si="1304"/>
        <v>0</v>
      </c>
      <c r="AG448" s="191">
        <f t="shared" si="1305"/>
        <v>2.64</v>
      </c>
      <c r="AH448" s="95">
        <f t="shared" si="1306"/>
        <v>15.576000000000001</v>
      </c>
      <c r="AI448" s="95">
        <f t="shared" si="1307"/>
        <v>5.7200000000000006</v>
      </c>
      <c r="AJ448" s="175">
        <f t="shared" si="1308"/>
        <v>33.748000000000005</v>
      </c>
      <c r="AK448" s="203"/>
      <c r="AL448" s="175">
        <f t="shared" si="1309"/>
        <v>0</v>
      </c>
      <c r="AM448" s="242"/>
      <c r="AN448" s="175">
        <f t="shared" si="1310"/>
        <v>0</v>
      </c>
      <c r="AO448" s="203"/>
      <c r="AP448" s="204">
        <f t="shared" si="1311"/>
        <v>0</v>
      </c>
      <c r="AQ448" s="191">
        <f t="shared" si="1312"/>
        <v>0</v>
      </c>
      <c r="AR448" s="95">
        <f t="shared" si="1313"/>
        <v>0</v>
      </c>
      <c r="AS448" s="95"/>
      <c r="AT448" s="175">
        <f t="shared" si="1314"/>
        <v>0</v>
      </c>
      <c r="AU448" s="203"/>
      <c r="AV448" s="175">
        <f t="shared" si="1315"/>
        <v>0</v>
      </c>
      <c r="AW448" s="203"/>
      <c r="AX448" s="204">
        <f t="shared" si="1316"/>
        <v>0</v>
      </c>
      <c r="AY448" s="191">
        <f t="shared" si="1317"/>
        <v>0</v>
      </c>
      <c r="AZ448" s="95">
        <f t="shared" si="1318"/>
        <v>0</v>
      </c>
      <c r="BA448" s="95">
        <f t="shared" si="1319"/>
        <v>0</v>
      </c>
      <c r="BB448" s="95">
        <f t="shared" si="1320"/>
        <v>0</v>
      </c>
    </row>
    <row r="449" spans="1:54" s="6" customFormat="1">
      <c r="A449" s="492">
        <v>247</v>
      </c>
      <c r="B449" s="14"/>
      <c r="C449" s="14"/>
      <c r="D449" s="13" t="s">
        <v>159</v>
      </c>
      <c r="E449" s="16" t="s">
        <v>451</v>
      </c>
      <c r="F449" s="44" t="s">
        <v>452</v>
      </c>
      <c r="G449" s="17" t="s">
        <v>1059</v>
      </c>
      <c r="H449" s="264" t="s">
        <v>358</v>
      </c>
      <c r="I449" s="240"/>
      <c r="J449" s="239">
        <v>5980</v>
      </c>
      <c r="K449" s="232"/>
      <c r="L449" s="239">
        <v>5980</v>
      </c>
      <c r="M449" s="232"/>
      <c r="N449" s="239"/>
      <c r="O449" s="240"/>
      <c r="P449" s="239"/>
      <c r="Q449" s="95">
        <f t="shared" si="1295"/>
        <v>22.92</v>
      </c>
      <c r="R449" s="335">
        <f t="shared" si="1296"/>
        <v>137.0616</v>
      </c>
      <c r="S449" s="95">
        <v>5.08</v>
      </c>
      <c r="T449" s="95">
        <f t="shared" si="1297"/>
        <v>30.378400000000003</v>
      </c>
      <c r="U449" s="95">
        <v>6.32</v>
      </c>
      <c r="V449" s="175">
        <f t="shared" si="1298"/>
        <v>37.793599999999998</v>
      </c>
      <c r="W449" s="203">
        <v>7.2</v>
      </c>
      <c r="X449" s="204">
        <f t="shared" si="1299"/>
        <v>43.055999999999997</v>
      </c>
      <c r="Y449" s="191">
        <f t="shared" si="1300"/>
        <v>18.600000000000001</v>
      </c>
      <c r="Z449" s="175">
        <f t="shared" si="1301"/>
        <v>111.22799999999999</v>
      </c>
      <c r="AA449" s="203">
        <v>4.32</v>
      </c>
      <c r="AB449" s="204">
        <f t="shared" si="1302"/>
        <v>25.833600000000001</v>
      </c>
      <c r="AC449" s="203"/>
      <c r="AD449" s="175">
        <f t="shared" si="1303"/>
        <v>0</v>
      </c>
      <c r="AE449" s="203"/>
      <c r="AF449" s="205">
        <f t="shared" si="1304"/>
        <v>0</v>
      </c>
      <c r="AG449" s="191">
        <f t="shared" si="1305"/>
        <v>4.32</v>
      </c>
      <c r="AH449" s="95">
        <f t="shared" si="1306"/>
        <v>25.833600000000001</v>
      </c>
      <c r="AI449" s="95">
        <f t="shared" si="1307"/>
        <v>22.92</v>
      </c>
      <c r="AJ449" s="175">
        <f t="shared" si="1308"/>
        <v>137.0616</v>
      </c>
      <c r="AK449" s="203"/>
      <c r="AL449" s="175">
        <f t="shared" si="1309"/>
        <v>0</v>
      </c>
      <c r="AM449" s="242"/>
      <c r="AN449" s="175">
        <f t="shared" si="1310"/>
        <v>0</v>
      </c>
      <c r="AO449" s="203"/>
      <c r="AP449" s="204">
        <f t="shared" si="1311"/>
        <v>0</v>
      </c>
      <c r="AQ449" s="191">
        <f t="shared" si="1312"/>
        <v>0</v>
      </c>
      <c r="AR449" s="95">
        <f t="shared" si="1313"/>
        <v>0</v>
      </c>
      <c r="AS449" s="95"/>
      <c r="AT449" s="175">
        <f t="shared" si="1314"/>
        <v>0</v>
      </c>
      <c r="AU449" s="203"/>
      <c r="AV449" s="175">
        <f t="shared" si="1315"/>
        <v>0</v>
      </c>
      <c r="AW449" s="203"/>
      <c r="AX449" s="204">
        <f t="shared" si="1316"/>
        <v>0</v>
      </c>
      <c r="AY449" s="191">
        <f t="shared" si="1317"/>
        <v>0</v>
      </c>
      <c r="AZ449" s="95">
        <f t="shared" si="1318"/>
        <v>0</v>
      </c>
      <c r="BA449" s="95">
        <f t="shared" si="1319"/>
        <v>0</v>
      </c>
      <c r="BB449" s="95">
        <f t="shared" si="1320"/>
        <v>0</v>
      </c>
    </row>
    <row r="450" spans="1:54">
      <c r="A450" s="492">
        <v>248</v>
      </c>
      <c r="B450" s="13"/>
      <c r="C450" s="13"/>
      <c r="D450" s="13" t="s">
        <v>159</v>
      </c>
      <c r="E450" s="21" t="s">
        <v>544</v>
      </c>
      <c r="F450" s="45" t="s">
        <v>543</v>
      </c>
      <c r="G450" s="22" t="s">
        <v>1059</v>
      </c>
      <c r="H450" s="265" t="s">
        <v>358</v>
      </c>
      <c r="I450" s="142"/>
      <c r="J450" s="162">
        <v>5900</v>
      </c>
      <c r="K450" s="54"/>
      <c r="L450" s="162">
        <v>5900</v>
      </c>
      <c r="M450" s="54"/>
      <c r="N450" s="162"/>
      <c r="O450" s="142"/>
      <c r="P450" s="162"/>
      <c r="Q450" s="96">
        <f t="shared" si="1295"/>
        <v>1.04</v>
      </c>
      <c r="R450" s="337">
        <f t="shared" si="1296"/>
        <v>6.1359999999999992</v>
      </c>
      <c r="S450" s="96">
        <v>0.48</v>
      </c>
      <c r="T450" s="96">
        <f t="shared" si="1297"/>
        <v>2.8319999999999999</v>
      </c>
      <c r="U450" s="96"/>
      <c r="V450" s="176">
        <f t="shared" si="1298"/>
        <v>0</v>
      </c>
      <c r="W450" s="206">
        <v>0.24</v>
      </c>
      <c r="X450" s="205">
        <f t="shared" si="1299"/>
        <v>1.4159999999999999</v>
      </c>
      <c r="Y450" s="188">
        <f t="shared" si="1300"/>
        <v>0.72</v>
      </c>
      <c r="Z450" s="176">
        <f t="shared" si="1301"/>
        <v>4.2479999999999993</v>
      </c>
      <c r="AA450" s="206">
        <v>0.32</v>
      </c>
      <c r="AB450" s="205">
        <f t="shared" si="1302"/>
        <v>1.8879999999999999</v>
      </c>
      <c r="AC450" s="206"/>
      <c r="AD450" s="176">
        <f t="shared" si="1303"/>
        <v>0</v>
      </c>
      <c r="AE450" s="206"/>
      <c r="AF450" s="205">
        <f t="shared" si="1304"/>
        <v>0</v>
      </c>
      <c r="AG450" s="188">
        <f t="shared" si="1305"/>
        <v>0.32</v>
      </c>
      <c r="AH450" s="96">
        <f t="shared" si="1306"/>
        <v>1.8879999999999999</v>
      </c>
      <c r="AI450" s="96">
        <f t="shared" si="1307"/>
        <v>1.04</v>
      </c>
      <c r="AJ450" s="176">
        <f t="shared" si="1308"/>
        <v>6.1359999999999992</v>
      </c>
      <c r="AK450" s="206"/>
      <c r="AL450" s="176">
        <f t="shared" si="1309"/>
        <v>0</v>
      </c>
      <c r="AM450" s="243"/>
      <c r="AN450" s="176">
        <f t="shared" si="1310"/>
        <v>0</v>
      </c>
      <c r="AO450" s="206"/>
      <c r="AP450" s="205">
        <f t="shared" si="1311"/>
        <v>0</v>
      </c>
      <c r="AQ450" s="188">
        <f t="shared" si="1312"/>
        <v>0</v>
      </c>
      <c r="AR450" s="96">
        <f t="shared" si="1313"/>
        <v>0</v>
      </c>
      <c r="AS450" s="96"/>
      <c r="AT450" s="176">
        <f t="shared" si="1314"/>
        <v>0</v>
      </c>
      <c r="AU450" s="206"/>
      <c r="AV450" s="176">
        <f t="shared" si="1315"/>
        <v>0</v>
      </c>
      <c r="AW450" s="206"/>
      <c r="AX450" s="205">
        <f t="shared" si="1316"/>
        <v>0</v>
      </c>
      <c r="AY450" s="188">
        <f t="shared" si="1317"/>
        <v>0</v>
      </c>
      <c r="AZ450" s="96">
        <f t="shared" si="1318"/>
        <v>0</v>
      </c>
      <c r="BA450" s="96">
        <f t="shared" si="1319"/>
        <v>0</v>
      </c>
      <c r="BB450" s="96">
        <f t="shared" si="1320"/>
        <v>0</v>
      </c>
    </row>
    <row r="451" spans="1:54">
      <c r="A451" s="492">
        <v>252</v>
      </c>
      <c r="B451" s="13"/>
      <c r="C451" s="13"/>
      <c r="D451" s="13" t="s">
        <v>159</v>
      </c>
      <c r="E451" s="16" t="s">
        <v>592</v>
      </c>
      <c r="F451" s="44" t="s">
        <v>593</v>
      </c>
      <c r="G451" s="17" t="s">
        <v>1059</v>
      </c>
      <c r="H451" s="265" t="s">
        <v>358</v>
      </c>
      <c r="I451" s="142"/>
      <c r="J451" s="162">
        <v>5470</v>
      </c>
      <c r="K451" s="54"/>
      <c r="L451" s="162">
        <v>5470</v>
      </c>
      <c r="M451" s="54"/>
      <c r="N451" s="162"/>
      <c r="O451" s="142"/>
      <c r="P451" s="162"/>
      <c r="Q451" s="96">
        <f t="shared" si="1295"/>
        <v>6.88</v>
      </c>
      <c r="R451" s="337">
        <f t="shared" si="1296"/>
        <v>37.633600000000001</v>
      </c>
      <c r="S451" s="96">
        <v>1.44</v>
      </c>
      <c r="T451" s="96">
        <f t="shared" si="1297"/>
        <v>7.8767999999999994</v>
      </c>
      <c r="U451" s="96">
        <v>2.56</v>
      </c>
      <c r="V451" s="176">
        <f t="shared" si="1298"/>
        <v>14.003200000000001</v>
      </c>
      <c r="W451" s="206">
        <v>2.88</v>
      </c>
      <c r="X451" s="205">
        <f t="shared" si="1299"/>
        <v>15.753599999999999</v>
      </c>
      <c r="Y451" s="188">
        <f t="shared" si="1300"/>
        <v>6.88</v>
      </c>
      <c r="Z451" s="176">
        <f t="shared" si="1301"/>
        <v>37.633600000000001</v>
      </c>
      <c r="AA451" s="206"/>
      <c r="AB451" s="205">
        <f t="shared" si="1302"/>
        <v>0</v>
      </c>
      <c r="AC451" s="206"/>
      <c r="AD451" s="176">
        <f t="shared" si="1303"/>
        <v>0</v>
      </c>
      <c r="AE451" s="206"/>
      <c r="AF451" s="205">
        <f t="shared" si="1304"/>
        <v>0</v>
      </c>
      <c r="AG451" s="188">
        <f t="shared" si="1305"/>
        <v>0</v>
      </c>
      <c r="AH451" s="96">
        <f t="shared" si="1306"/>
        <v>0</v>
      </c>
      <c r="AI451" s="96">
        <f t="shared" si="1307"/>
        <v>6.88</v>
      </c>
      <c r="AJ451" s="176">
        <f t="shared" si="1308"/>
        <v>37.633600000000001</v>
      </c>
      <c r="AK451" s="206"/>
      <c r="AL451" s="176">
        <f t="shared" si="1309"/>
        <v>0</v>
      </c>
      <c r="AM451" s="243"/>
      <c r="AN451" s="176">
        <f t="shared" si="1310"/>
        <v>0</v>
      </c>
      <c r="AO451" s="206"/>
      <c r="AP451" s="205">
        <f t="shared" si="1311"/>
        <v>0</v>
      </c>
      <c r="AQ451" s="188">
        <f t="shared" si="1312"/>
        <v>0</v>
      </c>
      <c r="AR451" s="96">
        <f t="shared" si="1313"/>
        <v>0</v>
      </c>
      <c r="AS451" s="96"/>
      <c r="AT451" s="176">
        <f t="shared" si="1314"/>
        <v>0</v>
      </c>
      <c r="AU451" s="206"/>
      <c r="AV451" s="176">
        <f t="shared" si="1315"/>
        <v>0</v>
      </c>
      <c r="AW451" s="206"/>
      <c r="AX451" s="205">
        <f t="shared" si="1316"/>
        <v>0</v>
      </c>
      <c r="AY451" s="188">
        <f t="shared" si="1317"/>
        <v>0</v>
      </c>
      <c r="AZ451" s="96">
        <f t="shared" si="1318"/>
        <v>0</v>
      </c>
      <c r="BA451" s="96">
        <f t="shared" si="1319"/>
        <v>0</v>
      </c>
      <c r="BB451" s="96">
        <f t="shared" si="1320"/>
        <v>0</v>
      </c>
    </row>
    <row r="452" spans="1:54">
      <c r="A452" s="492">
        <v>253</v>
      </c>
      <c r="B452" s="13"/>
      <c r="C452" s="13"/>
      <c r="D452" s="13" t="s">
        <v>159</v>
      </c>
      <c r="E452" s="16" t="s">
        <v>453</v>
      </c>
      <c r="F452" s="44" t="s">
        <v>456</v>
      </c>
      <c r="G452" s="17" t="s">
        <v>1059</v>
      </c>
      <c r="H452" s="265" t="s">
        <v>358</v>
      </c>
      <c r="I452" s="142"/>
      <c r="J452" s="162">
        <v>4783</v>
      </c>
      <c r="K452" s="54"/>
      <c r="L452" s="162">
        <v>4783</v>
      </c>
      <c r="M452" s="54"/>
      <c r="N452" s="162"/>
      <c r="O452" s="142"/>
      <c r="P452" s="162"/>
      <c r="Q452" s="96">
        <f t="shared" si="1295"/>
        <v>0</v>
      </c>
      <c r="R452" s="337">
        <f t="shared" si="1296"/>
        <v>0</v>
      </c>
      <c r="S452" s="96"/>
      <c r="T452" s="96">
        <f t="shared" si="1297"/>
        <v>0</v>
      </c>
      <c r="U452" s="96"/>
      <c r="V452" s="176">
        <f t="shared" si="1298"/>
        <v>0</v>
      </c>
      <c r="W452" s="206"/>
      <c r="X452" s="205">
        <f t="shared" si="1299"/>
        <v>0</v>
      </c>
      <c r="Y452" s="188">
        <f t="shared" si="1300"/>
        <v>0</v>
      </c>
      <c r="Z452" s="176">
        <f t="shared" si="1301"/>
        <v>0</v>
      </c>
      <c r="AA452" s="206"/>
      <c r="AB452" s="205">
        <f t="shared" si="1302"/>
        <v>0</v>
      </c>
      <c r="AC452" s="206"/>
      <c r="AD452" s="176">
        <f t="shared" si="1303"/>
        <v>0</v>
      </c>
      <c r="AE452" s="206"/>
      <c r="AF452" s="205">
        <f t="shared" si="1304"/>
        <v>0</v>
      </c>
      <c r="AG452" s="188">
        <f t="shared" si="1305"/>
        <v>0</v>
      </c>
      <c r="AH452" s="96">
        <f t="shared" si="1306"/>
        <v>0</v>
      </c>
      <c r="AI452" s="96">
        <f t="shared" si="1307"/>
        <v>0</v>
      </c>
      <c r="AJ452" s="176">
        <f t="shared" si="1308"/>
        <v>0</v>
      </c>
      <c r="AK452" s="206"/>
      <c r="AL452" s="176">
        <f t="shared" si="1309"/>
        <v>0</v>
      </c>
      <c r="AM452" s="243"/>
      <c r="AN452" s="176">
        <f t="shared" si="1310"/>
        <v>0</v>
      </c>
      <c r="AO452" s="206"/>
      <c r="AP452" s="205">
        <f t="shared" si="1311"/>
        <v>0</v>
      </c>
      <c r="AQ452" s="188">
        <f t="shared" si="1312"/>
        <v>0</v>
      </c>
      <c r="AR452" s="96">
        <f t="shared" si="1313"/>
        <v>0</v>
      </c>
      <c r="AS452" s="96"/>
      <c r="AT452" s="176">
        <f t="shared" si="1314"/>
        <v>0</v>
      </c>
      <c r="AU452" s="206"/>
      <c r="AV452" s="176">
        <f t="shared" si="1315"/>
        <v>0</v>
      </c>
      <c r="AW452" s="206"/>
      <c r="AX452" s="205">
        <f t="shared" si="1316"/>
        <v>0</v>
      </c>
      <c r="AY452" s="188">
        <f t="shared" si="1317"/>
        <v>0</v>
      </c>
      <c r="AZ452" s="96">
        <f t="shared" si="1318"/>
        <v>0</v>
      </c>
      <c r="BA452" s="96">
        <f t="shared" si="1319"/>
        <v>0</v>
      </c>
      <c r="BB452" s="96">
        <f t="shared" si="1320"/>
        <v>0</v>
      </c>
    </row>
    <row r="453" spans="1:54">
      <c r="A453" s="492">
        <v>254</v>
      </c>
      <c r="B453" s="13"/>
      <c r="C453" s="13"/>
      <c r="D453" s="13" t="s">
        <v>159</v>
      </c>
      <c r="E453" s="16" t="s">
        <v>454</v>
      </c>
      <c r="F453" s="44" t="s">
        <v>458</v>
      </c>
      <c r="G453" s="17" t="s">
        <v>1059</v>
      </c>
      <c r="H453" s="265" t="s">
        <v>358</v>
      </c>
      <c r="I453" s="142"/>
      <c r="J453" s="162">
        <v>4445</v>
      </c>
      <c r="K453" s="54"/>
      <c r="L453" s="162">
        <v>4445</v>
      </c>
      <c r="M453" s="54"/>
      <c r="N453" s="162"/>
      <c r="O453" s="142"/>
      <c r="P453" s="162"/>
      <c r="Q453" s="96">
        <f t="shared" si="1295"/>
        <v>0</v>
      </c>
      <c r="R453" s="337">
        <f t="shared" si="1296"/>
        <v>0</v>
      </c>
      <c r="S453" s="96"/>
      <c r="T453" s="96">
        <f t="shared" si="1297"/>
        <v>0</v>
      </c>
      <c r="U453" s="96"/>
      <c r="V453" s="176">
        <f t="shared" si="1298"/>
        <v>0</v>
      </c>
      <c r="W453" s="206"/>
      <c r="X453" s="205">
        <f t="shared" si="1299"/>
        <v>0</v>
      </c>
      <c r="Y453" s="188">
        <f t="shared" si="1300"/>
        <v>0</v>
      </c>
      <c r="Z453" s="176">
        <f t="shared" si="1301"/>
        <v>0</v>
      </c>
      <c r="AA453" s="206"/>
      <c r="AB453" s="205">
        <f t="shared" si="1302"/>
        <v>0</v>
      </c>
      <c r="AC453" s="206"/>
      <c r="AD453" s="176">
        <f t="shared" si="1303"/>
        <v>0</v>
      </c>
      <c r="AE453" s="206"/>
      <c r="AF453" s="205">
        <f t="shared" si="1304"/>
        <v>0</v>
      </c>
      <c r="AG453" s="188">
        <f t="shared" si="1305"/>
        <v>0</v>
      </c>
      <c r="AH453" s="96">
        <f t="shared" si="1306"/>
        <v>0</v>
      </c>
      <c r="AI453" s="96">
        <f t="shared" si="1307"/>
        <v>0</v>
      </c>
      <c r="AJ453" s="176">
        <f t="shared" si="1308"/>
        <v>0</v>
      </c>
      <c r="AK453" s="206"/>
      <c r="AL453" s="176">
        <f t="shared" si="1309"/>
        <v>0</v>
      </c>
      <c r="AM453" s="243"/>
      <c r="AN453" s="176">
        <f t="shared" si="1310"/>
        <v>0</v>
      </c>
      <c r="AO453" s="206"/>
      <c r="AP453" s="205">
        <f t="shared" si="1311"/>
        <v>0</v>
      </c>
      <c r="AQ453" s="188">
        <f t="shared" si="1312"/>
        <v>0</v>
      </c>
      <c r="AR453" s="96">
        <f t="shared" si="1313"/>
        <v>0</v>
      </c>
      <c r="AS453" s="96"/>
      <c r="AT453" s="176">
        <f t="shared" si="1314"/>
        <v>0</v>
      </c>
      <c r="AU453" s="206"/>
      <c r="AV453" s="176">
        <f t="shared" si="1315"/>
        <v>0</v>
      </c>
      <c r="AW453" s="206"/>
      <c r="AX453" s="205">
        <f t="shared" si="1316"/>
        <v>0</v>
      </c>
      <c r="AY453" s="188">
        <f t="shared" si="1317"/>
        <v>0</v>
      </c>
      <c r="AZ453" s="96">
        <f t="shared" si="1318"/>
        <v>0</v>
      </c>
      <c r="BA453" s="96">
        <f t="shared" si="1319"/>
        <v>0</v>
      </c>
      <c r="BB453" s="96">
        <f t="shared" si="1320"/>
        <v>0</v>
      </c>
    </row>
    <row r="454" spans="1:54">
      <c r="A454" s="492">
        <v>255</v>
      </c>
      <c r="B454" s="13"/>
      <c r="C454" s="13"/>
      <c r="D454" s="13" t="s">
        <v>159</v>
      </c>
      <c r="E454" s="16" t="s">
        <v>455</v>
      </c>
      <c r="F454" s="44" t="s">
        <v>457</v>
      </c>
      <c r="G454" s="17" t="s">
        <v>1059</v>
      </c>
      <c r="H454" s="265" t="s">
        <v>358</v>
      </c>
      <c r="I454" s="142"/>
      <c r="J454" s="162">
        <v>4727</v>
      </c>
      <c r="K454" s="54"/>
      <c r="L454" s="162">
        <v>4727</v>
      </c>
      <c r="M454" s="54"/>
      <c r="N454" s="162"/>
      <c r="O454" s="142"/>
      <c r="P454" s="162"/>
      <c r="Q454" s="96">
        <f t="shared" si="1295"/>
        <v>0</v>
      </c>
      <c r="R454" s="337">
        <f t="shared" si="1296"/>
        <v>0</v>
      </c>
      <c r="S454" s="96"/>
      <c r="T454" s="96">
        <f t="shared" si="1297"/>
        <v>0</v>
      </c>
      <c r="U454" s="96"/>
      <c r="V454" s="176">
        <f t="shared" si="1298"/>
        <v>0</v>
      </c>
      <c r="W454" s="206"/>
      <c r="X454" s="205">
        <f t="shared" si="1299"/>
        <v>0</v>
      </c>
      <c r="Y454" s="188">
        <f t="shared" si="1300"/>
        <v>0</v>
      </c>
      <c r="Z454" s="176">
        <f t="shared" si="1301"/>
        <v>0</v>
      </c>
      <c r="AA454" s="206"/>
      <c r="AB454" s="205">
        <f t="shared" si="1302"/>
        <v>0</v>
      </c>
      <c r="AC454" s="206"/>
      <c r="AD454" s="176">
        <f t="shared" si="1303"/>
        <v>0</v>
      </c>
      <c r="AE454" s="206"/>
      <c r="AF454" s="205">
        <f t="shared" si="1304"/>
        <v>0</v>
      </c>
      <c r="AG454" s="188">
        <f t="shared" si="1305"/>
        <v>0</v>
      </c>
      <c r="AH454" s="96">
        <f t="shared" si="1306"/>
        <v>0</v>
      </c>
      <c r="AI454" s="96">
        <f t="shared" si="1307"/>
        <v>0</v>
      </c>
      <c r="AJ454" s="176">
        <f t="shared" si="1308"/>
        <v>0</v>
      </c>
      <c r="AK454" s="206"/>
      <c r="AL454" s="176">
        <f t="shared" si="1309"/>
        <v>0</v>
      </c>
      <c r="AM454" s="243"/>
      <c r="AN454" s="176">
        <f t="shared" si="1310"/>
        <v>0</v>
      </c>
      <c r="AO454" s="206"/>
      <c r="AP454" s="205">
        <f t="shared" si="1311"/>
        <v>0</v>
      </c>
      <c r="AQ454" s="188">
        <f t="shared" si="1312"/>
        <v>0</v>
      </c>
      <c r="AR454" s="96">
        <f t="shared" si="1313"/>
        <v>0</v>
      </c>
      <c r="AS454" s="96"/>
      <c r="AT454" s="176">
        <f t="shared" si="1314"/>
        <v>0</v>
      </c>
      <c r="AU454" s="206"/>
      <c r="AV454" s="176">
        <f t="shared" si="1315"/>
        <v>0</v>
      </c>
      <c r="AW454" s="206"/>
      <c r="AX454" s="205">
        <f t="shared" si="1316"/>
        <v>0</v>
      </c>
      <c r="AY454" s="188">
        <f t="shared" si="1317"/>
        <v>0</v>
      </c>
      <c r="AZ454" s="96">
        <f t="shared" si="1318"/>
        <v>0</v>
      </c>
      <c r="BA454" s="96">
        <f t="shared" si="1319"/>
        <v>0</v>
      </c>
      <c r="BB454" s="96">
        <f t="shared" si="1320"/>
        <v>0</v>
      </c>
    </row>
    <row r="455" spans="1:54">
      <c r="A455" s="492">
        <v>256</v>
      </c>
      <c r="B455" s="13"/>
      <c r="C455" s="13"/>
      <c r="D455" s="13" t="s">
        <v>159</v>
      </c>
      <c r="E455" s="16" t="s">
        <v>636</v>
      </c>
      <c r="F455" s="44" t="s">
        <v>637</v>
      </c>
      <c r="G455" s="17" t="s">
        <v>1059</v>
      </c>
      <c r="H455" s="265" t="s">
        <v>358</v>
      </c>
      <c r="I455" s="142"/>
      <c r="J455" s="162">
        <v>4883</v>
      </c>
      <c r="K455" s="54"/>
      <c r="L455" s="162">
        <v>4883</v>
      </c>
      <c r="M455" s="54"/>
      <c r="N455" s="162"/>
      <c r="O455" s="142"/>
      <c r="P455" s="162"/>
      <c r="Q455" s="96">
        <f t="shared" si="1295"/>
        <v>0</v>
      </c>
      <c r="R455" s="337">
        <f t="shared" si="1296"/>
        <v>0</v>
      </c>
      <c r="S455" s="96"/>
      <c r="T455" s="96">
        <f t="shared" si="1297"/>
        <v>0</v>
      </c>
      <c r="U455" s="96"/>
      <c r="V455" s="176">
        <f t="shared" si="1298"/>
        <v>0</v>
      </c>
      <c r="W455" s="206"/>
      <c r="X455" s="205">
        <f t="shared" si="1299"/>
        <v>0</v>
      </c>
      <c r="Y455" s="188">
        <f t="shared" si="1300"/>
        <v>0</v>
      </c>
      <c r="Z455" s="176">
        <f t="shared" si="1301"/>
        <v>0</v>
      </c>
      <c r="AA455" s="206"/>
      <c r="AB455" s="205">
        <f t="shared" si="1302"/>
        <v>0</v>
      </c>
      <c r="AC455" s="206"/>
      <c r="AD455" s="176">
        <f t="shared" si="1303"/>
        <v>0</v>
      </c>
      <c r="AE455" s="206"/>
      <c r="AF455" s="205">
        <f t="shared" si="1304"/>
        <v>0</v>
      </c>
      <c r="AG455" s="188">
        <f t="shared" si="1305"/>
        <v>0</v>
      </c>
      <c r="AH455" s="96">
        <f t="shared" si="1306"/>
        <v>0</v>
      </c>
      <c r="AI455" s="96">
        <f t="shared" si="1307"/>
        <v>0</v>
      </c>
      <c r="AJ455" s="176">
        <f t="shared" si="1308"/>
        <v>0</v>
      </c>
      <c r="AK455" s="206"/>
      <c r="AL455" s="176">
        <f t="shared" si="1309"/>
        <v>0</v>
      </c>
      <c r="AM455" s="243"/>
      <c r="AN455" s="176">
        <f t="shared" si="1310"/>
        <v>0</v>
      </c>
      <c r="AO455" s="206"/>
      <c r="AP455" s="205">
        <f t="shared" si="1311"/>
        <v>0</v>
      </c>
      <c r="AQ455" s="188">
        <f t="shared" si="1312"/>
        <v>0</v>
      </c>
      <c r="AR455" s="96">
        <f t="shared" si="1313"/>
        <v>0</v>
      </c>
      <c r="AS455" s="96"/>
      <c r="AT455" s="176">
        <f t="shared" si="1314"/>
        <v>0</v>
      </c>
      <c r="AU455" s="206"/>
      <c r="AV455" s="176">
        <f t="shared" si="1315"/>
        <v>0</v>
      </c>
      <c r="AW455" s="206"/>
      <c r="AX455" s="205">
        <f t="shared" si="1316"/>
        <v>0</v>
      </c>
      <c r="AY455" s="188">
        <f t="shared" si="1317"/>
        <v>0</v>
      </c>
      <c r="AZ455" s="96">
        <f t="shared" si="1318"/>
        <v>0</v>
      </c>
      <c r="BA455" s="96">
        <f t="shared" si="1319"/>
        <v>0</v>
      </c>
      <c r="BB455" s="96">
        <f t="shared" si="1320"/>
        <v>0</v>
      </c>
    </row>
    <row r="456" spans="1:54">
      <c r="A456" s="492">
        <v>257</v>
      </c>
      <c r="B456" s="13"/>
      <c r="C456" s="13"/>
      <c r="D456" s="13" t="s">
        <v>159</v>
      </c>
      <c r="E456" s="16" t="s">
        <v>587</v>
      </c>
      <c r="F456" s="44" t="s">
        <v>588</v>
      </c>
      <c r="G456" s="17" t="s">
        <v>1059</v>
      </c>
      <c r="H456" s="265" t="s">
        <v>358</v>
      </c>
      <c r="I456" s="142"/>
      <c r="J456" s="162">
        <v>5150</v>
      </c>
      <c r="K456" s="54"/>
      <c r="L456" s="162">
        <v>5150</v>
      </c>
      <c r="M456" s="54"/>
      <c r="N456" s="162"/>
      <c r="O456" s="142"/>
      <c r="P456" s="162"/>
      <c r="Q456" s="96">
        <f t="shared" si="1295"/>
        <v>0</v>
      </c>
      <c r="R456" s="337">
        <f t="shared" si="1296"/>
        <v>0</v>
      </c>
      <c r="S456" s="96"/>
      <c r="T456" s="96">
        <f t="shared" si="1297"/>
        <v>0</v>
      </c>
      <c r="U456" s="96"/>
      <c r="V456" s="176">
        <f t="shared" si="1298"/>
        <v>0</v>
      </c>
      <c r="W456" s="206"/>
      <c r="X456" s="205">
        <f t="shared" si="1299"/>
        <v>0</v>
      </c>
      <c r="Y456" s="188">
        <f t="shared" si="1300"/>
        <v>0</v>
      </c>
      <c r="Z456" s="176">
        <f t="shared" si="1301"/>
        <v>0</v>
      </c>
      <c r="AA456" s="206"/>
      <c r="AB456" s="205">
        <f t="shared" si="1302"/>
        <v>0</v>
      </c>
      <c r="AC456" s="206"/>
      <c r="AD456" s="176">
        <f t="shared" si="1303"/>
        <v>0</v>
      </c>
      <c r="AE456" s="206"/>
      <c r="AF456" s="205">
        <f t="shared" si="1304"/>
        <v>0</v>
      </c>
      <c r="AG456" s="188">
        <f t="shared" si="1305"/>
        <v>0</v>
      </c>
      <c r="AH456" s="96">
        <f t="shared" si="1306"/>
        <v>0</v>
      </c>
      <c r="AI456" s="96">
        <f t="shared" si="1307"/>
        <v>0</v>
      </c>
      <c r="AJ456" s="176">
        <f t="shared" si="1308"/>
        <v>0</v>
      </c>
      <c r="AK456" s="206"/>
      <c r="AL456" s="176">
        <f t="shared" si="1309"/>
        <v>0</v>
      </c>
      <c r="AM456" s="243"/>
      <c r="AN456" s="176">
        <f t="shared" si="1310"/>
        <v>0</v>
      </c>
      <c r="AO456" s="206"/>
      <c r="AP456" s="205">
        <f t="shared" si="1311"/>
        <v>0</v>
      </c>
      <c r="AQ456" s="188">
        <f t="shared" si="1312"/>
        <v>0</v>
      </c>
      <c r="AR456" s="96">
        <f t="shared" si="1313"/>
        <v>0</v>
      </c>
      <c r="AS456" s="96"/>
      <c r="AT456" s="176">
        <f t="shared" si="1314"/>
        <v>0</v>
      </c>
      <c r="AU456" s="206"/>
      <c r="AV456" s="176">
        <f t="shared" si="1315"/>
        <v>0</v>
      </c>
      <c r="AW456" s="206"/>
      <c r="AX456" s="205">
        <f t="shared" si="1316"/>
        <v>0</v>
      </c>
      <c r="AY456" s="188">
        <f t="shared" si="1317"/>
        <v>0</v>
      </c>
      <c r="AZ456" s="96">
        <f t="shared" si="1318"/>
        <v>0</v>
      </c>
      <c r="BA456" s="96">
        <f t="shared" si="1319"/>
        <v>0</v>
      </c>
      <c r="BB456" s="96">
        <f t="shared" si="1320"/>
        <v>0</v>
      </c>
    </row>
    <row r="457" spans="1:54">
      <c r="A457" s="492">
        <v>258</v>
      </c>
      <c r="B457" s="13"/>
      <c r="C457" s="13"/>
      <c r="D457" s="13" t="s">
        <v>159</v>
      </c>
      <c r="E457" s="16" t="s">
        <v>639</v>
      </c>
      <c r="F457" s="44" t="s">
        <v>638</v>
      </c>
      <c r="G457" s="17" t="s">
        <v>1059</v>
      </c>
      <c r="H457" s="265" t="s">
        <v>358</v>
      </c>
      <c r="I457" s="142"/>
      <c r="J457" s="162">
        <v>9879</v>
      </c>
      <c r="K457" s="54"/>
      <c r="L457" s="162">
        <v>9879</v>
      </c>
      <c r="M457" s="54"/>
      <c r="N457" s="162"/>
      <c r="O457" s="142"/>
      <c r="P457" s="162"/>
      <c r="Q457" s="96">
        <f t="shared" si="1295"/>
        <v>9.1199999999999992</v>
      </c>
      <c r="R457" s="337">
        <f t="shared" si="1296"/>
        <v>90.096480000000014</v>
      </c>
      <c r="S457" s="96">
        <v>2.88</v>
      </c>
      <c r="T457" s="96">
        <f t="shared" si="1297"/>
        <v>28.451520000000002</v>
      </c>
      <c r="U457" s="96">
        <v>2.88</v>
      </c>
      <c r="V457" s="176">
        <f t="shared" si="1298"/>
        <v>28.451520000000002</v>
      </c>
      <c r="W457" s="206">
        <v>3.36</v>
      </c>
      <c r="X457" s="205">
        <f t="shared" si="1299"/>
        <v>33.193440000000002</v>
      </c>
      <c r="Y457" s="188">
        <f t="shared" si="1300"/>
        <v>9.1199999999999992</v>
      </c>
      <c r="Z457" s="176">
        <f t="shared" si="1301"/>
        <v>90.096480000000014</v>
      </c>
      <c r="AA457" s="206"/>
      <c r="AB457" s="205">
        <f t="shared" si="1302"/>
        <v>0</v>
      </c>
      <c r="AC457" s="206"/>
      <c r="AD457" s="176">
        <f t="shared" si="1303"/>
        <v>0</v>
      </c>
      <c r="AE457" s="206"/>
      <c r="AF457" s="205">
        <f t="shared" si="1304"/>
        <v>0</v>
      </c>
      <c r="AG457" s="188">
        <f t="shared" si="1305"/>
        <v>0</v>
      </c>
      <c r="AH457" s="96">
        <f t="shared" si="1306"/>
        <v>0</v>
      </c>
      <c r="AI457" s="96">
        <f t="shared" si="1307"/>
        <v>9.1199999999999992</v>
      </c>
      <c r="AJ457" s="176">
        <f t="shared" si="1308"/>
        <v>90.096480000000014</v>
      </c>
      <c r="AK457" s="206"/>
      <c r="AL457" s="176">
        <f t="shared" si="1309"/>
        <v>0</v>
      </c>
      <c r="AM457" s="243"/>
      <c r="AN457" s="176">
        <f t="shared" si="1310"/>
        <v>0</v>
      </c>
      <c r="AO457" s="206"/>
      <c r="AP457" s="205">
        <f t="shared" si="1311"/>
        <v>0</v>
      </c>
      <c r="AQ457" s="188">
        <f t="shared" si="1312"/>
        <v>0</v>
      </c>
      <c r="AR457" s="96">
        <f t="shared" si="1313"/>
        <v>0</v>
      </c>
      <c r="AS457" s="96"/>
      <c r="AT457" s="176">
        <f t="shared" si="1314"/>
        <v>0</v>
      </c>
      <c r="AU457" s="206"/>
      <c r="AV457" s="176">
        <f t="shared" si="1315"/>
        <v>0</v>
      </c>
      <c r="AW457" s="206"/>
      <c r="AX457" s="205">
        <f t="shared" si="1316"/>
        <v>0</v>
      </c>
      <c r="AY457" s="188">
        <f t="shared" si="1317"/>
        <v>0</v>
      </c>
      <c r="AZ457" s="96">
        <f t="shared" si="1318"/>
        <v>0</v>
      </c>
      <c r="BA457" s="96">
        <f t="shared" si="1319"/>
        <v>0</v>
      </c>
      <c r="BB457" s="96">
        <f t="shared" si="1320"/>
        <v>0</v>
      </c>
    </row>
    <row r="458" spans="1:54">
      <c r="A458" s="492">
        <v>259</v>
      </c>
      <c r="B458" s="13"/>
      <c r="C458" s="13"/>
      <c r="D458" s="13" t="s">
        <v>159</v>
      </c>
      <c r="E458" s="16" t="s">
        <v>822</v>
      </c>
      <c r="F458" s="44" t="s">
        <v>823</v>
      </c>
      <c r="G458" s="17" t="s">
        <v>1059</v>
      </c>
      <c r="H458" s="265" t="s">
        <v>358</v>
      </c>
      <c r="I458" s="142"/>
      <c r="J458" s="162">
        <v>9960</v>
      </c>
      <c r="K458" s="54"/>
      <c r="L458" s="162">
        <v>9960</v>
      </c>
      <c r="M458" s="54"/>
      <c r="N458" s="162"/>
      <c r="O458" s="142"/>
      <c r="P458" s="162"/>
      <c r="Q458" s="96">
        <f t="shared" si="1295"/>
        <v>0.41400000000000003</v>
      </c>
      <c r="R458" s="337">
        <f t="shared" si="1296"/>
        <v>4.1234399999999996</v>
      </c>
      <c r="S458" s="96">
        <v>0.192</v>
      </c>
      <c r="T458" s="96">
        <f t="shared" si="1297"/>
        <v>1.91232</v>
      </c>
      <c r="U458" s="96"/>
      <c r="V458" s="176">
        <f t="shared" si="1298"/>
        <v>0</v>
      </c>
      <c r="W458" s="206">
        <v>0.222</v>
      </c>
      <c r="X458" s="205">
        <f t="shared" si="1299"/>
        <v>2.2111199999999998</v>
      </c>
      <c r="Y458" s="188">
        <f t="shared" si="1300"/>
        <v>0.41400000000000003</v>
      </c>
      <c r="Z458" s="176">
        <f t="shared" si="1301"/>
        <v>4.1234399999999996</v>
      </c>
      <c r="AA458" s="206"/>
      <c r="AB458" s="205">
        <f t="shared" si="1302"/>
        <v>0</v>
      </c>
      <c r="AC458" s="206"/>
      <c r="AD458" s="176">
        <f t="shared" si="1303"/>
        <v>0</v>
      </c>
      <c r="AE458" s="206"/>
      <c r="AF458" s="205">
        <f t="shared" si="1304"/>
        <v>0</v>
      </c>
      <c r="AG458" s="188">
        <f t="shared" si="1305"/>
        <v>0</v>
      </c>
      <c r="AH458" s="96">
        <f t="shared" si="1306"/>
        <v>0</v>
      </c>
      <c r="AI458" s="96">
        <f t="shared" si="1307"/>
        <v>0.41400000000000003</v>
      </c>
      <c r="AJ458" s="176">
        <f t="shared" si="1308"/>
        <v>4.1234399999999996</v>
      </c>
      <c r="AK458" s="206"/>
      <c r="AL458" s="176">
        <f t="shared" si="1309"/>
        <v>0</v>
      </c>
      <c r="AM458" s="243"/>
      <c r="AN458" s="176">
        <f t="shared" si="1310"/>
        <v>0</v>
      </c>
      <c r="AO458" s="206"/>
      <c r="AP458" s="205">
        <f t="shared" si="1311"/>
        <v>0</v>
      </c>
      <c r="AQ458" s="188">
        <f t="shared" si="1312"/>
        <v>0</v>
      </c>
      <c r="AR458" s="96">
        <f t="shared" si="1313"/>
        <v>0</v>
      </c>
      <c r="AS458" s="96"/>
      <c r="AT458" s="176">
        <f t="shared" si="1314"/>
        <v>0</v>
      </c>
      <c r="AU458" s="206"/>
      <c r="AV458" s="176">
        <f t="shared" si="1315"/>
        <v>0</v>
      </c>
      <c r="AW458" s="206"/>
      <c r="AX458" s="205">
        <f t="shared" si="1316"/>
        <v>0</v>
      </c>
      <c r="AY458" s="188">
        <f t="shared" si="1317"/>
        <v>0</v>
      </c>
      <c r="AZ458" s="96">
        <f t="shared" si="1318"/>
        <v>0</v>
      </c>
      <c r="BA458" s="96">
        <f t="shared" si="1319"/>
        <v>0</v>
      </c>
      <c r="BB458" s="96">
        <f t="shared" si="1320"/>
        <v>0</v>
      </c>
    </row>
    <row r="459" spans="1:54">
      <c r="A459" s="492">
        <v>260</v>
      </c>
      <c r="B459" s="13"/>
      <c r="C459" s="13"/>
      <c r="D459" s="13" t="s">
        <v>159</v>
      </c>
      <c r="E459" s="16" t="s">
        <v>808</v>
      </c>
      <c r="F459" s="44" t="s">
        <v>809</v>
      </c>
      <c r="G459" s="17" t="s">
        <v>1059</v>
      </c>
      <c r="H459" s="265" t="s">
        <v>358</v>
      </c>
      <c r="I459" s="142"/>
      <c r="J459" s="162">
        <v>5130</v>
      </c>
      <c r="K459" s="54"/>
      <c r="L459" s="162">
        <v>5130</v>
      </c>
      <c r="M459" s="54"/>
      <c r="N459" s="162"/>
      <c r="O459" s="142"/>
      <c r="P459" s="162"/>
      <c r="Q459" s="96">
        <f t="shared" si="1295"/>
        <v>7.2</v>
      </c>
      <c r="R459" s="337">
        <f t="shared" si="1296"/>
        <v>36.936</v>
      </c>
      <c r="S459" s="96">
        <v>1.44</v>
      </c>
      <c r="T459" s="96">
        <f t="shared" si="1297"/>
        <v>7.3872</v>
      </c>
      <c r="U459" s="96">
        <v>2.88</v>
      </c>
      <c r="V459" s="176">
        <f t="shared" si="1298"/>
        <v>14.7744</v>
      </c>
      <c r="W459" s="206"/>
      <c r="X459" s="205">
        <f t="shared" si="1299"/>
        <v>0</v>
      </c>
      <c r="Y459" s="188">
        <f t="shared" si="1300"/>
        <v>4.32</v>
      </c>
      <c r="Z459" s="176">
        <f t="shared" si="1301"/>
        <v>22.1616</v>
      </c>
      <c r="AA459" s="206">
        <v>2.88</v>
      </c>
      <c r="AB459" s="205">
        <f t="shared" si="1302"/>
        <v>14.7744</v>
      </c>
      <c r="AC459" s="206"/>
      <c r="AD459" s="176">
        <f t="shared" si="1303"/>
        <v>0</v>
      </c>
      <c r="AE459" s="206"/>
      <c r="AF459" s="208">
        <f t="shared" si="1304"/>
        <v>0</v>
      </c>
      <c r="AG459" s="188">
        <f t="shared" si="1305"/>
        <v>2.88</v>
      </c>
      <c r="AH459" s="96">
        <f t="shared" si="1306"/>
        <v>14.7744</v>
      </c>
      <c r="AI459" s="96">
        <f t="shared" si="1307"/>
        <v>7.2</v>
      </c>
      <c r="AJ459" s="176">
        <f t="shared" si="1308"/>
        <v>36.936</v>
      </c>
      <c r="AK459" s="206"/>
      <c r="AL459" s="176">
        <f t="shared" si="1309"/>
        <v>0</v>
      </c>
      <c r="AM459" s="243"/>
      <c r="AN459" s="176">
        <f t="shared" si="1310"/>
        <v>0</v>
      </c>
      <c r="AO459" s="206"/>
      <c r="AP459" s="205">
        <f t="shared" si="1311"/>
        <v>0</v>
      </c>
      <c r="AQ459" s="188">
        <f t="shared" si="1312"/>
        <v>0</v>
      </c>
      <c r="AR459" s="96">
        <f t="shared" si="1313"/>
        <v>0</v>
      </c>
      <c r="AS459" s="96"/>
      <c r="AT459" s="176">
        <f t="shared" si="1314"/>
        <v>0</v>
      </c>
      <c r="AU459" s="206"/>
      <c r="AV459" s="176">
        <f t="shared" si="1315"/>
        <v>0</v>
      </c>
      <c r="AW459" s="206"/>
      <c r="AX459" s="205">
        <f t="shared" si="1316"/>
        <v>0</v>
      </c>
      <c r="AY459" s="188">
        <f t="shared" si="1317"/>
        <v>0</v>
      </c>
      <c r="AZ459" s="96">
        <f t="shared" si="1318"/>
        <v>0</v>
      </c>
      <c r="BA459" s="96">
        <f t="shared" si="1319"/>
        <v>0</v>
      </c>
      <c r="BB459" s="96">
        <f t="shared" si="1320"/>
        <v>0</v>
      </c>
    </row>
    <row r="460" spans="1:54">
      <c r="A460" s="492">
        <v>261</v>
      </c>
      <c r="B460" s="13"/>
      <c r="C460" s="13"/>
      <c r="D460" s="13" t="s">
        <v>159</v>
      </c>
      <c r="E460" s="16" t="s">
        <v>978</v>
      </c>
      <c r="F460" s="44" t="s">
        <v>979</v>
      </c>
      <c r="G460" s="17" t="s">
        <v>1059</v>
      </c>
      <c r="H460" s="265" t="s">
        <v>358</v>
      </c>
      <c r="I460" s="142"/>
      <c r="J460" s="162">
        <v>6117</v>
      </c>
      <c r="K460" s="54"/>
      <c r="L460" s="162">
        <v>6117</v>
      </c>
      <c r="M460" s="54"/>
      <c r="N460" s="162"/>
      <c r="O460" s="142"/>
      <c r="P460" s="162"/>
      <c r="Q460" s="96">
        <f t="shared" si="1295"/>
        <v>0</v>
      </c>
      <c r="R460" s="337">
        <f t="shared" si="1296"/>
        <v>0</v>
      </c>
      <c r="S460" s="96"/>
      <c r="T460" s="96">
        <f t="shared" si="1297"/>
        <v>0</v>
      </c>
      <c r="U460" s="96"/>
      <c r="V460" s="176">
        <f t="shared" si="1298"/>
        <v>0</v>
      </c>
      <c r="W460" s="206"/>
      <c r="X460" s="205">
        <f t="shared" si="1299"/>
        <v>0</v>
      </c>
      <c r="Y460" s="188">
        <f t="shared" si="1300"/>
        <v>0</v>
      </c>
      <c r="Z460" s="176">
        <f t="shared" si="1301"/>
        <v>0</v>
      </c>
      <c r="AA460" s="206"/>
      <c r="AB460" s="205">
        <f t="shared" si="1302"/>
        <v>0</v>
      </c>
      <c r="AC460" s="206"/>
      <c r="AD460" s="176">
        <f t="shared" si="1303"/>
        <v>0</v>
      </c>
      <c r="AE460" s="206"/>
      <c r="AF460" s="205">
        <f t="shared" si="1304"/>
        <v>0</v>
      </c>
      <c r="AG460" s="188">
        <f t="shared" si="1305"/>
        <v>0</v>
      </c>
      <c r="AH460" s="96">
        <f t="shared" si="1306"/>
        <v>0</v>
      </c>
      <c r="AI460" s="96">
        <f t="shared" si="1307"/>
        <v>0</v>
      </c>
      <c r="AJ460" s="176">
        <f t="shared" si="1308"/>
        <v>0</v>
      </c>
      <c r="AK460" s="206"/>
      <c r="AL460" s="176">
        <f t="shared" si="1309"/>
        <v>0</v>
      </c>
      <c r="AM460" s="243"/>
      <c r="AN460" s="176">
        <f t="shared" si="1310"/>
        <v>0</v>
      </c>
      <c r="AO460" s="206"/>
      <c r="AP460" s="205">
        <f t="shared" si="1311"/>
        <v>0</v>
      </c>
      <c r="AQ460" s="188">
        <f t="shared" si="1312"/>
        <v>0</v>
      </c>
      <c r="AR460" s="96">
        <f t="shared" si="1313"/>
        <v>0</v>
      </c>
      <c r="AS460" s="96"/>
      <c r="AT460" s="176">
        <f t="shared" si="1314"/>
        <v>0</v>
      </c>
      <c r="AU460" s="206"/>
      <c r="AV460" s="176">
        <f t="shared" si="1315"/>
        <v>0</v>
      </c>
      <c r="AW460" s="206"/>
      <c r="AX460" s="205">
        <f t="shared" si="1316"/>
        <v>0</v>
      </c>
      <c r="AY460" s="188">
        <f t="shared" si="1317"/>
        <v>0</v>
      </c>
      <c r="AZ460" s="96">
        <f t="shared" si="1318"/>
        <v>0</v>
      </c>
      <c r="BA460" s="96">
        <f t="shared" si="1319"/>
        <v>0</v>
      </c>
      <c r="BB460" s="96">
        <f t="shared" si="1320"/>
        <v>0</v>
      </c>
    </row>
    <row r="461" spans="1:54">
      <c r="A461" s="492">
        <v>262</v>
      </c>
      <c r="B461" s="13"/>
      <c r="C461" s="13"/>
      <c r="D461" s="13" t="s">
        <v>1250</v>
      </c>
      <c r="E461" s="16" t="s">
        <v>980</v>
      </c>
      <c r="F461" s="44" t="s">
        <v>981</v>
      </c>
      <c r="G461" s="17" t="s">
        <v>1057</v>
      </c>
      <c r="H461" s="265" t="s">
        <v>358</v>
      </c>
      <c r="I461" s="142"/>
      <c r="J461" s="162">
        <v>6990</v>
      </c>
      <c r="K461" s="54"/>
      <c r="L461" s="162">
        <v>6990</v>
      </c>
      <c r="M461" s="54"/>
      <c r="N461" s="162"/>
      <c r="O461" s="142"/>
      <c r="P461" s="162"/>
      <c r="Q461" s="96">
        <f t="shared" si="1295"/>
        <v>0</v>
      </c>
      <c r="R461" s="337">
        <f t="shared" si="1296"/>
        <v>0</v>
      </c>
      <c r="S461" s="96"/>
      <c r="T461" s="96">
        <f t="shared" si="1297"/>
        <v>0</v>
      </c>
      <c r="U461" s="96"/>
      <c r="V461" s="176">
        <f t="shared" si="1298"/>
        <v>0</v>
      </c>
      <c r="W461" s="206"/>
      <c r="X461" s="205">
        <f t="shared" si="1299"/>
        <v>0</v>
      </c>
      <c r="Y461" s="188">
        <f t="shared" si="1300"/>
        <v>0</v>
      </c>
      <c r="Z461" s="176">
        <f t="shared" si="1301"/>
        <v>0</v>
      </c>
      <c r="AA461" s="206"/>
      <c r="AB461" s="205">
        <f t="shared" si="1302"/>
        <v>0</v>
      </c>
      <c r="AC461" s="206"/>
      <c r="AD461" s="176">
        <f t="shared" si="1303"/>
        <v>0</v>
      </c>
      <c r="AE461" s="206"/>
      <c r="AF461" s="205">
        <f t="shared" si="1304"/>
        <v>0</v>
      </c>
      <c r="AG461" s="188">
        <f t="shared" si="1305"/>
        <v>0</v>
      </c>
      <c r="AH461" s="96">
        <f t="shared" si="1306"/>
        <v>0</v>
      </c>
      <c r="AI461" s="96">
        <f t="shared" si="1307"/>
        <v>0</v>
      </c>
      <c r="AJ461" s="176">
        <f t="shared" si="1308"/>
        <v>0</v>
      </c>
      <c r="AK461" s="206"/>
      <c r="AL461" s="176">
        <f t="shared" si="1309"/>
        <v>0</v>
      </c>
      <c r="AM461" s="243"/>
      <c r="AN461" s="176">
        <f t="shared" si="1310"/>
        <v>0</v>
      </c>
      <c r="AO461" s="206"/>
      <c r="AP461" s="205">
        <f t="shared" si="1311"/>
        <v>0</v>
      </c>
      <c r="AQ461" s="188">
        <f t="shared" si="1312"/>
        <v>0</v>
      </c>
      <c r="AR461" s="96">
        <f t="shared" si="1313"/>
        <v>0</v>
      </c>
      <c r="AS461" s="96"/>
      <c r="AT461" s="176">
        <f t="shared" si="1314"/>
        <v>0</v>
      </c>
      <c r="AU461" s="206"/>
      <c r="AV461" s="176">
        <f t="shared" si="1315"/>
        <v>0</v>
      </c>
      <c r="AW461" s="206"/>
      <c r="AX461" s="205">
        <f t="shared" si="1316"/>
        <v>0</v>
      </c>
      <c r="AY461" s="188">
        <f t="shared" si="1317"/>
        <v>0</v>
      </c>
      <c r="AZ461" s="96">
        <f t="shared" si="1318"/>
        <v>0</v>
      </c>
      <c r="BA461" s="96">
        <f t="shared" si="1319"/>
        <v>0</v>
      </c>
      <c r="BB461" s="96">
        <f t="shared" si="1320"/>
        <v>0</v>
      </c>
    </row>
    <row r="462" spans="1:54">
      <c r="A462" s="492">
        <v>263</v>
      </c>
      <c r="B462" s="13"/>
      <c r="C462" s="13"/>
      <c r="D462" s="13" t="s">
        <v>737</v>
      </c>
      <c r="E462" s="16" t="s">
        <v>982</v>
      </c>
      <c r="F462" s="44" t="s">
        <v>983</v>
      </c>
      <c r="G462" s="17" t="s">
        <v>1058</v>
      </c>
      <c r="H462" s="265" t="s">
        <v>358</v>
      </c>
      <c r="I462" s="142"/>
      <c r="J462" s="162">
        <v>6970</v>
      </c>
      <c r="K462" s="54"/>
      <c r="L462" s="162">
        <v>6970</v>
      </c>
      <c r="M462" s="54"/>
      <c r="N462" s="162"/>
      <c r="O462" s="142"/>
      <c r="P462" s="162"/>
      <c r="Q462" s="96">
        <f t="shared" si="1295"/>
        <v>0</v>
      </c>
      <c r="R462" s="337">
        <f t="shared" si="1296"/>
        <v>0</v>
      </c>
      <c r="S462" s="96"/>
      <c r="T462" s="96">
        <f t="shared" si="1297"/>
        <v>0</v>
      </c>
      <c r="U462" s="96"/>
      <c r="V462" s="176">
        <f t="shared" si="1298"/>
        <v>0</v>
      </c>
      <c r="W462" s="206"/>
      <c r="X462" s="205">
        <f t="shared" si="1299"/>
        <v>0</v>
      </c>
      <c r="Y462" s="188">
        <f t="shared" si="1300"/>
        <v>0</v>
      </c>
      <c r="Z462" s="176">
        <f t="shared" si="1301"/>
        <v>0</v>
      </c>
      <c r="AA462" s="206"/>
      <c r="AB462" s="205">
        <f t="shared" si="1302"/>
        <v>0</v>
      </c>
      <c r="AC462" s="206"/>
      <c r="AD462" s="176">
        <f t="shared" si="1303"/>
        <v>0</v>
      </c>
      <c r="AE462" s="206"/>
      <c r="AF462" s="205">
        <f t="shared" si="1304"/>
        <v>0</v>
      </c>
      <c r="AG462" s="188">
        <f t="shared" si="1305"/>
        <v>0</v>
      </c>
      <c r="AH462" s="96">
        <f t="shared" si="1306"/>
        <v>0</v>
      </c>
      <c r="AI462" s="96">
        <f t="shared" si="1307"/>
        <v>0</v>
      </c>
      <c r="AJ462" s="176">
        <f t="shared" si="1308"/>
        <v>0</v>
      </c>
      <c r="AK462" s="206"/>
      <c r="AL462" s="176">
        <f t="shared" si="1309"/>
        <v>0</v>
      </c>
      <c r="AM462" s="243"/>
      <c r="AN462" s="176">
        <f t="shared" si="1310"/>
        <v>0</v>
      </c>
      <c r="AO462" s="206"/>
      <c r="AP462" s="205">
        <f t="shared" si="1311"/>
        <v>0</v>
      </c>
      <c r="AQ462" s="188">
        <f t="shared" si="1312"/>
        <v>0</v>
      </c>
      <c r="AR462" s="96">
        <f t="shared" si="1313"/>
        <v>0</v>
      </c>
      <c r="AS462" s="96"/>
      <c r="AT462" s="176">
        <f t="shared" si="1314"/>
        <v>0</v>
      </c>
      <c r="AU462" s="206"/>
      <c r="AV462" s="176">
        <f t="shared" si="1315"/>
        <v>0</v>
      </c>
      <c r="AW462" s="206"/>
      <c r="AX462" s="205">
        <f t="shared" si="1316"/>
        <v>0</v>
      </c>
      <c r="AY462" s="188">
        <f t="shared" si="1317"/>
        <v>0</v>
      </c>
      <c r="AZ462" s="96">
        <f t="shared" si="1318"/>
        <v>0</v>
      </c>
      <c r="BA462" s="96">
        <f t="shared" si="1319"/>
        <v>0</v>
      </c>
      <c r="BB462" s="96">
        <f t="shared" si="1320"/>
        <v>0</v>
      </c>
    </row>
    <row r="463" spans="1:54">
      <c r="A463" s="492">
        <v>255</v>
      </c>
      <c r="B463" s="13"/>
      <c r="C463" s="13"/>
      <c r="D463" s="13" t="s">
        <v>737</v>
      </c>
      <c r="E463" s="16" t="s">
        <v>1500</v>
      </c>
      <c r="F463" s="44" t="s">
        <v>1502</v>
      </c>
      <c r="G463" s="17" t="s">
        <v>1059</v>
      </c>
      <c r="H463" s="265" t="s">
        <v>358</v>
      </c>
      <c r="I463" s="142"/>
      <c r="J463" s="162">
        <v>7090</v>
      </c>
      <c r="K463" s="54"/>
      <c r="L463" s="162">
        <v>7090</v>
      </c>
      <c r="M463" s="54"/>
      <c r="N463" s="162"/>
      <c r="O463" s="142"/>
      <c r="P463" s="162"/>
      <c r="Q463" s="96">
        <f t="shared" si="1295"/>
        <v>1.92</v>
      </c>
      <c r="R463" s="337">
        <f t="shared" si="1296"/>
        <v>13.6128</v>
      </c>
      <c r="S463" s="96"/>
      <c r="T463" s="96">
        <f t="shared" si="1297"/>
        <v>0</v>
      </c>
      <c r="U463" s="96">
        <v>0.6</v>
      </c>
      <c r="V463" s="176">
        <f t="shared" si="1298"/>
        <v>4.2539999999999996</v>
      </c>
      <c r="W463" s="206">
        <v>0.6</v>
      </c>
      <c r="X463" s="205">
        <f t="shared" si="1299"/>
        <v>4.2539999999999996</v>
      </c>
      <c r="Y463" s="188">
        <f t="shared" si="1300"/>
        <v>1.2</v>
      </c>
      <c r="Z463" s="176">
        <f t="shared" si="1301"/>
        <v>8.5079999999999991</v>
      </c>
      <c r="AA463" s="206">
        <v>0.72</v>
      </c>
      <c r="AB463" s="205">
        <f t="shared" si="1302"/>
        <v>5.1048</v>
      </c>
      <c r="AC463" s="206"/>
      <c r="AD463" s="176">
        <f t="shared" si="1303"/>
        <v>0</v>
      </c>
      <c r="AE463" s="206"/>
      <c r="AF463" s="205">
        <f t="shared" si="1304"/>
        <v>0</v>
      </c>
      <c r="AG463" s="188">
        <f t="shared" si="1305"/>
        <v>0.72</v>
      </c>
      <c r="AH463" s="96">
        <f t="shared" si="1306"/>
        <v>5.1048</v>
      </c>
      <c r="AI463" s="96">
        <f t="shared" si="1307"/>
        <v>1.92</v>
      </c>
      <c r="AJ463" s="176">
        <f t="shared" si="1308"/>
        <v>13.6128</v>
      </c>
      <c r="AK463" s="206"/>
      <c r="AL463" s="176">
        <f t="shared" si="1309"/>
        <v>0</v>
      </c>
      <c r="AM463" s="243"/>
      <c r="AN463" s="176">
        <f t="shared" si="1310"/>
        <v>0</v>
      </c>
      <c r="AO463" s="206"/>
      <c r="AP463" s="205">
        <f t="shared" si="1311"/>
        <v>0</v>
      </c>
      <c r="AQ463" s="188">
        <f t="shared" si="1312"/>
        <v>0</v>
      </c>
      <c r="AR463" s="96">
        <f t="shared" si="1313"/>
        <v>0</v>
      </c>
      <c r="AS463" s="96"/>
      <c r="AT463" s="176">
        <f t="shared" si="1314"/>
        <v>0</v>
      </c>
      <c r="AU463" s="206"/>
      <c r="AV463" s="176">
        <f t="shared" si="1315"/>
        <v>0</v>
      </c>
      <c r="AW463" s="206"/>
      <c r="AX463" s="205">
        <f t="shared" si="1316"/>
        <v>0</v>
      </c>
      <c r="AY463" s="188">
        <f t="shared" si="1317"/>
        <v>0</v>
      </c>
      <c r="AZ463" s="96">
        <f t="shared" si="1318"/>
        <v>0</v>
      </c>
      <c r="BA463" s="96">
        <f t="shared" si="1319"/>
        <v>0</v>
      </c>
      <c r="BB463" s="96">
        <f t="shared" si="1320"/>
        <v>0</v>
      </c>
    </row>
    <row r="464" spans="1:54">
      <c r="A464" s="492">
        <v>255</v>
      </c>
      <c r="B464" s="13"/>
      <c r="C464" s="13"/>
      <c r="D464" s="13" t="s">
        <v>737</v>
      </c>
      <c r="E464" s="16" t="s">
        <v>1501</v>
      </c>
      <c r="F464" s="313" t="s">
        <v>1503</v>
      </c>
      <c r="G464" s="17" t="s">
        <v>1059</v>
      </c>
      <c r="H464" s="265" t="s">
        <v>358</v>
      </c>
      <c r="I464" s="142"/>
      <c r="J464" s="162">
        <v>7140</v>
      </c>
      <c r="K464" s="54"/>
      <c r="L464" s="162">
        <v>7140</v>
      </c>
      <c r="M464" s="54"/>
      <c r="N464" s="162"/>
      <c r="O464" s="142"/>
      <c r="P464" s="162"/>
      <c r="Q464" s="96">
        <f t="shared" si="1295"/>
        <v>0.56000000000000005</v>
      </c>
      <c r="R464" s="337">
        <f t="shared" si="1296"/>
        <v>3.9984000000000002</v>
      </c>
      <c r="S464" s="96"/>
      <c r="T464" s="96">
        <f t="shared" si="1297"/>
        <v>0</v>
      </c>
      <c r="U464" s="96"/>
      <c r="V464" s="176">
        <f t="shared" si="1298"/>
        <v>0</v>
      </c>
      <c r="W464" s="206">
        <v>0.12</v>
      </c>
      <c r="X464" s="205">
        <f t="shared" si="1299"/>
        <v>0.85680000000000001</v>
      </c>
      <c r="Y464" s="188">
        <f t="shared" si="1300"/>
        <v>0.12</v>
      </c>
      <c r="Z464" s="176">
        <f t="shared" si="1301"/>
        <v>0.85680000000000001</v>
      </c>
      <c r="AA464" s="206">
        <v>0.44</v>
      </c>
      <c r="AB464" s="205">
        <f t="shared" si="1302"/>
        <v>3.1415999999999999</v>
      </c>
      <c r="AC464" s="206"/>
      <c r="AD464" s="176">
        <f t="shared" si="1303"/>
        <v>0</v>
      </c>
      <c r="AE464" s="206"/>
      <c r="AF464" s="205">
        <f t="shared" si="1304"/>
        <v>0</v>
      </c>
      <c r="AG464" s="188">
        <f t="shared" si="1305"/>
        <v>0.44</v>
      </c>
      <c r="AH464" s="96">
        <f t="shared" si="1306"/>
        <v>3.1415999999999999</v>
      </c>
      <c r="AI464" s="96">
        <f t="shared" si="1307"/>
        <v>0.56000000000000005</v>
      </c>
      <c r="AJ464" s="176">
        <f t="shared" si="1308"/>
        <v>3.9984000000000002</v>
      </c>
      <c r="AK464" s="206"/>
      <c r="AL464" s="176">
        <f t="shared" si="1309"/>
        <v>0</v>
      </c>
      <c r="AM464" s="243"/>
      <c r="AN464" s="176">
        <f t="shared" si="1310"/>
        <v>0</v>
      </c>
      <c r="AO464" s="206"/>
      <c r="AP464" s="205">
        <f t="shared" si="1311"/>
        <v>0</v>
      </c>
      <c r="AQ464" s="188">
        <f t="shared" si="1312"/>
        <v>0</v>
      </c>
      <c r="AR464" s="96">
        <f t="shared" si="1313"/>
        <v>0</v>
      </c>
      <c r="AS464" s="96"/>
      <c r="AT464" s="176">
        <f t="shared" si="1314"/>
        <v>0</v>
      </c>
      <c r="AU464" s="206"/>
      <c r="AV464" s="176">
        <f t="shared" si="1315"/>
        <v>0</v>
      </c>
      <c r="AW464" s="206"/>
      <c r="AX464" s="205">
        <f t="shared" si="1316"/>
        <v>0</v>
      </c>
      <c r="AY464" s="188">
        <f t="shared" si="1317"/>
        <v>0</v>
      </c>
      <c r="AZ464" s="96">
        <f t="shared" si="1318"/>
        <v>0</v>
      </c>
      <c r="BA464" s="96">
        <f t="shared" si="1319"/>
        <v>0</v>
      </c>
      <c r="BB464" s="96">
        <f t="shared" si="1320"/>
        <v>0</v>
      </c>
    </row>
    <row r="465" spans="1:54">
      <c r="A465" s="492">
        <v>257</v>
      </c>
      <c r="B465" s="13"/>
      <c r="C465" s="13"/>
      <c r="D465" s="13" t="s">
        <v>737</v>
      </c>
      <c r="E465" s="16" t="s">
        <v>1628</v>
      </c>
      <c r="F465" s="44" t="s">
        <v>1629</v>
      </c>
      <c r="G465" s="17" t="s">
        <v>1059</v>
      </c>
      <c r="H465" s="265" t="s">
        <v>358</v>
      </c>
      <c r="I465" s="142"/>
      <c r="J465" s="162">
        <v>6780</v>
      </c>
      <c r="K465" s="54"/>
      <c r="L465" s="162">
        <v>6780</v>
      </c>
      <c r="M465" s="54"/>
      <c r="N465" s="162"/>
      <c r="O465" s="142"/>
      <c r="P465" s="162"/>
      <c r="Q465" s="96">
        <f t="shared" si="1295"/>
        <v>14.759999999999998</v>
      </c>
      <c r="R465" s="337">
        <f t="shared" si="1296"/>
        <v>100.0728</v>
      </c>
      <c r="S465" s="96">
        <v>4.88</v>
      </c>
      <c r="T465" s="96">
        <f t="shared" si="1297"/>
        <v>33.086400000000005</v>
      </c>
      <c r="U465" s="96">
        <v>4</v>
      </c>
      <c r="V465" s="176">
        <f t="shared" si="1298"/>
        <v>27.12</v>
      </c>
      <c r="W465" s="206">
        <v>2.88</v>
      </c>
      <c r="X465" s="205">
        <f t="shared" si="1299"/>
        <v>19.526399999999999</v>
      </c>
      <c r="Y465" s="188">
        <f t="shared" si="1300"/>
        <v>11.759999999999998</v>
      </c>
      <c r="Z465" s="176">
        <f t="shared" si="1301"/>
        <v>79.732799999999997</v>
      </c>
      <c r="AA465" s="206">
        <v>3</v>
      </c>
      <c r="AB465" s="205">
        <f t="shared" si="1302"/>
        <v>20.34</v>
      </c>
      <c r="AC465" s="206"/>
      <c r="AD465" s="176">
        <f t="shared" si="1303"/>
        <v>0</v>
      </c>
      <c r="AE465" s="206"/>
      <c r="AF465" s="205">
        <f t="shared" si="1304"/>
        <v>0</v>
      </c>
      <c r="AG465" s="188">
        <f t="shared" si="1305"/>
        <v>3</v>
      </c>
      <c r="AH465" s="96">
        <f t="shared" si="1306"/>
        <v>20.34</v>
      </c>
      <c r="AI465" s="96">
        <f t="shared" si="1307"/>
        <v>14.759999999999998</v>
      </c>
      <c r="AJ465" s="176">
        <f t="shared" si="1308"/>
        <v>100.0728</v>
      </c>
      <c r="AK465" s="206"/>
      <c r="AL465" s="176">
        <f t="shared" si="1309"/>
        <v>0</v>
      </c>
      <c r="AM465" s="243"/>
      <c r="AN465" s="176">
        <f t="shared" si="1310"/>
        <v>0</v>
      </c>
      <c r="AO465" s="206"/>
      <c r="AP465" s="205">
        <f t="shared" si="1311"/>
        <v>0</v>
      </c>
      <c r="AQ465" s="188">
        <f t="shared" si="1312"/>
        <v>0</v>
      </c>
      <c r="AR465" s="96">
        <f t="shared" si="1313"/>
        <v>0</v>
      </c>
      <c r="AS465" s="96"/>
      <c r="AT465" s="176">
        <f t="shared" si="1314"/>
        <v>0</v>
      </c>
      <c r="AU465" s="206"/>
      <c r="AV465" s="176">
        <f t="shared" si="1315"/>
        <v>0</v>
      </c>
      <c r="AW465" s="206"/>
      <c r="AX465" s="205">
        <f t="shared" si="1316"/>
        <v>0</v>
      </c>
      <c r="AY465" s="188">
        <f t="shared" si="1317"/>
        <v>0</v>
      </c>
      <c r="AZ465" s="96">
        <f t="shared" si="1318"/>
        <v>0</v>
      </c>
      <c r="BA465" s="96">
        <f t="shared" si="1319"/>
        <v>0</v>
      </c>
      <c r="BB465" s="96">
        <f t="shared" si="1320"/>
        <v>0</v>
      </c>
    </row>
    <row r="466" spans="1:54">
      <c r="A466" s="492">
        <v>257</v>
      </c>
      <c r="B466" s="13"/>
      <c r="C466" s="13"/>
      <c r="D466" s="13" t="s">
        <v>159</v>
      </c>
      <c r="E466" s="16" t="s">
        <v>2141</v>
      </c>
      <c r="F466" s="44" t="s">
        <v>2142</v>
      </c>
      <c r="G466" s="17" t="s">
        <v>1059</v>
      </c>
      <c r="H466" s="265" t="s">
        <v>358</v>
      </c>
      <c r="I466" s="142"/>
      <c r="J466" s="162">
        <v>6990</v>
      </c>
      <c r="K466" s="54"/>
      <c r="L466" s="162">
        <v>6990</v>
      </c>
      <c r="M466" s="54"/>
      <c r="N466" s="162"/>
      <c r="O466" s="142"/>
      <c r="P466" s="162"/>
      <c r="Q466" s="96">
        <f t="shared" ref="Q466" si="1321">SUM(AI466+BA466)</f>
        <v>35.980000000000004</v>
      </c>
      <c r="R466" s="337">
        <f t="shared" ref="R466" si="1322">SUM(AJ466+BB466)</f>
        <v>251.50020000000001</v>
      </c>
      <c r="S466" s="96">
        <v>12.92</v>
      </c>
      <c r="T466" s="96">
        <f t="shared" ref="T466" si="1323">J466*S466/1000</f>
        <v>90.3108</v>
      </c>
      <c r="U466" s="96">
        <v>14.36</v>
      </c>
      <c r="V466" s="176">
        <f t="shared" ref="V466" si="1324">J466*U466/1000</f>
        <v>100.37639999999999</v>
      </c>
      <c r="W466" s="206">
        <v>5.82</v>
      </c>
      <c r="X466" s="205">
        <f t="shared" ref="X466" si="1325">J466*W466/1000</f>
        <v>40.681800000000003</v>
      </c>
      <c r="Y466" s="188">
        <f t="shared" ref="Y466" si="1326">SUM(S466+U466+W466)</f>
        <v>33.1</v>
      </c>
      <c r="Z466" s="176">
        <f t="shared" ref="Z466" si="1327">SUM(T466+V466+X466)</f>
        <v>231.369</v>
      </c>
      <c r="AA466" s="206">
        <v>2.88</v>
      </c>
      <c r="AB466" s="205">
        <f t="shared" ref="AB466" si="1328">L466*AA466/1000</f>
        <v>20.1312</v>
      </c>
      <c r="AC466" s="206"/>
      <c r="AD466" s="176">
        <f t="shared" ref="AD466" si="1329">L466*AC466/1000</f>
        <v>0</v>
      </c>
      <c r="AE466" s="206"/>
      <c r="AF466" s="205">
        <f t="shared" ref="AF466" si="1330">L466*AE466/1000</f>
        <v>0</v>
      </c>
      <c r="AG466" s="188">
        <f t="shared" ref="AG466" si="1331">SUM(AA466+AC466+AE466)</f>
        <v>2.88</v>
      </c>
      <c r="AH466" s="96">
        <f t="shared" ref="AH466" si="1332">SUM(AB466+AD466+AF466)</f>
        <v>20.1312</v>
      </c>
      <c r="AI466" s="96">
        <f t="shared" ref="AI466" si="1333">SUM(Y466+AG466)</f>
        <v>35.980000000000004</v>
      </c>
      <c r="AJ466" s="176">
        <f t="shared" ref="AJ466" si="1334">SUM(Z466,AH466)</f>
        <v>251.50020000000001</v>
      </c>
      <c r="AK466" s="206"/>
      <c r="AL466" s="176">
        <f t="shared" ref="AL466" si="1335">N466*AK466/1000</f>
        <v>0</v>
      </c>
      <c r="AM466" s="243"/>
      <c r="AN466" s="176">
        <f t="shared" ref="AN466" si="1336">N466*AM466/1000</f>
        <v>0</v>
      </c>
      <c r="AO466" s="206"/>
      <c r="AP466" s="205">
        <f t="shared" ref="AP466" si="1337">N466*AO466/1000</f>
        <v>0</v>
      </c>
      <c r="AQ466" s="188">
        <f t="shared" ref="AQ466" si="1338">SUM(AK466+AM466+AO466)</f>
        <v>0</v>
      </c>
      <c r="AR466" s="96">
        <f t="shared" ref="AR466" si="1339">SUM(AL466+AN466+AP466)</f>
        <v>0</v>
      </c>
      <c r="AS466" s="96"/>
      <c r="AT466" s="176">
        <f t="shared" ref="AT466" si="1340">P466*AS466/1000</f>
        <v>0</v>
      </c>
      <c r="AU466" s="206"/>
      <c r="AV466" s="176">
        <f t="shared" ref="AV466" si="1341">P466*AU466/1000</f>
        <v>0</v>
      </c>
      <c r="AW466" s="206"/>
      <c r="AX466" s="205">
        <f t="shared" ref="AX466" si="1342">P466*AW466/1000</f>
        <v>0</v>
      </c>
      <c r="AY466" s="188">
        <f t="shared" ref="AY466" si="1343">SUM(AS466+AU466+AW466)</f>
        <v>0</v>
      </c>
      <c r="AZ466" s="96">
        <f t="shared" ref="AZ466" si="1344">SUM(AT466+AV466+AX466)</f>
        <v>0</v>
      </c>
      <c r="BA466" s="96">
        <f t="shared" ref="BA466" si="1345">SUM(AQ466+AY466)</f>
        <v>0</v>
      </c>
      <c r="BB466" s="96">
        <f t="shared" ref="BB466" si="1346">SUM(AR466,AZ466)</f>
        <v>0</v>
      </c>
    </row>
    <row r="467" spans="1:54">
      <c r="A467" s="492">
        <v>257</v>
      </c>
      <c r="B467" s="13"/>
      <c r="C467" s="13"/>
      <c r="D467" s="13" t="s">
        <v>159</v>
      </c>
      <c r="E467" s="16" t="s">
        <v>2451</v>
      </c>
      <c r="F467" s="44" t="s">
        <v>2452</v>
      </c>
      <c r="G467" s="17" t="s">
        <v>1059</v>
      </c>
      <c r="H467" s="265" t="s">
        <v>358</v>
      </c>
      <c r="I467" s="142"/>
      <c r="J467" s="162">
        <v>7200</v>
      </c>
      <c r="K467" s="54"/>
      <c r="L467" s="162">
        <v>7200</v>
      </c>
      <c r="M467" s="54"/>
      <c r="N467" s="162"/>
      <c r="O467" s="142"/>
      <c r="P467" s="162"/>
      <c r="Q467" s="96">
        <f t="shared" si="1295"/>
        <v>27.33</v>
      </c>
      <c r="R467" s="337">
        <f t="shared" si="1296"/>
        <v>196.77600000000001</v>
      </c>
      <c r="S467" s="96">
        <v>0.19</v>
      </c>
      <c r="T467" s="96">
        <f t="shared" si="1297"/>
        <v>1.3680000000000001</v>
      </c>
      <c r="U467" s="96">
        <v>7.17</v>
      </c>
      <c r="V467" s="176">
        <f t="shared" si="1298"/>
        <v>51.624000000000002</v>
      </c>
      <c r="W467" s="206">
        <v>11.45</v>
      </c>
      <c r="X467" s="205">
        <f t="shared" si="1299"/>
        <v>82.44</v>
      </c>
      <c r="Y467" s="188">
        <f t="shared" si="1300"/>
        <v>18.809999999999999</v>
      </c>
      <c r="Z467" s="176">
        <f t="shared" si="1301"/>
        <v>135.43200000000002</v>
      </c>
      <c r="AA467" s="206">
        <v>8.52</v>
      </c>
      <c r="AB467" s="205">
        <f t="shared" si="1302"/>
        <v>61.344000000000001</v>
      </c>
      <c r="AC467" s="206"/>
      <c r="AD467" s="176">
        <f t="shared" si="1303"/>
        <v>0</v>
      </c>
      <c r="AE467" s="206"/>
      <c r="AF467" s="205">
        <f t="shared" si="1304"/>
        <v>0</v>
      </c>
      <c r="AG467" s="188">
        <f t="shared" si="1305"/>
        <v>8.52</v>
      </c>
      <c r="AH467" s="96">
        <f t="shared" si="1306"/>
        <v>61.344000000000001</v>
      </c>
      <c r="AI467" s="96">
        <f t="shared" si="1307"/>
        <v>27.33</v>
      </c>
      <c r="AJ467" s="176">
        <f t="shared" si="1308"/>
        <v>196.77600000000001</v>
      </c>
      <c r="AK467" s="206"/>
      <c r="AL467" s="176">
        <f t="shared" si="1309"/>
        <v>0</v>
      </c>
      <c r="AM467" s="243"/>
      <c r="AN467" s="176">
        <f t="shared" si="1310"/>
        <v>0</v>
      </c>
      <c r="AO467" s="206"/>
      <c r="AP467" s="205">
        <f t="shared" si="1311"/>
        <v>0</v>
      </c>
      <c r="AQ467" s="188">
        <f t="shared" si="1312"/>
        <v>0</v>
      </c>
      <c r="AR467" s="96">
        <f t="shared" si="1313"/>
        <v>0</v>
      </c>
      <c r="AS467" s="96"/>
      <c r="AT467" s="176">
        <f t="shared" si="1314"/>
        <v>0</v>
      </c>
      <c r="AU467" s="206"/>
      <c r="AV467" s="176">
        <f t="shared" si="1315"/>
        <v>0</v>
      </c>
      <c r="AW467" s="206"/>
      <c r="AX467" s="205">
        <f t="shared" si="1316"/>
        <v>0</v>
      </c>
      <c r="AY467" s="188">
        <f t="shared" si="1317"/>
        <v>0</v>
      </c>
      <c r="AZ467" s="96">
        <f t="shared" si="1318"/>
        <v>0</v>
      </c>
      <c r="BA467" s="96">
        <f t="shared" si="1319"/>
        <v>0</v>
      </c>
      <c r="BB467" s="96">
        <f t="shared" si="1320"/>
        <v>0</v>
      </c>
    </row>
    <row r="468" spans="1:54">
      <c r="A468" s="492">
        <v>264</v>
      </c>
      <c r="B468" s="13"/>
      <c r="C468" s="27" t="s">
        <v>134</v>
      </c>
      <c r="D468" s="289"/>
      <c r="E468" s="288"/>
      <c r="F468" s="236"/>
      <c r="G468" s="236"/>
      <c r="H468" s="236"/>
      <c r="I468" s="238"/>
      <c r="J468" s="236"/>
      <c r="K468" s="235"/>
      <c r="L468" s="237"/>
      <c r="M468" s="235"/>
      <c r="N468" s="237"/>
      <c r="O468" s="238"/>
      <c r="P468" s="236"/>
      <c r="Q468" s="123">
        <f t="shared" ref="Q468:BB468" si="1347">SUM(Q443:Q467)</f>
        <v>150.364</v>
      </c>
      <c r="R468" s="123">
        <f t="shared" si="1347"/>
        <v>1009.9067200000002</v>
      </c>
      <c r="S468" s="123">
        <f t="shared" si="1347"/>
        <v>37.821999999999996</v>
      </c>
      <c r="T468" s="123">
        <f t="shared" si="1347"/>
        <v>252.97183999999999</v>
      </c>
      <c r="U468" s="123">
        <f t="shared" si="1347"/>
        <v>40.770000000000003</v>
      </c>
      <c r="V468" s="123">
        <f t="shared" si="1347"/>
        <v>278.39712000000003</v>
      </c>
      <c r="W468" s="123">
        <f t="shared" si="1347"/>
        <v>40.372</v>
      </c>
      <c r="X468" s="123">
        <f t="shared" si="1347"/>
        <v>276.63616000000002</v>
      </c>
      <c r="Y468" s="123">
        <f t="shared" si="1347"/>
        <v>118.964</v>
      </c>
      <c r="Z468" s="123">
        <f t="shared" si="1347"/>
        <v>808.00512000000003</v>
      </c>
      <c r="AA468" s="123">
        <f t="shared" si="1347"/>
        <v>31.4</v>
      </c>
      <c r="AB468" s="123">
        <f t="shared" si="1347"/>
        <v>201.9016</v>
      </c>
      <c r="AC468" s="123">
        <f t="shared" si="1347"/>
        <v>0</v>
      </c>
      <c r="AD468" s="123">
        <f t="shared" si="1347"/>
        <v>0</v>
      </c>
      <c r="AE468" s="123">
        <f t="shared" si="1347"/>
        <v>0</v>
      </c>
      <c r="AF468" s="123">
        <f t="shared" si="1347"/>
        <v>0</v>
      </c>
      <c r="AG468" s="123">
        <f t="shared" si="1347"/>
        <v>31.4</v>
      </c>
      <c r="AH468" s="123">
        <f t="shared" si="1347"/>
        <v>201.9016</v>
      </c>
      <c r="AI468" s="123">
        <f t="shared" si="1347"/>
        <v>150.364</v>
      </c>
      <c r="AJ468" s="123">
        <f t="shared" si="1347"/>
        <v>1009.9067200000002</v>
      </c>
      <c r="AK468" s="123">
        <f t="shared" si="1347"/>
        <v>0</v>
      </c>
      <c r="AL468" s="123">
        <f t="shared" si="1347"/>
        <v>0</v>
      </c>
      <c r="AM468" s="123">
        <f t="shared" si="1347"/>
        <v>0</v>
      </c>
      <c r="AN468" s="123">
        <f t="shared" si="1347"/>
        <v>0</v>
      </c>
      <c r="AO468" s="123">
        <f t="shared" si="1347"/>
        <v>0</v>
      </c>
      <c r="AP468" s="123">
        <f t="shared" si="1347"/>
        <v>0</v>
      </c>
      <c r="AQ468" s="123">
        <f t="shared" si="1347"/>
        <v>0</v>
      </c>
      <c r="AR468" s="123">
        <f t="shared" si="1347"/>
        <v>0</v>
      </c>
      <c r="AS468" s="123">
        <f t="shared" si="1347"/>
        <v>0</v>
      </c>
      <c r="AT468" s="123">
        <f t="shared" si="1347"/>
        <v>0</v>
      </c>
      <c r="AU468" s="123">
        <f t="shared" si="1347"/>
        <v>0</v>
      </c>
      <c r="AV468" s="123">
        <f t="shared" si="1347"/>
        <v>0</v>
      </c>
      <c r="AW468" s="123">
        <f t="shared" si="1347"/>
        <v>0</v>
      </c>
      <c r="AX468" s="123">
        <f t="shared" si="1347"/>
        <v>0</v>
      </c>
      <c r="AY468" s="123">
        <f t="shared" si="1347"/>
        <v>0</v>
      </c>
      <c r="AZ468" s="123">
        <f t="shared" si="1347"/>
        <v>0</v>
      </c>
      <c r="BA468" s="123">
        <f t="shared" si="1347"/>
        <v>0</v>
      </c>
      <c r="BB468" s="123">
        <f t="shared" si="1347"/>
        <v>0</v>
      </c>
    </row>
    <row r="469" spans="1:54" s="6" customFormat="1">
      <c r="A469" s="492">
        <v>245</v>
      </c>
      <c r="B469" s="14"/>
      <c r="C469" s="13" t="s">
        <v>1185</v>
      </c>
      <c r="D469" s="14" t="s">
        <v>1253</v>
      </c>
      <c r="E469" s="21" t="s">
        <v>1453</v>
      </c>
      <c r="F469" s="259" t="s">
        <v>1455</v>
      </c>
      <c r="G469" s="510" t="s">
        <v>1056</v>
      </c>
      <c r="H469" s="511" t="s">
        <v>358</v>
      </c>
      <c r="I469" s="514"/>
      <c r="J469" s="513">
        <v>10550</v>
      </c>
      <c r="K469" s="512"/>
      <c r="L469" s="513">
        <v>10550</v>
      </c>
      <c r="M469" s="512"/>
      <c r="N469" s="513"/>
      <c r="O469" s="514"/>
      <c r="P469" s="513"/>
      <c r="Q469" s="428">
        <f t="shared" ref="Q469:Q485" si="1348">SUM(AI469+BA469)</f>
        <v>1.3000000000000001E-2</v>
      </c>
      <c r="R469" s="449">
        <f t="shared" ref="R469:R485" si="1349">SUM(AJ469+BB469)</f>
        <v>0.13714999999999999</v>
      </c>
      <c r="S469" s="428">
        <v>5.0000000000000001E-3</v>
      </c>
      <c r="T469" s="428">
        <f t="shared" ref="T469:T484" si="1350">J469*S469/1000</f>
        <v>5.2749999999999998E-2</v>
      </c>
      <c r="U469" s="428"/>
      <c r="V469" s="528">
        <f t="shared" ref="V469:V484" si="1351">J469*U469/1000</f>
        <v>0</v>
      </c>
      <c r="W469" s="529">
        <v>8.0000000000000002E-3</v>
      </c>
      <c r="X469" s="418">
        <f t="shared" ref="X469:X484" si="1352">J469*W469/1000</f>
        <v>8.4400000000000003E-2</v>
      </c>
      <c r="Y469" s="530">
        <f t="shared" ref="Y469:Y485" si="1353">SUM(S469+U469+W469)</f>
        <v>1.3000000000000001E-2</v>
      </c>
      <c r="Z469" s="528">
        <f t="shared" ref="Z469:Z485" si="1354">SUM(T469+V469+X469)</f>
        <v>0.13714999999999999</v>
      </c>
      <c r="AA469" s="529"/>
      <c r="AB469" s="418">
        <f t="shared" ref="AB469:AB484" si="1355">L469*AA469/1000</f>
        <v>0</v>
      </c>
      <c r="AC469" s="529"/>
      <c r="AD469" s="528">
        <f t="shared" ref="AD469:AD484" si="1356">L469*AC469/1000</f>
        <v>0</v>
      </c>
      <c r="AE469" s="529"/>
      <c r="AF469" s="223">
        <f t="shared" ref="AF469:AF484" si="1357">L469*AE469/1000</f>
        <v>0</v>
      </c>
      <c r="AG469" s="530">
        <f t="shared" ref="AG469:AG485" si="1358">SUM(AA469+AC469+AE469)</f>
        <v>0</v>
      </c>
      <c r="AH469" s="428">
        <f t="shared" ref="AH469:AH485" si="1359">SUM(AB469+AD469+AF469)</f>
        <v>0</v>
      </c>
      <c r="AI469" s="428">
        <f t="shared" ref="AI469:AI485" si="1360">SUM(Y469+AG469)</f>
        <v>1.3000000000000001E-2</v>
      </c>
      <c r="AJ469" s="528">
        <f t="shared" ref="AJ469:AJ485" si="1361">SUM(Z469,AH469)</f>
        <v>0.13714999999999999</v>
      </c>
      <c r="AK469" s="529"/>
      <c r="AL469" s="528">
        <f t="shared" ref="AL469:AL484" si="1362">N469*AK469/1000</f>
        <v>0</v>
      </c>
      <c r="AM469" s="531"/>
      <c r="AN469" s="528">
        <f t="shared" ref="AN469:AN484" si="1363">N469*AM469/1000</f>
        <v>0</v>
      </c>
      <c r="AO469" s="529"/>
      <c r="AP469" s="418">
        <f t="shared" ref="AP469:AP484" si="1364">N469*AO469/1000</f>
        <v>0</v>
      </c>
      <c r="AQ469" s="530">
        <f t="shared" ref="AQ469:AQ485" si="1365">SUM(AK469+AM469+AO469)</f>
        <v>0</v>
      </c>
      <c r="AR469" s="428">
        <f t="shared" ref="AR469:AR485" si="1366">SUM(AL469+AN469+AP469)</f>
        <v>0</v>
      </c>
      <c r="AS469" s="428"/>
      <c r="AT469" s="528">
        <f t="shared" ref="AT469:AT484" si="1367">P469*AS469/1000</f>
        <v>0</v>
      </c>
      <c r="AU469" s="529"/>
      <c r="AV469" s="528">
        <f t="shared" ref="AV469:AV484" si="1368">P469*AU469/1000</f>
        <v>0</v>
      </c>
      <c r="AW469" s="529"/>
      <c r="AX469" s="418">
        <f t="shared" ref="AX469:AX484" si="1369">P469*AW469/1000</f>
        <v>0</v>
      </c>
      <c r="AY469" s="530">
        <f t="shared" ref="AY469:AY485" si="1370">SUM(AS469+AU469+AW469)</f>
        <v>0</v>
      </c>
      <c r="AZ469" s="428">
        <f t="shared" ref="AZ469:AZ485" si="1371">SUM(AT469+AV469+AX469)</f>
        <v>0</v>
      </c>
      <c r="BA469" s="428">
        <f t="shared" ref="BA469:BA485" si="1372">SUM(AQ469+AY469)</f>
        <v>0</v>
      </c>
      <c r="BB469" s="428">
        <f t="shared" ref="BB469:BB485" si="1373">SUM(AR469,AZ469)</f>
        <v>0</v>
      </c>
    </row>
    <row r="470" spans="1:54" s="6" customFormat="1">
      <c r="A470" s="492">
        <v>245</v>
      </c>
      <c r="B470" s="14"/>
      <c r="C470" s="13"/>
      <c r="D470" s="14" t="s">
        <v>1253</v>
      </c>
      <c r="E470" s="16" t="s">
        <v>1454</v>
      </c>
      <c r="F470" s="259" t="s">
        <v>1456</v>
      </c>
      <c r="G470" s="510" t="s">
        <v>1056</v>
      </c>
      <c r="H470" s="511" t="s">
        <v>358</v>
      </c>
      <c r="I470" s="514"/>
      <c r="J470" s="513">
        <v>10950</v>
      </c>
      <c r="K470" s="512"/>
      <c r="L470" s="513">
        <v>10950</v>
      </c>
      <c r="M470" s="512"/>
      <c r="N470" s="513"/>
      <c r="O470" s="514"/>
      <c r="P470" s="513"/>
      <c r="Q470" s="95">
        <f t="shared" si="1348"/>
        <v>0</v>
      </c>
      <c r="R470" s="335">
        <f t="shared" si="1349"/>
        <v>0</v>
      </c>
      <c r="S470" s="95"/>
      <c r="T470" s="95">
        <f t="shared" si="1350"/>
        <v>0</v>
      </c>
      <c r="U470" s="95"/>
      <c r="V470" s="175">
        <f t="shared" si="1351"/>
        <v>0</v>
      </c>
      <c r="W470" s="203"/>
      <c r="X470" s="204">
        <f t="shared" si="1352"/>
        <v>0</v>
      </c>
      <c r="Y470" s="191">
        <f t="shared" si="1353"/>
        <v>0</v>
      </c>
      <c r="Z470" s="175">
        <f t="shared" si="1354"/>
        <v>0</v>
      </c>
      <c r="AA470" s="203"/>
      <c r="AB470" s="204">
        <f t="shared" si="1355"/>
        <v>0</v>
      </c>
      <c r="AC470" s="203"/>
      <c r="AD470" s="175">
        <f t="shared" si="1356"/>
        <v>0</v>
      </c>
      <c r="AE470" s="203"/>
      <c r="AF470" s="205">
        <f t="shared" si="1357"/>
        <v>0</v>
      </c>
      <c r="AG470" s="191">
        <f t="shared" si="1358"/>
        <v>0</v>
      </c>
      <c r="AH470" s="95">
        <f t="shared" si="1359"/>
        <v>0</v>
      </c>
      <c r="AI470" s="95">
        <f t="shared" si="1360"/>
        <v>0</v>
      </c>
      <c r="AJ470" s="175">
        <f t="shared" si="1361"/>
        <v>0</v>
      </c>
      <c r="AK470" s="203"/>
      <c r="AL470" s="175">
        <f t="shared" si="1362"/>
        <v>0</v>
      </c>
      <c r="AM470" s="242"/>
      <c r="AN470" s="175">
        <f t="shared" si="1363"/>
        <v>0</v>
      </c>
      <c r="AO470" s="203"/>
      <c r="AP470" s="204">
        <f t="shared" si="1364"/>
        <v>0</v>
      </c>
      <c r="AQ470" s="191">
        <f t="shared" si="1365"/>
        <v>0</v>
      </c>
      <c r="AR470" s="95">
        <f t="shared" si="1366"/>
        <v>0</v>
      </c>
      <c r="AS470" s="95"/>
      <c r="AT470" s="175">
        <f t="shared" si="1367"/>
        <v>0</v>
      </c>
      <c r="AU470" s="203"/>
      <c r="AV470" s="175">
        <f t="shared" si="1368"/>
        <v>0</v>
      </c>
      <c r="AW470" s="203"/>
      <c r="AX470" s="204">
        <f t="shared" si="1369"/>
        <v>0</v>
      </c>
      <c r="AY470" s="191">
        <f t="shared" si="1370"/>
        <v>0</v>
      </c>
      <c r="AZ470" s="95">
        <f t="shared" si="1371"/>
        <v>0</v>
      </c>
      <c r="BA470" s="95">
        <f t="shared" si="1372"/>
        <v>0</v>
      </c>
      <c r="BB470" s="95">
        <f t="shared" si="1373"/>
        <v>0</v>
      </c>
    </row>
    <row r="471" spans="1:54" s="6" customFormat="1">
      <c r="A471" s="492">
        <v>245</v>
      </c>
      <c r="B471" s="14"/>
      <c r="C471" s="13"/>
      <c r="D471" s="14" t="s">
        <v>1253</v>
      </c>
      <c r="E471" s="16" t="s">
        <v>1631</v>
      </c>
      <c r="F471" s="424" t="s">
        <v>1633</v>
      </c>
      <c r="G471" s="495" t="s">
        <v>1056</v>
      </c>
      <c r="H471" s="446" t="s">
        <v>358</v>
      </c>
      <c r="I471" s="496"/>
      <c r="J471" s="493">
        <v>5400</v>
      </c>
      <c r="K471" s="425"/>
      <c r="L471" s="493">
        <v>5400</v>
      </c>
      <c r="M471" s="425"/>
      <c r="N471" s="493"/>
      <c r="O471" s="496"/>
      <c r="P471" s="493"/>
      <c r="Q471" s="95">
        <f t="shared" si="1348"/>
        <v>0</v>
      </c>
      <c r="R471" s="335">
        <f t="shared" si="1349"/>
        <v>0</v>
      </c>
      <c r="S471" s="95"/>
      <c r="T471" s="95">
        <f t="shared" si="1350"/>
        <v>0</v>
      </c>
      <c r="U471" s="95"/>
      <c r="V471" s="175">
        <f t="shared" si="1351"/>
        <v>0</v>
      </c>
      <c r="W471" s="203"/>
      <c r="X471" s="204">
        <f t="shared" si="1352"/>
        <v>0</v>
      </c>
      <c r="Y471" s="191">
        <f t="shared" si="1353"/>
        <v>0</v>
      </c>
      <c r="Z471" s="175">
        <f t="shared" si="1354"/>
        <v>0</v>
      </c>
      <c r="AA471" s="203"/>
      <c r="AB471" s="204">
        <f t="shared" si="1355"/>
        <v>0</v>
      </c>
      <c r="AC471" s="203"/>
      <c r="AD471" s="175">
        <f t="shared" si="1356"/>
        <v>0</v>
      </c>
      <c r="AE471" s="203"/>
      <c r="AF471" s="205">
        <f t="shared" si="1357"/>
        <v>0</v>
      </c>
      <c r="AG471" s="191">
        <f t="shared" si="1358"/>
        <v>0</v>
      </c>
      <c r="AH471" s="95">
        <f t="shared" si="1359"/>
        <v>0</v>
      </c>
      <c r="AI471" s="95">
        <f t="shared" si="1360"/>
        <v>0</v>
      </c>
      <c r="AJ471" s="175">
        <f t="shared" si="1361"/>
        <v>0</v>
      </c>
      <c r="AK471" s="203"/>
      <c r="AL471" s="175">
        <f t="shared" si="1362"/>
        <v>0</v>
      </c>
      <c r="AM471" s="242"/>
      <c r="AN471" s="175">
        <f t="shared" si="1363"/>
        <v>0</v>
      </c>
      <c r="AO471" s="203"/>
      <c r="AP471" s="204">
        <f t="shared" si="1364"/>
        <v>0</v>
      </c>
      <c r="AQ471" s="191">
        <f t="shared" si="1365"/>
        <v>0</v>
      </c>
      <c r="AR471" s="95">
        <f t="shared" si="1366"/>
        <v>0</v>
      </c>
      <c r="AS471" s="95"/>
      <c r="AT471" s="175">
        <f t="shared" si="1367"/>
        <v>0</v>
      </c>
      <c r="AU471" s="203"/>
      <c r="AV471" s="175">
        <f t="shared" si="1368"/>
        <v>0</v>
      </c>
      <c r="AW471" s="203"/>
      <c r="AX471" s="204">
        <f t="shared" si="1369"/>
        <v>0</v>
      </c>
      <c r="AY471" s="191">
        <f t="shared" si="1370"/>
        <v>0</v>
      </c>
      <c r="AZ471" s="95">
        <f t="shared" si="1371"/>
        <v>0</v>
      </c>
      <c r="BA471" s="95">
        <f t="shared" si="1372"/>
        <v>0</v>
      </c>
      <c r="BB471" s="95">
        <f t="shared" si="1373"/>
        <v>0</v>
      </c>
    </row>
    <row r="472" spans="1:54" s="6" customFormat="1">
      <c r="A472" s="492">
        <v>245</v>
      </c>
      <c r="B472" s="14"/>
      <c r="C472" s="13"/>
      <c r="D472" s="14" t="s">
        <v>1253</v>
      </c>
      <c r="E472" s="16" t="s">
        <v>1632</v>
      </c>
      <c r="F472" s="424" t="s">
        <v>1634</v>
      </c>
      <c r="G472" s="495" t="s">
        <v>1056</v>
      </c>
      <c r="H472" s="446" t="s">
        <v>358</v>
      </c>
      <c r="I472" s="496"/>
      <c r="J472" s="493">
        <v>12660</v>
      </c>
      <c r="K472" s="425"/>
      <c r="L472" s="493">
        <v>12660</v>
      </c>
      <c r="M472" s="425"/>
      <c r="N472" s="493"/>
      <c r="O472" s="496"/>
      <c r="P472" s="493"/>
      <c r="Q472" s="95">
        <f t="shared" si="1348"/>
        <v>0</v>
      </c>
      <c r="R472" s="335">
        <f t="shared" si="1349"/>
        <v>0</v>
      </c>
      <c r="S472" s="95"/>
      <c r="T472" s="95">
        <f t="shared" si="1350"/>
        <v>0</v>
      </c>
      <c r="U472" s="95"/>
      <c r="V472" s="175">
        <f t="shared" si="1351"/>
        <v>0</v>
      </c>
      <c r="W472" s="203"/>
      <c r="X472" s="204">
        <f t="shared" si="1352"/>
        <v>0</v>
      </c>
      <c r="Y472" s="191">
        <f t="shared" si="1353"/>
        <v>0</v>
      </c>
      <c r="Z472" s="175">
        <f t="shared" si="1354"/>
        <v>0</v>
      </c>
      <c r="AA472" s="203"/>
      <c r="AB472" s="204">
        <f t="shared" si="1355"/>
        <v>0</v>
      </c>
      <c r="AC472" s="203"/>
      <c r="AD472" s="175">
        <f t="shared" si="1356"/>
        <v>0</v>
      </c>
      <c r="AE472" s="203"/>
      <c r="AF472" s="205">
        <f t="shared" si="1357"/>
        <v>0</v>
      </c>
      <c r="AG472" s="191">
        <f t="shared" si="1358"/>
        <v>0</v>
      </c>
      <c r="AH472" s="95">
        <f t="shared" si="1359"/>
        <v>0</v>
      </c>
      <c r="AI472" s="95">
        <f t="shared" si="1360"/>
        <v>0</v>
      </c>
      <c r="AJ472" s="175">
        <f t="shared" si="1361"/>
        <v>0</v>
      </c>
      <c r="AK472" s="203"/>
      <c r="AL472" s="175">
        <f t="shared" si="1362"/>
        <v>0</v>
      </c>
      <c r="AM472" s="242"/>
      <c r="AN472" s="175">
        <f t="shared" si="1363"/>
        <v>0</v>
      </c>
      <c r="AO472" s="203"/>
      <c r="AP472" s="204">
        <f t="shared" si="1364"/>
        <v>0</v>
      </c>
      <c r="AQ472" s="191">
        <f t="shared" si="1365"/>
        <v>0</v>
      </c>
      <c r="AR472" s="95">
        <f t="shared" si="1366"/>
        <v>0</v>
      </c>
      <c r="AS472" s="95"/>
      <c r="AT472" s="175">
        <f t="shared" si="1367"/>
        <v>0</v>
      </c>
      <c r="AU472" s="203"/>
      <c r="AV472" s="175">
        <f t="shared" si="1368"/>
        <v>0</v>
      </c>
      <c r="AW472" s="203"/>
      <c r="AX472" s="204">
        <f t="shared" si="1369"/>
        <v>0</v>
      </c>
      <c r="AY472" s="191">
        <f t="shared" si="1370"/>
        <v>0</v>
      </c>
      <c r="AZ472" s="95">
        <f t="shared" si="1371"/>
        <v>0</v>
      </c>
      <c r="BA472" s="95">
        <f t="shared" si="1372"/>
        <v>0</v>
      </c>
      <c r="BB472" s="95">
        <f t="shared" si="1373"/>
        <v>0</v>
      </c>
    </row>
    <row r="473" spans="1:54" s="6" customFormat="1">
      <c r="A473" s="492">
        <v>245</v>
      </c>
      <c r="B473" s="14"/>
      <c r="C473" s="13"/>
      <c r="D473" s="14" t="s">
        <v>1256</v>
      </c>
      <c r="E473" s="16" t="s">
        <v>1186</v>
      </c>
      <c r="F473" s="509" t="s">
        <v>1630</v>
      </c>
      <c r="G473" s="495" t="s">
        <v>1056</v>
      </c>
      <c r="H473" s="446" t="s">
        <v>358</v>
      </c>
      <c r="I473" s="496"/>
      <c r="J473" s="493">
        <v>5400</v>
      </c>
      <c r="K473" s="425"/>
      <c r="L473" s="493">
        <v>5400</v>
      </c>
      <c r="M473" s="425"/>
      <c r="N473" s="493"/>
      <c r="O473" s="496"/>
      <c r="P473" s="493"/>
      <c r="Q473" s="95">
        <f t="shared" si="1348"/>
        <v>0</v>
      </c>
      <c r="R473" s="335">
        <f t="shared" si="1349"/>
        <v>0</v>
      </c>
      <c r="S473" s="95"/>
      <c r="T473" s="95">
        <f t="shared" si="1350"/>
        <v>0</v>
      </c>
      <c r="U473" s="95"/>
      <c r="V473" s="175">
        <f t="shared" si="1351"/>
        <v>0</v>
      </c>
      <c r="W473" s="203"/>
      <c r="X473" s="204">
        <f t="shared" si="1352"/>
        <v>0</v>
      </c>
      <c r="Y473" s="191">
        <f t="shared" si="1353"/>
        <v>0</v>
      </c>
      <c r="Z473" s="175">
        <f t="shared" si="1354"/>
        <v>0</v>
      </c>
      <c r="AA473" s="203"/>
      <c r="AB473" s="204">
        <f t="shared" si="1355"/>
        <v>0</v>
      </c>
      <c r="AC473" s="203"/>
      <c r="AD473" s="175">
        <f t="shared" si="1356"/>
        <v>0</v>
      </c>
      <c r="AE473" s="203"/>
      <c r="AF473" s="205">
        <f t="shared" si="1357"/>
        <v>0</v>
      </c>
      <c r="AG473" s="191">
        <f t="shared" si="1358"/>
        <v>0</v>
      </c>
      <c r="AH473" s="95">
        <f t="shared" si="1359"/>
        <v>0</v>
      </c>
      <c r="AI473" s="95">
        <f t="shared" si="1360"/>
        <v>0</v>
      </c>
      <c r="AJ473" s="175">
        <f t="shared" si="1361"/>
        <v>0</v>
      </c>
      <c r="AK473" s="203"/>
      <c r="AL473" s="175">
        <f t="shared" si="1362"/>
        <v>0</v>
      </c>
      <c r="AM473" s="242"/>
      <c r="AN473" s="175">
        <f t="shared" si="1363"/>
        <v>0</v>
      </c>
      <c r="AO473" s="203"/>
      <c r="AP473" s="204">
        <f t="shared" si="1364"/>
        <v>0</v>
      </c>
      <c r="AQ473" s="191">
        <f t="shared" si="1365"/>
        <v>0</v>
      </c>
      <c r="AR473" s="95">
        <f t="shared" si="1366"/>
        <v>0</v>
      </c>
      <c r="AS473" s="95"/>
      <c r="AT473" s="175">
        <f t="shared" si="1367"/>
        <v>0</v>
      </c>
      <c r="AU473" s="203"/>
      <c r="AV473" s="175">
        <f t="shared" si="1368"/>
        <v>0</v>
      </c>
      <c r="AW473" s="203"/>
      <c r="AX473" s="204">
        <f t="shared" si="1369"/>
        <v>0</v>
      </c>
      <c r="AY473" s="191">
        <f t="shared" si="1370"/>
        <v>0</v>
      </c>
      <c r="AZ473" s="95">
        <f t="shared" si="1371"/>
        <v>0</v>
      </c>
      <c r="BA473" s="95">
        <f t="shared" si="1372"/>
        <v>0</v>
      </c>
      <c r="BB473" s="95">
        <f t="shared" si="1373"/>
        <v>0</v>
      </c>
    </row>
    <row r="474" spans="1:54" s="6" customFormat="1">
      <c r="A474" s="492">
        <v>246</v>
      </c>
      <c r="B474" s="14"/>
      <c r="C474" s="14"/>
      <c r="D474" s="14" t="s">
        <v>1252</v>
      </c>
      <c r="E474" s="16" t="s">
        <v>1187</v>
      </c>
      <c r="F474" s="22" t="s">
        <v>1196</v>
      </c>
      <c r="G474" s="17" t="s">
        <v>1056</v>
      </c>
      <c r="H474" s="264" t="s">
        <v>358</v>
      </c>
      <c r="I474" s="240"/>
      <c r="J474" s="239">
        <v>5400</v>
      </c>
      <c r="K474" s="232"/>
      <c r="L474" s="239">
        <v>5400</v>
      </c>
      <c r="M474" s="232"/>
      <c r="N474" s="239"/>
      <c r="O474" s="240"/>
      <c r="P474" s="239"/>
      <c r="Q474" s="95">
        <f t="shared" si="1348"/>
        <v>0</v>
      </c>
      <c r="R474" s="335">
        <f t="shared" si="1349"/>
        <v>0</v>
      </c>
      <c r="S474" s="95"/>
      <c r="T474" s="95">
        <f t="shared" si="1350"/>
        <v>0</v>
      </c>
      <c r="U474" s="95"/>
      <c r="V474" s="175">
        <f t="shared" si="1351"/>
        <v>0</v>
      </c>
      <c r="W474" s="203"/>
      <c r="X474" s="204">
        <f t="shared" si="1352"/>
        <v>0</v>
      </c>
      <c r="Y474" s="191">
        <f t="shared" si="1353"/>
        <v>0</v>
      </c>
      <c r="Z474" s="175">
        <f t="shared" si="1354"/>
        <v>0</v>
      </c>
      <c r="AA474" s="203"/>
      <c r="AB474" s="204">
        <f t="shared" si="1355"/>
        <v>0</v>
      </c>
      <c r="AC474" s="203"/>
      <c r="AD474" s="175">
        <f t="shared" si="1356"/>
        <v>0</v>
      </c>
      <c r="AE474" s="203"/>
      <c r="AF474" s="205">
        <f t="shared" si="1357"/>
        <v>0</v>
      </c>
      <c r="AG474" s="191">
        <f t="shared" si="1358"/>
        <v>0</v>
      </c>
      <c r="AH474" s="95">
        <f t="shared" si="1359"/>
        <v>0</v>
      </c>
      <c r="AI474" s="95">
        <f t="shared" si="1360"/>
        <v>0</v>
      </c>
      <c r="AJ474" s="175">
        <f t="shared" si="1361"/>
        <v>0</v>
      </c>
      <c r="AK474" s="203"/>
      <c r="AL474" s="175">
        <f t="shared" si="1362"/>
        <v>0</v>
      </c>
      <c r="AM474" s="242"/>
      <c r="AN474" s="175">
        <f t="shared" si="1363"/>
        <v>0</v>
      </c>
      <c r="AO474" s="203"/>
      <c r="AP474" s="204">
        <f t="shared" si="1364"/>
        <v>0</v>
      </c>
      <c r="AQ474" s="191">
        <f t="shared" si="1365"/>
        <v>0</v>
      </c>
      <c r="AR474" s="95">
        <f t="shared" si="1366"/>
        <v>0</v>
      </c>
      <c r="AS474" s="95"/>
      <c r="AT474" s="175">
        <f t="shared" si="1367"/>
        <v>0</v>
      </c>
      <c r="AU474" s="203"/>
      <c r="AV474" s="175">
        <f t="shared" si="1368"/>
        <v>0</v>
      </c>
      <c r="AW474" s="203"/>
      <c r="AX474" s="204">
        <f t="shared" si="1369"/>
        <v>0</v>
      </c>
      <c r="AY474" s="191">
        <f t="shared" si="1370"/>
        <v>0</v>
      </c>
      <c r="AZ474" s="95">
        <f t="shared" si="1371"/>
        <v>0</v>
      </c>
      <c r="BA474" s="95">
        <f t="shared" si="1372"/>
        <v>0</v>
      </c>
      <c r="BB474" s="95">
        <f t="shared" si="1373"/>
        <v>0</v>
      </c>
    </row>
    <row r="475" spans="1:54" s="6" customFormat="1">
      <c r="A475" s="492">
        <v>247</v>
      </c>
      <c r="B475" s="14"/>
      <c r="C475" s="14"/>
      <c r="D475" s="14" t="s">
        <v>1252</v>
      </c>
      <c r="E475" s="16" t="s">
        <v>1188</v>
      </c>
      <c r="F475" s="45" t="s">
        <v>1197</v>
      </c>
      <c r="G475" s="17" t="s">
        <v>1056</v>
      </c>
      <c r="H475" s="264" t="s">
        <v>358</v>
      </c>
      <c r="I475" s="240"/>
      <c r="J475" s="239">
        <v>5400</v>
      </c>
      <c r="K475" s="232"/>
      <c r="L475" s="239">
        <v>5400</v>
      </c>
      <c r="M475" s="232"/>
      <c r="N475" s="239"/>
      <c r="O475" s="240"/>
      <c r="P475" s="239"/>
      <c r="Q475" s="95">
        <f t="shared" si="1348"/>
        <v>0</v>
      </c>
      <c r="R475" s="335">
        <f t="shared" si="1349"/>
        <v>0</v>
      </c>
      <c r="S475" s="95"/>
      <c r="T475" s="95">
        <f t="shared" si="1350"/>
        <v>0</v>
      </c>
      <c r="U475" s="95"/>
      <c r="V475" s="175">
        <f t="shared" si="1351"/>
        <v>0</v>
      </c>
      <c r="W475" s="203"/>
      <c r="X475" s="204">
        <f t="shared" si="1352"/>
        <v>0</v>
      </c>
      <c r="Y475" s="191">
        <f t="shared" si="1353"/>
        <v>0</v>
      </c>
      <c r="Z475" s="175">
        <f t="shared" si="1354"/>
        <v>0</v>
      </c>
      <c r="AA475" s="203"/>
      <c r="AB475" s="204">
        <f t="shared" si="1355"/>
        <v>0</v>
      </c>
      <c r="AC475" s="203"/>
      <c r="AD475" s="175">
        <f t="shared" si="1356"/>
        <v>0</v>
      </c>
      <c r="AE475" s="203"/>
      <c r="AF475" s="205">
        <f t="shared" si="1357"/>
        <v>0</v>
      </c>
      <c r="AG475" s="191">
        <f t="shared" si="1358"/>
        <v>0</v>
      </c>
      <c r="AH475" s="95">
        <f t="shared" si="1359"/>
        <v>0</v>
      </c>
      <c r="AI475" s="95">
        <f t="shared" si="1360"/>
        <v>0</v>
      </c>
      <c r="AJ475" s="175">
        <f t="shared" si="1361"/>
        <v>0</v>
      </c>
      <c r="AK475" s="203"/>
      <c r="AL475" s="175">
        <f t="shared" si="1362"/>
        <v>0</v>
      </c>
      <c r="AM475" s="242"/>
      <c r="AN475" s="175">
        <f t="shared" si="1363"/>
        <v>0</v>
      </c>
      <c r="AO475" s="203"/>
      <c r="AP475" s="204">
        <f t="shared" si="1364"/>
        <v>0</v>
      </c>
      <c r="AQ475" s="191">
        <f t="shared" si="1365"/>
        <v>0</v>
      </c>
      <c r="AR475" s="95">
        <f t="shared" si="1366"/>
        <v>0</v>
      </c>
      <c r="AS475" s="95"/>
      <c r="AT475" s="175">
        <f t="shared" si="1367"/>
        <v>0</v>
      </c>
      <c r="AU475" s="203"/>
      <c r="AV475" s="175">
        <f t="shared" si="1368"/>
        <v>0</v>
      </c>
      <c r="AW475" s="203"/>
      <c r="AX475" s="204">
        <f t="shared" si="1369"/>
        <v>0</v>
      </c>
      <c r="AY475" s="191">
        <f t="shared" si="1370"/>
        <v>0</v>
      </c>
      <c r="AZ475" s="95">
        <f t="shared" si="1371"/>
        <v>0</v>
      </c>
      <c r="BA475" s="95">
        <f t="shared" si="1372"/>
        <v>0</v>
      </c>
      <c r="BB475" s="95">
        <f t="shared" si="1373"/>
        <v>0</v>
      </c>
    </row>
    <row r="476" spans="1:54">
      <c r="A476" s="492">
        <v>248</v>
      </c>
      <c r="B476" s="13"/>
      <c r="C476" s="13"/>
      <c r="D476" s="13" t="s">
        <v>1252</v>
      </c>
      <c r="E476" s="21" t="s">
        <v>1189</v>
      </c>
      <c r="F476" s="45" t="s">
        <v>1198</v>
      </c>
      <c r="G476" s="17" t="s">
        <v>1056</v>
      </c>
      <c r="H476" s="265" t="s">
        <v>358</v>
      </c>
      <c r="I476" s="142"/>
      <c r="J476" s="239">
        <v>5400</v>
      </c>
      <c r="K476" s="54"/>
      <c r="L476" s="239">
        <v>5400</v>
      </c>
      <c r="M476" s="54"/>
      <c r="N476" s="239"/>
      <c r="O476" s="142"/>
      <c r="P476" s="239"/>
      <c r="Q476" s="96">
        <f t="shared" si="1348"/>
        <v>0</v>
      </c>
      <c r="R476" s="337">
        <f t="shared" si="1349"/>
        <v>0</v>
      </c>
      <c r="S476" s="96"/>
      <c r="T476" s="96">
        <f t="shared" si="1350"/>
        <v>0</v>
      </c>
      <c r="U476" s="96"/>
      <c r="V476" s="176">
        <f t="shared" si="1351"/>
        <v>0</v>
      </c>
      <c r="W476" s="206"/>
      <c r="X476" s="205">
        <f t="shared" si="1352"/>
        <v>0</v>
      </c>
      <c r="Y476" s="188">
        <f t="shared" si="1353"/>
        <v>0</v>
      </c>
      <c r="Z476" s="176">
        <f t="shared" si="1354"/>
        <v>0</v>
      </c>
      <c r="AA476" s="206"/>
      <c r="AB476" s="205">
        <f t="shared" si="1355"/>
        <v>0</v>
      </c>
      <c r="AC476" s="206"/>
      <c r="AD476" s="176">
        <f t="shared" si="1356"/>
        <v>0</v>
      </c>
      <c r="AE476" s="206"/>
      <c r="AF476" s="205">
        <f t="shared" si="1357"/>
        <v>0</v>
      </c>
      <c r="AG476" s="188">
        <f t="shared" si="1358"/>
        <v>0</v>
      </c>
      <c r="AH476" s="96">
        <f t="shared" si="1359"/>
        <v>0</v>
      </c>
      <c r="AI476" s="96">
        <f t="shared" si="1360"/>
        <v>0</v>
      </c>
      <c r="AJ476" s="176">
        <f t="shared" si="1361"/>
        <v>0</v>
      </c>
      <c r="AK476" s="206"/>
      <c r="AL476" s="176">
        <f t="shared" si="1362"/>
        <v>0</v>
      </c>
      <c r="AM476" s="243"/>
      <c r="AN476" s="176">
        <f t="shared" si="1363"/>
        <v>0</v>
      </c>
      <c r="AO476" s="206"/>
      <c r="AP476" s="205">
        <f t="shared" si="1364"/>
        <v>0</v>
      </c>
      <c r="AQ476" s="188">
        <f t="shared" si="1365"/>
        <v>0</v>
      </c>
      <c r="AR476" s="96">
        <f t="shared" si="1366"/>
        <v>0</v>
      </c>
      <c r="AS476" s="96"/>
      <c r="AT476" s="176">
        <f t="shared" si="1367"/>
        <v>0</v>
      </c>
      <c r="AU476" s="206"/>
      <c r="AV476" s="176">
        <f t="shared" si="1368"/>
        <v>0</v>
      </c>
      <c r="AW476" s="206"/>
      <c r="AX476" s="205">
        <f t="shared" si="1369"/>
        <v>0</v>
      </c>
      <c r="AY476" s="188">
        <f t="shared" si="1370"/>
        <v>0</v>
      </c>
      <c r="AZ476" s="96">
        <f t="shared" si="1371"/>
        <v>0</v>
      </c>
      <c r="BA476" s="96">
        <f t="shared" si="1372"/>
        <v>0</v>
      </c>
      <c r="BB476" s="96">
        <f t="shared" si="1373"/>
        <v>0</v>
      </c>
    </row>
    <row r="477" spans="1:54">
      <c r="A477" s="492">
        <v>249</v>
      </c>
      <c r="B477" s="13"/>
      <c r="C477" s="13"/>
      <c r="D477" s="13" t="s">
        <v>1252</v>
      </c>
      <c r="E477" s="16" t="s">
        <v>1190</v>
      </c>
      <c r="F477" s="45" t="s">
        <v>1199</v>
      </c>
      <c r="G477" s="17" t="s">
        <v>1056</v>
      </c>
      <c r="H477" s="265" t="s">
        <v>358</v>
      </c>
      <c r="I477" s="142"/>
      <c r="J477" s="239">
        <v>5400</v>
      </c>
      <c r="K477" s="54"/>
      <c r="L477" s="239">
        <v>5400</v>
      </c>
      <c r="M477" s="54"/>
      <c r="N477" s="239"/>
      <c r="O477" s="142"/>
      <c r="P477" s="239"/>
      <c r="Q477" s="96">
        <f t="shared" si="1348"/>
        <v>0</v>
      </c>
      <c r="R477" s="337">
        <f t="shared" si="1349"/>
        <v>0</v>
      </c>
      <c r="S477" s="96"/>
      <c r="T477" s="96">
        <f t="shared" si="1350"/>
        <v>0</v>
      </c>
      <c r="U477" s="96"/>
      <c r="V477" s="176">
        <f t="shared" si="1351"/>
        <v>0</v>
      </c>
      <c r="W477" s="206"/>
      <c r="X477" s="205">
        <f t="shared" si="1352"/>
        <v>0</v>
      </c>
      <c r="Y477" s="188">
        <f t="shared" si="1353"/>
        <v>0</v>
      </c>
      <c r="Z477" s="176">
        <f t="shared" si="1354"/>
        <v>0</v>
      </c>
      <c r="AA477" s="206"/>
      <c r="AB477" s="205">
        <f t="shared" si="1355"/>
        <v>0</v>
      </c>
      <c r="AC477" s="206"/>
      <c r="AD477" s="176">
        <f t="shared" si="1356"/>
        <v>0</v>
      </c>
      <c r="AE477" s="206"/>
      <c r="AF477" s="205">
        <f t="shared" si="1357"/>
        <v>0</v>
      </c>
      <c r="AG477" s="188">
        <f t="shared" si="1358"/>
        <v>0</v>
      </c>
      <c r="AH477" s="96">
        <f t="shared" si="1359"/>
        <v>0</v>
      </c>
      <c r="AI477" s="96">
        <f t="shared" si="1360"/>
        <v>0</v>
      </c>
      <c r="AJ477" s="176">
        <f t="shared" si="1361"/>
        <v>0</v>
      </c>
      <c r="AK477" s="206"/>
      <c r="AL477" s="176">
        <f t="shared" si="1362"/>
        <v>0</v>
      </c>
      <c r="AM477" s="243"/>
      <c r="AN477" s="176">
        <f t="shared" si="1363"/>
        <v>0</v>
      </c>
      <c r="AO477" s="206"/>
      <c r="AP477" s="205">
        <f t="shared" si="1364"/>
        <v>0</v>
      </c>
      <c r="AQ477" s="188">
        <f t="shared" si="1365"/>
        <v>0</v>
      </c>
      <c r="AR477" s="96">
        <f t="shared" si="1366"/>
        <v>0</v>
      </c>
      <c r="AS477" s="96"/>
      <c r="AT477" s="176">
        <f t="shared" si="1367"/>
        <v>0</v>
      </c>
      <c r="AU477" s="206"/>
      <c r="AV477" s="176">
        <f t="shared" si="1368"/>
        <v>0</v>
      </c>
      <c r="AW477" s="206"/>
      <c r="AX477" s="205">
        <f t="shared" si="1369"/>
        <v>0</v>
      </c>
      <c r="AY477" s="188">
        <f t="shared" si="1370"/>
        <v>0</v>
      </c>
      <c r="AZ477" s="96">
        <f t="shared" si="1371"/>
        <v>0</v>
      </c>
      <c r="BA477" s="96">
        <f t="shared" si="1372"/>
        <v>0</v>
      </c>
      <c r="BB477" s="96">
        <f t="shared" si="1373"/>
        <v>0</v>
      </c>
    </row>
    <row r="478" spans="1:54">
      <c r="A478" s="492">
        <v>250</v>
      </c>
      <c r="B478" s="13"/>
      <c r="C478" s="13"/>
      <c r="D478" s="13" t="s">
        <v>1252</v>
      </c>
      <c r="E478" s="16" t="s">
        <v>1191</v>
      </c>
      <c r="F478" s="45" t="s">
        <v>1200</v>
      </c>
      <c r="G478" s="17" t="s">
        <v>1056</v>
      </c>
      <c r="H478" s="265" t="s">
        <v>358</v>
      </c>
      <c r="I478" s="142"/>
      <c r="J478" s="239">
        <v>5400</v>
      </c>
      <c r="K478" s="54"/>
      <c r="L478" s="239">
        <v>5400</v>
      </c>
      <c r="M478" s="54"/>
      <c r="N478" s="239"/>
      <c r="O478" s="142"/>
      <c r="P478" s="239"/>
      <c r="Q478" s="96">
        <f t="shared" si="1348"/>
        <v>5.0000000000000001E-3</v>
      </c>
      <c r="R478" s="337">
        <f t="shared" si="1349"/>
        <v>2.7E-2</v>
      </c>
      <c r="S478" s="96">
        <v>5.0000000000000001E-3</v>
      </c>
      <c r="T478" s="96">
        <f t="shared" si="1350"/>
        <v>2.7E-2</v>
      </c>
      <c r="U478" s="96"/>
      <c r="V478" s="176">
        <f t="shared" si="1351"/>
        <v>0</v>
      </c>
      <c r="W478" s="206"/>
      <c r="X478" s="205">
        <f t="shared" si="1352"/>
        <v>0</v>
      </c>
      <c r="Y478" s="188">
        <f t="shared" si="1353"/>
        <v>5.0000000000000001E-3</v>
      </c>
      <c r="Z478" s="176">
        <f t="shared" si="1354"/>
        <v>2.7E-2</v>
      </c>
      <c r="AA478" s="206"/>
      <c r="AB478" s="205">
        <f t="shared" si="1355"/>
        <v>0</v>
      </c>
      <c r="AC478" s="206"/>
      <c r="AD478" s="176">
        <f t="shared" si="1356"/>
        <v>0</v>
      </c>
      <c r="AE478" s="206"/>
      <c r="AF478" s="205">
        <f t="shared" si="1357"/>
        <v>0</v>
      </c>
      <c r="AG478" s="188">
        <f t="shared" si="1358"/>
        <v>0</v>
      </c>
      <c r="AH478" s="96">
        <f t="shared" si="1359"/>
        <v>0</v>
      </c>
      <c r="AI478" s="96">
        <f t="shared" si="1360"/>
        <v>5.0000000000000001E-3</v>
      </c>
      <c r="AJ478" s="176">
        <f t="shared" si="1361"/>
        <v>2.7E-2</v>
      </c>
      <c r="AK478" s="206"/>
      <c r="AL478" s="176">
        <f t="shared" si="1362"/>
        <v>0</v>
      </c>
      <c r="AM478" s="243"/>
      <c r="AN478" s="176">
        <f t="shared" si="1363"/>
        <v>0</v>
      </c>
      <c r="AO478" s="206"/>
      <c r="AP478" s="205">
        <f t="shared" si="1364"/>
        <v>0</v>
      </c>
      <c r="AQ478" s="188">
        <f t="shared" si="1365"/>
        <v>0</v>
      </c>
      <c r="AR478" s="96">
        <f t="shared" si="1366"/>
        <v>0</v>
      </c>
      <c r="AS478" s="96"/>
      <c r="AT478" s="176">
        <f t="shared" si="1367"/>
        <v>0</v>
      </c>
      <c r="AU478" s="206"/>
      <c r="AV478" s="176">
        <f t="shared" si="1368"/>
        <v>0</v>
      </c>
      <c r="AW478" s="206"/>
      <c r="AX478" s="205">
        <f t="shared" si="1369"/>
        <v>0</v>
      </c>
      <c r="AY478" s="188">
        <f t="shared" si="1370"/>
        <v>0</v>
      </c>
      <c r="AZ478" s="96">
        <f t="shared" si="1371"/>
        <v>0</v>
      </c>
      <c r="BA478" s="96">
        <f t="shared" si="1372"/>
        <v>0</v>
      </c>
      <c r="BB478" s="96">
        <f t="shared" si="1373"/>
        <v>0</v>
      </c>
    </row>
    <row r="479" spans="1:54">
      <c r="A479" s="492">
        <v>251</v>
      </c>
      <c r="B479" s="13"/>
      <c r="C479" s="13"/>
      <c r="D479" s="13" t="s">
        <v>1252</v>
      </c>
      <c r="E479" s="16" t="s">
        <v>1192</v>
      </c>
      <c r="F479" s="45" t="s">
        <v>1201</v>
      </c>
      <c r="G479" s="17" t="s">
        <v>1056</v>
      </c>
      <c r="H479" s="265" t="s">
        <v>358</v>
      </c>
      <c r="I479" s="142"/>
      <c r="J479" s="239">
        <v>5400</v>
      </c>
      <c r="K479" s="54"/>
      <c r="L479" s="239">
        <v>5400</v>
      </c>
      <c r="M479" s="54"/>
      <c r="N479" s="239"/>
      <c r="O479" s="142"/>
      <c r="P479" s="239"/>
      <c r="Q479" s="96">
        <f t="shared" si="1348"/>
        <v>0</v>
      </c>
      <c r="R479" s="337">
        <f t="shared" si="1349"/>
        <v>0</v>
      </c>
      <c r="S479" s="96"/>
      <c r="T479" s="96">
        <f t="shared" si="1350"/>
        <v>0</v>
      </c>
      <c r="U479" s="96"/>
      <c r="V479" s="176">
        <f t="shared" si="1351"/>
        <v>0</v>
      </c>
      <c r="W479" s="206"/>
      <c r="X479" s="205">
        <f t="shared" si="1352"/>
        <v>0</v>
      </c>
      <c r="Y479" s="188">
        <f t="shared" si="1353"/>
        <v>0</v>
      </c>
      <c r="Z479" s="176">
        <f t="shared" si="1354"/>
        <v>0</v>
      </c>
      <c r="AA479" s="206"/>
      <c r="AB479" s="205">
        <f t="shared" si="1355"/>
        <v>0</v>
      </c>
      <c r="AC479" s="206"/>
      <c r="AD479" s="176">
        <f t="shared" si="1356"/>
        <v>0</v>
      </c>
      <c r="AE479" s="206"/>
      <c r="AF479" s="205">
        <f t="shared" si="1357"/>
        <v>0</v>
      </c>
      <c r="AG479" s="188">
        <f t="shared" si="1358"/>
        <v>0</v>
      </c>
      <c r="AH479" s="96">
        <f t="shared" si="1359"/>
        <v>0</v>
      </c>
      <c r="AI479" s="96">
        <f t="shared" si="1360"/>
        <v>0</v>
      </c>
      <c r="AJ479" s="176">
        <f t="shared" si="1361"/>
        <v>0</v>
      </c>
      <c r="AK479" s="206"/>
      <c r="AL479" s="176">
        <f t="shared" si="1362"/>
        <v>0</v>
      </c>
      <c r="AM479" s="243"/>
      <c r="AN479" s="176">
        <f t="shared" si="1363"/>
        <v>0</v>
      </c>
      <c r="AO479" s="206"/>
      <c r="AP479" s="205">
        <f t="shared" si="1364"/>
        <v>0</v>
      </c>
      <c r="AQ479" s="188">
        <f t="shared" si="1365"/>
        <v>0</v>
      </c>
      <c r="AR479" s="96">
        <f t="shared" si="1366"/>
        <v>0</v>
      </c>
      <c r="AS479" s="96"/>
      <c r="AT479" s="176">
        <f t="shared" si="1367"/>
        <v>0</v>
      </c>
      <c r="AU479" s="206"/>
      <c r="AV479" s="176">
        <f t="shared" si="1368"/>
        <v>0</v>
      </c>
      <c r="AW479" s="206"/>
      <c r="AX479" s="205">
        <f t="shared" si="1369"/>
        <v>0</v>
      </c>
      <c r="AY479" s="188">
        <f t="shared" si="1370"/>
        <v>0</v>
      </c>
      <c r="AZ479" s="96">
        <f t="shared" si="1371"/>
        <v>0</v>
      </c>
      <c r="BA479" s="96">
        <f t="shared" si="1372"/>
        <v>0</v>
      </c>
      <c r="BB479" s="96">
        <f t="shared" si="1373"/>
        <v>0</v>
      </c>
    </row>
    <row r="480" spans="1:54">
      <c r="A480" s="492">
        <v>252</v>
      </c>
      <c r="B480" s="13"/>
      <c r="C480" s="13"/>
      <c r="D480" s="13" t="s">
        <v>1252</v>
      </c>
      <c r="E480" s="16" t="s">
        <v>1193</v>
      </c>
      <c r="F480" s="45" t="s">
        <v>1202</v>
      </c>
      <c r="G480" s="17" t="s">
        <v>1056</v>
      </c>
      <c r="H480" s="265" t="s">
        <v>358</v>
      </c>
      <c r="I480" s="142"/>
      <c r="J480" s="239">
        <v>5130</v>
      </c>
      <c r="K480" s="54"/>
      <c r="L480" s="239">
        <v>5130</v>
      </c>
      <c r="M480" s="54"/>
      <c r="N480" s="239"/>
      <c r="O480" s="142"/>
      <c r="P480" s="239"/>
      <c r="Q480" s="96">
        <f t="shared" si="1348"/>
        <v>0</v>
      </c>
      <c r="R480" s="337">
        <f t="shared" si="1349"/>
        <v>0</v>
      </c>
      <c r="S480" s="96"/>
      <c r="T480" s="96">
        <f t="shared" si="1350"/>
        <v>0</v>
      </c>
      <c r="U480" s="96"/>
      <c r="V480" s="176">
        <f t="shared" si="1351"/>
        <v>0</v>
      </c>
      <c r="W480" s="206"/>
      <c r="X480" s="205">
        <f t="shared" si="1352"/>
        <v>0</v>
      </c>
      <c r="Y480" s="188">
        <f t="shared" si="1353"/>
        <v>0</v>
      </c>
      <c r="Z480" s="176">
        <f t="shared" si="1354"/>
        <v>0</v>
      </c>
      <c r="AA480" s="206"/>
      <c r="AB480" s="205">
        <f t="shared" si="1355"/>
        <v>0</v>
      </c>
      <c r="AC480" s="206"/>
      <c r="AD480" s="176">
        <f t="shared" si="1356"/>
        <v>0</v>
      </c>
      <c r="AE480" s="206"/>
      <c r="AF480" s="205">
        <f t="shared" si="1357"/>
        <v>0</v>
      </c>
      <c r="AG480" s="188">
        <f t="shared" si="1358"/>
        <v>0</v>
      </c>
      <c r="AH480" s="96">
        <f t="shared" si="1359"/>
        <v>0</v>
      </c>
      <c r="AI480" s="96">
        <f t="shared" si="1360"/>
        <v>0</v>
      </c>
      <c r="AJ480" s="176">
        <f t="shared" si="1361"/>
        <v>0</v>
      </c>
      <c r="AK480" s="206"/>
      <c r="AL480" s="176">
        <f t="shared" si="1362"/>
        <v>0</v>
      </c>
      <c r="AM480" s="243"/>
      <c r="AN480" s="176">
        <f t="shared" si="1363"/>
        <v>0</v>
      </c>
      <c r="AO480" s="206"/>
      <c r="AP480" s="205">
        <f t="shared" si="1364"/>
        <v>0</v>
      </c>
      <c r="AQ480" s="188">
        <f t="shared" si="1365"/>
        <v>0</v>
      </c>
      <c r="AR480" s="96">
        <f t="shared" si="1366"/>
        <v>0</v>
      </c>
      <c r="AS480" s="96"/>
      <c r="AT480" s="176">
        <f t="shared" si="1367"/>
        <v>0</v>
      </c>
      <c r="AU480" s="206"/>
      <c r="AV480" s="176">
        <f t="shared" si="1368"/>
        <v>0</v>
      </c>
      <c r="AW480" s="206"/>
      <c r="AX480" s="205">
        <f t="shared" si="1369"/>
        <v>0</v>
      </c>
      <c r="AY480" s="188">
        <f t="shared" si="1370"/>
        <v>0</v>
      </c>
      <c r="AZ480" s="96">
        <f t="shared" si="1371"/>
        <v>0</v>
      </c>
      <c r="BA480" s="96">
        <f t="shared" si="1372"/>
        <v>0</v>
      </c>
      <c r="BB480" s="96">
        <f t="shared" si="1373"/>
        <v>0</v>
      </c>
    </row>
    <row r="481" spans="1:54">
      <c r="A481" s="492">
        <v>253</v>
      </c>
      <c r="B481" s="13"/>
      <c r="C481" s="13"/>
      <c r="D481" s="13" t="s">
        <v>1252</v>
      </c>
      <c r="E481" s="16" t="s">
        <v>1194</v>
      </c>
      <c r="F481" s="45" t="s">
        <v>1203</v>
      </c>
      <c r="G481" s="17" t="s">
        <v>1056</v>
      </c>
      <c r="H481" s="265" t="s">
        <v>358</v>
      </c>
      <c r="I481" s="142"/>
      <c r="J481" s="239">
        <v>5130</v>
      </c>
      <c r="K481" s="54"/>
      <c r="L481" s="239">
        <v>5130</v>
      </c>
      <c r="M481" s="54"/>
      <c r="N481" s="239"/>
      <c r="O481" s="142"/>
      <c r="P481" s="239"/>
      <c r="Q481" s="96">
        <f t="shared" si="1348"/>
        <v>9.9639999999999986</v>
      </c>
      <c r="R481" s="337">
        <f t="shared" si="1349"/>
        <v>51.115320000000004</v>
      </c>
      <c r="S481" s="96">
        <v>2.8679999999999999</v>
      </c>
      <c r="T481" s="96">
        <f t="shared" si="1350"/>
        <v>14.71284</v>
      </c>
      <c r="U481" s="96">
        <v>0.19800000000000001</v>
      </c>
      <c r="V481" s="176">
        <f t="shared" si="1351"/>
        <v>1.0157400000000001</v>
      </c>
      <c r="W481" s="206">
        <v>2.2429999999999999</v>
      </c>
      <c r="X481" s="205">
        <f t="shared" si="1352"/>
        <v>11.506590000000001</v>
      </c>
      <c r="Y481" s="188">
        <f t="shared" si="1353"/>
        <v>5.3089999999999993</v>
      </c>
      <c r="Z481" s="176">
        <f t="shared" si="1354"/>
        <v>27.235170000000004</v>
      </c>
      <c r="AA481" s="206">
        <v>4.6550000000000002</v>
      </c>
      <c r="AB481" s="205">
        <f t="shared" si="1355"/>
        <v>23.88015</v>
      </c>
      <c r="AC481" s="206"/>
      <c r="AD481" s="176">
        <f t="shared" si="1356"/>
        <v>0</v>
      </c>
      <c r="AE481" s="206"/>
      <c r="AF481" s="205">
        <f t="shared" si="1357"/>
        <v>0</v>
      </c>
      <c r="AG481" s="188">
        <f t="shared" si="1358"/>
        <v>4.6550000000000002</v>
      </c>
      <c r="AH481" s="96">
        <f t="shared" si="1359"/>
        <v>23.88015</v>
      </c>
      <c r="AI481" s="96">
        <f t="shared" si="1360"/>
        <v>9.9639999999999986</v>
      </c>
      <c r="AJ481" s="176">
        <f t="shared" si="1361"/>
        <v>51.115320000000004</v>
      </c>
      <c r="AK481" s="206"/>
      <c r="AL481" s="176">
        <f t="shared" si="1362"/>
        <v>0</v>
      </c>
      <c r="AM481" s="243"/>
      <c r="AN481" s="176">
        <f t="shared" si="1363"/>
        <v>0</v>
      </c>
      <c r="AO481" s="206"/>
      <c r="AP481" s="205">
        <f t="shared" si="1364"/>
        <v>0</v>
      </c>
      <c r="AQ481" s="188">
        <f t="shared" si="1365"/>
        <v>0</v>
      </c>
      <c r="AR481" s="96">
        <f t="shared" si="1366"/>
        <v>0</v>
      </c>
      <c r="AS481" s="96"/>
      <c r="AT481" s="176">
        <f t="shared" si="1367"/>
        <v>0</v>
      </c>
      <c r="AU481" s="206"/>
      <c r="AV481" s="176">
        <f t="shared" si="1368"/>
        <v>0</v>
      </c>
      <c r="AW481" s="206"/>
      <c r="AX481" s="205">
        <f t="shared" si="1369"/>
        <v>0</v>
      </c>
      <c r="AY481" s="188">
        <f t="shared" si="1370"/>
        <v>0</v>
      </c>
      <c r="AZ481" s="96">
        <f t="shared" si="1371"/>
        <v>0</v>
      </c>
      <c r="BA481" s="96">
        <f t="shared" si="1372"/>
        <v>0</v>
      </c>
      <c r="BB481" s="96">
        <f t="shared" si="1373"/>
        <v>0</v>
      </c>
    </row>
    <row r="482" spans="1:54">
      <c r="A482" s="492">
        <v>254</v>
      </c>
      <c r="B482" s="13"/>
      <c r="C482" s="13"/>
      <c r="D482" s="13" t="s">
        <v>1252</v>
      </c>
      <c r="E482" s="16" t="s">
        <v>1195</v>
      </c>
      <c r="F482" s="45" t="s">
        <v>1204</v>
      </c>
      <c r="G482" s="17" t="s">
        <v>1056</v>
      </c>
      <c r="H482" s="265" t="s">
        <v>358</v>
      </c>
      <c r="I482" s="142"/>
      <c r="J482" s="323">
        <v>5130</v>
      </c>
      <c r="K482" s="54"/>
      <c r="L482" s="323">
        <v>5130</v>
      </c>
      <c r="M482" s="54"/>
      <c r="N482" s="323"/>
      <c r="O482" s="142"/>
      <c r="P482" s="323"/>
      <c r="Q482" s="96">
        <f t="shared" si="1348"/>
        <v>0</v>
      </c>
      <c r="R482" s="337">
        <f t="shared" si="1349"/>
        <v>0</v>
      </c>
      <c r="S482" s="96"/>
      <c r="T482" s="96">
        <f t="shared" si="1350"/>
        <v>0</v>
      </c>
      <c r="U482" s="96"/>
      <c r="V482" s="176">
        <f t="shared" si="1351"/>
        <v>0</v>
      </c>
      <c r="W482" s="206"/>
      <c r="X482" s="205">
        <f t="shared" si="1352"/>
        <v>0</v>
      </c>
      <c r="Y482" s="188">
        <f t="shared" si="1353"/>
        <v>0</v>
      </c>
      <c r="Z482" s="176">
        <f t="shared" si="1354"/>
        <v>0</v>
      </c>
      <c r="AA482" s="206"/>
      <c r="AB482" s="205">
        <f t="shared" si="1355"/>
        <v>0</v>
      </c>
      <c r="AC482" s="206"/>
      <c r="AD482" s="176">
        <f t="shared" si="1356"/>
        <v>0</v>
      </c>
      <c r="AE482" s="206"/>
      <c r="AF482" s="205">
        <f t="shared" si="1357"/>
        <v>0</v>
      </c>
      <c r="AG482" s="188">
        <f t="shared" si="1358"/>
        <v>0</v>
      </c>
      <c r="AH482" s="96">
        <f t="shared" si="1359"/>
        <v>0</v>
      </c>
      <c r="AI482" s="96">
        <f t="shared" si="1360"/>
        <v>0</v>
      </c>
      <c r="AJ482" s="176">
        <f t="shared" si="1361"/>
        <v>0</v>
      </c>
      <c r="AK482" s="206"/>
      <c r="AL482" s="176">
        <f t="shared" si="1362"/>
        <v>0</v>
      </c>
      <c r="AM482" s="243"/>
      <c r="AN482" s="176">
        <f t="shared" si="1363"/>
        <v>0</v>
      </c>
      <c r="AO482" s="206"/>
      <c r="AP482" s="205">
        <f t="shared" si="1364"/>
        <v>0</v>
      </c>
      <c r="AQ482" s="188">
        <f t="shared" si="1365"/>
        <v>0</v>
      </c>
      <c r="AR482" s="96">
        <f t="shared" si="1366"/>
        <v>0</v>
      </c>
      <c r="AS482" s="96"/>
      <c r="AT482" s="176">
        <f t="shared" si="1367"/>
        <v>0</v>
      </c>
      <c r="AU482" s="206"/>
      <c r="AV482" s="176">
        <f t="shared" si="1368"/>
        <v>0</v>
      </c>
      <c r="AW482" s="206"/>
      <c r="AX482" s="205">
        <f t="shared" si="1369"/>
        <v>0</v>
      </c>
      <c r="AY482" s="188">
        <f t="shared" si="1370"/>
        <v>0</v>
      </c>
      <c r="AZ482" s="96">
        <f t="shared" si="1371"/>
        <v>0</v>
      </c>
      <c r="BA482" s="96">
        <f t="shared" si="1372"/>
        <v>0</v>
      </c>
      <c r="BB482" s="96">
        <f t="shared" si="1373"/>
        <v>0</v>
      </c>
    </row>
    <row r="483" spans="1:54" s="6" customFormat="1">
      <c r="A483" s="492">
        <v>245</v>
      </c>
      <c r="B483" s="14"/>
      <c r="C483" s="13"/>
      <c r="D483" s="14" t="s">
        <v>1253</v>
      </c>
      <c r="E483" s="16" t="s">
        <v>1341</v>
      </c>
      <c r="F483" s="424" t="s">
        <v>1342</v>
      </c>
      <c r="G483" s="495" t="s">
        <v>1056</v>
      </c>
      <c r="H483" s="446" t="s">
        <v>358</v>
      </c>
      <c r="I483" s="496"/>
      <c r="J483" s="493">
        <v>5458</v>
      </c>
      <c r="K483" s="425"/>
      <c r="L483" s="493">
        <v>5458</v>
      </c>
      <c r="M483" s="425"/>
      <c r="N483" s="493"/>
      <c r="O483" s="496"/>
      <c r="P483" s="493"/>
      <c r="Q483" s="95">
        <f t="shared" ref="Q483" si="1374">SUM(AI483+BA483)</f>
        <v>0</v>
      </c>
      <c r="R483" s="335">
        <f t="shared" ref="R483" si="1375">SUM(AJ483+BB483)</f>
        <v>0</v>
      </c>
      <c r="S483" s="95"/>
      <c r="T483" s="95">
        <f t="shared" ref="T483" si="1376">J483*S483/1000</f>
        <v>0</v>
      </c>
      <c r="U483" s="95"/>
      <c r="V483" s="175">
        <f t="shared" ref="V483" si="1377">J483*U483/1000</f>
        <v>0</v>
      </c>
      <c r="W483" s="203"/>
      <c r="X483" s="204">
        <f t="shared" ref="X483" si="1378">J483*W483/1000</f>
        <v>0</v>
      </c>
      <c r="Y483" s="191">
        <f t="shared" ref="Y483" si="1379">SUM(S483+U483+W483)</f>
        <v>0</v>
      </c>
      <c r="Z483" s="175">
        <f t="shared" ref="Z483" si="1380">SUM(T483+V483+X483)</f>
        <v>0</v>
      </c>
      <c r="AA483" s="203"/>
      <c r="AB483" s="204">
        <f t="shared" ref="AB483" si="1381">L483*AA483/1000</f>
        <v>0</v>
      </c>
      <c r="AC483" s="203"/>
      <c r="AD483" s="175">
        <f t="shared" ref="AD483" si="1382">L483*AC483/1000</f>
        <v>0</v>
      </c>
      <c r="AE483" s="203"/>
      <c r="AF483" s="205">
        <f t="shared" ref="AF483" si="1383">L483*AE483/1000</f>
        <v>0</v>
      </c>
      <c r="AG483" s="191">
        <f t="shared" ref="AG483" si="1384">SUM(AA483+AC483+AE483)</f>
        <v>0</v>
      </c>
      <c r="AH483" s="95">
        <f t="shared" ref="AH483" si="1385">SUM(AB483+AD483+AF483)</f>
        <v>0</v>
      </c>
      <c r="AI483" s="95">
        <f t="shared" ref="AI483" si="1386">SUM(Y483+AG483)</f>
        <v>0</v>
      </c>
      <c r="AJ483" s="175">
        <f t="shared" ref="AJ483" si="1387">SUM(Z483,AH483)</f>
        <v>0</v>
      </c>
      <c r="AK483" s="203"/>
      <c r="AL483" s="175">
        <f t="shared" ref="AL483" si="1388">N483*AK483/1000</f>
        <v>0</v>
      </c>
      <c r="AM483" s="242"/>
      <c r="AN483" s="175">
        <f t="shared" ref="AN483" si="1389">N483*AM483/1000</f>
        <v>0</v>
      </c>
      <c r="AO483" s="203"/>
      <c r="AP483" s="204">
        <f t="shared" ref="AP483" si="1390">N483*AO483/1000</f>
        <v>0</v>
      </c>
      <c r="AQ483" s="191">
        <f t="shared" ref="AQ483" si="1391">SUM(AK483+AM483+AO483)</f>
        <v>0</v>
      </c>
      <c r="AR483" s="95">
        <f t="shared" ref="AR483" si="1392">SUM(AL483+AN483+AP483)</f>
        <v>0</v>
      </c>
      <c r="AS483" s="95"/>
      <c r="AT483" s="175">
        <f t="shared" ref="AT483" si="1393">P483*AS483/1000</f>
        <v>0</v>
      </c>
      <c r="AU483" s="203"/>
      <c r="AV483" s="175">
        <f t="shared" ref="AV483" si="1394">P483*AU483/1000</f>
        <v>0</v>
      </c>
      <c r="AW483" s="203"/>
      <c r="AX483" s="204">
        <f t="shared" ref="AX483" si="1395">P483*AW483/1000</f>
        <v>0</v>
      </c>
      <c r="AY483" s="191">
        <f t="shared" ref="AY483" si="1396">SUM(AS483+AU483+AW483)</f>
        <v>0</v>
      </c>
      <c r="AZ483" s="95">
        <f t="shared" ref="AZ483" si="1397">SUM(AT483+AV483+AX483)</f>
        <v>0</v>
      </c>
      <c r="BA483" s="95">
        <f t="shared" ref="BA483" si="1398">SUM(AQ483+AY483)</f>
        <v>0</v>
      </c>
      <c r="BB483" s="95">
        <f t="shared" ref="BB483" si="1399">SUM(AR483,AZ483)</f>
        <v>0</v>
      </c>
    </row>
    <row r="484" spans="1:54" s="6" customFormat="1">
      <c r="A484" s="492">
        <v>245</v>
      </c>
      <c r="B484" s="14"/>
      <c r="C484" s="13"/>
      <c r="D484" s="14" t="s">
        <v>1253</v>
      </c>
      <c r="E484" s="16" t="s">
        <v>2565</v>
      </c>
      <c r="F484" s="424" t="s">
        <v>2566</v>
      </c>
      <c r="G484" s="495" t="s">
        <v>1056</v>
      </c>
      <c r="H484" s="446" t="s">
        <v>358</v>
      </c>
      <c r="I484" s="496"/>
      <c r="J484" s="493">
        <v>5372</v>
      </c>
      <c r="K484" s="425"/>
      <c r="L484" s="493">
        <v>5372</v>
      </c>
      <c r="M484" s="425"/>
      <c r="N484" s="493"/>
      <c r="O484" s="496"/>
      <c r="P484" s="493"/>
      <c r="Q484" s="95">
        <f t="shared" si="1348"/>
        <v>14.794</v>
      </c>
      <c r="R484" s="335">
        <f t="shared" si="1349"/>
        <v>79.473368000000008</v>
      </c>
      <c r="S484" s="95"/>
      <c r="T484" s="95">
        <f t="shared" si="1350"/>
        <v>0</v>
      </c>
      <c r="U484" s="95"/>
      <c r="V484" s="175">
        <f t="shared" si="1351"/>
        <v>0</v>
      </c>
      <c r="W484" s="203">
        <v>3.1120000000000001</v>
      </c>
      <c r="X484" s="204">
        <f t="shared" si="1352"/>
        <v>16.717663999999999</v>
      </c>
      <c r="Y484" s="191">
        <f t="shared" si="1353"/>
        <v>3.1120000000000001</v>
      </c>
      <c r="Z484" s="175">
        <f t="shared" si="1354"/>
        <v>16.717663999999999</v>
      </c>
      <c r="AA484" s="203">
        <v>11.682</v>
      </c>
      <c r="AB484" s="204">
        <f t="shared" si="1355"/>
        <v>62.755704000000009</v>
      </c>
      <c r="AC484" s="203"/>
      <c r="AD484" s="175">
        <f t="shared" si="1356"/>
        <v>0</v>
      </c>
      <c r="AE484" s="203"/>
      <c r="AF484" s="205">
        <f t="shared" si="1357"/>
        <v>0</v>
      </c>
      <c r="AG484" s="191">
        <f t="shared" si="1358"/>
        <v>11.682</v>
      </c>
      <c r="AH484" s="95">
        <f t="shared" si="1359"/>
        <v>62.755704000000009</v>
      </c>
      <c r="AI484" s="95">
        <f t="shared" si="1360"/>
        <v>14.794</v>
      </c>
      <c r="AJ484" s="175">
        <f t="shared" si="1361"/>
        <v>79.473368000000008</v>
      </c>
      <c r="AK484" s="203"/>
      <c r="AL484" s="175">
        <f t="shared" si="1362"/>
        <v>0</v>
      </c>
      <c r="AM484" s="242"/>
      <c r="AN484" s="175">
        <f t="shared" si="1363"/>
        <v>0</v>
      </c>
      <c r="AO484" s="203"/>
      <c r="AP484" s="204">
        <f t="shared" si="1364"/>
        <v>0</v>
      </c>
      <c r="AQ484" s="191">
        <f t="shared" si="1365"/>
        <v>0</v>
      </c>
      <c r="AR484" s="95">
        <f t="shared" si="1366"/>
        <v>0</v>
      </c>
      <c r="AS484" s="95"/>
      <c r="AT484" s="175">
        <f t="shared" si="1367"/>
        <v>0</v>
      </c>
      <c r="AU484" s="203"/>
      <c r="AV484" s="175">
        <f t="shared" si="1368"/>
        <v>0</v>
      </c>
      <c r="AW484" s="203"/>
      <c r="AX484" s="204">
        <f t="shared" si="1369"/>
        <v>0</v>
      </c>
      <c r="AY484" s="191">
        <f t="shared" si="1370"/>
        <v>0</v>
      </c>
      <c r="AZ484" s="95">
        <f t="shared" si="1371"/>
        <v>0</v>
      </c>
      <c r="BA484" s="95">
        <f t="shared" si="1372"/>
        <v>0</v>
      </c>
      <c r="BB484" s="95">
        <f t="shared" si="1373"/>
        <v>0</v>
      </c>
    </row>
    <row r="485" spans="1:54" ht="12.75" customHeight="1">
      <c r="A485" s="492">
        <v>271</v>
      </c>
      <c r="B485" s="13"/>
      <c r="C485" s="13"/>
      <c r="D485" s="13" t="s">
        <v>159</v>
      </c>
      <c r="E485" s="21" t="s">
        <v>1627</v>
      </c>
      <c r="F485" s="45"/>
      <c r="G485" s="45" t="s">
        <v>1059</v>
      </c>
      <c r="H485" s="265" t="s">
        <v>358</v>
      </c>
      <c r="I485" s="54">
        <v>9.6999999999999993</v>
      </c>
      <c r="J485" s="101"/>
      <c r="K485" s="54">
        <v>9.6999999999999993</v>
      </c>
      <c r="L485" s="162"/>
      <c r="M485" s="54"/>
      <c r="N485" s="162"/>
      <c r="O485" s="54"/>
      <c r="P485" s="101"/>
      <c r="Q485" s="96">
        <f t="shared" si="1348"/>
        <v>1.792</v>
      </c>
      <c r="R485" s="337">
        <f t="shared" si="1349"/>
        <v>25.094101760000001</v>
      </c>
      <c r="S485" s="96">
        <v>1.792</v>
      </c>
      <c r="T485" s="96">
        <f>I485*S485*$T$2/1000</f>
        <v>25.094101760000001</v>
      </c>
      <c r="U485" s="96"/>
      <c r="V485" s="176">
        <f>I485*U485*$V$2/1000</f>
        <v>0</v>
      </c>
      <c r="W485" s="206"/>
      <c r="X485" s="205">
        <f>I485*W485*$X$2/1000</f>
        <v>0</v>
      </c>
      <c r="Y485" s="188">
        <f t="shared" si="1353"/>
        <v>1.792</v>
      </c>
      <c r="Z485" s="176">
        <f t="shared" si="1354"/>
        <v>25.094101760000001</v>
      </c>
      <c r="AA485" s="206"/>
      <c r="AB485" s="205">
        <f>K485*AA485*$AB$2/1000</f>
        <v>0</v>
      </c>
      <c r="AC485" s="206"/>
      <c r="AD485" s="205">
        <f>K485*AC485*$AD$2/1000</f>
        <v>0</v>
      </c>
      <c r="AE485" s="206"/>
      <c r="AF485" s="205">
        <f>K485*AE485*$AF$2/1000</f>
        <v>0</v>
      </c>
      <c r="AG485" s="188">
        <f t="shared" si="1358"/>
        <v>0</v>
      </c>
      <c r="AH485" s="96">
        <f t="shared" si="1359"/>
        <v>0</v>
      </c>
      <c r="AI485" s="96">
        <f t="shared" si="1360"/>
        <v>1.792</v>
      </c>
      <c r="AJ485" s="176">
        <f t="shared" si="1361"/>
        <v>25.094101760000001</v>
      </c>
      <c r="AK485" s="206"/>
      <c r="AL485" s="439">
        <f>M485*AK485*$AL$2/1000</f>
        <v>0</v>
      </c>
      <c r="AM485" s="243"/>
      <c r="AN485" s="176">
        <f>M485*AM485*$AN$2/1000</f>
        <v>0</v>
      </c>
      <c r="AO485" s="206"/>
      <c r="AP485" s="205">
        <f>M485*AO485*$AP$2/1000</f>
        <v>0</v>
      </c>
      <c r="AQ485" s="188">
        <f t="shared" si="1365"/>
        <v>0</v>
      </c>
      <c r="AR485" s="96">
        <f t="shared" si="1366"/>
        <v>0</v>
      </c>
      <c r="AS485" s="96"/>
      <c r="AT485" s="176">
        <f>O485*AS485*$AT$2/1000</f>
        <v>0</v>
      </c>
      <c r="AU485" s="206"/>
      <c r="AV485" s="176">
        <f>O485*AU485*$AV$2/1000</f>
        <v>0</v>
      </c>
      <c r="AW485" s="206"/>
      <c r="AX485" s="205">
        <f>O485*AW485*$AX$2/1000</f>
        <v>0</v>
      </c>
      <c r="AY485" s="188">
        <f t="shared" si="1370"/>
        <v>0</v>
      </c>
      <c r="AZ485" s="96">
        <f t="shared" si="1371"/>
        <v>0</v>
      </c>
      <c r="BA485" s="96">
        <f t="shared" si="1372"/>
        <v>0</v>
      </c>
      <c r="BB485" s="96">
        <f t="shared" si="1373"/>
        <v>0</v>
      </c>
    </row>
    <row r="486" spans="1:54">
      <c r="A486" s="492">
        <v>264</v>
      </c>
      <c r="B486" s="13"/>
      <c r="C486" s="27" t="s">
        <v>134</v>
      </c>
      <c r="D486" s="289"/>
      <c r="E486" s="288"/>
      <c r="F486" s="236"/>
      <c r="G486" s="236"/>
      <c r="H486" s="236"/>
      <c r="I486" s="238"/>
      <c r="J486" s="236"/>
      <c r="K486" s="235"/>
      <c r="L486" s="237"/>
      <c r="M486" s="235"/>
      <c r="N486" s="237"/>
      <c r="O486" s="238"/>
      <c r="P486" s="236"/>
      <c r="Q486" s="457">
        <f t="shared" ref="Q486:BB486" si="1400">SUM(Q469:Q485)</f>
        <v>26.568000000000001</v>
      </c>
      <c r="R486" s="457">
        <f t="shared" si="1400"/>
        <v>155.84693976</v>
      </c>
      <c r="S486" s="457">
        <f t="shared" si="1400"/>
        <v>4.67</v>
      </c>
      <c r="T486" s="457">
        <f t="shared" si="1400"/>
        <v>39.886691760000005</v>
      </c>
      <c r="U486" s="457">
        <f t="shared" si="1400"/>
        <v>0.19800000000000001</v>
      </c>
      <c r="V486" s="457">
        <f t="shared" si="1400"/>
        <v>1.0157400000000001</v>
      </c>
      <c r="W486" s="457">
        <f t="shared" si="1400"/>
        <v>5.3629999999999995</v>
      </c>
      <c r="X486" s="457">
        <f t="shared" si="1400"/>
        <v>28.308654000000001</v>
      </c>
      <c r="Y486" s="457">
        <f t="shared" si="1400"/>
        <v>10.231</v>
      </c>
      <c r="Z486" s="457">
        <f t="shared" si="1400"/>
        <v>69.211085760000003</v>
      </c>
      <c r="AA486" s="457">
        <f t="shared" si="1400"/>
        <v>16.337</v>
      </c>
      <c r="AB486" s="457">
        <f t="shared" si="1400"/>
        <v>86.635854000000009</v>
      </c>
      <c r="AC486" s="457">
        <f t="shared" si="1400"/>
        <v>0</v>
      </c>
      <c r="AD486" s="457">
        <f t="shared" si="1400"/>
        <v>0</v>
      </c>
      <c r="AE486" s="457">
        <f t="shared" si="1400"/>
        <v>0</v>
      </c>
      <c r="AF486" s="457">
        <f t="shared" si="1400"/>
        <v>0</v>
      </c>
      <c r="AG486" s="457">
        <f t="shared" si="1400"/>
        <v>16.337</v>
      </c>
      <c r="AH486" s="457">
        <f t="shared" si="1400"/>
        <v>86.635854000000009</v>
      </c>
      <c r="AI486" s="457">
        <f t="shared" si="1400"/>
        <v>26.568000000000001</v>
      </c>
      <c r="AJ486" s="457">
        <f t="shared" si="1400"/>
        <v>155.84693976</v>
      </c>
      <c r="AK486" s="457">
        <f t="shared" si="1400"/>
        <v>0</v>
      </c>
      <c r="AL486" s="457">
        <f t="shared" si="1400"/>
        <v>0</v>
      </c>
      <c r="AM486" s="457">
        <f t="shared" si="1400"/>
        <v>0</v>
      </c>
      <c r="AN486" s="457">
        <f t="shared" si="1400"/>
        <v>0</v>
      </c>
      <c r="AO486" s="457">
        <f t="shared" si="1400"/>
        <v>0</v>
      </c>
      <c r="AP486" s="457">
        <f t="shared" si="1400"/>
        <v>0</v>
      </c>
      <c r="AQ486" s="457">
        <f t="shared" si="1400"/>
        <v>0</v>
      </c>
      <c r="AR486" s="457">
        <f t="shared" si="1400"/>
        <v>0</v>
      </c>
      <c r="AS486" s="457">
        <f t="shared" si="1400"/>
        <v>0</v>
      </c>
      <c r="AT486" s="457">
        <f t="shared" si="1400"/>
        <v>0</v>
      </c>
      <c r="AU486" s="457">
        <f t="shared" si="1400"/>
        <v>0</v>
      </c>
      <c r="AV486" s="457">
        <f t="shared" si="1400"/>
        <v>0</v>
      </c>
      <c r="AW486" s="457">
        <f t="shared" si="1400"/>
        <v>0</v>
      </c>
      <c r="AX486" s="457">
        <f t="shared" si="1400"/>
        <v>0</v>
      </c>
      <c r="AY486" s="457">
        <f t="shared" si="1400"/>
        <v>0</v>
      </c>
      <c r="AZ486" s="457">
        <f t="shared" si="1400"/>
        <v>0</v>
      </c>
      <c r="BA486" s="457">
        <f t="shared" si="1400"/>
        <v>0</v>
      </c>
      <c r="BB486" s="457">
        <f t="shared" si="1400"/>
        <v>0</v>
      </c>
    </row>
    <row r="487" spans="1:54" ht="12.75" customHeight="1">
      <c r="A487" s="492">
        <v>265</v>
      </c>
      <c r="B487" s="13"/>
      <c r="C487" s="52" t="s">
        <v>33</v>
      </c>
      <c r="D487" s="52" t="s">
        <v>1254</v>
      </c>
      <c r="E487" s="89" t="s">
        <v>827</v>
      </c>
      <c r="F487" s="408" t="s">
        <v>824</v>
      </c>
      <c r="G487" s="408" t="s">
        <v>1059</v>
      </c>
      <c r="H487" s="409" t="s">
        <v>358</v>
      </c>
      <c r="I487" s="254">
        <v>5.53</v>
      </c>
      <c r="J487" s="255"/>
      <c r="K487" s="254">
        <v>5.53</v>
      </c>
      <c r="L487" s="255"/>
      <c r="M487" s="254"/>
      <c r="N487" s="255"/>
      <c r="O487" s="254"/>
      <c r="P487" s="255"/>
      <c r="Q487" s="130">
        <f t="shared" ref="Q487:Q534" si="1401">SUM(AI487+BA487)</f>
        <v>7.8479999999999999</v>
      </c>
      <c r="R487" s="347">
        <f t="shared" ref="R487:R534" si="1402">SUM(AJ487+BB487)</f>
        <v>63.1836202032</v>
      </c>
      <c r="S487" s="130">
        <v>1.728</v>
      </c>
      <c r="T487" s="130">
        <f t="shared" ref="T487:T516" si="1403">I487*S487*$T$2/1000</f>
        <v>13.795288416000002</v>
      </c>
      <c r="U487" s="130">
        <v>3.528</v>
      </c>
      <c r="V487" s="184">
        <f t="shared" ref="V487:V516" si="1404">I487*U487*$V$2/1000</f>
        <v>28.0602224784</v>
      </c>
      <c r="W487" s="222">
        <v>0.86399999999999999</v>
      </c>
      <c r="X487" s="223">
        <f t="shared" ref="X487:X516" si="1405">I487*W487*$X$2/1000</f>
        <v>7.1782036703999994</v>
      </c>
      <c r="Y487" s="197">
        <f t="shared" ref="Y487:Y534" si="1406">SUM(S487+U487+W487)</f>
        <v>6.12</v>
      </c>
      <c r="Z487" s="184">
        <f t="shared" ref="Z487:Z534" si="1407">SUM(T487+V487+X487)</f>
        <v>49.0337145648</v>
      </c>
      <c r="AA487" s="222">
        <v>1.728</v>
      </c>
      <c r="AB487" s="223">
        <f t="shared" ref="AB487:AB516" si="1408">K487*AA487*$AB$2/1000</f>
        <v>14.1499056384</v>
      </c>
      <c r="AC487" s="222"/>
      <c r="AD487" s="223">
        <f t="shared" ref="AD487:AD516" si="1409">K487*AC487*$AD$2/1000</f>
        <v>0</v>
      </c>
      <c r="AE487" s="222"/>
      <c r="AF487" s="223">
        <f t="shared" ref="AF487:AF516" si="1410">K487*AE487*$AF$2/1000</f>
        <v>0</v>
      </c>
      <c r="AG487" s="413">
        <f t="shared" ref="AG487:AG534" si="1411">SUM(AA487+AC487+AE487)</f>
        <v>1.728</v>
      </c>
      <c r="AH487" s="410">
        <f t="shared" ref="AH487:AH534" si="1412">SUM(AB487+AD487+AF487)</f>
        <v>14.1499056384</v>
      </c>
      <c r="AI487" s="410">
        <f t="shared" ref="AI487:AI534" si="1413">SUM(Y487+AG487)</f>
        <v>7.8479999999999999</v>
      </c>
      <c r="AJ487" s="414">
        <f t="shared" ref="AJ487:AJ534" si="1414">SUM(Z487,AH487)</f>
        <v>63.1836202032</v>
      </c>
      <c r="AK487" s="412"/>
      <c r="AL487" s="443">
        <f t="shared" ref="AL487:AL516" si="1415">M487*AK487*$AL$2/1000</f>
        <v>0</v>
      </c>
      <c r="AM487" s="416"/>
      <c r="AN487" s="414">
        <f t="shared" ref="AN487:AN516" si="1416">M487*AM487*$AN$2/1000</f>
        <v>0</v>
      </c>
      <c r="AO487" s="412"/>
      <c r="AP487" s="450">
        <f t="shared" ref="AP487:AP516" si="1417">M487*AO487*$AP$2/1000</f>
        <v>0</v>
      </c>
      <c r="AQ487" s="413">
        <f t="shared" ref="AQ487:AQ534" si="1418">SUM(AK487+AM487+AO487)</f>
        <v>0</v>
      </c>
      <c r="AR487" s="410">
        <f t="shared" ref="AR487:AR534" si="1419">SUM(AL487+AN487+AP487)</f>
        <v>0</v>
      </c>
      <c r="AS487" s="410"/>
      <c r="AT487" s="414">
        <f t="shared" ref="AT487:AT516" si="1420">O487*AS487*$AT$2/1000</f>
        <v>0</v>
      </c>
      <c r="AU487" s="412"/>
      <c r="AV487" s="414">
        <f t="shared" ref="AV487:AV516" si="1421">O487*AU487*$AV$2/1000</f>
        <v>0</v>
      </c>
      <c r="AW487" s="412"/>
      <c r="AX487" s="415">
        <f t="shared" ref="AX487:AX516" si="1422">O487*AW487*$AX$2/1000</f>
        <v>0</v>
      </c>
      <c r="AY487" s="413">
        <f t="shared" ref="AY487:AY534" si="1423">SUM(AS487+AU487+AW487)</f>
        <v>0</v>
      </c>
      <c r="AZ487" s="410">
        <f t="shared" ref="AZ487:AZ534" si="1424">SUM(AT487+AV487+AX487)</f>
        <v>0</v>
      </c>
      <c r="BA487" s="410">
        <f t="shared" ref="BA487:BA534" si="1425">SUM(AQ487+AY487)</f>
        <v>0</v>
      </c>
      <c r="BB487" s="410">
        <f t="shared" ref="BB487:BB534" si="1426">SUM(AR487,AZ487)</f>
        <v>0</v>
      </c>
    </row>
    <row r="488" spans="1:54" ht="12.75" customHeight="1">
      <c r="A488" s="492">
        <v>266</v>
      </c>
      <c r="B488" s="13"/>
      <c r="C488" s="13"/>
      <c r="D488" s="13" t="s">
        <v>1254</v>
      </c>
      <c r="E488" s="21" t="s">
        <v>828</v>
      </c>
      <c r="F488" s="45" t="s">
        <v>825</v>
      </c>
      <c r="G488" s="45" t="s">
        <v>1059</v>
      </c>
      <c r="H488" s="265" t="s">
        <v>358</v>
      </c>
      <c r="I488" s="54">
        <v>5.38</v>
      </c>
      <c r="J488" s="101"/>
      <c r="K488" s="54">
        <v>5.38</v>
      </c>
      <c r="L488" s="101"/>
      <c r="M488" s="54"/>
      <c r="N488" s="101"/>
      <c r="O488" s="54"/>
      <c r="P488" s="101"/>
      <c r="Q488" s="96">
        <f t="shared" si="1401"/>
        <v>11.88</v>
      </c>
      <c r="R488" s="337">
        <f t="shared" si="1402"/>
        <v>93.756440088000005</v>
      </c>
      <c r="S488" s="96">
        <v>3.24</v>
      </c>
      <c r="T488" s="96">
        <f t="shared" si="1403"/>
        <v>25.164551880000001</v>
      </c>
      <c r="U488" s="96">
        <v>3.24</v>
      </c>
      <c r="V488" s="176">
        <f t="shared" si="1404"/>
        <v>25.070597711999998</v>
      </c>
      <c r="W488" s="206">
        <v>4.32</v>
      </c>
      <c r="X488" s="205">
        <f t="shared" si="1405"/>
        <v>34.917482591999999</v>
      </c>
      <c r="Y488" s="188">
        <f t="shared" si="1406"/>
        <v>10.8</v>
      </c>
      <c r="Z488" s="176">
        <f t="shared" si="1407"/>
        <v>85.152632183999998</v>
      </c>
      <c r="AA488" s="206">
        <v>1.08</v>
      </c>
      <c r="AB488" s="205">
        <f t="shared" si="1408"/>
        <v>8.6038079040000017</v>
      </c>
      <c r="AC488" s="206"/>
      <c r="AD488" s="205">
        <f t="shared" si="1409"/>
        <v>0</v>
      </c>
      <c r="AE488" s="206"/>
      <c r="AF488" s="205">
        <f t="shared" si="1410"/>
        <v>0</v>
      </c>
      <c r="AG488" s="188">
        <f t="shared" si="1411"/>
        <v>1.08</v>
      </c>
      <c r="AH488" s="96">
        <f t="shared" si="1412"/>
        <v>8.6038079040000017</v>
      </c>
      <c r="AI488" s="96">
        <f t="shared" si="1413"/>
        <v>11.88</v>
      </c>
      <c r="AJ488" s="176">
        <f t="shared" si="1414"/>
        <v>93.756440088000005</v>
      </c>
      <c r="AK488" s="206"/>
      <c r="AL488" s="439">
        <f t="shared" si="1415"/>
        <v>0</v>
      </c>
      <c r="AM488" s="243"/>
      <c r="AN488" s="176">
        <f t="shared" si="1416"/>
        <v>0</v>
      </c>
      <c r="AO488" s="206"/>
      <c r="AP488" s="205">
        <f t="shared" si="1417"/>
        <v>0</v>
      </c>
      <c r="AQ488" s="188">
        <f t="shared" si="1418"/>
        <v>0</v>
      </c>
      <c r="AR488" s="96">
        <f t="shared" si="1419"/>
        <v>0</v>
      </c>
      <c r="AS488" s="96"/>
      <c r="AT488" s="176">
        <f t="shared" si="1420"/>
        <v>0</v>
      </c>
      <c r="AU488" s="206"/>
      <c r="AV488" s="176">
        <f t="shared" si="1421"/>
        <v>0</v>
      </c>
      <c r="AW488" s="206"/>
      <c r="AX488" s="205">
        <f t="shared" si="1422"/>
        <v>0</v>
      </c>
      <c r="AY488" s="188">
        <f t="shared" si="1423"/>
        <v>0</v>
      </c>
      <c r="AZ488" s="96">
        <f t="shared" si="1424"/>
        <v>0</v>
      </c>
      <c r="BA488" s="96">
        <f t="shared" si="1425"/>
        <v>0</v>
      </c>
      <c r="BB488" s="96">
        <f t="shared" si="1426"/>
        <v>0</v>
      </c>
    </row>
    <row r="489" spans="1:54" ht="12.75" customHeight="1">
      <c r="A489" s="492">
        <v>268</v>
      </c>
      <c r="B489" s="13"/>
      <c r="C489" s="13"/>
      <c r="D489" s="13" t="s">
        <v>1254</v>
      </c>
      <c r="E489" s="21" t="s">
        <v>1373</v>
      </c>
      <c r="F489" s="45" t="s">
        <v>814</v>
      </c>
      <c r="G489" s="45" t="s">
        <v>1059</v>
      </c>
      <c r="H489" s="265" t="s">
        <v>358</v>
      </c>
      <c r="I489" s="54">
        <v>5.38</v>
      </c>
      <c r="J489" s="101"/>
      <c r="K489" s="54">
        <v>5.3</v>
      </c>
      <c r="L489" s="101"/>
      <c r="M489" s="54"/>
      <c r="N489" s="101"/>
      <c r="O489" s="54"/>
      <c r="P489" s="101"/>
      <c r="Q489" s="96">
        <f t="shared" si="1401"/>
        <v>182.02099999999999</v>
      </c>
      <c r="R489" s="337">
        <f t="shared" si="1402"/>
        <v>1428.9459225209998</v>
      </c>
      <c r="S489" s="96">
        <v>46.271999999999998</v>
      </c>
      <c r="T489" s="96">
        <f t="shared" si="1403"/>
        <v>359.38708166399999</v>
      </c>
      <c r="U489" s="96">
        <v>41.472000000000001</v>
      </c>
      <c r="V489" s="176">
        <f t="shared" si="1404"/>
        <v>320.90365071359997</v>
      </c>
      <c r="W489" s="206">
        <v>37.348999999999997</v>
      </c>
      <c r="X489" s="205">
        <f t="shared" si="1405"/>
        <v>301.88265215939992</v>
      </c>
      <c r="Y489" s="188">
        <f t="shared" si="1406"/>
        <v>125.09299999999999</v>
      </c>
      <c r="Z489" s="176">
        <f t="shared" si="1407"/>
        <v>982.17338453699995</v>
      </c>
      <c r="AA489" s="206">
        <v>56.927999999999997</v>
      </c>
      <c r="AB489" s="205">
        <f t="shared" si="1408"/>
        <v>446.77253798399994</v>
      </c>
      <c r="AC489" s="206"/>
      <c r="AD489" s="205">
        <f t="shared" si="1409"/>
        <v>0</v>
      </c>
      <c r="AE489" s="206"/>
      <c r="AF489" s="205">
        <f t="shared" si="1410"/>
        <v>0</v>
      </c>
      <c r="AG489" s="188">
        <f t="shared" si="1411"/>
        <v>56.927999999999997</v>
      </c>
      <c r="AH489" s="96">
        <f t="shared" si="1412"/>
        <v>446.77253798399994</v>
      </c>
      <c r="AI489" s="96">
        <f t="shared" si="1413"/>
        <v>182.02099999999999</v>
      </c>
      <c r="AJ489" s="176">
        <f t="shared" si="1414"/>
        <v>1428.9459225209998</v>
      </c>
      <c r="AK489" s="206"/>
      <c r="AL489" s="439">
        <f t="shared" si="1415"/>
        <v>0</v>
      </c>
      <c r="AM489" s="243"/>
      <c r="AN489" s="176">
        <f t="shared" si="1416"/>
        <v>0</v>
      </c>
      <c r="AO489" s="206"/>
      <c r="AP489" s="205">
        <f t="shared" si="1417"/>
        <v>0</v>
      </c>
      <c r="AQ489" s="188">
        <f t="shared" si="1418"/>
        <v>0</v>
      </c>
      <c r="AR489" s="96">
        <f t="shared" si="1419"/>
        <v>0</v>
      </c>
      <c r="AS489" s="96"/>
      <c r="AT489" s="176">
        <f t="shared" si="1420"/>
        <v>0</v>
      </c>
      <c r="AU489" s="206"/>
      <c r="AV489" s="176">
        <f t="shared" si="1421"/>
        <v>0</v>
      </c>
      <c r="AW489" s="206"/>
      <c r="AX489" s="205">
        <f t="shared" si="1422"/>
        <v>0</v>
      </c>
      <c r="AY489" s="188">
        <f t="shared" si="1423"/>
        <v>0</v>
      </c>
      <c r="AZ489" s="96">
        <f t="shared" si="1424"/>
        <v>0</v>
      </c>
      <c r="BA489" s="96">
        <f t="shared" si="1425"/>
        <v>0</v>
      </c>
      <c r="BB489" s="96">
        <f t="shared" si="1426"/>
        <v>0</v>
      </c>
    </row>
    <row r="490" spans="1:54" ht="12.75" customHeight="1">
      <c r="A490" s="492">
        <v>268</v>
      </c>
      <c r="B490" s="13"/>
      <c r="C490" s="13"/>
      <c r="D490" s="13" t="s">
        <v>1254</v>
      </c>
      <c r="E490" s="21" t="s">
        <v>829</v>
      </c>
      <c r="F490" s="45" t="s">
        <v>826</v>
      </c>
      <c r="G490" s="45" t="s">
        <v>1059</v>
      </c>
      <c r="H490" s="265" t="s">
        <v>358</v>
      </c>
      <c r="I490" s="54">
        <v>5.35</v>
      </c>
      <c r="J490" s="101"/>
      <c r="K490" s="54">
        <v>5.35</v>
      </c>
      <c r="L490" s="101"/>
      <c r="M490" s="54"/>
      <c r="N490" s="101"/>
      <c r="O490" s="54"/>
      <c r="P490" s="101"/>
      <c r="Q490" s="96">
        <f t="shared" si="1401"/>
        <v>0.86399999999999988</v>
      </c>
      <c r="R490" s="337">
        <f t="shared" si="1402"/>
        <v>6.7303068479999997</v>
      </c>
      <c r="S490" s="96">
        <v>0.57599999999999996</v>
      </c>
      <c r="T490" s="96">
        <f t="shared" si="1403"/>
        <v>4.4487518399999999</v>
      </c>
      <c r="U490" s="96"/>
      <c r="V490" s="176">
        <f t="shared" si="1404"/>
        <v>0</v>
      </c>
      <c r="W490" s="206"/>
      <c r="X490" s="205">
        <f t="shared" si="1405"/>
        <v>0</v>
      </c>
      <c r="Y490" s="188">
        <f t="shared" si="1406"/>
        <v>0.57599999999999996</v>
      </c>
      <c r="Z490" s="176">
        <f t="shared" si="1407"/>
        <v>4.4487518399999999</v>
      </c>
      <c r="AA490" s="206">
        <v>0.28799999999999998</v>
      </c>
      <c r="AB490" s="205">
        <f t="shared" si="1408"/>
        <v>2.2815550079999993</v>
      </c>
      <c r="AC490" s="206"/>
      <c r="AD490" s="205">
        <f t="shared" si="1409"/>
        <v>0</v>
      </c>
      <c r="AE490" s="206"/>
      <c r="AF490" s="205">
        <f t="shared" si="1410"/>
        <v>0</v>
      </c>
      <c r="AG490" s="188">
        <f t="shared" si="1411"/>
        <v>0.28799999999999998</v>
      </c>
      <c r="AH490" s="96">
        <f t="shared" si="1412"/>
        <v>2.2815550079999993</v>
      </c>
      <c r="AI490" s="96">
        <f t="shared" si="1413"/>
        <v>0.86399999999999988</v>
      </c>
      <c r="AJ490" s="176">
        <f t="shared" si="1414"/>
        <v>6.7303068479999997</v>
      </c>
      <c r="AK490" s="206"/>
      <c r="AL490" s="439">
        <f t="shared" si="1415"/>
        <v>0</v>
      </c>
      <c r="AM490" s="243"/>
      <c r="AN490" s="176">
        <f t="shared" si="1416"/>
        <v>0</v>
      </c>
      <c r="AO490" s="206"/>
      <c r="AP490" s="205">
        <f t="shared" si="1417"/>
        <v>0</v>
      </c>
      <c r="AQ490" s="188">
        <f t="shared" si="1418"/>
        <v>0</v>
      </c>
      <c r="AR490" s="96">
        <f t="shared" si="1419"/>
        <v>0</v>
      </c>
      <c r="AS490" s="96"/>
      <c r="AT490" s="176">
        <f t="shared" si="1420"/>
        <v>0</v>
      </c>
      <c r="AU490" s="206"/>
      <c r="AV490" s="176">
        <f t="shared" si="1421"/>
        <v>0</v>
      </c>
      <c r="AW490" s="206"/>
      <c r="AX490" s="205">
        <f t="shared" si="1422"/>
        <v>0</v>
      </c>
      <c r="AY490" s="188">
        <f t="shared" si="1423"/>
        <v>0</v>
      </c>
      <c r="AZ490" s="96">
        <f t="shared" si="1424"/>
        <v>0</v>
      </c>
      <c r="BA490" s="96">
        <f t="shared" si="1425"/>
        <v>0</v>
      </c>
      <c r="BB490" s="96">
        <f t="shared" si="1426"/>
        <v>0</v>
      </c>
    </row>
    <row r="491" spans="1:54" ht="12.75" customHeight="1">
      <c r="A491" s="492">
        <v>269</v>
      </c>
      <c r="B491" s="13"/>
      <c r="C491" s="13"/>
      <c r="D491" s="13" t="s">
        <v>1254</v>
      </c>
      <c r="E491" s="21" t="s">
        <v>843</v>
      </c>
      <c r="F491" s="45" t="s">
        <v>844</v>
      </c>
      <c r="G491" s="45" t="s">
        <v>1059</v>
      </c>
      <c r="H491" s="265" t="s">
        <v>358</v>
      </c>
      <c r="I491" s="54">
        <v>5.3</v>
      </c>
      <c r="J491" s="101"/>
      <c r="K491" s="54">
        <v>5.3</v>
      </c>
      <c r="L491" s="101"/>
      <c r="M491" s="54"/>
      <c r="N491" s="101"/>
      <c r="O491" s="54"/>
      <c r="P491" s="101"/>
      <c r="Q491" s="96">
        <f t="shared" si="1401"/>
        <v>2.3039999999999998</v>
      </c>
      <c r="R491" s="337">
        <f t="shared" si="1402"/>
        <v>17.562880511999996</v>
      </c>
      <c r="S491" s="96"/>
      <c r="T491" s="96">
        <f t="shared" si="1403"/>
        <v>0</v>
      </c>
      <c r="U491" s="96">
        <v>2.3039999999999998</v>
      </c>
      <c r="V491" s="176">
        <f t="shared" si="1404"/>
        <v>17.562880511999996</v>
      </c>
      <c r="W491" s="206"/>
      <c r="X491" s="205">
        <f t="shared" si="1405"/>
        <v>0</v>
      </c>
      <c r="Y491" s="188">
        <f t="shared" si="1406"/>
        <v>2.3039999999999998</v>
      </c>
      <c r="Z491" s="176">
        <f t="shared" si="1407"/>
        <v>17.562880511999996</v>
      </c>
      <c r="AA491" s="206"/>
      <c r="AB491" s="205">
        <f t="shared" si="1408"/>
        <v>0</v>
      </c>
      <c r="AC491" s="206"/>
      <c r="AD491" s="205">
        <f t="shared" si="1409"/>
        <v>0</v>
      </c>
      <c r="AE491" s="206"/>
      <c r="AF491" s="205">
        <f t="shared" si="1410"/>
        <v>0</v>
      </c>
      <c r="AG491" s="188">
        <f t="shared" si="1411"/>
        <v>0</v>
      </c>
      <c r="AH491" s="96">
        <f t="shared" si="1412"/>
        <v>0</v>
      </c>
      <c r="AI491" s="96">
        <f t="shared" si="1413"/>
        <v>2.3039999999999998</v>
      </c>
      <c r="AJ491" s="176">
        <f t="shared" si="1414"/>
        <v>17.562880511999996</v>
      </c>
      <c r="AK491" s="206"/>
      <c r="AL491" s="439">
        <f t="shared" si="1415"/>
        <v>0</v>
      </c>
      <c r="AM491" s="243"/>
      <c r="AN491" s="176">
        <f t="shared" si="1416"/>
        <v>0</v>
      </c>
      <c r="AO491" s="206"/>
      <c r="AP491" s="205">
        <f t="shared" si="1417"/>
        <v>0</v>
      </c>
      <c r="AQ491" s="188">
        <f t="shared" si="1418"/>
        <v>0</v>
      </c>
      <c r="AR491" s="96">
        <f t="shared" si="1419"/>
        <v>0</v>
      </c>
      <c r="AS491" s="96"/>
      <c r="AT491" s="176">
        <f t="shared" si="1420"/>
        <v>0</v>
      </c>
      <c r="AU491" s="206"/>
      <c r="AV491" s="176">
        <f t="shared" si="1421"/>
        <v>0</v>
      </c>
      <c r="AW491" s="206"/>
      <c r="AX491" s="205">
        <f t="shared" si="1422"/>
        <v>0</v>
      </c>
      <c r="AY491" s="188">
        <f t="shared" si="1423"/>
        <v>0</v>
      </c>
      <c r="AZ491" s="96">
        <f t="shared" si="1424"/>
        <v>0</v>
      </c>
      <c r="BA491" s="96">
        <f t="shared" si="1425"/>
        <v>0</v>
      </c>
      <c r="BB491" s="96">
        <f t="shared" si="1426"/>
        <v>0</v>
      </c>
    </row>
    <row r="492" spans="1:54" ht="12.75" customHeight="1">
      <c r="A492" s="492">
        <v>270</v>
      </c>
      <c r="B492" s="13"/>
      <c r="C492" s="13"/>
      <c r="D492" s="13" t="s">
        <v>1254</v>
      </c>
      <c r="E492" s="21" t="s">
        <v>883</v>
      </c>
      <c r="F492" s="45" t="s">
        <v>881</v>
      </c>
      <c r="G492" s="45" t="s">
        <v>1059</v>
      </c>
      <c r="H492" s="265" t="s">
        <v>358</v>
      </c>
      <c r="I492" s="54">
        <v>5.4</v>
      </c>
      <c r="J492" s="101"/>
      <c r="K492" s="54">
        <v>5.4</v>
      </c>
      <c r="L492" s="101"/>
      <c r="M492" s="54"/>
      <c r="N492" s="101"/>
      <c r="O492" s="54"/>
      <c r="P492" s="101"/>
      <c r="Q492" s="96">
        <f t="shared" si="1401"/>
        <v>4.1280000000000001</v>
      </c>
      <c r="R492" s="337">
        <f t="shared" si="1402"/>
        <v>32.693621759999999</v>
      </c>
      <c r="S492" s="96">
        <v>0.86399999999999999</v>
      </c>
      <c r="T492" s="96">
        <f t="shared" si="1403"/>
        <v>6.7354934400000008</v>
      </c>
      <c r="U492" s="96">
        <v>1.1519999999999999</v>
      </c>
      <c r="V492" s="176">
        <f t="shared" si="1404"/>
        <v>8.9471278079999994</v>
      </c>
      <c r="W492" s="206">
        <v>1.056</v>
      </c>
      <c r="X492" s="205">
        <f t="shared" si="1405"/>
        <v>8.567114688000002</v>
      </c>
      <c r="Y492" s="188">
        <f t="shared" si="1406"/>
        <v>3.0720000000000001</v>
      </c>
      <c r="Z492" s="176">
        <f t="shared" si="1407"/>
        <v>24.249735936</v>
      </c>
      <c r="AA492" s="206">
        <v>1.056</v>
      </c>
      <c r="AB492" s="205">
        <f t="shared" si="1408"/>
        <v>8.4438858240000005</v>
      </c>
      <c r="AC492" s="206"/>
      <c r="AD492" s="205">
        <f t="shared" si="1409"/>
        <v>0</v>
      </c>
      <c r="AE492" s="206"/>
      <c r="AF492" s="205">
        <f t="shared" si="1410"/>
        <v>0</v>
      </c>
      <c r="AG492" s="188">
        <f t="shared" si="1411"/>
        <v>1.056</v>
      </c>
      <c r="AH492" s="96">
        <f t="shared" si="1412"/>
        <v>8.4438858240000005</v>
      </c>
      <c r="AI492" s="96">
        <f t="shared" si="1413"/>
        <v>4.1280000000000001</v>
      </c>
      <c r="AJ492" s="176">
        <f t="shared" si="1414"/>
        <v>32.693621759999999</v>
      </c>
      <c r="AK492" s="206"/>
      <c r="AL492" s="439">
        <f t="shared" si="1415"/>
        <v>0</v>
      </c>
      <c r="AM492" s="243"/>
      <c r="AN492" s="176">
        <f t="shared" si="1416"/>
        <v>0</v>
      </c>
      <c r="AO492" s="206"/>
      <c r="AP492" s="205">
        <f t="shared" si="1417"/>
        <v>0</v>
      </c>
      <c r="AQ492" s="188">
        <f t="shared" si="1418"/>
        <v>0</v>
      </c>
      <c r="AR492" s="96">
        <f t="shared" si="1419"/>
        <v>0</v>
      </c>
      <c r="AS492" s="96"/>
      <c r="AT492" s="176">
        <f t="shared" si="1420"/>
        <v>0</v>
      </c>
      <c r="AU492" s="206"/>
      <c r="AV492" s="176">
        <f t="shared" si="1421"/>
        <v>0</v>
      </c>
      <c r="AW492" s="206"/>
      <c r="AX492" s="205">
        <f t="shared" si="1422"/>
        <v>0</v>
      </c>
      <c r="AY492" s="188">
        <f t="shared" si="1423"/>
        <v>0</v>
      </c>
      <c r="AZ492" s="96">
        <f t="shared" si="1424"/>
        <v>0</v>
      </c>
      <c r="BA492" s="96">
        <f t="shared" si="1425"/>
        <v>0</v>
      </c>
      <c r="BB492" s="96">
        <f t="shared" si="1426"/>
        <v>0</v>
      </c>
    </row>
    <row r="493" spans="1:54" ht="12.75" customHeight="1">
      <c r="A493" s="492">
        <v>271</v>
      </c>
      <c r="B493" s="13"/>
      <c r="C493" s="13"/>
      <c r="D493" s="13" t="s">
        <v>1254</v>
      </c>
      <c r="E493" s="21" t="s">
        <v>907</v>
      </c>
      <c r="F493" s="45" t="s">
        <v>906</v>
      </c>
      <c r="G493" s="45" t="s">
        <v>1059</v>
      </c>
      <c r="H493" s="265" t="s">
        <v>358</v>
      </c>
      <c r="I493" s="54">
        <v>5.81</v>
      </c>
      <c r="J493" s="101"/>
      <c r="K493" s="54">
        <v>5.81</v>
      </c>
      <c r="L493" s="101"/>
      <c r="M493" s="54"/>
      <c r="N493" s="101"/>
      <c r="O493" s="54"/>
      <c r="P493" s="101"/>
      <c r="Q493" s="96">
        <f t="shared" si="1401"/>
        <v>0</v>
      </c>
      <c r="R493" s="337">
        <f t="shared" si="1402"/>
        <v>0</v>
      </c>
      <c r="S493" s="96"/>
      <c r="T493" s="96">
        <f t="shared" si="1403"/>
        <v>0</v>
      </c>
      <c r="U493" s="96"/>
      <c r="V493" s="176">
        <f t="shared" si="1404"/>
        <v>0</v>
      </c>
      <c r="W493" s="206"/>
      <c r="X493" s="205">
        <f t="shared" si="1405"/>
        <v>0</v>
      </c>
      <c r="Y493" s="188">
        <f t="shared" si="1406"/>
        <v>0</v>
      </c>
      <c r="Z493" s="176">
        <f t="shared" si="1407"/>
        <v>0</v>
      </c>
      <c r="AA493" s="206"/>
      <c r="AB493" s="205">
        <f t="shared" si="1408"/>
        <v>0</v>
      </c>
      <c r="AC493" s="206"/>
      <c r="AD493" s="205">
        <f t="shared" si="1409"/>
        <v>0</v>
      </c>
      <c r="AE493" s="206"/>
      <c r="AF493" s="205">
        <f t="shared" si="1410"/>
        <v>0</v>
      </c>
      <c r="AG493" s="188">
        <f t="shared" si="1411"/>
        <v>0</v>
      </c>
      <c r="AH493" s="96">
        <f t="shared" si="1412"/>
        <v>0</v>
      </c>
      <c r="AI493" s="96">
        <f t="shared" si="1413"/>
        <v>0</v>
      </c>
      <c r="AJ493" s="176">
        <f t="shared" si="1414"/>
        <v>0</v>
      </c>
      <c r="AK493" s="206"/>
      <c r="AL493" s="439">
        <f t="shared" si="1415"/>
        <v>0</v>
      </c>
      <c r="AM493" s="243"/>
      <c r="AN493" s="176">
        <f t="shared" si="1416"/>
        <v>0</v>
      </c>
      <c r="AO493" s="206"/>
      <c r="AP493" s="205">
        <f t="shared" si="1417"/>
        <v>0</v>
      </c>
      <c r="AQ493" s="188">
        <f t="shared" si="1418"/>
        <v>0</v>
      </c>
      <c r="AR493" s="96">
        <f t="shared" si="1419"/>
        <v>0</v>
      </c>
      <c r="AS493" s="96"/>
      <c r="AT493" s="176">
        <f t="shared" si="1420"/>
        <v>0</v>
      </c>
      <c r="AU493" s="206"/>
      <c r="AV493" s="176">
        <f t="shared" si="1421"/>
        <v>0</v>
      </c>
      <c r="AW493" s="206"/>
      <c r="AX493" s="205">
        <f t="shared" si="1422"/>
        <v>0</v>
      </c>
      <c r="AY493" s="188">
        <f t="shared" si="1423"/>
        <v>0</v>
      </c>
      <c r="AZ493" s="96">
        <f t="shared" si="1424"/>
        <v>0</v>
      </c>
      <c r="BA493" s="96">
        <f t="shared" si="1425"/>
        <v>0</v>
      </c>
      <c r="BB493" s="96">
        <f t="shared" si="1426"/>
        <v>0</v>
      </c>
    </row>
    <row r="494" spans="1:54" ht="12.75" customHeight="1">
      <c r="A494" s="492">
        <v>272</v>
      </c>
      <c r="B494" s="13"/>
      <c r="C494" s="13"/>
      <c r="D494" s="13" t="s">
        <v>1254</v>
      </c>
      <c r="E494" s="21" t="s">
        <v>884</v>
      </c>
      <c r="F494" s="45" t="s">
        <v>882</v>
      </c>
      <c r="G494" s="45" t="s">
        <v>1059</v>
      </c>
      <c r="H494" s="265" t="s">
        <v>358</v>
      </c>
      <c r="I494" s="54">
        <v>5.75</v>
      </c>
      <c r="J494" s="101"/>
      <c r="K494" s="54">
        <v>5.75</v>
      </c>
      <c r="L494" s="101"/>
      <c r="M494" s="54"/>
      <c r="N494" s="101"/>
      <c r="O494" s="54"/>
      <c r="P494" s="101"/>
      <c r="Q494" s="96">
        <f t="shared" si="1401"/>
        <v>0</v>
      </c>
      <c r="R494" s="337">
        <f t="shared" si="1402"/>
        <v>0</v>
      </c>
      <c r="S494" s="96"/>
      <c r="T494" s="96">
        <f t="shared" si="1403"/>
        <v>0</v>
      </c>
      <c r="U494" s="96"/>
      <c r="V494" s="176">
        <f t="shared" si="1404"/>
        <v>0</v>
      </c>
      <c r="W494" s="206"/>
      <c r="X494" s="205">
        <f t="shared" si="1405"/>
        <v>0</v>
      </c>
      <c r="Y494" s="188">
        <f t="shared" si="1406"/>
        <v>0</v>
      </c>
      <c r="Z494" s="176">
        <f t="shared" si="1407"/>
        <v>0</v>
      </c>
      <c r="AA494" s="206"/>
      <c r="AB494" s="205">
        <f t="shared" si="1408"/>
        <v>0</v>
      </c>
      <c r="AC494" s="206"/>
      <c r="AD494" s="205">
        <f t="shared" si="1409"/>
        <v>0</v>
      </c>
      <c r="AE494" s="206"/>
      <c r="AF494" s="205">
        <f t="shared" si="1410"/>
        <v>0</v>
      </c>
      <c r="AG494" s="188">
        <f t="shared" si="1411"/>
        <v>0</v>
      </c>
      <c r="AH494" s="96">
        <f t="shared" si="1412"/>
        <v>0</v>
      </c>
      <c r="AI494" s="96">
        <f t="shared" si="1413"/>
        <v>0</v>
      </c>
      <c r="AJ494" s="176">
        <f t="shared" si="1414"/>
        <v>0</v>
      </c>
      <c r="AK494" s="206"/>
      <c r="AL494" s="439">
        <f t="shared" si="1415"/>
        <v>0</v>
      </c>
      <c r="AM494" s="243"/>
      <c r="AN494" s="176">
        <f t="shared" si="1416"/>
        <v>0</v>
      </c>
      <c r="AO494" s="206"/>
      <c r="AP494" s="205">
        <f t="shared" si="1417"/>
        <v>0</v>
      </c>
      <c r="AQ494" s="188">
        <f t="shared" si="1418"/>
        <v>0</v>
      </c>
      <c r="AR494" s="96">
        <f t="shared" si="1419"/>
        <v>0</v>
      </c>
      <c r="AS494" s="96"/>
      <c r="AT494" s="176">
        <f t="shared" si="1420"/>
        <v>0</v>
      </c>
      <c r="AU494" s="206"/>
      <c r="AV494" s="176">
        <f t="shared" si="1421"/>
        <v>0</v>
      </c>
      <c r="AW494" s="206"/>
      <c r="AX494" s="205">
        <f t="shared" si="1422"/>
        <v>0</v>
      </c>
      <c r="AY494" s="188">
        <f t="shared" si="1423"/>
        <v>0</v>
      </c>
      <c r="AZ494" s="96">
        <f t="shared" si="1424"/>
        <v>0</v>
      </c>
      <c r="BA494" s="96">
        <f t="shared" si="1425"/>
        <v>0</v>
      </c>
      <c r="BB494" s="96">
        <f t="shared" si="1426"/>
        <v>0</v>
      </c>
    </row>
    <row r="495" spans="1:54">
      <c r="B495" s="13"/>
      <c r="C495" s="13"/>
      <c r="D495" s="13" t="s">
        <v>1254</v>
      </c>
      <c r="E495" s="21" t="s">
        <v>1157</v>
      </c>
      <c r="F495" s="22" t="s">
        <v>1158</v>
      </c>
      <c r="G495" s="22" t="s">
        <v>1159</v>
      </c>
      <c r="H495" s="265" t="s">
        <v>358</v>
      </c>
      <c r="I495" s="54">
        <v>6.95</v>
      </c>
      <c r="J495" s="101"/>
      <c r="K495" s="54">
        <v>6.95</v>
      </c>
      <c r="L495" s="101"/>
      <c r="M495" s="54"/>
      <c r="N495" s="101"/>
      <c r="O495" s="54"/>
      <c r="P495" s="101"/>
      <c r="Q495" s="96">
        <f t="shared" si="1401"/>
        <v>0</v>
      </c>
      <c r="R495" s="337">
        <f t="shared" si="1402"/>
        <v>0</v>
      </c>
      <c r="S495" s="96"/>
      <c r="T495" s="96">
        <f t="shared" si="1403"/>
        <v>0</v>
      </c>
      <c r="U495" s="96"/>
      <c r="V495" s="176">
        <f t="shared" si="1404"/>
        <v>0</v>
      </c>
      <c r="W495" s="206"/>
      <c r="X495" s="205">
        <f t="shared" si="1405"/>
        <v>0</v>
      </c>
      <c r="Y495" s="188">
        <f t="shared" si="1406"/>
        <v>0</v>
      </c>
      <c r="Z495" s="176">
        <f t="shared" si="1407"/>
        <v>0</v>
      </c>
      <c r="AA495" s="206"/>
      <c r="AB495" s="205">
        <f t="shared" si="1408"/>
        <v>0</v>
      </c>
      <c r="AC495" s="206"/>
      <c r="AD495" s="176">
        <f t="shared" si="1409"/>
        <v>0</v>
      </c>
      <c r="AE495" s="206"/>
      <c r="AF495" s="205">
        <f t="shared" si="1410"/>
        <v>0</v>
      </c>
      <c r="AG495" s="188">
        <f t="shared" si="1411"/>
        <v>0</v>
      </c>
      <c r="AH495" s="96">
        <f t="shared" si="1412"/>
        <v>0</v>
      </c>
      <c r="AI495" s="96">
        <f t="shared" si="1413"/>
        <v>0</v>
      </c>
      <c r="AJ495" s="176">
        <f t="shared" si="1414"/>
        <v>0</v>
      </c>
      <c r="AK495" s="206"/>
      <c r="AL495" s="176">
        <f t="shared" si="1415"/>
        <v>0</v>
      </c>
      <c r="AM495" s="243"/>
      <c r="AN495" s="176">
        <f t="shared" si="1416"/>
        <v>0</v>
      </c>
      <c r="AO495" s="206"/>
      <c r="AP495" s="205">
        <f t="shared" si="1417"/>
        <v>0</v>
      </c>
      <c r="AQ495" s="188">
        <f t="shared" si="1418"/>
        <v>0</v>
      </c>
      <c r="AR495" s="96">
        <f t="shared" si="1419"/>
        <v>0</v>
      </c>
      <c r="AS495" s="96"/>
      <c r="AT495" s="176">
        <f t="shared" si="1420"/>
        <v>0</v>
      </c>
      <c r="AU495" s="206"/>
      <c r="AV495" s="176">
        <f t="shared" si="1421"/>
        <v>0</v>
      </c>
      <c r="AW495" s="206"/>
      <c r="AX495" s="205">
        <f t="shared" si="1422"/>
        <v>0</v>
      </c>
      <c r="AY495" s="188">
        <f t="shared" si="1423"/>
        <v>0</v>
      </c>
      <c r="AZ495" s="96">
        <f t="shared" si="1424"/>
        <v>0</v>
      </c>
      <c r="BA495" s="96">
        <f t="shared" si="1425"/>
        <v>0</v>
      </c>
      <c r="BB495" s="96">
        <f t="shared" si="1426"/>
        <v>0</v>
      </c>
    </row>
    <row r="496" spans="1:54">
      <c r="B496" s="13"/>
      <c r="C496" s="13"/>
      <c r="D496" s="13" t="s">
        <v>1254</v>
      </c>
      <c r="E496" s="21" t="s">
        <v>1463</v>
      </c>
      <c r="F496" s="22" t="s">
        <v>1462</v>
      </c>
      <c r="G496" s="22" t="s">
        <v>1056</v>
      </c>
      <c r="H496" s="265" t="s">
        <v>358</v>
      </c>
      <c r="I496" s="54">
        <v>6.05</v>
      </c>
      <c r="J496" s="101"/>
      <c r="K496" s="54">
        <v>6.05</v>
      </c>
      <c r="L496" s="101"/>
      <c r="M496" s="54"/>
      <c r="N496" s="101"/>
      <c r="O496" s="54"/>
      <c r="P496" s="101"/>
      <c r="Q496" s="96">
        <f t="shared" si="1401"/>
        <v>0</v>
      </c>
      <c r="R496" s="337">
        <f t="shared" si="1402"/>
        <v>0</v>
      </c>
      <c r="S496" s="96"/>
      <c r="T496" s="96">
        <f t="shared" si="1403"/>
        <v>0</v>
      </c>
      <c r="U496" s="96"/>
      <c r="V496" s="176">
        <f t="shared" si="1404"/>
        <v>0</v>
      </c>
      <c r="W496" s="206"/>
      <c r="X496" s="205">
        <f t="shared" si="1405"/>
        <v>0</v>
      </c>
      <c r="Y496" s="188">
        <f t="shared" si="1406"/>
        <v>0</v>
      </c>
      <c r="Z496" s="176">
        <f t="shared" si="1407"/>
        <v>0</v>
      </c>
      <c r="AA496" s="206"/>
      <c r="AB496" s="205">
        <f t="shared" si="1408"/>
        <v>0</v>
      </c>
      <c r="AC496" s="206"/>
      <c r="AD496" s="176">
        <f t="shared" si="1409"/>
        <v>0</v>
      </c>
      <c r="AE496" s="206"/>
      <c r="AF496" s="205">
        <f t="shared" si="1410"/>
        <v>0</v>
      </c>
      <c r="AG496" s="188">
        <f t="shared" si="1411"/>
        <v>0</v>
      </c>
      <c r="AH496" s="96">
        <f t="shared" si="1412"/>
        <v>0</v>
      </c>
      <c r="AI496" s="96">
        <f t="shared" si="1413"/>
        <v>0</v>
      </c>
      <c r="AJ496" s="176">
        <f t="shared" si="1414"/>
        <v>0</v>
      </c>
      <c r="AK496" s="206"/>
      <c r="AL496" s="176">
        <f t="shared" si="1415"/>
        <v>0</v>
      </c>
      <c r="AM496" s="243"/>
      <c r="AN496" s="176">
        <f t="shared" si="1416"/>
        <v>0</v>
      </c>
      <c r="AO496" s="206"/>
      <c r="AP496" s="205">
        <f t="shared" si="1417"/>
        <v>0</v>
      </c>
      <c r="AQ496" s="188">
        <f t="shared" si="1418"/>
        <v>0</v>
      </c>
      <c r="AR496" s="96">
        <f t="shared" si="1419"/>
        <v>0</v>
      </c>
      <c r="AS496" s="96"/>
      <c r="AT496" s="176">
        <f t="shared" si="1420"/>
        <v>0</v>
      </c>
      <c r="AU496" s="206"/>
      <c r="AV496" s="176">
        <f t="shared" si="1421"/>
        <v>0</v>
      </c>
      <c r="AW496" s="206"/>
      <c r="AX496" s="205">
        <f t="shared" si="1422"/>
        <v>0</v>
      </c>
      <c r="AY496" s="188">
        <f t="shared" si="1423"/>
        <v>0</v>
      </c>
      <c r="AZ496" s="96">
        <f t="shared" si="1424"/>
        <v>0</v>
      </c>
      <c r="BA496" s="96">
        <f t="shared" si="1425"/>
        <v>0</v>
      </c>
      <c r="BB496" s="96">
        <f t="shared" si="1426"/>
        <v>0</v>
      </c>
    </row>
    <row r="497" spans="1:54" ht="12.75" customHeight="1">
      <c r="A497" s="492">
        <v>275</v>
      </c>
      <c r="B497" s="13"/>
      <c r="C497" s="13"/>
      <c r="D497" s="13" t="s">
        <v>1254</v>
      </c>
      <c r="E497" s="21" t="s">
        <v>1472</v>
      </c>
      <c r="F497" s="45" t="s">
        <v>1007</v>
      </c>
      <c r="G497" s="45" t="s">
        <v>1056</v>
      </c>
      <c r="H497" s="265" t="s">
        <v>358</v>
      </c>
      <c r="I497" s="54">
        <v>4.6500000000000004</v>
      </c>
      <c r="J497" s="101"/>
      <c r="K497" s="54">
        <v>4.6500000000000004</v>
      </c>
      <c r="L497" s="101"/>
      <c r="M497" s="54"/>
      <c r="N497" s="101"/>
      <c r="O497" s="54"/>
      <c r="P497" s="101"/>
      <c r="Q497" s="96">
        <f t="shared" si="1401"/>
        <v>0</v>
      </c>
      <c r="R497" s="337">
        <f t="shared" si="1402"/>
        <v>0</v>
      </c>
      <c r="S497" s="96"/>
      <c r="T497" s="96">
        <f t="shared" si="1403"/>
        <v>0</v>
      </c>
      <c r="U497" s="96"/>
      <c r="V497" s="176">
        <f t="shared" si="1404"/>
        <v>0</v>
      </c>
      <c r="W497" s="206"/>
      <c r="X497" s="205">
        <f t="shared" si="1405"/>
        <v>0</v>
      </c>
      <c r="Y497" s="188">
        <f t="shared" si="1406"/>
        <v>0</v>
      </c>
      <c r="Z497" s="176">
        <f t="shared" si="1407"/>
        <v>0</v>
      </c>
      <c r="AA497" s="206"/>
      <c r="AB497" s="205">
        <f t="shared" si="1408"/>
        <v>0</v>
      </c>
      <c r="AC497" s="206"/>
      <c r="AD497" s="205">
        <f t="shared" si="1409"/>
        <v>0</v>
      </c>
      <c r="AE497" s="206"/>
      <c r="AF497" s="205">
        <f t="shared" si="1410"/>
        <v>0</v>
      </c>
      <c r="AG497" s="188">
        <f t="shared" si="1411"/>
        <v>0</v>
      </c>
      <c r="AH497" s="96">
        <f t="shared" si="1412"/>
        <v>0</v>
      </c>
      <c r="AI497" s="96">
        <f t="shared" si="1413"/>
        <v>0</v>
      </c>
      <c r="AJ497" s="176">
        <f t="shared" si="1414"/>
        <v>0</v>
      </c>
      <c r="AK497" s="206"/>
      <c r="AL497" s="439">
        <f t="shared" si="1415"/>
        <v>0</v>
      </c>
      <c r="AM497" s="243"/>
      <c r="AN497" s="176">
        <f t="shared" si="1416"/>
        <v>0</v>
      </c>
      <c r="AO497" s="206"/>
      <c r="AP497" s="205">
        <f t="shared" si="1417"/>
        <v>0</v>
      </c>
      <c r="AQ497" s="188">
        <f t="shared" si="1418"/>
        <v>0</v>
      </c>
      <c r="AR497" s="96">
        <f t="shared" si="1419"/>
        <v>0</v>
      </c>
      <c r="AS497" s="96"/>
      <c r="AT497" s="176">
        <f t="shared" si="1420"/>
        <v>0</v>
      </c>
      <c r="AU497" s="206"/>
      <c r="AV497" s="176">
        <f t="shared" si="1421"/>
        <v>0</v>
      </c>
      <c r="AW497" s="206"/>
      <c r="AX497" s="205">
        <f t="shared" si="1422"/>
        <v>0</v>
      </c>
      <c r="AY497" s="188">
        <f t="shared" si="1423"/>
        <v>0</v>
      </c>
      <c r="AZ497" s="96">
        <f t="shared" si="1424"/>
        <v>0</v>
      </c>
      <c r="BA497" s="96">
        <f t="shared" si="1425"/>
        <v>0</v>
      </c>
      <c r="BB497" s="96">
        <f t="shared" si="1426"/>
        <v>0</v>
      </c>
    </row>
    <row r="498" spans="1:54" ht="12.75" customHeight="1">
      <c r="A498" s="492">
        <v>274</v>
      </c>
      <c r="B498" s="13"/>
      <c r="C498" s="13"/>
      <c r="D498" s="13" t="s">
        <v>1254</v>
      </c>
      <c r="E498" s="21" t="s">
        <v>1434</v>
      </c>
      <c r="F498" s="45" t="s">
        <v>1435</v>
      </c>
      <c r="G498" s="45" t="s">
        <v>1059</v>
      </c>
      <c r="H498" s="265" t="s">
        <v>358</v>
      </c>
      <c r="I498" s="54">
        <v>6.25</v>
      </c>
      <c r="J498" s="101"/>
      <c r="K498" s="54">
        <v>6.25</v>
      </c>
      <c r="L498" s="101"/>
      <c r="M498" s="54"/>
      <c r="N498" s="101"/>
      <c r="O498" s="54"/>
      <c r="P498" s="101"/>
      <c r="Q498" s="96">
        <f t="shared" si="1401"/>
        <v>0</v>
      </c>
      <c r="R498" s="337">
        <f t="shared" si="1402"/>
        <v>0</v>
      </c>
      <c r="S498" s="96"/>
      <c r="T498" s="96">
        <f t="shared" si="1403"/>
        <v>0</v>
      </c>
      <c r="U498" s="96"/>
      <c r="V498" s="176">
        <f t="shared" si="1404"/>
        <v>0</v>
      </c>
      <c r="W498" s="206"/>
      <c r="X498" s="205">
        <f t="shared" si="1405"/>
        <v>0</v>
      </c>
      <c r="Y498" s="188">
        <f t="shared" si="1406"/>
        <v>0</v>
      </c>
      <c r="Z498" s="176">
        <f t="shared" si="1407"/>
        <v>0</v>
      </c>
      <c r="AA498" s="206"/>
      <c r="AB498" s="205">
        <f t="shared" si="1408"/>
        <v>0</v>
      </c>
      <c r="AC498" s="206"/>
      <c r="AD498" s="205">
        <f t="shared" si="1409"/>
        <v>0</v>
      </c>
      <c r="AE498" s="206"/>
      <c r="AF498" s="223">
        <f t="shared" si="1410"/>
        <v>0</v>
      </c>
      <c r="AG498" s="188">
        <f t="shared" si="1411"/>
        <v>0</v>
      </c>
      <c r="AH498" s="96">
        <f t="shared" si="1412"/>
        <v>0</v>
      </c>
      <c r="AI498" s="96">
        <f t="shared" si="1413"/>
        <v>0</v>
      </c>
      <c r="AJ498" s="176">
        <f t="shared" si="1414"/>
        <v>0</v>
      </c>
      <c r="AK498" s="206"/>
      <c r="AL498" s="439">
        <f t="shared" si="1415"/>
        <v>0</v>
      </c>
      <c r="AM498" s="243"/>
      <c r="AN498" s="176">
        <f t="shared" si="1416"/>
        <v>0</v>
      </c>
      <c r="AO498" s="206"/>
      <c r="AP498" s="205">
        <f t="shared" si="1417"/>
        <v>0</v>
      </c>
      <c r="AQ498" s="188">
        <f t="shared" si="1418"/>
        <v>0</v>
      </c>
      <c r="AR498" s="96">
        <f t="shared" si="1419"/>
        <v>0</v>
      </c>
      <c r="AS498" s="96"/>
      <c r="AT498" s="176">
        <f t="shared" si="1420"/>
        <v>0</v>
      </c>
      <c r="AU498" s="206"/>
      <c r="AV498" s="176">
        <f t="shared" si="1421"/>
        <v>0</v>
      </c>
      <c r="AW498" s="206"/>
      <c r="AX498" s="205">
        <f t="shared" si="1422"/>
        <v>0</v>
      </c>
      <c r="AY498" s="188">
        <f t="shared" si="1423"/>
        <v>0</v>
      </c>
      <c r="AZ498" s="96">
        <f t="shared" si="1424"/>
        <v>0</v>
      </c>
      <c r="BA498" s="96">
        <f t="shared" si="1425"/>
        <v>0</v>
      </c>
      <c r="BB498" s="96">
        <f t="shared" si="1426"/>
        <v>0</v>
      </c>
    </row>
    <row r="499" spans="1:54" ht="12.75" customHeight="1">
      <c r="A499" s="492">
        <v>276</v>
      </c>
      <c r="B499" s="13"/>
      <c r="C499" s="13"/>
      <c r="D499" s="13" t="s">
        <v>1254</v>
      </c>
      <c r="E499" s="21" t="s">
        <v>875</v>
      </c>
      <c r="F499" s="45" t="s">
        <v>1008</v>
      </c>
      <c r="G499" s="45" t="s">
        <v>1055</v>
      </c>
      <c r="H499" s="265" t="s">
        <v>358</v>
      </c>
      <c r="I499" s="54">
        <v>4.4000000000000004</v>
      </c>
      <c r="J499" s="101"/>
      <c r="K499" s="54">
        <v>4.4000000000000004</v>
      </c>
      <c r="L499" s="101"/>
      <c r="M499" s="54"/>
      <c r="N499" s="101"/>
      <c r="O499" s="54"/>
      <c r="P499" s="101"/>
      <c r="Q499" s="96">
        <f t="shared" si="1401"/>
        <v>0</v>
      </c>
      <c r="R499" s="337">
        <f t="shared" si="1402"/>
        <v>0</v>
      </c>
      <c r="S499" s="96"/>
      <c r="T499" s="96">
        <f t="shared" si="1403"/>
        <v>0</v>
      </c>
      <c r="U499" s="96"/>
      <c r="V499" s="176">
        <f t="shared" si="1404"/>
        <v>0</v>
      </c>
      <c r="W499" s="206"/>
      <c r="X499" s="205">
        <f t="shared" si="1405"/>
        <v>0</v>
      </c>
      <c r="Y499" s="188">
        <f t="shared" si="1406"/>
        <v>0</v>
      </c>
      <c r="Z499" s="176">
        <f t="shared" si="1407"/>
        <v>0</v>
      </c>
      <c r="AA499" s="206"/>
      <c r="AB499" s="205">
        <f t="shared" si="1408"/>
        <v>0</v>
      </c>
      <c r="AC499" s="206"/>
      <c r="AD499" s="205">
        <f t="shared" si="1409"/>
        <v>0</v>
      </c>
      <c r="AE499" s="206"/>
      <c r="AF499" s="205">
        <f t="shared" si="1410"/>
        <v>0</v>
      </c>
      <c r="AG499" s="188">
        <f t="shared" si="1411"/>
        <v>0</v>
      </c>
      <c r="AH499" s="96">
        <f t="shared" si="1412"/>
        <v>0</v>
      </c>
      <c r="AI499" s="96">
        <f t="shared" si="1413"/>
        <v>0</v>
      </c>
      <c r="AJ499" s="176">
        <f t="shared" si="1414"/>
        <v>0</v>
      </c>
      <c r="AK499" s="206"/>
      <c r="AL499" s="439">
        <f t="shared" si="1415"/>
        <v>0</v>
      </c>
      <c r="AM499" s="243"/>
      <c r="AN499" s="176">
        <f t="shared" si="1416"/>
        <v>0</v>
      </c>
      <c r="AO499" s="206"/>
      <c r="AP499" s="205">
        <f t="shared" si="1417"/>
        <v>0</v>
      </c>
      <c r="AQ499" s="188">
        <f t="shared" si="1418"/>
        <v>0</v>
      </c>
      <c r="AR499" s="96">
        <f t="shared" si="1419"/>
        <v>0</v>
      </c>
      <c r="AS499" s="96"/>
      <c r="AT499" s="176">
        <f t="shared" si="1420"/>
        <v>0</v>
      </c>
      <c r="AU499" s="206"/>
      <c r="AV499" s="176">
        <f t="shared" si="1421"/>
        <v>0</v>
      </c>
      <c r="AW499" s="206"/>
      <c r="AX499" s="205">
        <f t="shared" si="1422"/>
        <v>0</v>
      </c>
      <c r="AY499" s="188">
        <f t="shared" si="1423"/>
        <v>0</v>
      </c>
      <c r="AZ499" s="96">
        <f t="shared" si="1424"/>
        <v>0</v>
      </c>
      <c r="BA499" s="96">
        <f t="shared" si="1425"/>
        <v>0</v>
      </c>
      <c r="BB499" s="96">
        <f t="shared" si="1426"/>
        <v>0</v>
      </c>
    </row>
    <row r="500" spans="1:54" ht="12.75" customHeight="1">
      <c r="A500" s="492">
        <v>277</v>
      </c>
      <c r="B500" s="13"/>
      <c r="C500" s="13"/>
      <c r="D500" s="13" t="s">
        <v>1254</v>
      </c>
      <c r="E500" s="21" t="s">
        <v>876</v>
      </c>
      <c r="F500" s="45" t="s">
        <v>1009</v>
      </c>
      <c r="G500" s="45" t="s">
        <v>1055</v>
      </c>
      <c r="H500" s="265" t="s">
        <v>358</v>
      </c>
      <c r="I500" s="54">
        <v>8.15</v>
      </c>
      <c r="J500" s="101"/>
      <c r="K500" s="54">
        <v>8.15</v>
      </c>
      <c r="L500" s="101"/>
      <c r="M500" s="54"/>
      <c r="N500" s="101"/>
      <c r="O500" s="54"/>
      <c r="P500" s="101"/>
      <c r="Q500" s="96">
        <f t="shared" si="1401"/>
        <v>0</v>
      </c>
      <c r="R500" s="337">
        <f t="shared" si="1402"/>
        <v>0</v>
      </c>
      <c r="S500" s="96"/>
      <c r="T500" s="96">
        <f t="shared" si="1403"/>
        <v>0</v>
      </c>
      <c r="U500" s="96"/>
      <c r="V500" s="176">
        <f t="shared" si="1404"/>
        <v>0</v>
      </c>
      <c r="W500" s="206"/>
      <c r="X500" s="205">
        <f t="shared" si="1405"/>
        <v>0</v>
      </c>
      <c r="Y500" s="188">
        <f t="shared" si="1406"/>
        <v>0</v>
      </c>
      <c r="Z500" s="176">
        <f t="shared" si="1407"/>
        <v>0</v>
      </c>
      <c r="AA500" s="206"/>
      <c r="AB500" s="205">
        <f t="shared" si="1408"/>
        <v>0</v>
      </c>
      <c r="AC500" s="206"/>
      <c r="AD500" s="205">
        <f t="shared" si="1409"/>
        <v>0</v>
      </c>
      <c r="AE500" s="206"/>
      <c r="AF500" s="205">
        <f t="shared" si="1410"/>
        <v>0</v>
      </c>
      <c r="AG500" s="188">
        <f t="shared" si="1411"/>
        <v>0</v>
      </c>
      <c r="AH500" s="96">
        <f t="shared" si="1412"/>
        <v>0</v>
      </c>
      <c r="AI500" s="96">
        <f t="shared" si="1413"/>
        <v>0</v>
      </c>
      <c r="AJ500" s="176">
        <f t="shared" si="1414"/>
        <v>0</v>
      </c>
      <c r="AK500" s="206"/>
      <c r="AL500" s="439">
        <f t="shared" si="1415"/>
        <v>0</v>
      </c>
      <c r="AM500" s="243"/>
      <c r="AN500" s="176">
        <f t="shared" si="1416"/>
        <v>0</v>
      </c>
      <c r="AO500" s="206"/>
      <c r="AP500" s="205">
        <f t="shared" si="1417"/>
        <v>0</v>
      </c>
      <c r="AQ500" s="188">
        <f t="shared" si="1418"/>
        <v>0</v>
      </c>
      <c r="AR500" s="96">
        <f t="shared" si="1419"/>
        <v>0</v>
      </c>
      <c r="AS500" s="96"/>
      <c r="AT500" s="176">
        <f t="shared" si="1420"/>
        <v>0</v>
      </c>
      <c r="AU500" s="206"/>
      <c r="AV500" s="176">
        <f t="shared" si="1421"/>
        <v>0</v>
      </c>
      <c r="AW500" s="206"/>
      <c r="AX500" s="205">
        <f t="shared" si="1422"/>
        <v>0</v>
      </c>
      <c r="AY500" s="188">
        <f t="shared" si="1423"/>
        <v>0</v>
      </c>
      <c r="AZ500" s="96">
        <f t="shared" si="1424"/>
        <v>0</v>
      </c>
      <c r="BA500" s="96">
        <f t="shared" si="1425"/>
        <v>0</v>
      </c>
      <c r="BB500" s="96">
        <f t="shared" si="1426"/>
        <v>0</v>
      </c>
    </row>
    <row r="501" spans="1:54" ht="12.75" customHeight="1">
      <c r="A501" s="492">
        <v>278</v>
      </c>
      <c r="B501" s="13"/>
      <c r="C501" s="13"/>
      <c r="D501" s="13" t="s">
        <v>1254</v>
      </c>
      <c r="E501" s="21" t="s">
        <v>1046</v>
      </c>
      <c r="F501" s="45" t="s">
        <v>1045</v>
      </c>
      <c r="G501" s="45" t="s">
        <v>1055</v>
      </c>
      <c r="H501" s="265" t="s">
        <v>358</v>
      </c>
      <c r="I501" s="54">
        <v>5.77</v>
      </c>
      <c r="J501" s="101"/>
      <c r="K501" s="54">
        <v>5.59</v>
      </c>
      <c r="L501" s="101"/>
      <c r="M501" s="54"/>
      <c r="N501" s="101"/>
      <c r="O501" s="54"/>
      <c r="P501" s="101"/>
      <c r="Q501" s="96">
        <f t="shared" si="1401"/>
        <v>9.6330000000000009</v>
      </c>
      <c r="R501" s="337">
        <f t="shared" si="1402"/>
        <v>80.3976868389</v>
      </c>
      <c r="S501" s="96">
        <v>2.496</v>
      </c>
      <c r="T501" s="96">
        <f t="shared" si="1403"/>
        <v>20.791331807999999</v>
      </c>
      <c r="U501" s="96">
        <v>3.2719999999999998</v>
      </c>
      <c r="V501" s="176">
        <f t="shared" si="1404"/>
        <v>27.153543374399998</v>
      </c>
      <c r="W501" s="206">
        <v>1.177</v>
      </c>
      <c r="X501" s="205">
        <f t="shared" si="1405"/>
        <v>10.203030357299999</v>
      </c>
      <c r="Y501" s="188">
        <f t="shared" si="1406"/>
        <v>6.9450000000000003</v>
      </c>
      <c r="Z501" s="176">
        <f t="shared" si="1407"/>
        <v>58.147905539699998</v>
      </c>
      <c r="AA501" s="206">
        <v>2.6880000000000002</v>
      </c>
      <c r="AB501" s="205">
        <f t="shared" si="1408"/>
        <v>22.249781299199999</v>
      </c>
      <c r="AC501" s="206"/>
      <c r="AD501" s="205">
        <f t="shared" si="1409"/>
        <v>0</v>
      </c>
      <c r="AE501" s="206"/>
      <c r="AF501" s="205">
        <f t="shared" si="1410"/>
        <v>0</v>
      </c>
      <c r="AG501" s="188">
        <f t="shared" si="1411"/>
        <v>2.6880000000000002</v>
      </c>
      <c r="AH501" s="96">
        <f t="shared" si="1412"/>
        <v>22.249781299199999</v>
      </c>
      <c r="AI501" s="96">
        <f t="shared" si="1413"/>
        <v>9.6330000000000009</v>
      </c>
      <c r="AJ501" s="176">
        <f t="shared" si="1414"/>
        <v>80.3976868389</v>
      </c>
      <c r="AK501" s="206"/>
      <c r="AL501" s="439">
        <f t="shared" si="1415"/>
        <v>0</v>
      </c>
      <c r="AM501" s="243"/>
      <c r="AN501" s="176">
        <f t="shared" si="1416"/>
        <v>0</v>
      </c>
      <c r="AO501" s="206"/>
      <c r="AP501" s="205">
        <f t="shared" si="1417"/>
        <v>0</v>
      </c>
      <c r="AQ501" s="188">
        <f t="shared" si="1418"/>
        <v>0</v>
      </c>
      <c r="AR501" s="96">
        <f t="shared" si="1419"/>
        <v>0</v>
      </c>
      <c r="AS501" s="96"/>
      <c r="AT501" s="176">
        <f t="shared" si="1420"/>
        <v>0</v>
      </c>
      <c r="AU501" s="206"/>
      <c r="AV501" s="176">
        <f t="shared" si="1421"/>
        <v>0</v>
      </c>
      <c r="AW501" s="206"/>
      <c r="AX501" s="205">
        <f t="shared" si="1422"/>
        <v>0</v>
      </c>
      <c r="AY501" s="188">
        <f t="shared" si="1423"/>
        <v>0</v>
      </c>
      <c r="AZ501" s="96">
        <f t="shared" si="1424"/>
        <v>0</v>
      </c>
      <c r="BA501" s="96">
        <f t="shared" si="1425"/>
        <v>0</v>
      </c>
      <c r="BB501" s="96">
        <f t="shared" si="1426"/>
        <v>0</v>
      </c>
    </row>
    <row r="502" spans="1:54" ht="12.75" customHeight="1">
      <c r="A502" s="492">
        <v>274</v>
      </c>
      <c r="B502" s="13"/>
      <c r="C502" s="13"/>
      <c r="D502" s="13" t="s">
        <v>1254</v>
      </c>
      <c r="E502" s="21" t="s">
        <v>1377</v>
      </c>
      <c r="F502" s="45" t="s">
        <v>1378</v>
      </c>
      <c r="G502" s="45" t="s">
        <v>1059</v>
      </c>
      <c r="H502" s="265" t="s">
        <v>358</v>
      </c>
      <c r="I502" s="54">
        <v>6.15</v>
      </c>
      <c r="J502" s="101"/>
      <c r="K502" s="54">
        <v>6.15</v>
      </c>
      <c r="L502" s="101"/>
      <c r="M502" s="54"/>
      <c r="N502" s="101"/>
      <c r="O502" s="54"/>
      <c r="P502" s="101"/>
      <c r="Q502" s="96">
        <f t="shared" si="1401"/>
        <v>0</v>
      </c>
      <c r="R502" s="337">
        <f t="shared" si="1402"/>
        <v>0</v>
      </c>
      <c r="S502" s="96"/>
      <c r="T502" s="96">
        <f t="shared" si="1403"/>
        <v>0</v>
      </c>
      <c r="U502" s="96"/>
      <c r="V502" s="176">
        <f t="shared" si="1404"/>
        <v>0</v>
      </c>
      <c r="W502" s="206"/>
      <c r="X502" s="205">
        <f t="shared" si="1405"/>
        <v>0</v>
      </c>
      <c r="Y502" s="188">
        <f t="shared" si="1406"/>
        <v>0</v>
      </c>
      <c r="Z502" s="176">
        <f t="shared" si="1407"/>
        <v>0</v>
      </c>
      <c r="AA502" s="206"/>
      <c r="AB502" s="205">
        <f t="shared" si="1408"/>
        <v>0</v>
      </c>
      <c r="AC502" s="206"/>
      <c r="AD502" s="205">
        <f t="shared" si="1409"/>
        <v>0</v>
      </c>
      <c r="AE502" s="206"/>
      <c r="AF502" s="223">
        <f t="shared" si="1410"/>
        <v>0</v>
      </c>
      <c r="AG502" s="188">
        <f t="shared" si="1411"/>
        <v>0</v>
      </c>
      <c r="AH502" s="96">
        <f t="shared" si="1412"/>
        <v>0</v>
      </c>
      <c r="AI502" s="96">
        <f t="shared" si="1413"/>
        <v>0</v>
      </c>
      <c r="AJ502" s="176">
        <f t="shared" si="1414"/>
        <v>0</v>
      </c>
      <c r="AK502" s="206"/>
      <c r="AL502" s="439">
        <f t="shared" si="1415"/>
        <v>0</v>
      </c>
      <c r="AM502" s="243"/>
      <c r="AN502" s="176">
        <f t="shared" si="1416"/>
        <v>0</v>
      </c>
      <c r="AO502" s="206"/>
      <c r="AP502" s="205">
        <f t="shared" si="1417"/>
        <v>0</v>
      </c>
      <c r="AQ502" s="188">
        <f t="shared" si="1418"/>
        <v>0</v>
      </c>
      <c r="AR502" s="96">
        <f t="shared" si="1419"/>
        <v>0</v>
      </c>
      <c r="AS502" s="96"/>
      <c r="AT502" s="176">
        <f t="shared" si="1420"/>
        <v>0</v>
      </c>
      <c r="AU502" s="206"/>
      <c r="AV502" s="176">
        <f t="shared" si="1421"/>
        <v>0</v>
      </c>
      <c r="AW502" s="206"/>
      <c r="AX502" s="205">
        <f t="shared" si="1422"/>
        <v>0</v>
      </c>
      <c r="AY502" s="188">
        <f t="shared" si="1423"/>
        <v>0</v>
      </c>
      <c r="AZ502" s="96">
        <f t="shared" si="1424"/>
        <v>0</v>
      </c>
      <c r="BA502" s="96">
        <f t="shared" si="1425"/>
        <v>0</v>
      </c>
      <c r="BB502" s="96">
        <f t="shared" si="1426"/>
        <v>0</v>
      </c>
    </row>
    <row r="503" spans="1:54" ht="12.75" customHeight="1">
      <c r="A503" s="492">
        <v>274</v>
      </c>
      <c r="B503" s="13"/>
      <c r="C503" s="13"/>
      <c r="D503" s="13" t="s">
        <v>1254</v>
      </c>
      <c r="E503" s="21" t="s">
        <v>1360</v>
      </c>
      <c r="F503" s="45" t="s">
        <v>1361</v>
      </c>
      <c r="G503" s="45" t="s">
        <v>1059</v>
      </c>
      <c r="H503" s="265" t="s">
        <v>358</v>
      </c>
      <c r="I503" s="54">
        <v>6</v>
      </c>
      <c r="J503" s="101"/>
      <c r="K503" s="54">
        <v>6</v>
      </c>
      <c r="L503" s="101"/>
      <c r="M503" s="54"/>
      <c r="N503" s="101"/>
      <c r="O503" s="54"/>
      <c r="P503" s="101"/>
      <c r="Q503" s="96">
        <f t="shared" si="1401"/>
        <v>0</v>
      </c>
      <c r="R503" s="337">
        <f t="shared" si="1402"/>
        <v>0</v>
      </c>
      <c r="S503" s="96"/>
      <c r="T503" s="96">
        <f t="shared" si="1403"/>
        <v>0</v>
      </c>
      <c r="U503" s="96"/>
      <c r="V503" s="176">
        <f t="shared" si="1404"/>
        <v>0</v>
      </c>
      <c r="W503" s="206"/>
      <c r="X503" s="205">
        <f t="shared" si="1405"/>
        <v>0</v>
      </c>
      <c r="Y503" s="188">
        <f t="shared" si="1406"/>
        <v>0</v>
      </c>
      <c r="Z503" s="176">
        <f t="shared" si="1407"/>
        <v>0</v>
      </c>
      <c r="AA503" s="206"/>
      <c r="AB503" s="205">
        <f t="shared" si="1408"/>
        <v>0</v>
      </c>
      <c r="AC503" s="206"/>
      <c r="AD503" s="205">
        <f t="shared" si="1409"/>
        <v>0</v>
      </c>
      <c r="AE503" s="206"/>
      <c r="AF503" s="223">
        <f t="shared" si="1410"/>
        <v>0</v>
      </c>
      <c r="AG503" s="188">
        <f t="shared" si="1411"/>
        <v>0</v>
      </c>
      <c r="AH503" s="96">
        <f t="shared" si="1412"/>
        <v>0</v>
      </c>
      <c r="AI503" s="96">
        <f t="shared" si="1413"/>
        <v>0</v>
      </c>
      <c r="AJ503" s="176">
        <f t="shared" si="1414"/>
        <v>0</v>
      </c>
      <c r="AK503" s="206"/>
      <c r="AL503" s="439">
        <f t="shared" si="1415"/>
        <v>0</v>
      </c>
      <c r="AM503" s="243"/>
      <c r="AN503" s="176">
        <f t="shared" si="1416"/>
        <v>0</v>
      </c>
      <c r="AO503" s="206"/>
      <c r="AP503" s="205">
        <f t="shared" si="1417"/>
        <v>0</v>
      </c>
      <c r="AQ503" s="188">
        <f t="shared" si="1418"/>
        <v>0</v>
      </c>
      <c r="AR503" s="96">
        <f t="shared" si="1419"/>
        <v>0</v>
      </c>
      <c r="AS503" s="96"/>
      <c r="AT503" s="176">
        <f t="shared" si="1420"/>
        <v>0</v>
      </c>
      <c r="AU503" s="206"/>
      <c r="AV503" s="176">
        <f t="shared" si="1421"/>
        <v>0</v>
      </c>
      <c r="AW503" s="206"/>
      <c r="AX503" s="205">
        <f t="shared" si="1422"/>
        <v>0</v>
      </c>
      <c r="AY503" s="188">
        <f t="shared" si="1423"/>
        <v>0</v>
      </c>
      <c r="AZ503" s="96">
        <f t="shared" si="1424"/>
        <v>0</v>
      </c>
      <c r="BA503" s="96">
        <f t="shared" si="1425"/>
        <v>0</v>
      </c>
      <c r="BB503" s="96">
        <f t="shared" si="1426"/>
        <v>0</v>
      </c>
    </row>
    <row r="504" spans="1:54" ht="12.75" customHeight="1">
      <c r="A504" s="492">
        <v>270</v>
      </c>
      <c r="B504" s="13"/>
      <c r="C504" s="13"/>
      <c r="D504" s="13" t="s">
        <v>1254</v>
      </c>
      <c r="E504" s="21" t="s">
        <v>1266</v>
      </c>
      <c r="F504" s="45" t="s">
        <v>1267</v>
      </c>
      <c r="G504" s="45" t="s">
        <v>1265</v>
      </c>
      <c r="H504" s="265" t="s">
        <v>358</v>
      </c>
      <c r="I504" s="54">
        <v>6.05</v>
      </c>
      <c r="J504" s="101"/>
      <c r="K504" s="54">
        <v>6.05</v>
      </c>
      <c r="L504" s="101"/>
      <c r="M504" s="54"/>
      <c r="N504" s="101"/>
      <c r="O504" s="54"/>
      <c r="P504" s="101"/>
      <c r="Q504" s="96">
        <f t="shared" si="1401"/>
        <v>5.1120000000000001</v>
      </c>
      <c r="R504" s="337">
        <f t="shared" si="1402"/>
        <v>44.910464544000007</v>
      </c>
      <c r="S504" s="96">
        <v>1.1519999999999999</v>
      </c>
      <c r="T504" s="96">
        <f t="shared" si="1403"/>
        <v>10.061663039999999</v>
      </c>
      <c r="U504" s="96">
        <v>2.952</v>
      </c>
      <c r="V504" s="176">
        <f t="shared" si="1404"/>
        <v>25.686748296000001</v>
      </c>
      <c r="W504" s="206">
        <v>1.008</v>
      </c>
      <c r="X504" s="205">
        <f t="shared" si="1405"/>
        <v>9.1620532079999997</v>
      </c>
      <c r="Y504" s="188">
        <f t="shared" si="1406"/>
        <v>5.1120000000000001</v>
      </c>
      <c r="Z504" s="176">
        <f t="shared" si="1407"/>
        <v>44.910464544000007</v>
      </c>
      <c r="AA504" s="206"/>
      <c r="AB504" s="205">
        <f t="shared" si="1408"/>
        <v>0</v>
      </c>
      <c r="AC504" s="206"/>
      <c r="AD504" s="205">
        <f t="shared" si="1409"/>
        <v>0</v>
      </c>
      <c r="AE504" s="206"/>
      <c r="AF504" s="205">
        <f t="shared" si="1410"/>
        <v>0</v>
      </c>
      <c r="AG504" s="188">
        <f t="shared" si="1411"/>
        <v>0</v>
      </c>
      <c r="AH504" s="96">
        <f t="shared" si="1412"/>
        <v>0</v>
      </c>
      <c r="AI504" s="96">
        <f t="shared" si="1413"/>
        <v>5.1120000000000001</v>
      </c>
      <c r="AJ504" s="176">
        <f t="shared" si="1414"/>
        <v>44.910464544000007</v>
      </c>
      <c r="AK504" s="206"/>
      <c r="AL504" s="439">
        <f t="shared" si="1415"/>
        <v>0</v>
      </c>
      <c r="AM504" s="243"/>
      <c r="AN504" s="176">
        <f t="shared" si="1416"/>
        <v>0</v>
      </c>
      <c r="AO504" s="206"/>
      <c r="AP504" s="205">
        <f t="shared" si="1417"/>
        <v>0</v>
      </c>
      <c r="AQ504" s="188">
        <f t="shared" si="1418"/>
        <v>0</v>
      </c>
      <c r="AR504" s="96">
        <f t="shared" si="1419"/>
        <v>0</v>
      </c>
      <c r="AS504" s="96"/>
      <c r="AT504" s="176">
        <f t="shared" si="1420"/>
        <v>0</v>
      </c>
      <c r="AU504" s="206"/>
      <c r="AV504" s="176">
        <f t="shared" si="1421"/>
        <v>0</v>
      </c>
      <c r="AW504" s="206"/>
      <c r="AX504" s="205">
        <f t="shared" si="1422"/>
        <v>0</v>
      </c>
      <c r="AY504" s="188">
        <f t="shared" si="1423"/>
        <v>0</v>
      </c>
      <c r="AZ504" s="96">
        <f t="shared" si="1424"/>
        <v>0</v>
      </c>
      <c r="BA504" s="96">
        <f t="shared" si="1425"/>
        <v>0</v>
      </c>
      <c r="BB504" s="96">
        <f t="shared" si="1426"/>
        <v>0</v>
      </c>
    </row>
    <row r="505" spans="1:54" ht="12.75" customHeight="1">
      <c r="A505" s="492">
        <v>274</v>
      </c>
      <c r="B505" s="13"/>
      <c r="C505" s="13"/>
      <c r="D505" s="13" t="s">
        <v>1254</v>
      </c>
      <c r="E505" s="21" t="s">
        <v>1375</v>
      </c>
      <c r="F505" s="45" t="s">
        <v>1376</v>
      </c>
      <c r="G505" s="45" t="s">
        <v>1059</v>
      </c>
      <c r="H505" s="265" t="s">
        <v>358</v>
      </c>
      <c r="I505" s="54">
        <v>6</v>
      </c>
      <c r="J505" s="101"/>
      <c r="K505" s="54">
        <v>6</v>
      </c>
      <c r="L505" s="101"/>
      <c r="M505" s="54"/>
      <c r="N505" s="101"/>
      <c r="O505" s="54"/>
      <c r="P505" s="101"/>
      <c r="Q505" s="96">
        <f t="shared" si="1401"/>
        <v>0.439</v>
      </c>
      <c r="R505" s="337">
        <f t="shared" si="1402"/>
        <v>3.8406031800000004</v>
      </c>
      <c r="S505" s="96">
        <v>0.10100000000000001</v>
      </c>
      <c r="T505" s="96">
        <f t="shared" si="1403"/>
        <v>0.87485190000000024</v>
      </c>
      <c r="U505" s="96">
        <v>0.14599999999999999</v>
      </c>
      <c r="V505" s="176">
        <f t="shared" si="1404"/>
        <v>1.2599157599999999</v>
      </c>
      <c r="W505" s="206"/>
      <c r="X505" s="205">
        <f t="shared" si="1405"/>
        <v>0</v>
      </c>
      <c r="Y505" s="188">
        <f t="shared" si="1406"/>
        <v>0.247</v>
      </c>
      <c r="Z505" s="176">
        <f t="shared" si="1407"/>
        <v>2.1347676600000001</v>
      </c>
      <c r="AA505" s="206">
        <v>0.192</v>
      </c>
      <c r="AB505" s="205">
        <f t="shared" si="1408"/>
        <v>1.7058355200000002</v>
      </c>
      <c r="AC505" s="206"/>
      <c r="AD505" s="205">
        <f t="shared" si="1409"/>
        <v>0</v>
      </c>
      <c r="AE505" s="206"/>
      <c r="AF505" s="223">
        <f t="shared" si="1410"/>
        <v>0</v>
      </c>
      <c r="AG505" s="188">
        <f t="shared" si="1411"/>
        <v>0.192</v>
      </c>
      <c r="AH505" s="96">
        <f t="shared" si="1412"/>
        <v>1.7058355200000002</v>
      </c>
      <c r="AI505" s="96">
        <f t="shared" si="1413"/>
        <v>0.439</v>
      </c>
      <c r="AJ505" s="176">
        <f t="shared" si="1414"/>
        <v>3.8406031800000004</v>
      </c>
      <c r="AK505" s="206"/>
      <c r="AL505" s="439">
        <f t="shared" si="1415"/>
        <v>0</v>
      </c>
      <c r="AM505" s="243"/>
      <c r="AN505" s="176">
        <f t="shared" si="1416"/>
        <v>0</v>
      </c>
      <c r="AO505" s="206"/>
      <c r="AP505" s="205">
        <f t="shared" si="1417"/>
        <v>0</v>
      </c>
      <c r="AQ505" s="188">
        <f t="shared" si="1418"/>
        <v>0</v>
      </c>
      <c r="AR505" s="96">
        <f t="shared" si="1419"/>
        <v>0</v>
      </c>
      <c r="AS505" s="96"/>
      <c r="AT505" s="176">
        <f t="shared" si="1420"/>
        <v>0</v>
      </c>
      <c r="AU505" s="206"/>
      <c r="AV505" s="176">
        <f t="shared" si="1421"/>
        <v>0</v>
      </c>
      <c r="AW505" s="206"/>
      <c r="AX505" s="205">
        <f t="shared" si="1422"/>
        <v>0</v>
      </c>
      <c r="AY505" s="188">
        <f t="shared" si="1423"/>
        <v>0</v>
      </c>
      <c r="AZ505" s="96">
        <f t="shared" si="1424"/>
        <v>0</v>
      </c>
      <c r="BA505" s="96">
        <f t="shared" si="1425"/>
        <v>0</v>
      </c>
      <c r="BB505" s="96">
        <f t="shared" si="1426"/>
        <v>0</v>
      </c>
    </row>
    <row r="506" spans="1:54" ht="12.75" customHeight="1">
      <c r="A506" s="492">
        <v>270</v>
      </c>
      <c r="B506" s="13"/>
      <c r="C506" s="13"/>
      <c r="D506" s="13" t="s">
        <v>1254</v>
      </c>
      <c r="E506" s="21" t="s">
        <v>1263</v>
      </c>
      <c r="F506" s="45" t="s">
        <v>1264</v>
      </c>
      <c r="G506" s="45" t="s">
        <v>1265</v>
      </c>
      <c r="H506" s="265" t="s">
        <v>358</v>
      </c>
      <c r="I506" s="54">
        <v>6</v>
      </c>
      <c r="J506" s="101"/>
      <c r="K506" s="54">
        <v>6</v>
      </c>
      <c r="L506" s="101"/>
      <c r="M506" s="54"/>
      <c r="N506" s="101"/>
      <c r="O506" s="54"/>
      <c r="P506" s="101"/>
      <c r="Q506" s="96">
        <f t="shared" si="1401"/>
        <v>3.92</v>
      </c>
      <c r="R506" s="337">
        <f t="shared" si="1402"/>
        <v>34.079045399999998</v>
      </c>
      <c r="S506" s="96">
        <v>0.63</v>
      </c>
      <c r="T506" s="96">
        <f t="shared" si="1403"/>
        <v>5.4569970000000003</v>
      </c>
      <c r="U506" s="96">
        <v>2.69</v>
      </c>
      <c r="V506" s="176">
        <f t="shared" si="1404"/>
        <v>23.2135164</v>
      </c>
      <c r="W506" s="206">
        <v>0.6</v>
      </c>
      <c r="X506" s="205">
        <f t="shared" si="1405"/>
        <v>5.4085319999999992</v>
      </c>
      <c r="Y506" s="188">
        <f t="shared" si="1406"/>
        <v>3.92</v>
      </c>
      <c r="Z506" s="176">
        <f t="shared" si="1407"/>
        <v>34.079045399999998</v>
      </c>
      <c r="AA506" s="206"/>
      <c r="AB506" s="205">
        <f t="shared" si="1408"/>
        <v>0</v>
      </c>
      <c r="AC506" s="206"/>
      <c r="AD506" s="205">
        <f t="shared" si="1409"/>
        <v>0</v>
      </c>
      <c r="AE506" s="206"/>
      <c r="AF506" s="205">
        <f t="shared" si="1410"/>
        <v>0</v>
      </c>
      <c r="AG506" s="188">
        <f t="shared" si="1411"/>
        <v>0</v>
      </c>
      <c r="AH506" s="96">
        <f t="shared" si="1412"/>
        <v>0</v>
      </c>
      <c r="AI506" s="96">
        <f t="shared" si="1413"/>
        <v>3.92</v>
      </c>
      <c r="AJ506" s="176">
        <f t="shared" si="1414"/>
        <v>34.079045399999998</v>
      </c>
      <c r="AK506" s="206"/>
      <c r="AL506" s="439">
        <f t="shared" si="1415"/>
        <v>0</v>
      </c>
      <c r="AM506" s="243"/>
      <c r="AN506" s="176">
        <f t="shared" si="1416"/>
        <v>0</v>
      </c>
      <c r="AO506" s="206"/>
      <c r="AP506" s="205">
        <f t="shared" si="1417"/>
        <v>0</v>
      </c>
      <c r="AQ506" s="188">
        <f t="shared" si="1418"/>
        <v>0</v>
      </c>
      <c r="AR506" s="96">
        <f t="shared" si="1419"/>
        <v>0</v>
      </c>
      <c r="AS506" s="96"/>
      <c r="AT506" s="176">
        <f t="shared" si="1420"/>
        <v>0</v>
      </c>
      <c r="AU506" s="206"/>
      <c r="AV506" s="176">
        <f t="shared" si="1421"/>
        <v>0</v>
      </c>
      <c r="AW506" s="206"/>
      <c r="AX506" s="205">
        <f t="shared" si="1422"/>
        <v>0</v>
      </c>
      <c r="AY506" s="188">
        <f t="shared" si="1423"/>
        <v>0</v>
      </c>
      <c r="AZ506" s="96">
        <f t="shared" si="1424"/>
        <v>0</v>
      </c>
      <c r="BA506" s="96">
        <f t="shared" si="1425"/>
        <v>0</v>
      </c>
      <c r="BB506" s="96">
        <f t="shared" si="1426"/>
        <v>0</v>
      </c>
    </row>
    <row r="507" spans="1:54">
      <c r="B507" s="13"/>
      <c r="C507" s="13"/>
      <c r="D507" s="13" t="s">
        <v>1254</v>
      </c>
      <c r="E507" s="21" t="s">
        <v>1176</v>
      </c>
      <c r="F507" s="22" t="s">
        <v>1178</v>
      </c>
      <c r="G507" s="45" t="s">
        <v>1055</v>
      </c>
      <c r="H507" s="265" t="s">
        <v>358</v>
      </c>
      <c r="I507" s="54">
        <v>5.8</v>
      </c>
      <c r="J507" s="101"/>
      <c r="K507" s="54">
        <v>5.8</v>
      </c>
      <c r="L507" s="101"/>
      <c r="M507" s="54"/>
      <c r="N507" s="101"/>
      <c r="O507" s="54"/>
      <c r="P507" s="101"/>
      <c r="Q507" s="96">
        <f t="shared" si="1401"/>
        <v>0</v>
      </c>
      <c r="R507" s="337">
        <f t="shared" si="1402"/>
        <v>0</v>
      </c>
      <c r="S507" s="96"/>
      <c r="T507" s="96">
        <f t="shared" si="1403"/>
        <v>0</v>
      </c>
      <c r="U507" s="96"/>
      <c r="V507" s="176">
        <f t="shared" si="1404"/>
        <v>0</v>
      </c>
      <c r="W507" s="206"/>
      <c r="X507" s="205">
        <f t="shared" si="1405"/>
        <v>0</v>
      </c>
      <c r="Y507" s="188">
        <f t="shared" si="1406"/>
        <v>0</v>
      </c>
      <c r="Z507" s="176">
        <f t="shared" si="1407"/>
        <v>0</v>
      </c>
      <c r="AA507" s="206"/>
      <c r="AB507" s="205">
        <f t="shared" si="1408"/>
        <v>0</v>
      </c>
      <c r="AC507" s="206"/>
      <c r="AD507" s="176">
        <f t="shared" si="1409"/>
        <v>0</v>
      </c>
      <c r="AE507" s="206"/>
      <c r="AF507" s="205">
        <f t="shared" si="1410"/>
        <v>0</v>
      </c>
      <c r="AG507" s="188">
        <f t="shared" si="1411"/>
        <v>0</v>
      </c>
      <c r="AH507" s="96">
        <f t="shared" si="1412"/>
        <v>0</v>
      </c>
      <c r="AI507" s="96">
        <f t="shared" si="1413"/>
        <v>0</v>
      </c>
      <c r="AJ507" s="176">
        <f t="shared" si="1414"/>
        <v>0</v>
      </c>
      <c r="AK507" s="206"/>
      <c r="AL507" s="176">
        <f t="shared" si="1415"/>
        <v>0</v>
      </c>
      <c r="AM507" s="243"/>
      <c r="AN507" s="176">
        <f t="shared" si="1416"/>
        <v>0</v>
      </c>
      <c r="AO507" s="206"/>
      <c r="AP507" s="205">
        <f t="shared" si="1417"/>
        <v>0</v>
      </c>
      <c r="AQ507" s="188">
        <f t="shared" si="1418"/>
        <v>0</v>
      </c>
      <c r="AR507" s="96">
        <f t="shared" si="1419"/>
        <v>0</v>
      </c>
      <c r="AS507" s="96"/>
      <c r="AT507" s="176">
        <f t="shared" si="1420"/>
        <v>0</v>
      </c>
      <c r="AU507" s="206"/>
      <c r="AV507" s="176">
        <f t="shared" si="1421"/>
        <v>0</v>
      </c>
      <c r="AW507" s="206"/>
      <c r="AX507" s="205">
        <f t="shared" si="1422"/>
        <v>0</v>
      </c>
      <c r="AY507" s="188">
        <f t="shared" si="1423"/>
        <v>0</v>
      </c>
      <c r="AZ507" s="96">
        <f t="shared" si="1424"/>
        <v>0</v>
      </c>
      <c r="BA507" s="96">
        <f t="shared" si="1425"/>
        <v>0</v>
      </c>
      <c r="BB507" s="96">
        <f t="shared" si="1426"/>
        <v>0</v>
      </c>
    </row>
    <row r="508" spans="1:54" ht="12.75" customHeight="1">
      <c r="A508" s="492">
        <v>274</v>
      </c>
      <c r="B508" s="13"/>
      <c r="C508" s="13"/>
      <c r="D508" s="13" t="s">
        <v>1254</v>
      </c>
      <c r="E508" s="21" t="s">
        <v>1177</v>
      </c>
      <c r="F508" s="22" t="s">
        <v>1179</v>
      </c>
      <c r="G508" s="45" t="s">
        <v>1059</v>
      </c>
      <c r="H508" s="265" t="s">
        <v>358</v>
      </c>
      <c r="I508" s="54">
        <v>5.79</v>
      </c>
      <c r="J508" s="101"/>
      <c r="K508" s="54">
        <v>5.79</v>
      </c>
      <c r="L508" s="101"/>
      <c r="M508" s="54"/>
      <c r="N508" s="101"/>
      <c r="O508" s="54"/>
      <c r="P508" s="101"/>
      <c r="Q508" s="96">
        <f t="shared" si="1401"/>
        <v>81.695999999999998</v>
      </c>
      <c r="R508" s="337">
        <f t="shared" si="1402"/>
        <v>694.3633710048</v>
      </c>
      <c r="S508" s="96">
        <v>12.576000000000001</v>
      </c>
      <c r="T508" s="96">
        <f t="shared" si="1403"/>
        <v>105.11943249600003</v>
      </c>
      <c r="U508" s="96">
        <v>23.04</v>
      </c>
      <c r="V508" s="176">
        <f t="shared" si="1404"/>
        <v>191.86618521600002</v>
      </c>
      <c r="W508" s="206">
        <v>18.431999999999999</v>
      </c>
      <c r="X508" s="205">
        <f t="shared" si="1405"/>
        <v>160.33484943359997</v>
      </c>
      <c r="Y508" s="188">
        <f t="shared" si="1406"/>
        <v>54.048000000000002</v>
      </c>
      <c r="Z508" s="176">
        <f t="shared" si="1407"/>
        <v>457.32046714559999</v>
      </c>
      <c r="AA508" s="206">
        <v>27.648</v>
      </c>
      <c r="AB508" s="205">
        <f t="shared" si="1408"/>
        <v>237.04290385919998</v>
      </c>
      <c r="AC508" s="206"/>
      <c r="AD508" s="205">
        <f t="shared" si="1409"/>
        <v>0</v>
      </c>
      <c r="AE508" s="206"/>
      <c r="AF508" s="223">
        <f t="shared" si="1410"/>
        <v>0</v>
      </c>
      <c r="AG508" s="188">
        <f t="shared" si="1411"/>
        <v>27.648</v>
      </c>
      <c r="AH508" s="96">
        <f t="shared" si="1412"/>
        <v>237.04290385919998</v>
      </c>
      <c r="AI508" s="96">
        <f t="shared" si="1413"/>
        <v>81.695999999999998</v>
      </c>
      <c r="AJ508" s="176">
        <f t="shared" si="1414"/>
        <v>694.3633710048</v>
      </c>
      <c r="AK508" s="206"/>
      <c r="AL508" s="439">
        <f t="shared" si="1415"/>
        <v>0</v>
      </c>
      <c r="AM508" s="243"/>
      <c r="AN508" s="176">
        <f t="shared" si="1416"/>
        <v>0</v>
      </c>
      <c r="AO508" s="206"/>
      <c r="AP508" s="205">
        <f t="shared" si="1417"/>
        <v>0</v>
      </c>
      <c r="AQ508" s="188">
        <f t="shared" si="1418"/>
        <v>0</v>
      </c>
      <c r="AR508" s="96">
        <f t="shared" si="1419"/>
        <v>0</v>
      </c>
      <c r="AS508" s="96"/>
      <c r="AT508" s="176">
        <f t="shared" si="1420"/>
        <v>0</v>
      </c>
      <c r="AU508" s="206"/>
      <c r="AV508" s="176">
        <f t="shared" si="1421"/>
        <v>0</v>
      </c>
      <c r="AW508" s="206"/>
      <c r="AX508" s="205">
        <f t="shared" si="1422"/>
        <v>0</v>
      </c>
      <c r="AY508" s="188">
        <f t="shared" si="1423"/>
        <v>0</v>
      </c>
      <c r="AZ508" s="96">
        <f t="shared" si="1424"/>
        <v>0</v>
      </c>
      <c r="BA508" s="96">
        <f t="shared" si="1425"/>
        <v>0</v>
      </c>
      <c r="BB508" s="96">
        <f t="shared" si="1426"/>
        <v>0</v>
      </c>
    </row>
    <row r="509" spans="1:54" ht="12.75" customHeight="1">
      <c r="A509" s="492">
        <v>274</v>
      </c>
      <c r="B509" s="13"/>
      <c r="C509" s="13"/>
      <c r="D509" s="13" t="s">
        <v>1254</v>
      </c>
      <c r="E509" s="21" t="s">
        <v>1436</v>
      </c>
      <c r="F509" s="45" t="s">
        <v>1437</v>
      </c>
      <c r="G509" s="45" t="s">
        <v>1059</v>
      </c>
      <c r="H509" s="265" t="s">
        <v>358</v>
      </c>
      <c r="I509" s="54">
        <v>7.55</v>
      </c>
      <c r="J509" s="101"/>
      <c r="K509" s="54">
        <v>7.55</v>
      </c>
      <c r="L509" s="101"/>
      <c r="M509" s="54"/>
      <c r="N509" s="101"/>
      <c r="O509" s="54"/>
      <c r="P509" s="101"/>
      <c r="Q509" s="96">
        <f t="shared" si="1401"/>
        <v>0</v>
      </c>
      <c r="R509" s="337">
        <f t="shared" si="1402"/>
        <v>0</v>
      </c>
      <c r="S509" s="96"/>
      <c r="T509" s="96">
        <f t="shared" si="1403"/>
        <v>0</v>
      </c>
      <c r="U509" s="96"/>
      <c r="V509" s="176">
        <f t="shared" si="1404"/>
        <v>0</v>
      </c>
      <c r="W509" s="206"/>
      <c r="X509" s="205">
        <f t="shared" si="1405"/>
        <v>0</v>
      </c>
      <c r="Y509" s="188">
        <f t="shared" si="1406"/>
        <v>0</v>
      </c>
      <c r="Z509" s="176">
        <f t="shared" si="1407"/>
        <v>0</v>
      </c>
      <c r="AA509" s="206"/>
      <c r="AB509" s="205">
        <f t="shared" si="1408"/>
        <v>0</v>
      </c>
      <c r="AC509" s="206"/>
      <c r="AD509" s="205">
        <f t="shared" si="1409"/>
        <v>0</v>
      </c>
      <c r="AE509" s="206"/>
      <c r="AF509" s="223">
        <f t="shared" si="1410"/>
        <v>0</v>
      </c>
      <c r="AG509" s="188">
        <f t="shared" si="1411"/>
        <v>0</v>
      </c>
      <c r="AH509" s="96">
        <f t="shared" si="1412"/>
        <v>0</v>
      </c>
      <c r="AI509" s="96">
        <f t="shared" si="1413"/>
        <v>0</v>
      </c>
      <c r="AJ509" s="176">
        <f t="shared" si="1414"/>
        <v>0</v>
      </c>
      <c r="AK509" s="206"/>
      <c r="AL509" s="439">
        <f t="shared" si="1415"/>
        <v>0</v>
      </c>
      <c r="AM509" s="243"/>
      <c r="AN509" s="176">
        <f t="shared" si="1416"/>
        <v>0</v>
      </c>
      <c r="AO509" s="206"/>
      <c r="AP509" s="205">
        <f t="shared" si="1417"/>
        <v>0</v>
      </c>
      <c r="AQ509" s="188">
        <f t="shared" si="1418"/>
        <v>0</v>
      </c>
      <c r="AR509" s="96">
        <f t="shared" si="1419"/>
        <v>0</v>
      </c>
      <c r="AS509" s="96"/>
      <c r="AT509" s="176">
        <f t="shared" si="1420"/>
        <v>0</v>
      </c>
      <c r="AU509" s="206"/>
      <c r="AV509" s="176">
        <f t="shared" si="1421"/>
        <v>0</v>
      </c>
      <c r="AW509" s="206"/>
      <c r="AX509" s="205">
        <f t="shared" si="1422"/>
        <v>0</v>
      </c>
      <c r="AY509" s="188">
        <f t="shared" si="1423"/>
        <v>0</v>
      </c>
      <c r="AZ509" s="96">
        <f t="shared" si="1424"/>
        <v>0</v>
      </c>
      <c r="BA509" s="96">
        <f t="shared" si="1425"/>
        <v>0</v>
      </c>
      <c r="BB509" s="96">
        <f t="shared" si="1426"/>
        <v>0</v>
      </c>
    </row>
    <row r="510" spans="1:54">
      <c r="A510" s="492"/>
      <c r="B510" s="13"/>
      <c r="C510" s="13"/>
      <c r="D510" s="13" t="s">
        <v>1254</v>
      </c>
      <c r="E510" s="21" t="s">
        <v>1067</v>
      </c>
      <c r="F510" s="22" t="s">
        <v>1068</v>
      </c>
      <c r="G510" s="22" t="s">
        <v>1069</v>
      </c>
      <c r="H510" s="265" t="s">
        <v>358</v>
      </c>
      <c r="I510" s="54">
        <v>5.22</v>
      </c>
      <c r="J510" s="101"/>
      <c r="K510" s="54">
        <v>5.0599999999999996</v>
      </c>
      <c r="L510" s="101"/>
      <c r="M510" s="54"/>
      <c r="N510" s="101"/>
      <c r="O510" s="54"/>
      <c r="P510" s="101"/>
      <c r="Q510" s="96">
        <f t="shared" si="1401"/>
        <v>9.8000000000000004E-2</v>
      </c>
      <c r="R510" s="337">
        <f t="shared" si="1402"/>
        <v>0.74431067759999991</v>
      </c>
      <c r="S510" s="96">
        <v>7.0000000000000001E-3</v>
      </c>
      <c r="T510" s="96">
        <f t="shared" si="1403"/>
        <v>5.2750971000000001E-2</v>
      </c>
      <c r="U510" s="96">
        <v>1.9E-2</v>
      </c>
      <c r="V510" s="176">
        <f t="shared" si="1404"/>
        <v>0.14264662679999998</v>
      </c>
      <c r="W510" s="206">
        <v>2.7E-2</v>
      </c>
      <c r="X510" s="205">
        <f t="shared" si="1405"/>
        <v>0.21174402779999996</v>
      </c>
      <c r="Y510" s="188">
        <f t="shared" si="1406"/>
        <v>5.2999999999999999E-2</v>
      </c>
      <c r="Z510" s="176">
        <f t="shared" si="1407"/>
        <v>0.40714162559999995</v>
      </c>
      <c r="AA510" s="206">
        <v>4.4999999999999998E-2</v>
      </c>
      <c r="AB510" s="205">
        <f t="shared" si="1408"/>
        <v>0.33716905199999997</v>
      </c>
      <c r="AC510" s="206"/>
      <c r="AD510" s="176">
        <f t="shared" si="1409"/>
        <v>0</v>
      </c>
      <c r="AE510" s="206"/>
      <c r="AF510" s="205">
        <f t="shared" si="1410"/>
        <v>0</v>
      </c>
      <c r="AG510" s="188">
        <f t="shared" si="1411"/>
        <v>4.4999999999999998E-2</v>
      </c>
      <c r="AH510" s="96">
        <f t="shared" si="1412"/>
        <v>0.33716905199999997</v>
      </c>
      <c r="AI510" s="96">
        <f t="shared" si="1413"/>
        <v>9.8000000000000004E-2</v>
      </c>
      <c r="AJ510" s="176">
        <f t="shared" si="1414"/>
        <v>0.74431067759999991</v>
      </c>
      <c r="AK510" s="206"/>
      <c r="AL510" s="176">
        <f t="shared" si="1415"/>
        <v>0</v>
      </c>
      <c r="AM510" s="243"/>
      <c r="AN510" s="176">
        <f t="shared" si="1416"/>
        <v>0</v>
      </c>
      <c r="AO510" s="206"/>
      <c r="AP510" s="205">
        <f t="shared" si="1417"/>
        <v>0</v>
      </c>
      <c r="AQ510" s="188">
        <f t="shared" si="1418"/>
        <v>0</v>
      </c>
      <c r="AR510" s="96">
        <f t="shared" si="1419"/>
        <v>0</v>
      </c>
      <c r="AS510" s="96"/>
      <c r="AT510" s="176">
        <f t="shared" si="1420"/>
        <v>0</v>
      </c>
      <c r="AU510" s="206"/>
      <c r="AV510" s="176">
        <f t="shared" si="1421"/>
        <v>0</v>
      </c>
      <c r="AW510" s="206"/>
      <c r="AX510" s="205">
        <f t="shared" si="1422"/>
        <v>0</v>
      </c>
      <c r="AY510" s="188">
        <f t="shared" si="1423"/>
        <v>0</v>
      </c>
      <c r="AZ510" s="96">
        <f t="shared" si="1424"/>
        <v>0</v>
      </c>
      <c r="BA510" s="96">
        <f t="shared" si="1425"/>
        <v>0</v>
      </c>
      <c r="BB510" s="96">
        <f t="shared" si="1426"/>
        <v>0</v>
      </c>
    </row>
    <row r="511" spans="1:54">
      <c r="B511" s="13"/>
      <c r="C511" s="13"/>
      <c r="D511" s="13" t="s">
        <v>1254</v>
      </c>
      <c r="E511" s="21" t="s">
        <v>1172</v>
      </c>
      <c r="F511" s="22" t="s">
        <v>1173</v>
      </c>
      <c r="G511" s="22" t="s">
        <v>1174</v>
      </c>
      <c r="H511" s="265" t="s">
        <v>1175</v>
      </c>
      <c r="I511" s="54">
        <v>5.48</v>
      </c>
      <c r="J511" s="101"/>
      <c r="K511" s="54">
        <v>5.48</v>
      </c>
      <c r="L511" s="101"/>
      <c r="M511" s="54"/>
      <c r="N511" s="101"/>
      <c r="O511" s="54"/>
      <c r="P511" s="101"/>
      <c r="Q511" s="96">
        <f t="shared" si="1401"/>
        <v>0</v>
      </c>
      <c r="R511" s="337">
        <f t="shared" si="1402"/>
        <v>0</v>
      </c>
      <c r="S511" s="96"/>
      <c r="T511" s="96">
        <f t="shared" si="1403"/>
        <v>0</v>
      </c>
      <c r="U511" s="96"/>
      <c r="V511" s="176">
        <f t="shared" si="1404"/>
        <v>0</v>
      </c>
      <c r="W511" s="206"/>
      <c r="X511" s="205">
        <f t="shared" si="1405"/>
        <v>0</v>
      </c>
      <c r="Y511" s="188">
        <f t="shared" si="1406"/>
        <v>0</v>
      </c>
      <c r="Z511" s="176">
        <f t="shared" si="1407"/>
        <v>0</v>
      </c>
      <c r="AA511" s="206"/>
      <c r="AB511" s="205">
        <f t="shared" si="1408"/>
        <v>0</v>
      </c>
      <c r="AC511" s="206"/>
      <c r="AD511" s="176">
        <f t="shared" si="1409"/>
        <v>0</v>
      </c>
      <c r="AE511" s="206"/>
      <c r="AF511" s="205">
        <f t="shared" si="1410"/>
        <v>0</v>
      </c>
      <c r="AG511" s="188">
        <f t="shared" si="1411"/>
        <v>0</v>
      </c>
      <c r="AH511" s="96">
        <f t="shared" si="1412"/>
        <v>0</v>
      </c>
      <c r="AI511" s="96">
        <f t="shared" si="1413"/>
        <v>0</v>
      </c>
      <c r="AJ511" s="176">
        <f t="shared" si="1414"/>
        <v>0</v>
      </c>
      <c r="AK511" s="206"/>
      <c r="AL511" s="176">
        <f t="shared" si="1415"/>
        <v>0</v>
      </c>
      <c r="AM511" s="243"/>
      <c r="AN511" s="176">
        <f t="shared" si="1416"/>
        <v>0</v>
      </c>
      <c r="AO511" s="206"/>
      <c r="AP511" s="205">
        <f t="shared" si="1417"/>
        <v>0</v>
      </c>
      <c r="AQ511" s="188">
        <f t="shared" si="1418"/>
        <v>0</v>
      </c>
      <c r="AR511" s="96">
        <f t="shared" si="1419"/>
        <v>0</v>
      </c>
      <c r="AS511" s="96"/>
      <c r="AT511" s="176">
        <f t="shared" si="1420"/>
        <v>0</v>
      </c>
      <c r="AU511" s="206"/>
      <c r="AV511" s="176">
        <f t="shared" si="1421"/>
        <v>0</v>
      </c>
      <c r="AW511" s="206"/>
      <c r="AX511" s="205">
        <f t="shared" si="1422"/>
        <v>0</v>
      </c>
      <c r="AY511" s="188">
        <f t="shared" si="1423"/>
        <v>0</v>
      </c>
      <c r="AZ511" s="96">
        <f t="shared" si="1424"/>
        <v>0</v>
      </c>
      <c r="BA511" s="96">
        <f t="shared" si="1425"/>
        <v>0</v>
      </c>
      <c r="BB511" s="96">
        <f t="shared" si="1426"/>
        <v>0</v>
      </c>
    </row>
    <row r="512" spans="1:54" ht="12.75" customHeight="1">
      <c r="A512" s="492">
        <v>280</v>
      </c>
      <c r="B512" s="13"/>
      <c r="C512" s="13"/>
      <c r="D512" s="13" t="s">
        <v>1254</v>
      </c>
      <c r="E512" s="21" t="s">
        <v>1035</v>
      </c>
      <c r="F512" s="45" t="s">
        <v>1037</v>
      </c>
      <c r="G512" s="45" t="s">
        <v>1055</v>
      </c>
      <c r="H512" s="265" t="s">
        <v>358</v>
      </c>
      <c r="I512" s="54">
        <v>5.43</v>
      </c>
      <c r="J512" s="101"/>
      <c r="K512" s="54">
        <v>5.43</v>
      </c>
      <c r="L512" s="101"/>
      <c r="M512" s="54"/>
      <c r="N512" s="101"/>
      <c r="O512" s="54"/>
      <c r="P512" s="101"/>
      <c r="Q512" s="96">
        <f t="shared" si="1401"/>
        <v>0</v>
      </c>
      <c r="R512" s="337">
        <f t="shared" si="1402"/>
        <v>0</v>
      </c>
      <c r="S512" s="96"/>
      <c r="T512" s="96">
        <f t="shared" si="1403"/>
        <v>0</v>
      </c>
      <c r="U512" s="96"/>
      <c r="V512" s="176">
        <f t="shared" si="1404"/>
        <v>0</v>
      </c>
      <c r="W512" s="206"/>
      <c r="X512" s="205">
        <f t="shared" si="1405"/>
        <v>0</v>
      </c>
      <c r="Y512" s="188">
        <f t="shared" si="1406"/>
        <v>0</v>
      </c>
      <c r="Z512" s="176">
        <f t="shared" si="1407"/>
        <v>0</v>
      </c>
      <c r="AA512" s="206"/>
      <c r="AB512" s="205">
        <f t="shared" si="1408"/>
        <v>0</v>
      </c>
      <c r="AC512" s="206"/>
      <c r="AD512" s="205">
        <f t="shared" si="1409"/>
        <v>0</v>
      </c>
      <c r="AE512" s="206"/>
      <c r="AF512" s="205">
        <f t="shared" si="1410"/>
        <v>0</v>
      </c>
      <c r="AG512" s="188">
        <f t="shared" si="1411"/>
        <v>0</v>
      </c>
      <c r="AH512" s="96">
        <f t="shared" si="1412"/>
        <v>0</v>
      </c>
      <c r="AI512" s="96">
        <f t="shared" si="1413"/>
        <v>0</v>
      </c>
      <c r="AJ512" s="176">
        <f t="shared" si="1414"/>
        <v>0</v>
      </c>
      <c r="AK512" s="206"/>
      <c r="AL512" s="439">
        <f t="shared" si="1415"/>
        <v>0</v>
      </c>
      <c r="AM512" s="243"/>
      <c r="AN512" s="176">
        <f t="shared" si="1416"/>
        <v>0</v>
      </c>
      <c r="AO512" s="206"/>
      <c r="AP512" s="205">
        <f t="shared" si="1417"/>
        <v>0</v>
      </c>
      <c r="AQ512" s="188">
        <f t="shared" si="1418"/>
        <v>0</v>
      </c>
      <c r="AR512" s="96">
        <f t="shared" si="1419"/>
        <v>0</v>
      </c>
      <c r="AS512" s="96"/>
      <c r="AT512" s="176">
        <f t="shared" si="1420"/>
        <v>0</v>
      </c>
      <c r="AU512" s="206"/>
      <c r="AV512" s="176">
        <f t="shared" si="1421"/>
        <v>0</v>
      </c>
      <c r="AW512" s="206"/>
      <c r="AX512" s="205">
        <f t="shared" si="1422"/>
        <v>0</v>
      </c>
      <c r="AY512" s="188">
        <f t="shared" si="1423"/>
        <v>0</v>
      </c>
      <c r="AZ512" s="96">
        <f t="shared" si="1424"/>
        <v>0</v>
      </c>
      <c r="BA512" s="96">
        <f t="shared" si="1425"/>
        <v>0</v>
      </c>
      <c r="BB512" s="96">
        <f t="shared" si="1426"/>
        <v>0</v>
      </c>
    </row>
    <row r="513" spans="1:54" ht="12.75" customHeight="1">
      <c r="A513" s="492">
        <v>281</v>
      </c>
      <c r="B513" s="13"/>
      <c r="C513" s="13"/>
      <c r="D513" s="13" t="s">
        <v>1254</v>
      </c>
      <c r="E513" s="21" t="s">
        <v>1036</v>
      </c>
      <c r="F513" s="45" t="s">
        <v>1038</v>
      </c>
      <c r="G513" s="45" t="s">
        <v>1055</v>
      </c>
      <c r="H513" s="265" t="s">
        <v>358</v>
      </c>
      <c r="I513" s="54">
        <v>5.15</v>
      </c>
      <c r="J513" s="101"/>
      <c r="K513" s="54">
        <v>5.15</v>
      </c>
      <c r="L513" s="101"/>
      <c r="M513" s="54"/>
      <c r="N513" s="101"/>
      <c r="O513" s="54"/>
      <c r="P513" s="101"/>
      <c r="Q513" s="96">
        <f t="shared" si="1401"/>
        <v>0</v>
      </c>
      <c r="R513" s="337">
        <f t="shared" si="1402"/>
        <v>0</v>
      </c>
      <c r="S513" s="96"/>
      <c r="T513" s="96">
        <f t="shared" si="1403"/>
        <v>0</v>
      </c>
      <c r="U513" s="96"/>
      <c r="V513" s="176">
        <f t="shared" si="1404"/>
        <v>0</v>
      </c>
      <c r="W513" s="206"/>
      <c r="X513" s="205">
        <f t="shared" si="1405"/>
        <v>0</v>
      </c>
      <c r="Y513" s="188">
        <f t="shared" si="1406"/>
        <v>0</v>
      </c>
      <c r="Z513" s="176">
        <f t="shared" si="1407"/>
        <v>0</v>
      </c>
      <c r="AA513" s="206"/>
      <c r="AB513" s="205">
        <f t="shared" si="1408"/>
        <v>0</v>
      </c>
      <c r="AC513" s="206"/>
      <c r="AD513" s="205">
        <f t="shared" si="1409"/>
        <v>0</v>
      </c>
      <c r="AE513" s="206"/>
      <c r="AF513" s="205">
        <f t="shared" si="1410"/>
        <v>0</v>
      </c>
      <c r="AG513" s="188">
        <f t="shared" si="1411"/>
        <v>0</v>
      </c>
      <c r="AH513" s="96">
        <f t="shared" si="1412"/>
        <v>0</v>
      </c>
      <c r="AI513" s="96">
        <f t="shared" si="1413"/>
        <v>0</v>
      </c>
      <c r="AJ513" s="176">
        <f t="shared" si="1414"/>
        <v>0</v>
      </c>
      <c r="AK513" s="206"/>
      <c r="AL513" s="439">
        <f t="shared" si="1415"/>
        <v>0</v>
      </c>
      <c r="AM513" s="243"/>
      <c r="AN513" s="176">
        <f t="shared" si="1416"/>
        <v>0</v>
      </c>
      <c r="AO513" s="206"/>
      <c r="AP513" s="205">
        <f t="shared" si="1417"/>
        <v>0</v>
      </c>
      <c r="AQ513" s="188">
        <f t="shared" si="1418"/>
        <v>0</v>
      </c>
      <c r="AR513" s="96">
        <f t="shared" si="1419"/>
        <v>0</v>
      </c>
      <c r="AS513" s="96"/>
      <c r="AT513" s="176">
        <f t="shared" si="1420"/>
        <v>0</v>
      </c>
      <c r="AU513" s="206"/>
      <c r="AV513" s="176">
        <f t="shared" si="1421"/>
        <v>0</v>
      </c>
      <c r="AW513" s="206"/>
      <c r="AX513" s="205">
        <f t="shared" si="1422"/>
        <v>0</v>
      </c>
      <c r="AY513" s="188">
        <f t="shared" si="1423"/>
        <v>0</v>
      </c>
      <c r="AZ513" s="96">
        <f t="shared" si="1424"/>
        <v>0</v>
      </c>
      <c r="BA513" s="96">
        <f t="shared" si="1425"/>
        <v>0</v>
      </c>
      <c r="BB513" s="96">
        <f t="shared" si="1426"/>
        <v>0</v>
      </c>
    </row>
    <row r="514" spans="1:54">
      <c r="A514" s="492">
        <v>282</v>
      </c>
      <c r="B514" s="13"/>
      <c r="C514" s="13"/>
      <c r="D514" s="13" t="s">
        <v>1254</v>
      </c>
      <c r="E514" s="21" t="s">
        <v>1075</v>
      </c>
      <c r="F514" s="22" t="s">
        <v>1074</v>
      </c>
      <c r="G514" s="22" t="s">
        <v>1069</v>
      </c>
      <c r="H514" s="265" t="s">
        <v>358</v>
      </c>
      <c r="I514" s="54">
        <v>5.8</v>
      </c>
      <c r="J514" s="101"/>
      <c r="K514" s="54">
        <v>5.8</v>
      </c>
      <c r="L514" s="101"/>
      <c r="M514" s="54"/>
      <c r="N514" s="101"/>
      <c r="O514" s="54"/>
      <c r="P514" s="101"/>
      <c r="Q514" s="96">
        <f t="shared" si="1401"/>
        <v>0</v>
      </c>
      <c r="R514" s="337">
        <f t="shared" si="1402"/>
        <v>0</v>
      </c>
      <c r="S514" s="96"/>
      <c r="T514" s="96">
        <f t="shared" si="1403"/>
        <v>0</v>
      </c>
      <c r="U514" s="96"/>
      <c r="V514" s="176">
        <f t="shared" si="1404"/>
        <v>0</v>
      </c>
      <c r="W514" s="206"/>
      <c r="X514" s="205">
        <f t="shared" si="1405"/>
        <v>0</v>
      </c>
      <c r="Y514" s="188">
        <f t="shared" si="1406"/>
        <v>0</v>
      </c>
      <c r="Z514" s="176">
        <f t="shared" si="1407"/>
        <v>0</v>
      </c>
      <c r="AA514" s="206"/>
      <c r="AB514" s="205">
        <f t="shared" si="1408"/>
        <v>0</v>
      </c>
      <c r="AC514" s="206"/>
      <c r="AD514" s="176">
        <f t="shared" si="1409"/>
        <v>0</v>
      </c>
      <c r="AE514" s="206"/>
      <c r="AF514" s="205">
        <f t="shared" si="1410"/>
        <v>0</v>
      </c>
      <c r="AG514" s="188">
        <f t="shared" si="1411"/>
        <v>0</v>
      </c>
      <c r="AH514" s="96">
        <f t="shared" si="1412"/>
        <v>0</v>
      </c>
      <c r="AI514" s="96">
        <f t="shared" si="1413"/>
        <v>0</v>
      </c>
      <c r="AJ514" s="176">
        <f t="shared" si="1414"/>
        <v>0</v>
      </c>
      <c r="AK514" s="206"/>
      <c r="AL514" s="176">
        <f t="shared" si="1415"/>
        <v>0</v>
      </c>
      <c r="AM514" s="243"/>
      <c r="AN514" s="176">
        <f t="shared" si="1416"/>
        <v>0</v>
      </c>
      <c r="AO514" s="206"/>
      <c r="AP514" s="205">
        <f t="shared" si="1417"/>
        <v>0</v>
      </c>
      <c r="AQ514" s="188">
        <f t="shared" si="1418"/>
        <v>0</v>
      </c>
      <c r="AR514" s="96">
        <f t="shared" si="1419"/>
        <v>0</v>
      </c>
      <c r="AS514" s="96"/>
      <c r="AT514" s="176">
        <f t="shared" si="1420"/>
        <v>0</v>
      </c>
      <c r="AU514" s="206"/>
      <c r="AV514" s="176">
        <f t="shared" si="1421"/>
        <v>0</v>
      </c>
      <c r="AW514" s="206"/>
      <c r="AX514" s="205">
        <f t="shared" si="1422"/>
        <v>0</v>
      </c>
      <c r="AY514" s="188">
        <f t="shared" si="1423"/>
        <v>0</v>
      </c>
      <c r="AZ514" s="96">
        <f t="shared" si="1424"/>
        <v>0</v>
      </c>
      <c r="BA514" s="96">
        <f t="shared" si="1425"/>
        <v>0</v>
      </c>
      <c r="BB514" s="96">
        <f t="shared" si="1426"/>
        <v>0</v>
      </c>
    </row>
    <row r="515" spans="1:54" ht="12.75" customHeight="1">
      <c r="A515" s="492">
        <v>283</v>
      </c>
      <c r="B515" s="13"/>
      <c r="C515" s="13"/>
      <c r="D515" s="13" t="s">
        <v>1254</v>
      </c>
      <c r="E515" s="21" t="s">
        <v>1006</v>
      </c>
      <c r="F515" s="45" t="s">
        <v>1010</v>
      </c>
      <c r="G515" s="45" t="s">
        <v>1055</v>
      </c>
      <c r="H515" s="265" t="s">
        <v>358</v>
      </c>
      <c r="I515" s="54">
        <v>4.97</v>
      </c>
      <c r="J515" s="101"/>
      <c r="K515" s="54">
        <v>4.97</v>
      </c>
      <c r="L515" s="101"/>
      <c r="M515" s="54"/>
      <c r="N515" s="101"/>
      <c r="O515" s="54"/>
      <c r="P515" s="101"/>
      <c r="Q515" s="96">
        <f t="shared" si="1401"/>
        <v>0</v>
      </c>
      <c r="R515" s="337">
        <f t="shared" si="1402"/>
        <v>0</v>
      </c>
      <c r="S515" s="96"/>
      <c r="T515" s="96">
        <f t="shared" si="1403"/>
        <v>0</v>
      </c>
      <c r="U515" s="96"/>
      <c r="V515" s="176">
        <f t="shared" si="1404"/>
        <v>0</v>
      </c>
      <c r="W515" s="206"/>
      <c r="X515" s="205">
        <f t="shared" si="1405"/>
        <v>0</v>
      </c>
      <c r="Y515" s="188">
        <f t="shared" si="1406"/>
        <v>0</v>
      </c>
      <c r="Z515" s="176">
        <f t="shared" si="1407"/>
        <v>0</v>
      </c>
      <c r="AA515" s="206"/>
      <c r="AB515" s="205">
        <f t="shared" si="1408"/>
        <v>0</v>
      </c>
      <c r="AC515" s="206"/>
      <c r="AD515" s="205">
        <f t="shared" si="1409"/>
        <v>0</v>
      </c>
      <c r="AE515" s="206"/>
      <c r="AF515" s="223">
        <f t="shared" si="1410"/>
        <v>0</v>
      </c>
      <c r="AG515" s="188">
        <f t="shared" si="1411"/>
        <v>0</v>
      </c>
      <c r="AH515" s="96">
        <f t="shared" si="1412"/>
        <v>0</v>
      </c>
      <c r="AI515" s="96">
        <f t="shared" si="1413"/>
        <v>0</v>
      </c>
      <c r="AJ515" s="176">
        <f t="shared" si="1414"/>
        <v>0</v>
      </c>
      <c r="AK515" s="206"/>
      <c r="AL515" s="439">
        <f t="shared" si="1415"/>
        <v>0</v>
      </c>
      <c r="AM515" s="243"/>
      <c r="AN515" s="176">
        <f t="shared" si="1416"/>
        <v>0</v>
      </c>
      <c r="AO515" s="206"/>
      <c r="AP515" s="205">
        <f t="shared" si="1417"/>
        <v>0</v>
      </c>
      <c r="AQ515" s="188">
        <f t="shared" si="1418"/>
        <v>0</v>
      </c>
      <c r="AR515" s="96">
        <f t="shared" si="1419"/>
        <v>0</v>
      </c>
      <c r="AS515" s="96"/>
      <c r="AT515" s="176">
        <f t="shared" si="1420"/>
        <v>0</v>
      </c>
      <c r="AU515" s="206"/>
      <c r="AV515" s="176">
        <f t="shared" si="1421"/>
        <v>0</v>
      </c>
      <c r="AW515" s="206"/>
      <c r="AX515" s="205">
        <f t="shared" si="1422"/>
        <v>0</v>
      </c>
      <c r="AY515" s="188">
        <f t="shared" si="1423"/>
        <v>0</v>
      </c>
      <c r="AZ515" s="96">
        <f t="shared" si="1424"/>
        <v>0</v>
      </c>
      <c r="BA515" s="96">
        <f t="shared" si="1425"/>
        <v>0</v>
      </c>
      <c r="BB515" s="96">
        <f t="shared" si="1426"/>
        <v>0</v>
      </c>
    </row>
    <row r="516" spans="1:54" ht="12.75" customHeight="1">
      <c r="A516" s="492">
        <v>284</v>
      </c>
      <c r="B516" s="13"/>
      <c r="C516" s="13"/>
      <c r="D516" s="13" t="s">
        <v>1255</v>
      </c>
      <c r="E516" s="21" t="s">
        <v>1040</v>
      </c>
      <c r="F516" s="45" t="s">
        <v>1039</v>
      </c>
      <c r="G516" s="45" t="s">
        <v>1055</v>
      </c>
      <c r="H516" s="265" t="s">
        <v>358</v>
      </c>
      <c r="I516" s="54">
        <v>5.2</v>
      </c>
      <c r="J516" s="101"/>
      <c r="K516" s="54">
        <v>5.2</v>
      </c>
      <c r="L516" s="101"/>
      <c r="M516" s="54"/>
      <c r="N516" s="101"/>
      <c r="O516" s="54"/>
      <c r="P516" s="101"/>
      <c r="Q516" s="96">
        <f t="shared" si="1401"/>
        <v>0</v>
      </c>
      <c r="R516" s="337">
        <f t="shared" si="1402"/>
        <v>0</v>
      </c>
      <c r="S516" s="96"/>
      <c r="T516" s="96">
        <f t="shared" si="1403"/>
        <v>0</v>
      </c>
      <c r="U516" s="96"/>
      <c r="V516" s="176">
        <f t="shared" si="1404"/>
        <v>0</v>
      </c>
      <c r="W516" s="206"/>
      <c r="X516" s="205">
        <f t="shared" si="1405"/>
        <v>0</v>
      </c>
      <c r="Y516" s="188">
        <f t="shared" si="1406"/>
        <v>0</v>
      </c>
      <c r="Z516" s="176">
        <f t="shared" si="1407"/>
        <v>0</v>
      </c>
      <c r="AA516" s="206"/>
      <c r="AB516" s="205">
        <f t="shared" si="1408"/>
        <v>0</v>
      </c>
      <c r="AC516" s="206"/>
      <c r="AD516" s="205">
        <f t="shared" si="1409"/>
        <v>0</v>
      </c>
      <c r="AE516" s="206"/>
      <c r="AF516" s="205">
        <f t="shared" si="1410"/>
        <v>0</v>
      </c>
      <c r="AG516" s="188">
        <f t="shared" si="1411"/>
        <v>0</v>
      </c>
      <c r="AH516" s="96">
        <f t="shared" si="1412"/>
        <v>0</v>
      </c>
      <c r="AI516" s="96">
        <f t="shared" si="1413"/>
        <v>0</v>
      </c>
      <c r="AJ516" s="176">
        <f t="shared" si="1414"/>
        <v>0</v>
      </c>
      <c r="AK516" s="206"/>
      <c r="AL516" s="439">
        <f t="shared" si="1415"/>
        <v>0</v>
      </c>
      <c r="AM516" s="243"/>
      <c r="AN516" s="176">
        <f t="shared" si="1416"/>
        <v>0</v>
      </c>
      <c r="AO516" s="206"/>
      <c r="AP516" s="205">
        <f t="shared" si="1417"/>
        <v>0</v>
      </c>
      <c r="AQ516" s="188">
        <f t="shared" si="1418"/>
        <v>0</v>
      </c>
      <c r="AR516" s="96">
        <f t="shared" si="1419"/>
        <v>0</v>
      </c>
      <c r="AS516" s="96"/>
      <c r="AT516" s="176">
        <f t="shared" si="1420"/>
        <v>0</v>
      </c>
      <c r="AU516" s="206"/>
      <c r="AV516" s="176">
        <f t="shared" si="1421"/>
        <v>0</v>
      </c>
      <c r="AW516" s="206"/>
      <c r="AX516" s="205">
        <f t="shared" si="1422"/>
        <v>0</v>
      </c>
      <c r="AY516" s="188">
        <f t="shared" si="1423"/>
        <v>0</v>
      </c>
      <c r="AZ516" s="96">
        <f t="shared" si="1424"/>
        <v>0</v>
      </c>
      <c r="BA516" s="96">
        <f t="shared" si="1425"/>
        <v>0</v>
      </c>
      <c r="BB516" s="96">
        <f t="shared" si="1426"/>
        <v>0</v>
      </c>
    </row>
    <row r="517" spans="1:54" ht="12.75" customHeight="1">
      <c r="A517" s="492">
        <v>284</v>
      </c>
      <c r="B517" s="13"/>
      <c r="C517" s="13"/>
      <c r="D517" s="13" t="s">
        <v>1255</v>
      </c>
      <c r="E517" s="21" t="s">
        <v>2427</v>
      </c>
      <c r="F517" s="45" t="s">
        <v>2428</v>
      </c>
      <c r="G517" s="45" t="s">
        <v>1055</v>
      </c>
      <c r="H517" s="265" t="s">
        <v>358</v>
      </c>
      <c r="I517" s="54">
        <v>4.6500000000000004</v>
      </c>
      <c r="J517" s="101"/>
      <c r="K517" s="54">
        <v>4.6500000000000004</v>
      </c>
      <c r="L517" s="101"/>
      <c r="M517" s="54"/>
      <c r="N517" s="101"/>
      <c r="O517" s="54"/>
      <c r="P517" s="101"/>
      <c r="Q517" s="96">
        <f>SUM(AI517+BA517)</f>
        <v>11.088000000000001</v>
      </c>
      <c r="R517" s="337">
        <f t="shared" ref="R517" si="1427">SUM(AJ517+BB517)</f>
        <v>74.357647056000019</v>
      </c>
      <c r="S517" s="96">
        <v>8.0640000000000001</v>
      </c>
      <c r="T517" s="96">
        <f t="shared" ref="T517" si="1428">I517*S517*$T$2/1000</f>
        <v>54.133410240000011</v>
      </c>
      <c r="U517" s="96">
        <v>3.024</v>
      </c>
      <c r="V517" s="176">
        <f t="shared" ref="V517" si="1429">I517*U517*$V$2/1000</f>
        <v>20.224236816000001</v>
      </c>
      <c r="W517" s="206"/>
      <c r="X517" s="205">
        <f t="shared" ref="X517" si="1430">I517*W517*$X$2/1000</f>
        <v>0</v>
      </c>
      <c r="Y517" s="188">
        <f t="shared" ref="Y517" si="1431">SUM(S517+U517+W517)</f>
        <v>11.088000000000001</v>
      </c>
      <c r="Z517" s="176">
        <f t="shared" ref="Z517" si="1432">SUM(T517+V517+X517)</f>
        <v>74.357647056000019</v>
      </c>
      <c r="AA517" s="206"/>
      <c r="AB517" s="205">
        <f t="shared" ref="AB517" si="1433">K517*AA517*$AB$2/1000</f>
        <v>0</v>
      </c>
      <c r="AC517" s="206"/>
      <c r="AD517" s="205">
        <f t="shared" ref="AD517" si="1434">K517*AC517*$AD$2/1000</f>
        <v>0</v>
      </c>
      <c r="AE517" s="206"/>
      <c r="AF517" s="205">
        <f t="shared" ref="AF517" si="1435">K517*AE517*$AF$2/1000</f>
        <v>0</v>
      </c>
      <c r="AG517" s="188">
        <f t="shared" ref="AG517" si="1436">SUM(AA517+AC517+AE517)</f>
        <v>0</v>
      </c>
      <c r="AH517" s="96">
        <f t="shared" ref="AH517" si="1437">SUM(AB517+AD517+AF517)</f>
        <v>0</v>
      </c>
      <c r="AI517" s="96">
        <f t="shared" ref="AI517" si="1438">SUM(Y517+AG517)</f>
        <v>11.088000000000001</v>
      </c>
      <c r="AJ517" s="176">
        <f t="shared" ref="AJ517" si="1439">SUM(Z517,AH517)</f>
        <v>74.357647056000019</v>
      </c>
      <c r="AK517" s="206"/>
      <c r="AL517" s="439">
        <f t="shared" ref="AL517" si="1440">M517*AK517*$AL$2/1000</f>
        <v>0</v>
      </c>
      <c r="AM517" s="243"/>
      <c r="AN517" s="176">
        <f t="shared" ref="AN517" si="1441">M517*AM517*$AN$2/1000</f>
        <v>0</v>
      </c>
      <c r="AO517" s="206"/>
      <c r="AP517" s="205">
        <f t="shared" ref="AP517" si="1442">M517*AO517*$AP$2/1000</f>
        <v>0</v>
      </c>
      <c r="AQ517" s="188">
        <f t="shared" ref="AQ517" si="1443">SUM(AK517+AM517+AO517)</f>
        <v>0</v>
      </c>
      <c r="AR517" s="96">
        <f t="shared" ref="AR517" si="1444">SUM(AL517+AN517+AP517)</f>
        <v>0</v>
      </c>
      <c r="AS517" s="96"/>
      <c r="AT517" s="176">
        <f t="shared" ref="AT517" si="1445">O517*AS517*$AT$2/1000</f>
        <v>0</v>
      </c>
      <c r="AU517" s="206"/>
      <c r="AV517" s="176">
        <f t="shared" ref="AV517" si="1446">O517*AU517*$AV$2/1000</f>
        <v>0</v>
      </c>
      <c r="AW517" s="206"/>
      <c r="AX517" s="205">
        <f t="shared" ref="AX517" si="1447">O517*AW517*$AX$2/1000</f>
        <v>0</v>
      </c>
      <c r="AY517" s="188">
        <f t="shared" ref="AY517" si="1448">SUM(AS517+AU517+AW517)</f>
        <v>0</v>
      </c>
      <c r="AZ517" s="96">
        <f t="shared" ref="AZ517" si="1449">SUM(AT517+AV517+AX517)</f>
        <v>0</v>
      </c>
      <c r="BA517" s="96">
        <f t="shared" ref="BA517" si="1450">SUM(AQ517+AY517)</f>
        <v>0</v>
      </c>
      <c r="BB517" s="96">
        <f t="shared" ref="BB517" si="1451">SUM(AR517,AZ517)</f>
        <v>0</v>
      </c>
    </row>
    <row r="518" spans="1:54">
      <c r="A518" s="492">
        <v>285</v>
      </c>
      <c r="B518" s="13"/>
      <c r="C518" s="13"/>
      <c r="D518" s="13" t="s">
        <v>1251</v>
      </c>
      <c r="E518" s="21" t="s">
        <v>299</v>
      </c>
      <c r="F518" s="45" t="s">
        <v>300</v>
      </c>
      <c r="G518" s="45" t="s">
        <v>1059</v>
      </c>
      <c r="H518" s="265" t="s">
        <v>358</v>
      </c>
      <c r="I518" s="153"/>
      <c r="J518" s="167">
        <v>7990</v>
      </c>
      <c r="K518" s="54"/>
      <c r="L518" s="167">
        <v>7990</v>
      </c>
      <c r="M518" s="54"/>
      <c r="N518" s="167"/>
      <c r="O518" s="153"/>
      <c r="P518" s="167"/>
      <c r="Q518" s="130">
        <f t="shared" si="1401"/>
        <v>6.9879999999999995</v>
      </c>
      <c r="R518" s="347">
        <f t="shared" si="1402"/>
        <v>55.834119999999999</v>
      </c>
      <c r="S518" s="130">
        <v>1.974</v>
      </c>
      <c r="T518" s="130">
        <f t="shared" ref="T518:T534" si="1452">J518*S518/1000</f>
        <v>15.772260000000001</v>
      </c>
      <c r="U518" s="130">
        <v>0.96599999999999997</v>
      </c>
      <c r="V518" s="184">
        <f t="shared" ref="V518:V534" si="1453">J518*U518/1000</f>
        <v>7.7183400000000004</v>
      </c>
      <c r="W518" s="222">
        <v>1.0129999999999999</v>
      </c>
      <c r="X518" s="223">
        <f t="shared" ref="X518:X534" si="1454">J518*W518/1000</f>
        <v>8.093869999999999</v>
      </c>
      <c r="Y518" s="197">
        <f t="shared" si="1406"/>
        <v>3.9529999999999998</v>
      </c>
      <c r="Z518" s="184">
        <f t="shared" si="1407"/>
        <v>31.58447</v>
      </c>
      <c r="AA518" s="222">
        <v>3.0350000000000001</v>
      </c>
      <c r="AB518" s="223">
        <f t="shared" ref="AB518:AB534" si="1455">L518*AA518/1000</f>
        <v>24.249650000000003</v>
      </c>
      <c r="AC518" s="222"/>
      <c r="AD518" s="184">
        <f t="shared" ref="AD518:AD534" si="1456">L518*AC518/1000</f>
        <v>0</v>
      </c>
      <c r="AE518" s="222"/>
      <c r="AF518" s="205">
        <f t="shared" ref="AF518:AF534" si="1457">L518*AE518/1000</f>
        <v>0</v>
      </c>
      <c r="AG518" s="197">
        <f t="shared" si="1411"/>
        <v>3.0350000000000001</v>
      </c>
      <c r="AH518" s="130">
        <f t="shared" si="1412"/>
        <v>24.249650000000003</v>
      </c>
      <c r="AI518" s="130">
        <f t="shared" si="1413"/>
        <v>6.9879999999999995</v>
      </c>
      <c r="AJ518" s="184">
        <f t="shared" si="1414"/>
        <v>55.834119999999999</v>
      </c>
      <c r="AK518" s="222"/>
      <c r="AL518" s="184">
        <f t="shared" ref="AL518:AL534" si="1458">N518*AK518/1000</f>
        <v>0</v>
      </c>
      <c r="AM518" s="252"/>
      <c r="AN518" s="184">
        <f t="shared" ref="AN518:AN534" si="1459">N518*AM518/1000</f>
        <v>0</v>
      </c>
      <c r="AO518" s="222"/>
      <c r="AP518" s="223">
        <f t="shared" ref="AP518:AP534" si="1460">N518*AO518/1000</f>
        <v>0</v>
      </c>
      <c r="AQ518" s="197">
        <f t="shared" si="1418"/>
        <v>0</v>
      </c>
      <c r="AR518" s="130">
        <f t="shared" si="1419"/>
        <v>0</v>
      </c>
      <c r="AS518" s="130"/>
      <c r="AT518" s="184">
        <f t="shared" ref="AT518:AT534" si="1461">P518*AS518/1000</f>
        <v>0</v>
      </c>
      <c r="AU518" s="222"/>
      <c r="AV518" s="184">
        <f t="shared" ref="AV518:AV534" si="1462">P518*AU518/1000</f>
        <v>0</v>
      </c>
      <c r="AW518" s="222"/>
      <c r="AX518" s="223">
        <f t="shared" ref="AX518:AX534" si="1463">P518*AW518/1000</f>
        <v>0</v>
      </c>
      <c r="AY518" s="197">
        <f t="shared" si="1423"/>
        <v>0</v>
      </c>
      <c r="AZ518" s="130">
        <f t="shared" si="1424"/>
        <v>0</v>
      </c>
      <c r="BA518" s="130">
        <f t="shared" si="1425"/>
        <v>0</v>
      </c>
      <c r="BB518" s="130">
        <f t="shared" si="1426"/>
        <v>0</v>
      </c>
    </row>
    <row r="519" spans="1:54">
      <c r="A519" s="492">
        <v>286</v>
      </c>
      <c r="B519" s="13"/>
      <c r="C519" s="13"/>
      <c r="D519" s="13" t="s">
        <v>737</v>
      </c>
      <c r="E519" s="13" t="s">
        <v>467</v>
      </c>
      <c r="F519" s="45" t="s">
        <v>468</v>
      </c>
      <c r="G519" s="23" t="s">
        <v>1059</v>
      </c>
      <c r="H519" s="266" t="s">
        <v>358</v>
      </c>
      <c r="I519" s="151"/>
      <c r="J519" s="170">
        <v>9678</v>
      </c>
      <c r="K519" s="73"/>
      <c r="L519" s="170">
        <v>9678</v>
      </c>
      <c r="M519" s="73"/>
      <c r="N519" s="170"/>
      <c r="O519" s="151"/>
      <c r="P519" s="170"/>
      <c r="Q519" s="118">
        <f t="shared" si="1401"/>
        <v>0</v>
      </c>
      <c r="R519" s="344">
        <f t="shared" si="1402"/>
        <v>0</v>
      </c>
      <c r="S519" s="118"/>
      <c r="T519" s="118">
        <f t="shared" si="1452"/>
        <v>0</v>
      </c>
      <c r="U519" s="118"/>
      <c r="V519" s="177">
        <f t="shared" si="1453"/>
        <v>0</v>
      </c>
      <c r="W519" s="207"/>
      <c r="X519" s="208">
        <f t="shared" si="1454"/>
        <v>0</v>
      </c>
      <c r="Y519" s="260">
        <f t="shared" si="1406"/>
        <v>0</v>
      </c>
      <c r="Z519" s="177">
        <f t="shared" si="1407"/>
        <v>0</v>
      </c>
      <c r="AA519" s="207"/>
      <c r="AB519" s="208">
        <f t="shared" si="1455"/>
        <v>0</v>
      </c>
      <c r="AC519" s="207"/>
      <c r="AD519" s="177">
        <f t="shared" si="1456"/>
        <v>0</v>
      </c>
      <c r="AE519" s="207"/>
      <c r="AF519" s="205">
        <f t="shared" si="1457"/>
        <v>0</v>
      </c>
      <c r="AG519" s="260">
        <f t="shared" si="1411"/>
        <v>0</v>
      </c>
      <c r="AH519" s="118">
        <f t="shared" si="1412"/>
        <v>0</v>
      </c>
      <c r="AI519" s="118">
        <f t="shared" si="1413"/>
        <v>0</v>
      </c>
      <c r="AJ519" s="177">
        <f t="shared" si="1414"/>
        <v>0</v>
      </c>
      <c r="AK519" s="207"/>
      <c r="AL519" s="177">
        <f t="shared" si="1458"/>
        <v>0</v>
      </c>
      <c r="AM519" s="244"/>
      <c r="AN519" s="177">
        <f t="shared" si="1459"/>
        <v>0</v>
      </c>
      <c r="AO519" s="207"/>
      <c r="AP519" s="208">
        <f t="shared" si="1460"/>
        <v>0</v>
      </c>
      <c r="AQ519" s="260">
        <f t="shared" si="1418"/>
        <v>0</v>
      </c>
      <c r="AR519" s="118">
        <f t="shared" si="1419"/>
        <v>0</v>
      </c>
      <c r="AS519" s="118"/>
      <c r="AT519" s="177">
        <f t="shared" si="1461"/>
        <v>0</v>
      </c>
      <c r="AU519" s="207"/>
      <c r="AV519" s="177">
        <f t="shared" si="1462"/>
        <v>0</v>
      </c>
      <c r="AW519" s="207"/>
      <c r="AX519" s="208">
        <f t="shared" si="1463"/>
        <v>0</v>
      </c>
      <c r="AY519" s="260">
        <f t="shared" si="1423"/>
        <v>0</v>
      </c>
      <c r="AZ519" s="118">
        <f t="shared" si="1424"/>
        <v>0</v>
      </c>
      <c r="BA519" s="118">
        <f t="shared" si="1425"/>
        <v>0</v>
      </c>
      <c r="BB519" s="118">
        <f t="shared" si="1426"/>
        <v>0</v>
      </c>
    </row>
    <row r="520" spans="1:54">
      <c r="A520" s="492">
        <v>287</v>
      </c>
      <c r="B520" s="13"/>
      <c r="C520" s="13"/>
      <c r="D520" s="13" t="s">
        <v>737</v>
      </c>
      <c r="E520" s="21" t="s">
        <v>772</v>
      </c>
      <c r="F520" s="45" t="s">
        <v>774</v>
      </c>
      <c r="G520" s="45" t="s">
        <v>1059</v>
      </c>
      <c r="H520" s="265" t="s">
        <v>358</v>
      </c>
      <c r="I520" s="142"/>
      <c r="J520" s="162">
        <v>9680</v>
      </c>
      <c r="K520" s="54"/>
      <c r="L520" s="162">
        <v>9680</v>
      </c>
      <c r="M520" s="54"/>
      <c r="N520" s="162"/>
      <c r="O520" s="142"/>
      <c r="P520" s="162"/>
      <c r="Q520" s="96">
        <f t="shared" si="1401"/>
        <v>0</v>
      </c>
      <c r="R520" s="337">
        <f t="shared" si="1402"/>
        <v>0</v>
      </c>
      <c r="S520" s="96"/>
      <c r="T520" s="96">
        <f t="shared" si="1452"/>
        <v>0</v>
      </c>
      <c r="U520" s="96"/>
      <c r="V520" s="176">
        <f t="shared" si="1453"/>
        <v>0</v>
      </c>
      <c r="W520" s="206"/>
      <c r="X520" s="205">
        <f t="shared" si="1454"/>
        <v>0</v>
      </c>
      <c r="Y520" s="188">
        <f t="shared" si="1406"/>
        <v>0</v>
      </c>
      <c r="Z520" s="176">
        <f t="shared" si="1407"/>
        <v>0</v>
      </c>
      <c r="AA520" s="206"/>
      <c r="AB520" s="205">
        <f t="shared" si="1455"/>
        <v>0</v>
      </c>
      <c r="AC520" s="206"/>
      <c r="AD520" s="176">
        <f t="shared" si="1456"/>
        <v>0</v>
      </c>
      <c r="AE520" s="206"/>
      <c r="AF520" s="205">
        <f t="shared" si="1457"/>
        <v>0</v>
      </c>
      <c r="AG520" s="188">
        <f t="shared" si="1411"/>
        <v>0</v>
      </c>
      <c r="AH520" s="96">
        <f t="shared" si="1412"/>
        <v>0</v>
      </c>
      <c r="AI520" s="96">
        <f t="shared" si="1413"/>
        <v>0</v>
      </c>
      <c r="AJ520" s="176">
        <f t="shared" si="1414"/>
        <v>0</v>
      </c>
      <c r="AK520" s="206"/>
      <c r="AL520" s="176">
        <f t="shared" si="1458"/>
        <v>0</v>
      </c>
      <c r="AM520" s="243"/>
      <c r="AN520" s="176">
        <f t="shared" si="1459"/>
        <v>0</v>
      </c>
      <c r="AO520" s="206"/>
      <c r="AP520" s="205">
        <f t="shared" si="1460"/>
        <v>0</v>
      </c>
      <c r="AQ520" s="188">
        <f t="shared" si="1418"/>
        <v>0</v>
      </c>
      <c r="AR520" s="96">
        <f t="shared" si="1419"/>
        <v>0</v>
      </c>
      <c r="AS520" s="96"/>
      <c r="AT520" s="176">
        <f t="shared" si="1461"/>
        <v>0</v>
      </c>
      <c r="AU520" s="206"/>
      <c r="AV520" s="176">
        <f t="shared" si="1462"/>
        <v>0</v>
      </c>
      <c r="AW520" s="206"/>
      <c r="AX520" s="205">
        <f t="shared" si="1463"/>
        <v>0</v>
      </c>
      <c r="AY520" s="188">
        <f t="shared" si="1423"/>
        <v>0</v>
      </c>
      <c r="AZ520" s="96">
        <f t="shared" si="1424"/>
        <v>0</v>
      </c>
      <c r="BA520" s="96">
        <f t="shared" si="1425"/>
        <v>0</v>
      </c>
      <c r="BB520" s="96">
        <f t="shared" si="1426"/>
        <v>0</v>
      </c>
    </row>
    <row r="521" spans="1:54">
      <c r="A521" s="492">
        <v>288</v>
      </c>
      <c r="B521" s="13"/>
      <c r="C521" s="13"/>
      <c r="D521" s="13" t="s">
        <v>737</v>
      </c>
      <c r="E521" s="21" t="s">
        <v>773</v>
      </c>
      <c r="F521" s="45" t="s">
        <v>775</v>
      </c>
      <c r="G521" s="45" t="s">
        <v>1059</v>
      </c>
      <c r="H521" s="265" t="s">
        <v>358</v>
      </c>
      <c r="I521" s="142"/>
      <c r="J521" s="162">
        <v>9680</v>
      </c>
      <c r="K521" s="54"/>
      <c r="L521" s="162">
        <v>9680</v>
      </c>
      <c r="M521" s="54"/>
      <c r="N521" s="162"/>
      <c r="O521" s="142"/>
      <c r="P521" s="162"/>
      <c r="Q521" s="96">
        <f t="shared" si="1401"/>
        <v>0</v>
      </c>
      <c r="R521" s="337">
        <f t="shared" si="1402"/>
        <v>0</v>
      </c>
      <c r="S521" s="96"/>
      <c r="T521" s="96">
        <f t="shared" si="1452"/>
        <v>0</v>
      </c>
      <c r="U521" s="96"/>
      <c r="V521" s="176">
        <f t="shared" si="1453"/>
        <v>0</v>
      </c>
      <c r="W521" s="206"/>
      <c r="X521" s="205">
        <f t="shared" si="1454"/>
        <v>0</v>
      </c>
      <c r="Y521" s="188">
        <f t="shared" si="1406"/>
        <v>0</v>
      </c>
      <c r="Z521" s="176">
        <f t="shared" si="1407"/>
        <v>0</v>
      </c>
      <c r="AA521" s="206"/>
      <c r="AB521" s="205">
        <f t="shared" si="1455"/>
        <v>0</v>
      </c>
      <c r="AC521" s="206"/>
      <c r="AD521" s="176">
        <f t="shared" si="1456"/>
        <v>0</v>
      </c>
      <c r="AE521" s="206"/>
      <c r="AF521" s="205">
        <f t="shared" si="1457"/>
        <v>0</v>
      </c>
      <c r="AG521" s="188">
        <f t="shared" si="1411"/>
        <v>0</v>
      </c>
      <c r="AH521" s="96">
        <f t="shared" si="1412"/>
        <v>0</v>
      </c>
      <c r="AI521" s="96">
        <f t="shared" si="1413"/>
        <v>0</v>
      </c>
      <c r="AJ521" s="176">
        <f t="shared" si="1414"/>
        <v>0</v>
      </c>
      <c r="AK521" s="206"/>
      <c r="AL521" s="176">
        <f t="shared" si="1458"/>
        <v>0</v>
      </c>
      <c r="AM521" s="243"/>
      <c r="AN521" s="176">
        <f t="shared" si="1459"/>
        <v>0</v>
      </c>
      <c r="AO521" s="206"/>
      <c r="AP521" s="205">
        <f t="shared" si="1460"/>
        <v>0</v>
      </c>
      <c r="AQ521" s="188">
        <f t="shared" si="1418"/>
        <v>0</v>
      </c>
      <c r="AR521" s="96">
        <f t="shared" si="1419"/>
        <v>0</v>
      </c>
      <c r="AS521" s="96"/>
      <c r="AT521" s="176">
        <f t="shared" si="1461"/>
        <v>0</v>
      </c>
      <c r="AU521" s="206"/>
      <c r="AV521" s="176">
        <f t="shared" si="1462"/>
        <v>0</v>
      </c>
      <c r="AW521" s="206"/>
      <c r="AX521" s="205">
        <f t="shared" si="1463"/>
        <v>0</v>
      </c>
      <c r="AY521" s="188">
        <f t="shared" si="1423"/>
        <v>0</v>
      </c>
      <c r="AZ521" s="96">
        <f t="shared" si="1424"/>
        <v>0</v>
      </c>
      <c r="BA521" s="96">
        <f t="shared" si="1425"/>
        <v>0</v>
      </c>
      <c r="BB521" s="96">
        <f t="shared" si="1426"/>
        <v>0</v>
      </c>
    </row>
    <row r="522" spans="1:54">
      <c r="A522" s="492">
        <v>289</v>
      </c>
      <c r="B522" s="13"/>
      <c r="C522" s="13"/>
      <c r="D522" s="13" t="s">
        <v>737</v>
      </c>
      <c r="E522" s="21" t="s">
        <v>781</v>
      </c>
      <c r="F522" s="45" t="s">
        <v>782</v>
      </c>
      <c r="G522" s="45" t="s">
        <v>1059</v>
      </c>
      <c r="H522" s="265" t="s">
        <v>358</v>
      </c>
      <c r="I522" s="142"/>
      <c r="J522" s="162">
        <v>10445</v>
      </c>
      <c r="K522" s="54"/>
      <c r="L522" s="162">
        <v>10445</v>
      </c>
      <c r="M522" s="54"/>
      <c r="N522" s="162"/>
      <c r="O522" s="142"/>
      <c r="P522" s="162"/>
      <c r="Q522" s="96">
        <f t="shared" si="1401"/>
        <v>0</v>
      </c>
      <c r="R522" s="337">
        <f t="shared" si="1402"/>
        <v>0</v>
      </c>
      <c r="S522" s="96"/>
      <c r="T522" s="96">
        <f t="shared" si="1452"/>
        <v>0</v>
      </c>
      <c r="U522" s="130"/>
      <c r="V522" s="176">
        <f t="shared" si="1453"/>
        <v>0</v>
      </c>
      <c r="W522" s="206"/>
      <c r="X522" s="205">
        <f t="shared" si="1454"/>
        <v>0</v>
      </c>
      <c r="Y522" s="188">
        <f t="shared" si="1406"/>
        <v>0</v>
      </c>
      <c r="Z522" s="176">
        <f t="shared" si="1407"/>
        <v>0</v>
      </c>
      <c r="AA522" s="206"/>
      <c r="AB522" s="205">
        <f t="shared" si="1455"/>
        <v>0</v>
      </c>
      <c r="AC522" s="206"/>
      <c r="AD522" s="176">
        <f t="shared" si="1456"/>
        <v>0</v>
      </c>
      <c r="AE522" s="206"/>
      <c r="AF522" s="205">
        <f t="shared" si="1457"/>
        <v>0</v>
      </c>
      <c r="AG522" s="188">
        <f t="shared" si="1411"/>
        <v>0</v>
      </c>
      <c r="AH522" s="96">
        <f t="shared" si="1412"/>
        <v>0</v>
      </c>
      <c r="AI522" s="96">
        <f t="shared" si="1413"/>
        <v>0</v>
      </c>
      <c r="AJ522" s="176">
        <f t="shared" si="1414"/>
        <v>0</v>
      </c>
      <c r="AK522" s="206"/>
      <c r="AL522" s="176">
        <f t="shared" si="1458"/>
        <v>0</v>
      </c>
      <c r="AM522" s="243"/>
      <c r="AN522" s="176">
        <f t="shared" si="1459"/>
        <v>0</v>
      </c>
      <c r="AO522" s="206"/>
      <c r="AP522" s="205">
        <f t="shared" si="1460"/>
        <v>0</v>
      </c>
      <c r="AQ522" s="188">
        <f t="shared" si="1418"/>
        <v>0</v>
      </c>
      <c r="AR522" s="96">
        <f t="shared" si="1419"/>
        <v>0</v>
      </c>
      <c r="AS522" s="96"/>
      <c r="AT522" s="176">
        <f t="shared" si="1461"/>
        <v>0</v>
      </c>
      <c r="AU522" s="206"/>
      <c r="AV522" s="176">
        <f t="shared" si="1462"/>
        <v>0</v>
      </c>
      <c r="AW522" s="206"/>
      <c r="AX522" s="205">
        <f t="shared" si="1463"/>
        <v>0</v>
      </c>
      <c r="AY522" s="188">
        <f t="shared" si="1423"/>
        <v>0</v>
      </c>
      <c r="AZ522" s="96">
        <f t="shared" si="1424"/>
        <v>0</v>
      </c>
      <c r="BA522" s="96">
        <f t="shared" si="1425"/>
        <v>0</v>
      </c>
      <c r="BB522" s="96">
        <f t="shared" si="1426"/>
        <v>0</v>
      </c>
    </row>
    <row r="523" spans="1:54">
      <c r="A523" s="492">
        <v>290</v>
      </c>
      <c r="B523" s="13"/>
      <c r="C523" s="13"/>
      <c r="D523" s="13" t="s">
        <v>737</v>
      </c>
      <c r="E523" s="21" t="s">
        <v>865</v>
      </c>
      <c r="F523" s="45" t="s">
        <v>866</v>
      </c>
      <c r="G523" s="45" t="s">
        <v>1059</v>
      </c>
      <c r="H523" s="265" t="s">
        <v>358</v>
      </c>
      <c r="I523" s="142"/>
      <c r="J523" s="162">
        <v>11200</v>
      </c>
      <c r="K523" s="54"/>
      <c r="L523" s="162">
        <v>11200</v>
      </c>
      <c r="M523" s="54"/>
      <c r="N523" s="162"/>
      <c r="O523" s="142"/>
      <c r="P523" s="162"/>
      <c r="Q523" s="96">
        <f t="shared" si="1401"/>
        <v>0</v>
      </c>
      <c r="R523" s="337">
        <f t="shared" si="1402"/>
        <v>0</v>
      </c>
      <c r="S523" s="96"/>
      <c r="T523" s="96">
        <f t="shared" si="1452"/>
        <v>0</v>
      </c>
      <c r="U523" s="130"/>
      <c r="V523" s="176">
        <f t="shared" si="1453"/>
        <v>0</v>
      </c>
      <c r="W523" s="206"/>
      <c r="X523" s="205">
        <f t="shared" si="1454"/>
        <v>0</v>
      </c>
      <c r="Y523" s="188">
        <f t="shared" si="1406"/>
        <v>0</v>
      </c>
      <c r="Z523" s="176">
        <f t="shared" si="1407"/>
        <v>0</v>
      </c>
      <c r="AA523" s="206"/>
      <c r="AB523" s="205">
        <f t="shared" si="1455"/>
        <v>0</v>
      </c>
      <c r="AC523" s="206"/>
      <c r="AD523" s="176">
        <f t="shared" si="1456"/>
        <v>0</v>
      </c>
      <c r="AE523" s="206"/>
      <c r="AF523" s="205">
        <f t="shared" si="1457"/>
        <v>0</v>
      </c>
      <c r="AG523" s="188">
        <f t="shared" si="1411"/>
        <v>0</v>
      </c>
      <c r="AH523" s="96">
        <f t="shared" si="1412"/>
        <v>0</v>
      </c>
      <c r="AI523" s="96">
        <f t="shared" si="1413"/>
        <v>0</v>
      </c>
      <c r="AJ523" s="176">
        <f t="shared" si="1414"/>
        <v>0</v>
      </c>
      <c r="AK523" s="206"/>
      <c r="AL523" s="176">
        <f t="shared" si="1458"/>
        <v>0</v>
      </c>
      <c r="AM523" s="243"/>
      <c r="AN523" s="176">
        <f t="shared" si="1459"/>
        <v>0</v>
      </c>
      <c r="AO523" s="206"/>
      <c r="AP523" s="205">
        <f t="shared" si="1460"/>
        <v>0</v>
      </c>
      <c r="AQ523" s="188">
        <f t="shared" si="1418"/>
        <v>0</v>
      </c>
      <c r="AR523" s="96">
        <f t="shared" si="1419"/>
        <v>0</v>
      </c>
      <c r="AS523" s="96"/>
      <c r="AT523" s="176">
        <f t="shared" si="1461"/>
        <v>0</v>
      </c>
      <c r="AU523" s="206"/>
      <c r="AV523" s="176">
        <f t="shared" si="1462"/>
        <v>0</v>
      </c>
      <c r="AW523" s="206"/>
      <c r="AX523" s="205">
        <f t="shared" si="1463"/>
        <v>0</v>
      </c>
      <c r="AY523" s="188">
        <f t="shared" si="1423"/>
        <v>0</v>
      </c>
      <c r="AZ523" s="96">
        <f t="shared" si="1424"/>
        <v>0</v>
      </c>
      <c r="BA523" s="96">
        <f t="shared" si="1425"/>
        <v>0</v>
      </c>
      <c r="BB523" s="96">
        <f t="shared" si="1426"/>
        <v>0</v>
      </c>
    </row>
    <row r="524" spans="1:54">
      <c r="A524" s="492">
        <v>291</v>
      </c>
      <c r="B524" s="13"/>
      <c r="C524" s="13"/>
      <c r="D524" s="13" t="s">
        <v>737</v>
      </c>
      <c r="E524" s="21" t="s">
        <v>867</v>
      </c>
      <c r="F524" s="45" t="s">
        <v>868</v>
      </c>
      <c r="G524" s="45" t="s">
        <v>1059</v>
      </c>
      <c r="H524" s="265" t="s">
        <v>358</v>
      </c>
      <c r="I524" s="142"/>
      <c r="J524" s="162">
        <v>10850</v>
      </c>
      <c r="K524" s="54"/>
      <c r="L524" s="162">
        <v>10850</v>
      </c>
      <c r="M524" s="54"/>
      <c r="N524" s="162"/>
      <c r="O524" s="142"/>
      <c r="P524" s="162"/>
      <c r="Q524" s="96">
        <f t="shared" si="1401"/>
        <v>0</v>
      </c>
      <c r="R524" s="337">
        <f t="shared" si="1402"/>
        <v>0</v>
      </c>
      <c r="S524" s="96"/>
      <c r="T524" s="96">
        <f t="shared" si="1452"/>
        <v>0</v>
      </c>
      <c r="U524" s="130"/>
      <c r="V524" s="176">
        <f t="shared" si="1453"/>
        <v>0</v>
      </c>
      <c r="W524" s="206"/>
      <c r="X524" s="205">
        <f t="shared" si="1454"/>
        <v>0</v>
      </c>
      <c r="Y524" s="188">
        <f t="shared" si="1406"/>
        <v>0</v>
      </c>
      <c r="Z524" s="176">
        <f t="shared" si="1407"/>
        <v>0</v>
      </c>
      <c r="AA524" s="206"/>
      <c r="AB524" s="205">
        <f t="shared" si="1455"/>
        <v>0</v>
      </c>
      <c r="AC524" s="206"/>
      <c r="AD524" s="176">
        <f t="shared" si="1456"/>
        <v>0</v>
      </c>
      <c r="AE524" s="206"/>
      <c r="AF524" s="205">
        <f t="shared" si="1457"/>
        <v>0</v>
      </c>
      <c r="AG524" s="188">
        <f t="shared" si="1411"/>
        <v>0</v>
      </c>
      <c r="AH524" s="96">
        <f t="shared" si="1412"/>
        <v>0</v>
      </c>
      <c r="AI524" s="96">
        <f t="shared" si="1413"/>
        <v>0</v>
      </c>
      <c r="AJ524" s="176">
        <f t="shared" si="1414"/>
        <v>0</v>
      </c>
      <c r="AK524" s="206"/>
      <c r="AL524" s="176">
        <f t="shared" si="1458"/>
        <v>0</v>
      </c>
      <c r="AM524" s="243"/>
      <c r="AN524" s="176">
        <f t="shared" si="1459"/>
        <v>0</v>
      </c>
      <c r="AO524" s="206"/>
      <c r="AP524" s="205">
        <f t="shared" si="1460"/>
        <v>0</v>
      </c>
      <c r="AQ524" s="188">
        <f t="shared" si="1418"/>
        <v>0</v>
      </c>
      <c r="AR524" s="96">
        <f t="shared" si="1419"/>
        <v>0</v>
      </c>
      <c r="AS524" s="96"/>
      <c r="AT524" s="176">
        <f t="shared" si="1461"/>
        <v>0</v>
      </c>
      <c r="AU524" s="206"/>
      <c r="AV524" s="176">
        <f t="shared" si="1462"/>
        <v>0</v>
      </c>
      <c r="AW524" s="206"/>
      <c r="AX524" s="205">
        <f t="shared" si="1463"/>
        <v>0</v>
      </c>
      <c r="AY524" s="188">
        <f t="shared" si="1423"/>
        <v>0</v>
      </c>
      <c r="AZ524" s="96">
        <f t="shared" si="1424"/>
        <v>0</v>
      </c>
      <c r="BA524" s="96">
        <f t="shared" si="1425"/>
        <v>0</v>
      </c>
      <c r="BB524" s="96">
        <f t="shared" si="1426"/>
        <v>0</v>
      </c>
    </row>
    <row r="525" spans="1:54">
      <c r="A525" s="492">
        <v>292</v>
      </c>
      <c r="B525" s="13"/>
      <c r="C525" s="13"/>
      <c r="D525" s="13" t="s">
        <v>737</v>
      </c>
      <c r="E525" s="21" t="s">
        <v>1011</v>
      </c>
      <c r="F525" s="45" t="s">
        <v>1012</v>
      </c>
      <c r="G525" s="45" t="s">
        <v>1059</v>
      </c>
      <c r="H525" s="265" t="s">
        <v>358</v>
      </c>
      <c r="I525" s="142"/>
      <c r="J525" s="162">
        <v>10800</v>
      </c>
      <c r="K525" s="54"/>
      <c r="L525" s="162">
        <v>10800</v>
      </c>
      <c r="M525" s="54"/>
      <c r="N525" s="162"/>
      <c r="O525" s="142"/>
      <c r="P525" s="162"/>
      <c r="Q525" s="96">
        <f t="shared" si="1401"/>
        <v>0</v>
      </c>
      <c r="R525" s="337">
        <f t="shared" si="1402"/>
        <v>0</v>
      </c>
      <c r="S525" s="96"/>
      <c r="T525" s="96">
        <f t="shared" si="1452"/>
        <v>0</v>
      </c>
      <c r="U525" s="130"/>
      <c r="V525" s="176">
        <f t="shared" si="1453"/>
        <v>0</v>
      </c>
      <c r="W525" s="206"/>
      <c r="X525" s="205">
        <f t="shared" si="1454"/>
        <v>0</v>
      </c>
      <c r="Y525" s="188">
        <f t="shared" si="1406"/>
        <v>0</v>
      </c>
      <c r="Z525" s="176">
        <f t="shared" si="1407"/>
        <v>0</v>
      </c>
      <c r="AA525" s="206"/>
      <c r="AB525" s="205">
        <f t="shared" si="1455"/>
        <v>0</v>
      </c>
      <c r="AC525" s="206"/>
      <c r="AD525" s="176">
        <f t="shared" si="1456"/>
        <v>0</v>
      </c>
      <c r="AE525" s="206"/>
      <c r="AF525" s="205">
        <f t="shared" si="1457"/>
        <v>0</v>
      </c>
      <c r="AG525" s="188">
        <f t="shared" si="1411"/>
        <v>0</v>
      </c>
      <c r="AH525" s="96">
        <f t="shared" si="1412"/>
        <v>0</v>
      </c>
      <c r="AI525" s="96">
        <f t="shared" si="1413"/>
        <v>0</v>
      </c>
      <c r="AJ525" s="176">
        <f t="shared" si="1414"/>
        <v>0</v>
      </c>
      <c r="AK525" s="206"/>
      <c r="AL525" s="176">
        <f t="shared" si="1458"/>
        <v>0</v>
      </c>
      <c r="AM525" s="243"/>
      <c r="AN525" s="176">
        <f t="shared" si="1459"/>
        <v>0</v>
      </c>
      <c r="AO525" s="206"/>
      <c r="AP525" s="205">
        <f t="shared" si="1460"/>
        <v>0</v>
      </c>
      <c r="AQ525" s="188">
        <f t="shared" si="1418"/>
        <v>0</v>
      </c>
      <c r="AR525" s="96">
        <f t="shared" si="1419"/>
        <v>0</v>
      </c>
      <c r="AS525" s="96"/>
      <c r="AT525" s="176">
        <f t="shared" si="1461"/>
        <v>0</v>
      </c>
      <c r="AU525" s="206"/>
      <c r="AV525" s="176">
        <f t="shared" si="1462"/>
        <v>0</v>
      </c>
      <c r="AW525" s="206"/>
      <c r="AX525" s="205">
        <f t="shared" si="1463"/>
        <v>0</v>
      </c>
      <c r="AY525" s="188">
        <f t="shared" si="1423"/>
        <v>0</v>
      </c>
      <c r="AZ525" s="96">
        <f t="shared" si="1424"/>
        <v>0</v>
      </c>
      <c r="BA525" s="96">
        <f t="shared" si="1425"/>
        <v>0</v>
      </c>
      <c r="BB525" s="96">
        <f t="shared" si="1426"/>
        <v>0</v>
      </c>
    </row>
    <row r="526" spans="1:54">
      <c r="A526" s="492">
        <v>293</v>
      </c>
      <c r="B526" s="13"/>
      <c r="C526" s="13"/>
      <c r="D526" s="13" t="s">
        <v>1253</v>
      </c>
      <c r="E526" s="21" t="s">
        <v>919</v>
      </c>
      <c r="F526" s="45" t="s">
        <v>969</v>
      </c>
      <c r="G526" s="45" t="s">
        <v>1055</v>
      </c>
      <c r="H526" s="265" t="s">
        <v>358</v>
      </c>
      <c r="I526" s="142"/>
      <c r="J526" s="162">
        <v>16800</v>
      </c>
      <c r="K526" s="54"/>
      <c r="L526" s="162">
        <v>16800</v>
      </c>
      <c r="M526" s="54"/>
      <c r="N526" s="162"/>
      <c r="O526" s="142"/>
      <c r="P526" s="162"/>
      <c r="Q526" s="96">
        <f t="shared" si="1401"/>
        <v>0</v>
      </c>
      <c r="R526" s="337">
        <f t="shared" si="1402"/>
        <v>0</v>
      </c>
      <c r="S526" s="96"/>
      <c r="T526" s="96">
        <f t="shared" si="1452"/>
        <v>0</v>
      </c>
      <c r="U526" s="130"/>
      <c r="V526" s="176">
        <f t="shared" si="1453"/>
        <v>0</v>
      </c>
      <c r="W526" s="206"/>
      <c r="X526" s="205">
        <f t="shared" si="1454"/>
        <v>0</v>
      </c>
      <c r="Y526" s="188">
        <f t="shared" si="1406"/>
        <v>0</v>
      </c>
      <c r="Z526" s="176">
        <f t="shared" si="1407"/>
        <v>0</v>
      </c>
      <c r="AA526" s="206"/>
      <c r="AB526" s="205">
        <f t="shared" si="1455"/>
        <v>0</v>
      </c>
      <c r="AC526" s="206"/>
      <c r="AD526" s="176">
        <f t="shared" si="1456"/>
        <v>0</v>
      </c>
      <c r="AE526" s="206"/>
      <c r="AF526" s="205">
        <f t="shared" si="1457"/>
        <v>0</v>
      </c>
      <c r="AG526" s="188">
        <f t="shared" si="1411"/>
        <v>0</v>
      </c>
      <c r="AH526" s="96">
        <f t="shared" si="1412"/>
        <v>0</v>
      </c>
      <c r="AI526" s="96">
        <f t="shared" si="1413"/>
        <v>0</v>
      </c>
      <c r="AJ526" s="176">
        <f t="shared" si="1414"/>
        <v>0</v>
      </c>
      <c r="AK526" s="206"/>
      <c r="AL526" s="176">
        <f t="shared" si="1458"/>
        <v>0</v>
      </c>
      <c r="AM526" s="243"/>
      <c r="AN526" s="176">
        <f t="shared" si="1459"/>
        <v>0</v>
      </c>
      <c r="AO526" s="206"/>
      <c r="AP526" s="205">
        <f t="shared" si="1460"/>
        <v>0</v>
      </c>
      <c r="AQ526" s="188">
        <f t="shared" si="1418"/>
        <v>0</v>
      </c>
      <c r="AR526" s="96">
        <f t="shared" si="1419"/>
        <v>0</v>
      </c>
      <c r="AS526" s="96"/>
      <c r="AT526" s="176">
        <f t="shared" si="1461"/>
        <v>0</v>
      </c>
      <c r="AU526" s="206"/>
      <c r="AV526" s="176">
        <f t="shared" si="1462"/>
        <v>0</v>
      </c>
      <c r="AW526" s="206"/>
      <c r="AX526" s="205">
        <f t="shared" si="1463"/>
        <v>0</v>
      </c>
      <c r="AY526" s="188">
        <f t="shared" si="1423"/>
        <v>0</v>
      </c>
      <c r="AZ526" s="96">
        <f t="shared" si="1424"/>
        <v>0</v>
      </c>
      <c r="BA526" s="96">
        <f t="shared" si="1425"/>
        <v>0</v>
      </c>
      <c r="BB526" s="96">
        <f t="shared" si="1426"/>
        <v>0</v>
      </c>
    </row>
    <row r="527" spans="1:54">
      <c r="A527" s="492">
        <v>294</v>
      </c>
      <c r="B527" s="13"/>
      <c r="C527" s="13"/>
      <c r="D527" s="13" t="s">
        <v>737</v>
      </c>
      <c r="E527" s="62" t="s">
        <v>977</v>
      </c>
      <c r="F527" s="419" t="s">
        <v>1034</v>
      </c>
      <c r="G527" s="419" t="s">
        <v>1055</v>
      </c>
      <c r="H527" s="281" t="s">
        <v>358</v>
      </c>
      <c r="I527" s="147"/>
      <c r="J527" s="165">
        <v>13970</v>
      </c>
      <c r="K527" s="66"/>
      <c r="L527" s="165">
        <v>13970</v>
      </c>
      <c r="M527" s="66"/>
      <c r="N527" s="165"/>
      <c r="O527" s="147"/>
      <c r="P527" s="165"/>
      <c r="Q527" s="128">
        <f t="shared" si="1401"/>
        <v>0</v>
      </c>
      <c r="R527" s="345">
        <f t="shared" si="1402"/>
        <v>0</v>
      </c>
      <c r="S527" s="128"/>
      <c r="T527" s="128">
        <f t="shared" si="1452"/>
        <v>0</v>
      </c>
      <c r="U527" s="118"/>
      <c r="V527" s="183">
        <f t="shared" si="1453"/>
        <v>0</v>
      </c>
      <c r="W527" s="220"/>
      <c r="X527" s="221">
        <f t="shared" si="1454"/>
        <v>0</v>
      </c>
      <c r="Y527" s="196">
        <f t="shared" si="1406"/>
        <v>0</v>
      </c>
      <c r="Z527" s="183">
        <f t="shared" si="1407"/>
        <v>0</v>
      </c>
      <c r="AA527" s="220"/>
      <c r="AB527" s="221">
        <f t="shared" si="1455"/>
        <v>0</v>
      </c>
      <c r="AC527" s="220"/>
      <c r="AD527" s="183">
        <f t="shared" si="1456"/>
        <v>0</v>
      </c>
      <c r="AE527" s="220"/>
      <c r="AF527" s="221">
        <f t="shared" si="1457"/>
        <v>0</v>
      </c>
      <c r="AG527" s="196">
        <f t="shared" si="1411"/>
        <v>0</v>
      </c>
      <c r="AH527" s="128">
        <f t="shared" si="1412"/>
        <v>0</v>
      </c>
      <c r="AI527" s="128">
        <f t="shared" si="1413"/>
        <v>0</v>
      </c>
      <c r="AJ527" s="183">
        <f t="shared" si="1414"/>
        <v>0</v>
      </c>
      <c r="AK527" s="220"/>
      <c r="AL527" s="183">
        <f t="shared" si="1458"/>
        <v>0</v>
      </c>
      <c r="AM527" s="251"/>
      <c r="AN527" s="183">
        <f t="shared" si="1459"/>
        <v>0</v>
      </c>
      <c r="AO527" s="220"/>
      <c r="AP527" s="221">
        <f t="shared" si="1460"/>
        <v>0</v>
      </c>
      <c r="AQ527" s="196">
        <f t="shared" si="1418"/>
        <v>0</v>
      </c>
      <c r="AR527" s="128">
        <f t="shared" si="1419"/>
        <v>0</v>
      </c>
      <c r="AS527" s="128"/>
      <c r="AT527" s="183">
        <f t="shared" si="1461"/>
        <v>0</v>
      </c>
      <c r="AU527" s="220"/>
      <c r="AV527" s="183">
        <f t="shared" si="1462"/>
        <v>0</v>
      </c>
      <c r="AW527" s="220"/>
      <c r="AX527" s="221">
        <f t="shared" si="1463"/>
        <v>0</v>
      </c>
      <c r="AY527" s="196">
        <f t="shared" si="1423"/>
        <v>0</v>
      </c>
      <c r="AZ527" s="128">
        <f t="shared" si="1424"/>
        <v>0</v>
      </c>
      <c r="BA527" s="128">
        <f t="shared" si="1425"/>
        <v>0</v>
      </c>
      <c r="BB527" s="128">
        <f t="shared" si="1426"/>
        <v>0</v>
      </c>
    </row>
    <row r="528" spans="1:54">
      <c r="B528" s="13"/>
      <c r="C528" s="13"/>
      <c r="D528" s="13" t="s">
        <v>737</v>
      </c>
      <c r="E528" s="62" t="s">
        <v>1125</v>
      </c>
      <c r="F528" s="419" t="s">
        <v>1151</v>
      </c>
      <c r="G528" s="419" t="s">
        <v>1055</v>
      </c>
      <c r="H528" s="281" t="s">
        <v>358</v>
      </c>
      <c r="I528" s="66"/>
      <c r="J528" s="165">
        <v>13900</v>
      </c>
      <c r="K528" s="66"/>
      <c r="L528" s="165">
        <v>13900</v>
      </c>
      <c r="M528" s="66"/>
      <c r="N528" s="165"/>
      <c r="O528" s="66"/>
      <c r="P528" s="165"/>
      <c r="Q528" s="128">
        <f t="shared" si="1401"/>
        <v>0</v>
      </c>
      <c r="R528" s="345">
        <f t="shared" si="1402"/>
        <v>0</v>
      </c>
      <c r="S528" s="128"/>
      <c r="T528" s="128">
        <f t="shared" si="1452"/>
        <v>0</v>
      </c>
      <c r="U528" s="128"/>
      <c r="V528" s="128">
        <f t="shared" si="1453"/>
        <v>0</v>
      </c>
      <c r="W528" s="128"/>
      <c r="X528" s="128">
        <f t="shared" si="1454"/>
        <v>0</v>
      </c>
      <c r="Y528" s="128">
        <f t="shared" si="1406"/>
        <v>0</v>
      </c>
      <c r="Z528" s="128">
        <f t="shared" si="1407"/>
        <v>0</v>
      </c>
      <c r="AA528" s="128"/>
      <c r="AB528" s="128">
        <f t="shared" si="1455"/>
        <v>0</v>
      </c>
      <c r="AC528" s="128"/>
      <c r="AD528" s="128">
        <f t="shared" si="1456"/>
        <v>0</v>
      </c>
      <c r="AE528" s="128"/>
      <c r="AF528" s="128">
        <f t="shared" si="1457"/>
        <v>0</v>
      </c>
      <c r="AG528" s="128">
        <f t="shared" si="1411"/>
        <v>0</v>
      </c>
      <c r="AH528" s="128">
        <f t="shared" si="1412"/>
        <v>0</v>
      </c>
      <c r="AI528" s="128">
        <f t="shared" si="1413"/>
        <v>0</v>
      </c>
      <c r="AJ528" s="128">
        <f t="shared" si="1414"/>
        <v>0</v>
      </c>
      <c r="AK528" s="128"/>
      <c r="AL528" s="128">
        <f t="shared" si="1458"/>
        <v>0</v>
      </c>
      <c r="AM528" s="128"/>
      <c r="AN528" s="128">
        <f t="shared" si="1459"/>
        <v>0</v>
      </c>
      <c r="AO528" s="128"/>
      <c r="AP528" s="128">
        <f t="shared" si="1460"/>
        <v>0</v>
      </c>
      <c r="AQ528" s="128">
        <f t="shared" si="1418"/>
        <v>0</v>
      </c>
      <c r="AR528" s="128">
        <f t="shared" si="1419"/>
        <v>0</v>
      </c>
      <c r="AS528" s="128"/>
      <c r="AT528" s="128">
        <f t="shared" si="1461"/>
        <v>0</v>
      </c>
      <c r="AU528" s="128"/>
      <c r="AV528" s="128">
        <f t="shared" si="1462"/>
        <v>0</v>
      </c>
      <c r="AW528" s="128"/>
      <c r="AX528" s="128">
        <f t="shared" si="1463"/>
        <v>0</v>
      </c>
      <c r="AY528" s="128">
        <f t="shared" si="1423"/>
        <v>0</v>
      </c>
      <c r="AZ528" s="128">
        <f t="shared" si="1424"/>
        <v>0</v>
      </c>
      <c r="BA528" s="128">
        <f t="shared" si="1425"/>
        <v>0</v>
      </c>
      <c r="BB528" s="128">
        <f t="shared" si="1426"/>
        <v>0</v>
      </c>
    </row>
    <row r="529" spans="1:54">
      <c r="B529" s="13"/>
      <c r="C529" s="13"/>
      <c r="D529" s="13" t="s">
        <v>737</v>
      </c>
      <c r="E529" s="62" t="s">
        <v>1291</v>
      </c>
      <c r="F529" s="419" t="s">
        <v>1292</v>
      </c>
      <c r="G529" s="419" t="s">
        <v>1055</v>
      </c>
      <c r="H529" s="281" t="s">
        <v>358</v>
      </c>
      <c r="I529" s="66"/>
      <c r="J529" s="165">
        <v>13950</v>
      </c>
      <c r="K529" s="66"/>
      <c r="L529" s="165">
        <v>13950</v>
      </c>
      <c r="M529" s="66"/>
      <c r="N529" s="165"/>
      <c r="O529" s="66"/>
      <c r="P529" s="165"/>
      <c r="Q529" s="128">
        <f t="shared" si="1401"/>
        <v>0</v>
      </c>
      <c r="R529" s="345">
        <f t="shared" si="1402"/>
        <v>0</v>
      </c>
      <c r="S529" s="128"/>
      <c r="T529" s="128">
        <f t="shared" si="1452"/>
        <v>0</v>
      </c>
      <c r="U529" s="128"/>
      <c r="V529" s="128">
        <f t="shared" si="1453"/>
        <v>0</v>
      </c>
      <c r="W529" s="128"/>
      <c r="X529" s="128">
        <f t="shared" si="1454"/>
        <v>0</v>
      </c>
      <c r="Y529" s="128">
        <f t="shared" si="1406"/>
        <v>0</v>
      </c>
      <c r="Z529" s="128">
        <f t="shared" si="1407"/>
        <v>0</v>
      </c>
      <c r="AA529" s="128"/>
      <c r="AB529" s="128">
        <f t="shared" si="1455"/>
        <v>0</v>
      </c>
      <c r="AC529" s="128"/>
      <c r="AD529" s="128">
        <f t="shared" si="1456"/>
        <v>0</v>
      </c>
      <c r="AE529" s="128"/>
      <c r="AF529" s="128">
        <f t="shared" si="1457"/>
        <v>0</v>
      </c>
      <c r="AG529" s="128">
        <f t="shared" si="1411"/>
        <v>0</v>
      </c>
      <c r="AH529" s="128">
        <f t="shared" si="1412"/>
        <v>0</v>
      </c>
      <c r="AI529" s="128">
        <f t="shared" si="1413"/>
        <v>0</v>
      </c>
      <c r="AJ529" s="128">
        <f t="shared" si="1414"/>
        <v>0</v>
      </c>
      <c r="AK529" s="128"/>
      <c r="AL529" s="128">
        <f t="shared" si="1458"/>
        <v>0</v>
      </c>
      <c r="AM529" s="128"/>
      <c r="AN529" s="128">
        <f t="shared" si="1459"/>
        <v>0</v>
      </c>
      <c r="AO529" s="128"/>
      <c r="AP529" s="128">
        <f t="shared" si="1460"/>
        <v>0</v>
      </c>
      <c r="AQ529" s="128">
        <f t="shared" si="1418"/>
        <v>0</v>
      </c>
      <c r="AR529" s="128">
        <f t="shared" si="1419"/>
        <v>0</v>
      </c>
      <c r="AS529" s="128"/>
      <c r="AT529" s="128">
        <f t="shared" si="1461"/>
        <v>0</v>
      </c>
      <c r="AU529" s="128"/>
      <c r="AV529" s="128">
        <f t="shared" si="1462"/>
        <v>0</v>
      </c>
      <c r="AW529" s="128"/>
      <c r="AX529" s="128">
        <f t="shared" si="1463"/>
        <v>0</v>
      </c>
      <c r="AY529" s="128">
        <f t="shared" si="1423"/>
        <v>0</v>
      </c>
      <c r="AZ529" s="128">
        <f t="shared" si="1424"/>
        <v>0</v>
      </c>
      <c r="BA529" s="128">
        <f t="shared" si="1425"/>
        <v>0</v>
      </c>
      <c r="BB529" s="128">
        <f t="shared" si="1426"/>
        <v>0</v>
      </c>
    </row>
    <row r="530" spans="1:54">
      <c r="B530" s="13"/>
      <c r="C530" s="13"/>
      <c r="D530" s="13" t="s">
        <v>737</v>
      </c>
      <c r="E530" s="21" t="s">
        <v>1214</v>
      </c>
      <c r="F530" s="45" t="s">
        <v>1215</v>
      </c>
      <c r="G530" s="45" t="s">
        <v>1216</v>
      </c>
      <c r="H530" s="265" t="s">
        <v>1080</v>
      </c>
      <c r="I530" s="54"/>
      <c r="J530" s="162">
        <v>13280</v>
      </c>
      <c r="K530" s="54"/>
      <c r="L530" s="162">
        <v>13280</v>
      </c>
      <c r="M530" s="54"/>
      <c r="N530" s="162"/>
      <c r="O530" s="54"/>
      <c r="P530" s="162"/>
      <c r="Q530" s="96">
        <f t="shared" si="1401"/>
        <v>0</v>
      </c>
      <c r="R530" s="337">
        <f t="shared" si="1402"/>
        <v>0</v>
      </c>
      <c r="S530" s="96"/>
      <c r="T530" s="96">
        <f t="shared" si="1452"/>
        <v>0</v>
      </c>
      <c r="U530" s="96"/>
      <c r="V530" s="96">
        <f t="shared" si="1453"/>
        <v>0</v>
      </c>
      <c r="W530" s="96"/>
      <c r="X530" s="96">
        <f t="shared" si="1454"/>
        <v>0</v>
      </c>
      <c r="Y530" s="96">
        <f t="shared" si="1406"/>
        <v>0</v>
      </c>
      <c r="Z530" s="96">
        <f t="shared" si="1407"/>
        <v>0</v>
      </c>
      <c r="AA530" s="96"/>
      <c r="AB530" s="96">
        <f t="shared" si="1455"/>
        <v>0</v>
      </c>
      <c r="AC530" s="96"/>
      <c r="AD530" s="96">
        <f t="shared" si="1456"/>
        <v>0</v>
      </c>
      <c r="AE530" s="96"/>
      <c r="AF530" s="96">
        <f t="shared" si="1457"/>
        <v>0</v>
      </c>
      <c r="AG530" s="96">
        <f t="shared" si="1411"/>
        <v>0</v>
      </c>
      <c r="AH530" s="96">
        <f t="shared" si="1412"/>
        <v>0</v>
      </c>
      <c r="AI530" s="96">
        <f t="shared" si="1413"/>
        <v>0</v>
      </c>
      <c r="AJ530" s="96">
        <f t="shared" si="1414"/>
        <v>0</v>
      </c>
      <c r="AK530" s="96"/>
      <c r="AL530" s="96">
        <f t="shared" si="1458"/>
        <v>0</v>
      </c>
      <c r="AM530" s="96"/>
      <c r="AN530" s="96">
        <f t="shared" si="1459"/>
        <v>0</v>
      </c>
      <c r="AO530" s="96"/>
      <c r="AP530" s="96">
        <f t="shared" si="1460"/>
        <v>0</v>
      </c>
      <c r="AQ530" s="96">
        <f t="shared" si="1418"/>
        <v>0</v>
      </c>
      <c r="AR530" s="96">
        <f t="shared" si="1419"/>
        <v>0</v>
      </c>
      <c r="AS530" s="96"/>
      <c r="AT530" s="96">
        <f t="shared" si="1461"/>
        <v>0</v>
      </c>
      <c r="AU530" s="96"/>
      <c r="AV530" s="96">
        <f t="shared" si="1462"/>
        <v>0</v>
      </c>
      <c r="AW530" s="96"/>
      <c r="AX530" s="96">
        <f t="shared" si="1463"/>
        <v>0</v>
      </c>
      <c r="AY530" s="96">
        <f t="shared" si="1423"/>
        <v>0</v>
      </c>
      <c r="AZ530" s="96">
        <f t="shared" si="1424"/>
        <v>0</v>
      </c>
      <c r="BA530" s="96">
        <f t="shared" si="1425"/>
        <v>0</v>
      </c>
      <c r="BB530" s="96">
        <f t="shared" si="1426"/>
        <v>0</v>
      </c>
    </row>
    <row r="531" spans="1:54">
      <c r="B531" s="13"/>
      <c r="C531" s="13"/>
      <c r="D531" s="13" t="s">
        <v>737</v>
      </c>
      <c r="E531" s="21" t="s">
        <v>1293</v>
      </c>
      <c r="F531" s="45" t="s">
        <v>1295</v>
      </c>
      <c r="G531" s="45" t="s">
        <v>1216</v>
      </c>
      <c r="H531" s="265" t="s">
        <v>1080</v>
      </c>
      <c r="I531" s="54"/>
      <c r="J531" s="162">
        <v>13700</v>
      </c>
      <c r="K531" s="54"/>
      <c r="L531" s="162">
        <v>13700</v>
      </c>
      <c r="M531" s="54"/>
      <c r="N531" s="162"/>
      <c r="O531" s="54"/>
      <c r="P531" s="162"/>
      <c r="Q531" s="96">
        <f t="shared" si="1401"/>
        <v>0.36</v>
      </c>
      <c r="R531" s="337">
        <f t="shared" si="1402"/>
        <v>4.9320000000000004</v>
      </c>
      <c r="S531" s="96">
        <v>0.36</v>
      </c>
      <c r="T531" s="96">
        <f t="shared" si="1452"/>
        <v>4.9320000000000004</v>
      </c>
      <c r="U531" s="96"/>
      <c r="V531" s="96">
        <f t="shared" si="1453"/>
        <v>0</v>
      </c>
      <c r="W531" s="96"/>
      <c r="X531" s="96">
        <f t="shared" si="1454"/>
        <v>0</v>
      </c>
      <c r="Y531" s="96">
        <f t="shared" si="1406"/>
        <v>0.36</v>
      </c>
      <c r="Z531" s="96">
        <f t="shared" si="1407"/>
        <v>4.9320000000000004</v>
      </c>
      <c r="AA531" s="96"/>
      <c r="AB531" s="96">
        <f t="shared" si="1455"/>
        <v>0</v>
      </c>
      <c r="AC531" s="96"/>
      <c r="AD531" s="96">
        <f t="shared" si="1456"/>
        <v>0</v>
      </c>
      <c r="AE531" s="96"/>
      <c r="AF531" s="96">
        <f t="shared" si="1457"/>
        <v>0</v>
      </c>
      <c r="AG531" s="96">
        <f t="shared" si="1411"/>
        <v>0</v>
      </c>
      <c r="AH531" s="96">
        <f t="shared" si="1412"/>
        <v>0</v>
      </c>
      <c r="AI531" s="96">
        <f t="shared" si="1413"/>
        <v>0.36</v>
      </c>
      <c r="AJ531" s="96">
        <f t="shared" si="1414"/>
        <v>4.9320000000000004</v>
      </c>
      <c r="AK531" s="96"/>
      <c r="AL531" s="96">
        <f t="shared" si="1458"/>
        <v>0</v>
      </c>
      <c r="AM531" s="96"/>
      <c r="AN531" s="96">
        <f t="shared" si="1459"/>
        <v>0</v>
      </c>
      <c r="AO531" s="96"/>
      <c r="AP531" s="96">
        <f t="shared" si="1460"/>
        <v>0</v>
      </c>
      <c r="AQ531" s="96">
        <f t="shared" si="1418"/>
        <v>0</v>
      </c>
      <c r="AR531" s="96">
        <f t="shared" si="1419"/>
        <v>0</v>
      </c>
      <c r="AS531" s="96"/>
      <c r="AT531" s="96">
        <f t="shared" si="1461"/>
        <v>0</v>
      </c>
      <c r="AU531" s="96"/>
      <c r="AV531" s="96">
        <f t="shared" si="1462"/>
        <v>0</v>
      </c>
      <c r="AW531" s="96"/>
      <c r="AX531" s="96">
        <f t="shared" si="1463"/>
        <v>0</v>
      </c>
      <c r="AY531" s="96">
        <f t="shared" si="1423"/>
        <v>0</v>
      </c>
      <c r="AZ531" s="96">
        <f t="shared" si="1424"/>
        <v>0</v>
      </c>
      <c r="BA531" s="96">
        <f t="shared" si="1425"/>
        <v>0</v>
      </c>
      <c r="BB531" s="96">
        <f t="shared" si="1426"/>
        <v>0</v>
      </c>
    </row>
    <row r="532" spans="1:54">
      <c r="B532" s="13"/>
      <c r="C532" s="13"/>
      <c r="D532" s="13" t="s">
        <v>737</v>
      </c>
      <c r="E532" s="21" t="s">
        <v>1294</v>
      </c>
      <c r="F532" s="45" t="s">
        <v>1296</v>
      </c>
      <c r="G532" s="45" t="s">
        <v>1216</v>
      </c>
      <c r="H532" s="265" t="s">
        <v>1217</v>
      </c>
      <c r="I532" s="54"/>
      <c r="J532" s="162">
        <v>13900</v>
      </c>
      <c r="K532" s="54"/>
      <c r="L532" s="162">
        <v>13900</v>
      </c>
      <c r="M532" s="54"/>
      <c r="N532" s="162"/>
      <c r="O532" s="54"/>
      <c r="P532" s="162"/>
      <c r="Q532" s="96">
        <f t="shared" si="1401"/>
        <v>0</v>
      </c>
      <c r="R532" s="337">
        <f t="shared" si="1402"/>
        <v>0</v>
      </c>
      <c r="S532" s="96"/>
      <c r="T532" s="96">
        <f t="shared" si="1452"/>
        <v>0</v>
      </c>
      <c r="U532" s="96"/>
      <c r="V532" s="96">
        <f t="shared" si="1453"/>
        <v>0</v>
      </c>
      <c r="W532" s="96"/>
      <c r="X532" s="96">
        <f t="shared" si="1454"/>
        <v>0</v>
      </c>
      <c r="Y532" s="96">
        <f t="shared" si="1406"/>
        <v>0</v>
      </c>
      <c r="Z532" s="96">
        <f t="shared" si="1407"/>
        <v>0</v>
      </c>
      <c r="AA532" s="96"/>
      <c r="AB532" s="96">
        <f t="shared" si="1455"/>
        <v>0</v>
      </c>
      <c r="AC532" s="96"/>
      <c r="AD532" s="96">
        <f t="shared" si="1456"/>
        <v>0</v>
      </c>
      <c r="AE532" s="96"/>
      <c r="AF532" s="96">
        <f t="shared" si="1457"/>
        <v>0</v>
      </c>
      <c r="AG532" s="96">
        <f t="shared" si="1411"/>
        <v>0</v>
      </c>
      <c r="AH532" s="96">
        <f t="shared" si="1412"/>
        <v>0</v>
      </c>
      <c r="AI532" s="96">
        <f t="shared" si="1413"/>
        <v>0</v>
      </c>
      <c r="AJ532" s="96">
        <f t="shared" si="1414"/>
        <v>0</v>
      </c>
      <c r="AK532" s="96"/>
      <c r="AL532" s="96">
        <f t="shared" si="1458"/>
        <v>0</v>
      </c>
      <c r="AM532" s="96"/>
      <c r="AN532" s="96">
        <f t="shared" si="1459"/>
        <v>0</v>
      </c>
      <c r="AO532" s="96"/>
      <c r="AP532" s="96">
        <f t="shared" si="1460"/>
        <v>0</v>
      </c>
      <c r="AQ532" s="96">
        <f t="shared" si="1418"/>
        <v>0</v>
      </c>
      <c r="AR532" s="96">
        <f t="shared" si="1419"/>
        <v>0</v>
      </c>
      <c r="AS532" s="96"/>
      <c r="AT532" s="96">
        <f t="shared" si="1461"/>
        <v>0</v>
      </c>
      <c r="AU532" s="96"/>
      <c r="AV532" s="96">
        <f t="shared" si="1462"/>
        <v>0</v>
      </c>
      <c r="AW532" s="96"/>
      <c r="AX532" s="96">
        <f t="shared" si="1463"/>
        <v>0</v>
      </c>
      <c r="AY532" s="96">
        <f t="shared" si="1423"/>
        <v>0</v>
      </c>
      <c r="AZ532" s="96">
        <f t="shared" si="1424"/>
        <v>0</v>
      </c>
      <c r="BA532" s="96">
        <f t="shared" si="1425"/>
        <v>0</v>
      </c>
      <c r="BB532" s="96">
        <f t="shared" si="1426"/>
        <v>0</v>
      </c>
    </row>
    <row r="533" spans="1:54">
      <c r="B533" s="13"/>
      <c r="C533" s="13"/>
      <c r="D533" s="13" t="s">
        <v>737</v>
      </c>
      <c r="E533" s="21" t="s">
        <v>1473</v>
      </c>
      <c r="F533" s="45" t="s">
        <v>1474</v>
      </c>
      <c r="G533" s="45" t="s">
        <v>1056</v>
      </c>
      <c r="H533" s="265" t="s">
        <v>1073</v>
      </c>
      <c r="I533" s="54"/>
      <c r="J533" s="162">
        <v>13950</v>
      </c>
      <c r="K533" s="54"/>
      <c r="L533" s="162">
        <v>13950</v>
      </c>
      <c r="M533" s="54"/>
      <c r="N533" s="162"/>
      <c r="O533" s="54"/>
      <c r="P533" s="162"/>
      <c r="Q533" s="96">
        <f t="shared" si="1401"/>
        <v>0</v>
      </c>
      <c r="R533" s="337">
        <f t="shared" si="1402"/>
        <v>0</v>
      </c>
      <c r="S533" s="96"/>
      <c r="T533" s="96">
        <f t="shared" si="1452"/>
        <v>0</v>
      </c>
      <c r="U533" s="96"/>
      <c r="V533" s="96">
        <f t="shared" si="1453"/>
        <v>0</v>
      </c>
      <c r="W533" s="96"/>
      <c r="X533" s="96">
        <f t="shared" si="1454"/>
        <v>0</v>
      </c>
      <c r="Y533" s="96">
        <f t="shared" si="1406"/>
        <v>0</v>
      </c>
      <c r="Z533" s="96">
        <f t="shared" si="1407"/>
        <v>0</v>
      </c>
      <c r="AA533" s="96"/>
      <c r="AB533" s="96">
        <f t="shared" si="1455"/>
        <v>0</v>
      </c>
      <c r="AC533" s="96"/>
      <c r="AD533" s="96">
        <f t="shared" si="1456"/>
        <v>0</v>
      </c>
      <c r="AE533" s="96"/>
      <c r="AF533" s="96">
        <f t="shared" si="1457"/>
        <v>0</v>
      </c>
      <c r="AG533" s="96">
        <f t="shared" si="1411"/>
        <v>0</v>
      </c>
      <c r="AH533" s="96">
        <f t="shared" si="1412"/>
        <v>0</v>
      </c>
      <c r="AI533" s="96">
        <f t="shared" si="1413"/>
        <v>0</v>
      </c>
      <c r="AJ533" s="96">
        <f t="shared" si="1414"/>
        <v>0</v>
      </c>
      <c r="AK533" s="96"/>
      <c r="AL533" s="96">
        <f t="shared" si="1458"/>
        <v>0</v>
      </c>
      <c r="AM533" s="96"/>
      <c r="AN533" s="96">
        <f t="shared" si="1459"/>
        <v>0</v>
      </c>
      <c r="AO533" s="96"/>
      <c r="AP533" s="96">
        <f t="shared" si="1460"/>
        <v>0</v>
      </c>
      <c r="AQ533" s="96">
        <f t="shared" si="1418"/>
        <v>0</v>
      </c>
      <c r="AR533" s="96">
        <f t="shared" si="1419"/>
        <v>0</v>
      </c>
      <c r="AS533" s="96"/>
      <c r="AT533" s="96">
        <f t="shared" si="1461"/>
        <v>0</v>
      </c>
      <c r="AU533" s="96"/>
      <c r="AV533" s="96">
        <f t="shared" si="1462"/>
        <v>0</v>
      </c>
      <c r="AW533" s="96"/>
      <c r="AX533" s="96">
        <f t="shared" si="1463"/>
        <v>0</v>
      </c>
      <c r="AY533" s="96">
        <f t="shared" si="1423"/>
        <v>0</v>
      </c>
      <c r="AZ533" s="96">
        <f t="shared" si="1424"/>
        <v>0</v>
      </c>
      <c r="BA533" s="96">
        <f t="shared" si="1425"/>
        <v>0</v>
      </c>
      <c r="BB533" s="96">
        <f t="shared" si="1426"/>
        <v>0</v>
      </c>
    </row>
    <row r="534" spans="1:54">
      <c r="A534" s="492">
        <v>295</v>
      </c>
      <c r="B534" s="13"/>
      <c r="C534" s="13"/>
      <c r="D534" s="24" t="s">
        <v>1250</v>
      </c>
      <c r="E534" s="89" t="s">
        <v>869</v>
      </c>
      <c r="F534" s="23" t="s">
        <v>984</v>
      </c>
      <c r="G534" s="23" t="s">
        <v>1055</v>
      </c>
      <c r="H534" s="284" t="s">
        <v>358</v>
      </c>
      <c r="I534" s="153"/>
      <c r="J534" s="167">
        <v>18300</v>
      </c>
      <c r="K534" s="75"/>
      <c r="L534" s="167">
        <v>18300</v>
      </c>
      <c r="M534" s="75"/>
      <c r="N534" s="167"/>
      <c r="O534" s="153"/>
      <c r="P534" s="167"/>
      <c r="Q534" s="130">
        <f t="shared" si="1401"/>
        <v>0</v>
      </c>
      <c r="R534" s="347">
        <f t="shared" si="1402"/>
        <v>0</v>
      </c>
      <c r="S534" s="130"/>
      <c r="T534" s="130">
        <f t="shared" si="1452"/>
        <v>0</v>
      </c>
      <c r="U534" s="130"/>
      <c r="V534" s="184">
        <f t="shared" si="1453"/>
        <v>0</v>
      </c>
      <c r="W534" s="222"/>
      <c r="X534" s="223">
        <f t="shared" si="1454"/>
        <v>0</v>
      </c>
      <c r="Y534" s="197">
        <f t="shared" si="1406"/>
        <v>0</v>
      </c>
      <c r="Z534" s="184">
        <f t="shared" si="1407"/>
        <v>0</v>
      </c>
      <c r="AA534" s="222"/>
      <c r="AB534" s="223">
        <f t="shared" si="1455"/>
        <v>0</v>
      </c>
      <c r="AC534" s="222"/>
      <c r="AD534" s="184">
        <f t="shared" si="1456"/>
        <v>0</v>
      </c>
      <c r="AE534" s="222"/>
      <c r="AF534" s="208">
        <f t="shared" si="1457"/>
        <v>0</v>
      </c>
      <c r="AG534" s="197">
        <f t="shared" si="1411"/>
        <v>0</v>
      </c>
      <c r="AH534" s="130">
        <f t="shared" si="1412"/>
        <v>0</v>
      </c>
      <c r="AI534" s="130">
        <f t="shared" si="1413"/>
        <v>0</v>
      </c>
      <c r="AJ534" s="184">
        <f t="shared" si="1414"/>
        <v>0</v>
      </c>
      <c r="AK534" s="222"/>
      <c r="AL534" s="184">
        <f t="shared" si="1458"/>
        <v>0</v>
      </c>
      <c r="AM534" s="252"/>
      <c r="AN534" s="184">
        <f t="shared" si="1459"/>
        <v>0</v>
      </c>
      <c r="AO534" s="222"/>
      <c r="AP534" s="223">
        <f t="shared" si="1460"/>
        <v>0</v>
      </c>
      <c r="AQ534" s="197">
        <f t="shared" si="1418"/>
        <v>0</v>
      </c>
      <c r="AR534" s="130">
        <f t="shared" si="1419"/>
        <v>0</v>
      </c>
      <c r="AS534" s="130"/>
      <c r="AT534" s="184">
        <f t="shared" si="1461"/>
        <v>0</v>
      </c>
      <c r="AU534" s="222"/>
      <c r="AV534" s="184">
        <f t="shared" si="1462"/>
        <v>0</v>
      </c>
      <c r="AW534" s="222"/>
      <c r="AX534" s="223">
        <f t="shared" si="1463"/>
        <v>0</v>
      </c>
      <c r="AY534" s="197">
        <f t="shared" si="1423"/>
        <v>0</v>
      </c>
      <c r="AZ534" s="130">
        <f t="shared" si="1424"/>
        <v>0</v>
      </c>
      <c r="BA534" s="130">
        <f t="shared" si="1425"/>
        <v>0</v>
      </c>
      <c r="BB534" s="130">
        <f t="shared" si="1426"/>
        <v>0</v>
      </c>
    </row>
    <row r="535" spans="1:54">
      <c r="A535" s="492">
        <v>296</v>
      </c>
      <c r="B535" s="13"/>
      <c r="C535" s="27" t="s">
        <v>134</v>
      </c>
      <c r="D535" s="286"/>
      <c r="E535" s="143"/>
      <c r="F535" s="53"/>
      <c r="G535" s="53"/>
      <c r="H535" s="53"/>
      <c r="I535" s="141"/>
      <c r="J535" s="113"/>
      <c r="K535" s="53"/>
      <c r="L535" s="169"/>
      <c r="M535" s="53"/>
      <c r="N535" s="169"/>
      <c r="O535" s="141"/>
      <c r="P535" s="113"/>
      <c r="Q535" s="290">
        <f t="shared" ref="Q535:BB535" si="1464">SUM(Q487:Q534)</f>
        <v>328.37900000000008</v>
      </c>
      <c r="R535" s="290">
        <f t="shared" si="1464"/>
        <v>2636.3320406335001</v>
      </c>
      <c r="S535" s="290">
        <f t="shared" si="1464"/>
        <v>80.039999999999992</v>
      </c>
      <c r="T535" s="290">
        <f t="shared" si="1464"/>
        <v>626.72586469500004</v>
      </c>
      <c r="U535" s="290">
        <f t="shared" si="1464"/>
        <v>87.804999999999993</v>
      </c>
      <c r="V535" s="290">
        <f t="shared" si="1464"/>
        <v>697.80961171320007</v>
      </c>
      <c r="W535" s="290">
        <f t="shared" si="1464"/>
        <v>65.846000000000004</v>
      </c>
      <c r="X535" s="290">
        <f t="shared" si="1464"/>
        <v>545.95953213649989</v>
      </c>
      <c r="Y535" s="290">
        <f t="shared" si="1464"/>
        <v>233.69099999999997</v>
      </c>
      <c r="Z535" s="290">
        <f t="shared" si="1464"/>
        <v>1870.4950085446999</v>
      </c>
      <c r="AA535" s="290">
        <f t="shared" si="1464"/>
        <v>94.687999999999988</v>
      </c>
      <c r="AB535" s="290">
        <f t="shared" si="1464"/>
        <v>765.8370320887999</v>
      </c>
      <c r="AC535" s="290">
        <f t="shared" si="1464"/>
        <v>0</v>
      </c>
      <c r="AD535" s="290">
        <f t="shared" si="1464"/>
        <v>0</v>
      </c>
      <c r="AE535" s="290">
        <f t="shared" si="1464"/>
        <v>0</v>
      </c>
      <c r="AF535" s="290">
        <f t="shared" si="1464"/>
        <v>0</v>
      </c>
      <c r="AG535" s="290">
        <f t="shared" si="1464"/>
        <v>94.687999999999988</v>
      </c>
      <c r="AH535" s="290">
        <f t="shared" si="1464"/>
        <v>765.8370320887999</v>
      </c>
      <c r="AI535" s="290">
        <f t="shared" si="1464"/>
        <v>328.37900000000008</v>
      </c>
      <c r="AJ535" s="290">
        <f t="shared" si="1464"/>
        <v>2636.3320406335001</v>
      </c>
      <c r="AK535" s="290">
        <f t="shared" si="1464"/>
        <v>0</v>
      </c>
      <c r="AL535" s="290">
        <f t="shared" si="1464"/>
        <v>0</v>
      </c>
      <c r="AM535" s="290">
        <f t="shared" si="1464"/>
        <v>0</v>
      </c>
      <c r="AN535" s="290">
        <f t="shared" si="1464"/>
        <v>0</v>
      </c>
      <c r="AO535" s="290">
        <f t="shared" si="1464"/>
        <v>0</v>
      </c>
      <c r="AP535" s="290">
        <f t="shared" si="1464"/>
        <v>0</v>
      </c>
      <c r="AQ535" s="290">
        <f t="shared" si="1464"/>
        <v>0</v>
      </c>
      <c r="AR535" s="290">
        <f t="shared" si="1464"/>
        <v>0</v>
      </c>
      <c r="AS535" s="290">
        <f t="shared" si="1464"/>
        <v>0</v>
      </c>
      <c r="AT535" s="290">
        <f t="shared" si="1464"/>
        <v>0</v>
      </c>
      <c r="AU535" s="290">
        <f t="shared" si="1464"/>
        <v>0</v>
      </c>
      <c r="AV535" s="290">
        <f t="shared" si="1464"/>
        <v>0</v>
      </c>
      <c r="AW535" s="290">
        <f t="shared" si="1464"/>
        <v>0</v>
      </c>
      <c r="AX535" s="290">
        <f t="shared" si="1464"/>
        <v>0</v>
      </c>
      <c r="AY535" s="290">
        <f t="shared" si="1464"/>
        <v>0</v>
      </c>
      <c r="AZ535" s="290">
        <f t="shared" si="1464"/>
        <v>0</v>
      </c>
      <c r="BA535" s="290">
        <f t="shared" si="1464"/>
        <v>0</v>
      </c>
      <c r="BB535" s="290">
        <f t="shared" si="1464"/>
        <v>0</v>
      </c>
    </row>
    <row r="536" spans="1:54">
      <c r="A536" s="492">
        <v>297</v>
      </c>
      <c r="B536" s="13"/>
      <c r="C536" s="52" t="s">
        <v>365</v>
      </c>
      <c r="D536" s="52" t="s">
        <v>1253</v>
      </c>
      <c r="E536" s="287" t="s">
        <v>408</v>
      </c>
      <c r="F536" s="312" t="s">
        <v>409</v>
      </c>
      <c r="G536" s="49" t="s">
        <v>1061</v>
      </c>
      <c r="H536" s="271" t="s">
        <v>358</v>
      </c>
      <c r="I536" s="257"/>
      <c r="J536" s="256">
        <v>9734</v>
      </c>
      <c r="K536" s="257"/>
      <c r="L536" s="256">
        <v>9734</v>
      </c>
      <c r="M536" s="254"/>
      <c r="N536" s="256"/>
      <c r="O536" s="257"/>
      <c r="P536" s="256"/>
      <c r="Q536" s="410">
        <f t="shared" ref="Q536:R542" si="1465">SUM(AI536+BA536)</f>
        <v>0</v>
      </c>
      <c r="R536" s="411">
        <f t="shared" si="1465"/>
        <v>0</v>
      </c>
      <c r="S536" s="410"/>
      <c r="T536" s="410">
        <f t="shared" ref="T536:T542" si="1466">J536*S536/1000</f>
        <v>0</v>
      </c>
      <c r="U536" s="410"/>
      <c r="V536" s="414">
        <f t="shared" ref="V536:V542" si="1467">J536*U536/1000</f>
        <v>0</v>
      </c>
      <c r="W536" s="412"/>
      <c r="X536" s="415">
        <f t="shared" ref="X536:X542" si="1468">J536*W536/1000</f>
        <v>0</v>
      </c>
      <c r="Y536" s="413">
        <f t="shared" ref="Y536:Z542" si="1469">SUM(S536+U536+W536)</f>
        <v>0</v>
      </c>
      <c r="Z536" s="414">
        <f t="shared" si="1469"/>
        <v>0</v>
      </c>
      <c r="AA536" s="412"/>
      <c r="AB536" s="415">
        <f t="shared" ref="AB536:AB542" si="1470">L536*AA536/1000</f>
        <v>0</v>
      </c>
      <c r="AC536" s="412"/>
      <c r="AD536" s="414">
        <f t="shared" ref="AD536:AD542" si="1471">L536*AC536/1000</f>
        <v>0</v>
      </c>
      <c r="AE536" s="412"/>
      <c r="AF536" s="415">
        <f t="shared" ref="AF536:AF542" si="1472">L536*AE536/1000</f>
        <v>0</v>
      </c>
      <c r="AG536" s="413">
        <f t="shared" ref="AG536:AH542" si="1473">SUM(AA536+AC536+AE536)</f>
        <v>0</v>
      </c>
      <c r="AH536" s="410">
        <f t="shared" si="1473"/>
        <v>0</v>
      </c>
      <c r="AI536" s="410">
        <f t="shared" ref="AI536:AI542" si="1474">SUM(Y536+AG536)</f>
        <v>0</v>
      </c>
      <c r="AJ536" s="414">
        <f t="shared" ref="AJ536:AJ542" si="1475">SUM(Z536,AH536)</f>
        <v>0</v>
      </c>
      <c r="AK536" s="412"/>
      <c r="AL536" s="414">
        <f t="shared" ref="AL536:AL542" si="1476">N536*AK536/1000</f>
        <v>0</v>
      </c>
      <c r="AM536" s="416"/>
      <c r="AN536" s="414">
        <f t="shared" ref="AN536:AN542" si="1477">N536*AM536/1000</f>
        <v>0</v>
      </c>
      <c r="AO536" s="412"/>
      <c r="AP536" s="415">
        <f t="shared" ref="AP536:AP542" si="1478">N536*AO536/1000</f>
        <v>0</v>
      </c>
      <c r="AQ536" s="413">
        <f t="shared" ref="AQ536:AR542" si="1479">SUM(AK536+AM536+AO536)</f>
        <v>0</v>
      </c>
      <c r="AR536" s="410">
        <f t="shared" si="1479"/>
        <v>0</v>
      </c>
      <c r="AS536" s="410"/>
      <c r="AT536" s="414">
        <f t="shared" ref="AT536:AT542" si="1480">P536*AS536/1000</f>
        <v>0</v>
      </c>
      <c r="AU536" s="412"/>
      <c r="AV536" s="414">
        <f t="shared" ref="AV536:AV542" si="1481">P536*AU536/1000</f>
        <v>0</v>
      </c>
      <c r="AW536" s="412"/>
      <c r="AX536" s="415">
        <f t="shared" ref="AX536:AX542" si="1482">P536*AW536/1000</f>
        <v>0</v>
      </c>
      <c r="AY536" s="413">
        <f t="shared" ref="AY536:AZ542" si="1483">SUM(AS536+AU536+AW536)</f>
        <v>0</v>
      </c>
      <c r="AZ536" s="410">
        <f t="shared" si="1483"/>
        <v>0</v>
      </c>
      <c r="BA536" s="410">
        <f t="shared" ref="BA536:BA542" si="1484">SUM(AQ536+AY536)</f>
        <v>0</v>
      </c>
      <c r="BB536" s="410">
        <f t="shared" ref="BB536:BB542" si="1485">SUM(AR536,AZ536)</f>
        <v>0</v>
      </c>
    </row>
    <row r="537" spans="1:54" ht="12.75" customHeight="1">
      <c r="A537" s="492">
        <v>284</v>
      </c>
      <c r="B537" s="13"/>
      <c r="C537" s="13"/>
      <c r="D537" s="13" t="s">
        <v>2308</v>
      </c>
      <c r="E537" s="21" t="s">
        <v>2309</v>
      </c>
      <c r="F537" s="45" t="s">
        <v>720</v>
      </c>
      <c r="G537" s="45" t="s">
        <v>1055</v>
      </c>
      <c r="H537" s="265" t="s">
        <v>358</v>
      </c>
      <c r="I537" s="54">
        <v>2.1</v>
      </c>
      <c r="J537" s="101"/>
      <c r="K537" s="54">
        <v>2.1</v>
      </c>
      <c r="L537" s="101"/>
      <c r="M537" s="54"/>
      <c r="N537" s="101"/>
      <c r="O537" s="54"/>
      <c r="P537" s="101"/>
      <c r="Q537" s="96">
        <f t="shared" ref="Q537" si="1486">SUM(AI537+BA537)</f>
        <v>251.51999999999998</v>
      </c>
      <c r="R537" s="337">
        <f t="shared" ref="R537" si="1487">SUM(AJ537+BB537)</f>
        <v>771.20426073600004</v>
      </c>
      <c r="S537" s="96">
        <v>94.463999999999999</v>
      </c>
      <c r="T537" s="96">
        <f t="shared" ref="T537" si="1488">I537*S537*$T$2/1000</f>
        <v>286.38320256000003</v>
      </c>
      <c r="U537" s="96">
        <v>54.527999999999999</v>
      </c>
      <c r="V537" s="176">
        <f t="shared" ref="V537" si="1489">I537*U537*$V$2/1000</f>
        <v>164.69342668800002</v>
      </c>
      <c r="W537" s="206">
        <v>28.8</v>
      </c>
      <c r="X537" s="205">
        <f t="shared" ref="X537" si="1490">I537*W537*$X$2/1000</f>
        <v>90.863337599999994</v>
      </c>
      <c r="Y537" s="188">
        <f t="shared" ref="Y537" si="1491">SUM(S537+U537+W537)</f>
        <v>177.792</v>
      </c>
      <c r="Z537" s="176">
        <f t="shared" si="1469"/>
        <v>541.93996684800004</v>
      </c>
      <c r="AA537" s="206">
        <v>73.727999999999994</v>
      </c>
      <c r="AB537" s="205">
        <f t="shared" ref="AB537" si="1492">K537*AA537*$AB$2/1000</f>
        <v>229.26429388800003</v>
      </c>
      <c r="AC537" s="206"/>
      <c r="AD537" s="205">
        <f t="shared" ref="AD537" si="1493">K537*AC537*$AD$2/1000</f>
        <v>0</v>
      </c>
      <c r="AE537" s="206"/>
      <c r="AF537" s="205">
        <f t="shared" ref="AF537" si="1494">K537*AE537*$AF$2/1000</f>
        <v>0</v>
      </c>
      <c r="AG537" s="188">
        <f t="shared" ref="AG537" si="1495">SUM(AA537+AC537+AE537)</f>
        <v>73.727999999999994</v>
      </c>
      <c r="AH537" s="96">
        <f t="shared" si="1473"/>
        <v>229.26429388800003</v>
      </c>
      <c r="AI537" s="96">
        <f t="shared" si="1474"/>
        <v>251.51999999999998</v>
      </c>
      <c r="AJ537" s="176">
        <f t="shared" si="1475"/>
        <v>771.20426073600004</v>
      </c>
      <c r="AK537" s="206"/>
      <c r="AL537" s="439">
        <f>M537*AK537*$AL$2/1000</f>
        <v>0</v>
      </c>
      <c r="AM537" s="243"/>
      <c r="AN537" s="176">
        <f t="shared" ref="AN537" si="1496">M537*AM537*$AN$2/1000</f>
        <v>0</v>
      </c>
      <c r="AO537" s="206"/>
      <c r="AP537" s="205">
        <f t="shared" ref="AP537" si="1497">M537*AO537*$AP$2/1000</f>
        <v>0</v>
      </c>
      <c r="AQ537" s="188">
        <f t="shared" ref="AQ537" si="1498">SUM(AK537+AM537+AO537)</f>
        <v>0</v>
      </c>
      <c r="AR537" s="96">
        <f t="shared" si="1479"/>
        <v>0</v>
      </c>
      <c r="AS537" s="96"/>
      <c r="AT537" s="176">
        <f t="shared" ref="AT537" si="1499">O537*AS537*$AT$2/1000</f>
        <v>0</v>
      </c>
      <c r="AU537" s="206"/>
      <c r="AV537" s="176">
        <f t="shared" ref="AV537" si="1500">O537*AU537*$AV$2/1000</f>
        <v>0</v>
      </c>
      <c r="AW537" s="206"/>
      <c r="AX537" s="205">
        <f t="shared" ref="AX537" si="1501">O537*AW537*$AX$2/1000</f>
        <v>0</v>
      </c>
      <c r="AY537" s="188">
        <f t="shared" ref="AY537" si="1502">SUM(AS537+AU537+AW537)</f>
        <v>0</v>
      </c>
      <c r="AZ537" s="96">
        <f t="shared" si="1483"/>
        <v>0</v>
      </c>
      <c r="BA537" s="96">
        <f t="shared" si="1484"/>
        <v>0</v>
      </c>
      <c r="BB537" s="96">
        <f t="shared" si="1485"/>
        <v>0</v>
      </c>
    </row>
    <row r="538" spans="1:54">
      <c r="B538" s="13"/>
      <c r="C538" s="13"/>
      <c r="D538" s="13" t="s">
        <v>1253</v>
      </c>
      <c r="E538" s="21" t="s">
        <v>1752</v>
      </c>
      <c r="F538" s="45" t="s">
        <v>1753</v>
      </c>
      <c r="G538" s="45" t="s">
        <v>1056</v>
      </c>
      <c r="H538" s="265" t="s">
        <v>359</v>
      </c>
      <c r="I538" s="54"/>
      <c r="J538" s="162">
        <v>11800</v>
      </c>
      <c r="K538" s="54"/>
      <c r="L538" s="162">
        <v>11800</v>
      </c>
      <c r="M538" s="54"/>
      <c r="N538" s="162"/>
      <c r="O538" s="54"/>
      <c r="P538" s="162"/>
      <c r="Q538" s="96">
        <f t="shared" si="1465"/>
        <v>6.8929999999999989</v>
      </c>
      <c r="R538" s="337">
        <f t="shared" si="1465"/>
        <v>81.337400000000002</v>
      </c>
      <c r="S538" s="96">
        <v>0.81</v>
      </c>
      <c r="T538" s="96">
        <f t="shared" si="1466"/>
        <v>9.5579999999999998</v>
      </c>
      <c r="U538" s="96">
        <v>1.403</v>
      </c>
      <c r="V538" s="96">
        <f t="shared" si="1467"/>
        <v>16.555400000000002</v>
      </c>
      <c r="W538" s="96">
        <v>2.7559999999999998</v>
      </c>
      <c r="X538" s="96">
        <f t="shared" si="1468"/>
        <v>32.520799999999994</v>
      </c>
      <c r="Y538" s="96">
        <f t="shared" si="1469"/>
        <v>4.9689999999999994</v>
      </c>
      <c r="Z538" s="96">
        <f t="shared" si="1469"/>
        <v>58.634199999999993</v>
      </c>
      <c r="AA538" s="96">
        <v>1.9239999999999999</v>
      </c>
      <c r="AB538" s="96">
        <f t="shared" si="1470"/>
        <v>22.703200000000002</v>
      </c>
      <c r="AC538" s="96"/>
      <c r="AD538" s="96">
        <f t="shared" si="1471"/>
        <v>0</v>
      </c>
      <c r="AE538" s="96"/>
      <c r="AF538" s="96">
        <f t="shared" si="1472"/>
        <v>0</v>
      </c>
      <c r="AG538" s="96">
        <f t="shared" si="1473"/>
        <v>1.9239999999999999</v>
      </c>
      <c r="AH538" s="96">
        <f t="shared" si="1473"/>
        <v>22.703200000000002</v>
      </c>
      <c r="AI538" s="96">
        <f t="shared" si="1474"/>
        <v>6.8929999999999989</v>
      </c>
      <c r="AJ538" s="96">
        <f t="shared" si="1475"/>
        <v>81.337400000000002</v>
      </c>
      <c r="AK538" s="96"/>
      <c r="AL538" s="96">
        <f t="shared" si="1476"/>
        <v>0</v>
      </c>
      <c r="AM538" s="96"/>
      <c r="AN538" s="96">
        <f t="shared" si="1477"/>
        <v>0</v>
      </c>
      <c r="AO538" s="96"/>
      <c r="AP538" s="96">
        <f t="shared" si="1478"/>
        <v>0</v>
      </c>
      <c r="AQ538" s="96">
        <f t="shared" si="1479"/>
        <v>0</v>
      </c>
      <c r="AR538" s="96">
        <f t="shared" si="1479"/>
        <v>0</v>
      </c>
      <c r="AS538" s="96"/>
      <c r="AT538" s="96">
        <f t="shared" si="1480"/>
        <v>0</v>
      </c>
      <c r="AU538" s="96"/>
      <c r="AV538" s="96">
        <f t="shared" si="1481"/>
        <v>0</v>
      </c>
      <c r="AW538" s="96"/>
      <c r="AX538" s="96">
        <f t="shared" si="1482"/>
        <v>0</v>
      </c>
      <c r="AY538" s="96">
        <f t="shared" si="1483"/>
        <v>0</v>
      </c>
      <c r="AZ538" s="96">
        <f t="shared" si="1483"/>
        <v>0</v>
      </c>
      <c r="BA538" s="96">
        <f t="shared" si="1484"/>
        <v>0</v>
      </c>
      <c r="BB538" s="96">
        <f t="shared" si="1485"/>
        <v>0</v>
      </c>
    </row>
    <row r="539" spans="1:54">
      <c r="A539" s="492">
        <v>298</v>
      </c>
      <c r="B539" s="13"/>
      <c r="C539" s="13"/>
      <c r="D539" s="13" t="s">
        <v>1253</v>
      </c>
      <c r="E539" s="298" t="s">
        <v>469</v>
      </c>
      <c r="F539" s="45" t="s">
        <v>470</v>
      </c>
      <c r="G539" s="63" t="s">
        <v>1061</v>
      </c>
      <c r="H539" s="270" t="s">
        <v>410</v>
      </c>
      <c r="I539" s="500"/>
      <c r="J539" s="499">
        <v>10450</v>
      </c>
      <c r="K539" s="500"/>
      <c r="L539" s="499">
        <v>10450</v>
      </c>
      <c r="M539" s="498"/>
      <c r="N539" s="499"/>
      <c r="O539" s="500"/>
      <c r="P539" s="499"/>
      <c r="Q539" s="96">
        <f t="shared" si="1465"/>
        <v>2.7E-2</v>
      </c>
      <c r="R539" s="337">
        <f t="shared" si="1465"/>
        <v>0.28215000000000001</v>
      </c>
      <c r="S539" s="96">
        <v>1.2E-2</v>
      </c>
      <c r="T539" s="96">
        <f t="shared" si="1466"/>
        <v>0.12540000000000001</v>
      </c>
      <c r="U539" s="96"/>
      <c r="V539" s="176">
        <f t="shared" si="1467"/>
        <v>0</v>
      </c>
      <c r="W539" s="206">
        <v>0.01</v>
      </c>
      <c r="X539" s="205">
        <f t="shared" si="1468"/>
        <v>0.1045</v>
      </c>
      <c r="Y539" s="188">
        <f t="shared" si="1469"/>
        <v>2.1999999999999999E-2</v>
      </c>
      <c r="Z539" s="176">
        <f t="shared" si="1469"/>
        <v>0.22989999999999999</v>
      </c>
      <c r="AA539" s="206">
        <v>5.0000000000000001E-3</v>
      </c>
      <c r="AB539" s="205">
        <f t="shared" si="1470"/>
        <v>5.2249999999999998E-2</v>
      </c>
      <c r="AC539" s="206"/>
      <c r="AD539" s="176">
        <f t="shared" si="1471"/>
        <v>0</v>
      </c>
      <c r="AE539" s="206"/>
      <c r="AF539" s="205">
        <f t="shared" si="1472"/>
        <v>0</v>
      </c>
      <c r="AG539" s="188">
        <f t="shared" si="1473"/>
        <v>5.0000000000000001E-3</v>
      </c>
      <c r="AH539" s="96">
        <f t="shared" si="1473"/>
        <v>5.2249999999999998E-2</v>
      </c>
      <c r="AI539" s="96">
        <f t="shared" si="1474"/>
        <v>2.7E-2</v>
      </c>
      <c r="AJ539" s="176">
        <f t="shared" si="1475"/>
        <v>0.28215000000000001</v>
      </c>
      <c r="AK539" s="206"/>
      <c r="AL539" s="176">
        <f t="shared" si="1476"/>
        <v>0</v>
      </c>
      <c r="AM539" s="243"/>
      <c r="AN539" s="176">
        <f t="shared" si="1477"/>
        <v>0</v>
      </c>
      <c r="AO539" s="206"/>
      <c r="AP539" s="205">
        <f t="shared" si="1478"/>
        <v>0</v>
      </c>
      <c r="AQ539" s="188">
        <f t="shared" si="1479"/>
        <v>0</v>
      </c>
      <c r="AR539" s="96">
        <f t="shared" si="1479"/>
        <v>0</v>
      </c>
      <c r="AS539" s="96"/>
      <c r="AT539" s="176">
        <f t="shared" si="1480"/>
        <v>0</v>
      </c>
      <c r="AU539" s="206"/>
      <c r="AV539" s="176">
        <f t="shared" si="1481"/>
        <v>0</v>
      </c>
      <c r="AW539" s="206"/>
      <c r="AX539" s="205">
        <f t="shared" si="1482"/>
        <v>0</v>
      </c>
      <c r="AY539" s="188">
        <f t="shared" si="1483"/>
        <v>0</v>
      </c>
      <c r="AZ539" s="96">
        <f t="shared" si="1483"/>
        <v>0</v>
      </c>
      <c r="BA539" s="96">
        <f t="shared" si="1484"/>
        <v>0</v>
      </c>
      <c r="BB539" s="96">
        <f t="shared" si="1485"/>
        <v>0</v>
      </c>
    </row>
    <row r="540" spans="1:54">
      <c r="A540" s="492">
        <v>287</v>
      </c>
      <c r="B540" s="13"/>
      <c r="C540" s="13"/>
      <c r="D540" s="13" t="s">
        <v>1253</v>
      </c>
      <c r="E540" s="21" t="s">
        <v>1409</v>
      </c>
      <c r="F540" s="45" t="s">
        <v>1411</v>
      </c>
      <c r="G540" s="45" t="s">
        <v>1059</v>
      </c>
      <c r="H540" s="265" t="s">
        <v>358</v>
      </c>
      <c r="I540" s="153"/>
      <c r="J540" s="167">
        <v>9588</v>
      </c>
      <c r="K540" s="153"/>
      <c r="L540" s="167">
        <v>10875</v>
      </c>
      <c r="M540" s="75"/>
      <c r="N540" s="167"/>
      <c r="O540" s="153"/>
      <c r="P540" s="167"/>
      <c r="Q540" s="96">
        <f t="shared" si="1465"/>
        <v>2.3519999999999999</v>
      </c>
      <c r="R540" s="337">
        <f t="shared" si="1465"/>
        <v>23.578001999999998</v>
      </c>
      <c r="S540" s="96">
        <v>0.58799999999999997</v>
      </c>
      <c r="T540" s="96">
        <f t="shared" si="1466"/>
        <v>5.6377439999999996</v>
      </c>
      <c r="U540" s="96">
        <v>0.126</v>
      </c>
      <c r="V540" s="176">
        <f t="shared" si="1467"/>
        <v>1.2080880000000001</v>
      </c>
      <c r="W540" s="206">
        <v>0.84</v>
      </c>
      <c r="X540" s="205">
        <f t="shared" si="1468"/>
        <v>8.0539199999999997</v>
      </c>
      <c r="Y540" s="188">
        <f t="shared" si="1469"/>
        <v>1.5539999999999998</v>
      </c>
      <c r="Z540" s="176">
        <f t="shared" si="1469"/>
        <v>14.899751999999999</v>
      </c>
      <c r="AA540" s="206">
        <v>0.79800000000000004</v>
      </c>
      <c r="AB540" s="205">
        <f t="shared" si="1470"/>
        <v>8.6782500000000002</v>
      </c>
      <c r="AC540" s="206"/>
      <c r="AD540" s="176">
        <f t="shared" si="1471"/>
        <v>0</v>
      </c>
      <c r="AE540" s="206"/>
      <c r="AF540" s="205">
        <f t="shared" si="1472"/>
        <v>0</v>
      </c>
      <c r="AG540" s="188">
        <f t="shared" si="1473"/>
        <v>0.79800000000000004</v>
      </c>
      <c r="AH540" s="96">
        <f t="shared" si="1473"/>
        <v>8.6782500000000002</v>
      </c>
      <c r="AI540" s="96">
        <f t="shared" si="1474"/>
        <v>2.3519999999999999</v>
      </c>
      <c r="AJ540" s="176">
        <f t="shared" si="1475"/>
        <v>23.578001999999998</v>
      </c>
      <c r="AK540" s="206"/>
      <c r="AL540" s="176">
        <f t="shared" si="1476"/>
        <v>0</v>
      </c>
      <c r="AM540" s="243"/>
      <c r="AN540" s="176">
        <f t="shared" si="1477"/>
        <v>0</v>
      </c>
      <c r="AO540" s="206"/>
      <c r="AP540" s="205">
        <f t="shared" si="1478"/>
        <v>0</v>
      </c>
      <c r="AQ540" s="188">
        <f t="shared" si="1479"/>
        <v>0</v>
      </c>
      <c r="AR540" s="96">
        <f t="shared" si="1479"/>
        <v>0</v>
      </c>
      <c r="AS540" s="96"/>
      <c r="AT540" s="176">
        <f t="shared" si="1480"/>
        <v>0</v>
      </c>
      <c r="AU540" s="206"/>
      <c r="AV540" s="176">
        <f t="shared" si="1481"/>
        <v>0</v>
      </c>
      <c r="AW540" s="206"/>
      <c r="AX540" s="205">
        <f t="shared" si="1482"/>
        <v>0</v>
      </c>
      <c r="AY540" s="188">
        <f t="shared" si="1483"/>
        <v>0</v>
      </c>
      <c r="AZ540" s="96">
        <f t="shared" si="1483"/>
        <v>0</v>
      </c>
      <c r="BA540" s="96">
        <f t="shared" si="1484"/>
        <v>0</v>
      </c>
      <c r="BB540" s="96">
        <f t="shared" si="1485"/>
        <v>0</v>
      </c>
    </row>
    <row r="541" spans="1:54">
      <c r="A541" s="492">
        <v>292</v>
      </c>
      <c r="B541" s="13"/>
      <c r="C541" s="13"/>
      <c r="D541" s="13" t="s">
        <v>737</v>
      </c>
      <c r="E541" s="21" t="s">
        <v>1446</v>
      </c>
      <c r="F541" s="45" t="s">
        <v>1447</v>
      </c>
      <c r="G541" s="45" t="s">
        <v>1059</v>
      </c>
      <c r="H541" s="265" t="s">
        <v>358</v>
      </c>
      <c r="I541" s="142"/>
      <c r="J541" s="162">
        <v>6550</v>
      </c>
      <c r="K541" s="142"/>
      <c r="L541" s="162">
        <v>5697</v>
      </c>
      <c r="M541" s="54"/>
      <c r="N541" s="162"/>
      <c r="O541" s="142"/>
      <c r="P541" s="162"/>
      <c r="Q541" s="96">
        <f t="shared" si="1465"/>
        <v>0.77</v>
      </c>
      <c r="R541" s="337">
        <f t="shared" si="1465"/>
        <v>4.6852400000000003</v>
      </c>
      <c r="S541" s="96"/>
      <c r="T541" s="96">
        <f t="shared" si="1466"/>
        <v>0</v>
      </c>
      <c r="U541" s="130">
        <v>0.14000000000000001</v>
      </c>
      <c r="V541" s="176">
        <f t="shared" si="1467"/>
        <v>0.91700000000000015</v>
      </c>
      <c r="W541" s="206">
        <v>0.21</v>
      </c>
      <c r="X541" s="205">
        <f t="shared" si="1468"/>
        <v>1.3754999999999999</v>
      </c>
      <c r="Y541" s="188">
        <f t="shared" si="1469"/>
        <v>0.35</v>
      </c>
      <c r="Z541" s="176">
        <f t="shared" si="1469"/>
        <v>2.2925</v>
      </c>
      <c r="AA541" s="206">
        <v>0.42</v>
      </c>
      <c r="AB541" s="205">
        <f t="shared" si="1470"/>
        <v>2.3927399999999999</v>
      </c>
      <c r="AC541" s="206"/>
      <c r="AD541" s="176">
        <f t="shared" si="1471"/>
        <v>0</v>
      </c>
      <c r="AE541" s="206"/>
      <c r="AF541" s="205">
        <f t="shared" si="1472"/>
        <v>0</v>
      </c>
      <c r="AG541" s="188">
        <f t="shared" si="1473"/>
        <v>0.42</v>
      </c>
      <c r="AH541" s="96">
        <f t="shared" si="1473"/>
        <v>2.3927399999999999</v>
      </c>
      <c r="AI541" s="96">
        <f t="shared" si="1474"/>
        <v>0.77</v>
      </c>
      <c r="AJ541" s="176">
        <f t="shared" si="1475"/>
        <v>4.6852400000000003</v>
      </c>
      <c r="AK541" s="206"/>
      <c r="AL541" s="176">
        <f t="shared" si="1476"/>
        <v>0</v>
      </c>
      <c r="AM541" s="243"/>
      <c r="AN541" s="176">
        <f t="shared" si="1477"/>
        <v>0</v>
      </c>
      <c r="AO541" s="206"/>
      <c r="AP541" s="205">
        <f t="shared" si="1478"/>
        <v>0</v>
      </c>
      <c r="AQ541" s="188">
        <f t="shared" si="1479"/>
        <v>0</v>
      </c>
      <c r="AR541" s="96">
        <f t="shared" si="1479"/>
        <v>0</v>
      </c>
      <c r="AS541" s="96"/>
      <c r="AT541" s="176">
        <f t="shared" si="1480"/>
        <v>0</v>
      </c>
      <c r="AU541" s="206"/>
      <c r="AV541" s="176">
        <f t="shared" si="1481"/>
        <v>0</v>
      </c>
      <c r="AW541" s="206"/>
      <c r="AX541" s="205">
        <f t="shared" si="1482"/>
        <v>0</v>
      </c>
      <c r="AY541" s="188">
        <f t="shared" si="1483"/>
        <v>0</v>
      </c>
      <c r="AZ541" s="96">
        <f t="shared" si="1483"/>
        <v>0</v>
      </c>
      <c r="BA541" s="96">
        <f t="shared" si="1484"/>
        <v>0</v>
      </c>
      <c r="BB541" s="96">
        <f t="shared" si="1485"/>
        <v>0</v>
      </c>
    </row>
    <row r="542" spans="1:54">
      <c r="A542" s="492">
        <v>288</v>
      </c>
      <c r="B542" s="13"/>
      <c r="C542" s="13"/>
      <c r="D542" s="497" t="s">
        <v>1253</v>
      </c>
      <c r="E542" s="21" t="s">
        <v>1410</v>
      </c>
      <c r="F542" s="45" t="s">
        <v>1412</v>
      </c>
      <c r="G542" s="45" t="s">
        <v>1059</v>
      </c>
      <c r="H542" s="265" t="s">
        <v>358</v>
      </c>
      <c r="I542" s="142"/>
      <c r="J542" s="162">
        <v>12935</v>
      </c>
      <c r="K542" s="142"/>
      <c r="L542" s="162">
        <v>12547</v>
      </c>
      <c r="M542" s="54"/>
      <c r="N542" s="162"/>
      <c r="O542" s="142"/>
      <c r="P542" s="162"/>
      <c r="Q542" s="96">
        <f t="shared" si="1465"/>
        <v>27.12</v>
      </c>
      <c r="R542" s="337">
        <f t="shared" si="1465"/>
        <v>347.95354799999996</v>
      </c>
      <c r="S542" s="96">
        <v>5.6820000000000004</v>
      </c>
      <c r="T542" s="96">
        <f t="shared" si="1466"/>
        <v>73.496669999999995</v>
      </c>
      <c r="U542" s="96">
        <v>9.0109999999999992</v>
      </c>
      <c r="V542" s="176">
        <f t="shared" si="1467"/>
        <v>116.55728499999999</v>
      </c>
      <c r="W542" s="206">
        <v>5.0979999999999999</v>
      </c>
      <c r="X542" s="205">
        <f t="shared" si="1468"/>
        <v>65.942630000000008</v>
      </c>
      <c r="Y542" s="188">
        <f t="shared" si="1469"/>
        <v>19.791</v>
      </c>
      <c r="Z542" s="176">
        <f t="shared" si="1469"/>
        <v>255.99658499999998</v>
      </c>
      <c r="AA542" s="206">
        <v>7.3289999999999997</v>
      </c>
      <c r="AB542" s="205">
        <f t="shared" si="1470"/>
        <v>91.956963000000002</v>
      </c>
      <c r="AC542" s="206"/>
      <c r="AD542" s="176">
        <f t="shared" si="1471"/>
        <v>0</v>
      </c>
      <c r="AE542" s="206"/>
      <c r="AF542" s="205">
        <f t="shared" si="1472"/>
        <v>0</v>
      </c>
      <c r="AG542" s="188">
        <f t="shared" si="1473"/>
        <v>7.3289999999999997</v>
      </c>
      <c r="AH542" s="96">
        <f t="shared" si="1473"/>
        <v>91.956963000000002</v>
      </c>
      <c r="AI542" s="96">
        <f t="shared" si="1474"/>
        <v>27.12</v>
      </c>
      <c r="AJ542" s="176">
        <f t="shared" si="1475"/>
        <v>347.95354799999996</v>
      </c>
      <c r="AK542" s="206"/>
      <c r="AL542" s="176">
        <f t="shared" si="1476"/>
        <v>0</v>
      </c>
      <c r="AM542" s="243"/>
      <c r="AN542" s="176">
        <f t="shared" si="1477"/>
        <v>0</v>
      </c>
      <c r="AO542" s="206"/>
      <c r="AP542" s="205">
        <f t="shared" si="1478"/>
        <v>0</v>
      </c>
      <c r="AQ542" s="188">
        <f t="shared" si="1479"/>
        <v>0</v>
      </c>
      <c r="AR542" s="96">
        <f t="shared" si="1479"/>
        <v>0</v>
      </c>
      <c r="AS542" s="96"/>
      <c r="AT542" s="176">
        <f t="shared" si="1480"/>
        <v>0</v>
      </c>
      <c r="AU542" s="206"/>
      <c r="AV542" s="176">
        <f t="shared" si="1481"/>
        <v>0</v>
      </c>
      <c r="AW542" s="206"/>
      <c r="AX542" s="205">
        <f t="shared" si="1482"/>
        <v>0</v>
      </c>
      <c r="AY542" s="188">
        <f t="shared" si="1483"/>
        <v>0</v>
      </c>
      <c r="AZ542" s="96">
        <f t="shared" si="1483"/>
        <v>0</v>
      </c>
      <c r="BA542" s="96">
        <f t="shared" si="1484"/>
        <v>0</v>
      </c>
      <c r="BB542" s="96">
        <f t="shared" si="1485"/>
        <v>0</v>
      </c>
    </row>
    <row r="543" spans="1:54">
      <c r="A543" s="492">
        <v>299</v>
      </c>
      <c r="B543" s="15"/>
      <c r="C543" s="27" t="s">
        <v>134</v>
      </c>
      <c r="D543" s="286"/>
      <c r="E543" s="194"/>
      <c r="F543" s="97"/>
      <c r="G543" s="194"/>
      <c r="H543" s="217"/>
      <c r="I543" s="217"/>
      <c r="J543" s="217"/>
      <c r="K543" s="217"/>
      <c r="L543" s="217"/>
      <c r="M543" s="217"/>
      <c r="N543" s="217"/>
      <c r="O543" s="217"/>
      <c r="P543" s="217"/>
      <c r="Q543" s="125">
        <f t="shared" ref="Q543:BB543" si="1503">SUM(Q536:Q542)</f>
        <v>288.6819999999999</v>
      </c>
      <c r="R543" s="125">
        <f t="shared" si="1503"/>
        <v>1229.040600736</v>
      </c>
      <c r="S543" s="125">
        <f t="shared" si="1503"/>
        <v>101.556</v>
      </c>
      <c r="T543" s="125">
        <f t="shared" si="1503"/>
        <v>375.20101656000003</v>
      </c>
      <c r="U543" s="125">
        <f t="shared" si="1503"/>
        <v>65.207999999999998</v>
      </c>
      <c r="V543" s="125">
        <f t="shared" si="1503"/>
        <v>299.93119968799999</v>
      </c>
      <c r="W543" s="125">
        <f t="shared" si="1503"/>
        <v>37.714000000000006</v>
      </c>
      <c r="X543" s="125">
        <f t="shared" si="1503"/>
        <v>198.86068759999998</v>
      </c>
      <c r="Y543" s="125">
        <f t="shared" si="1503"/>
        <v>204.47799999999998</v>
      </c>
      <c r="Z543" s="125">
        <f t="shared" si="1503"/>
        <v>873.99290384800008</v>
      </c>
      <c r="AA543" s="125">
        <f t="shared" si="1503"/>
        <v>84.203999999999994</v>
      </c>
      <c r="AB543" s="125">
        <f t="shared" si="1503"/>
        <v>355.04769688800002</v>
      </c>
      <c r="AC543" s="125">
        <f t="shared" si="1503"/>
        <v>0</v>
      </c>
      <c r="AD543" s="125">
        <f t="shared" si="1503"/>
        <v>0</v>
      </c>
      <c r="AE543" s="125">
        <f t="shared" si="1503"/>
        <v>0</v>
      </c>
      <c r="AF543" s="125">
        <f t="shared" si="1503"/>
        <v>0</v>
      </c>
      <c r="AG543" s="125">
        <f t="shared" si="1503"/>
        <v>84.203999999999994</v>
      </c>
      <c r="AH543" s="125">
        <f t="shared" si="1503"/>
        <v>355.04769688800002</v>
      </c>
      <c r="AI543" s="125">
        <f t="shared" si="1503"/>
        <v>288.6819999999999</v>
      </c>
      <c r="AJ543" s="125">
        <f t="shared" si="1503"/>
        <v>1229.040600736</v>
      </c>
      <c r="AK543" s="125">
        <f t="shared" si="1503"/>
        <v>0</v>
      </c>
      <c r="AL543" s="125">
        <f t="shared" si="1503"/>
        <v>0</v>
      </c>
      <c r="AM543" s="125">
        <f t="shared" si="1503"/>
        <v>0</v>
      </c>
      <c r="AN543" s="125">
        <f t="shared" si="1503"/>
        <v>0</v>
      </c>
      <c r="AO543" s="125">
        <f t="shared" si="1503"/>
        <v>0</v>
      </c>
      <c r="AP543" s="125">
        <f t="shared" si="1503"/>
        <v>0</v>
      </c>
      <c r="AQ543" s="125">
        <f t="shared" si="1503"/>
        <v>0</v>
      </c>
      <c r="AR543" s="125">
        <f t="shared" si="1503"/>
        <v>0</v>
      </c>
      <c r="AS543" s="125">
        <f t="shared" si="1503"/>
        <v>0</v>
      </c>
      <c r="AT543" s="125">
        <f t="shared" si="1503"/>
        <v>0</v>
      </c>
      <c r="AU543" s="125">
        <f t="shared" si="1503"/>
        <v>0</v>
      </c>
      <c r="AV543" s="125">
        <f t="shared" si="1503"/>
        <v>0</v>
      </c>
      <c r="AW543" s="125">
        <f t="shared" si="1503"/>
        <v>0</v>
      </c>
      <c r="AX543" s="125">
        <f t="shared" si="1503"/>
        <v>0</v>
      </c>
      <c r="AY543" s="125">
        <f t="shared" si="1503"/>
        <v>0</v>
      </c>
      <c r="AZ543" s="125">
        <f t="shared" si="1503"/>
        <v>0</v>
      </c>
      <c r="BA543" s="125">
        <f t="shared" si="1503"/>
        <v>0</v>
      </c>
      <c r="BB543" s="125">
        <f t="shared" si="1503"/>
        <v>0</v>
      </c>
    </row>
    <row r="544" spans="1:54">
      <c r="A544" s="492">
        <v>300</v>
      </c>
      <c r="B544" s="58" t="s">
        <v>153</v>
      </c>
      <c r="C544" s="59"/>
      <c r="D544" s="59"/>
      <c r="E544" s="59"/>
      <c r="F544" s="59"/>
      <c r="G544" s="59"/>
      <c r="H544" s="279"/>
      <c r="I544" s="145"/>
      <c r="J544" s="103"/>
      <c r="K544" s="60"/>
      <c r="L544" s="60"/>
      <c r="M544" s="60"/>
      <c r="N544" s="60"/>
      <c r="O544" s="145"/>
      <c r="P544" s="103"/>
      <c r="Q544" s="126">
        <f t="shared" ref="Q544:BB544" si="1504">SUM(Q543,Q535,Q468,Q486)</f>
        <v>793.99299999999994</v>
      </c>
      <c r="R544" s="126">
        <f t="shared" si="1504"/>
        <v>5031.1263011295005</v>
      </c>
      <c r="S544" s="126">
        <f t="shared" si="1504"/>
        <v>224.08799999999999</v>
      </c>
      <c r="T544" s="126">
        <f t="shared" si="1504"/>
        <v>1294.7854130150001</v>
      </c>
      <c r="U544" s="126">
        <f t="shared" si="1504"/>
        <v>193.98099999999999</v>
      </c>
      <c r="V544" s="126">
        <f t="shared" si="1504"/>
        <v>1277.1536714012002</v>
      </c>
      <c r="W544" s="126">
        <f t="shared" si="1504"/>
        <v>149.29500000000002</v>
      </c>
      <c r="X544" s="126">
        <f t="shared" si="1504"/>
        <v>1049.7650337364998</v>
      </c>
      <c r="Y544" s="126">
        <f t="shared" si="1504"/>
        <v>567.36400000000003</v>
      </c>
      <c r="Z544" s="126">
        <f t="shared" si="1504"/>
        <v>3621.7041181527002</v>
      </c>
      <c r="AA544" s="126">
        <f t="shared" si="1504"/>
        <v>226.62899999999999</v>
      </c>
      <c r="AB544" s="126">
        <f t="shared" si="1504"/>
        <v>1409.4221829768001</v>
      </c>
      <c r="AC544" s="126">
        <f t="shared" si="1504"/>
        <v>0</v>
      </c>
      <c r="AD544" s="126">
        <f t="shared" si="1504"/>
        <v>0</v>
      </c>
      <c r="AE544" s="126">
        <f t="shared" si="1504"/>
        <v>0</v>
      </c>
      <c r="AF544" s="126">
        <f t="shared" si="1504"/>
        <v>0</v>
      </c>
      <c r="AG544" s="126">
        <f t="shared" si="1504"/>
        <v>226.62899999999999</v>
      </c>
      <c r="AH544" s="126">
        <f t="shared" si="1504"/>
        <v>1409.4221829768001</v>
      </c>
      <c r="AI544" s="126">
        <f t="shared" si="1504"/>
        <v>793.99299999999994</v>
      </c>
      <c r="AJ544" s="126">
        <f t="shared" si="1504"/>
        <v>5031.1263011295005</v>
      </c>
      <c r="AK544" s="126">
        <f t="shared" si="1504"/>
        <v>0</v>
      </c>
      <c r="AL544" s="126">
        <f t="shared" si="1504"/>
        <v>0</v>
      </c>
      <c r="AM544" s="126">
        <f t="shared" si="1504"/>
        <v>0</v>
      </c>
      <c r="AN544" s="126">
        <f t="shared" si="1504"/>
        <v>0</v>
      </c>
      <c r="AO544" s="126">
        <f t="shared" si="1504"/>
        <v>0</v>
      </c>
      <c r="AP544" s="126">
        <f t="shared" si="1504"/>
        <v>0</v>
      </c>
      <c r="AQ544" s="126">
        <f t="shared" si="1504"/>
        <v>0</v>
      </c>
      <c r="AR544" s="126">
        <f t="shared" si="1504"/>
        <v>0</v>
      </c>
      <c r="AS544" s="126">
        <f t="shared" si="1504"/>
        <v>0</v>
      </c>
      <c r="AT544" s="126">
        <f t="shared" si="1504"/>
        <v>0</v>
      </c>
      <c r="AU544" s="126">
        <f t="shared" si="1504"/>
        <v>0</v>
      </c>
      <c r="AV544" s="126">
        <f t="shared" si="1504"/>
        <v>0</v>
      </c>
      <c r="AW544" s="126">
        <f t="shared" si="1504"/>
        <v>0</v>
      </c>
      <c r="AX544" s="126">
        <f t="shared" si="1504"/>
        <v>0</v>
      </c>
      <c r="AY544" s="126">
        <f t="shared" si="1504"/>
        <v>0</v>
      </c>
      <c r="AZ544" s="126">
        <f t="shared" si="1504"/>
        <v>0</v>
      </c>
      <c r="BA544" s="126">
        <f t="shared" si="1504"/>
        <v>0</v>
      </c>
      <c r="BB544" s="126">
        <f t="shared" si="1504"/>
        <v>0</v>
      </c>
    </row>
    <row r="545" spans="1:54" hidden="1">
      <c r="A545" s="492">
        <v>301</v>
      </c>
      <c r="B545" s="13" t="s">
        <v>678</v>
      </c>
      <c r="C545" s="13" t="s">
        <v>33</v>
      </c>
      <c r="D545" s="13" t="s">
        <v>679</v>
      </c>
      <c r="E545" s="21" t="s">
        <v>680</v>
      </c>
      <c r="F545" s="253" t="s">
        <v>681</v>
      </c>
      <c r="G545" s="23"/>
      <c r="H545" s="265" t="s">
        <v>358</v>
      </c>
      <c r="I545" s="142"/>
      <c r="J545" s="163"/>
      <c r="K545" s="54"/>
      <c r="L545" s="101"/>
      <c r="M545" s="54"/>
      <c r="N545" s="101"/>
      <c r="O545" s="142"/>
      <c r="P545" s="163"/>
      <c r="Q545" s="96">
        <f>SUM(AI545+BA545)</f>
        <v>0</v>
      </c>
      <c r="R545" s="337">
        <f>SUM(AJ545+BB545)</f>
        <v>0</v>
      </c>
      <c r="S545" s="96"/>
      <c r="T545" s="96">
        <f>J545*S545/1000</f>
        <v>0</v>
      </c>
      <c r="U545" s="96"/>
      <c r="V545" s="176">
        <f>J545*U545/1000</f>
        <v>0</v>
      </c>
      <c r="W545" s="206"/>
      <c r="X545" s="205">
        <f>J545*W545/1000</f>
        <v>0</v>
      </c>
      <c r="Y545" s="188">
        <f>SUM(S545+U545+W545)</f>
        <v>0</v>
      </c>
      <c r="Z545" s="176">
        <f>SUM(T545+V545+X545)</f>
        <v>0</v>
      </c>
      <c r="AA545" s="206"/>
      <c r="AB545" s="205">
        <f>L545*AA545/1000</f>
        <v>0</v>
      </c>
      <c r="AC545" s="206"/>
      <c r="AD545" s="176">
        <f>L545*AC545/1000</f>
        <v>0</v>
      </c>
      <c r="AE545" s="206"/>
      <c r="AF545" s="219">
        <f>L545*AE545/1000</f>
        <v>0</v>
      </c>
      <c r="AG545" s="188">
        <f>SUM(AA545+AC545+AE545)</f>
        <v>0</v>
      </c>
      <c r="AH545" s="96">
        <f>SUM(AB545+AD545+AF545)</f>
        <v>0</v>
      </c>
      <c r="AI545" s="96">
        <f>SUM(Y545+AG545)</f>
        <v>0</v>
      </c>
      <c r="AJ545" s="176">
        <f>SUM(Z545,AH545)</f>
        <v>0</v>
      </c>
      <c r="AK545" s="206"/>
      <c r="AL545" s="176">
        <f>N545*AK545/1000</f>
        <v>0</v>
      </c>
      <c r="AM545" s="243"/>
      <c r="AN545" s="176">
        <f>N545*AM545/1000</f>
        <v>0</v>
      </c>
      <c r="AO545" s="206"/>
      <c r="AP545" s="205">
        <f>N545*AO545/1000</f>
        <v>0</v>
      </c>
      <c r="AQ545" s="188">
        <f>SUM(AK545+AM545+AO545)</f>
        <v>0</v>
      </c>
      <c r="AR545" s="96">
        <f>SUM(AL545+AN545+AP545)</f>
        <v>0</v>
      </c>
      <c r="AS545" s="96"/>
      <c r="AT545" s="176">
        <f>P545*AS545/1000</f>
        <v>0</v>
      </c>
      <c r="AU545" s="206"/>
      <c r="AV545" s="176">
        <f>P545*AU545/1000</f>
        <v>0</v>
      </c>
      <c r="AW545" s="206"/>
      <c r="AX545" s="205">
        <f>P545*AW545/1000</f>
        <v>0</v>
      </c>
      <c r="AY545" s="188">
        <f>SUM(AS545+AU545+AW545)</f>
        <v>0</v>
      </c>
      <c r="AZ545" s="96">
        <f>SUM(AT545+AV545+AX545)</f>
        <v>0</v>
      </c>
      <c r="BA545" s="96">
        <f>SUM(AQ545+AY545)</f>
        <v>0</v>
      </c>
      <c r="BB545" s="96">
        <f>SUM(AR545,AZ545)</f>
        <v>0</v>
      </c>
    </row>
    <row r="546" spans="1:54" hidden="1">
      <c r="A546" s="492">
        <v>302</v>
      </c>
      <c r="B546" s="13"/>
      <c r="C546" s="13"/>
      <c r="D546" s="13"/>
      <c r="E546" s="92" t="s">
        <v>682</v>
      </c>
      <c r="F546" s="93"/>
      <c r="G546" s="93"/>
      <c r="H546" s="275" t="s">
        <v>358</v>
      </c>
      <c r="I546" s="155"/>
      <c r="J546" s="168"/>
      <c r="K546" s="78"/>
      <c r="L546" s="112"/>
      <c r="M546" s="78"/>
      <c r="N546" s="112"/>
      <c r="O546" s="155"/>
      <c r="P546" s="168"/>
      <c r="Q546" s="131">
        <f>SUM(AI546+BA546)</f>
        <v>0</v>
      </c>
      <c r="R546" s="346">
        <f>SUM(AJ546+BB546)</f>
        <v>0</v>
      </c>
      <c r="S546" s="131"/>
      <c r="T546" s="131">
        <f>J546*S546/1000</f>
        <v>0</v>
      </c>
      <c r="U546" s="131"/>
      <c r="V546" s="185">
        <f>J546*U546/1000</f>
        <v>0</v>
      </c>
      <c r="W546" s="224"/>
      <c r="X546" s="225">
        <f>L546*W546/1000</f>
        <v>0</v>
      </c>
      <c r="Y546" s="198">
        <f>SUM(S546+U546+W546)</f>
        <v>0</v>
      </c>
      <c r="Z546" s="185">
        <f>SUM(T546+V546+X546)</f>
        <v>0</v>
      </c>
      <c r="AA546" s="224"/>
      <c r="AB546" s="225">
        <f>L546*AA546/1000</f>
        <v>0</v>
      </c>
      <c r="AC546" s="224"/>
      <c r="AD546" s="185">
        <f>L546*AC546/1000</f>
        <v>0</v>
      </c>
      <c r="AE546" s="224"/>
      <c r="AF546" s="225">
        <f>L546*AE546/1000</f>
        <v>0</v>
      </c>
      <c r="AG546" s="198">
        <f>SUM(AA546+AC546+AE546)</f>
        <v>0</v>
      </c>
      <c r="AH546" s="131">
        <f>SUM(AB546+AD546+AF546)</f>
        <v>0</v>
      </c>
      <c r="AI546" s="131">
        <f>SUM(Y546+AG546)</f>
        <v>0</v>
      </c>
      <c r="AJ546" s="185">
        <f>SUM(Z546,AH546)</f>
        <v>0</v>
      </c>
      <c r="AK546" s="224"/>
      <c r="AL546" s="185">
        <f>N546*AK546/1000</f>
        <v>0</v>
      </c>
      <c r="AM546" s="248"/>
      <c r="AN546" s="185">
        <f>N546*AM546/1000</f>
        <v>0</v>
      </c>
      <c r="AO546" s="224"/>
      <c r="AP546" s="225">
        <f>N546*AO546/1000</f>
        <v>0</v>
      </c>
      <c r="AQ546" s="198">
        <f>SUM(AK546+AM546+AO546)</f>
        <v>0</v>
      </c>
      <c r="AR546" s="131">
        <f>SUM(AL546+AN546+AP546)</f>
        <v>0</v>
      </c>
      <c r="AS546" s="131"/>
      <c r="AT546" s="185">
        <f>P546*AS546/1000</f>
        <v>0</v>
      </c>
      <c r="AU546" s="224"/>
      <c r="AV546" s="185">
        <f>P546*AU546/1000</f>
        <v>0</v>
      </c>
      <c r="AW546" s="224"/>
      <c r="AX546" s="225">
        <f>P546*AW546/1000</f>
        <v>0</v>
      </c>
      <c r="AY546" s="198">
        <f>SUM(AS546+AU546+AW546)</f>
        <v>0</v>
      </c>
      <c r="AZ546" s="131">
        <f>SUM(AT546+AV546+AX546)</f>
        <v>0</v>
      </c>
      <c r="BA546" s="131">
        <f>SUM(AQ546+AY546)</f>
        <v>0</v>
      </c>
      <c r="BB546" s="131">
        <f>SUM(AR546,AZ546)</f>
        <v>0</v>
      </c>
    </row>
    <row r="547" spans="1:54" hidden="1">
      <c r="A547" s="492">
        <v>303</v>
      </c>
      <c r="B547" s="58" t="s">
        <v>153</v>
      </c>
      <c r="C547" s="59"/>
      <c r="D547" s="59"/>
      <c r="E547" s="59"/>
      <c r="F547" s="59"/>
      <c r="G547" s="59"/>
      <c r="H547" s="279"/>
      <c r="I547" s="154"/>
      <c r="J547" s="103"/>
      <c r="K547" s="77"/>
      <c r="L547" s="60"/>
      <c r="M547" s="77"/>
      <c r="N547" s="60"/>
      <c r="O547" s="154"/>
      <c r="P547" s="103"/>
      <c r="Q547" s="126">
        <f t="shared" ref="Q547:BB547" si="1505">SUM(Q545:Q546)</f>
        <v>0</v>
      </c>
      <c r="R547" s="126">
        <f t="shared" si="1505"/>
        <v>0</v>
      </c>
      <c r="S547" s="126">
        <f t="shared" si="1505"/>
        <v>0</v>
      </c>
      <c r="T547" s="126">
        <f t="shared" si="1505"/>
        <v>0</v>
      </c>
      <c r="U547" s="126">
        <f t="shared" si="1505"/>
        <v>0</v>
      </c>
      <c r="V547" s="126">
        <f t="shared" si="1505"/>
        <v>0</v>
      </c>
      <c r="W547" s="126">
        <f t="shared" si="1505"/>
        <v>0</v>
      </c>
      <c r="X547" s="126">
        <f t="shared" si="1505"/>
        <v>0</v>
      </c>
      <c r="Y547" s="126">
        <f t="shared" si="1505"/>
        <v>0</v>
      </c>
      <c r="Z547" s="126">
        <f t="shared" si="1505"/>
        <v>0</v>
      </c>
      <c r="AA547" s="126">
        <f t="shared" si="1505"/>
        <v>0</v>
      </c>
      <c r="AB547" s="126">
        <f t="shared" si="1505"/>
        <v>0</v>
      </c>
      <c r="AC547" s="126">
        <f t="shared" si="1505"/>
        <v>0</v>
      </c>
      <c r="AD547" s="126">
        <f t="shared" si="1505"/>
        <v>0</v>
      </c>
      <c r="AE547" s="126">
        <f t="shared" si="1505"/>
        <v>0</v>
      </c>
      <c r="AF547" s="126">
        <f t="shared" si="1505"/>
        <v>0</v>
      </c>
      <c r="AG547" s="126">
        <f t="shared" si="1505"/>
        <v>0</v>
      </c>
      <c r="AH547" s="126">
        <f t="shared" si="1505"/>
        <v>0</v>
      </c>
      <c r="AI547" s="126">
        <f t="shared" si="1505"/>
        <v>0</v>
      </c>
      <c r="AJ547" s="126">
        <f t="shared" si="1505"/>
        <v>0</v>
      </c>
      <c r="AK547" s="126">
        <f t="shared" si="1505"/>
        <v>0</v>
      </c>
      <c r="AL547" s="126">
        <f t="shared" si="1505"/>
        <v>0</v>
      </c>
      <c r="AM547" s="126">
        <f t="shared" si="1505"/>
        <v>0</v>
      </c>
      <c r="AN547" s="126">
        <f t="shared" si="1505"/>
        <v>0</v>
      </c>
      <c r="AO547" s="126">
        <f t="shared" si="1505"/>
        <v>0</v>
      </c>
      <c r="AP547" s="126">
        <f t="shared" si="1505"/>
        <v>0</v>
      </c>
      <c r="AQ547" s="126">
        <f t="shared" si="1505"/>
        <v>0</v>
      </c>
      <c r="AR547" s="126">
        <f t="shared" si="1505"/>
        <v>0</v>
      </c>
      <c r="AS547" s="126">
        <f t="shared" si="1505"/>
        <v>0</v>
      </c>
      <c r="AT547" s="126">
        <f t="shared" si="1505"/>
        <v>0</v>
      </c>
      <c r="AU547" s="126">
        <f t="shared" si="1505"/>
        <v>0</v>
      </c>
      <c r="AV547" s="126">
        <f t="shared" si="1505"/>
        <v>0</v>
      </c>
      <c r="AW547" s="126">
        <f t="shared" si="1505"/>
        <v>0</v>
      </c>
      <c r="AX547" s="126">
        <f t="shared" si="1505"/>
        <v>0</v>
      </c>
      <c r="AY547" s="126">
        <f t="shared" si="1505"/>
        <v>0</v>
      </c>
      <c r="AZ547" s="126">
        <f t="shared" si="1505"/>
        <v>0</v>
      </c>
      <c r="BA547" s="126">
        <f t="shared" si="1505"/>
        <v>0</v>
      </c>
      <c r="BB547" s="126">
        <f t="shared" si="1505"/>
        <v>0</v>
      </c>
    </row>
    <row r="548" spans="1:54">
      <c r="A548" s="492">
        <v>304</v>
      </c>
      <c r="B548" s="13" t="s">
        <v>545</v>
      </c>
      <c r="C548" s="305" t="s">
        <v>436</v>
      </c>
      <c r="D548" s="13" t="s">
        <v>437</v>
      </c>
      <c r="E548" s="31" t="s">
        <v>438</v>
      </c>
      <c r="F548" s="32" t="s">
        <v>439</v>
      </c>
      <c r="G548" s="32" t="s">
        <v>1059</v>
      </c>
      <c r="H548" s="271" t="s">
        <v>357</v>
      </c>
      <c r="I548" s="61">
        <v>5.68</v>
      </c>
      <c r="J548" s="104"/>
      <c r="K548" s="61">
        <v>5.68</v>
      </c>
      <c r="L548" s="163"/>
      <c r="M548" s="61"/>
      <c r="N548" s="163"/>
      <c r="O548" s="61"/>
      <c r="P548" s="104"/>
      <c r="Q548" s="121">
        <f t="shared" ref="Q548:Q571" si="1506">SUM(AI548+BA548)</f>
        <v>0</v>
      </c>
      <c r="R548" s="341">
        <f t="shared" ref="R548:R571" si="1507">SUM(AJ548+BB548)</f>
        <v>0</v>
      </c>
      <c r="S548" s="121"/>
      <c r="T548" s="121">
        <f t="shared" ref="T548:T571" si="1508">I548*S548*$T$2/1000</f>
        <v>0</v>
      </c>
      <c r="U548" s="121"/>
      <c r="V548" s="179">
        <f t="shared" ref="V548:V571" si="1509">I548*U548*$V$2/1000</f>
        <v>0</v>
      </c>
      <c r="W548" s="211"/>
      <c r="X548" s="212">
        <f t="shared" ref="X548:X571" si="1510">I548*W548*$X$2/1000</f>
        <v>0</v>
      </c>
      <c r="Y548" s="190">
        <f t="shared" ref="Y548:Y571" si="1511">SUM(S548+U548+W548)</f>
        <v>0</v>
      </c>
      <c r="Z548" s="179">
        <f t="shared" ref="Z548:Z571" si="1512">SUM(T548+V548+X548)</f>
        <v>0</v>
      </c>
      <c r="AA548" s="211"/>
      <c r="AB548" s="212">
        <f t="shared" ref="AB548:AB571" si="1513">K548*AA548*$AB$2/1000</f>
        <v>0</v>
      </c>
      <c r="AC548" s="211"/>
      <c r="AD548" s="179">
        <f t="shared" ref="AD548:AD571" si="1514">K548*AC548*$AD$2/1000</f>
        <v>0</v>
      </c>
      <c r="AE548" s="211"/>
      <c r="AF548" s="212">
        <f t="shared" ref="AF548:AF571" si="1515">K548*AE548*$AF$2/1000</f>
        <v>0</v>
      </c>
      <c r="AG548" s="190">
        <f t="shared" ref="AG548:AG571" si="1516">SUM(AA548+AC548+AE548)</f>
        <v>0</v>
      </c>
      <c r="AH548" s="121">
        <f t="shared" ref="AH548:AH571" si="1517">SUM(AB548+AD548+AF548)</f>
        <v>0</v>
      </c>
      <c r="AI548" s="121">
        <f t="shared" ref="AI548:AI571" si="1518">SUM(Y548+AG548)</f>
        <v>0</v>
      </c>
      <c r="AJ548" s="179">
        <f t="shared" ref="AJ548:AJ571" si="1519">SUM(Z548,AH548)</f>
        <v>0</v>
      </c>
      <c r="AK548" s="211"/>
      <c r="AL548" s="179">
        <f t="shared" ref="AL548:AL571" si="1520">M548*AK548*$AL$2/1000</f>
        <v>0</v>
      </c>
      <c r="AM548" s="246"/>
      <c r="AN548" s="179">
        <f t="shared" ref="AN548:AN571" si="1521">M548*AM548*$AN$2/1000</f>
        <v>0</v>
      </c>
      <c r="AO548" s="211"/>
      <c r="AP548" s="212">
        <f t="shared" ref="AP548:AP571" si="1522">M548*AO548*$AP$2/1000</f>
        <v>0</v>
      </c>
      <c r="AQ548" s="190">
        <f t="shared" ref="AQ548:AQ571" si="1523">SUM(AK548+AM548+AO548)</f>
        <v>0</v>
      </c>
      <c r="AR548" s="121">
        <f t="shared" ref="AR548:AR571" si="1524">SUM(AL548+AN548+AP548)</f>
        <v>0</v>
      </c>
      <c r="AS548" s="121"/>
      <c r="AT548" s="179">
        <f t="shared" ref="AT548:AT571" si="1525">O548*AS548*$AT$2/1000</f>
        <v>0</v>
      </c>
      <c r="AU548" s="211"/>
      <c r="AV548" s="179">
        <f t="shared" ref="AV548:AV571" si="1526">O548*AU548*$AV$2/1000</f>
        <v>0</v>
      </c>
      <c r="AW548" s="211"/>
      <c r="AX548" s="212">
        <f t="shared" ref="AX548:AX571" si="1527">O548*AW548*$AX$2/1000</f>
        <v>0</v>
      </c>
      <c r="AY548" s="190">
        <f t="shared" ref="AY548:AY571" si="1528">SUM(AS548+AU548+AW548)</f>
        <v>0</v>
      </c>
      <c r="AZ548" s="121">
        <f t="shared" ref="AZ548:AZ571" si="1529">SUM(AT548+AV548+AX548)</f>
        <v>0</v>
      </c>
      <c r="BA548" s="121">
        <f t="shared" ref="BA548:BA571" si="1530">SUM(AQ548+AY548)</f>
        <v>0</v>
      </c>
      <c r="BB548" s="121">
        <f t="shared" ref="BB548:BB571" si="1531">SUM(AR548,AZ548)</f>
        <v>0</v>
      </c>
    </row>
    <row r="549" spans="1:54">
      <c r="A549" s="492">
        <v>305</v>
      </c>
      <c r="B549" s="13"/>
      <c r="C549" s="20"/>
      <c r="D549" s="13"/>
      <c r="E549" s="21" t="s">
        <v>161</v>
      </c>
      <c r="F549" s="22" t="s">
        <v>162</v>
      </c>
      <c r="G549" s="22" t="s">
        <v>1059</v>
      </c>
      <c r="H549" s="265" t="s">
        <v>357</v>
      </c>
      <c r="I549" s="54">
        <v>9.15</v>
      </c>
      <c r="J549" s="101"/>
      <c r="K549" s="54">
        <v>9.15</v>
      </c>
      <c r="L549" s="162"/>
      <c r="M549" s="54"/>
      <c r="N549" s="162"/>
      <c r="O549" s="54"/>
      <c r="P549" s="101"/>
      <c r="Q549" s="96">
        <f t="shared" si="1506"/>
        <v>0</v>
      </c>
      <c r="R549" s="337">
        <f t="shared" si="1507"/>
        <v>0</v>
      </c>
      <c r="S549" s="96"/>
      <c r="T549" s="96">
        <f t="shared" si="1508"/>
        <v>0</v>
      </c>
      <c r="U549" s="96"/>
      <c r="V549" s="176">
        <f t="shared" si="1509"/>
        <v>0</v>
      </c>
      <c r="W549" s="206"/>
      <c r="X549" s="205">
        <f t="shared" si="1510"/>
        <v>0</v>
      </c>
      <c r="Y549" s="188">
        <f t="shared" si="1511"/>
        <v>0</v>
      </c>
      <c r="Z549" s="176">
        <f t="shared" si="1512"/>
        <v>0</v>
      </c>
      <c r="AA549" s="206"/>
      <c r="AB549" s="205">
        <f t="shared" si="1513"/>
        <v>0</v>
      </c>
      <c r="AC549" s="206"/>
      <c r="AD549" s="176">
        <f t="shared" si="1514"/>
        <v>0</v>
      </c>
      <c r="AE549" s="206"/>
      <c r="AF549" s="205">
        <f t="shared" si="1515"/>
        <v>0</v>
      </c>
      <c r="AG549" s="188">
        <f t="shared" si="1516"/>
        <v>0</v>
      </c>
      <c r="AH549" s="96">
        <f t="shared" si="1517"/>
        <v>0</v>
      </c>
      <c r="AI549" s="96">
        <f t="shared" si="1518"/>
        <v>0</v>
      </c>
      <c r="AJ549" s="176">
        <f t="shared" si="1519"/>
        <v>0</v>
      </c>
      <c r="AK549" s="206"/>
      <c r="AL549" s="176">
        <f t="shared" si="1520"/>
        <v>0</v>
      </c>
      <c r="AM549" s="243"/>
      <c r="AN549" s="176">
        <f t="shared" si="1521"/>
        <v>0</v>
      </c>
      <c r="AO549" s="206"/>
      <c r="AP549" s="205">
        <f t="shared" si="1522"/>
        <v>0</v>
      </c>
      <c r="AQ549" s="188">
        <f t="shared" si="1523"/>
        <v>0</v>
      </c>
      <c r="AR549" s="96">
        <f t="shared" si="1524"/>
        <v>0</v>
      </c>
      <c r="AS549" s="96"/>
      <c r="AT549" s="176">
        <f t="shared" si="1525"/>
        <v>0</v>
      </c>
      <c r="AU549" s="206"/>
      <c r="AV549" s="176">
        <f t="shared" si="1526"/>
        <v>0</v>
      </c>
      <c r="AW549" s="206"/>
      <c r="AX549" s="205">
        <f t="shared" si="1527"/>
        <v>0</v>
      </c>
      <c r="AY549" s="188">
        <f t="shared" si="1528"/>
        <v>0</v>
      </c>
      <c r="AZ549" s="96">
        <f t="shared" si="1529"/>
        <v>0</v>
      </c>
      <c r="BA549" s="96">
        <f t="shared" si="1530"/>
        <v>0</v>
      </c>
      <c r="BB549" s="96">
        <f t="shared" si="1531"/>
        <v>0</v>
      </c>
    </row>
    <row r="550" spans="1:54">
      <c r="A550" s="492">
        <v>306</v>
      </c>
      <c r="B550" s="13"/>
      <c r="C550" s="20"/>
      <c r="D550" s="13"/>
      <c r="E550" s="21" t="s">
        <v>472</v>
      </c>
      <c r="F550" s="22" t="s">
        <v>471</v>
      </c>
      <c r="G550" s="22" t="s">
        <v>1059</v>
      </c>
      <c r="H550" s="265" t="s">
        <v>357</v>
      </c>
      <c r="I550" s="54">
        <v>9.4499999999999993</v>
      </c>
      <c r="J550" s="101"/>
      <c r="K550" s="54">
        <v>9.4499999999999993</v>
      </c>
      <c r="L550" s="162"/>
      <c r="M550" s="54"/>
      <c r="N550" s="162"/>
      <c r="O550" s="54"/>
      <c r="P550" s="101"/>
      <c r="Q550" s="96">
        <f t="shared" si="1506"/>
        <v>0</v>
      </c>
      <c r="R550" s="337">
        <f t="shared" si="1507"/>
        <v>0</v>
      </c>
      <c r="S550" s="96"/>
      <c r="T550" s="96">
        <f t="shared" si="1508"/>
        <v>0</v>
      </c>
      <c r="U550" s="96"/>
      <c r="V550" s="176">
        <f t="shared" si="1509"/>
        <v>0</v>
      </c>
      <c r="W550" s="206"/>
      <c r="X550" s="205">
        <f t="shared" si="1510"/>
        <v>0</v>
      </c>
      <c r="Y550" s="188">
        <f t="shared" si="1511"/>
        <v>0</v>
      </c>
      <c r="Z550" s="176">
        <f t="shared" si="1512"/>
        <v>0</v>
      </c>
      <c r="AA550" s="206"/>
      <c r="AB550" s="205">
        <f t="shared" si="1513"/>
        <v>0</v>
      </c>
      <c r="AC550" s="206"/>
      <c r="AD550" s="176">
        <f t="shared" si="1514"/>
        <v>0</v>
      </c>
      <c r="AE550" s="206"/>
      <c r="AF550" s="205">
        <f t="shared" si="1515"/>
        <v>0</v>
      </c>
      <c r="AG550" s="188">
        <f t="shared" si="1516"/>
        <v>0</v>
      </c>
      <c r="AH550" s="96">
        <f t="shared" si="1517"/>
        <v>0</v>
      </c>
      <c r="AI550" s="96">
        <f t="shared" si="1518"/>
        <v>0</v>
      </c>
      <c r="AJ550" s="176">
        <f t="shared" si="1519"/>
        <v>0</v>
      </c>
      <c r="AK550" s="206"/>
      <c r="AL550" s="176">
        <f t="shared" si="1520"/>
        <v>0</v>
      </c>
      <c r="AM550" s="243"/>
      <c r="AN550" s="176">
        <f t="shared" si="1521"/>
        <v>0</v>
      </c>
      <c r="AO550" s="206"/>
      <c r="AP550" s="205">
        <f t="shared" si="1522"/>
        <v>0</v>
      </c>
      <c r="AQ550" s="188">
        <f t="shared" si="1523"/>
        <v>0</v>
      </c>
      <c r="AR550" s="96">
        <f t="shared" si="1524"/>
        <v>0</v>
      </c>
      <c r="AS550" s="96"/>
      <c r="AT550" s="176">
        <f t="shared" si="1525"/>
        <v>0</v>
      </c>
      <c r="AU550" s="206"/>
      <c r="AV550" s="176">
        <f t="shared" si="1526"/>
        <v>0</v>
      </c>
      <c r="AW550" s="206"/>
      <c r="AX550" s="205">
        <f t="shared" si="1527"/>
        <v>0</v>
      </c>
      <c r="AY550" s="188">
        <f t="shared" si="1528"/>
        <v>0</v>
      </c>
      <c r="AZ550" s="96">
        <f t="shared" si="1529"/>
        <v>0</v>
      </c>
      <c r="BA550" s="96">
        <f t="shared" si="1530"/>
        <v>0</v>
      </c>
      <c r="BB550" s="96">
        <f t="shared" si="1531"/>
        <v>0</v>
      </c>
    </row>
    <row r="551" spans="1:54">
      <c r="A551" s="492">
        <v>307</v>
      </c>
      <c r="B551" s="13"/>
      <c r="C551" s="20"/>
      <c r="D551" s="13"/>
      <c r="E551" s="21" t="s">
        <v>765</v>
      </c>
      <c r="F551" s="22" t="s">
        <v>764</v>
      </c>
      <c r="G551" s="22" t="s">
        <v>1059</v>
      </c>
      <c r="H551" s="265" t="s">
        <v>357</v>
      </c>
      <c r="I551" s="54">
        <v>8.68</v>
      </c>
      <c r="J551" s="101"/>
      <c r="K551" s="54">
        <v>8.68</v>
      </c>
      <c r="L551" s="162"/>
      <c r="M551" s="54"/>
      <c r="N551" s="162"/>
      <c r="O551" s="54"/>
      <c r="P551" s="101"/>
      <c r="Q551" s="96">
        <f t="shared" si="1506"/>
        <v>5.76</v>
      </c>
      <c r="R551" s="337">
        <f t="shared" si="1507"/>
        <v>73.175860195200002</v>
      </c>
      <c r="S551" s="96">
        <v>2.3039999999999998</v>
      </c>
      <c r="T551" s="96">
        <f t="shared" si="1508"/>
        <v>28.871152128000002</v>
      </c>
      <c r="U551" s="96">
        <v>1.008</v>
      </c>
      <c r="V551" s="176">
        <f t="shared" si="1509"/>
        <v>12.583969574399999</v>
      </c>
      <c r="W551" s="206">
        <v>1.3680000000000001</v>
      </c>
      <c r="X551" s="205">
        <f t="shared" si="1510"/>
        <v>17.839501948799999</v>
      </c>
      <c r="Y551" s="188">
        <f t="shared" si="1511"/>
        <v>4.68</v>
      </c>
      <c r="Z551" s="176">
        <f t="shared" si="1512"/>
        <v>59.294623651199998</v>
      </c>
      <c r="AA551" s="206">
        <v>1.08</v>
      </c>
      <c r="AB551" s="205">
        <f t="shared" si="1513"/>
        <v>13.881236544</v>
      </c>
      <c r="AC551" s="206"/>
      <c r="AD551" s="176">
        <f t="shared" si="1514"/>
        <v>0</v>
      </c>
      <c r="AE551" s="206"/>
      <c r="AF551" s="205">
        <f t="shared" si="1515"/>
        <v>0</v>
      </c>
      <c r="AG551" s="188">
        <f t="shared" si="1516"/>
        <v>1.08</v>
      </c>
      <c r="AH551" s="96">
        <f t="shared" si="1517"/>
        <v>13.881236544</v>
      </c>
      <c r="AI551" s="96">
        <f t="shared" si="1518"/>
        <v>5.76</v>
      </c>
      <c r="AJ551" s="176">
        <f t="shared" si="1519"/>
        <v>73.175860195200002</v>
      </c>
      <c r="AK551" s="206"/>
      <c r="AL551" s="176">
        <f t="shared" si="1520"/>
        <v>0</v>
      </c>
      <c r="AM551" s="243"/>
      <c r="AN551" s="176">
        <f t="shared" si="1521"/>
        <v>0</v>
      </c>
      <c r="AO551" s="206"/>
      <c r="AP551" s="205">
        <f t="shared" si="1522"/>
        <v>0</v>
      </c>
      <c r="AQ551" s="188">
        <f t="shared" si="1523"/>
        <v>0</v>
      </c>
      <c r="AR551" s="96">
        <f t="shared" si="1524"/>
        <v>0</v>
      </c>
      <c r="AS551" s="96"/>
      <c r="AT551" s="176">
        <f t="shared" si="1525"/>
        <v>0</v>
      </c>
      <c r="AU551" s="206"/>
      <c r="AV551" s="176">
        <f t="shared" si="1526"/>
        <v>0</v>
      </c>
      <c r="AW551" s="206"/>
      <c r="AX551" s="205">
        <f t="shared" si="1527"/>
        <v>0</v>
      </c>
      <c r="AY551" s="188">
        <f t="shared" si="1528"/>
        <v>0</v>
      </c>
      <c r="AZ551" s="96">
        <f t="shared" si="1529"/>
        <v>0</v>
      </c>
      <c r="BA551" s="96">
        <f t="shared" si="1530"/>
        <v>0</v>
      </c>
      <c r="BB551" s="96">
        <f t="shared" si="1531"/>
        <v>0</v>
      </c>
    </row>
    <row r="552" spans="1:54">
      <c r="A552" s="492">
        <v>308</v>
      </c>
      <c r="B552" s="13"/>
      <c r="C552" s="20"/>
      <c r="D552" s="13"/>
      <c r="E552" s="21" t="s">
        <v>163</v>
      </c>
      <c r="F552" s="22" t="s">
        <v>164</v>
      </c>
      <c r="G552" s="22" t="s">
        <v>1059</v>
      </c>
      <c r="H552" s="265" t="s">
        <v>357</v>
      </c>
      <c r="I552" s="54">
        <v>6.25</v>
      </c>
      <c r="J552" s="101"/>
      <c r="K552" s="54">
        <v>6.25</v>
      </c>
      <c r="L552" s="162"/>
      <c r="M552" s="54"/>
      <c r="N552" s="162"/>
      <c r="O552" s="54"/>
      <c r="P552" s="101"/>
      <c r="Q552" s="96">
        <f t="shared" si="1506"/>
        <v>0</v>
      </c>
      <c r="R552" s="337">
        <f t="shared" si="1507"/>
        <v>0</v>
      </c>
      <c r="S552" s="96"/>
      <c r="T552" s="96">
        <f t="shared" si="1508"/>
        <v>0</v>
      </c>
      <c r="U552" s="96"/>
      <c r="V552" s="176">
        <f t="shared" si="1509"/>
        <v>0</v>
      </c>
      <c r="W552" s="206"/>
      <c r="X552" s="205">
        <f t="shared" si="1510"/>
        <v>0</v>
      </c>
      <c r="Y552" s="188">
        <f t="shared" si="1511"/>
        <v>0</v>
      </c>
      <c r="Z552" s="176">
        <f t="shared" si="1512"/>
        <v>0</v>
      </c>
      <c r="AA552" s="206"/>
      <c r="AB552" s="205">
        <f t="shared" si="1513"/>
        <v>0</v>
      </c>
      <c r="AC552" s="206"/>
      <c r="AD552" s="176">
        <f t="shared" si="1514"/>
        <v>0</v>
      </c>
      <c r="AE552" s="206"/>
      <c r="AF552" s="205">
        <f t="shared" si="1515"/>
        <v>0</v>
      </c>
      <c r="AG552" s="188">
        <f t="shared" si="1516"/>
        <v>0</v>
      </c>
      <c r="AH552" s="96">
        <f t="shared" si="1517"/>
        <v>0</v>
      </c>
      <c r="AI552" s="96">
        <f t="shared" si="1518"/>
        <v>0</v>
      </c>
      <c r="AJ552" s="176">
        <f t="shared" si="1519"/>
        <v>0</v>
      </c>
      <c r="AK552" s="206"/>
      <c r="AL552" s="176">
        <f t="shared" si="1520"/>
        <v>0</v>
      </c>
      <c r="AM552" s="243"/>
      <c r="AN552" s="176">
        <f t="shared" si="1521"/>
        <v>0</v>
      </c>
      <c r="AO552" s="206"/>
      <c r="AP552" s="205">
        <f t="shared" si="1522"/>
        <v>0</v>
      </c>
      <c r="AQ552" s="188">
        <f t="shared" si="1523"/>
        <v>0</v>
      </c>
      <c r="AR552" s="96">
        <f t="shared" si="1524"/>
        <v>0</v>
      </c>
      <c r="AS552" s="96"/>
      <c r="AT552" s="176">
        <f t="shared" si="1525"/>
        <v>0</v>
      </c>
      <c r="AU552" s="206"/>
      <c r="AV552" s="176">
        <f t="shared" si="1526"/>
        <v>0</v>
      </c>
      <c r="AW552" s="206"/>
      <c r="AX552" s="205">
        <f t="shared" si="1527"/>
        <v>0</v>
      </c>
      <c r="AY552" s="188">
        <f t="shared" si="1528"/>
        <v>0</v>
      </c>
      <c r="AZ552" s="96">
        <f t="shared" si="1529"/>
        <v>0</v>
      </c>
      <c r="BA552" s="96">
        <f t="shared" si="1530"/>
        <v>0</v>
      </c>
      <c r="BB552" s="96">
        <f t="shared" si="1531"/>
        <v>0</v>
      </c>
    </row>
    <row r="553" spans="1:54">
      <c r="A553" s="492">
        <v>309</v>
      </c>
      <c r="B553" s="13"/>
      <c r="C553" s="20"/>
      <c r="D553" s="13"/>
      <c r="E553" s="21" t="s">
        <v>165</v>
      </c>
      <c r="F553" s="22" t="s">
        <v>166</v>
      </c>
      <c r="G553" s="22" t="s">
        <v>1059</v>
      </c>
      <c r="H553" s="265" t="s">
        <v>357</v>
      </c>
      <c r="I553" s="54">
        <v>8.07</v>
      </c>
      <c r="J553" s="101"/>
      <c r="K553" s="54">
        <v>8.07</v>
      </c>
      <c r="L553" s="162"/>
      <c r="M553" s="54"/>
      <c r="N553" s="162"/>
      <c r="O553" s="54"/>
      <c r="P553" s="101"/>
      <c r="Q553" s="96">
        <f t="shared" si="1506"/>
        <v>0</v>
      </c>
      <c r="R553" s="337">
        <f t="shared" si="1507"/>
        <v>0</v>
      </c>
      <c r="S553" s="96"/>
      <c r="T553" s="96">
        <f t="shared" si="1508"/>
        <v>0</v>
      </c>
      <c r="U553" s="96"/>
      <c r="V553" s="176">
        <f t="shared" si="1509"/>
        <v>0</v>
      </c>
      <c r="W553" s="206"/>
      <c r="X553" s="205">
        <f t="shared" si="1510"/>
        <v>0</v>
      </c>
      <c r="Y553" s="188">
        <f t="shared" si="1511"/>
        <v>0</v>
      </c>
      <c r="Z553" s="176">
        <f t="shared" si="1512"/>
        <v>0</v>
      </c>
      <c r="AA553" s="206"/>
      <c r="AB553" s="205">
        <f t="shared" si="1513"/>
        <v>0</v>
      </c>
      <c r="AC553" s="206"/>
      <c r="AD553" s="176">
        <f t="shared" si="1514"/>
        <v>0</v>
      </c>
      <c r="AE553" s="206"/>
      <c r="AF553" s="205">
        <f t="shared" si="1515"/>
        <v>0</v>
      </c>
      <c r="AG553" s="188">
        <f t="shared" si="1516"/>
        <v>0</v>
      </c>
      <c r="AH553" s="96">
        <f t="shared" si="1517"/>
        <v>0</v>
      </c>
      <c r="AI553" s="96">
        <f t="shared" si="1518"/>
        <v>0</v>
      </c>
      <c r="AJ553" s="176">
        <f t="shared" si="1519"/>
        <v>0</v>
      </c>
      <c r="AK553" s="206"/>
      <c r="AL553" s="176">
        <f t="shared" si="1520"/>
        <v>0</v>
      </c>
      <c r="AM553" s="243"/>
      <c r="AN553" s="176">
        <f t="shared" si="1521"/>
        <v>0</v>
      </c>
      <c r="AO553" s="206"/>
      <c r="AP553" s="205">
        <f t="shared" si="1522"/>
        <v>0</v>
      </c>
      <c r="AQ553" s="188">
        <f t="shared" si="1523"/>
        <v>0</v>
      </c>
      <c r="AR553" s="96">
        <f t="shared" si="1524"/>
        <v>0</v>
      </c>
      <c r="AS553" s="96"/>
      <c r="AT553" s="176">
        <f t="shared" si="1525"/>
        <v>0</v>
      </c>
      <c r="AU553" s="206"/>
      <c r="AV553" s="176">
        <f t="shared" si="1526"/>
        <v>0</v>
      </c>
      <c r="AW553" s="206"/>
      <c r="AX553" s="205">
        <f t="shared" si="1527"/>
        <v>0</v>
      </c>
      <c r="AY553" s="188">
        <f t="shared" si="1528"/>
        <v>0</v>
      </c>
      <c r="AZ553" s="96">
        <f t="shared" si="1529"/>
        <v>0</v>
      </c>
      <c r="BA553" s="96">
        <f t="shared" si="1530"/>
        <v>0</v>
      </c>
      <c r="BB553" s="96">
        <f t="shared" si="1531"/>
        <v>0</v>
      </c>
    </row>
    <row r="554" spans="1:54">
      <c r="A554" s="492">
        <v>310</v>
      </c>
      <c r="B554" s="13"/>
      <c r="C554" s="20"/>
      <c r="D554" s="13"/>
      <c r="E554" s="21" t="s">
        <v>167</v>
      </c>
      <c r="F554" s="22" t="s">
        <v>168</v>
      </c>
      <c r="G554" s="22" t="s">
        <v>1059</v>
      </c>
      <c r="H554" s="265" t="s">
        <v>357</v>
      </c>
      <c r="I554" s="54">
        <v>14.18</v>
      </c>
      <c r="J554" s="101"/>
      <c r="K554" s="54">
        <v>14.18</v>
      </c>
      <c r="L554" s="162"/>
      <c r="M554" s="54"/>
      <c r="N554" s="162"/>
      <c r="O554" s="54"/>
      <c r="P554" s="101"/>
      <c r="Q554" s="96">
        <f t="shared" si="1506"/>
        <v>0</v>
      </c>
      <c r="R554" s="337">
        <f t="shared" si="1507"/>
        <v>0</v>
      </c>
      <c r="S554" s="96"/>
      <c r="T554" s="96">
        <f t="shared" si="1508"/>
        <v>0</v>
      </c>
      <c r="U554" s="96"/>
      <c r="V554" s="176">
        <f t="shared" si="1509"/>
        <v>0</v>
      </c>
      <c r="W554" s="206"/>
      <c r="X554" s="205">
        <f t="shared" si="1510"/>
        <v>0</v>
      </c>
      <c r="Y554" s="188">
        <f t="shared" si="1511"/>
        <v>0</v>
      </c>
      <c r="Z554" s="176">
        <f t="shared" si="1512"/>
        <v>0</v>
      </c>
      <c r="AA554" s="206"/>
      <c r="AB554" s="205">
        <f t="shared" si="1513"/>
        <v>0</v>
      </c>
      <c r="AC554" s="206"/>
      <c r="AD554" s="176">
        <f t="shared" si="1514"/>
        <v>0</v>
      </c>
      <c r="AE554" s="206"/>
      <c r="AF554" s="205">
        <f t="shared" si="1515"/>
        <v>0</v>
      </c>
      <c r="AG554" s="188">
        <f t="shared" si="1516"/>
        <v>0</v>
      </c>
      <c r="AH554" s="96">
        <f t="shared" si="1517"/>
        <v>0</v>
      </c>
      <c r="AI554" s="96">
        <f t="shared" si="1518"/>
        <v>0</v>
      </c>
      <c r="AJ554" s="176">
        <f t="shared" si="1519"/>
        <v>0</v>
      </c>
      <c r="AK554" s="206"/>
      <c r="AL554" s="176">
        <f t="shared" si="1520"/>
        <v>0</v>
      </c>
      <c r="AM554" s="243"/>
      <c r="AN554" s="176">
        <f t="shared" si="1521"/>
        <v>0</v>
      </c>
      <c r="AO554" s="206"/>
      <c r="AP554" s="205">
        <f t="shared" si="1522"/>
        <v>0</v>
      </c>
      <c r="AQ554" s="188">
        <f t="shared" si="1523"/>
        <v>0</v>
      </c>
      <c r="AR554" s="96">
        <f t="shared" si="1524"/>
        <v>0</v>
      </c>
      <c r="AS554" s="96"/>
      <c r="AT554" s="176">
        <f t="shared" si="1525"/>
        <v>0</v>
      </c>
      <c r="AU554" s="206"/>
      <c r="AV554" s="176">
        <f t="shared" si="1526"/>
        <v>0</v>
      </c>
      <c r="AW554" s="206"/>
      <c r="AX554" s="205">
        <f t="shared" si="1527"/>
        <v>0</v>
      </c>
      <c r="AY554" s="188">
        <f t="shared" si="1528"/>
        <v>0</v>
      </c>
      <c r="AZ554" s="96">
        <f t="shared" si="1529"/>
        <v>0</v>
      </c>
      <c r="BA554" s="96">
        <f t="shared" si="1530"/>
        <v>0</v>
      </c>
      <c r="BB554" s="96">
        <f t="shared" si="1531"/>
        <v>0</v>
      </c>
    </row>
    <row r="555" spans="1:54">
      <c r="A555" s="492">
        <v>311</v>
      </c>
      <c r="B555" s="13"/>
      <c r="C555" s="20"/>
      <c r="D555" s="13"/>
      <c r="E555" s="21" t="s">
        <v>169</v>
      </c>
      <c r="F555" s="22" t="s">
        <v>170</v>
      </c>
      <c r="G555" s="22" t="s">
        <v>1059</v>
      </c>
      <c r="H555" s="265" t="s">
        <v>357</v>
      </c>
      <c r="I555" s="54">
        <v>23.32</v>
      </c>
      <c r="J555" s="101"/>
      <c r="K555" s="54">
        <v>23.32</v>
      </c>
      <c r="L555" s="162"/>
      <c r="M555" s="54"/>
      <c r="N555" s="162"/>
      <c r="O555" s="54"/>
      <c r="P555" s="101"/>
      <c r="Q555" s="96">
        <f t="shared" si="1506"/>
        <v>0</v>
      </c>
      <c r="R555" s="337">
        <f t="shared" si="1507"/>
        <v>0</v>
      </c>
      <c r="S555" s="96"/>
      <c r="T555" s="96">
        <f t="shared" si="1508"/>
        <v>0</v>
      </c>
      <c r="U555" s="96"/>
      <c r="V555" s="176">
        <f t="shared" si="1509"/>
        <v>0</v>
      </c>
      <c r="W555" s="206"/>
      <c r="X555" s="205">
        <f t="shared" si="1510"/>
        <v>0</v>
      </c>
      <c r="Y555" s="188">
        <f t="shared" si="1511"/>
        <v>0</v>
      </c>
      <c r="Z555" s="176">
        <f t="shared" si="1512"/>
        <v>0</v>
      </c>
      <c r="AA555" s="206"/>
      <c r="AB555" s="205">
        <f t="shared" si="1513"/>
        <v>0</v>
      </c>
      <c r="AC555" s="206"/>
      <c r="AD555" s="176">
        <f t="shared" si="1514"/>
        <v>0</v>
      </c>
      <c r="AE555" s="206"/>
      <c r="AF555" s="205">
        <f t="shared" si="1515"/>
        <v>0</v>
      </c>
      <c r="AG555" s="188">
        <f t="shared" si="1516"/>
        <v>0</v>
      </c>
      <c r="AH555" s="96">
        <f t="shared" si="1517"/>
        <v>0</v>
      </c>
      <c r="AI555" s="96">
        <f t="shared" si="1518"/>
        <v>0</v>
      </c>
      <c r="AJ555" s="176">
        <f t="shared" si="1519"/>
        <v>0</v>
      </c>
      <c r="AK555" s="206"/>
      <c r="AL555" s="176">
        <f t="shared" si="1520"/>
        <v>0</v>
      </c>
      <c r="AM555" s="243"/>
      <c r="AN555" s="176">
        <f t="shared" si="1521"/>
        <v>0</v>
      </c>
      <c r="AO555" s="206"/>
      <c r="AP555" s="205">
        <f t="shared" si="1522"/>
        <v>0</v>
      </c>
      <c r="AQ555" s="188">
        <f t="shared" si="1523"/>
        <v>0</v>
      </c>
      <c r="AR555" s="96">
        <f t="shared" si="1524"/>
        <v>0</v>
      </c>
      <c r="AS555" s="96"/>
      <c r="AT555" s="176">
        <f t="shared" si="1525"/>
        <v>0</v>
      </c>
      <c r="AU555" s="206"/>
      <c r="AV555" s="176">
        <f t="shared" si="1526"/>
        <v>0</v>
      </c>
      <c r="AW555" s="206"/>
      <c r="AX555" s="205">
        <f t="shared" si="1527"/>
        <v>0</v>
      </c>
      <c r="AY555" s="188">
        <f t="shared" si="1528"/>
        <v>0</v>
      </c>
      <c r="AZ555" s="96">
        <f t="shared" si="1529"/>
        <v>0</v>
      </c>
      <c r="BA555" s="96">
        <f t="shared" si="1530"/>
        <v>0</v>
      </c>
      <c r="BB555" s="96">
        <f t="shared" si="1531"/>
        <v>0</v>
      </c>
    </row>
    <row r="556" spans="1:54">
      <c r="A556" s="492">
        <v>312</v>
      </c>
      <c r="B556" s="13"/>
      <c r="C556" s="20"/>
      <c r="D556" s="13"/>
      <c r="E556" s="21" t="s">
        <v>171</v>
      </c>
      <c r="F556" s="22" t="s">
        <v>172</v>
      </c>
      <c r="G556" s="22" t="s">
        <v>1059</v>
      </c>
      <c r="H556" s="265" t="s">
        <v>357</v>
      </c>
      <c r="I556" s="54">
        <v>24.39</v>
      </c>
      <c r="J556" s="101"/>
      <c r="K556" s="54">
        <v>24.39</v>
      </c>
      <c r="L556" s="162"/>
      <c r="M556" s="54"/>
      <c r="N556" s="162"/>
      <c r="O556" s="54"/>
      <c r="P556" s="101"/>
      <c r="Q556" s="96">
        <f t="shared" si="1506"/>
        <v>0</v>
      </c>
      <c r="R556" s="337">
        <f t="shared" si="1507"/>
        <v>0</v>
      </c>
      <c r="S556" s="96"/>
      <c r="T556" s="96">
        <f t="shared" si="1508"/>
        <v>0</v>
      </c>
      <c r="U556" s="96"/>
      <c r="V556" s="176">
        <f t="shared" si="1509"/>
        <v>0</v>
      </c>
      <c r="W556" s="206"/>
      <c r="X556" s="205">
        <f t="shared" si="1510"/>
        <v>0</v>
      </c>
      <c r="Y556" s="188">
        <f t="shared" si="1511"/>
        <v>0</v>
      </c>
      <c r="Z556" s="176">
        <f t="shared" si="1512"/>
        <v>0</v>
      </c>
      <c r="AA556" s="206"/>
      <c r="AB556" s="205">
        <f t="shared" si="1513"/>
        <v>0</v>
      </c>
      <c r="AC556" s="206"/>
      <c r="AD556" s="176">
        <f t="shared" si="1514"/>
        <v>0</v>
      </c>
      <c r="AE556" s="206"/>
      <c r="AF556" s="205">
        <f t="shared" si="1515"/>
        <v>0</v>
      </c>
      <c r="AG556" s="188">
        <f t="shared" si="1516"/>
        <v>0</v>
      </c>
      <c r="AH556" s="96">
        <f t="shared" si="1517"/>
        <v>0</v>
      </c>
      <c r="AI556" s="96">
        <f t="shared" si="1518"/>
        <v>0</v>
      </c>
      <c r="AJ556" s="176">
        <f t="shared" si="1519"/>
        <v>0</v>
      </c>
      <c r="AK556" s="206"/>
      <c r="AL556" s="176">
        <f t="shared" si="1520"/>
        <v>0</v>
      </c>
      <c r="AM556" s="243"/>
      <c r="AN556" s="176">
        <f t="shared" si="1521"/>
        <v>0</v>
      </c>
      <c r="AO556" s="206"/>
      <c r="AP556" s="205">
        <f t="shared" si="1522"/>
        <v>0</v>
      </c>
      <c r="AQ556" s="188">
        <f t="shared" si="1523"/>
        <v>0</v>
      </c>
      <c r="AR556" s="96">
        <f t="shared" si="1524"/>
        <v>0</v>
      </c>
      <c r="AS556" s="96"/>
      <c r="AT556" s="176">
        <f t="shared" si="1525"/>
        <v>0</v>
      </c>
      <c r="AU556" s="206"/>
      <c r="AV556" s="176">
        <f t="shared" si="1526"/>
        <v>0</v>
      </c>
      <c r="AW556" s="206"/>
      <c r="AX556" s="205">
        <f t="shared" si="1527"/>
        <v>0</v>
      </c>
      <c r="AY556" s="188">
        <f t="shared" si="1528"/>
        <v>0</v>
      </c>
      <c r="AZ556" s="96">
        <f t="shared" si="1529"/>
        <v>0</v>
      </c>
      <c r="BA556" s="96">
        <f t="shared" si="1530"/>
        <v>0</v>
      </c>
      <c r="BB556" s="96">
        <f t="shared" si="1531"/>
        <v>0</v>
      </c>
    </row>
    <row r="557" spans="1:54">
      <c r="A557" s="492">
        <v>313</v>
      </c>
      <c r="B557" s="13"/>
      <c r="C557" s="20"/>
      <c r="D557" s="13"/>
      <c r="E557" s="21" t="s">
        <v>1126</v>
      </c>
      <c r="F557" s="22" t="s">
        <v>926</v>
      </c>
      <c r="G557" s="22" t="s">
        <v>1056</v>
      </c>
      <c r="H557" s="265" t="s">
        <v>357</v>
      </c>
      <c r="I557" s="54">
        <v>26.3</v>
      </c>
      <c r="J557" s="101"/>
      <c r="K557" s="54">
        <v>26.3</v>
      </c>
      <c r="L557" s="162"/>
      <c r="M557" s="54"/>
      <c r="N557" s="162"/>
      <c r="O557" s="54"/>
      <c r="P557" s="101"/>
      <c r="Q557" s="96">
        <f t="shared" si="1506"/>
        <v>1.512</v>
      </c>
      <c r="R557" s="337">
        <f t="shared" si="1507"/>
        <v>58.041604656000004</v>
      </c>
      <c r="S557" s="96">
        <v>0.28799999999999998</v>
      </c>
      <c r="T557" s="96">
        <f t="shared" si="1508"/>
        <v>10.93478256</v>
      </c>
      <c r="U557" s="96">
        <v>0.64800000000000002</v>
      </c>
      <c r="V557" s="176">
        <f t="shared" si="1509"/>
        <v>24.511402224000001</v>
      </c>
      <c r="W557" s="206">
        <v>0.28799999999999998</v>
      </c>
      <c r="X557" s="205">
        <f t="shared" si="1510"/>
        <v>11.379551328</v>
      </c>
      <c r="Y557" s="188">
        <f t="shared" si="1511"/>
        <v>1.224</v>
      </c>
      <c r="Z557" s="176">
        <f t="shared" si="1512"/>
        <v>46.825736112000001</v>
      </c>
      <c r="AA557" s="206">
        <v>0.28799999999999998</v>
      </c>
      <c r="AB557" s="205">
        <f t="shared" si="1513"/>
        <v>11.215868543999999</v>
      </c>
      <c r="AC557" s="206"/>
      <c r="AD557" s="176">
        <f t="shared" si="1514"/>
        <v>0</v>
      </c>
      <c r="AE557" s="206"/>
      <c r="AF557" s="205">
        <f t="shared" si="1515"/>
        <v>0</v>
      </c>
      <c r="AG557" s="188">
        <f t="shared" si="1516"/>
        <v>0.28799999999999998</v>
      </c>
      <c r="AH557" s="96">
        <f t="shared" si="1517"/>
        <v>11.215868543999999</v>
      </c>
      <c r="AI557" s="96">
        <f t="shared" si="1518"/>
        <v>1.512</v>
      </c>
      <c r="AJ557" s="176">
        <f t="shared" si="1519"/>
        <v>58.041604656000004</v>
      </c>
      <c r="AK557" s="206"/>
      <c r="AL557" s="176">
        <f t="shared" si="1520"/>
        <v>0</v>
      </c>
      <c r="AM557" s="243"/>
      <c r="AN557" s="176">
        <f t="shared" si="1521"/>
        <v>0</v>
      </c>
      <c r="AO557" s="206"/>
      <c r="AP557" s="205">
        <f t="shared" si="1522"/>
        <v>0</v>
      </c>
      <c r="AQ557" s="188">
        <f t="shared" si="1523"/>
        <v>0</v>
      </c>
      <c r="AR557" s="96">
        <f t="shared" si="1524"/>
        <v>0</v>
      </c>
      <c r="AS557" s="96"/>
      <c r="AT557" s="176">
        <f t="shared" si="1525"/>
        <v>0</v>
      </c>
      <c r="AU557" s="206"/>
      <c r="AV557" s="176">
        <f t="shared" si="1526"/>
        <v>0</v>
      </c>
      <c r="AW557" s="206"/>
      <c r="AX557" s="205">
        <f t="shared" si="1527"/>
        <v>0</v>
      </c>
      <c r="AY557" s="188">
        <f t="shared" si="1528"/>
        <v>0</v>
      </c>
      <c r="AZ557" s="96">
        <f t="shared" si="1529"/>
        <v>0</v>
      </c>
      <c r="BA557" s="96">
        <f t="shared" si="1530"/>
        <v>0</v>
      </c>
      <c r="BB557" s="96">
        <f t="shared" si="1531"/>
        <v>0</v>
      </c>
    </row>
    <row r="558" spans="1:54">
      <c r="A558" s="492">
        <v>314</v>
      </c>
      <c r="B558" s="13"/>
      <c r="C558" s="20"/>
      <c r="D558" s="13"/>
      <c r="E558" s="21" t="s">
        <v>173</v>
      </c>
      <c r="F558" s="22" t="s">
        <v>174</v>
      </c>
      <c r="G558" s="22" t="s">
        <v>1060</v>
      </c>
      <c r="H558" s="265" t="s">
        <v>357</v>
      </c>
      <c r="I558" s="54">
        <v>8.7799999999999994</v>
      </c>
      <c r="J558" s="101"/>
      <c r="K558" s="54">
        <v>8.7799999999999994</v>
      </c>
      <c r="L558" s="162"/>
      <c r="M558" s="54"/>
      <c r="N558" s="162"/>
      <c r="O558" s="54"/>
      <c r="P558" s="101"/>
      <c r="Q558" s="96">
        <f t="shared" si="1506"/>
        <v>0</v>
      </c>
      <c r="R558" s="337">
        <f t="shared" si="1507"/>
        <v>0</v>
      </c>
      <c r="S558" s="96"/>
      <c r="T558" s="96">
        <f t="shared" si="1508"/>
        <v>0</v>
      </c>
      <c r="U558" s="96"/>
      <c r="V558" s="176">
        <f t="shared" si="1509"/>
        <v>0</v>
      </c>
      <c r="W558" s="206"/>
      <c r="X558" s="205">
        <f t="shared" si="1510"/>
        <v>0</v>
      </c>
      <c r="Y558" s="188">
        <f t="shared" si="1511"/>
        <v>0</v>
      </c>
      <c r="Z558" s="176">
        <f t="shared" si="1512"/>
        <v>0</v>
      </c>
      <c r="AA558" s="206"/>
      <c r="AB558" s="205">
        <f t="shared" si="1513"/>
        <v>0</v>
      </c>
      <c r="AC558" s="206"/>
      <c r="AD558" s="176">
        <f t="shared" si="1514"/>
        <v>0</v>
      </c>
      <c r="AE558" s="206"/>
      <c r="AF558" s="205">
        <f t="shared" si="1515"/>
        <v>0</v>
      </c>
      <c r="AG558" s="188">
        <f t="shared" si="1516"/>
        <v>0</v>
      </c>
      <c r="AH558" s="96">
        <f t="shared" si="1517"/>
        <v>0</v>
      </c>
      <c r="AI558" s="96">
        <f t="shared" si="1518"/>
        <v>0</v>
      </c>
      <c r="AJ558" s="176">
        <f t="shared" si="1519"/>
        <v>0</v>
      </c>
      <c r="AK558" s="206"/>
      <c r="AL558" s="176">
        <f t="shared" si="1520"/>
        <v>0</v>
      </c>
      <c r="AM558" s="243"/>
      <c r="AN558" s="176">
        <f t="shared" si="1521"/>
        <v>0</v>
      </c>
      <c r="AO558" s="206"/>
      <c r="AP558" s="205">
        <f t="shared" si="1522"/>
        <v>0</v>
      </c>
      <c r="AQ558" s="188">
        <f t="shared" si="1523"/>
        <v>0</v>
      </c>
      <c r="AR558" s="96">
        <f t="shared" si="1524"/>
        <v>0</v>
      </c>
      <c r="AS558" s="96"/>
      <c r="AT558" s="176">
        <f t="shared" si="1525"/>
        <v>0</v>
      </c>
      <c r="AU558" s="206"/>
      <c r="AV558" s="176">
        <f t="shared" si="1526"/>
        <v>0</v>
      </c>
      <c r="AW558" s="206"/>
      <c r="AX558" s="205">
        <f t="shared" si="1527"/>
        <v>0</v>
      </c>
      <c r="AY558" s="188">
        <f t="shared" si="1528"/>
        <v>0</v>
      </c>
      <c r="AZ558" s="96">
        <f t="shared" si="1529"/>
        <v>0</v>
      </c>
      <c r="BA558" s="96">
        <f t="shared" si="1530"/>
        <v>0</v>
      </c>
      <c r="BB558" s="96">
        <f t="shared" si="1531"/>
        <v>0</v>
      </c>
    </row>
    <row r="559" spans="1:54">
      <c r="A559" s="492">
        <v>315</v>
      </c>
      <c r="B559" s="13"/>
      <c r="C559" s="20"/>
      <c r="D559" s="13"/>
      <c r="E559" s="21" t="s">
        <v>175</v>
      </c>
      <c r="F559" s="22" t="s">
        <v>176</v>
      </c>
      <c r="G559" s="22" t="s">
        <v>1060</v>
      </c>
      <c r="H559" s="265" t="s">
        <v>357</v>
      </c>
      <c r="I559" s="54">
        <v>10.1</v>
      </c>
      <c r="J559" s="101"/>
      <c r="K559" s="54">
        <v>10.1</v>
      </c>
      <c r="L559" s="162"/>
      <c r="M559" s="54"/>
      <c r="N559" s="162"/>
      <c r="O559" s="54"/>
      <c r="P559" s="101"/>
      <c r="Q559" s="96">
        <f t="shared" si="1506"/>
        <v>0</v>
      </c>
      <c r="R559" s="337">
        <f t="shared" si="1507"/>
        <v>0</v>
      </c>
      <c r="S559" s="96"/>
      <c r="T559" s="96">
        <f t="shared" si="1508"/>
        <v>0</v>
      </c>
      <c r="U559" s="96"/>
      <c r="V559" s="176">
        <f t="shared" si="1509"/>
        <v>0</v>
      </c>
      <c r="W559" s="206"/>
      <c r="X559" s="205">
        <f t="shared" si="1510"/>
        <v>0</v>
      </c>
      <c r="Y559" s="188">
        <f t="shared" si="1511"/>
        <v>0</v>
      </c>
      <c r="Z559" s="176">
        <f t="shared" si="1512"/>
        <v>0</v>
      </c>
      <c r="AA559" s="206"/>
      <c r="AB559" s="205">
        <f t="shared" si="1513"/>
        <v>0</v>
      </c>
      <c r="AC559" s="206"/>
      <c r="AD559" s="176">
        <f t="shared" si="1514"/>
        <v>0</v>
      </c>
      <c r="AE559" s="206"/>
      <c r="AF559" s="205">
        <f t="shared" si="1515"/>
        <v>0</v>
      </c>
      <c r="AG559" s="188">
        <f t="shared" si="1516"/>
        <v>0</v>
      </c>
      <c r="AH559" s="96">
        <f t="shared" si="1517"/>
        <v>0</v>
      </c>
      <c r="AI559" s="96">
        <f t="shared" si="1518"/>
        <v>0</v>
      </c>
      <c r="AJ559" s="176">
        <f t="shared" si="1519"/>
        <v>0</v>
      </c>
      <c r="AK559" s="206"/>
      <c r="AL559" s="176">
        <f t="shared" si="1520"/>
        <v>0</v>
      </c>
      <c r="AM559" s="243"/>
      <c r="AN559" s="176">
        <f t="shared" si="1521"/>
        <v>0</v>
      </c>
      <c r="AO559" s="206"/>
      <c r="AP559" s="205">
        <f t="shared" si="1522"/>
        <v>0</v>
      </c>
      <c r="AQ559" s="188">
        <f t="shared" si="1523"/>
        <v>0</v>
      </c>
      <c r="AR559" s="96">
        <f t="shared" si="1524"/>
        <v>0</v>
      </c>
      <c r="AS559" s="96"/>
      <c r="AT559" s="176">
        <f t="shared" si="1525"/>
        <v>0</v>
      </c>
      <c r="AU559" s="206"/>
      <c r="AV559" s="176">
        <f t="shared" si="1526"/>
        <v>0</v>
      </c>
      <c r="AW559" s="206"/>
      <c r="AX559" s="205">
        <f t="shared" si="1527"/>
        <v>0</v>
      </c>
      <c r="AY559" s="188">
        <f t="shared" si="1528"/>
        <v>0</v>
      </c>
      <c r="AZ559" s="96">
        <f t="shared" si="1529"/>
        <v>0</v>
      </c>
      <c r="BA559" s="96">
        <f t="shared" si="1530"/>
        <v>0</v>
      </c>
      <c r="BB559" s="96">
        <f t="shared" si="1531"/>
        <v>0</v>
      </c>
    </row>
    <row r="560" spans="1:54">
      <c r="A560" s="492">
        <v>316</v>
      </c>
      <c r="B560" s="13"/>
      <c r="C560" s="20"/>
      <c r="D560" s="13"/>
      <c r="E560" s="21" t="s">
        <v>177</v>
      </c>
      <c r="F560" s="22" t="s">
        <v>178</v>
      </c>
      <c r="G560" s="22" t="s">
        <v>1060</v>
      </c>
      <c r="H560" s="265" t="s">
        <v>357</v>
      </c>
      <c r="I560" s="54">
        <v>8.8000000000000007</v>
      </c>
      <c r="J560" s="101"/>
      <c r="K560" s="54">
        <v>8.8000000000000007</v>
      </c>
      <c r="L560" s="162"/>
      <c r="M560" s="54"/>
      <c r="N560" s="162"/>
      <c r="O560" s="54"/>
      <c r="P560" s="101"/>
      <c r="Q560" s="96">
        <f t="shared" si="1506"/>
        <v>0.96</v>
      </c>
      <c r="R560" s="337">
        <f t="shared" si="1507"/>
        <v>12.534155040000002</v>
      </c>
      <c r="S560" s="96">
        <v>0.24</v>
      </c>
      <c r="T560" s="96">
        <f t="shared" si="1508"/>
        <v>3.0489888000000005</v>
      </c>
      <c r="U560" s="96">
        <v>0.06</v>
      </c>
      <c r="V560" s="176">
        <f t="shared" si="1509"/>
        <v>0.75940128000000007</v>
      </c>
      <c r="W560" s="206">
        <v>0.66</v>
      </c>
      <c r="X560" s="205">
        <f t="shared" si="1510"/>
        <v>8.7257649600000011</v>
      </c>
      <c r="Y560" s="188">
        <f t="shared" si="1511"/>
        <v>0.96</v>
      </c>
      <c r="Z560" s="176">
        <f t="shared" si="1512"/>
        <v>12.534155040000002</v>
      </c>
      <c r="AA560" s="206"/>
      <c r="AB560" s="205">
        <f t="shared" si="1513"/>
        <v>0</v>
      </c>
      <c r="AC560" s="206"/>
      <c r="AD560" s="176">
        <f t="shared" si="1514"/>
        <v>0</v>
      </c>
      <c r="AE560" s="206"/>
      <c r="AF560" s="205">
        <f t="shared" si="1515"/>
        <v>0</v>
      </c>
      <c r="AG560" s="188">
        <f t="shared" si="1516"/>
        <v>0</v>
      </c>
      <c r="AH560" s="96">
        <f t="shared" si="1517"/>
        <v>0</v>
      </c>
      <c r="AI560" s="96">
        <f t="shared" si="1518"/>
        <v>0.96</v>
      </c>
      <c r="AJ560" s="176">
        <f t="shared" si="1519"/>
        <v>12.534155040000002</v>
      </c>
      <c r="AK560" s="206"/>
      <c r="AL560" s="176">
        <f t="shared" si="1520"/>
        <v>0</v>
      </c>
      <c r="AM560" s="243"/>
      <c r="AN560" s="176">
        <f t="shared" si="1521"/>
        <v>0</v>
      </c>
      <c r="AO560" s="206"/>
      <c r="AP560" s="205">
        <f t="shared" si="1522"/>
        <v>0</v>
      </c>
      <c r="AQ560" s="188">
        <f t="shared" si="1523"/>
        <v>0</v>
      </c>
      <c r="AR560" s="96">
        <f t="shared" si="1524"/>
        <v>0</v>
      </c>
      <c r="AS560" s="96"/>
      <c r="AT560" s="176">
        <f t="shared" si="1525"/>
        <v>0</v>
      </c>
      <c r="AU560" s="206"/>
      <c r="AV560" s="176">
        <f t="shared" si="1526"/>
        <v>0</v>
      </c>
      <c r="AW560" s="206"/>
      <c r="AX560" s="205">
        <f t="shared" si="1527"/>
        <v>0</v>
      </c>
      <c r="AY560" s="188">
        <f t="shared" si="1528"/>
        <v>0</v>
      </c>
      <c r="AZ560" s="96">
        <f t="shared" si="1529"/>
        <v>0</v>
      </c>
      <c r="BA560" s="96">
        <f t="shared" si="1530"/>
        <v>0</v>
      </c>
      <c r="BB560" s="96">
        <f t="shared" si="1531"/>
        <v>0</v>
      </c>
    </row>
    <row r="561" spans="1:54">
      <c r="A561" s="492">
        <v>317</v>
      </c>
      <c r="B561" s="13"/>
      <c r="C561" s="20"/>
      <c r="D561" s="13"/>
      <c r="E561" s="21" t="s">
        <v>179</v>
      </c>
      <c r="F561" s="22" t="s">
        <v>180</v>
      </c>
      <c r="G561" s="22" t="s">
        <v>1060</v>
      </c>
      <c r="H561" s="265" t="s">
        <v>357</v>
      </c>
      <c r="I561" s="54">
        <v>5.35</v>
      </c>
      <c r="J561" s="101"/>
      <c r="K561" s="54">
        <v>5.35</v>
      </c>
      <c r="L561" s="162"/>
      <c r="M561" s="54"/>
      <c r="N561" s="162"/>
      <c r="O561" s="54"/>
      <c r="P561" s="101"/>
      <c r="Q561" s="96">
        <f t="shared" si="1506"/>
        <v>1.2000000000000002</v>
      </c>
      <c r="R561" s="337">
        <f t="shared" si="1507"/>
        <v>9.5147866799999985</v>
      </c>
      <c r="S561" s="96">
        <v>0.24</v>
      </c>
      <c r="T561" s="96">
        <f t="shared" si="1508"/>
        <v>1.8536465999999998</v>
      </c>
      <c r="U561" s="96">
        <v>0.12</v>
      </c>
      <c r="V561" s="176">
        <f t="shared" si="1509"/>
        <v>0.92336291999999975</v>
      </c>
      <c r="W561" s="206">
        <v>0.72</v>
      </c>
      <c r="X561" s="205">
        <f t="shared" si="1510"/>
        <v>5.7871292399999987</v>
      </c>
      <c r="Y561" s="188">
        <f t="shared" si="1511"/>
        <v>1.08</v>
      </c>
      <c r="Z561" s="176">
        <f t="shared" si="1512"/>
        <v>8.5641387599999987</v>
      </c>
      <c r="AA561" s="206">
        <v>0.12</v>
      </c>
      <c r="AB561" s="205">
        <f t="shared" si="1513"/>
        <v>0.95064791999999987</v>
      </c>
      <c r="AC561" s="206"/>
      <c r="AD561" s="176">
        <f t="shared" si="1514"/>
        <v>0</v>
      </c>
      <c r="AE561" s="206"/>
      <c r="AF561" s="205">
        <f t="shared" si="1515"/>
        <v>0</v>
      </c>
      <c r="AG561" s="188">
        <f t="shared" si="1516"/>
        <v>0.12</v>
      </c>
      <c r="AH561" s="96">
        <f t="shared" si="1517"/>
        <v>0.95064791999999987</v>
      </c>
      <c r="AI561" s="96">
        <f t="shared" si="1518"/>
        <v>1.2000000000000002</v>
      </c>
      <c r="AJ561" s="176">
        <f t="shared" si="1519"/>
        <v>9.5147866799999985</v>
      </c>
      <c r="AK561" s="206"/>
      <c r="AL561" s="176">
        <f>M561*AK561*$AL$2/1000</f>
        <v>0</v>
      </c>
      <c r="AM561" s="243"/>
      <c r="AN561" s="176">
        <f t="shared" si="1521"/>
        <v>0</v>
      </c>
      <c r="AO561" s="206"/>
      <c r="AP561" s="205">
        <f t="shared" si="1522"/>
        <v>0</v>
      </c>
      <c r="AQ561" s="188">
        <f>SUM(AK561+AM561+AO561)</f>
        <v>0</v>
      </c>
      <c r="AR561" s="96">
        <f t="shared" si="1524"/>
        <v>0</v>
      </c>
      <c r="AS561" s="96"/>
      <c r="AT561" s="176">
        <f t="shared" si="1525"/>
        <v>0</v>
      </c>
      <c r="AU561" s="206"/>
      <c r="AV561" s="176">
        <f t="shared" si="1526"/>
        <v>0</v>
      </c>
      <c r="AW561" s="206"/>
      <c r="AX561" s="205">
        <f t="shared" si="1527"/>
        <v>0</v>
      </c>
      <c r="AY561" s="188">
        <f t="shared" si="1528"/>
        <v>0</v>
      </c>
      <c r="AZ561" s="96">
        <f t="shared" si="1529"/>
        <v>0</v>
      </c>
      <c r="BA561" s="96">
        <f t="shared" si="1530"/>
        <v>0</v>
      </c>
      <c r="BB561" s="96">
        <f t="shared" si="1531"/>
        <v>0</v>
      </c>
    </row>
    <row r="562" spans="1:54">
      <c r="A562" s="492">
        <v>318</v>
      </c>
      <c r="B562" s="13"/>
      <c r="C562" s="20"/>
      <c r="D562" s="13"/>
      <c r="E562" s="21" t="s">
        <v>181</v>
      </c>
      <c r="F562" s="22" t="s">
        <v>182</v>
      </c>
      <c r="G562" s="22" t="s">
        <v>1060</v>
      </c>
      <c r="H562" s="265" t="s">
        <v>357</v>
      </c>
      <c r="I562" s="54">
        <v>9.0299999999999994</v>
      </c>
      <c r="J562" s="101"/>
      <c r="K562" s="54">
        <v>9.0299999999999994</v>
      </c>
      <c r="L562" s="162"/>
      <c r="M562" s="54"/>
      <c r="N562" s="162"/>
      <c r="O562" s="54"/>
      <c r="P562" s="101"/>
      <c r="Q562" s="96">
        <f t="shared" si="1506"/>
        <v>0</v>
      </c>
      <c r="R562" s="337">
        <f t="shared" si="1507"/>
        <v>0</v>
      </c>
      <c r="S562" s="96"/>
      <c r="T562" s="96">
        <f t="shared" si="1508"/>
        <v>0</v>
      </c>
      <c r="U562" s="96"/>
      <c r="V562" s="176">
        <f t="shared" si="1509"/>
        <v>0</v>
      </c>
      <c r="W562" s="206"/>
      <c r="X562" s="205">
        <f t="shared" si="1510"/>
        <v>0</v>
      </c>
      <c r="Y562" s="188">
        <f t="shared" si="1511"/>
        <v>0</v>
      </c>
      <c r="Z562" s="176">
        <f t="shared" si="1512"/>
        <v>0</v>
      </c>
      <c r="AA562" s="206"/>
      <c r="AB562" s="205">
        <f t="shared" si="1513"/>
        <v>0</v>
      </c>
      <c r="AC562" s="206"/>
      <c r="AD562" s="176">
        <f t="shared" si="1514"/>
        <v>0</v>
      </c>
      <c r="AE562" s="206"/>
      <c r="AF562" s="205">
        <f t="shared" si="1515"/>
        <v>0</v>
      </c>
      <c r="AG562" s="188">
        <f t="shared" si="1516"/>
        <v>0</v>
      </c>
      <c r="AH562" s="96">
        <f t="shared" si="1517"/>
        <v>0</v>
      </c>
      <c r="AI562" s="96">
        <f t="shared" si="1518"/>
        <v>0</v>
      </c>
      <c r="AJ562" s="176">
        <f t="shared" si="1519"/>
        <v>0</v>
      </c>
      <c r="AK562" s="206"/>
      <c r="AL562" s="176">
        <f>M562*AK562*$AL$2/1000</f>
        <v>0</v>
      </c>
      <c r="AM562" s="243"/>
      <c r="AN562" s="176">
        <f t="shared" si="1521"/>
        <v>0</v>
      </c>
      <c r="AO562" s="206"/>
      <c r="AP562" s="205">
        <f t="shared" si="1522"/>
        <v>0</v>
      </c>
      <c r="AQ562" s="188">
        <f>SUM(AK562+AM562+AO562)</f>
        <v>0</v>
      </c>
      <c r="AR562" s="96">
        <f t="shared" si="1524"/>
        <v>0</v>
      </c>
      <c r="AS562" s="96"/>
      <c r="AT562" s="176">
        <f t="shared" si="1525"/>
        <v>0</v>
      </c>
      <c r="AU562" s="206"/>
      <c r="AV562" s="176">
        <f t="shared" si="1526"/>
        <v>0</v>
      </c>
      <c r="AW562" s="206"/>
      <c r="AX562" s="205">
        <f t="shared" si="1527"/>
        <v>0</v>
      </c>
      <c r="AY562" s="188">
        <f t="shared" si="1528"/>
        <v>0</v>
      </c>
      <c r="AZ562" s="96">
        <f t="shared" si="1529"/>
        <v>0</v>
      </c>
      <c r="BA562" s="96">
        <f t="shared" si="1530"/>
        <v>0</v>
      </c>
      <c r="BB562" s="96">
        <f t="shared" si="1531"/>
        <v>0</v>
      </c>
    </row>
    <row r="563" spans="1:54">
      <c r="A563" s="492">
        <v>319</v>
      </c>
      <c r="B563" s="13"/>
      <c r="C563" s="20"/>
      <c r="D563" s="13"/>
      <c r="E563" s="21" t="s">
        <v>2310</v>
      </c>
      <c r="F563" s="22" t="s">
        <v>2165</v>
      </c>
      <c r="G563" s="22" t="s">
        <v>1060</v>
      </c>
      <c r="H563" s="265" t="s">
        <v>357</v>
      </c>
      <c r="I563" s="54">
        <v>7.94</v>
      </c>
      <c r="J563" s="101"/>
      <c r="K563" s="54">
        <v>7.94</v>
      </c>
      <c r="L563" s="162"/>
      <c r="M563" s="54"/>
      <c r="N563" s="162"/>
      <c r="O563" s="54"/>
      <c r="P563" s="101"/>
      <c r="Q563" s="96">
        <f t="shared" si="1506"/>
        <v>1.7999999999999999E-2</v>
      </c>
      <c r="R563" s="337">
        <f t="shared" si="1507"/>
        <v>0.20656846919999999</v>
      </c>
      <c r="S563" s="96"/>
      <c r="T563" s="96">
        <f t="shared" si="1508"/>
        <v>0</v>
      </c>
      <c r="U563" s="96">
        <v>1.4999999999999999E-2</v>
      </c>
      <c r="V563" s="176">
        <f t="shared" si="1509"/>
        <v>0.17129676599999999</v>
      </c>
      <c r="W563" s="206"/>
      <c r="X563" s="205">
        <f t="shared" si="1510"/>
        <v>0</v>
      </c>
      <c r="Y563" s="188">
        <f t="shared" si="1511"/>
        <v>1.4999999999999999E-2</v>
      </c>
      <c r="Z563" s="176">
        <f t="shared" si="1512"/>
        <v>0.17129676599999999</v>
      </c>
      <c r="AA563" s="206">
        <v>3.0000000000000001E-3</v>
      </c>
      <c r="AB563" s="205">
        <f t="shared" si="1513"/>
        <v>3.5271703200000004E-2</v>
      </c>
      <c r="AC563" s="206"/>
      <c r="AD563" s="176">
        <f t="shared" si="1514"/>
        <v>0</v>
      </c>
      <c r="AE563" s="206"/>
      <c r="AF563" s="205">
        <f t="shared" si="1515"/>
        <v>0</v>
      </c>
      <c r="AG563" s="188">
        <f t="shared" si="1516"/>
        <v>3.0000000000000001E-3</v>
      </c>
      <c r="AH563" s="96">
        <f t="shared" si="1517"/>
        <v>3.5271703200000004E-2</v>
      </c>
      <c r="AI563" s="96">
        <f t="shared" si="1518"/>
        <v>1.7999999999999999E-2</v>
      </c>
      <c r="AJ563" s="176">
        <f t="shared" si="1519"/>
        <v>0.20656846919999999</v>
      </c>
      <c r="AK563" s="206"/>
      <c r="AL563" s="176">
        <f t="shared" si="1520"/>
        <v>0</v>
      </c>
      <c r="AM563" s="243"/>
      <c r="AN563" s="176">
        <f t="shared" si="1521"/>
        <v>0</v>
      </c>
      <c r="AO563" s="206"/>
      <c r="AP563" s="205">
        <f t="shared" si="1522"/>
        <v>0</v>
      </c>
      <c r="AQ563" s="188">
        <f t="shared" si="1523"/>
        <v>0</v>
      </c>
      <c r="AR563" s="96">
        <f t="shared" si="1524"/>
        <v>0</v>
      </c>
      <c r="AS563" s="96"/>
      <c r="AT563" s="176">
        <f t="shared" si="1525"/>
        <v>0</v>
      </c>
      <c r="AU563" s="206"/>
      <c r="AV563" s="176">
        <f t="shared" si="1526"/>
        <v>0</v>
      </c>
      <c r="AW563" s="206"/>
      <c r="AX563" s="205">
        <f t="shared" si="1527"/>
        <v>0</v>
      </c>
      <c r="AY563" s="188">
        <f t="shared" si="1528"/>
        <v>0</v>
      </c>
      <c r="AZ563" s="96">
        <f t="shared" si="1529"/>
        <v>0</v>
      </c>
      <c r="BA563" s="96">
        <f t="shared" si="1530"/>
        <v>0</v>
      </c>
      <c r="BB563" s="96">
        <f t="shared" si="1531"/>
        <v>0</v>
      </c>
    </row>
    <row r="564" spans="1:54" ht="11.25" customHeight="1">
      <c r="A564" s="492">
        <v>320</v>
      </c>
      <c r="B564" s="13"/>
      <c r="C564" s="20"/>
      <c r="D564" s="13"/>
      <c r="E564" s="21" t="s">
        <v>2311</v>
      </c>
      <c r="F564" s="22" t="s">
        <v>2312</v>
      </c>
      <c r="G564" s="22" t="s">
        <v>1063</v>
      </c>
      <c r="H564" s="265" t="s">
        <v>357</v>
      </c>
      <c r="I564" s="54">
        <v>28</v>
      </c>
      <c r="J564" s="101"/>
      <c r="K564" s="54">
        <v>28</v>
      </c>
      <c r="L564" s="162"/>
      <c r="M564" s="54"/>
      <c r="N564" s="162"/>
      <c r="O564" s="54"/>
      <c r="P564" s="101"/>
      <c r="Q564" s="96">
        <f t="shared" si="1506"/>
        <v>2.7E-2</v>
      </c>
      <c r="R564" s="337">
        <f t="shared" si="1507"/>
        <v>1.09327456</v>
      </c>
      <c r="S564" s="96"/>
      <c r="T564" s="96">
        <f t="shared" si="1508"/>
        <v>0</v>
      </c>
      <c r="U564" s="96">
        <v>2.1999999999999999E-2</v>
      </c>
      <c r="V564" s="176">
        <f t="shared" si="1509"/>
        <v>0.88596816</v>
      </c>
      <c r="W564" s="206"/>
      <c r="X564" s="205">
        <f t="shared" si="1510"/>
        <v>0</v>
      </c>
      <c r="Y564" s="188">
        <f t="shared" si="1511"/>
        <v>2.1999999999999999E-2</v>
      </c>
      <c r="Z564" s="176">
        <f t="shared" si="1512"/>
        <v>0.88596816</v>
      </c>
      <c r="AA564" s="206">
        <v>5.0000000000000001E-3</v>
      </c>
      <c r="AB564" s="205">
        <f t="shared" si="1513"/>
        <v>0.20730640000000003</v>
      </c>
      <c r="AC564" s="206"/>
      <c r="AD564" s="176">
        <f t="shared" si="1514"/>
        <v>0</v>
      </c>
      <c r="AE564" s="206"/>
      <c r="AF564" s="205">
        <f t="shared" si="1515"/>
        <v>0</v>
      </c>
      <c r="AG564" s="188">
        <f t="shared" si="1516"/>
        <v>5.0000000000000001E-3</v>
      </c>
      <c r="AH564" s="96">
        <f t="shared" si="1517"/>
        <v>0.20730640000000003</v>
      </c>
      <c r="AI564" s="96">
        <f t="shared" si="1518"/>
        <v>2.7E-2</v>
      </c>
      <c r="AJ564" s="176">
        <f t="shared" si="1519"/>
        <v>1.09327456</v>
      </c>
      <c r="AK564" s="206"/>
      <c r="AL564" s="176">
        <f t="shared" si="1520"/>
        <v>0</v>
      </c>
      <c r="AM564" s="243"/>
      <c r="AN564" s="176">
        <f t="shared" si="1521"/>
        <v>0</v>
      </c>
      <c r="AO564" s="206"/>
      <c r="AP564" s="205">
        <f t="shared" si="1522"/>
        <v>0</v>
      </c>
      <c r="AQ564" s="188">
        <f t="shared" si="1523"/>
        <v>0</v>
      </c>
      <c r="AR564" s="96">
        <f t="shared" si="1524"/>
        <v>0</v>
      </c>
      <c r="AS564" s="96"/>
      <c r="AT564" s="176">
        <f t="shared" si="1525"/>
        <v>0</v>
      </c>
      <c r="AU564" s="206"/>
      <c r="AV564" s="176">
        <f t="shared" si="1526"/>
        <v>0</v>
      </c>
      <c r="AW564" s="206"/>
      <c r="AX564" s="205">
        <f t="shared" si="1527"/>
        <v>0</v>
      </c>
      <c r="AY564" s="188">
        <f t="shared" si="1528"/>
        <v>0</v>
      </c>
      <c r="AZ564" s="96">
        <f t="shared" si="1529"/>
        <v>0</v>
      </c>
      <c r="BA564" s="96">
        <f t="shared" si="1530"/>
        <v>0</v>
      </c>
      <c r="BB564" s="96">
        <f t="shared" si="1531"/>
        <v>0</v>
      </c>
    </row>
    <row r="565" spans="1:54">
      <c r="A565" s="492">
        <v>321</v>
      </c>
      <c r="B565" s="13"/>
      <c r="C565" s="20"/>
      <c r="D565" s="13"/>
      <c r="E565" s="21" t="s">
        <v>183</v>
      </c>
      <c r="F565" s="22" t="s">
        <v>184</v>
      </c>
      <c r="G565" s="22" t="s">
        <v>1059</v>
      </c>
      <c r="H565" s="265" t="s">
        <v>357</v>
      </c>
      <c r="I565" s="54">
        <v>9.98</v>
      </c>
      <c r="J565" s="101"/>
      <c r="K565" s="54">
        <v>9.98</v>
      </c>
      <c r="L565" s="162"/>
      <c r="M565" s="54"/>
      <c r="N565" s="162"/>
      <c r="O565" s="54"/>
      <c r="P565" s="101"/>
      <c r="Q565" s="96">
        <f t="shared" si="1506"/>
        <v>0</v>
      </c>
      <c r="R565" s="337">
        <f t="shared" si="1507"/>
        <v>0</v>
      </c>
      <c r="S565" s="96"/>
      <c r="T565" s="96">
        <f t="shared" si="1508"/>
        <v>0</v>
      </c>
      <c r="U565" s="96"/>
      <c r="V565" s="176">
        <f t="shared" si="1509"/>
        <v>0</v>
      </c>
      <c r="W565" s="206"/>
      <c r="X565" s="205">
        <f t="shared" si="1510"/>
        <v>0</v>
      </c>
      <c r="Y565" s="188">
        <f t="shared" si="1511"/>
        <v>0</v>
      </c>
      <c r="Z565" s="176">
        <f t="shared" si="1512"/>
        <v>0</v>
      </c>
      <c r="AA565" s="206"/>
      <c r="AB565" s="205">
        <f t="shared" si="1513"/>
        <v>0</v>
      </c>
      <c r="AC565" s="206"/>
      <c r="AD565" s="176">
        <f t="shared" si="1514"/>
        <v>0</v>
      </c>
      <c r="AE565" s="206"/>
      <c r="AF565" s="205">
        <f t="shared" si="1515"/>
        <v>0</v>
      </c>
      <c r="AG565" s="188">
        <f t="shared" si="1516"/>
        <v>0</v>
      </c>
      <c r="AH565" s="96">
        <f t="shared" si="1517"/>
        <v>0</v>
      </c>
      <c r="AI565" s="96">
        <f t="shared" si="1518"/>
        <v>0</v>
      </c>
      <c r="AJ565" s="176">
        <f t="shared" si="1519"/>
        <v>0</v>
      </c>
      <c r="AK565" s="206"/>
      <c r="AL565" s="176">
        <f t="shared" si="1520"/>
        <v>0</v>
      </c>
      <c r="AM565" s="243"/>
      <c r="AN565" s="176">
        <f t="shared" si="1521"/>
        <v>0</v>
      </c>
      <c r="AO565" s="206"/>
      <c r="AP565" s="205">
        <f t="shared" si="1522"/>
        <v>0</v>
      </c>
      <c r="AQ565" s="188">
        <f t="shared" si="1523"/>
        <v>0</v>
      </c>
      <c r="AR565" s="96">
        <f t="shared" si="1524"/>
        <v>0</v>
      </c>
      <c r="AS565" s="96"/>
      <c r="AT565" s="176">
        <f t="shared" si="1525"/>
        <v>0</v>
      </c>
      <c r="AU565" s="206"/>
      <c r="AV565" s="176">
        <f t="shared" si="1526"/>
        <v>0</v>
      </c>
      <c r="AW565" s="206"/>
      <c r="AX565" s="205">
        <f t="shared" si="1527"/>
        <v>0</v>
      </c>
      <c r="AY565" s="188">
        <f t="shared" si="1528"/>
        <v>0</v>
      </c>
      <c r="AZ565" s="96">
        <f t="shared" si="1529"/>
        <v>0</v>
      </c>
      <c r="BA565" s="96">
        <f t="shared" si="1530"/>
        <v>0</v>
      </c>
      <c r="BB565" s="96">
        <f t="shared" si="1531"/>
        <v>0</v>
      </c>
    </row>
    <row r="566" spans="1:54">
      <c r="A566" s="492">
        <v>322</v>
      </c>
      <c r="B566" s="13"/>
      <c r="C566" s="20"/>
      <c r="D566" s="13"/>
      <c r="E566" s="21" t="s">
        <v>185</v>
      </c>
      <c r="F566" s="22" t="s">
        <v>186</v>
      </c>
      <c r="G566" s="22" t="s">
        <v>1059</v>
      </c>
      <c r="H566" s="265" t="s">
        <v>357</v>
      </c>
      <c r="I566" s="54">
        <v>9.6300000000000008</v>
      </c>
      <c r="J566" s="101"/>
      <c r="K566" s="54">
        <v>9.6300000000000008</v>
      </c>
      <c r="L566" s="162"/>
      <c r="M566" s="54"/>
      <c r="N566" s="162"/>
      <c r="O566" s="54"/>
      <c r="P566" s="101"/>
      <c r="Q566" s="96">
        <f t="shared" si="1506"/>
        <v>0</v>
      </c>
      <c r="R566" s="337">
        <f t="shared" si="1507"/>
        <v>0</v>
      </c>
      <c r="S566" s="96"/>
      <c r="T566" s="96">
        <f t="shared" si="1508"/>
        <v>0</v>
      </c>
      <c r="U566" s="96"/>
      <c r="V566" s="176">
        <f t="shared" si="1509"/>
        <v>0</v>
      </c>
      <c r="W566" s="206"/>
      <c r="X566" s="205">
        <f t="shared" si="1510"/>
        <v>0</v>
      </c>
      <c r="Y566" s="188">
        <f t="shared" si="1511"/>
        <v>0</v>
      </c>
      <c r="Z566" s="176">
        <f t="shared" si="1512"/>
        <v>0</v>
      </c>
      <c r="AA566" s="206"/>
      <c r="AB566" s="205">
        <f t="shared" si="1513"/>
        <v>0</v>
      </c>
      <c r="AC566" s="206"/>
      <c r="AD566" s="176">
        <f t="shared" si="1514"/>
        <v>0</v>
      </c>
      <c r="AE566" s="206"/>
      <c r="AF566" s="205">
        <f t="shared" si="1515"/>
        <v>0</v>
      </c>
      <c r="AG566" s="188">
        <f t="shared" si="1516"/>
        <v>0</v>
      </c>
      <c r="AH566" s="96">
        <f t="shared" si="1517"/>
        <v>0</v>
      </c>
      <c r="AI566" s="96">
        <f t="shared" si="1518"/>
        <v>0</v>
      </c>
      <c r="AJ566" s="176">
        <f t="shared" si="1519"/>
        <v>0</v>
      </c>
      <c r="AK566" s="206"/>
      <c r="AL566" s="176">
        <f t="shared" si="1520"/>
        <v>0</v>
      </c>
      <c r="AM566" s="243"/>
      <c r="AN566" s="176">
        <f t="shared" si="1521"/>
        <v>0</v>
      </c>
      <c r="AO566" s="206"/>
      <c r="AP566" s="205">
        <f t="shared" si="1522"/>
        <v>0</v>
      </c>
      <c r="AQ566" s="188">
        <f t="shared" si="1523"/>
        <v>0</v>
      </c>
      <c r="AR566" s="96">
        <f t="shared" si="1524"/>
        <v>0</v>
      </c>
      <c r="AS566" s="96"/>
      <c r="AT566" s="176">
        <f t="shared" si="1525"/>
        <v>0</v>
      </c>
      <c r="AU566" s="206"/>
      <c r="AV566" s="176">
        <f t="shared" si="1526"/>
        <v>0</v>
      </c>
      <c r="AW566" s="206"/>
      <c r="AX566" s="205">
        <f t="shared" si="1527"/>
        <v>0</v>
      </c>
      <c r="AY566" s="188">
        <f t="shared" si="1528"/>
        <v>0</v>
      </c>
      <c r="AZ566" s="96">
        <f t="shared" si="1529"/>
        <v>0</v>
      </c>
      <c r="BA566" s="96">
        <f t="shared" si="1530"/>
        <v>0</v>
      </c>
      <c r="BB566" s="96">
        <f t="shared" si="1531"/>
        <v>0</v>
      </c>
    </row>
    <row r="567" spans="1:54">
      <c r="A567" s="492">
        <v>323</v>
      </c>
      <c r="B567" s="13"/>
      <c r="C567" s="20"/>
      <c r="D567" s="13"/>
      <c r="E567" s="62" t="s">
        <v>187</v>
      </c>
      <c r="F567" s="63" t="s">
        <v>188</v>
      </c>
      <c r="G567" s="63" t="s">
        <v>1059</v>
      </c>
      <c r="H567" s="281" t="s">
        <v>357</v>
      </c>
      <c r="I567" s="54">
        <v>3.52</v>
      </c>
      <c r="J567" s="101"/>
      <c r="K567" s="54">
        <v>3.52</v>
      </c>
      <c r="L567" s="162"/>
      <c r="M567" s="54"/>
      <c r="N567" s="162"/>
      <c r="O567" s="54"/>
      <c r="P567" s="101"/>
      <c r="Q567" s="128">
        <f t="shared" si="1506"/>
        <v>27.612000000000002</v>
      </c>
      <c r="R567" s="345">
        <f t="shared" si="1507"/>
        <v>142.9182716544</v>
      </c>
      <c r="S567" s="128">
        <v>6.66</v>
      </c>
      <c r="T567" s="128">
        <f t="shared" si="1508"/>
        <v>33.843775680000007</v>
      </c>
      <c r="U567" s="128">
        <v>5.8319999999999999</v>
      </c>
      <c r="V567" s="183">
        <f t="shared" si="1509"/>
        <v>29.525521766399997</v>
      </c>
      <c r="W567" s="220">
        <v>9.7200000000000006</v>
      </c>
      <c r="X567" s="221">
        <f t="shared" si="1510"/>
        <v>51.402688128000001</v>
      </c>
      <c r="Y567" s="196">
        <f t="shared" si="1511"/>
        <v>22.212000000000003</v>
      </c>
      <c r="Z567" s="183">
        <f t="shared" si="1512"/>
        <v>114.77198557440001</v>
      </c>
      <c r="AA567" s="220">
        <v>5.4</v>
      </c>
      <c r="AB567" s="221">
        <f t="shared" si="1513"/>
        <v>28.146286080000007</v>
      </c>
      <c r="AC567" s="220"/>
      <c r="AD567" s="183">
        <f t="shared" si="1514"/>
        <v>0</v>
      </c>
      <c r="AE567" s="220"/>
      <c r="AF567" s="205">
        <f t="shared" si="1515"/>
        <v>0</v>
      </c>
      <c r="AG567" s="196">
        <f t="shared" si="1516"/>
        <v>5.4</v>
      </c>
      <c r="AH567" s="128">
        <f t="shared" si="1517"/>
        <v>28.146286080000007</v>
      </c>
      <c r="AI567" s="128">
        <f t="shared" si="1518"/>
        <v>27.612000000000002</v>
      </c>
      <c r="AJ567" s="183">
        <f t="shared" si="1519"/>
        <v>142.9182716544</v>
      </c>
      <c r="AK567" s="220"/>
      <c r="AL567" s="183">
        <f t="shared" si="1520"/>
        <v>0</v>
      </c>
      <c r="AM567" s="251"/>
      <c r="AN567" s="183">
        <f t="shared" si="1521"/>
        <v>0</v>
      </c>
      <c r="AO567" s="220"/>
      <c r="AP567" s="221">
        <f t="shared" si="1522"/>
        <v>0</v>
      </c>
      <c r="AQ567" s="196">
        <f t="shared" si="1523"/>
        <v>0</v>
      </c>
      <c r="AR567" s="128">
        <f t="shared" si="1524"/>
        <v>0</v>
      </c>
      <c r="AS567" s="128"/>
      <c r="AT567" s="183">
        <f t="shared" si="1525"/>
        <v>0</v>
      </c>
      <c r="AU567" s="220"/>
      <c r="AV567" s="183">
        <f t="shared" si="1526"/>
        <v>0</v>
      </c>
      <c r="AW567" s="220"/>
      <c r="AX567" s="221">
        <f t="shared" si="1527"/>
        <v>0</v>
      </c>
      <c r="AY567" s="196">
        <f t="shared" si="1528"/>
        <v>0</v>
      </c>
      <c r="AZ567" s="128">
        <f t="shared" si="1529"/>
        <v>0</v>
      </c>
      <c r="BA567" s="128">
        <f t="shared" si="1530"/>
        <v>0</v>
      </c>
      <c r="BB567" s="128">
        <f t="shared" si="1531"/>
        <v>0</v>
      </c>
    </row>
    <row r="568" spans="1:54">
      <c r="A568" s="492">
        <v>324</v>
      </c>
      <c r="B568" s="13"/>
      <c r="C568" s="20"/>
      <c r="D568" s="13"/>
      <c r="E568" s="62" t="s">
        <v>189</v>
      </c>
      <c r="F568" s="63" t="s">
        <v>190</v>
      </c>
      <c r="G568" s="63" t="s">
        <v>1059</v>
      </c>
      <c r="H568" s="281" t="s">
        <v>357</v>
      </c>
      <c r="I568" s="54">
        <v>20.100000000000001</v>
      </c>
      <c r="J568" s="101"/>
      <c r="K568" s="54">
        <v>20.100000000000001</v>
      </c>
      <c r="L568" s="162"/>
      <c r="M568" s="54"/>
      <c r="N568" s="162"/>
      <c r="O568" s="54"/>
      <c r="P568" s="101"/>
      <c r="Q568" s="128">
        <f t="shared" si="1506"/>
        <v>0</v>
      </c>
      <c r="R568" s="345">
        <f t="shared" si="1507"/>
        <v>0</v>
      </c>
      <c r="S568" s="128"/>
      <c r="T568" s="128">
        <f t="shared" si="1508"/>
        <v>0</v>
      </c>
      <c r="U568" s="128"/>
      <c r="V568" s="183">
        <f t="shared" si="1509"/>
        <v>0</v>
      </c>
      <c r="W568" s="220"/>
      <c r="X568" s="221">
        <f t="shared" si="1510"/>
        <v>0</v>
      </c>
      <c r="Y568" s="196">
        <f t="shared" si="1511"/>
        <v>0</v>
      </c>
      <c r="Z568" s="183">
        <f t="shared" si="1512"/>
        <v>0</v>
      </c>
      <c r="AA568" s="220"/>
      <c r="AB568" s="221">
        <f t="shared" si="1513"/>
        <v>0</v>
      </c>
      <c r="AC568" s="220"/>
      <c r="AD568" s="183">
        <f t="shared" si="1514"/>
        <v>0</v>
      </c>
      <c r="AE568" s="220"/>
      <c r="AF568" s="205">
        <f t="shared" si="1515"/>
        <v>0</v>
      </c>
      <c r="AG568" s="196">
        <f t="shared" si="1516"/>
        <v>0</v>
      </c>
      <c r="AH568" s="128">
        <f t="shared" si="1517"/>
        <v>0</v>
      </c>
      <c r="AI568" s="128">
        <f t="shared" si="1518"/>
        <v>0</v>
      </c>
      <c r="AJ568" s="183">
        <f t="shared" si="1519"/>
        <v>0</v>
      </c>
      <c r="AK568" s="220"/>
      <c r="AL568" s="183">
        <f t="shared" si="1520"/>
        <v>0</v>
      </c>
      <c r="AM568" s="251"/>
      <c r="AN568" s="183">
        <f t="shared" si="1521"/>
        <v>0</v>
      </c>
      <c r="AO568" s="220"/>
      <c r="AP568" s="221">
        <f t="shared" si="1522"/>
        <v>0</v>
      </c>
      <c r="AQ568" s="196">
        <f t="shared" si="1523"/>
        <v>0</v>
      </c>
      <c r="AR568" s="128">
        <f t="shared" si="1524"/>
        <v>0</v>
      </c>
      <c r="AS568" s="128"/>
      <c r="AT568" s="183">
        <f t="shared" si="1525"/>
        <v>0</v>
      </c>
      <c r="AU568" s="220"/>
      <c r="AV568" s="183">
        <f t="shared" si="1526"/>
        <v>0</v>
      </c>
      <c r="AW568" s="220"/>
      <c r="AX568" s="221">
        <f t="shared" si="1527"/>
        <v>0</v>
      </c>
      <c r="AY568" s="196">
        <f t="shared" si="1528"/>
        <v>0</v>
      </c>
      <c r="AZ568" s="128">
        <f t="shared" si="1529"/>
        <v>0</v>
      </c>
      <c r="BA568" s="128">
        <f t="shared" si="1530"/>
        <v>0</v>
      </c>
      <c r="BB568" s="128">
        <f t="shared" si="1531"/>
        <v>0</v>
      </c>
    </row>
    <row r="569" spans="1:54">
      <c r="A569" s="492">
        <v>325</v>
      </c>
      <c r="B569" s="13"/>
      <c r="C569" s="20"/>
      <c r="D569" s="13"/>
      <c r="E569" s="21" t="s">
        <v>837</v>
      </c>
      <c r="F569" s="417" t="s">
        <v>838</v>
      </c>
      <c r="G569" s="63" t="s">
        <v>1060</v>
      </c>
      <c r="H569" s="265" t="s">
        <v>357</v>
      </c>
      <c r="I569" s="54">
        <v>20</v>
      </c>
      <c r="J569" s="101"/>
      <c r="K569" s="54">
        <v>20</v>
      </c>
      <c r="L569" s="162"/>
      <c r="M569" s="54"/>
      <c r="N569" s="162"/>
      <c r="O569" s="54"/>
      <c r="P569" s="101"/>
      <c r="Q569" s="96">
        <f t="shared" si="1506"/>
        <v>0</v>
      </c>
      <c r="R569" s="337">
        <f t="shared" si="1507"/>
        <v>0</v>
      </c>
      <c r="S569" s="96"/>
      <c r="T569" s="96">
        <f t="shared" si="1508"/>
        <v>0</v>
      </c>
      <c r="U569" s="96"/>
      <c r="V569" s="176">
        <f t="shared" si="1509"/>
        <v>0</v>
      </c>
      <c r="W569" s="206"/>
      <c r="X569" s="205">
        <f t="shared" si="1510"/>
        <v>0</v>
      </c>
      <c r="Y569" s="188">
        <f t="shared" si="1511"/>
        <v>0</v>
      </c>
      <c r="Z569" s="176">
        <f t="shared" si="1512"/>
        <v>0</v>
      </c>
      <c r="AA569" s="206"/>
      <c r="AB569" s="205">
        <f t="shared" si="1513"/>
        <v>0</v>
      </c>
      <c r="AC569" s="206"/>
      <c r="AD569" s="176">
        <f t="shared" si="1514"/>
        <v>0</v>
      </c>
      <c r="AE569" s="206"/>
      <c r="AF569" s="205">
        <f t="shared" si="1515"/>
        <v>0</v>
      </c>
      <c r="AG569" s="188">
        <f t="shared" si="1516"/>
        <v>0</v>
      </c>
      <c r="AH569" s="96">
        <f t="shared" si="1517"/>
        <v>0</v>
      </c>
      <c r="AI569" s="96">
        <f t="shared" si="1518"/>
        <v>0</v>
      </c>
      <c r="AJ569" s="176">
        <f t="shared" si="1519"/>
        <v>0</v>
      </c>
      <c r="AK569" s="206"/>
      <c r="AL569" s="176">
        <f t="shared" si="1520"/>
        <v>0</v>
      </c>
      <c r="AM569" s="243"/>
      <c r="AN569" s="176">
        <f t="shared" si="1521"/>
        <v>0</v>
      </c>
      <c r="AO569" s="206"/>
      <c r="AP569" s="205">
        <f t="shared" si="1522"/>
        <v>0</v>
      </c>
      <c r="AQ569" s="188">
        <f t="shared" si="1523"/>
        <v>0</v>
      </c>
      <c r="AR569" s="96">
        <f t="shared" si="1524"/>
        <v>0</v>
      </c>
      <c r="AS569" s="96"/>
      <c r="AT569" s="176">
        <f t="shared" si="1525"/>
        <v>0</v>
      </c>
      <c r="AU569" s="206"/>
      <c r="AV569" s="176">
        <f t="shared" si="1526"/>
        <v>0</v>
      </c>
      <c r="AW569" s="206"/>
      <c r="AX569" s="205">
        <f t="shared" si="1527"/>
        <v>0</v>
      </c>
      <c r="AY569" s="188">
        <f t="shared" si="1528"/>
        <v>0</v>
      </c>
      <c r="AZ569" s="96">
        <f t="shared" si="1529"/>
        <v>0</v>
      </c>
      <c r="BA569" s="96">
        <f t="shared" si="1530"/>
        <v>0</v>
      </c>
      <c r="BB569" s="96">
        <f t="shared" si="1531"/>
        <v>0</v>
      </c>
    </row>
    <row r="570" spans="1:54">
      <c r="A570" s="492">
        <v>326</v>
      </c>
      <c r="B570" s="13"/>
      <c r="C570" s="20"/>
      <c r="D570" s="13"/>
      <c r="E570" s="21" t="s">
        <v>763</v>
      </c>
      <c r="F570" s="63" t="s">
        <v>762</v>
      </c>
      <c r="G570" s="63" t="s">
        <v>1059</v>
      </c>
      <c r="H570" s="265" t="s">
        <v>357</v>
      </c>
      <c r="I570" s="54">
        <v>25.34</v>
      </c>
      <c r="J570" s="101"/>
      <c r="K570" s="54">
        <v>25.34</v>
      </c>
      <c r="L570" s="162"/>
      <c r="M570" s="54"/>
      <c r="N570" s="162"/>
      <c r="O570" s="54"/>
      <c r="P570" s="101"/>
      <c r="Q570" s="96">
        <f t="shared" si="1506"/>
        <v>5.04</v>
      </c>
      <c r="R570" s="337">
        <f t="shared" si="1507"/>
        <v>187.26000518399997</v>
      </c>
      <c r="S570" s="96">
        <v>1.68</v>
      </c>
      <c r="T570" s="96">
        <f t="shared" si="1508"/>
        <v>61.457912880000002</v>
      </c>
      <c r="U570" s="96">
        <v>0.86399999999999999</v>
      </c>
      <c r="V570" s="176">
        <f t="shared" si="1509"/>
        <v>31.488919257599999</v>
      </c>
      <c r="W570" s="206">
        <v>1.2</v>
      </c>
      <c r="X570" s="205">
        <f t="shared" si="1510"/>
        <v>45.684066959999996</v>
      </c>
      <c r="Y570" s="188">
        <f t="shared" si="1511"/>
        <v>3.7439999999999998</v>
      </c>
      <c r="Z570" s="176">
        <f t="shared" si="1512"/>
        <v>138.63089909759998</v>
      </c>
      <c r="AA570" s="206">
        <v>1.296</v>
      </c>
      <c r="AB570" s="205">
        <f t="shared" si="1513"/>
        <v>48.6291060864</v>
      </c>
      <c r="AC570" s="206"/>
      <c r="AD570" s="176">
        <f t="shared" si="1514"/>
        <v>0</v>
      </c>
      <c r="AE570" s="206"/>
      <c r="AF570" s="205">
        <f t="shared" si="1515"/>
        <v>0</v>
      </c>
      <c r="AG570" s="188">
        <f t="shared" si="1516"/>
        <v>1.296</v>
      </c>
      <c r="AH570" s="96">
        <f t="shared" si="1517"/>
        <v>48.6291060864</v>
      </c>
      <c r="AI570" s="96">
        <f t="shared" si="1518"/>
        <v>5.04</v>
      </c>
      <c r="AJ570" s="176">
        <f t="shared" si="1519"/>
        <v>187.26000518399997</v>
      </c>
      <c r="AK570" s="206"/>
      <c r="AL570" s="176">
        <f t="shared" si="1520"/>
        <v>0</v>
      </c>
      <c r="AM570" s="243"/>
      <c r="AN570" s="176">
        <f t="shared" si="1521"/>
        <v>0</v>
      </c>
      <c r="AO570" s="206"/>
      <c r="AP570" s="205">
        <f t="shared" si="1522"/>
        <v>0</v>
      </c>
      <c r="AQ570" s="188">
        <f t="shared" si="1523"/>
        <v>0</v>
      </c>
      <c r="AR570" s="96">
        <f t="shared" si="1524"/>
        <v>0</v>
      </c>
      <c r="AS570" s="96"/>
      <c r="AT570" s="176">
        <f t="shared" si="1525"/>
        <v>0</v>
      </c>
      <c r="AU570" s="206"/>
      <c r="AV570" s="176">
        <f t="shared" si="1526"/>
        <v>0</v>
      </c>
      <c r="AW570" s="206"/>
      <c r="AX570" s="205">
        <f t="shared" si="1527"/>
        <v>0</v>
      </c>
      <c r="AY570" s="188">
        <f t="shared" si="1528"/>
        <v>0</v>
      </c>
      <c r="AZ570" s="96">
        <f t="shared" si="1529"/>
        <v>0</v>
      </c>
      <c r="BA570" s="96">
        <f t="shared" si="1530"/>
        <v>0</v>
      </c>
      <c r="BB570" s="96">
        <f t="shared" si="1531"/>
        <v>0</v>
      </c>
    </row>
    <row r="571" spans="1:54">
      <c r="A571" s="492">
        <v>327</v>
      </c>
      <c r="B571" s="13"/>
      <c r="C571" s="20"/>
      <c r="D571" s="24"/>
      <c r="E571" s="50" t="s">
        <v>191</v>
      </c>
      <c r="F571" s="64" t="s">
        <v>192</v>
      </c>
      <c r="G571" s="64" t="s">
        <v>1059</v>
      </c>
      <c r="H571" s="272" t="s">
        <v>357</v>
      </c>
      <c r="I571" s="54">
        <v>9.75</v>
      </c>
      <c r="J571" s="101"/>
      <c r="K571" s="54">
        <v>9.75</v>
      </c>
      <c r="L571" s="162"/>
      <c r="M571" s="54"/>
      <c r="N571" s="162"/>
      <c r="O571" s="54"/>
      <c r="P571" s="101"/>
      <c r="Q571" s="94">
        <f t="shared" si="1506"/>
        <v>0</v>
      </c>
      <c r="R571" s="338">
        <f t="shared" si="1507"/>
        <v>0</v>
      </c>
      <c r="S571" s="94"/>
      <c r="T571" s="94">
        <f t="shared" si="1508"/>
        <v>0</v>
      </c>
      <c r="U571" s="94"/>
      <c r="V571" s="180">
        <f t="shared" si="1509"/>
        <v>0</v>
      </c>
      <c r="W571" s="213"/>
      <c r="X571" s="214">
        <f t="shared" si="1510"/>
        <v>0</v>
      </c>
      <c r="Y571" s="192">
        <f t="shared" si="1511"/>
        <v>0</v>
      </c>
      <c r="Z571" s="180">
        <f t="shared" si="1512"/>
        <v>0</v>
      </c>
      <c r="AA571" s="213"/>
      <c r="AB571" s="214">
        <f t="shared" si="1513"/>
        <v>0</v>
      </c>
      <c r="AC571" s="213"/>
      <c r="AD571" s="180">
        <f t="shared" si="1514"/>
        <v>0</v>
      </c>
      <c r="AE571" s="213"/>
      <c r="AF571" s="205">
        <f t="shared" si="1515"/>
        <v>0</v>
      </c>
      <c r="AG571" s="192">
        <f t="shared" si="1516"/>
        <v>0</v>
      </c>
      <c r="AH571" s="94">
        <f t="shared" si="1517"/>
        <v>0</v>
      </c>
      <c r="AI571" s="94">
        <f t="shared" si="1518"/>
        <v>0</v>
      </c>
      <c r="AJ571" s="180">
        <f t="shared" si="1519"/>
        <v>0</v>
      </c>
      <c r="AK571" s="213"/>
      <c r="AL571" s="180">
        <f t="shared" si="1520"/>
        <v>0</v>
      </c>
      <c r="AM571" s="247"/>
      <c r="AN571" s="180">
        <f t="shared" si="1521"/>
        <v>0</v>
      </c>
      <c r="AO571" s="213"/>
      <c r="AP571" s="214">
        <f t="shared" si="1522"/>
        <v>0</v>
      </c>
      <c r="AQ571" s="192">
        <f t="shared" si="1523"/>
        <v>0</v>
      </c>
      <c r="AR571" s="94">
        <f t="shared" si="1524"/>
        <v>0</v>
      </c>
      <c r="AS571" s="94"/>
      <c r="AT571" s="180">
        <f t="shared" si="1525"/>
        <v>0</v>
      </c>
      <c r="AU571" s="213"/>
      <c r="AV571" s="180">
        <f t="shared" si="1526"/>
        <v>0</v>
      </c>
      <c r="AW571" s="213"/>
      <c r="AX571" s="214">
        <f t="shared" si="1527"/>
        <v>0</v>
      </c>
      <c r="AY571" s="192">
        <f t="shared" si="1528"/>
        <v>0</v>
      </c>
      <c r="AZ571" s="94">
        <f t="shared" si="1529"/>
        <v>0</v>
      </c>
      <c r="BA571" s="94">
        <f t="shared" si="1530"/>
        <v>0</v>
      </c>
      <c r="BB571" s="94">
        <f t="shared" si="1531"/>
        <v>0</v>
      </c>
    </row>
    <row r="572" spans="1:54">
      <c r="A572" s="492">
        <v>328</v>
      </c>
      <c r="B572" s="13"/>
      <c r="C572" s="27" t="s">
        <v>134</v>
      </c>
      <c r="D572" s="28"/>
      <c r="E572" s="28"/>
      <c r="F572" s="28"/>
      <c r="G572" s="28"/>
      <c r="H572" s="269"/>
      <c r="I572" s="148"/>
      <c r="J572" s="105"/>
      <c r="K572" s="65"/>
      <c r="L572" s="164"/>
      <c r="M572" s="65"/>
      <c r="N572" s="164"/>
      <c r="O572" s="148"/>
      <c r="P572" s="105"/>
      <c r="Q572" s="120">
        <f t="shared" ref="Q572:BB572" si="1532">SUM(Q548:Q571)</f>
        <v>42.128999999999998</v>
      </c>
      <c r="R572" s="120">
        <f t="shared" si="1532"/>
        <v>484.74452643879999</v>
      </c>
      <c r="S572" s="120">
        <f t="shared" si="1532"/>
        <v>11.411999999999999</v>
      </c>
      <c r="T572" s="120">
        <f t="shared" si="1532"/>
        <v>140.01025864800002</v>
      </c>
      <c r="U572" s="120">
        <f t="shared" si="1532"/>
        <v>8.5690000000000008</v>
      </c>
      <c r="V572" s="120">
        <f t="shared" si="1532"/>
        <v>100.8498419484</v>
      </c>
      <c r="W572" s="120">
        <f t="shared" si="1532"/>
        <v>13.956</v>
      </c>
      <c r="X572" s="120">
        <f t="shared" si="1532"/>
        <v>140.81870256479999</v>
      </c>
      <c r="Y572" s="120">
        <f t="shared" si="1532"/>
        <v>33.937000000000005</v>
      </c>
      <c r="Z572" s="120">
        <f t="shared" si="1532"/>
        <v>381.67880316119999</v>
      </c>
      <c r="AA572" s="120">
        <f t="shared" si="1532"/>
        <v>8.1920000000000002</v>
      </c>
      <c r="AB572" s="120">
        <f t="shared" si="1532"/>
        <v>103.0657232776</v>
      </c>
      <c r="AC572" s="120">
        <f t="shared" si="1532"/>
        <v>0</v>
      </c>
      <c r="AD572" s="120">
        <f t="shared" si="1532"/>
        <v>0</v>
      </c>
      <c r="AE572" s="120">
        <f t="shared" si="1532"/>
        <v>0</v>
      </c>
      <c r="AF572" s="120">
        <f t="shared" si="1532"/>
        <v>0</v>
      </c>
      <c r="AG572" s="120">
        <f t="shared" si="1532"/>
        <v>8.1920000000000002</v>
      </c>
      <c r="AH572" s="120">
        <f t="shared" si="1532"/>
        <v>103.0657232776</v>
      </c>
      <c r="AI572" s="120">
        <f t="shared" si="1532"/>
        <v>42.128999999999998</v>
      </c>
      <c r="AJ572" s="120">
        <f t="shared" si="1532"/>
        <v>484.74452643879999</v>
      </c>
      <c r="AK572" s="120">
        <f t="shared" si="1532"/>
        <v>0</v>
      </c>
      <c r="AL572" s="120">
        <f t="shared" si="1532"/>
        <v>0</v>
      </c>
      <c r="AM572" s="120">
        <f t="shared" si="1532"/>
        <v>0</v>
      </c>
      <c r="AN572" s="120">
        <f t="shared" si="1532"/>
        <v>0</v>
      </c>
      <c r="AO572" s="120">
        <f t="shared" si="1532"/>
        <v>0</v>
      </c>
      <c r="AP572" s="120">
        <f t="shared" si="1532"/>
        <v>0</v>
      </c>
      <c r="AQ572" s="120">
        <f t="shared" si="1532"/>
        <v>0</v>
      </c>
      <c r="AR572" s="120">
        <f t="shared" si="1532"/>
        <v>0</v>
      </c>
      <c r="AS572" s="120">
        <f t="shared" si="1532"/>
        <v>0</v>
      </c>
      <c r="AT572" s="120">
        <f t="shared" si="1532"/>
        <v>0</v>
      </c>
      <c r="AU572" s="120">
        <f t="shared" si="1532"/>
        <v>0</v>
      </c>
      <c r="AV572" s="120">
        <f t="shared" si="1532"/>
        <v>0</v>
      </c>
      <c r="AW572" s="120">
        <f t="shared" si="1532"/>
        <v>0</v>
      </c>
      <c r="AX572" s="120">
        <f t="shared" si="1532"/>
        <v>0</v>
      </c>
      <c r="AY572" s="120">
        <f t="shared" si="1532"/>
        <v>0</v>
      </c>
      <c r="AZ572" s="120">
        <f t="shared" si="1532"/>
        <v>0</v>
      </c>
      <c r="BA572" s="120">
        <f t="shared" si="1532"/>
        <v>0</v>
      </c>
      <c r="BB572" s="120">
        <f t="shared" si="1532"/>
        <v>0</v>
      </c>
    </row>
    <row r="573" spans="1:54">
      <c r="A573" s="492">
        <v>329</v>
      </c>
      <c r="B573" s="13"/>
      <c r="C573" s="305" t="s">
        <v>416</v>
      </c>
      <c r="D573" s="52" t="s">
        <v>160</v>
      </c>
      <c r="E573" s="21" t="s">
        <v>193</v>
      </c>
      <c r="F573" s="22" t="s">
        <v>194</v>
      </c>
      <c r="G573" s="22" t="s">
        <v>1059</v>
      </c>
      <c r="H573" s="265" t="s">
        <v>357</v>
      </c>
      <c r="I573" s="54">
        <v>8.77</v>
      </c>
      <c r="J573" s="101"/>
      <c r="K573" s="54">
        <v>8.77</v>
      </c>
      <c r="L573" s="162"/>
      <c r="M573" s="54"/>
      <c r="N573" s="162"/>
      <c r="O573" s="54"/>
      <c r="P573" s="101"/>
      <c r="Q573" s="96">
        <f t="shared" ref="Q573:Q593" si="1533">SUM(AI573+BA573)</f>
        <v>0</v>
      </c>
      <c r="R573" s="337">
        <f t="shared" ref="R573:R593" si="1534">SUM(AJ573+BB573)</f>
        <v>0</v>
      </c>
      <c r="S573" s="96"/>
      <c r="T573" s="96">
        <f t="shared" ref="T573:T593" si="1535">I573*S573*$T$2/1000</f>
        <v>0</v>
      </c>
      <c r="U573" s="96"/>
      <c r="V573" s="176">
        <f t="shared" ref="V573:V593" si="1536">I573*U573*$V$2/1000</f>
        <v>0</v>
      </c>
      <c r="W573" s="206"/>
      <c r="X573" s="205">
        <f t="shared" ref="X573:X593" si="1537">I573*W573*$X$2/1000</f>
        <v>0</v>
      </c>
      <c r="Y573" s="188">
        <f t="shared" ref="Y573:Y593" si="1538">SUM(S573+U573+W573)</f>
        <v>0</v>
      </c>
      <c r="Z573" s="176">
        <f t="shared" ref="Z573:Z593" si="1539">SUM(T573+V573+X573)</f>
        <v>0</v>
      </c>
      <c r="AA573" s="206"/>
      <c r="AB573" s="205">
        <f t="shared" ref="AB573:AB593" si="1540">K573*AA573*$AB$2/1000</f>
        <v>0</v>
      </c>
      <c r="AC573" s="206"/>
      <c r="AD573" s="176">
        <f t="shared" ref="AD573:AD593" si="1541">K573*AC573*$AD$2/1000</f>
        <v>0</v>
      </c>
      <c r="AE573" s="206"/>
      <c r="AF573" s="205">
        <f t="shared" ref="AF573:AF593" si="1542">K573*AE573*$AF$2/1000</f>
        <v>0</v>
      </c>
      <c r="AG573" s="188">
        <f t="shared" ref="AG573:AG593" si="1543">SUM(AA573+AC573+AE573)</f>
        <v>0</v>
      </c>
      <c r="AH573" s="96">
        <f t="shared" ref="AH573:AH593" si="1544">SUM(AB573+AD573+AF573)</f>
        <v>0</v>
      </c>
      <c r="AI573" s="96">
        <f t="shared" ref="AI573:AI593" si="1545">SUM(Y573+AG573)</f>
        <v>0</v>
      </c>
      <c r="AJ573" s="176">
        <f t="shared" ref="AJ573:AJ593" si="1546">SUM(Z573,AH573)</f>
        <v>0</v>
      </c>
      <c r="AK573" s="206"/>
      <c r="AL573" s="176">
        <f t="shared" ref="AL573:AL593" si="1547">M573*AK573*$AL$2/1000</f>
        <v>0</v>
      </c>
      <c r="AM573" s="243"/>
      <c r="AN573" s="176">
        <f t="shared" ref="AN573:AN593" si="1548">M573*AM573*$AN$2/1000</f>
        <v>0</v>
      </c>
      <c r="AO573" s="206"/>
      <c r="AP573" s="205">
        <f t="shared" ref="AP573:AP593" si="1549">M573*AO573*$AP$2/1000</f>
        <v>0</v>
      </c>
      <c r="AQ573" s="188">
        <f t="shared" ref="AQ573:AQ593" si="1550">SUM(AK573+AM573+AO573)</f>
        <v>0</v>
      </c>
      <c r="AR573" s="96">
        <f t="shared" ref="AR573:AR593" si="1551">SUM(AL573+AN573+AP573)</f>
        <v>0</v>
      </c>
      <c r="AS573" s="96"/>
      <c r="AT573" s="176">
        <f t="shared" ref="AT573:AT593" si="1552">O573*AS573*$AT$2/1000</f>
        <v>0</v>
      </c>
      <c r="AU573" s="206"/>
      <c r="AV573" s="176">
        <f t="shared" ref="AV573:AV593" si="1553">O573*AU573*$AV$2/1000</f>
        <v>0</v>
      </c>
      <c r="AW573" s="206"/>
      <c r="AX573" s="205">
        <f t="shared" ref="AX573:AX593" si="1554">O573*AW573*$AX$2/1000</f>
        <v>0</v>
      </c>
      <c r="AY573" s="188">
        <f t="shared" ref="AY573:AY593" si="1555">SUM(AS573+AU573+AW573)</f>
        <v>0</v>
      </c>
      <c r="AZ573" s="96">
        <f t="shared" ref="AZ573:AZ593" si="1556">SUM(AT573+AV573+AX573)</f>
        <v>0</v>
      </c>
      <c r="BA573" s="96">
        <f t="shared" ref="BA573:BA593" si="1557">SUM(AQ573+AY573)</f>
        <v>0</v>
      </c>
      <c r="BB573" s="96">
        <f t="shared" ref="BB573:BB593" si="1558">SUM(AR573,AZ573)</f>
        <v>0</v>
      </c>
    </row>
    <row r="574" spans="1:54">
      <c r="A574" s="492">
        <v>330</v>
      </c>
      <c r="B574" s="13"/>
      <c r="C574" s="20"/>
      <c r="D574" s="13"/>
      <c r="E574" s="62" t="s">
        <v>195</v>
      </c>
      <c r="F574" s="63" t="s">
        <v>196</v>
      </c>
      <c r="G574" s="63" t="s">
        <v>1059</v>
      </c>
      <c r="H574" s="281" t="s">
        <v>357</v>
      </c>
      <c r="I574" s="66">
        <v>9.09</v>
      </c>
      <c r="J574" s="106"/>
      <c r="K574" s="66">
        <v>9.09</v>
      </c>
      <c r="L574" s="165"/>
      <c r="M574" s="66"/>
      <c r="N574" s="165"/>
      <c r="O574" s="66"/>
      <c r="P574" s="106"/>
      <c r="Q574" s="128">
        <f t="shared" si="1533"/>
        <v>11.600000000000001</v>
      </c>
      <c r="R574" s="345">
        <f t="shared" si="1534"/>
        <v>154.55354673599999</v>
      </c>
      <c r="S574" s="128">
        <v>3.76</v>
      </c>
      <c r="T574" s="128">
        <f t="shared" si="1535"/>
        <v>49.341647160000001</v>
      </c>
      <c r="U574" s="128">
        <v>2.2400000000000002</v>
      </c>
      <c r="V574" s="183">
        <f t="shared" si="1536"/>
        <v>29.285274816000005</v>
      </c>
      <c r="W574" s="220">
        <v>2.8</v>
      </c>
      <c r="X574" s="221">
        <f t="shared" si="1537"/>
        <v>38.238321239999998</v>
      </c>
      <c r="Y574" s="196">
        <f t="shared" si="1538"/>
        <v>8.8000000000000007</v>
      </c>
      <c r="Z574" s="183">
        <f t="shared" si="1539"/>
        <v>116.86524321600001</v>
      </c>
      <c r="AA574" s="220">
        <v>2.8</v>
      </c>
      <c r="AB574" s="221">
        <f t="shared" si="1540"/>
        <v>37.688303519999991</v>
      </c>
      <c r="AC574" s="220"/>
      <c r="AD574" s="183">
        <f t="shared" si="1541"/>
        <v>0</v>
      </c>
      <c r="AE574" s="220"/>
      <c r="AF574" s="205">
        <f t="shared" si="1542"/>
        <v>0</v>
      </c>
      <c r="AG574" s="196">
        <f t="shared" si="1543"/>
        <v>2.8</v>
      </c>
      <c r="AH574" s="128">
        <f t="shared" si="1544"/>
        <v>37.688303519999991</v>
      </c>
      <c r="AI574" s="128">
        <f t="shared" si="1545"/>
        <v>11.600000000000001</v>
      </c>
      <c r="AJ574" s="183">
        <f t="shared" si="1546"/>
        <v>154.55354673599999</v>
      </c>
      <c r="AK574" s="220"/>
      <c r="AL574" s="183">
        <f t="shared" si="1547"/>
        <v>0</v>
      </c>
      <c r="AM574" s="251"/>
      <c r="AN574" s="183">
        <f t="shared" si="1548"/>
        <v>0</v>
      </c>
      <c r="AO574" s="220"/>
      <c r="AP574" s="221">
        <f t="shared" si="1549"/>
        <v>0</v>
      </c>
      <c r="AQ574" s="196">
        <f t="shared" si="1550"/>
        <v>0</v>
      </c>
      <c r="AR574" s="128">
        <f t="shared" si="1551"/>
        <v>0</v>
      </c>
      <c r="AS574" s="128"/>
      <c r="AT574" s="183">
        <f t="shared" si="1552"/>
        <v>0</v>
      </c>
      <c r="AU574" s="220"/>
      <c r="AV574" s="183">
        <f t="shared" si="1553"/>
        <v>0</v>
      </c>
      <c r="AW574" s="220"/>
      <c r="AX574" s="221">
        <f t="shared" si="1554"/>
        <v>0</v>
      </c>
      <c r="AY574" s="196">
        <f t="shared" si="1555"/>
        <v>0</v>
      </c>
      <c r="AZ574" s="128">
        <f t="shared" si="1556"/>
        <v>0</v>
      </c>
      <c r="BA574" s="128">
        <f t="shared" si="1557"/>
        <v>0</v>
      </c>
      <c r="BB574" s="128">
        <f t="shared" si="1558"/>
        <v>0</v>
      </c>
    </row>
    <row r="575" spans="1:54">
      <c r="A575" s="492">
        <v>331</v>
      </c>
      <c r="B575" s="13"/>
      <c r="C575" s="20"/>
      <c r="D575" s="13"/>
      <c r="E575" s="62" t="s">
        <v>197</v>
      </c>
      <c r="F575" s="63" t="s">
        <v>198</v>
      </c>
      <c r="G575" s="63" t="s">
        <v>1059</v>
      </c>
      <c r="H575" s="281" t="s">
        <v>357</v>
      </c>
      <c r="I575" s="66">
        <v>12</v>
      </c>
      <c r="J575" s="106"/>
      <c r="K575" s="66">
        <v>12</v>
      </c>
      <c r="L575" s="165"/>
      <c r="M575" s="66"/>
      <c r="N575" s="165"/>
      <c r="O575" s="66"/>
      <c r="P575" s="106"/>
      <c r="Q575" s="128">
        <f t="shared" si="1533"/>
        <v>0</v>
      </c>
      <c r="R575" s="345">
        <f t="shared" si="1534"/>
        <v>0</v>
      </c>
      <c r="S575" s="128"/>
      <c r="T575" s="128">
        <f t="shared" si="1535"/>
        <v>0</v>
      </c>
      <c r="U575" s="128"/>
      <c r="V575" s="183">
        <f t="shared" si="1536"/>
        <v>0</v>
      </c>
      <c r="W575" s="220"/>
      <c r="X575" s="221">
        <f t="shared" si="1537"/>
        <v>0</v>
      </c>
      <c r="Y575" s="196">
        <f t="shared" si="1538"/>
        <v>0</v>
      </c>
      <c r="Z575" s="183">
        <f t="shared" si="1539"/>
        <v>0</v>
      </c>
      <c r="AA575" s="220"/>
      <c r="AB575" s="221">
        <f t="shared" si="1540"/>
        <v>0</v>
      </c>
      <c r="AC575" s="220"/>
      <c r="AD575" s="183">
        <f t="shared" si="1541"/>
        <v>0</v>
      </c>
      <c r="AE575" s="220"/>
      <c r="AF575" s="205">
        <f t="shared" si="1542"/>
        <v>0</v>
      </c>
      <c r="AG575" s="196">
        <f t="shared" si="1543"/>
        <v>0</v>
      </c>
      <c r="AH575" s="128">
        <f t="shared" si="1544"/>
        <v>0</v>
      </c>
      <c r="AI575" s="128">
        <f t="shared" si="1545"/>
        <v>0</v>
      </c>
      <c r="AJ575" s="183">
        <f t="shared" si="1546"/>
        <v>0</v>
      </c>
      <c r="AK575" s="220"/>
      <c r="AL575" s="183">
        <f t="shared" si="1547"/>
        <v>0</v>
      </c>
      <c r="AM575" s="251"/>
      <c r="AN575" s="183">
        <f t="shared" si="1548"/>
        <v>0</v>
      </c>
      <c r="AO575" s="220"/>
      <c r="AP575" s="221">
        <f t="shared" si="1549"/>
        <v>0</v>
      </c>
      <c r="AQ575" s="196">
        <f t="shared" si="1550"/>
        <v>0</v>
      </c>
      <c r="AR575" s="128">
        <f t="shared" si="1551"/>
        <v>0</v>
      </c>
      <c r="AS575" s="128"/>
      <c r="AT575" s="183">
        <f t="shared" si="1552"/>
        <v>0</v>
      </c>
      <c r="AU575" s="220"/>
      <c r="AV575" s="183">
        <f t="shared" si="1553"/>
        <v>0</v>
      </c>
      <c r="AW575" s="220"/>
      <c r="AX575" s="221">
        <f t="shared" si="1554"/>
        <v>0</v>
      </c>
      <c r="AY575" s="196">
        <f t="shared" si="1555"/>
        <v>0</v>
      </c>
      <c r="AZ575" s="128">
        <f t="shared" si="1556"/>
        <v>0</v>
      </c>
      <c r="BA575" s="128">
        <f t="shared" si="1557"/>
        <v>0</v>
      </c>
      <c r="BB575" s="128">
        <f t="shared" si="1558"/>
        <v>0</v>
      </c>
    </row>
    <row r="576" spans="1:54">
      <c r="A576" s="492">
        <v>332</v>
      </c>
      <c r="B576" s="13"/>
      <c r="C576" s="20"/>
      <c r="D576" s="13"/>
      <c r="E576" s="62" t="s">
        <v>199</v>
      </c>
      <c r="F576" s="63" t="s">
        <v>200</v>
      </c>
      <c r="G576" s="63" t="s">
        <v>1059</v>
      </c>
      <c r="H576" s="281" t="s">
        <v>357</v>
      </c>
      <c r="I576" s="66">
        <v>12.85</v>
      </c>
      <c r="J576" s="106"/>
      <c r="K576" s="66">
        <v>12.85</v>
      </c>
      <c r="L576" s="165"/>
      <c r="M576" s="66"/>
      <c r="N576" s="165"/>
      <c r="O576" s="66"/>
      <c r="P576" s="106"/>
      <c r="Q576" s="128">
        <f t="shared" si="1533"/>
        <v>0.24</v>
      </c>
      <c r="R576" s="345">
        <f t="shared" si="1534"/>
        <v>4.6333090799999992</v>
      </c>
      <c r="S576" s="128"/>
      <c r="T576" s="128">
        <f t="shared" si="1535"/>
        <v>0</v>
      </c>
      <c r="U576" s="128"/>
      <c r="V576" s="183">
        <f t="shared" si="1536"/>
        <v>0</v>
      </c>
      <c r="W576" s="220">
        <v>0.24</v>
      </c>
      <c r="X576" s="221">
        <f t="shared" si="1537"/>
        <v>4.6333090799999992</v>
      </c>
      <c r="Y576" s="196">
        <f t="shared" si="1538"/>
        <v>0.24</v>
      </c>
      <c r="Z576" s="183">
        <f t="shared" si="1539"/>
        <v>4.6333090799999992</v>
      </c>
      <c r="AA576" s="220"/>
      <c r="AB576" s="221">
        <f t="shared" si="1540"/>
        <v>0</v>
      </c>
      <c r="AC576" s="220"/>
      <c r="AD576" s="183">
        <f t="shared" si="1541"/>
        <v>0</v>
      </c>
      <c r="AE576" s="220"/>
      <c r="AF576" s="205">
        <f t="shared" si="1542"/>
        <v>0</v>
      </c>
      <c r="AG576" s="196">
        <f t="shared" si="1543"/>
        <v>0</v>
      </c>
      <c r="AH576" s="128">
        <f t="shared" si="1544"/>
        <v>0</v>
      </c>
      <c r="AI576" s="128">
        <f t="shared" si="1545"/>
        <v>0.24</v>
      </c>
      <c r="AJ576" s="183">
        <f t="shared" si="1546"/>
        <v>4.6333090799999992</v>
      </c>
      <c r="AK576" s="220"/>
      <c r="AL576" s="183">
        <f t="shared" si="1547"/>
        <v>0</v>
      </c>
      <c r="AM576" s="251"/>
      <c r="AN576" s="183">
        <f t="shared" si="1548"/>
        <v>0</v>
      </c>
      <c r="AO576" s="220"/>
      <c r="AP576" s="221">
        <f t="shared" si="1549"/>
        <v>0</v>
      </c>
      <c r="AQ576" s="196">
        <f t="shared" si="1550"/>
        <v>0</v>
      </c>
      <c r="AR576" s="128">
        <f t="shared" si="1551"/>
        <v>0</v>
      </c>
      <c r="AS576" s="128"/>
      <c r="AT576" s="183">
        <f t="shared" si="1552"/>
        <v>0</v>
      </c>
      <c r="AU576" s="220"/>
      <c r="AV576" s="183">
        <f t="shared" si="1553"/>
        <v>0</v>
      </c>
      <c r="AW576" s="220"/>
      <c r="AX576" s="221">
        <f t="shared" si="1554"/>
        <v>0</v>
      </c>
      <c r="AY576" s="196">
        <f t="shared" si="1555"/>
        <v>0</v>
      </c>
      <c r="AZ576" s="128">
        <f t="shared" si="1556"/>
        <v>0</v>
      </c>
      <c r="BA576" s="128">
        <f t="shared" si="1557"/>
        <v>0</v>
      </c>
      <c r="BB576" s="128">
        <f t="shared" si="1558"/>
        <v>0</v>
      </c>
    </row>
    <row r="577" spans="1:54">
      <c r="A577" s="492">
        <v>333</v>
      </c>
      <c r="B577" s="13"/>
      <c r="C577" s="20"/>
      <c r="D577" s="13"/>
      <c r="E577" s="62" t="s">
        <v>338</v>
      </c>
      <c r="F577" s="63" t="s">
        <v>339</v>
      </c>
      <c r="G577" s="63" t="s">
        <v>1059</v>
      </c>
      <c r="H577" s="265" t="s">
        <v>357</v>
      </c>
      <c r="I577" s="66">
        <v>12.4</v>
      </c>
      <c r="J577" s="106"/>
      <c r="K577" s="66">
        <v>12.4</v>
      </c>
      <c r="L577" s="165"/>
      <c r="M577" s="66"/>
      <c r="N577" s="165"/>
      <c r="O577" s="66"/>
      <c r="P577" s="106"/>
      <c r="Q577" s="96">
        <f t="shared" si="1533"/>
        <v>0</v>
      </c>
      <c r="R577" s="337">
        <f t="shared" si="1534"/>
        <v>0</v>
      </c>
      <c r="S577" s="96"/>
      <c r="T577" s="96">
        <f t="shared" si="1535"/>
        <v>0</v>
      </c>
      <c r="U577" s="96"/>
      <c r="V577" s="176">
        <f t="shared" si="1536"/>
        <v>0</v>
      </c>
      <c r="W577" s="206"/>
      <c r="X577" s="205">
        <f t="shared" si="1537"/>
        <v>0</v>
      </c>
      <c r="Y577" s="188">
        <f t="shared" si="1538"/>
        <v>0</v>
      </c>
      <c r="Z577" s="176">
        <f t="shared" si="1539"/>
        <v>0</v>
      </c>
      <c r="AA577" s="206"/>
      <c r="AB577" s="205">
        <f t="shared" si="1540"/>
        <v>0</v>
      </c>
      <c r="AC577" s="206"/>
      <c r="AD577" s="176">
        <f t="shared" si="1541"/>
        <v>0</v>
      </c>
      <c r="AE577" s="206"/>
      <c r="AF577" s="205">
        <f t="shared" si="1542"/>
        <v>0</v>
      </c>
      <c r="AG577" s="188">
        <f t="shared" si="1543"/>
        <v>0</v>
      </c>
      <c r="AH577" s="96">
        <f t="shared" si="1544"/>
        <v>0</v>
      </c>
      <c r="AI577" s="96">
        <f t="shared" si="1545"/>
        <v>0</v>
      </c>
      <c r="AJ577" s="176">
        <f t="shared" si="1546"/>
        <v>0</v>
      </c>
      <c r="AK577" s="206"/>
      <c r="AL577" s="176">
        <f t="shared" si="1547"/>
        <v>0</v>
      </c>
      <c r="AM577" s="243"/>
      <c r="AN577" s="176">
        <f t="shared" si="1548"/>
        <v>0</v>
      </c>
      <c r="AO577" s="206"/>
      <c r="AP577" s="205">
        <f t="shared" si="1549"/>
        <v>0</v>
      </c>
      <c r="AQ577" s="188">
        <f t="shared" si="1550"/>
        <v>0</v>
      </c>
      <c r="AR577" s="96">
        <f t="shared" si="1551"/>
        <v>0</v>
      </c>
      <c r="AS577" s="96"/>
      <c r="AT577" s="176">
        <f t="shared" si="1552"/>
        <v>0</v>
      </c>
      <c r="AU577" s="206"/>
      <c r="AV577" s="176">
        <f t="shared" si="1553"/>
        <v>0</v>
      </c>
      <c r="AW577" s="206"/>
      <c r="AX577" s="205">
        <f t="shared" si="1554"/>
        <v>0</v>
      </c>
      <c r="AY577" s="188">
        <f t="shared" si="1555"/>
        <v>0</v>
      </c>
      <c r="AZ577" s="96">
        <f t="shared" si="1556"/>
        <v>0</v>
      </c>
      <c r="BA577" s="96">
        <f t="shared" si="1557"/>
        <v>0</v>
      </c>
      <c r="BB577" s="96">
        <f t="shared" si="1558"/>
        <v>0</v>
      </c>
    </row>
    <row r="578" spans="1:54">
      <c r="A578" s="492">
        <v>334</v>
      </c>
      <c r="B578" s="13"/>
      <c r="C578" s="20"/>
      <c r="D578" s="13"/>
      <c r="E578" s="62" t="s">
        <v>340</v>
      </c>
      <c r="F578" s="63" t="s">
        <v>341</v>
      </c>
      <c r="G578" s="63" t="s">
        <v>1059</v>
      </c>
      <c r="H578" s="265" t="s">
        <v>357</v>
      </c>
      <c r="I578" s="66">
        <v>11.41</v>
      </c>
      <c r="J578" s="106"/>
      <c r="K578" s="66">
        <v>11.41</v>
      </c>
      <c r="L578" s="165"/>
      <c r="M578" s="66"/>
      <c r="N578" s="165"/>
      <c r="O578" s="66"/>
      <c r="P578" s="106"/>
      <c r="Q578" s="96">
        <f t="shared" si="1533"/>
        <v>1.1200000000000001</v>
      </c>
      <c r="R578" s="337">
        <f t="shared" si="1534"/>
        <v>18.745361207999998</v>
      </c>
      <c r="S578" s="96">
        <v>0.24</v>
      </c>
      <c r="T578" s="96">
        <f t="shared" si="1535"/>
        <v>3.95329116</v>
      </c>
      <c r="U578" s="96">
        <v>0.36</v>
      </c>
      <c r="V578" s="176">
        <f t="shared" si="1536"/>
        <v>5.9077967759999996</v>
      </c>
      <c r="W578" s="206">
        <v>0.4</v>
      </c>
      <c r="X578" s="205">
        <f t="shared" si="1537"/>
        <v>6.8568166799999997</v>
      </c>
      <c r="Y578" s="188">
        <f t="shared" si="1538"/>
        <v>1</v>
      </c>
      <c r="Z578" s="176">
        <f t="shared" si="1539"/>
        <v>16.717904615999998</v>
      </c>
      <c r="AA578" s="206">
        <v>0.12</v>
      </c>
      <c r="AB578" s="205">
        <f t="shared" si="1540"/>
        <v>2.0274565920000001</v>
      </c>
      <c r="AC578" s="206"/>
      <c r="AD578" s="176">
        <f t="shared" si="1541"/>
        <v>0</v>
      </c>
      <c r="AE578" s="206"/>
      <c r="AF578" s="205">
        <f t="shared" si="1542"/>
        <v>0</v>
      </c>
      <c r="AG578" s="188">
        <f t="shared" si="1543"/>
        <v>0.12</v>
      </c>
      <c r="AH578" s="96">
        <f t="shared" si="1544"/>
        <v>2.0274565920000001</v>
      </c>
      <c r="AI578" s="96">
        <f t="shared" si="1545"/>
        <v>1.1200000000000001</v>
      </c>
      <c r="AJ578" s="176">
        <f t="shared" si="1546"/>
        <v>18.745361207999998</v>
      </c>
      <c r="AK578" s="206"/>
      <c r="AL578" s="176">
        <f t="shared" si="1547"/>
        <v>0</v>
      </c>
      <c r="AM578" s="243"/>
      <c r="AN578" s="176">
        <f t="shared" si="1548"/>
        <v>0</v>
      </c>
      <c r="AO578" s="206"/>
      <c r="AP578" s="205">
        <f t="shared" si="1549"/>
        <v>0</v>
      </c>
      <c r="AQ578" s="188">
        <f t="shared" si="1550"/>
        <v>0</v>
      </c>
      <c r="AR578" s="96">
        <f t="shared" si="1551"/>
        <v>0</v>
      </c>
      <c r="AS578" s="96"/>
      <c r="AT578" s="176">
        <f t="shared" si="1552"/>
        <v>0</v>
      </c>
      <c r="AU578" s="206"/>
      <c r="AV578" s="176">
        <f t="shared" si="1553"/>
        <v>0</v>
      </c>
      <c r="AW578" s="206"/>
      <c r="AX578" s="205">
        <f t="shared" si="1554"/>
        <v>0</v>
      </c>
      <c r="AY578" s="188">
        <f t="shared" si="1555"/>
        <v>0</v>
      </c>
      <c r="AZ578" s="96">
        <f t="shared" si="1556"/>
        <v>0</v>
      </c>
      <c r="BA578" s="96">
        <f t="shared" si="1557"/>
        <v>0</v>
      </c>
      <c r="BB578" s="96">
        <f t="shared" si="1558"/>
        <v>0</v>
      </c>
    </row>
    <row r="579" spans="1:54">
      <c r="A579" s="492">
        <v>335</v>
      </c>
      <c r="B579" s="13"/>
      <c r="C579" s="20"/>
      <c r="D579" s="13"/>
      <c r="E579" s="62" t="s">
        <v>640</v>
      </c>
      <c r="F579" s="63" t="s">
        <v>641</v>
      </c>
      <c r="G579" s="63" t="s">
        <v>1059</v>
      </c>
      <c r="H579" s="281" t="s">
        <v>357</v>
      </c>
      <c r="I579" s="66">
        <v>5.85</v>
      </c>
      <c r="J579" s="106"/>
      <c r="K579" s="66">
        <v>5.85</v>
      </c>
      <c r="L579" s="165"/>
      <c r="M579" s="66"/>
      <c r="N579" s="165"/>
      <c r="O579" s="66"/>
      <c r="P579" s="106"/>
      <c r="Q579" s="128">
        <f t="shared" si="1533"/>
        <v>0</v>
      </c>
      <c r="R579" s="345">
        <f t="shared" si="1534"/>
        <v>0</v>
      </c>
      <c r="S579" s="128"/>
      <c r="T579" s="128">
        <f t="shared" si="1535"/>
        <v>0</v>
      </c>
      <c r="U579" s="128"/>
      <c r="V579" s="183">
        <f t="shared" si="1536"/>
        <v>0</v>
      </c>
      <c r="W579" s="220"/>
      <c r="X579" s="221">
        <f t="shared" si="1537"/>
        <v>0</v>
      </c>
      <c r="Y579" s="196">
        <f t="shared" si="1538"/>
        <v>0</v>
      </c>
      <c r="Z579" s="183">
        <f t="shared" si="1539"/>
        <v>0</v>
      </c>
      <c r="AA579" s="220"/>
      <c r="AB579" s="221">
        <f t="shared" si="1540"/>
        <v>0</v>
      </c>
      <c r="AC579" s="220"/>
      <c r="AD579" s="183">
        <f t="shared" si="1541"/>
        <v>0</v>
      </c>
      <c r="AE579" s="220"/>
      <c r="AF579" s="205">
        <f t="shared" si="1542"/>
        <v>0</v>
      </c>
      <c r="AG579" s="196">
        <f t="shared" si="1543"/>
        <v>0</v>
      </c>
      <c r="AH579" s="128">
        <f t="shared" si="1544"/>
        <v>0</v>
      </c>
      <c r="AI579" s="128">
        <f t="shared" si="1545"/>
        <v>0</v>
      </c>
      <c r="AJ579" s="183">
        <f t="shared" si="1546"/>
        <v>0</v>
      </c>
      <c r="AK579" s="220"/>
      <c r="AL579" s="183">
        <f t="shared" si="1547"/>
        <v>0</v>
      </c>
      <c r="AM579" s="251"/>
      <c r="AN579" s="183">
        <f t="shared" si="1548"/>
        <v>0</v>
      </c>
      <c r="AO579" s="220"/>
      <c r="AP579" s="221">
        <f t="shared" si="1549"/>
        <v>0</v>
      </c>
      <c r="AQ579" s="196">
        <f t="shared" si="1550"/>
        <v>0</v>
      </c>
      <c r="AR579" s="128">
        <f t="shared" si="1551"/>
        <v>0</v>
      </c>
      <c r="AS579" s="128"/>
      <c r="AT579" s="183">
        <f t="shared" si="1552"/>
        <v>0</v>
      </c>
      <c r="AU579" s="220"/>
      <c r="AV579" s="183">
        <f t="shared" si="1553"/>
        <v>0</v>
      </c>
      <c r="AW579" s="220"/>
      <c r="AX579" s="221">
        <f t="shared" si="1554"/>
        <v>0</v>
      </c>
      <c r="AY579" s="196">
        <f t="shared" si="1555"/>
        <v>0</v>
      </c>
      <c r="AZ579" s="128">
        <f t="shared" si="1556"/>
        <v>0</v>
      </c>
      <c r="BA579" s="128">
        <f t="shared" si="1557"/>
        <v>0</v>
      </c>
      <c r="BB579" s="128">
        <f t="shared" si="1558"/>
        <v>0</v>
      </c>
    </row>
    <row r="580" spans="1:54">
      <c r="A580" s="492">
        <v>336</v>
      </c>
      <c r="B580" s="13"/>
      <c r="C580" s="20"/>
      <c r="D580" s="13"/>
      <c r="E580" s="62" t="s">
        <v>642</v>
      </c>
      <c r="F580" s="63" t="s">
        <v>643</v>
      </c>
      <c r="G580" s="63" t="s">
        <v>1059</v>
      </c>
      <c r="H580" s="281" t="s">
        <v>357</v>
      </c>
      <c r="I580" s="66">
        <v>5.74</v>
      </c>
      <c r="J580" s="106"/>
      <c r="K580" s="66">
        <v>5.74</v>
      </c>
      <c r="L580" s="165"/>
      <c r="M580" s="66"/>
      <c r="N580" s="165"/>
      <c r="O580" s="66"/>
      <c r="P580" s="106"/>
      <c r="Q580" s="128">
        <f t="shared" si="1533"/>
        <v>37.440000000000005</v>
      </c>
      <c r="R580" s="345">
        <f t="shared" si="1534"/>
        <v>316.18531929599999</v>
      </c>
      <c r="S580" s="128">
        <v>7.2</v>
      </c>
      <c r="T580" s="128">
        <f t="shared" si="1535"/>
        <v>59.663167200000011</v>
      </c>
      <c r="U580" s="128">
        <v>7.56</v>
      </c>
      <c r="V580" s="183">
        <f t="shared" si="1536"/>
        <v>62.412429743999994</v>
      </c>
      <c r="W580" s="220">
        <v>10.8</v>
      </c>
      <c r="X580" s="221">
        <f t="shared" si="1537"/>
        <v>93.134921039999995</v>
      </c>
      <c r="Y580" s="196">
        <f t="shared" si="1538"/>
        <v>25.560000000000002</v>
      </c>
      <c r="Z580" s="183">
        <f t="shared" si="1539"/>
        <v>215.21051798400001</v>
      </c>
      <c r="AA580" s="220">
        <v>11.88</v>
      </c>
      <c r="AB580" s="221">
        <f t="shared" si="1540"/>
        <v>100.97480131200001</v>
      </c>
      <c r="AC580" s="220"/>
      <c r="AD580" s="183">
        <f t="shared" si="1541"/>
        <v>0</v>
      </c>
      <c r="AE580" s="220"/>
      <c r="AF580" s="205">
        <f t="shared" si="1542"/>
        <v>0</v>
      </c>
      <c r="AG580" s="196">
        <f t="shared" si="1543"/>
        <v>11.88</v>
      </c>
      <c r="AH580" s="128">
        <f t="shared" si="1544"/>
        <v>100.97480131200001</v>
      </c>
      <c r="AI580" s="128">
        <f t="shared" si="1545"/>
        <v>37.440000000000005</v>
      </c>
      <c r="AJ580" s="183">
        <f t="shared" si="1546"/>
        <v>316.18531929599999</v>
      </c>
      <c r="AK580" s="220"/>
      <c r="AL580" s="183">
        <f t="shared" si="1547"/>
        <v>0</v>
      </c>
      <c r="AM580" s="251"/>
      <c r="AN580" s="183">
        <f t="shared" si="1548"/>
        <v>0</v>
      </c>
      <c r="AO580" s="220"/>
      <c r="AP580" s="221">
        <f t="shared" si="1549"/>
        <v>0</v>
      </c>
      <c r="AQ580" s="196">
        <f t="shared" si="1550"/>
        <v>0</v>
      </c>
      <c r="AR580" s="128">
        <f t="shared" si="1551"/>
        <v>0</v>
      </c>
      <c r="AS580" s="128"/>
      <c r="AT580" s="183">
        <f t="shared" si="1552"/>
        <v>0</v>
      </c>
      <c r="AU580" s="220"/>
      <c r="AV580" s="183">
        <f t="shared" si="1553"/>
        <v>0</v>
      </c>
      <c r="AW580" s="220"/>
      <c r="AX580" s="221">
        <f t="shared" si="1554"/>
        <v>0</v>
      </c>
      <c r="AY580" s="196">
        <f t="shared" si="1555"/>
        <v>0</v>
      </c>
      <c r="AZ580" s="128">
        <f t="shared" si="1556"/>
        <v>0</v>
      </c>
      <c r="BA580" s="128">
        <f t="shared" si="1557"/>
        <v>0</v>
      </c>
      <c r="BB580" s="128">
        <f t="shared" si="1558"/>
        <v>0</v>
      </c>
    </row>
    <row r="581" spans="1:54">
      <c r="A581" s="492">
        <v>337</v>
      </c>
      <c r="B581" s="13"/>
      <c r="C581" s="13"/>
      <c r="D581" s="13"/>
      <c r="E581" s="21" t="s">
        <v>1451</v>
      </c>
      <c r="F581" s="455" t="s">
        <v>1452</v>
      </c>
      <c r="G581" s="22"/>
      <c r="H581" s="281" t="s">
        <v>357</v>
      </c>
      <c r="I581" s="54">
        <v>5.83</v>
      </c>
      <c r="J581" s="101"/>
      <c r="K581" s="54">
        <v>5.83</v>
      </c>
      <c r="L581" s="162"/>
      <c r="M581" s="54"/>
      <c r="N581" s="162"/>
      <c r="O581" s="54"/>
      <c r="P581" s="101"/>
      <c r="Q581" s="96">
        <f t="shared" si="1533"/>
        <v>0</v>
      </c>
      <c r="R581" s="337">
        <f t="shared" si="1534"/>
        <v>0</v>
      </c>
      <c r="S581" s="96"/>
      <c r="T581" s="96">
        <f t="shared" si="1535"/>
        <v>0</v>
      </c>
      <c r="U581" s="96"/>
      <c r="V581" s="176">
        <f t="shared" si="1536"/>
        <v>0</v>
      </c>
      <c r="W581" s="206"/>
      <c r="X581" s="205">
        <f t="shared" si="1537"/>
        <v>0</v>
      </c>
      <c r="Y581" s="188">
        <f t="shared" si="1538"/>
        <v>0</v>
      </c>
      <c r="Z581" s="176">
        <f t="shared" si="1539"/>
        <v>0</v>
      </c>
      <c r="AA581" s="206"/>
      <c r="AB581" s="205">
        <f t="shared" si="1540"/>
        <v>0</v>
      </c>
      <c r="AC581" s="206"/>
      <c r="AD581" s="176">
        <f t="shared" si="1541"/>
        <v>0</v>
      </c>
      <c r="AE581" s="206"/>
      <c r="AF581" s="205">
        <f t="shared" si="1542"/>
        <v>0</v>
      </c>
      <c r="AG581" s="188">
        <f t="shared" si="1543"/>
        <v>0</v>
      </c>
      <c r="AH581" s="96">
        <f t="shared" si="1544"/>
        <v>0</v>
      </c>
      <c r="AI581" s="96">
        <f t="shared" si="1545"/>
        <v>0</v>
      </c>
      <c r="AJ581" s="176">
        <f t="shared" si="1546"/>
        <v>0</v>
      </c>
      <c r="AK581" s="206"/>
      <c r="AL581" s="176">
        <f t="shared" si="1547"/>
        <v>0</v>
      </c>
      <c r="AM581" s="243"/>
      <c r="AN581" s="176">
        <f t="shared" si="1548"/>
        <v>0</v>
      </c>
      <c r="AO581" s="206"/>
      <c r="AP581" s="205">
        <f t="shared" si="1549"/>
        <v>0</v>
      </c>
      <c r="AQ581" s="188">
        <f t="shared" si="1550"/>
        <v>0</v>
      </c>
      <c r="AR581" s="96">
        <f t="shared" si="1551"/>
        <v>0</v>
      </c>
      <c r="AS581" s="96"/>
      <c r="AT581" s="176">
        <f t="shared" si="1552"/>
        <v>0</v>
      </c>
      <c r="AU581" s="206"/>
      <c r="AV581" s="176">
        <f t="shared" si="1553"/>
        <v>0</v>
      </c>
      <c r="AW581" s="206"/>
      <c r="AX581" s="205">
        <f t="shared" si="1554"/>
        <v>0</v>
      </c>
      <c r="AY581" s="188">
        <f t="shared" si="1555"/>
        <v>0</v>
      </c>
      <c r="AZ581" s="96">
        <f t="shared" si="1556"/>
        <v>0</v>
      </c>
      <c r="BA581" s="96">
        <f t="shared" si="1557"/>
        <v>0</v>
      </c>
      <c r="BB581" s="96">
        <f t="shared" si="1558"/>
        <v>0</v>
      </c>
    </row>
    <row r="582" spans="1:54">
      <c r="A582" s="492">
        <v>337</v>
      </c>
      <c r="B582" s="13"/>
      <c r="C582" s="13"/>
      <c r="D582" s="13"/>
      <c r="E582" s="21" t="s">
        <v>1368</v>
      </c>
      <c r="F582" s="543" t="s">
        <v>1369</v>
      </c>
      <c r="G582" s="22"/>
      <c r="H582" s="281" t="s">
        <v>357</v>
      </c>
      <c r="I582" s="54">
        <v>5.97</v>
      </c>
      <c r="J582" s="101"/>
      <c r="K582" s="54">
        <v>5.97</v>
      </c>
      <c r="L582" s="162"/>
      <c r="M582" s="54"/>
      <c r="N582" s="162"/>
      <c r="O582" s="54"/>
      <c r="P582" s="101"/>
      <c r="Q582" s="96">
        <f t="shared" si="1533"/>
        <v>0</v>
      </c>
      <c r="R582" s="337">
        <f t="shared" si="1534"/>
        <v>0</v>
      </c>
      <c r="S582" s="96"/>
      <c r="T582" s="96">
        <f t="shared" si="1535"/>
        <v>0</v>
      </c>
      <c r="U582" s="96"/>
      <c r="V582" s="176">
        <f t="shared" si="1536"/>
        <v>0</v>
      </c>
      <c r="W582" s="206"/>
      <c r="X582" s="205">
        <f t="shared" si="1537"/>
        <v>0</v>
      </c>
      <c r="Y582" s="188">
        <f t="shared" si="1538"/>
        <v>0</v>
      </c>
      <c r="Z582" s="176">
        <f t="shared" si="1539"/>
        <v>0</v>
      </c>
      <c r="AA582" s="206"/>
      <c r="AB582" s="205">
        <f t="shared" si="1540"/>
        <v>0</v>
      </c>
      <c r="AC582" s="206"/>
      <c r="AD582" s="176">
        <f t="shared" si="1541"/>
        <v>0</v>
      </c>
      <c r="AE582" s="206"/>
      <c r="AF582" s="205">
        <f t="shared" si="1542"/>
        <v>0</v>
      </c>
      <c r="AG582" s="188">
        <f t="shared" si="1543"/>
        <v>0</v>
      </c>
      <c r="AH582" s="96">
        <f t="shared" si="1544"/>
        <v>0</v>
      </c>
      <c r="AI582" s="96">
        <f t="shared" si="1545"/>
        <v>0</v>
      </c>
      <c r="AJ582" s="176">
        <f t="shared" si="1546"/>
        <v>0</v>
      </c>
      <c r="AK582" s="206"/>
      <c r="AL582" s="176">
        <f t="shared" si="1547"/>
        <v>0</v>
      </c>
      <c r="AM582" s="243"/>
      <c r="AN582" s="176">
        <f t="shared" si="1548"/>
        <v>0</v>
      </c>
      <c r="AO582" s="206"/>
      <c r="AP582" s="205">
        <f t="shared" si="1549"/>
        <v>0</v>
      </c>
      <c r="AQ582" s="188">
        <f t="shared" si="1550"/>
        <v>0</v>
      </c>
      <c r="AR582" s="96">
        <f t="shared" si="1551"/>
        <v>0</v>
      </c>
      <c r="AS582" s="96"/>
      <c r="AT582" s="176">
        <f t="shared" si="1552"/>
        <v>0</v>
      </c>
      <c r="AU582" s="206"/>
      <c r="AV582" s="176">
        <f t="shared" si="1553"/>
        <v>0</v>
      </c>
      <c r="AW582" s="206"/>
      <c r="AX582" s="205">
        <f t="shared" si="1554"/>
        <v>0</v>
      </c>
      <c r="AY582" s="188">
        <f t="shared" si="1555"/>
        <v>0</v>
      </c>
      <c r="AZ582" s="96">
        <f t="shared" si="1556"/>
        <v>0</v>
      </c>
      <c r="BA582" s="96">
        <f t="shared" si="1557"/>
        <v>0</v>
      </c>
      <c r="BB582" s="96">
        <f t="shared" si="1558"/>
        <v>0</v>
      </c>
    </row>
    <row r="583" spans="1:54">
      <c r="A583" s="492">
        <v>337</v>
      </c>
      <c r="B583" s="13"/>
      <c r="C583" s="13"/>
      <c r="D583" s="13"/>
      <c r="E583" s="21" t="s">
        <v>2293</v>
      </c>
      <c r="F583" s="543" t="s">
        <v>2292</v>
      </c>
      <c r="G583" s="22"/>
      <c r="H583" s="281" t="s">
        <v>357</v>
      </c>
      <c r="I583" s="54">
        <v>19.7</v>
      </c>
      <c r="J583" s="101"/>
      <c r="K583" s="54">
        <v>19.7</v>
      </c>
      <c r="L583" s="162"/>
      <c r="M583" s="54"/>
      <c r="N583" s="162"/>
      <c r="O583" s="54"/>
      <c r="P583" s="101"/>
      <c r="Q583" s="96">
        <f t="shared" ref="Q583" si="1559">SUM(AI583+BA583)</f>
        <v>3.0000000000000001E-3</v>
      </c>
      <c r="R583" s="337">
        <f t="shared" ref="R583" si="1560">SUM(AJ583+BB583)</f>
        <v>8.5001166000000003E-2</v>
      </c>
      <c r="S583" s="96"/>
      <c r="T583" s="96">
        <f t="shared" ref="T583" si="1561">I583*S583*$T$2/1000</f>
        <v>0</v>
      </c>
      <c r="U583" s="96">
        <v>3.0000000000000001E-3</v>
      </c>
      <c r="V583" s="176">
        <f t="shared" ref="V583" si="1562">I583*U583*$V$2/1000</f>
        <v>8.5001166000000003E-2</v>
      </c>
      <c r="W583" s="206"/>
      <c r="X583" s="205">
        <f t="shared" ref="X583" si="1563">I583*W583*$X$2/1000</f>
        <v>0</v>
      </c>
      <c r="Y583" s="188">
        <f t="shared" ref="Y583" si="1564">SUM(S583+U583+W583)</f>
        <v>3.0000000000000001E-3</v>
      </c>
      <c r="Z583" s="176">
        <f t="shared" ref="Z583" si="1565">SUM(T583+V583+X583)</f>
        <v>8.5001166000000003E-2</v>
      </c>
      <c r="AA583" s="206"/>
      <c r="AB583" s="205">
        <f t="shared" ref="AB583" si="1566">K583*AA583*$AB$2/1000</f>
        <v>0</v>
      </c>
      <c r="AC583" s="206"/>
      <c r="AD583" s="176">
        <f t="shared" ref="AD583" si="1567">K583*AC583*$AD$2/1000</f>
        <v>0</v>
      </c>
      <c r="AE583" s="206"/>
      <c r="AF583" s="205">
        <f t="shared" ref="AF583" si="1568">K583*AE583*$AF$2/1000</f>
        <v>0</v>
      </c>
      <c r="AG583" s="188">
        <f t="shared" ref="AG583" si="1569">SUM(AA583+AC583+AE583)</f>
        <v>0</v>
      </c>
      <c r="AH583" s="96">
        <f t="shared" ref="AH583" si="1570">SUM(AB583+AD583+AF583)</f>
        <v>0</v>
      </c>
      <c r="AI583" s="96">
        <f t="shared" ref="AI583" si="1571">SUM(Y583+AG583)</f>
        <v>3.0000000000000001E-3</v>
      </c>
      <c r="AJ583" s="176">
        <f t="shared" ref="AJ583" si="1572">SUM(Z583,AH583)</f>
        <v>8.5001166000000003E-2</v>
      </c>
      <c r="AK583" s="206"/>
      <c r="AL583" s="176">
        <f t="shared" ref="AL583" si="1573">M583*AK583*$AL$2/1000</f>
        <v>0</v>
      </c>
      <c r="AM583" s="243"/>
      <c r="AN583" s="176">
        <f t="shared" ref="AN583" si="1574">M583*AM583*$AN$2/1000</f>
        <v>0</v>
      </c>
      <c r="AO583" s="206"/>
      <c r="AP583" s="205">
        <f t="shared" ref="AP583" si="1575">M583*AO583*$AP$2/1000</f>
        <v>0</v>
      </c>
      <c r="AQ583" s="188">
        <f t="shared" ref="AQ583" si="1576">SUM(AK583+AM583+AO583)</f>
        <v>0</v>
      </c>
      <c r="AR583" s="96">
        <f t="shared" ref="AR583" si="1577">SUM(AL583+AN583+AP583)</f>
        <v>0</v>
      </c>
      <c r="AS583" s="96"/>
      <c r="AT583" s="176">
        <f t="shared" ref="AT583" si="1578">O583*AS583*$AT$2/1000</f>
        <v>0</v>
      </c>
      <c r="AU583" s="206"/>
      <c r="AV583" s="176">
        <f t="shared" ref="AV583" si="1579">O583*AU583*$AV$2/1000</f>
        <v>0</v>
      </c>
      <c r="AW583" s="206"/>
      <c r="AX583" s="205">
        <f t="shared" ref="AX583" si="1580">O583*AW583*$AX$2/1000</f>
        <v>0</v>
      </c>
      <c r="AY583" s="188">
        <f t="shared" ref="AY583" si="1581">SUM(AS583+AU583+AW583)</f>
        <v>0</v>
      </c>
      <c r="AZ583" s="96">
        <f t="shared" ref="AZ583" si="1582">SUM(AT583+AV583+AX583)</f>
        <v>0</v>
      </c>
      <c r="BA583" s="96">
        <f t="shared" ref="BA583" si="1583">SUM(AQ583+AY583)</f>
        <v>0</v>
      </c>
      <c r="BB583" s="96">
        <f t="shared" ref="BB583" si="1584">SUM(AR583,AZ583)</f>
        <v>0</v>
      </c>
    </row>
    <row r="584" spans="1:54">
      <c r="A584" s="492">
        <v>337</v>
      </c>
      <c r="B584" s="13"/>
      <c r="C584" s="13"/>
      <c r="D584" s="13"/>
      <c r="E584" s="21" t="s">
        <v>2295</v>
      </c>
      <c r="F584" s="543" t="s">
        <v>2294</v>
      </c>
      <c r="G584" s="22"/>
      <c r="H584" s="281" t="s">
        <v>357</v>
      </c>
      <c r="I584" s="54">
        <v>19.55</v>
      </c>
      <c r="J584" s="101"/>
      <c r="K584" s="54">
        <v>19.55</v>
      </c>
      <c r="L584" s="162"/>
      <c r="M584" s="54"/>
      <c r="N584" s="162"/>
      <c r="O584" s="54"/>
      <c r="P584" s="101"/>
      <c r="Q584" s="96">
        <f t="shared" si="1533"/>
        <v>1.4E-2</v>
      </c>
      <c r="R584" s="337">
        <f t="shared" si="1534"/>
        <v>0.39531351199999998</v>
      </c>
      <c r="S584" s="96"/>
      <c r="T584" s="96">
        <f t="shared" si="1535"/>
        <v>0</v>
      </c>
      <c r="U584" s="96">
        <v>1.2E-2</v>
      </c>
      <c r="V584" s="176">
        <f t="shared" si="1536"/>
        <v>0.33741579599999999</v>
      </c>
      <c r="W584" s="206"/>
      <c r="X584" s="205">
        <f t="shared" si="1537"/>
        <v>0</v>
      </c>
      <c r="Y584" s="188">
        <f t="shared" si="1538"/>
        <v>1.2E-2</v>
      </c>
      <c r="Z584" s="176">
        <f t="shared" si="1539"/>
        <v>0.33741579599999999</v>
      </c>
      <c r="AA584" s="206">
        <v>2E-3</v>
      </c>
      <c r="AB584" s="205">
        <f t="shared" si="1540"/>
        <v>5.7897716000000002E-2</v>
      </c>
      <c r="AC584" s="206"/>
      <c r="AD584" s="176">
        <f t="shared" si="1541"/>
        <v>0</v>
      </c>
      <c r="AE584" s="206"/>
      <c r="AF584" s="205">
        <f t="shared" si="1542"/>
        <v>0</v>
      </c>
      <c r="AG584" s="188">
        <f t="shared" si="1543"/>
        <v>2E-3</v>
      </c>
      <c r="AH584" s="96">
        <f t="shared" si="1544"/>
        <v>5.7897716000000002E-2</v>
      </c>
      <c r="AI584" s="96">
        <f t="shared" si="1545"/>
        <v>1.4E-2</v>
      </c>
      <c r="AJ584" s="176">
        <f t="shared" si="1546"/>
        <v>0.39531351199999998</v>
      </c>
      <c r="AK584" s="206"/>
      <c r="AL584" s="176">
        <f t="shared" si="1547"/>
        <v>0</v>
      </c>
      <c r="AM584" s="243"/>
      <c r="AN584" s="176">
        <f t="shared" si="1548"/>
        <v>0</v>
      </c>
      <c r="AO584" s="206"/>
      <c r="AP584" s="205">
        <f t="shared" si="1549"/>
        <v>0</v>
      </c>
      <c r="AQ584" s="188">
        <f t="shared" si="1550"/>
        <v>0</v>
      </c>
      <c r="AR584" s="96">
        <f t="shared" si="1551"/>
        <v>0</v>
      </c>
      <c r="AS584" s="96"/>
      <c r="AT584" s="176">
        <f t="shared" si="1552"/>
        <v>0</v>
      </c>
      <c r="AU584" s="206"/>
      <c r="AV584" s="176">
        <f t="shared" si="1553"/>
        <v>0</v>
      </c>
      <c r="AW584" s="206"/>
      <c r="AX584" s="205">
        <f t="shared" si="1554"/>
        <v>0</v>
      </c>
      <c r="AY584" s="188">
        <f t="shared" si="1555"/>
        <v>0</v>
      </c>
      <c r="AZ584" s="96">
        <f t="shared" si="1556"/>
        <v>0</v>
      </c>
      <c r="BA584" s="96">
        <f t="shared" si="1557"/>
        <v>0</v>
      </c>
      <c r="BB584" s="96">
        <f t="shared" si="1558"/>
        <v>0</v>
      </c>
    </row>
    <row r="585" spans="1:54">
      <c r="A585" s="492">
        <v>338</v>
      </c>
      <c r="B585" s="13"/>
      <c r="C585" s="20"/>
      <c r="D585" s="13"/>
      <c r="E585" s="62" t="s">
        <v>1013</v>
      </c>
      <c r="F585" s="63" t="s">
        <v>1014</v>
      </c>
      <c r="G585" s="63" t="s">
        <v>1056</v>
      </c>
      <c r="H585" s="281" t="s">
        <v>357</v>
      </c>
      <c r="I585" s="66">
        <v>6.51</v>
      </c>
      <c r="J585" s="106"/>
      <c r="K585" s="66">
        <v>6.51</v>
      </c>
      <c r="L585" s="165"/>
      <c r="M585" s="66"/>
      <c r="N585" s="165"/>
      <c r="O585" s="66"/>
      <c r="P585" s="106"/>
      <c r="Q585" s="128">
        <f t="shared" si="1533"/>
        <v>0.27</v>
      </c>
      <c r="R585" s="345">
        <f t="shared" si="1534"/>
        <v>2.5821921509999997</v>
      </c>
      <c r="S585" s="128"/>
      <c r="T585" s="128">
        <f t="shared" si="1535"/>
        <v>0</v>
      </c>
      <c r="U585" s="128">
        <v>0.12</v>
      </c>
      <c r="V585" s="183">
        <f t="shared" si="1536"/>
        <v>1.1235687119999997</v>
      </c>
      <c r="W585" s="220">
        <v>0.09</v>
      </c>
      <c r="X585" s="221">
        <f t="shared" si="1537"/>
        <v>0.88023858299999991</v>
      </c>
      <c r="Y585" s="196">
        <f t="shared" si="1538"/>
        <v>0.21</v>
      </c>
      <c r="Z585" s="183">
        <f t="shared" si="1539"/>
        <v>2.0038072949999997</v>
      </c>
      <c r="AA585" s="220">
        <v>0.06</v>
      </c>
      <c r="AB585" s="221">
        <f t="shared" si="1540"/>
        <v>0.57838485599999989</v>
      </c>
      <c r="AC585" s="220"/>
      <c r="AD585" s="183">
        <f t="shared" si="1541"/>
        <v>0</v>
      </c>
      <c r="AE585" s="220"/>
      <c r="AF585" s="205">
        <f t="shared" si="1542"/>
        <v>0</v>
      </c>
      <c r="AG585" s="196">
        <f t="shared" si="1543"/>
        <v>0.06</v>
      </c>
      <c r="AH585" s="128">
        <f t="shared" si="1544"/>
        <v>0.57838485599999989</v>
      </c>
      <c r="AI585" s="128">
        <f t="shared" si="1545"/>
        <v>0.27</v>
      </c>
      <c r="AJ585" s="183">
        <f t="shared" si="1546"/>
        <v>2.5821921509999997</v>
      </c>
      <c r="AK585" s="220"/>
      <c r="AL585" s="183">
        <f t="shared" si="1547"/>
        <v>0</v>
      </c>
      <c r="AM585" s="251"/>
      <c r="AN585" s="183">
        <f t="shared" si="1548"/>
        <v>0</v>
      </c>
      <c r="AO585" s="220"/>
      <c r="AP585" s="221">
        <f t="shared" si="1549"/>
        <v>0</v>
      </c>
      <c r="AQ585" s="196">
        <f t="shared" si="1550"/>
        <v>0</v>
      </c>
      <c r="AR585" s="128">
        <f t="shared" si="1551"/>
        <v>0</v>
      </c>
      <c r="AS585" s="128"/>
      <c r="AT585" s="183">
        <f t="shared" si="1552"/>
        <v>0</v>
      </c>
      <c r="AU585" s="220"/>
      <c r="AV585" s="183">
        <f t="shared" si="1553"/>
        <v>0</v>
      </c>
      <c r="AW585" s="220"/>
      <c r="AX585" s="221">
        <f t="shared" si="1554"/>
        <v>0</v>
      </c>
      <c r="AY585" s="196">
        <f t="shared" si="1555"/>
        <v>0</v>
      </c>
      <c r="AZ585" s="128">
        <f t="shared" si="1556"/>
        <v>0</v>
      </c>
      <c r="BA585" s="128">
        <f t="shared" si="1557"/>
        <v>0</v>
      </c>
      <c r="BB585" s="128">
        <f t="shared" si="1558"/>
        <v>0</v>
      </c>
    </row>
    <row r="586" spans="1:54">
      <c r="A586" s="492">
        <v>339</v>
      </c>
      <c r="B586" s="13"/>
      <c r="C586" s="20"/>
      <c r="D586" s="13"/>
      <c r="E586" s="62" t="s">
        <v>1015</v>
      </c>
      <c r="F586" s="63" t="s">
        <v>1016</v>
      </c>
      <c r="G586" s="63" t="s">
        <v>1062</v>
      </c>
      <c r="H586" s="281" t="s">
        <v>357</v>
      </c>
      <c r="I586" s="66">
        <v>5.95</v>
      </c>
      <c r="J586" s="106"/>
      <c r="K586" s="66">
        <v>5.95</v>
      </c>
      <c r="L586" s="165"/>
      <c r="M586" s="66"/>
      <c r="N586" s="165"/>
      <c r="O586" s="66"/>
      <c r="P586" s="106"/>
      <c r="Q586" s="128">
        <f t="shared" si="1533"/>
        <v>29.46</v>
      </c>
      <c r="R586" s="345">
        <f t="shared" si="1534"/>
        <v>257.02760496000002</v>
      </c>
      <c r="S586" s="128">
        <v>9.8699999999999992</v>
      </c>
      <c r="T586" s="128">
        <f t="shared" si="1535"/>
        <v>84.780511725000011</v>
      </c>
      <c r="U586" s="128">
        <v>5.4</v>
      </c>
      <c r="V586" s="183">
        <f t="shared" si="1536"/>
        <v>46.211293800000007</v>
      </c>
      <c r="W586" s="220">
        <v>7.89</v>
      </c>
      <c r="X586" s="221">
        <f t="shared" si="1537"/>
        <v>70.529510834999996</v>
      </c>
      <c r="Y586" s="196">
        <f t="shared" si="1538"/>
        <v>23.16</v>
      </c>
      <c r="Z586" s="183">
        <f t="shared" si="1539"/>
        <v>201.52131636000001</v>
      </c>
      <c r="AA586" s="220">
        <v>6.3</v>
      </c>
      <c r="AB586" s="221">
        <f t="shared" si="1540"/>
        <v>55.506288599999998</v>
      </c>
      <c r="AC586" s="220"/>
      <c r="AD586" s="183">
        <f t="shared" si="1541"/>
        <v>0</v>
      </c>
      <c r="AE586" s="220"/>
      <c r="AF586" s="205">
        <f t="shared" si="1542"/>
        <v>0</v>
      </c>
      <c r="AG586" s="196">
        <f t="shared" si="1543"/>
        <v>6.3</v>
      </c>
      <c r="AH586" s="128">
        <f t="shared" si="1544"/>
        <v>55.506288599999998</v>
      </c>
      <c r="AI586" s="128">
        <f t="shared" si="1545"/>
        <v>29.46</v>
      </c>
      <c r="AJ586" s="183">
        <f t="shared" si="1546"/>
        <v>257.02760496000002</v>
      </c>
      <c r="AK586" s="220"/>
      <c r="AL586" s="183">
        <f t="shared" si="1547"/>
        <v>0</v>
      </c>
      <c r="AM586" s="251"/>
      <c r="AN586" s="183">
        <f t="shared" si="1548"/>
        <v>0</v>
      </c>
      <c r="AO586" s="220"/>
      <c r="AP586" s="221">
        <f t="shared" si="1549"/>
        <v>0</v>
      </c>
      <c r="AQ586" s="196">
        <f t="shared" si="1550"/>
        <v>0</v>
      </c>
      <c r="AR586" s="128">
        <f t="shared" si="1551"/>
        <v>0</v>
      </c>
      <c r="AS586" s="128"/>
      <c r="AT586" s="183">
        <f t="shared" si="1552"/>
        <v>0</v>
      </c>
      <c r="AU586" s="220"/>
      <c r="AV586" s="183">
        <f t="shared" si="1553"/>
        <v>0</v>
      </c>
      <c r="AW586" s="220"/>
      <c r="AX586" s="221">
        <f t="shared" si="1554"/>
        <v>0</v>
      </c>
      <c r="AY586" s="196">
        <f t="shared" si="1555"/>
        <v>0</v>
      </c>
      <c r="AZ586" s="128">
        <f t="shared" si="1556"/>
        <v>0</v>
      </c>
      <c r="BA586" s="128">
        <f t="shared" si="1557"/>
        <v>0</v>
      </c>
      <c r="BB586" s="128">
        <f t="shared" si="1558"/>
        <v>0</v>
      </c>
    </row>
    <row r="587" spans="1:54">
      <c r="A587" s="492">
        <v>340</v>
      </c>
      <c r="B587" s="13"/>
      <c r="C587" s="20"/>
      <c r="D587" s="13"/>
      <c r="E587" s="62" t="s">
        <v>1242</v>
      </c>
      <c r="F587" s="542" t="s">
        <v>1246</v>
      </c>
      <c r="G587" s="63" t="s">
        <v>1062</v>
      </c>
      <c r="H587" s="281" t="s">
        <v>357</v>
      </c>
      <c r="I587" s="66">
        <v>21.9</v>
      </c>
      <c r="J587" s="106"/>
      <c r="K587" s="66">
        <v>21.9</v>
      </c>
      <c r="L587" s="165"/>
      <c r="M587" s="66"/>
      <c r="N587" s="165"/>
      <c r="O587" s="66"/>
      <c r="P587" s="106"/>
      <c r="Q587" s="128">
        <f t="shared" si="1533"/>
        <v>0</v>
      </c>
      <c r="R587" s="345">
        <f t="shared" si="1534"/>
        <v>0</v>
      </c>
      <c r="S587" s="128"/>
      <c r="T587" s="128">
        <f t="shared" si="1535"/>
        <v>0</v>
      </c>
      <c r="U587" s="128"/>
      <c r="V587" s="183">
        <f t="shared" si="1536"/>
        <v>0</v>
      </c>
      <c r="W587" s="220"/>
      <c r="X587" s="221">
        <f t="shared" si="1537"/>
        <v>0</v>
      </c>
      <c r="Y587" s="196">
        <f t="shared" si="1538"/>
        <v>0</v>
      </c>
      <c r="Z587" s="183">
        <f t="shared" si="1539"/>
        <v>0</v>
      </c>
      <c r="AA587" s="220"/>
      <c r="AB587" s="221">
        <f t="shared" si="1540"/>
        <v>0</v>
      </c>
      <c r="AC587" s="220"/>
      <c r="AD587" s="183">
        <f t="shared" si="1541"/>
        <v>0</v>
      </c>
      <c r="AE587" s="220"/>
      <c r="AF587" s="205">
        <f t="shared" si="1542"/>
        <v>0</v>
      </c>
      <c r="AG587" s="196">
        <f t="shared" si="1543"/>
        <v>0</v>
      </c>
      <c r="AH587" s="128">
        <f t="shared" si="1544"/>
        <v>0</v>
      </c>
      <c r="AI587" s="128">
        <f t="shared" si="1545"/>
        <v>0</v>
      </c>
      <c r="AJ587" s="183">
        <f t="shared" si="1546"/>
        <v>0</v>
      </c>
      <c r="AK587" s="220"/>
      <c r="AL587" s="183">
        <f t="shared" si="1547"/>
        <v>0</v>
      </c>
      <c r="AM587" s="251"/>
      <c r="AN587" s="183">
        <f t="shared" si="1548"/>
        <v>0</v>
      </c>
      <c r="AO587" s="220"/>
      <c r="AP587" s="221">
        <f t="shared" si="1549"/>
        <v>0</v>
      </c>
      <c r="AQ587" s="196">
        <f t="shared" si="1550"/>
        <v>0</v>
      </c>
      <c r="AR587" s="128">
        <f t="shared" si="1551"/>
        <v>0</v>
      </c>
      <c r="AS587" s="128"/>
      <c r="AT587" s="183">
        <f t="shared" si="1552"/>
        <v>0</v>
      </c>
      <c r="AU587" s="220"/>
      <c r="AV587" s="183">
        <f t="shared" si="1553"/>
        <v>0</v>
      </c>
      <c r="AW587" s="220"/>
      <c r="AX587" s="221">
        <f t="shared" si="1554"/>
        <v>0</v>
      </c>
      <c r="AY587" s="196">
        <f t="shared" si="1555"/>
        <v>0</v>
      </c>
      <c r="AZ587" s="128">
        <f t="shared" si="1556"/>
        <v>0</v>
      </c>
      <c r="BA587" s="128">
        <f t="shared" si="1557"/>
        <v>0</v>
      </c>
      <c r="BB587" s="128">
        <f t="shared" si="1558"/>
        <v>0</v>
      </c>
    </row>
    <row r="588" spans="1:54">
      <c r="A588" s="492">
        <v>340</v>
      </c>
      <c r="B588" s="13"/>
      <c r="C588" s="20"/>
      <c r="D588" s="13"/>
      <c r="E588" s="62" t="s">
        <v>1243</v>
      </c>
      <c r="F588" s="542" t="s">
        <v>1247</v>
      </c>
      <c r="G588" s="63" t="s">
        <v>1062</v>
      </c>
      <c r="H588" s="281" t="s">
        <v>357</v>
      </c>
      <c r="I588" s="66">
        <v>19.84</v>
      </c>
      <c r="J588" s="106"/>
      <c r="K588" s="66">
        <v>19.84</v>
      </c>
      <c r="L588" s="165"/>
      <c r="M588" s="66"/>
      <c r="N588" s="165"/>
      <c r="O588" s="66"/>
      <c r="P588" s="106"/>
      <c r="Q588" s="128">
        <f t="shared" si="1533"/>
        <v>4.4159999999999995</v>
      </c>
      <c r="R588" s="345">
        <f t="shared" si="1534"/>
        <v>128.3265294336</v>
      </c>
      <c r="S588" s="128">
        <v>1.1519999999999999</v>
      </c>
      <c r="T588" s="128">
        <f t="shared" si="1535"/>
        <v>32.995602431999998</v>
      </c>
      <c r="U588" s="128">
        <v>1.1519999999999999</v>
      </c>
      <c r="V588" s="183">
        <f t="shared" si="1536"/>
        <v>32.8724103168</v>
      </c>
      <c r="W588" s="220">
        <v>0.96</v>
      </c>
      <c r="X588" s="221">
        <f t="shared" si="1537"/>
        <v>28.614739967999995</v>
      </c>
      <c r="Y588" s="196">
        <f t="shared" si="1538"/>
        <v>3.2639999999999998</v>
      </c>
      <c r="Z588" s="183">
        <f t="shared" si="1539"/>
        <v>94.482752716799993</v>
      </c>
      <c r="AA588" s="220">
        <v>1.1519999999999999</v>
      </c>
      <c r="AB588" s="221">
        <f t="shared" si="1540"/>
        <v>33.843776716800001</v>
      </c>
      <c r="AC588" s="220"/>
      <c r="AD588" s="183">
        <f t="shared" si="1541"/>
        <v>0</v>
      </c>
      <c r="AE588" s="220"/>
      <c r="AF588" s="205">
        <f t="shared" si="1542"/>
        <v>0</v>
      </c>
      <c r="AG588" s="196">
        <f t="shared" si="1543"/>
        <v>1.1519999999999999</v>
      </c>
      <c r="AH588" s="128">
        <f t="shared" si="1544"/>
        <v>33.843776716800001</v>
      </c>
      <c r="AI588" s="128">
        <f t="shared" si="1545"/>
        <v>4.4159999999999995</v>
      </c>
      <c r="AJ588" s="183">
        <f t="shared" si="1546"/>
        <v>128.3265294336</v>
      </c>
      <c r="AK588" s="220"/>
      <c r="AL588" s="183">
        <f t="shared" si="1547"/>
        <v>0</v>
      </c>
      <c r="AM588" s="251"/>
      <c r="AN588" s="183">
        <f t="shared" si="1548"/>
        <v>0</v>
      </c>
      <c r="AO588" s="220"/>
      <c r="AP588" s="221">
        <f t="shared" si="1549"/>
        <v>0</v>
      </c>
      <c r="AQ588" s="196">
        <f t="shared" si="1550"/>
        <v>0</v>
      </c>
      <c r="AR588" s="128">
        <f t="shared" si="1551"/>
        <v>0</v>
      </c>
      <c r="AS588" s="128"/>
      <c r="AT588" s="183">
        <f t="shared" si="1552"/>
        <v>0</v>
      </c>
      <c r="AU588" s="220"/>
      <c r="AV588" s="183">
        <f t="shared" si="1553"/>
        <v>0</v>
      </c>
      <c r="AW588" s="220"/>
      <c r="AX588" s="221">
        <f t="shared" si="1554"/>
        <v>0</v>
      </c>
      <c r="AY588" s="196">
        <f t="shared" si="1555"/>
        <v>0</v>
      </c>
      <c r="AZ588" s="128">
        <f t="shared" si="1556"/>
        <v>0</v>
      </c>
      <c r="BA588" s="128">
        <f t="shared" si="1557"/>
        <v>0</v>
      </c>
      <c r="BB588" s="128">
        <f t="shared" si="1558"/>
        <v>0</v>
      </c>
    </row>
    <row r="589" spans="1:54">
      <c r="A589" s="492">
        <v>340</v>
      </c>
      <c r="B589" s="13"/>
      <c r="C589" s="20"/>
      <c r="D589" s="13"/>
      <c r="E589" s="62" t="s">
        <v>1244</v>
      </c>
      <c r="F589" s="542" t="s">
        <v>1248</v>
      </c>
      <c r="G589" s="63" t="s">
        <v>1062</v>
      </c>
      <c r="H589" s="281" t="s">
        <v>357</v>
      </c>
      <c r="I589" s="66">
        <v>24.23</v>
      </c>
      <c r="J589" s="106"/>
      <c r="K589" s="66">
        <v>24.23</v>
      </c>
      <c r="L589" s="165"/>
      <c r="M589" s="66"/>
      <c r="N589" s="165"/>
      <c r="O589" s="66"/>
      <c r="P589" s="106"/>
      <c r="Q589" s="128">
        <f t="shared" si="1533"/>
        <v>4.1120000000000001</v>
      </c>
      <c r="R589" s="345">
        <f t="shared" si="1534"/>
        <v>146.95722568159999</v>
      </c>
      <c r="S589" s="128">
        <v>0.65600000000000003</v>
      </c>
      <c r="T589" s="128">
        <f t="shared" si="1535"/>
        <v>22.946643512000001</v>
      </c>
      <c r="U589" s="128">
        <v>0.76800000000000002</v>
      </c>
      <c r="V589" s="183">
        <f t="shared" si="1536"/>
        <v>26.7640625664</v>
      </c>
      <c r="W589" s="220">
        <v>1.536</v>
      </c>
      <c r="X589" s="221">
        <f t="shared" si="1537"/>
        <v>55.914124953599995</v>
      </c>
      <c r="Y589" s="196">
        <f t="shared" si="1538"/>
        <v>2.96</v>
      </c>
      <c r="Z589" s="183">
        <f t="shared" si="1539"/>
        <v>105.624831032</v>
      </c>
      <c r="AA589" s="220">
        <v>1.1519999999999999</v>
      </c>
      <c r="AB589" s="221">
        <f t="shared" si="1540"/>
        <v>41.332394649599998</v>
      </c>
      <c r="AC589" s="220"/>
      <c r="AD589" s="183">
        <f t="shared" si="1541"/>
        <v>0</v>
      </c>
      <c r="AE589" s="220"/>
      <c r="AF589" s="205">
        <f t="shared" si="1542"/>
        <v>0</v>
      </c>
      <c r="AG589" s="196">
        <f t="shared" si="1543"/>
        <v>1.1519999999999999</v>
      </c>
      <c r="AH589" s="128">
        <f t="shared" si="1544"/>
        <v>41.332394649599998</v>
      </c>
      <c r="AI589" s="128">
        <f t="shared" si="1545"/>
        <v>4.1120000000000001</v>
      </c>
      <c r="AJ589" s="183">
        <f t="shared" si="1546"/>
        <v>146.95722568159999</v>
      </c>
      <c r="AK589" s="220"/>
      <c r="AL589" s="183">
        <f t="shared" si="1547"/>
        <v>0</v>
      </c>
      <c r="AM589" s="251"/>
      <c r="AN589" s="183">
        <f t="shared" si="1548"/>
        <v>0</v>
      </c>
      <c r="AO589" s="220"/>
      <c r="AP589" s="221">
        <f t="shared" si="1549"/>
        <v>0</v>
      </c>
      <c r="AQ589" s="196">
        <f t="shared" si="1550"/>
        <v>0</v>
      </c>
      <c r="AR589" s="128">
        <f t="shared" si="1551"/>
        <v>0</v>
      </c>
      <c r="AS589" s="128"/>
      <c r="AT589" s="183">
        <f t="shared" si="1552"/>
        <v>0</v>
      </c>
      <c r="AU589" s="220"/>
      <c r="AV589" s="183">
        <f t="shared" si="1553"/>
        <v>0</v>
      </c>
      <c r="AW589" s="220"/>
      <c r="AX589" s="221">
        <f t="shared" si="1554"/>
        <v>0</v>
      </c>
      <c r="AY589" s="196">
        <f t="shared" si="1555"/>
        <v>0</v>
      </c>
      <c r="AZ589" s="128">
        <f t="shared" si="1556"/>
        <v>0</v>
      </c>
      <c r="BA589" s="128">
        <f t="shared" si="1557"/>
        <v>0</v>
      </c>
      <c r="BB589" s="128">
        <f t="shared" si="1558"/>
        <v>0</v>
      </c>
    </row>
    <row r="590" spans="1:54">
      <c r="A590" s="492">
        <v>340</v>
      </c>
      <c r="B590" s="13"/>
      <c r="C590" s="20"/>
      <c r="D590" s="13"/>
      <c r="E590" s="62" t="s">
        <v>1245</v>
      </c>
      <c r="F590" s="542" t="s">
        <v>1249</v>
      </c>
      <c r="G590" s="63" t="s">
        <v>1062</v>
      </c>
      <c r="H590" s="281" t="s">
        <v>357</v>
      </c>
      <c r="I590" s="66">
        <v>21.54</v>
      </c>
      <c r="J590" s="106"/>
      <c r="K590" s="66">
        <v>21.54</v>
      </c>
      <c r="L590" s="165"/>
      <c r="M590" s="66"/>
      <c r="N590" s="165"/>
      <c r="O590" s="66"/>
      <c r="P590" s="106"/>
      <c r="Q590" s="128">
        <f t="shared" si="1533"/>
        <v>4.032</v>
      </c>
      <c r="R590" s="345">
        <f t="shared" si="1534"/>
        <v>127.66873109759999</v>
      </c>
      <c r="S590" s="128">
        <v>0.96</v>
      </c>
      <c r="T590" s="128">
        <f t="shared" si="1535"/>
        <v>29.852372160000002</v>
      </c>
      <c r="U590" s="128">
        <v>0.76800000000000002</v>
      </c>
      <c r="V590" s="183">
        <f t="shared" si="1536"/>
        <v>23.7927324672</v>
      </c>
      <c r="W590" s="220">
        <v>1.1519999999999999</v>
      </c>
      <c r="X590" s="221">
        <f t="shared" si="1537"/>
        <v>37.279929369599998</v>
      </c>
      <c r="Y590" s="196">
        <f t="shared" si="1538"/>
        <v>2.88</v>
      </c>
      <c r="Z590" s="183">
        <f t="shared" si="1539"/>
        <v>90.925033996799996</v>
      </c>
      <c r="AA590" s="220">
        <v>1.1519999999999999</v>
      </c>
      <c r="AB590" s="221">
        <f t="shared" si="1540"/>
        <v>36.743697100799999</v>
      </c>
      <c r="AC590" s="220"/>
      <c r="AD590" s="183">
        <f t="shared" si="1541"/>
        <v>0</v>
      </c>
      <c r="AE590" s="220"/>
      <c r="AF590" s="205">
        <f t="shared" si="1542"/>
        <v>0</v>
      </c>
      <c r="AG590" s="196">
        <f t="shared" si="1543"/>
        <v>1.1519999999999999</v>
      </c>
      <c r="AH590" s="128">
        <f t="shared" si="1544"/>
        <v>36.743697100799999</v>
      </c>
      <c r="AI590" s="128">
        <f t="shared" si="1545"/>
        <v>4.032</v>
      </c>
      <c r="AJ590" s="183">
        <f t="shared" si="1546"/>
        <v>127.66873109759999</v>
      </c>
      <c r="AK590" s="220"/>
      <c r="AL590" s="183">
        <f t="shared" si="1547"/>
        <v>0</v>
      </c>
      <c r="AM590" s="251"/>
      <c r="AN590" s="183">
        <f t="shared" si="1548"/>
        <v>0</v>
      </c>
      <c r="AO590" s="220"/>
      <c r="AP590" s="221">
        <f t="shared" si="1549"/>
        <v>0</v>
      </c>
      <c r="AQ590" s="196">
        <f t="shared" si="1550"/>
        <v>0</v>
      </c>
      <c r="AR590" s="128">
        <f t="shared" si="1551"/>
        <v>0</v>
      </c>
      <c r="AS590" s="128"/>
      <c r="AT590" s="183">
        <f t="shared" si="1552"/>
        <v>0</v>
      </c>
      <c r="AU590" s="220"/>
      <c r="AV590" s="183">
        <f t="shared" si="1553"/>
        <v>0</v>
      </c>
      <c r="AW590" s="220"/>
      <c r="AX590" s="221">
        <f t="shared" si="1554"/>
        <v>0</v>
      </c>
      <c r="AY590" s="196">
        <f t="shared" si="1555"/>
        <v>0</v>
      </c>
      <c r="AZ590" s="128">
        <f t="shared" si="1556"/>
        <v>0</v>
      </c>
      <c r="BA590" s="128">
        <f t="shared" si="1557"/>
        <v>0</v>
      </c>
      <c r="BB590" s="128">
        <f t="shared" si="1558"/>
        <v>0</v>
      </c>
    </row>
    <row r="591" spans="1:54">
      <c r="A591" s="492">
        <v>341</v>
      </c>
      <c r="B591" s="13"/>
      <c r="C591" s="20"/>
      <c r="D591" s="13"/>
      <c r="E591" s="62" t="s">
        <v>201</v>
      </c>
      <c r="F591" s="63" t="s">
        <v>202</v>
      </c>
      <c r="G591" s="63" t="s">
        <v>1059</v>
      </c>
      <c r="H591" s="281" t="s">
        <v>357</v>
      </c>
      <c r="I591" s="66">
        <v>16.48</v>
      </c>
      <c r="J591" s="106"/>
      <c r="K591" s="66">
        <v>16.48</v>
      </c>
      <c r="L591" s="165"/>
      <c r="M591" s="66"/>
      <c r="N591" s="165"/>
      <c r="O591" s="66"/>
      <c r="P591" s="106"/>
      <c r="Q591" s="128">
        <f t="shared" si="1533"/>
        <v>0</v>
      </c>
      <c r="R591" s="345">
        <f t="shared" si="1534"/>
        <v>0</v>
      </c>
      <c r="S591" s="128"/>
      <c r="T591" s="128">
        <f t="shared" si="1535"/>
        <v>0</v>
      </c>
      <c r="U591" s="128"/>
      <c r="V591" s="183">
        <f t="shared" si="1536"/>
        <v>0</v>
      </c>
      <c r="W591" s="220"/>
      <c r="X591" s="221">
        <f t="shared" si="1537"/>
        <v>0</v>
      </c>
      <c r="Y591" s="196">
        <f t="shared" si="1538"/>
        <v>0</v>
      </c>
      <c r="Z591" s="183">
        <f t="shared" si="1539"/>
        <v>0</v>
      </c>
      <c r="AA591" s="220"/>
      <c r="AB591" s="221">
        <f t="shared" si="1540"/>
        <v>0</v>
      </c>
      <c r="AC591" s="220"/>
      <c r="AD591" s="183">
        <f t="shared" si="1541"/>
        <v>0</v>
      </c>
      <c r="AE591" s="220"/>
      <c r="AF591" s="205">
        <f t="shared" si="1542"/>
        <v>0</v>
      </c>
      <c r="AG591" s="196">
        <f t="shared" si="1543"/>
        <v>0</v>
      </c>
      <c r="AH591" s="128">
        <f t="shared" si="1544"/>
        <v>0</v>
      </c>
      <c r="AI591" s="128">
        <f t="shared" si="1545"/>
        <v>0</v>
      </c>
      <c r="AJ591" s="183">
        <f t="shared" si="1546"/>
        <v>0</v>
      </c>
      <c r="AK591" s="220"/>
      <c r="AL591" s="183">
        <f t="shared" si="1547"/>
        <v>0</v>
      </c>
      <c r="AM591" s="251"/>
      <c r="AN591" s="183">
        <f t="shared" si="1548"/>
        <v>0</v>
      </c>
      <c r="AO591" s="220"/>
      <c r="AP591" s="221">
        <f t="shared" si="1549"/>
        <v>0</v>
      </c>
      <c r="AQ591" s="196">
        <f t="shared" si="1550"/>
        <v>0</v>
      </c>
      <c r="AR591" s="128">
        <f t="shared" si="1551"/>
        <v>0</v>
      </c>
      <c r="AS591" s="128"/>
      <c r="AT591" s="183">
        <f t="shared" si="1552"/>
        <v>0</v>
      </c>
      <c r="AU591" s="220"/>
      <c r="AV591" s="183">
        <f t="shared" si="1553"/>
        <v>0</v>
      </c>
      <c r="AW591" s="220"/>
      <c r="AX591" s="221">
        <f t="shared" si="1554"/>
        <v>0</v>
      </c>
      <c r="AY591" s="196">
        <f t="shared" si="1555"/>
        <v>0</v>
      </c>
      <c r="AZ591" s="128">
        <f t="shared" si="1556"/>
        <v>0</v>
      </c>
      <c r="BA591" s="128">
        <f t="shared" si="1557"/>
        <v>0</v>
      </c>
      <c r="BB591" s="128">
        <f t="shared" si="1558"/>
        <v>0</v>
      </c>
    </row>
    <row r="592" spans="1:54">
      <c r="A592" s="492">
        <v>342</v>
      </c>
      <c r="B592" s="13"/>
      <c r="C592" s="20"/>
      <c r="D592" s="13"/>
      <c r="E592" s="21" t="s">
        <v>203</v>
      </c>
      <c r="F592" s="22" t="s">
        <v>204</v>
      </c>
      <c r="G592" s="22" t="s">
        <v>1059</v>
      </c>
      <c r="H592" s="265" t="s">
        <v>357</v>
      </c>
      <c r="I592" s="54">
        <v>21.47</v>
      </c>
      <c r="J592" s="101"/>
      <c r="K592" s="54">
        <v>21.47</v>
      </c>
      <c r="L592" s="162"/>
      <c r="M592" s="54"/>
      <c r="N592" s="162"/>
      <c r="O592" s="54"/>
      <c r="P592" s="101"/>
      <c r="Q592" s="96">
        <f t="shared" si="1533"/>
        <v>0</v>
      </c>
      <c r="R592" s="337">
        <f t="shared" si="1534"/>
        <v>0</v>
      </c>
      <c r="S592" s="96"/>
      <c r="T592" s="96">
        <f t="shared" si="1535"/>
        <v>0</v>
      </c>
      <c r="U592" s="96"/>
      <c r="V592" s="176">
        <f t="shared" si="1536"/>
        <v>0</v>
      </c>
      <c r="W592" s="206"/>
      <c r="X592" s="205">
        <f t="shared" si="1537"/>
        <v>0</v>
      </c>
      <c r="Y592" s="188">
        <f t="shared" si="1538"/>
        <v>0</v>
      </c>
      <c r="Z592" s="176">
        <f t="shared" si="1539"/>
        <v>0</v>
      </c>
      <c r="AA592" s="206"/>
      <c r="AB592" s="205">
        <f t="shared" si="1540"/>
        <v>0</v>
      </c>
      <c r="AC592" s="206"/>
      <c r="AD592" s="176">
        <f t="shared" si="1541"/>
        <v>0</v>
      </c>
      <c r="AE592" s="206"/>
      <c r="AF592" s="205">
        <f t="shared" si="1542"/>
        <v>0</v>
      </c>
      <c r="AG592" s="188">
        <f t="shared" si="1543"/>
        <v>0</v>
      </c>
      <c r="AH592" s="96">
        <f t="shared" si="1544"/>
        <v>0</v>
      </c>
      <c r="AI592" s="96">
        <f t="shared" si="1545"/>
        <v>0</v>
      </c>
      <c r="AJ592" s="176">
        <f t="shared" si="1546"/>
        <v>0</v>
      </c>
      <c r="AK592" s="206"/>
      <c r="AL592" s="176">
        <f t="shared" si="1547"/>
        <v>0</v>
      </c>
      <c r="AM592" s="243"/>
      <c r="AN592" s="176">
        <f t="shared" si="1548"/>
        <v>0</v>
      </c>
      <c r="AO592" s="206"/>
      <c r="AP592" s="205">
        <f t="shared" si="1549"/>
        <v>0</v>
      </c>
      <c r="AQ592" s="188">
        <f t="shared" si="1550"/>
        <v>0</v>
      </c>
      <c r="AR592" s="96">
        <f t="shared" si="1551"/>
        <v>0</v>
      </c>
      <c r="AS592" s="96"/>
      <c r="AT592" s="176">
        <f t="shared" si="1552"/>
        <v>0</v>
      </c>
      <c r="AU592" s="206"/>
      <c r="AV592" s="176">
        <f t="shared" si="1553"/>
        <v>0</v>
      </c>
      <c r="AW592" s="206"/>
      <c r="AX592" s="205">
        <f t="shared" si="1554"/>
        <v>0</v>
      </c>
      <c r="AY592" s="188">
        <f t="shared" si="1555"/>
        <v>0</v>
      </c>
      <c r="AZ592" s="96">
        <f t="shared" si="1556"/>
        <v>0</v>
      </c>
      <c r="BA592" s="96">
        <f t="shared" si="1557"/>
        <v>0</v>
      </c>
      <c r="BB592" s="96">
        <f t="shared" si="1558"/>
        <v>0</v>
      </c>
    </row>
    <row r="593" spans="1:54">
      <c r="A593" s="492">
        <v>343</v>
      </c>
      <c r="B593" s="13"/>
      <c r="C593" s="20"/>
      <c r="D593" s="24"/>
      <c r="E593" s="50" t="s">
        <v>205</v>
      </c>
      <c r="F593" s="37" t="s">
        <v>206</v>
      </c>
      <c r="G593" s="37" t="s">
        <v>1059</v>
      </c>
      <c r="H593" s="272" t="s">
        <v>357</v>
      </c>
      <c r="I593" s="57">
        <v>18.36</v>
      </c>
      <c r="J593" s="107"/>
      <c r="K593" s="57">
        <v>18.36</v>
      </c>
      <c r="L593" s="166"/>
      <c r="M593" s="57"/>
      <c r="N593" s="166"/>
      <c r="O593" s="57"/>
      <c r="P593" s="107"/>
      <c r="Q593" s="94">
        <f t="shared" si="1533"/>
        <v>0</v>
      </c>
      <c r="R593" s="338">
        <f t="shared" si="1534"/>
        <v>0</v>
      </c>
      <c r="S593" s="94"/>
      <c r="T593" s="94">
        <f t="shared" si="1535"/>
        <v>0</v>
      </c>
      <c r="U593" s="94"/>
      <c r="V593" s="180">
        <f t="shared" si="1536"/>
        <v>0</v>
      </c>
      <c r="W593" s="213"/>
      <c r="X593" s="214">
        <f t="shared" si="1537"/>
        <v>0</v>
      </c>
      <c r="Y593" s="192">
        <f t="shared" si="1538"/>
        <v>0</v>
      </c>
      <c r="Z593" s="180">
        <f t="shared" si="1539"/>
        <v>0</v>
      </c>
      <c r="AA593" s="213"/>
      <c r="AB593" s="214">
        <f t="shared" si="1540"/>
        <v>0</v>
      </c>
      <c r="AC593" s="213"/>
      <c r="AD593" s="180">
        <f t="shared" si="1541"/>
        <v>0</v>
      </c>
      <c r="AE593" s="213"/>
      <c r="AF593" s="221">
        <f t="shared" si="1542"/>
        <v>0</v>
      </c>
      <c r="AG593" s="192">
        <f t="shared" si="1543"/>
        <v>0</v>
      </c>
      <c r="AH593" s="94">
        <f t="shared" si="1544"/>
        <v>0</v>
      </c>
      <c r="AI593" s="94">
        <f t="shared" si="1545"/>
        <v>0</v>
      </c>
      <c r="AJ593" s="180">
        <f t="shared" si="1546"/>
        <v>0</v>
      </c>
      <c r="AK593" s="213"/>
      <c r="AL593" s="180">
        <f t="shared" si="1547"/>
        <v>0</v>
      </c>
      <c r="AM593" s="247"/>
      <c r="AN593" s="180">
        <f t="shared" si="1548"/>
        <v>0</v>
      </c>
      <c r="AO593" s="213"/>
      <c r="AP593" s="214">
        <f t="shared" si="1549"/>
        <v>0</v>
      </c>
      <c r="AQ593" s="192">
        <f t="shared" si="1550"/>
        <v>0</v>
      </c>
      <c r="AR593" s="94">
        <f t="shared" si="1551"/>
        <v>0</v>
      </c>
      <c r="AS593" s="94"/>
      <c r="AT593" s="180">
        <f t="shared" si="1552"/>
        <v>0</v>
      </c>
      <c r="AU593" s="213"/>
      <c r="AV593" s="180">
        <f t="shared" si="1553"/>
        <v>0</v>
      </c>
      <c r="AW593" s="213"/>
      <c r="AX593" s="214">
        <f t="shared" si="1554"/>
        <v>0</v>
      </c>
      <c r="AY593" s="192">
        <f t="shared" si="1555"/>
        <v>0</v>
      </c>
      <c r="AZ593" s="94">
        <f t="shared" si="1556"/>
        <v>0</v>
      </c>
      <c r="BA593" s="94">
        <f t="shared" si="1557"/>
        <v>0</v>
      </c>
      <c r="BB593" s="94">
        <f t="shared" si="1558"/>
        <v>0</v>
      </c>
    </row>
    <row r="594" spans="1:54">
      <c r="A594" s="492">
        <v>344</v>
      </c>
      <c r="B594" s="15"/>
      <c r="C594" s="27" t="s">
        <v>134</v>
      </c>
      <c r="D594" s="28"/>
      <c r="E594" s="28"/>
      <c r="F594" s="28"/>
      <c r="G594" s="28"/>
      <c r="H594" s="269"/>
      <c r="I594" s="139"/>
      <c r="J594" s="99"/>
      <c r="K594" s="30"/>
      <c r="L594" s="160"/>
      <c r="M594" s="30"/>
      <c r="N594" s="160"/>
      <c r="O594" s="139"/>
      <c r="P594" s="99"/>
      <c r="Q594" s="120">
        <f t="shared" ref="Q594:BB594" si="1585">SUM(Q573:Q593)</f>
        <v>92.707000000000008</v>
      </c>
      <c r="R594" s="120">
        <f t="shared" si="1585"/>
        <v>1157.1601343217999</v>
      </c>
      <c r="S594" s="120">
        <f t="shared" si="1585"/>
        <v>23.838000000000001</v>
      </c>
      <c r="T594" s="120">
        <f t="shared" si="1585"/>
        <v>283.53323534899999</v>
      </c>
      <c r="U594" s="120">
        <f t="shared" si="1585"/>
        <v>18.383000000000003</v>
      </c>
      <c r="V594" s="120">
        <f t="shared" si="1585"/>
        <v>228.7919861604</v>
      </c>
      <c r="W594" s="120">
        <f t="shared" si="1585"/>
        <v>25.868000000000002</v>
      </c>
      <c r="X594" s="120">
        <f t="shared" si="1585"/>
        <v>336.08191174919995</v>
      </c>
      <c r="Y594" s="120">
        <f t="shared" si="1585"/>
        <v>68.088999999999999</v>
      </c>
      <c r="Z594" s="120">
        <f t="shared" si="1585"/>
        <v>848.40713325859997</v>
      </c>
      <c r="AA594" s="120">
        <f t="shared" si="1585"/>
        <v>24.618000000000006</v>
      </c>
      <c r="AB594" s="120">
        <f t="shared" si="1585"/>
        <v>308.75300106320003</v>
      </c>
      <c r="AC594" s="120">
        <f t="shared" si="1585"/>
        <v>0</v>
      </c>
      <c r="AD594" s="120">
        <f t="shared" si="1585"/>
        <v>0</v>
      </c>
      <c r="AE594" s="120">
        <f t="shared" si="1585"/>
        <v>0</v>
      </c>
      <c r="AF594" s="125">
        <f t="shared" si="1585"/>
        <v>0</v>
      </c>
      <c r="AG594" s="120">
        <f t="shared" si="1585"/>
        <v>24.618000000000006</v>
      </c>
      <c r="AH594" s="120">
        <f t="shared" si="1585"/>
        <v>308.75300106320003</v>
      </c>
      <c r="AI594" s="120">
        <f t="shared" si="1585"/>
        <v>92.707000000000008</v>
      </c>
      <c r="AJ594" s="120">
        <f t="shared" si="1585"/>
        <v>1157.1601343217999</v>
      </c>
      <c r="AK594" s="120">
        <f t="shared" si="1585"/>
        <v>0</v>
      </c>
      <c r="AL594" s="120">
        <f t="shared" si="1585"/>
        <v>0</v>
      </c>
      <c r="AM594" s="120">
        <f t="shared" si="1585"/>
        <v>0</v>
      </c>
      <c r="AN594" s="120">
        <f t="shared" si="1585"/>
        <v>0</v>
      </c>
      <c r="AO594" s="120">
        <f t="shared" si="1585"/>
        <v>0</v>
      </c>
      <c r="AP594" s="120">
        <f t="shared" si="1585"/>
        <v>0</v>
      </c>
      <c r="AQ594" s="120">
        <f t="shared" si="1585"/>
        <v>0</v>
      </c>
      <c r="AR594" s="120">
        <f t="shared" si="1585"/>
        <v>0</v>
      </c>
      <c r="AS594" s="120">
        <f t="shared" si="1585"/>
        <v>0</v>
      </c>
      <c r="AT594" s="120">
        <f t="shared" si="1585"/>
        <v>0</v>
      </c>
      <c r="AU594" s="120">
        <f t="shared" si="1585"/>
        <v>0</v>
      </c>
      <c r="AV594" s="120">
        <f t="shared" si="1585"/>
        <v>0</v>
      </c>
      <c r="AW594" s="120">
        <f t="shared" si="1585"/>
        <v>0</v>
      </c>
      <c r="AX594" s="120">
        <f t="shared" si="1585"/>
        <v>0</v>
      </c>
      <c r="AY594" s="120">
        <f t="shared" si="1585"/>
        <v>0</v>
      </c>
      <c r="AZ594" s="120">
        <f t="shared" si="1585"/>
        <v>0</v>
      </c>
      <c r="BA594" s="120">
        <f t="shared" si="1585"/>
        <v>0</v>
      </c>
      <c r="BB594" s="120">
        <f t="shared" si="1585"/>
        <v>0</v>
      </c>
    </row>
    <row r="595" spans="1:54">
      <c r="A595" s="492">
        <v>345</v>
      </c>
      <c r="B595" s="14"/>
      <c r="C595" s="441" t="s">
        <v>899</v>
      </c>
      <c r="D595" s="52" t="s">
        <v>589</v>
      </c>
      <c r="E595" s="364" t="s">
        <v>900</v>
      </c>
      <c r="F595" s="462" t="s">
        <v>902</v>
      </c>
      <c r="G595" s="310" t="s">
        <v>1059</v>
      </c>
      <c r="H595" s="271" t="s">
        <v>357</v>
      </c>
      <c r="I595" s="54"/>
      <c r="J595" s="101"/>
      <c r="K595" s="54"/>
      <c r="L595" s="162"/>
      <c r="M595" s="54"/>
      <c r="N595" s="162"/>
      <c r="O595" s="54"/>
      <c r="P595" s="101"/>
      <c r="Q595" s="121">
        <f>SUM(AI595+BA595)</f>
        <v>0</v>
      </c>
      <c r="R595" s="341">
        <f>SUM(AJ595+BB595)</f>
        <v>0</v>
      </c>
      <c r="S595" s="96"/>
      <c r="T595" s="121">
        <f>I595*S595*$T$2/1000</f>
        <v>0</v>
      </c>
      <c r="U595" s="96"/>
      <c r="V595" s="212">
        <f>I595*U595*$V$2/1000</f>
        <v>0</v>
      </c>
      <c r="W595" s="206"/>
      <c r="X595" s="205">
        <f>I595*W595*$X$2/1000</f>
        <v>0</v>
      </c>
      <c r="Y595" s="211">
        <f>SUM(S595+U595+W595)</f>
        <v>0</v>
      </c>
      <c r="Z595" s="212">
        <f>SUM(T595+V595+X595)</f>
        <v>0</v>
      </c>
      <c r="AA595" s="206"/>
      <c r="AB595" s="212">
        <f>K595*AA595*$AB$2/1000</f>
        <v>0</v>
      </c>
      <c r="AC595" s="206"/>
      <c r="AD595" s="212">
        <f>K595*AC595*$AD$2/1000</f>
        <v>0</v>
      </c>
      <c r="AE595" s="206"/>
      <c r="AF595" s="212">
        <f>K595*AE595*$AF$2/1000</f>
        <v>0</v>
      </c>
      <c r="AG595" s="188">
        <f>SUM(AA595+AC595+AE595)</f>
        <v>0</v>
      </c>
      <c r="AH595" s="95">
        <f>SUM(AB595+AD595+AF595)</f>
        <v>0</v>
      </c>
      <c r="AI595" s="435">
        <f>SUM(Y595+AG595)</f>
        <v>0</v>
      </c>
      <c r="AJ595" s="436">
        <f>SUM(Z595,AH595)</f>
        <v>0</v>
      </c>
      <c r="AK595" s="206"/>
      <c r="AL595" s="440">
        <f>M595*AK595*$AL$2/1000</f>
        <v>0</v>
      </c>
      <c r="AM595" s="243"/>
      <c r="AN595" s="180">
        <f>M595*AM595*$AN$2/1000</f>
        <v>0</v>
      </c>
      <c r="AO595" s="206"/>
      <c r="AP595" s="214">
        <f>M595*AO595*$AP$2/1000</f>
        <v>0</v>
      </c>
      <c r="AQ595" s="192">
        <f>SUM(AK595+AM595+AO595)</f>
        <v>0</v>
      </c>
      <c r="AR595" s="94">
        <f>SUM(AL595+AN595+AP595)</f>
        <v>0</v>
      </c>
      <c r="AS595" s="96"/>
      <c r="AT595" s="180">
        <f>O595*AS595*$AT$2/1000</f>
        <v>0</v>
      </c>
      <c r="AU595" s="206"/>
      <c r="AV595" s="180">
        <f>O595*AU595*$AV$2/1000</f>
        <v>0</v>
      </c>
      <c r="AW595" s="206"/>
      <c r="AX595" s="214">
        <f>O595*AW595*$AX$2/1000</f>
        <v>0</v>
      </c>
      <c r="AY595" s="192">
        <f>SUM(AS595+AU595+AW595)</f>
        <v>0</v>
      </c>
      <c r="AZ595" s="97">
        <f>SUM(AT595+AV595+AX595)</f>
        <v>0</v>
      </c>
      <c r="BA595" s="97">
        <f>SUM(AQ595+AY595)</f>
        <v>0</v>
      </c>
      <c r="BB595" s="97">
        <f>SUM(AR595,AZ595)</f>
        <v>0</v>
      </c>
    </row>
    <row r="596" spans="1:54">
      <c r="A596" s="492">
        <v>346</v>
      </c>
      <c r="B596" s="14"/>
      <c r="C596" s="14"/>
      <c r="D596" s="13"/>
      <c r="E596" s="442" t="s">
        <v>901</v>
      </c>
      <c r="F596" s="461" t="s">
        <v>903</v>
      </c>
      <c r="G596" s="64" t="s">
        <v>1059</v>
      </c>
      <c r="H596" s="265" t="s">
        <v>357</v>
      </c>
      <c r="I596" s="54"/>
      <c r="J596" s="101"/>
      <c r="K596" s="54"/>
      <c r="L596" s="162"/>
      <c r="M596" s="54"/>
      <c r="N596" s="162"/>
      <c r="O596" s="54"/>
      <c r="P596" s="101"/>
      <c r="Q596" s="96">
        <f>SUM(AI596+BA596)</f>
        <v>0</v>
      </c>
      <c r="R596" s="337">
        <f>SUM(AJ596+BB596)</f>
        <v>0</v>
      </c>
      <c r="S596" s="96"/>
      <c r="T596" s="96">
        <f>I596*S596*$T$2/1000</f>
        <v>0</v>
      </c>
      <c r="U596" s="96"/>
      <c r="V596" s="205">
        <f>I596*U596*$V$2/1000</f>
        <v>0</v>
      </c>
      <c r="W596" s="206"/>
      <c r="X596" s="205">
        <f>I596*W596*$X$2/1000</f>
        <v>0</v>
      </c>
      <c r="Y596" s="188">
        <f>SUM(S596+U596+W596)</f>
        <v>0</v>
      </c>
      <c r="Z596" s="205">
        <f>SUM(T596+V596+X596)</f>
        <v>0</v>
      </c>
      <c r="AA596" s="206"/>
      <c r="AB596" s="205">
        <f>K596*AA596*$AB$2/1000</f>
        <v>0</v>
      </c>
      <c r="AC596" s="206"/>
      <c r="AD596" s="205">
        <f>K596*AC596*$AD$2/1000</f>
        <v>0</v>
      </c>
      <c r="AE596" s="206"/>
      <c r="AF596" s="205">
        <f>K596*AE596*$AF$2/1000</f>
        <v>0</v>
      </c>
      <c r="AG596" s="188">
        <f>SUM(AA596+AC596+AE596)</f>
        <v>0</v>
      </c>
      <c r="AH596" s="95">
        <f>SUM(AB596+AD596+AF596)</f>
        <v>0</v>
      </c>
      <c r="AI596" s="437">
        <f>SUM(Y596+AG596)</f>
        <v>0</v>
      </c>
      <c r="AJ596" s="438">
        <f>SUM(Z596,AH596)</f>
        <v>0</v>
      </c>
      <c r="AK596" s="206"/>
      <c r="AL596" s="439">
        <f>M596*AK596*$AL$2/1000</f>
        <v>0</v>
      </c>
      <c r="AM596" s="243"/>
      <c r="AN596" s="180">
        <f>M596*AM596*$AN$2/1000</f>
        <v>0</v>
      </c>
      <c r="AO596" s="206"/>
      <c r="AP596" s="214">
        <f>M596*AO596*$AP$2/1000</f>
        <v>0</v>
      </c>
      <c r="AQ596" s="192">
        <f>SUM(AK596+AM596+AO596)</f>
        <v>0</v>
      </c>
      <c r="AR596" s="94">
        <f>SUM(AL596+AN596+AP596)</f>
        <v>0</v>
      </c>
      <c r="AS596" s="96"/>
      <c r="AT596" s="180">
        <f>O596*AS596*$AT$2/1000</f>
        <v>0</v>
      </c>
      <c r="AU596" s="206"/>
      <c r="AV596" s="180">
        <f>O596*AU596*$AV$2/1000</f>
        <v>0</v>
      </c>
      <c r="AW596" s="206"/>
      <c r="AX596" s="214">
        <f>O596*AW596*$AX$2/1000</f>
        <v>0</v>
      </c>
      <c r="AY596" s="192">
        <f>SUM(AS596+AU596+AW596)</f>
        <v>0</v>
      </c>
      <c r="AZ596" s="97">
        <f>SUM(AT596+AV596+AX596)</f>
        <v>0</v>
      </c>
      <c r="BA596" s="97">
        <f>SUM(AQ596+AY596)</f>
        <v>0</v>
      </c>
      <c r="BB596" s="97">
        <f>SUM(AR596,AZ596)</f>
        <v>0</v>
      </c>
    </row>
    <row r="597" spans="1:54">
      <c r="A597" s="492">
        <v>347</v>
      </c>
      <c r="B597" s="26"/>
      <c r="C597" s="27" t="s">
        <v>134</v>
      </c>
      <c r="D597" s="28"/>
      <c r="E597" s="28"/>
      <c r="F597" s="28"/>
      <c r="G597" s="28"/>
      <c r="H597" s="269"/>
      <c r="I597" s="138"/>
      <c r="J597" s="102"/>
      <c r="K597" s="29"/>
      <c r="L597" s="29"/>
      <c r="M597" s="29"/>
      <c r="N597" s="29"/>
      <c r="O597" s="138"/>
      <c r="P597" s="102"/>
      <c r="Q597" s="120">
        <f t="shared" ref="Q597:BB597" si="1586">SUM(Q595:Q596)</f>
        <v>0</v>
      </c>
      <c r="R597" s="120">
        <f t="shared" si="1586"/>
        <v>0</v>
      </c>
      <c r="S597" s="120">
        <f t="shared" si="1586"/>
        <v>0</v>
      </c>
      <c r="T597" s="120">
        <f t="shared" si="1586"/>
        <v>0</v>
      </c>
      <c r="U597" s="120">
        <f t="shared" si="1586"/>
        <v>0</v>
      </c>
      <c r="V597" s="120">
        <f t="shared" si="1586"/>
        <v>0</v>
      </c>
      <c r="W597" s="120">
        <f t="shared" si="1586"/>
        <v>0</v>
      </c>
      <c r="X597" s="120">
        <f t="shared" si="1586"/>
        <v>0</v>
      </c>
      <c r="Y597" s="120">
        <f t="shared" si="1586"/>
        <v>0</v>
      </c>
      <c r="Z597" s="120">
        <f t="shared" si="1586"/>
        <v>0</v>
      </c>
      <c r="AA597" s="120">
        <f t="shared" si="1586"/>
        <v>0</v>
      </c>
      <c r="AB597" s="120">
        <f t="shared" si="1586"/>
        <v>0</v>
      </c>
      <c r="AC597" s="120">
        <f t="shared" si="1586"/>
        <v>0</v>
      </c>
      <c r="AD597" s="120">
        <f t="shared" si="1586"/>
        <v>0</v>
      </c>
      <c r="AE597" s="120">
        <f t="shared" si="1586"/>
        <v>0</v>
      </c>
      <c r="AF597" s="120">
        <f t="shared" si="1586"/>
        <v>0</v>
      </c>
      <c r="AG597" s="120">
        <f t="shared" si="1586"/>
        <v>0</v>
      </c>
      <c r="AH597" s="120">
        <f t="shared" si="1586"/>
        <v>0</v>
      </c>
      <c r="AI597" s="120">
        <f t="shared" si="1586"/>
        <v>0</v>
      </c>
      <c r="AJ597" s="120">
        <f t="shared" si="1586"/>
        <v>0</v>
      </c>
      <c r="AK597" s="120">
        <f t="shared" si="1586"/>
        <v>0</v>
      </c>
      <c r="AL597" s="120">
        <f t="shared" si="1586"/>
        <v>0</v>
      </c>
      <c r="AM597" s="120">
        <f t="shared" si="1586"/>
        <v>0</v>
      </c>
      <c r="AN597" s="120">
        <f t="shared" si="1586"/>
        <v>0</v>
      </c>
      <c r="AO597" s="120">
        <f t="shared" si="1586"/>
        <v>0</v>
      </c>
      <c r="AP597" s="120">
        <f t="shared" si="1586"/>
        <v>0</v>
      </c>
      <c r="AQ597" s="120">
        <f t="shared" si="1586"/>
        <v>0</v>
      </c>
      <c r="AR597" s="120">
        <f t="shared" si="1586"/>
        <v>0</v>
      </c>
      <c r="AS597" s="120">
        <f t="shared" si="1586"/>
        <v>0</v>
      </c>
      <c r="AT597" s="120">
        <f t="shared" si="1586"/>
        <v>0</v>
      </c>
      <c r="AU597" s="120">
        <f t="shared" si="1586"/>
        <v>0</v>
      </c>
      <c r="AV597" s="120">
        <f t="shared" si="1586"/>
        <v>0</v>
      </c>
      <c r="AW597" s="120">
        <f t="shared" si="1586"/>
        <v>0</v>
      </c>
      <c r="AX597" s="120">
        <f t="shared" si="1586"/>
        <v>0</v>
      </c>
      <c r="AY597" s="120">
        <f t="shared" si="1586"/>
        <v>0</v>
      </c>
      <c r="AZ597" s="120">
        <f t="shared" si="1586"/>
        <v>0</v>
      </c>
      <c r="BA597" s="120">
        <f t="shared" si="1586"/>
        <v>0</v>
      </c>
      <c r="BB597" s="120">
        <f t="shared" si="1586"/>
        <v>0</v>
      </c>
    </row>
    <row r="598" spans="1:54">
      <c r="A598" s="492">
        <v>349</v>
      </c>
      <c r="B598" s="14"/>
      <c r="C598" s="363"/>
      <c r="D598" s="52"/>
      <c r="E598" s="364" t="s">
        <v>2297</v>
      </c>
      <c r="F598" s="22"/>
      <c r="G598" s="22" t="s">
        <v>1059</v>
      </c>
      <c r="H598" s="265" t="s">
        <v>357</v>
      </c>
      <c r="I598" s="54">
        <v>18.010000000000002</v>
      </c>
      <c r="J598" s="101"/>
      <c r="K598" s="54">
        <v>18.010000000000002</v>
      </c>
      <c r="L598" s="162"/>
      <c r="M598" s="54"/>
      <c r="N598" s="162"/>
      <c r="O598" s="54"/>
      <c r="P598" s="101"/>
      <c r="Q598" s="96">
        <f t="shared" ref="Q598:R600" si="1587">SUM(AI598+BA598)</f>
        <v>2.5000000000000001E-2</v>
      </c>
      <c r="R598" s="337">
        <f t="shared" si="1587"/>
        <v>0.65000341250000004</v>
      </c>
      <c r="S598" s="96">
        <v>2.5000000000000001E-2</v>
      </c>
      <c r="T598" s="96">
        <f>I598*S598*$T$2/1000</f>
        <v>0.65000341250000004</v>
      </c>
      <c r="U598" s="96"/>
      <c r="V598" s="205">
        <f>I598*U598*$V$2/1000</f>
        <v>0</v>
      </c>
      <c r="W598" s="206"/>
      <c r="X598" s="205">
        <f>I598*W598*$X$2/1000</f>
        <v>0</v>
      </c>
      <c r="Y598" s="199">
        <f t="shared" ref="Y598:Z600" si="1588">SUM(S598+U598+W598)</f>
        <v>2.5000000000000001E-2</v>
      </c>
      <c r="Z598" s="205">
        <f t="shared" si="1588"/>
        <v>0.65000341250000004</v>
      </c>
      <c r="AA598" s="206"/>
      <c r="AB598" s="205">
        <f>K598*AA598*$AB$2/1000</f>
        <v>0</v>
      </c>
      <c r="AC598" s="206"/>
      <c r="AD598" s="205">
        <f>K598*AC598*$AD$2/1000</f>
        <v>0</v>
      </c>
      <c r="AE598" s="206"/>
      <c r="AF598" s="205">
        <f>K598*AE598*$AF$2/1000</f>
        <v>0</v>
      </c>
      <c r="AG598" s="188">
        <f t="shared" ref="AG598:AH600" si="1589">SUM(AA598+AC598+AE598)</f>
        <v>0</v>
      </c>
      <c r="AH598" s="95">
        <f t="shared" si="1589"/>
        <v>0</v>
      </c>
      <c r="AI598" s="437">
        <f>SUM(Y598+AG598)</f>
        <v>2.5000000000000001E-2</v>
      </c>
      <c r="AJ598" s="438">
        <f>SUM(Z598,AH598)</f>
        <v>0.65000341250000004</v>
      </c>
      <c r="AK598" s="206"/>
      <c r="AL598" s="439">
        <f>M598*AK598*$AL$2/1000</f>
        <v>0</v>
      </c>
      <c r="AM598" s="243"/>
      <c r="AN598" s="180">
        <f>M598*AM598*$AN$2/1000</f>
        <v>0</v>
      </c>
      <c r="AO598" s="206"/>
      <c r="AP598" s="214">
        <f>M598*AO598*$AP$2/1000</f>
        <v>0</v>
      </c>
      <c r="AQ598" s="192">
        <f t="shared" ref="AQ598:AR600" si="1590">SUM(AK598+AM598+AO598)</f>
        <v>0</v>
      </c>
      <c r="AR598" s="94">
        <f t="shared" si="1590"/>
        <v>0</v>
      </c>
      <c r="AS598" s="96"/>
      <c r="AT598" s="180">
        <f>O598*AS598*$AT$2/1000</f>
        <v>0</v>
      </c>
      <c r="AU598" s="206"/>
      <c r="AV598" s="180">
        <f>O598*AU598*$AV$2/1000</f>
        <v>0</v>
      </c>
      <c r="AW598" s="206"/>
      <c r="AX598" s="214">
        <f>O598*AW598*$AX$2/1000</f>
        <v>0</v>
      </c>
      <c r="AY598" s="192">
        <f t="shared" ref="AY598:AZ600" si="1591">SUM(AS598+AU598+AW598)</f>
        <v>0</v>
      </c>
      <c r="AZ598" s="97">
        <f t="shared" si="1591"/>
        <v>0</v>
      </c>
      <c r="BA598" s="97">
        <f>SUM(AQ598+AY598)</f>
        <v>0</v>
      </c>
      <c r="BB598" s="97">
        <f>SUM(AR598,AZ598)</f>
        <v>0</v>
      </c>
    </row>
    <row r="599" spans="1:54">
      <c r="A599" s="492">
        <v>351</v>
      </c>
      <c r="B599" s="14"/>
      <c r="C599" s="14"/>
      <c r="D599" s="13"/>
      <c r="E599" s="364" t="s">
        <v>2302</v>
      </c>
      <c r="F599" s="22"/>
      <c r="G599" s="22" t="s">
        <v>1059</v>
      </c>
      <c r="H599" s="265" t="s">
        <v>357</v>
      </c>
      <c r="I599" s="54">
        <v>18.010000000000002</v>
      </c>
      <c r="J599" s="101"/>
      <c r="K599" s="54">
        <v>18.010000000000002</v>
      </c>
      <c r="L599" s="162"/>
      <c r="M599" s="54"/>
      <c r="N599" s="162"/>
      <c r="O599" s="54"/>
      <c r="P599" s="101"/>
      <c r="Q599" s="96">
        <f t="shared" si="1587"/>
        <v>2.5000000000000001E-2</v>
      </c>
      <c r="R599" s="337">
        <f t="shared" si="1587"/>
        <v>0.65000341250000004</v>
      </c>
      <c r="S599" s="96">
        <v>2.5000000000000001E-2</v>
      </c>
      <c r="T599" s="96">
        <f>I599*S599*$T$2/1000</f>
        <v>0.65000341250000004</v>
      </c>
      <c r="U599" s="96"/>
      <c r="V599" s="205">
        <f>I599*U599*$V$2/1000</f>
        <v>0</v>
      </c>
      <c r="W599" s="206"/>
      <c r="X599" s="205">
        <f>I599*W599*$X$2/1000</f>
        <v>0</v>
      </c>
      <c r="Y599" s="199">
        <f t="shared" si="1588"/>
        <v>2.5000000000000001E-2</v>
      </c>
      <c r="Z599" s="205">
        <f t="shared" si="1588"/>
        <v>0.65000341250000004</v>
      </c>
      <c r="AA599" s="206"/>
      <c r="AB599" s="205">
        <f>K599*AA599*$AB$2/1000</f>
        <v>0</v>
      </c>
      <c r="AC599" s="206"/>
      <c r="AD599" s="205">
        <f>K599*AC599*$AD$2/1000</f>
        <v>0</v>
      </c>
      <c r="AE599" s="206"/>
      <c r="AF599" s="205">
        <f>K599*AE599*$AF$2/1000</f>
        <v>0</v>
      </c>
      <c r="AG599" s="188">
        <f t="shared" si="1589"/>
        <v>0</v>
      </c>
      <c r="AH599" s="95">
        <f t="shared" si="1589"/>
        <v>0</v>
      </c>
      <c r="AI599" s="437">
        <f>SUM(Y599+AG599)</f>
        <v>2.5000000000000001E-2</v>
      </c>
      <c r="AJ599" s="438">
        <f>SUM(Z599,AH599)</f>
        <v>0.65000341250000004</v>
      </c>
      <c r="AK599" s="206"/>
      <c r="AL599" s="439">
        <f>M599*AK599*$AL$2/1000</f>
        <v>0</v>
      </c>
      <c r="AM599" s="243"/>
      <c r="AN599" s="180">
        <f>M599*AM599*$AN$2/1000</f>
        <v>0</v>
      </c>
      <c r="AO599" s="206"/>
      <c r="AP599" s="214">
        <f>M599*AO599*$AP$2/1000</f>
        <v>0</v>
      </c>
      <c r="AQ599" s="192">
        <f t="shared" si="1590"/>
        <v>0</v>
      </c>
      <c r="AR599" s="94">
        <f t="shared" si="1590"/>
        <v>0</v>
      </c>
      <c r="AS599" s="96"/>
      <c r="AT599" s="180">
        <f>O599*AS599*$AT$2/1000</f>
        <v>0</v>
      </c>
      <c r="AU599" s="206"/>
      <c r="AV599" s="180">
        <f>O599*AU599*$AV$2/1000</f>
        <v>0</v>
      </c>
      <c r="AW599" s="206"/>
      <c r="AX599" s="214">
        <f>O599*AW599*$AX$2/1000</f>
        <v>0</v>
      </c>
      <c r="AY599" s="192">
        <f t="shared" si="1591"/>
        <v>0</v>
      </c>
      <c r="AZ599" s="97">
        <f t="shared" si="1591"/>
        <v>0</v>
      </c>
      <c r="BA599" s="97">
        <f>SUM(AQ599+AY599)</f>
        <v>0</v>
      </c>
      <c r="BB599" s="97">
        <f>SUM(AR599,AZ599)</f>
        <v>0</v>
      </c>
    </row>
    <row r="600" spans="1:54">
      <c r="A600" s="492">
        <v>353</v>
      </c>
      <c r="B600" s="14"/>
      <c r="C600" s="40"/>
      <c r="D600" s="24"/>
      <c r="E600" s="50"/>
      <c r="F600" s="37"/>
      <c r="G600" s="83" t="s">
        <v>1059</v>
      </c>
      <c r="H600" s="282" t="s">
        <v>357</v>
      </c>
      <c r="I600" s="57"/>
      <c r="J600" s="107"/>
      <c r="K600" s="57"/>
      <c r="L600" s="166"/>
      <c r="M600" s="57"/>
      <c r="N600" s="166"/>
      <c r="O600" s="57"/>
      <c r="P600" s="107"/>
      <c r="Q600" s="133">
        <f t="shared" si="1587"/>
        <v>0</v>
      </c>
      <c r="R600" s="342">
        <f t="shared" si="1587"/>
        <v>0</v>
      </c>
      <c r="S600" s="94"/>
      <c r="T600" s="133">
        <f>I600*S600*$T$2/1000</f>
        <v>0</v>
      </c>
      <c r="U600" s="94"/>
      <c r="V600" s="186">
        <f>I600*U600*$V$2/1000</f>
        <v>0</v>
      </c>
      <c r="W600" s="213"/>
      <c r="X600" s="221">
        <f>I600*W600*$X$2/1000</f>
        <v>0</v>
      </c>
      <c r="Y600" s="194">
        <f t="shared" si="1588"/>
        <v>0</v>
      </c>
      <c r="Z600" s="186">
        <f t="shared" si="1588"/>
        <v>0</v>
      </c>
      <c r="AA600" s="213"/>
      <c r="AB600" s="369">
        <f>K600*AA600*$AB$2/1000</f>
        <v>0</v>
      </c>
      <c r="AC600" s="213"/>
      <c r="AD600" s="186">
        <f>K600*AC600*$AD$2/1000</f>
        <v>0</v>
      </c>
      <c r="AE600" s="213"/>
      <c r="AF600" s="369">
        <f>K600*AE600*$AF$2/1000</f>
        <v>0</v>
      </c>
      <c r="AG600" s="188">
        <f t="shared" si="1589"/>
        <v>0</v>
      </c>
      <c r="AH600" s="95">
        <f t="shared" si="1589"/>
        <v>0</v>
      </c>
      <c r="AI600" s="133">
        <f>SUM(Y600+AG600)</f>
        <v>0</v>
      </c>
      <c r="AJ600" s="186">
        <f>SUM(Z600,AH600)</f>
        <v>0</v>
      </c>
      <c r="AK600" s="213"/>
      <c r="AL600" s="186">
        <f>M600*AK600*$AL$2/1000</f>
        <v>0</v>
      </c>
      <c r="AM600" s="247"/>
      <c r="AN600" s="180">
        <f>M600*AM600*$AN$2/1000</f>
        <v>0</v>
      </c>
      <c r="AO600" s="213"/>
      <c r="AP600" s="214">
        <f>M600*AO600*$AP$2/1000</f>
        <v>0</v>
      </c>
      <c r="AQ600" s="192">
        <f t="shared" si="1590"/>
        <v>0</v>
      </c>
      <c r="AR600" s="94">
        <f t="shared" si="1590"/>
        <v>0</v>
      </c>
      <c r="AS600" s="94"/>
      <c r="AT600" s="180">
        <f>O600*AS600*$AT$2/1000</f>
        <v>0</v>
      </c>
      <c r="AU600" s="213"/>
      <c r="AV600" s="180">
        <f>O600*AU600*$AV$2/1000</f>
        <v>0</v>
      </c>
      <c r="AW600" s="213"/>
      <c r="AX600" s="214">
        <f>O600*AW600*$AX$2/1000</f>
        <v>0</v>
      </c>
      <c r="AY600" s="192">
        <f t="shared" si="1591"/>
        <v>0</v>
      </c>
      <c r="AZ600" s="97">
        <f t="shared" si="1591"/>
        <v>0</v>
      </c>
      <c r="BA600" s="97">
        <f>SUM(AQ600+AY600)</f>
        <v>0</v>
      </c>
      <c r="BB600" s="97">
        <f>SUM(AR600,AZ600)</f>
        <v>0</v>
      </c>
    </row>
    <row r="601" spans="1:54">
      <c r="A601" s="492">
        <v>354</v>
      </c>
      <c r="B601" s="26"/>
      <c r="C601" s="27" t="s">
        <v>134</v>
      </c>
      <c r="D601" s="28"/>
      <c r="E601" s="28"/>
      <c r="F601" s="28"/>
      <c r="G601" s="28"/>
      <c r="H601" s="269"/>
      <c r="I601" s="138"/>
      <c r="J601" s="102"/>
      <c r="K601" s="29"/>
      <c r="L601" s="29"/>
      <c r="M601" s="29"/>
      <c r="N601" s="29"/>
      <c r="O601" s="138"/>
      <c r="P601" s="102"/>
      <c r="Q601" s="120">
        <f t="shared" ref="Q601:BB601" si="1592">SUM(Q598:Q600)</f>
        <v>0.05</v>
      </c>
      <c r="R601" s="120">
        <f t="shared" si="1592"/>
        <v>1.3000068250000001</v>
      </c>
      <c r="S601" s="120">
        <f t="shared" si="1592"/>
        <v>0.05</v>
      </c>
      <c r="T601" s="120">
        <f t="shared" si="1592"/>
        <v>1.3000068250000001</v>
      </c>
      <c r="U601" s="120">
        <f t="shared" si="1592"/>
        <v>0</v>
      </c>
      <c r="V601" s="120">
        <f t="shared" si="1592"/>
        <v>0</v>
      </c>
      <c r="W601" s="120">
        <f t="shared" si="1592"/>
        <v>0</v>
      </c>
      <c r="X601" s="125">
        <f t="shared" si="1592"/>
        <v>0</v>
      </c>
      <c r="Y601" s="120">
        <f t="shared" si="1592"/>
        <v>0.05</v>
      </c>
      <c r="Z601" s="120">
        <f t="shared" si="1592"/>
        <v>1.3000068250000001</v>
      </c>
      <c r="AA601" s="120">
        <f t="shared" si="1592"/>
        <v>0</v>
      </c>
      <c r="AB601" s="120">
        <f t="shared" si="1592"/>
        <v>0</v>
      </c>
      <c r="AC601" s="120">
        <f t="shared" si="1592"/>
        <v>0</v>
      </c>
      <c r="AD601" s="120">
        <f t="shared" si="1592"/>
        <v>0</v>
      </c>
      <c r="AE601" s="120">
        <f t="shared" si="1592"/>
        <v>0</v>
      </c>
      <c r="AF601" s="120">
        <f t="shared" si="1592"/>
        <v>0</v>
      </c>
      <c r="AG601" s="120">
        <f t="shared" si="1592"/>
        <v>0</v>
      </c>
      <c r="AH601" s="120">
        <f t="shared" si="1592"/>
        <v>0</v>
      </c>
      <c r="AI601" s="120">
        <f t="shared" si="1592"/>
        <v>0.05</v>
      </c>
      <c r="AJ601" s="120">
        <f t="shared" si="1592"/>
        <v>1.3000068250000001</v>
      </c>
      <c r="AK601" s="120">
        <f t="shared" si="1592"/>
        <v>0</v>
      </c>
      <c r="AL601" s="120">
        <f t="shared" si="1592"/>
        <v>0</v>
      </c>
      <c r="AM601" s="120">
        <f t="shared" si="1592"/>
        <v>0</v>
      </c>
      <c r="AN601" s="120">
        <f t="shared" si="1592"/>
        <v>0</v>
      </c>
      <c r="AO601" s="120">
        <f t="shared" si="1592"/>
        <v>0</v>
      </c>
      <c r="AP601" s="120">
        <f t="shared" si="1592"/>
        <v>0</v>
      </c>
      <c r="AQ601" s="120">
        <f t="shared" si="1592"/>
        <v>0</v>
      </c>
      <c r="AR601" s="120">
        <f t="shared" si="1592"/>
        <v>0</v>
      </c>
      <c r="AS601" s="120">
        <f t="shared" si="1592"/>
        <v>0</v>
      </c>
      <c r="AT601" s="120">
        <f t="shared" si="1592"/>
        <v>0</v>
      </c>
      <c r="AU601" s="120">
        <f t="shared" si="1592"/>
        <v>0</v>
      </c>
      <c r="AV601" s="120">
        <f t="shared" si="1592"/>
        <v>0</v>
      </c>
      <c r="AW601" s="120">
        <f t="shared" si="1592"/>
        <v>0</v>
      </c>
      <c r="AX601" s="120">
        <f t="shared" si="1592"/>
        <v>0</v>
      </c>
      <c r="AY601" s="120">
        <f t="shared" si="1592"/>
        <v>0</v>
      </c>
      <c r="AZ601" s="120">
        <f t="shared" si="1592"/>
        <v>0</v>
      </c>
      <c r="BA601" s="120">
        <f t="shared" si="1592"/>
        <v>0</v>
      </c>
      <c r="BB601" s="120">
        <f t="shared" si="1592"/>
        <v>0</v>
      </c>
    </row>
    <row r="602" spans="1:54">
      <c r="A602" s="492">
        <v>355</v>
      </c>
      <c r="B602" s="58" t="s">
        <v>153</v>
      </c>
      <c r="C602" s="59"/>
      <c r="D602" s="59"/>
      <c r="E602" s="59"/>
      <c r="F602" s="59"/>
      <c r="G602" s="59"/>
      <c r="H602" s="279"/>
      <c r="I602" s="149"/>
      <c r="J602" s="108"/>
      <c r="K602" s="67"/>
      <c r="L602" s="67"/>
      <c r="M602" s="67"/>
      <c r="N602" s="67"/>
      <c r="O602" s="149"/>
      <c r="P602" s="108"/>
      <c r="Q602" s="126">
        <f t="shared" ref="Q602:BB602" si="1593">Q572+Q594+Q597+Q601</f>
        <v>134.88600000000002</v>
      </c>
      <c r="R602" s="126">
        <f t="shared" si="1593"/>
        <v>1643.2046675856</v>
      </c>
      <c r="S602" s="126">
        <f t="shared" si="1593"/>
        <v>35.299999999999997</v>
      </c>
      <c r="T602" s="126">
        <f t="shared" si="1593"/>
        <v>424.84350082200007</v>
      </c>
      <c r="U602" s="126">
        <f t="shared" si="1593"/>
        <v>26.952000000000005</v>
      </c>
      <c r="V602" s="126">
        <f t="shared" si="1593"/>
        <v>329.64182810879998</v>
      </c>
      <c r="W602" s="126">
        <f t="shared" si="1593"/>
        <v>39.823999999999998</v>
      </c>
      <c r="X602" s="126">
        <f t="shared" si="1593"/>
        <v>476.90061431399994</v>
      </c>
      <c r="Y602" s="126">
        <f t="shared" si="1593"/>
        <v>102.07600000000001</v>
      </c>
      <c r="Z602" s="126">
        <f t="shared" si="1593"/>
        <v>1231.3859432448</v>
      </c>
      <c r="AA602" s="126">
        <f t="shared" si="1593"/>
        <v>32.81</v>
      </c>
      <c r="AB602" s="126">
        <f t="shared" si="1593"/>
        <v>411.81872434080003</v>
      </c>
      <c r="AC602" s="126">
        <f t="shared" si="1593"/>
        <v>0</v>
      </c>
      <c r="AD602" s="126">
        <f t="shared" si="1593"/>
        <v>0</v>
      </c>
      <c r="AE602" s="126">
        <f t="shared" si="1593"/>
        <v>0</v>
      </c>
      <c r="AF602" s="126">
        <f t="shared" si="1593"/>
        <v>0</v>
      </c>
      <c r="AG602" s="126">
        <f t="shared" si="1593"/>
        <v>32.81</v>
      </c>
      <c r="AH602" s="126">
        <f t="shared" si="1593"/>
        <v>411.81872434080003</v>
      </c>
      <c r="AI602" s="126">
        <f t="shared" si="1593"/>
        <v>134.88600000000002</v>
      </c>
      <c r="AJ602" s="126">
        <f t="shared" si="1593"/>
        <v>1643.2046675856</v>
      </c>
      <c r="AK602" s="126">
        <f t="shared" si="1593"/>
        <v>0</v>
      </c>
      <c r="AL602" s="126">
        <f t="shared" si="1593"/>
        <v>0</v>
      </c>
      <c r="AM602" s="126">
        <f t="shared" si="1593"/>
        <v>0</v>
      </c>
      <c r="AN602" s="126">
        <f t="shared" si="1593"/>
        <v>0</v>
      </c>
      <c r="AO602" s="126">
        <f t="shared" si="1593"/>
        <v>0</v>
      </c>
      <c r="AP602" s="126">
        <f t="shared" si="1593"/>
        <v>0</v>
      </c>
      <c r="AQ602" s="126">
        <f t="shared" si="1593"/>
        <v>0</v>
      </c>
      <c r="AR602" s="126">
        <f t="shared" si="1593"/>
        <v>0</v>
      </c>
      <c r="AS602" s="126">
        <f t="shared" si="1593"/>
        <v>0</v>
      </c>
      <c r="AT602" s="126">
        <f t="shared" si="1593"/>
        <v>0</v>
      </c>
      <c r="AU602" s="126">
        <f t="shared" si="1593"/>
        <v>0</v>
      </c>
      <c r="AV602" s="126">
        <f t="shared" si="1593"/>
        <v>0</v>
      </c>
      <c r="AW602" s="126">
        <f t="shared" si="1593"/>
        <v>0</v>
      </c>
      <c r="AX602" s="126">
        <f t="shared" si="1593"/>
        <v>0</v>
      </c>
      <c r="AY602" s="126">
        <f t="shared" si="1593"/>
        <v>0</v>
      </c>
      <c r="AZ602" s="126">
        <f t="shared" si="1593"/>
        <v>0</v>
      </c>
      <c r="BA602" s="126">
        <f t="shared" si="1593"/>
        <v>0</v>
      </c>
      <c r="BB602" s="126">
        <f t="shared" si="1593"/>
        <v>0</v>
      </c>
    </row>
    <row r="603" spans="1:54" hidden="1">
      <c r="A603" s="492">
        <v>356</v>
      </c>
      <c r="B603" s="13" t="s">
        <v>839</v>
      </c>
      <c r="C603" s="52" t="s">
        <v>33</v>
      </c>
      <c r="D603" s="52" t="s">
        <v>840</v>
      </c>
      <c r="E603" s="31" t="s">
        <v>841</v>
      </c>
      <c r="F603" s="310" t="s">
        <v>842</v>
      </c>
      <c r="G603" s="310" t="s">
        <v>1059</v>
      </c>
      <c r="H603" s="271" t="s">
        <v>358</v>
      </c>
      <c r="I603" s="61"/>
      <c r="J603" s="104"/>
      <c r="K603" s="61"/>
      <c r="L603" s="163"/>
      <c r="M603" s="61"/>
      <c r="N603" s="163"/>
      <c r="O603" s="61"/>
      <c r="P603" s="104"/>
      <c r="Q603" s="121">
        <f t="shared" ref="Q603:R605" si="1594">SUM(AI603+BA603)</f>
        <v>0</v>
      </c>
      <c r="R603" s="341">
        <f t="shared" si="1594"/>
        <v>0</v>
      </c>
      <c r="S603" s="121"/>
      <c r="T603" s="121">
        <f>I603*S603*$T$2/1000</f>
        <v>0</v>
      </c>
      <c r="U603" s="121"/>
      <c r="V603" s="179">
        <f>I603*U603*$V$2/1000</f>
        <v>0</v>
      </c>
      <c r="W603" s="211"/>
      <c r="X603" s="212">
        <f>I603*W603*$X$2/1000</f>
        <v>0</v>
      </c>
      <c r="Y603" s="190">
        <f t="shared" ref="Y603:Z605" si="1595">SUM(S603+U603+W603)</f>
        <v>0</v>
      </c>
      <c r="Z603" s="179">
        <f t="shared" si="1595"/>
        <v>0</v>
      </c>
      <c r="AA603" s="211"/>
      <c r="AB603" s="212">
        <f>K603*AA603*$AB$2/1000</f>
        <v>0</v>
      </c>
      <c r="AC603" s="211"/>
      <c r="AD603" s="179">
        <f>K603*AC603*$AD$2/1000</f>
        <v>0</v>
      </c>
      <c r="AE603" s="211"/>
      <c r="AF603" s="212">
        <f>K603*AE603*$AF$2/1000</f>
        <v>0</v>
      </c>
      <c r="AG603" s="190">
        <f t="shared" ref="AG603:AH605" si="1596">SUM(AA603+AC603+AE603)</f>
        <v>0</v>
      </c>
      <c r="AH603" s="121">
        <f t="shared" si="1596"/>
        <v>0</v>
      </c>
      <c r="AI603" s="121">
        <f>SUM(Y603+AG603)</f>
        <v>0</v>
      </c>
      <c r="AJ603" s="179">
        <f>SUM(Z603,AH603)</f>
        <v>0</v>
      </c>
      <c r="AK603" s="211"/>
      <c r="AL603" s="179">
        <f>M603*AK603*$AL$2/1000</f>
        <v>0</v>
      </c>
      <c r="AM603" s="246"/>
      <c r="AN603" s="179">
        <f>M603*AM603*$AN$2/1000</f>
        <v>0</v>
      </c>
      <c r="AO603" s="211"/>
      <c r="AP603" s="212">
        <f>M603*AO603*$AP$2/1000</f>
        <v>0</v>
      </c>
      <c r="AQ603" s="190">
        <f t="shared" ref="AQ603:AR605" si="1597">SUM(AK603+AM603+AO603)</f>
        <v>0</v>
      </c>
      <c r="AR603" s="121">
        <f t="shared" si="1597"/>
        <v>0</v>
      </c>
      <c r="AS603" s="121"/>
      <c r="AT603" s="179">
        <f>O603*AS603*$AT$2/1000</f>
        <v>0</v>
      </c>
      <c r="AU603" s="211"/>
      <c r="AV603" s="179">
        <f>O603*AU603*$AV$2/1000</f>
        <v>0</v>
      </c>
      <c r="AW603" s="211"/>
      <c r="AX603" s="212">
        <f>O603*AW603*$AX$2/1000</f>
        <v>0</v>
      </c>
      <c r="AY603" s="190">
        <f t="shared" ref="AY603:AZ605" si="1598">SUM(AS603+AU603+AW603)</f>
        <v>0</v>
      </c>
      <c r="AZ603" s="121">
        <f t="shared" si="1598"/>
        <v>0</v>
      </c>
      <c r="BA603" s="121">
        <f>SUM(AQ603+AY603)</f>
        <v>0</v>
      </c>
      <c r="BB603" s="121">
        <f>SUM(AR603,AZ603)</f>
        <v>0</v>
      </c>
    </row>
    <row r="604" spans="1:54" hidden="1">
      <c r="A604" s="492">
        <v>357</v>
      </c>
      <c r="B604" s="13"/>
      <c r="C604" s="13"/>
      <c r="D604" s="13"/>
      <c r="E604" s="21" t="s">
        <v>870</v>
      </c>
      <c r="F604" s="45" t="s">
        <v>871</v>
      </c>
      <c r="G604" s="424" t="s">
        <v>1059</v>
      </c>
      <c r="H604" s="284" t="s">
        <v>358</v>
      </c>
      <c r="I604" s="75"/>
      <c r="J604" s="111"/>
      <c r="K604" s="75"/>
      <c r="L604" s="167"/>
      <c r="M604" s="75"/>
      <c r="N604" s="167"/>
      <c r="O604" s="75"/>
      <c r="P604" s="111"/>
      <c r="Q604" s="130">
        <f t="shared" si="1594"/>
        <v>0</v>
      </c>
      <c r="R604" s="347">
        <f t="shared" si="1594"/>
        <v>0</v>
      </c>
      <c r="S604" s="130"/>
      <c r="T604" s="130">
        <f>I604*S604*$T$2/1000</f>
        <v>0</v>
      </c>
      <c r="U604" s="130"/>
      <c r="V604" s="184">
        <f>I604*U604*$V$2/1000</f>
        <v>0</v>
      </c>
      <c r="W604" s="222"/>
      <c r="X604" s="223">
        <f>I604*W604*$X$2/1000</f>
        <v>0</v>
      </c>
      <c r="Y604" s="197">
        <f t="shared" si="1595"/>
        <v>0</v>
      </c>
      <c r="Z604" s="184">
        <f t="shared" si="1595"/>
        <v>0</v>
      </c>
      <c r="AA604" s="222"/>
      <c r="AB604" s="223">
        <f>K604*AA604*$AB$2/1000</f>
        <v>0</v>
      </c>
      <c r="AC604" s="222"/>
      <c r="AD604" s="184">
        <f>K604*AC604*$AD$2/1000</f>
        <v>0</v>
      </c>
      <c r="AE604" s="222"/>
      <c r="AF604" s="223">
        <f>K604*AE604*$AF$2/1000</f>
        <v>0</v>
      </c>
      <c r="AG604" s="197">
        <f t="shared" si="1596"/>
        <v>0</v>
      </c>
      <c r="AH604" s="130">
        <f t="shared" si="1596"/>
        <v>0</v>
      </c>
      <c r="AI604" s="130">
        <f>SUM(Y604+AG604)</f>
        <v>0</v>
      </c>
      <c r="AJ604" s="184">
        <f>SUM(Z604,AH604)</f>
        <v>0</v>
      </c>
      <c r="AK604" s="222"/>
      <c r="AL604" s="184">
        <f>M604*AK604*$AL$2/1000</f>
        <v>0</v>
      </c>
      <c r="AM604" s="252"/>
      <c r="AN604" s="184">
        <f>M604*AM604*$AN$2/1000</f>
        <v>0</v>
      </c>
      <c r="AO604" s="222"/>
      <c r="AP604" s="223">
        <f>M604*AO604*$AP$2/1000</f>
        <v>0</v>
      </c>
      <c r="AQ604" s="197">
        <f t="shared" si="1597"/>
        <v>0</v>
      </c>
      <c r="AR604" s="130">
        <f t="shared" si="1597"/>
        <v>0</v>
      </c>
      <c r="AS604" s="130"/>
      <c r="AT604" s="184">
        <f>O604*AS604*$AT$2/1000</f>
        <v>0</v>
      </c>
      <c r="AU604" s="222"/>
      <c r="AV604" s="184">
        <f>O604*AU604*$AV$2/1000</f>
        <v>0</v>
      </c>
      <c r="AW604" s="222"/>
      <c r="AX604" s="223">
        <f>O604*AW604*$AX$2/1000</f>
        <v>0</v>
      </c>
      <c r="AY604" s="197">
        <f t="shared" si="1598"/>
        <v>0</v>
      </c>
      <c r="AZ604" s="130">
        <f t="shared" si="1598"/>
        <v>0</v>
      </c>
      <c r="BA604" s="130">
        <f>SUM(AQ604+AY604)</f>
        <v>0</v>
      </c>
      <c r="BB604" s="130">
        <f>SUM(AR604,AZ604)</f>
        <v>0</v>
      </c>
    </row>
    <row r="605" spans="1:54" hidden="1">
      <c r="A605" s="492">
        <v>358</v>
      </c>
      <c r="B605" s="13"/>
      <c r="C605" s="13"/>
      <c r="D605" s="13"/>
      <c r="E605" s="24" t="s">
        <v>1017</v>
      </c>
      <c r="F605" s="366" t="s">
        <v>1018</v>
      </c>
      <c r="G605" s="366" t="s">
        <v>1057</v>
      </c>
      <c r="H605" s="282" t="s">
        <v>358</v>
      </c>
      <c r="I605" s="79"/>
      <c r="J605" s="115"/>
      <c r="K605" s="79"/>
      <c r="L605" s="171"/>
      <c r="M605" s="79"/>
      <c r="N605" s="171"/>
      <c r="O605" s="79"/>
      <c r="P605" s="115"/>
      <c r="Q605" s="133">
        <f t="shared" si="1594"/>
        <v>0</v>
      </c>
      <c r="R605" s="342">
        <f t="shared" si="1594"/>
        <v>0</v>
      </c>
      <c r="S605" s="133"/>
      <c r="T605" s="133">
        <f>I605*S605*$T$2/1000</f>
        <v>0</v>
      </c>
      <c r="U605" s="133"/>
      <c r="V605" s="186">
        <f>I605*U605*$V$2/1000</f>
        <v>0</v>
      </c>
      <c r="W605" s="368"/>
      <c r="X605" s="369">
        <f>I605*W605*$X$2/1000</f>
        <v>0</v>
      </c>
      <c r="Y605" s="199">
        <f t="shared" si="1595"/>
        <v>0</v>
      </c>
      <c r="Z605" s="186">
        <f t="shared" si="1595"/>
        <v>0</v>
      </c>
      <c r="AA605" s="368"/>
      <c r="AB605" s="369">
        <f>K605*AA605*$AB$2/1000</f>
        <v>0</v>
      </c>
      <c r="AC605" s="368"/>
      <c r="AD605" s="186">
        <f>K605*AC605*$AD$2/1000</f>
        <v>0</v>
      </c>
      <c r="AE605" s="368"/>
      <c r="AF605" s="369">
        <f>K605*AE605*$AF$2/1000</f>
        <v>0</v>
      </c>
      <c r="AG605" s="199">
        <f t="shared" si="1596"/>
        <v>0</v>
      </c>
      <c r="AH605" s="133">
        <f t="shared" si="1596"/>
        <v>0</v>
      </c>
      <c r="AI605" s="133">
        <f>SUM(Y605+AG605)</f>
        <v>0</v>
      </c>
      <c r="AJ605" s="186">
        <f>SUM(Z605,AH605)</f>
        <v>0</v>
      </c>
      <c r="AK605" s="368"/>
      <c r="AL605" s="186">
        <f>M605*AK605*$AL$2/1000</f>
        <v>0</v>
      </c>
      <c r="AM605" s="370"/>
      <c r="AN605" s="186">
        <f>M605*AM605*$AN$2/1000</f>
        <v>0</v>
      </c>
      <c r="AO605" s="368"/>
      <c r="AP605" s="369">
        <f>M605*AO605*$AP$2/1000</f>
        <v>0</v>
      </c>
      <c r="AQ605" s="199">
        <f t="shared" si="1597"/>
        <v>0</v>
      </c>
      <c r="AR605" s="133">
        <f t="shared" si="1597"/>
        <v>0</v>
      </c>
      <c r="AS605" s="133"/>
      <c r="AT605" s="186">
        <f>O605*AS605*$AT$2/1000</f>
        <v>0</v>
      </c>
      <c r="AU605" s="368"/>
      <c r="AV605" s="186">
        <f>O605*AU605*$AV$2/1000</f>
        <v>0</v>
      </c>
      <c r="AW605" s="368"/>
      <c r="AX605" s="369">
        <f>O605*AW605*$AX$2/1000</f>
        <v>0</v>
      </c>
      <c r="AY605" s="199">
        <f t="shared" si="1598"/>
        <v>0</v>
      </c>
      <c r="AZ605" s="133">
        <f t="shared" si="1598"/>
        <v>0</v>
      </c>
      <c r="BA605" s="133">
        <f>SUM(AQ605+AY605)</f>
        <v>0</v>
      </c>
      <c r="BB605" s="133">
        <f>SUM(AR605,AZ605)</f>
        <v>0</v>
      </c>
    </row>
    <row r="606" spans="1:54" hidden="1">
      <c r="A606" s="492">
        <v>359</v>
      </c>
      <c r="B606" s="58" t="s">
        <v>153</v>
      </c>
      <c r="C606" s="59"/>
      <c r="D606" s="59"/>
      <c r="E606" s="59"/>
      <c r="F606" s="59"/>
      <c r="G606" s="59"/>
      <c r="H606" s="279"/>
      <c r="I606" s="154"/>
      <c r="J606" s="103"/>
      <c r="K606" s="77"/>
      <c r="L606" s="60"/>
      <c r="M606" s="77"/>
      <c r="N606" s="60"/>
      <c r="O606" s="154"/>
      <c r="P606" s="103"/>
      <c r="Q606" s="126">
        <f t="shared" ref="Q606:BB606" si="1599">SUM(Q603:Q605)</f>
        <v>0</v>
      </c>
      <c r="R606" s="126">
        <f t="shared" si="1599"/>
        <v>0</v>
      </c>
      <c r="S606" s="126">
        <f t="shared" si="1599"/>
        <v>0</v>
      </c>
      <c r="T606" s="126">
        <f t="shared" si="1599"/>
        <v>0</v>
      </c>
      <c r="U606" s="126">
        <f t="shared" si="1599"/>
        <v>0</v>
      </c>
      <c r="V606" s="126">
        <f t="shared" si="1599"/>
        <v>0</v>
      </c>
      <c r="W606" s="126">
        <f t="shared" si="1599"/>
        <v>0</v>
      </c>
      <c r="X606" s="126">
        <f t="shared" si="1599"/>
        <v>0</v>
      </c>
      <c r="Y606" s="126">
        <f t="shared" si="1599"/>
        <v>0</v>
      </c>
      <c r="Z606" s="126">
        <f t="shared" si="1599"/>
        <v>0</v>
      </c>
      <c r="AA606" s="126">
        <f t="shared" si="1599"/>
        <v>0</v>
      </c>
      <c r="AB606" s="126">
        <f t="shared" si="1599"/>
        <v>0</v>
      </c>
      <c r="AC606" s="126">
        <f t="shared" si="1599"/>
        <v>0</v>
      </c>
      <c r="AD606" s="126">
        <f t="shared" si="1599"/>
        <v>0</v>
      </c>
      <c r="AE606" s="126">
        <f t="shared" si="1599"/>
        <v>0</v>
      </c>
      <c r="AF606" s="126">
        <f t="shared" si="1599"/>
        <v>0</v>
      </c>
      <c r="AG606" s="126">
        <f t="shared" si="1599"/>
        <v>0</v>
      </c>
      <c r="AH606" s="126">
        <f t="shared" si="1599"/>
        <v>0</v>
      </c>
      <c r="AI606" s="126">
        <f t="shared" si="1599"/>
        <v>0</v>
      </c>
      <c r="AJ606" s="126">
        <f t="shared" si="1599"/>
        <v>0</v>
      </c>
      <c r="AK606" s="126">
        <f t="shared" si="1599"/>
        <v>0</v>
      </c>
      <c r="AL606" s="126">
        <f t="shared" si="1599"/>
        <v>0</v>
      </c>
      <c r="AM606" s="126">
        <f t="shared" si="1599"/>
        <v>0</v>
      </c>
      <c r="AN606" s="126">
        <f t="shared" si="1599"/>
        <v>0</v>
      </c>
      <c r="AO606" s="126">
        <f t="shared" si="1599"/>
        <v>0</v>
      </c>
      <c r="AP606" s="126">
        <f t="shared" si="1599"/>
        <v>0</v>
      </c>
      <c r="AQ606" s="126">
        <f t="shared" si="1599"/>
        <v>0</v>
      </c>
      <c r="AR606" s="126">
        <f t="shared" si="1599"/>
        <v>0</v>
      </c>
      <c r="AS606" s="126">
        <f t="shared" si="1599"/>
        <v>0</v>
      </c>
      <c r="AT606" s="126">
        <f t="shared" si="1599"/>
        <v>0</v>
      </c>
      <c r="AU606" s="126">
        <f t="shared" si="1599"/>
        <v>0</v>
      </c>
      <c r="AV606" s="126">
        <f t="shared" si="1599"/>
        <v>0</v>
      </c>
      <c r="AW606" s="126">
        <f t="shared" si="1599"/>
        <v>0</v>
      </c>
      <c r="AX606" s="126">
        <f t="shared" si="1599"/>
        <v>0</v>
      </c>
      <c r="AY606" s="126">
        <f t="shared" si="1599"/>
        <v>0</v>
      </c>
      <c r="AZ606" s="126">
        <f t="shared" si="1599"/>
        <v>0</v>
      </c>
      <c r="BA606" s="126">
        <f t="shared" si="1599"/>
        <v>0</v>
      </c>
      <c r="BB606" s="126">
        <f t="shared" si="1599"/>
        <v>0</v>
      </c>
    </row>
    <row r="607" spans="1:54" hidden="1">
      <c r="A607" s="492">
        <v>360</v>
      </c>
      <c r="B607" s="14" t="s">
        <v>207</v>
      </c>
      <c r="C607" s="14" t="s">
        <v>208</v>
      </c>
      <c r="D607" s="14" t="s">
        <v>52</v>
      </c>
      <c r="E607" s="48" t="s">
        <v>76</v>
      </c>
      <c r="F607" s="312" t="s">
        <v>53</v>
      </c>
      <c r="G607" s="49" t="s">
        <v>1059</v>
      </c>
      <c r="H607" s="276" t="s">
        <v>357</v>
      </c>
      <c r="I607" s="146"/>
      <c r="J607" s="104"/>
      <c r="K607" s="61"/>
      <c r="L607" s="163"/>
      <c r="M607" s="61"/>
      <c r="N607" s="163"/>
      <c r="O607" s="146"/>
      <c r="P607" s="104"/>
      <c r="Q607" s="124">
        <f t="shared" ref="Q607:R611" si="1600">SUM(AI607+BA607)</f>
        <v>0</v>
      </c>
      <c r="R607" s="334">
        <f t="shared" si="1600"/>
        <v>0</v>
      </c>
      <c r="S607" s="124"/>
      <c r="T607" s="124">
        <f>I607*S607*$T$2/1000</f>
        <v>0</v>
      </c>
      <c r="U607" s="124"/>
      <c r="V607" s="181">
        <f>I607*U607*$V$2/1000</f>
        <v>0</v>
      </c>
      <c r="W607" s="215"/>
      <c r="X607" s="216">
        <f>I607*W607*$X$2/1000</f>
        <v>0</v>
      </c>
      <c r="Y607" s="193">
        <f t="shared" ref="Y607:Z611" si="1601">SUM(S607+U607+W607)</f>
        <v>0</v>
      </c>
      <c r="Z607" s="181">
        <f t="shared" si="1601"/>
        <v>0</v>
      </c>
      <c r="AA607" s="215"/>
      <c r="AB607" s="216">
        <f>K607*AA607*$AB$2/1000</f>
        <v>0</v>
      </c>
      <c r="AC607" s="215"/>
      <c r="AD607" s="181">
        <f>K607*AC607*$AD$2/1000</f>
        <v>0</v>
      </c>
      <c r="AE607" s="215"/>
      <c r="AF607" s="216">
        <f>K607*AE607*$AF$2/1000</f>
        <v>0</v>
      </c>
      <c r="AG607" s="193">
        <f t="shared" ref="AG607:AH611" si="1602">SUM(AA607+AC607+AE607)</f>
        <v>0</v>
      </c>
      <c r="AH607" s="124">
        <f t="shared" si="1602"/>
        <v>0</v>
      </c>
      <c r="AI607" s="124">
        <f>SUM(Y607+AG607)</f>
        <v>0</v>
      </c>
      <c r="AJ607" s="181">
        <f>SUM(Z607,AH607)</f>
        <v>0</v>
      </c>
      <c r="AK607" s="215"/>
      <c r="AL607" s="181">
        <f>M607*AK607*$AL$2/1000</f>
        <v>0</v>
      </c>
      <c r="AM607" s="249"/>
      <c r="AN607" s="181">
        <f>M607*AM607*$AN$2/1000</f>
        <v>0</v>
      </c>
      <c r="AO607" s="215"/>
      <c r="AP607" s="216">
        <f>M607*AO607*$AP$2/1000</f>
        <v>0</v>
      </c>
      <c r="AQ607" s="193">
        <f t="shared" ref="AQ607:AR611" si="1603">SUM(AK607+AM607+AO607)</f>
        <v>0</v>
      </c>
      <c r="AR607" s="124">
        <f t="shared" si="1603"/>
        <v>0</v>
      </c>
      <c r="AS607" s="124"/>
      <c r="AT607" s="181">
        <f>O607*AS607*$AT$2/1000</f>
        <v>0</v>
      </c>
      <c r="AU607" s="215"/>
      <c r="AV607" s="181">
        <f>O607*AU607*$AV$2/1000</f>
        <v>0</v>
      </c>
      <c r="AW607" s="215"/>
      <c r="AX607" s="216">
        <f>O607*AW607*$AX$2/1000</f>
        <v>0</v>
      </c>
      <c r="AY607" s="193">
        <f t="shared" ref="AY607:AZ611" si="1604">SUM(AS607+AU607+AW607)</f>
        <v>0</v>
      </c>
      <c r="AZ607" s="124">
        <f t="shared" si="1604"/>
        <v>0</v>
      </c>
      <c r="BA607" s="124">
        <f>SUM(AQ607+AY607)</f>
        <v>0</v>
      </c>
      <c r="BB607" s="124">
        <f>SUM(AR607,AZ607)</f>
        <v>0</v>
      </c>
    </row>
    <row r="608" spans="1:54" hidden="1">
      <c r="A608" s="492">
        <v>361</v>
      </c>
      <c r="B608" s="14"/>
      <c r="C608" s="14"/>
      <c r="D608" s="14"/>
      <c r="E608" s="16" t="s">
        <v>77</v>
      </c>
      <c r="F608" s="44" t="s">
        <v>54</v>
      </c>
      <c r="G608" s="17" t="s">
        <v>1059</v>
      </c>
      <c r="H608" s="264" t="s">
        <v>357</v>
      </c>
      <c r="I608" s="142"/>
      <c r="J608" s="101"/>
      <c r="K608" s="54"/>
      <c r="L608" s="162"/>
      <c r="M608" s="54"/>
      <c r="N608" s="162"/>
      <c r="O608" s="142"/>
      <c r="P608" s="101"/>
      <c r="Q608" s="95">
        <f t="shared" si="1600"/>
        <v>0</v>
      </c>
      <c r="R608" s="335">
        <f t="shared" si="1600"/>
        <v>0</v>
      </c>
      <c r="S608" s="95"/>
      <c r="T608" s="95">
        <f>I608*S608*$T$2/1000</f>
        <v>0</v>
      </c>
      <c r="U608" s="95"/>
      <c r="V608" s="175">
        <f>I608*U608*$V$2/1000</f>
        <v>0</v>
      </c>
      <c r="W608" s="203"/>
      <c r="X608" s="204">
        <f>I608*W608*$X$2/1000</f>
        <v>0</v>
      </c>
      <c r="Y608" s="191">
        <f t="shared" si="1601"/>
        <v>0</v>
      </c>
      <c r="Z608" s="175">
        <f t="shared" si="1601"/>
        <v>0</v>
      </c>
      <c r="AA608" s="203"/>
      <c r="AB608" s="204">
        <f>K608*AA608*$AB$2/1000</f>
        <v>0</v>
      </c>
      <c r="AC608" s="203"/>
      <c r="AD608" s="175">
        <f>K608*AC608*$AD$2/1000</f>
        <v>0</v>
      </c>
      <c r="AE608" s="203"/>
      <c r="AF608" s="204">
        <f>K608*AE608*$AF$2/1000</f>
        <v>0</v>
      </c>
      <c r="AG608" s="191">
        <f t="shared" si="1602"/>
        <v>0</v>
      </c>
      <c r="AH608" s="95">
        <f t="shared" si="1602"/>
        <v>0</v>
      </c>
      <c r="AI608" s="95">
        <f>SUM(Y608+AG608)</f>
        <v>0</v>
      </c>
      <c r="AJ608" s="175">
        <f>SUM(Z608,AH608)</f>
        <v>0</v>
      </c>
      <c r="AK608" s="203"/>
      <c r="AL608" s="175">
        <f>M608*AK608*$AL$2/1000</f>
        <v>0</v>
      </c>
      <c r="AM608" s="242"/>
      <c r="AN608" s="175">
        <f>M608*AM608*$AN$2/1000</f>
        <v>0</v>
      </c>
      <c r="AO608" s="203"/>
      <c r="AP608" s="204">
        <f>M608*AO608*$AP$2/1000</f>
        <v>0</v>
      </c>
      <c r="AQ608" s="191">
        <f t="shared" si="1603"/>
        <v>0</v>
      </c>
      <c r="AR608" s="95">
        <f t="shared" si="1603"/>
        <v>0</v>
      </c>
      <c r="AS608" s="95"/>
      <c r="AT608" s="175">
        <f>O608*AS608*$AT$2/1000</f>
        <v>0</v>
      </c>
      <c r="AU608" s="203"/>
      <c r="AV608" s="175">
        <f>O608*AU608*$AV$2/1000</f>
        <v>0</v>
      </c>
      <c r="AW608" s="203"/>
      <c r="AX608" s="204">
        <f>O608*AW608*$AX$2/1000</f>
        <v>0</v>
      </c>
      <c r="AY608" s="191">
        <f t="shared" si="1604"/>
        <v>0</v>
      </c>
      <c r="AZ608" s="95">
        <f t="shared" si="1604"/>
        <v>0</v>
      </c>
      <c r="BA608" s="95">
        <f>SUM(AQ608+AY608)</f>
        <v>0</v>
      </c>
      <c r="BB608" s="95">
        <f>SUM(AR608,AZ608)</f>
        <v>0</v>
      </c>
    </row>
    <row r="609" spans="1:54" hidden="1">
      <c r="A609" s="492">
        <v>362</v>
      </c>
      <c r="B609" s="14"/>
      <c r="C609" s="14"/>
      <c r="D609" s="14"/>
      <c r="E609" s="16" t="s">
        <v>55</v>
      </c>
      <c r="F609" s="44" t="s">
        <v>56</v>
      </c>
      <c r="G609" s="17" t="s">
        <v>1059</v>
      </c>
      <c r="H609" s="264" t="s">
        <v>357</v>
      </c>
      <c r="I609" s="142"/>
      <c r="J609" s="101"/>
      <c r="K609" s="54"/>
      <c r="L609" s="162"/>
      <c r="M609" s="54"/>
      <c r="N609" s="162"/>
      <c r="O609" s="142"/>
      <c r="P609" s="101"/>
      <c r="Q609" s="95">
        <f t="shared" si="1600"/>
        <v>0</v>
      </c>
      <c r="R609" s="335">
        <f t="shared" si="1600"/>
        <v>0</v>
      </c>
      <c r="S609" s="95"/>
      <c r="T609" s="95">
        <f>I609*S609*$T$2/1000</f>
        <v>0</v>
      </c>
      <c r="U609" s="95"/>
      <c r="V609" s="175">
        <f>I609*U609*$V$2/1000</f>
        <v>0</v>
      </c>
      <c r="W609" s="203"/>
      <c r="X609" s="204">
        <f>I609*W609*$X$2/1000</f>
        <v>0</v>
      </c>
      <c r="Y609" s="191">
        <f t="shared" si="1601"/>
        <v>0</v>
      </c>
      <c r="Z609" s="175">
        <f t="shared" si="1601"/>
        <v>0</v>
      </c>
      <c r="AA609" s="203"/>
      <c r="AB609" s="204">
        <f>K609*AA609*$AB$2/1000</f>
        <v>0</v>
      </c>
      <c r="AC609" s="203"/>
      <c r="AD609" s="175">
        <f>K609*AC609*$AD$2/1000</f>
        <v>0</v>
      </c>
      <c r="AE609" s="203"/>
      <c r="AF609" s="204">
        <f>K609*AE609*$AF$2/1000</f>
        <v>0</v>
      </c>
      <c r="AG609" s="191">
        <f t="shared" si="1602"/>
        <v>0</v>
      </c>
      <c r="AH609" s="95">
        <f t="shared" si="1602"/>
        <v>0</v>
      </c>
      <c r="AI609" s="95">
        <f>SUM(Y609+AG609)</f>
        <v>0</v>
      </c>
      <c r="AJ609" s="175">
        <f>SUM(Z609,AH609)</f>
        <v>0</v>
      </c>
      <c r="AK609" s="203"/>
      <c r="AL609" s="175">
        <f>M609*AK609*$AL$2/1000</f>
        <v>0</v>
      </c>
      <c r="AM609" s="242"/>
      <c r="AN609" s="175">
        <f>M609*AM609*$AN$2/1000</f>
        <v>0</v>
      </c>
      <c r="AO609" s="203"/>
      <c r="AP609" s="204">
        <f>M609*AO609*$AP$2/1000</f>
        <v>0</v>
      </c>
      <c r="AQ609" s="191">
        <f t="shared" si="1603"/>
        <v>0</v>
      </c>
      <c r="AR609" s="95">
        <f t="shared" si="1603"/>
        <v>0</v>
      </c>
      <c r="AS609" s="95"/>
      <c r="AT609" s="175">
        <f>O609*AS609*$AT$2/1000</f>
        <v>0</v>
      </c>
      <c r="AU609" s="203"/>
      <c r="AV609" s="175">
        <f>O609*AU609*$AV$2/1000</f>
        <v>0</v>
      </c>
      <c r="AW609" s="203"/>
      <c r="AX609" s="204">
        <f>O609*AW609*$AX$2/1000</f>
        <v>0</v>
      </c>
      <c r="AY609" s="191">
        <f t="shared" si="1604"/>
        <v>0</v>
      </c>
      <c r="AZ609" s="95">
        <f t="shared" si="1604"/>
        <v>0</v>
      </c>
      <c r="BA609" s="95">
        <f>SUM(AQ609+AY609)</f>
        <v>0</v>
      </c>
      <c r="BB609" s="95">
        <f>SUM(AR609,AZ609)</f>
        <v>0</v>
      </c>
    </row>
    <row r="610" spans="1:54" hidden="1">
      <c r="A610" s="492">
        <v>363</v>
      </c>
      <c r="B610" s="14"/>
      <c r="C610" s="14"/>
      <c r="D610" s="14"/>
      <c r="E610" s="16" t="s">
        <v>57</v>
      </c>
      <c r="F610" s="44" t="s">
        <v>209</v>
      </c>
      <c r="G610" s="17" t="s">
        <v>1059</v>
      </c>
      <c r="H610" s="264" t="s">
        <v>357</v>
      </c>
      <c r="I610" s="142"/>
      <c r="J610" s="101"/>
      <c r="K610" s="54"/>
      <c r="L610" s="162"/>
      <c r="M610" s="54"/>
      <c r="N610" s="162"/>
      <c r="O610" s="142"/>
      <c r="P610" s="101"/>
      <c r="Q610" s="95">
        <f t="shared" si="1600"/>
        <v>0</v>
      </c>
      <c r="R610" s="335">
        <f t="shared" si="1600"/>
        <v>0</v>
      </c>
      <c r="S610" s="95"/>
      <c r="T610" s="95">
        <f>I610*S610*$T$2/1000</f>
        <v>0</v>
      </c>
      <c r="U610" s="95"/>
      <c r="V610" s="175">
        <f>I610*U610*$V$2/1000</f>
        <v>0</v>
      </c>
      <c r="W610" s="203"/>
      <c r="X610" s="204">
        <f>I610*W610*$X$2/1000</f>
        <v>0</v>
      </c>
      <c r="Y610" s="191">
        <f t="shared" si="1601"/>
        <v>0</v>
      </c>
      <c r="Z610" s="175">
        <f t="shared" si="1601"/>
        <v>0</v>
      </c>
      <c r="AA610" s="203"/>
      <c r="AB610" s="204">
        <f>K610*AA610*$AB$2/1000</f>
        <v>0</v>
      </c>
      <c r="AC610" s="203"/>
      <c r="AD610" s="175">
        <f>K610*AC610*$AD$2/1000</f>
        <v>0</v>
      </c>
      <c r="AE610" s="203"/>
      <c r="AF610" s="204">
        <f>K610*AE610*$AF$2/1000</f>
        <v>0</v>
      </c>
      <c r="AG610" s="191">
        <f t="shared" si="1602"/>
        <v>0</v>
      </c>
      <c r="AH610" s="95">
        <f t="shared" si="1602"/>
        <v>0</v>
      </c>
      <c r="AI610" s="95">
        <f>SUM(Y610+AG610)</f>
        <v>0</v>
      </c>
      <c r="AJ610" s="175">
        <f>SUM(Z610,AH610)</f>
        <v>0</v>
      </c>
      <c r="AK610" s="203"/>
      <c r="AL610" s="175">
        <f>M610*AK610*$AL$2/1000</f>
        <v>0</v>
      </c>
      <c r="AM610" s="242"/>
      <c r="AN610" s="175">
        <f>M610*AM610*$AN$2/1000</f>
        <v>0</v>
      </c>
      <c r="AO610" s="203"/>
      <c r="AP610" s="204">
        <f>M610*AO610*$AP$2/1000</f>
        <v>0</v>
      </c>
      <c r="AQ610" s="191">
        <f t="shared" si="1603"/>
        <v>0</v>
      </c>
      <c r="AR610" s="95">
        <f t="shared" si="1603"/>
        <v>0</v>
      </c>
      <c r="AS610" s="95"/>
      <c r="AT610" s="175">
        <f>O610*AS610*$AT$2/1000</f>
        <v>0</v>
      </c>
      <c r="AU610" s="203"/>
      <c r="AV610" s="175">
        <f>O610*AU610*$AV$2/1000</f>
        <v>0</v>
      </c>
      <c r="AW610" s="203"/>
      <c r="AX610" s="204">
        <f>O610*AW610*$AX$2/1000</f>
        <v>0</v>
      </c>
      <c r="AY610" s="191">
        <f t="shared" si="1604"/>
        <v>0</v>
      </c>
      <c r="AZ610" s="95">
        <f t="shared" si="1604"/>
        <v>0</v>
      </c>
      <c r="BA610" s="95">
        <f>SUM(AQ610+AY610)</f>
        <v>0</v>
      </c>
      <c r="BB610" s="95">
        <f>SUM(AR610,AZ610)</f>
        <v>0</v>
      </c>
    </row>
    <row r="611" spans="1:54" hidden="1">
      <c r="A611" s="492">
        <v>364</v>
      </c>
      <c r="B611" s="14"/>
      <c r="C611" s="20"/>
      <c r="D611" s="68"/>
      <c r="E611" s="69" t="s">
        <v>264</v>
      </c>
      <c r="F611" s="313" t="s">
        <v>265</v>
      </c>
      <c r="G611" s="25" t="s">
        <v>1059</v>
      </c>
      <c r="H611" s="267" t="s">
        <v>357</v>
      </c>
      <c r="I611" s="144"/>
      <c r="J611" s="107"/>
      <c r="K611" s="57"/>
      <c r="L611" s="166"/>
      <c r="M611" s="57"/>
      <c r="N611" s="166"/>
      <c r="O611" s="144"/>
      <c r="P611" s="107"/>
      <c r="Q611" s="119">
        <f t="shared" si="1600"/>
        <v>0</v>
      </c>
      <c r="R611" s="339">
        <f t="shared" si="1600"/>
        <v>0</v>
      </c>
      <c r="S611" s="119"/>
      <c r="T611" s="119">
        <f>I611*S611*$T$2/1000</f>
        <v>0</v>
      </c>
      <c r="U611" s="119"/>
      <c r="V611" s="178">
        <f>I611*U611*$V$2/1000</f>
        <v>0</v>
      </c>
      <c r="W611" s="209"/>
      <c r="X611" s="210">
        <f>I611*W611*$X$2/1000</f>
        <v>0</v>
      </c>
      <c r="Y611" s="189">
        <f t="shared" si="1601"/>
        <v>0</v>
      </c>
      <c r="Z611" s="178">
        <f t="shared" si="1601"/>
        <v>0</v>
      </c>
      <c r="AA611" s="209"/>
      <c r="AB611" s="210">
        <f>K611*AA611*$AB$2/1000</f>
        <v>0</v>
      </c>
      <c r="AC611" s="209"/>
      <c r="AD611" s="178">
        <f>K611*AC611*$AD$2/1000</f>
        <v>0</v>
      </c>
      <c r="AE611" s="209"/>
      <c r="AF611" s="429">
        <f>K611*AE611*$AF$2/1000</f>
        <v>0</v>
      </c>
      <c r="AG611" s="189">
        <f t="shared" si="1602"/>
        <v>0</v>
      </c>
      <c r="AH611" s="119">
        <f t="shared" si="1602"/>
        <v>0</v>
      </c>
      <c r="AI611" s="119">
        <f>SUM(Y611+AG611)</f>
        <v>0</v>
      </c>
      <c r="AJ611" s="178">
        <f>SUM(Z611,AH611)</f>
        <v>0</v>
      </c>
      <c r="AK611" s="209"/>
      <c r="AL611" s="178">
        <f>M611*AK611*$AL$2/1000</f>
        <v>0</v>
      </c>
      <c r="AM611" s="245"/>
      <c r="AN611" s="178">
        <f>M611*AM611*$AN$2/1000</f>
        <v>0</v>
      </c>
      <c r="AO611" s="209"/>
      <c r="AP611" s="210">
        <f>M611*AO611*$AP$2/1000</f>
        <v>0</v>
      </c>
      <c r="AQ611" s="189">
        <f t="shared" si="1603"/>
        <v>0</v>
      </c>
      <c r="AR611" s="119">
        <f t="shared" si="1603"/>
        <v>0</v>
      </c>
      <c r="AS611" s="119"/>
      <c r="AT611" s="178">
        <f>O611*AS611*$AT$2/1000</f>
        <v>0</v>
      </c>
      <c r="AU611" s="209"/>
      <c r="AV611" s="178">
        <f>O611*AU611*$AV$2/1000</f>
        <v>0</v>
      </c>
      <c r="AW611" s="209"/>
      <c r="AX611" s="210">
        <f>O611*AW611*$AX$2/1000</f>
        <v>0</v>
      </c>
      <c r="AY611" s="189">
        <f t="shared" si="1604"/>
        <v>0</v>
      </c>
      <c r="AZ611" s="119">
        <f t="shared" si="1604"/>
        <v>0</v>
      </c>
      <c r="BA611" s="119">
        <f>SUM(AQ611+AY611)</f>
        <v>0</v>
      </c>
      <c r="BB611" s="119">
        <f>SUM(AR611,AZ611)</f>
        <v>0</v>
      </c>
    </row>
    <row r="612" spans="1:54" hidden="1">
      <c r="A612" s="492">
        <v>365</v>
      </c>
      <c r="B612" s="41"/>
      <c r="C612" s="70" t="s">
        <v>134</v>
      </c>
      <c r="D612" s="71"/>
      <c r="E612" s="71"/>
      <c r="F612" s="71"/>
      <c r="G612" s="71"/>
      <c r="H612" s="283"/>
      <c r="I612" s="150"/>
      <c r="J612" s="109"/>
      <c r="K612" s="72"/>
      <c r="L612" s="76"/>
      <c r="M612" s="72"/>
      <c r="N612" s="76"/>
      <c r="O612" s="150"/>
      <c r="P612" s="109"/>
      <c r="Q612" s="129">
        <f t="shared" ref="Q612:BB612" si="1605">SUM(Q607:Q611)</f>
        <v>0</v>
      </c>
      <c r="R612" s="129">
        <f t="shared" si="1605"/>
        <v>0</v>
      </c>
      <c r="S612" s="129">
        <f t="shared" si="1605"/>
        <v>0</v>
      </c>
      <c r="T612" s="129">
        <f t="shared" si="1605"/>
        <v>0</v>
      </c>
      <c r="U612" s="129">
        <f t="shared" si="1605"/>
        <v>0</v>
      </c>
      <c r="V612" s="129">
        <f t="shared" si="1605"/>
        <v>0</v>
      </c>
      <c r="W612" s="129">
        <f t="shared" si="1605"/>
        <v>0</v>
      </c>
      <c r="X612" s="129">
        <f t="shared" si="1605"/>
        <v>0</v>
      </c>
      <c r="Y612" s="129">
        <f t="shared" si="1605"/>
        <v>0</v>
      </c>
      <c r="Z612" s="129">
        <f t="shared" si="1605"/>
        <v>0</v>
      </c>
      <c r="AA612" s="129">
        <f t="shared" si="1605"/>
        <v>0</v>
      </c>
      <c r="AB612" s="129">
        <f t="shared" si="1605"/>
        <v>0</v>
      </c>
      <c r="AC612" s="129">
        <f t="shared" si="1605"/>
        <v>0</v>
      </c>
      <c r="AD612" s="129">
        <f t="shared" si="1605"/>
        <v>0</v>
      </c>
      <c r="AE612" s="129">
        <f t="shared" si="1605"/>
        <v>0</v>
      </c>
      <c r="AF612" s="123">
        <f t="shared" si="1605"/>
        <v>0</v>
      </c>
      <c r="AG612" s="129">
        <f t="shared" si="1605"/>
        <v>0</v>
      </c>
      <c r="AH612" s="129">
        <f t="shared" si="1605"/>
        <v>0</v>
      </c>
      <c r="AI612" s="129">
        <f t="shared" si="1605"/>
        <v>0</v>
      </c>
      <c r="AJ612" s="129">
        <f t="shared" si="1605"/>
        <v>0</v>
      </c>
      <c r="AK612" s="129">
        <f t="shared" si="1605"/>
        <v>0</v>
      </c>
      <c r="AL612" s="129">
        <f t="shared" si="1605"/>
        <v>0</v>
      </c>
      <c r="AM612" s="129">
        <f t="shared" si="1605"/>
        <v>0</v>
      </c>
      <c r="AN612" s="129">
        <f t="shared" si="1605"/>
        <v>0</v>
      </c>
      <c r="AO612" s="129">
        <f t="shared" si="1605"/>
        <v>0</v>
      </c>
      <c r="AP612" s="129">
        <f t="shared" si="1605"/>
        <v>0</v>
      </c>
      <c r="AQ612" s="129">
        <f t="shared" si="1605"/>
        <v>0</v>
      </c>
      <c r="AR612" s="129">
        <f t="shared" si="1605"/>
        <v>0</v>
      </c>
      <c r="AS612" s="129">
        <f t="shared" si="1605"/>
        <v>0</v>
      </c>
      <c r="AT612" s="129">
        <f t="shared" si="1605"/>
        <v>0</v>
      </c>
      <c r="AU612" s="129">
        <f t="shared" si="1605"/>
        <v>0</v>
      </c>
      <c r="AV612" s="129">
        <f t="shared" si="1605"/>
        <v>0</v>
      </c>
      <c r="AW612" s="129">
        <f t="shared" si="1605"/>
        <v>0</v>
      </c>
      <c r="AX612" s="129">
        <f t="shared" si="1605"/>
        <v>0</v>
      </c>
      <c r="AY612" s="129">
        <f t="shared" si="1605"/>
        <v>0</v>
      </c>
      <c r="AZ612" s="129">
        <f t="shared" si="1605"/>
        <v>0</v>
      </c>
      <c r="BA612" s="129">
        <f t="shared" si="1605"/>
        <v>0</v>
      </c>
      <c r="BB612" s="129">
        <f t="shared" si="1605"/>
        <v>0</v>
      </c>
    </row>
    <row r="613" spans="1:54">
      <c r="A613" s="492">
        <v>366</v>
      </c>
      <c r="B613" s="13" t="s">
        <v>1109</v>
      </c>
      <c r="C613" s="52" t="s">
        <v>211</v>
      </c>
      <c r="D613" s="52" t="s">
        <v>48</v>
      </c>
      <c r="E613" s="19" t="s">
        <v>266</v>
      </c>
      <c r="F613" s="22">
        <v>337</v>
      </c>
      <c r="G613" s="22" t="s">
        <v>1059</v>
      </c>
      <c r="H613" s="265" t="s">
        <v>358</v>
      </c>
      <c r="I613" s="54">
        <v>2.66</v>
      </c>
      <c r="J613" s="101"/>
      <c r="K613" s="54">
        <v>2.66</v>
      </c>
      <c r="L613" s="101"/>
      <c r="M613" s="54"/>
      <c r="N613" s="101"/>
      <c r="O613" s="54"/>
      <c r="P613" s="101"/>
      <c r="Q613" s="96">
        <f t="shared" ref="Q613:Q622" si="1606">SUM(AI613+BA613)</f>
        <v>2.72</v>
      </c>
      <c r="R613" s="337">
        <f t="shared" ref="R613:R622" si="1607">SUM(AJ613+BB613)</f>
        <v>10.548772640000003</v>
      </c>
      <c r="S613" s="96">
        <v>1.1200000000000001</v>
      </c>
      <c r="T613" s="96">
        <f t="shared" ref="T613:T622" si="1608">I613*S613*$T$2/1000</f>
        <v>4.3009220800000012</v>
      </c>
      <c r="U613" s="96">
        <v>0.48</v>
      </c>
      <c r="V613" s="176">
        <f t="shared" ref="V613:V622" si="1609">I613*U613*$V$2/1000</f>
        <v>1.8363703679999999</v>
      </c>
      <c r="W613" s="206"/>
      <c r="X613" s="205">
        <f t="shared" ref="X613:X622" si="1610">I613*W613*$X$2/1000</f>
        <v>0</v>
      </c>
      <c r="Y613" s="188">
        <f t="shared" ref="Y613:Y622" si="1611">SUM(S613+U613+W613)</f>
        <v>1.6</v>
      </c>
      <c r="Z613" s="176">
        <f t="shared" ref="Z613:Z622" si="1612">SUM(T613+V613+X613)</f>
        <v>6.1372924480000011</v>
      </c>
      <c r="AA613" s="206">
        <v>1.1200000000000001</v>
      </c>
      <c r="AB613" s="205">
        <f t="shared" ref="AB613:AB622" si="1613">K613*AA613*$AB$2/1000</f>
        <v>4.4114801920000009</v>
      </c>
      <c r="AC613" s="206"/>
      <c r="AD613" s="176">
        <f t="shared" ref="AD613:AD622" si="1614">K613*AC613*$AD$2/1000</f>
        <v>0</v>
      </c>
      <c r="AE613" s="206"/>
      <c r="AF613" s="205">
        <f t="shared" ref="AF613:AF622" si="1615">K613*AE613*$AF$2/1000</f>
        <v>0</v>
      </c>
      <c r="AG613" s="188">
        <f t="shared" ref="AG613:AG622" si="1616">SUM(AA613+AC613+AE613)</f>
        <v>1.1200000000000001</v>
      </c>
      <c r="AH613" s="96">
        <f t="shared" ref="AH613:AH622" si="1617">SUM(AB613+AD613+AF613)</f>
        <v>4.4114801920000009</v>
      </c>
      <c r="AI613" s="96">
        <f t="shared" ref="AI613:AI622" si="1618">SUM(Y613+AG613)</f>
        <v>2.72</v>
      </c>
      <c r="AJ613" s="176">
        <f t="shared" ref="AJ613:AJ622" si="1619">SUM(Z613,AH613)</f>
        <v>10.548772640000003</v>
      </c>
      <c r="AK613" s="206"/>
      <c r="AL613" s="176">
        <f t="shared" ref="AL613:AL622" si="1620">M613*AK613*$AL$2/1000</f>
        <v>0</v>
      </c>
      <c r="AM613" s="243"/>
      <c r="AN613" s="176">
        <f t="shared" ref="AN613:AN622" si="1621">M613*AM613*$AN$2/1000</f>
        <v>0</v>
      </c>
      <c r="AO613" s="206"/>
      <c r="AP613" s="205">
        <f t="shared" ref="AP613:AP622" si="1622">M613*AO613*$AP$2/1000</f>
        <v>0</v>
      </c>
      <c r="AQ613" s="188">
        <f t="shared" ref="AQ613:AQ622" si="1623">SUM(AK613+AM613+AO613)</f>
        <v>0</v>
      </c>
      <c r="AR613" s="96">
        <f t="shared" ref="AR613:AR622" si="1624">SUM(AL613+AN613+AP613)</f>
        <v>0</v>
      </c>
      <c r="AS613" s="96"/>
      <c r="AT613" s="176">
        <f t="shared" ref="AT613:AT622" si="1625">O613*AS613*$AT$2/1000</f>
        <v>0</v>
      </c>
      <c r="AU613" s="296"/>
      <c r="AV613" s="176">
        <f t="shared" ref="AV613:AV622" si="1626">O613*AU613*$AV$2/1000</f>
        <v>0</v>
      </c>
      <c r="AW613" s="296"/>
      <c r="AX613" s="205">
        <f t="shared" ref="AX613:AX622" si="1627">O613*AW613*$AX$2/1000</f>
        <v>0</v>
      </c>
      <c r="AY613" s="188">
        <f t="shared" ref="AY613:AY622" si="1628">SUM(AS613+AU613+AW613)</f>
        <v>0</v>
      </c>
      <c r="AZ613" s="96">
        <f t="shared" ref="AZ613:AZ622" si="1629">SUM(AT613+AV613+AX613)</f>
        <v>0</v>
      </c>
      <c r="BA613" s="96">
        <f t="shared" ref="BA613:BA622" si="1630">SUM(AQ613+AY613)</f>
        <v>0</v>
      </c>
      <c r="BB613" s="96">
        <f t="shared" ref="BB613:BB622" si="1631">SUM(AR613,AZ613)</f>
        <v>0</v>
      </c>
    </row>
    <row r="614" spans="1:54">
      <c r="A614" s="492">
        <v>367</v>
      </c>
      <c r="B614" s="13"/>
      <c r="C614" s="23"/>
      <c r="D614" s="13"/>
      <c r="E614" s="19" t="s">
        <v>267</v>
      </c>
      <c r="F614" s="22" t="s">
        <v>473</v>
      </c>
      <c r="G614" s="22" t="s">
        <v>1059</v>
      </c>
      <c r="H614" s="265" t="s">
        <v>358</v>
      </c>
      <c r="I614" s="232">
        <v>10.91</v>
      </c>
      <c r="J614" s="101"/>
      <c r="K614" s="232">
        <v>10.91</v>
      </c>
      <c r="L614" s="101"/>
      <c r="M614" s="232"/>
      <c r="N614" s="101"/>
      <c r="O614" s="232"/>
      <c r="P614" s="101"/>
      <c r="Q614" s="96">
        <f t="shared" si="1606"/>
        <v>0</v>
      </c>
      <c r="R614" s="337">
        <f t="shared" si="1607"/>
        <v>0</v>
      </c>
      <c r="S614" s="96"/>
      <c r="T614" s="96">
        <f t="shared" si="1608"/>
        <v>0</v>
      </c>
      <c r="U614" s="96"/>
      <c r="V614" s="176">
        <f t="shared" si="1609"/>
        <v>0</v>
      </c>
      <c r="W614" s="206"/>
      <c r="X614" s="205">
        <f t="shared" si="1610"/>
        <v>0</v>
      </c>
      <c r="Y614" s="188">
        <f t="shared" si="1611"/>
        <v>0</v>
      </c>
      <c r="Z614" s="176">
        <f t="shared" si="1612"/>
        <v>0</v>
      </c>
      <c r="AA614" s="206"/>
      <c r="AB614" s="205">
        <f t="shared" si="1613"/>
        <v>0</v>
      </c>
      <c r="AC614" s="206"/>
      <c r="AD614" s="176">
        <f t="shared" si="1614"/>
        <v>0</v>
      </c>
      <c r="AE614" s="206"/>
      <c r="AF614" s="205">
        <f t="shared" si="1615"/>
        <v>0</v>
      </c>
      <c r="AG614" s="188">
        <f t="shared" si="1616"/>
        <v>0</v>
      </c>
      <c r="AH614" s="96">
        <f t="shared" si="1617"/>
        <v>0</v>
      </c>
      <c r="AI614" s="96">
        <f t="shared" si="1618"/>
        <v>0</v>
      </c>
      <c r="AJ614" s="176">
        <f t="shared" si="1619"/>
        <v>0</v>
      </c>
      <c r="AK614" s="206"/>
      <c r="AL614" s="176">
        <f t="shared" si="1620"/>
        <v>0</v>
      </c>
      <c r="AM614" s="243"/>
      <c r="AN614" s="176">
        <f t="shared" si="1621"/>
        <v>0</v>
      </c>
      <c r="AO614" s="206"/>
      <c r="AP614" s="205">
        <f t="shared" si="1622"/>
        <v>0</v>
      </c>
      <c r="AQ614" s="188">
        <f t="shared" si="1623"/>
        <v>0</v>
      </c>
      <c r="AR614" s="96">
        <f t="shared" si="1624"/>
        <v>0</v>
      </c>
      <c r="AS614" s="96"/>
      <c r="AT614" s="176">
        <f t="shared" si="1625"/>
        <v>0</v>
      </c>
      <c r="AU614" s="296"/>
      <c r="AV614" s="176">
        <f t="shared" si="1626"/>
        <v>0</v>
      </c>
      <c r="AW614" s="296"/>
      <c r="AX614" s="205">
        <f t="shared" si="1627"/>
        <v>0</v>
      </c>
      <c r="AY614" s="188">
        <f t="shared" si="1628"/>
        <v>0</v>
      </c>
      <c r="AZ614" s="96">
        <f t="shared" si="1629"/>
        <v>0</v>
      </c>
      <c r="BA614" s="96">
        <f t="shared" si="1630"/>
        <v>0</v>
      </c>
      <c r="BB614" s="96">
        <f t="shared" si="1631"/>
        <v>0</v>
      </c>
    </row>
    <row r="615" spans="1:54">
      <c r="A615" s="492">
        <v>368</v>
      </c>
      <c r="B615" s="13"/>
      <c r="C615" s="23"/>
      <c r="D615" s="13"/>
      <c r="E615" s="19" t="s">
        <v>268</v>
      </c>
      <c r="F615" s="22" t="s">
        <v>269</v>
      </c>
      <c r="G615" s="22" t="s">
        <v>1059</v>
      </c>
      <c r="H615" s="265" t="s">
        <v>358</v>
      </c>
      <c r="I615" s="232">
        <v>17.27</v>
      </c>
      <c r="J615" s="101"/>
      <c r="K615" s="232">
        <v>17.27</v>
      </c>
      <c r="L615" s="101"/>
      <c r="M615" s="232"/>
      <c r="N615" s="101"/>
      <c r="O615" s="232"/>
      <c r="P615" s="101"/>
      <c r="Q615" s="96">
        <f t="shared" si="1606"/>
        <v>0</v>
      </c>
      <c r="R615" s="337">
        <f t="shared" si="1607"/>
        <v>0</v>
      </c>
      <c r="S615" s="96"/>
      <c r="T615" s="96">
        <f t="shared" si="1608"/>
        <v>0</v>
      </c>
      <c r="U615" s="96"/>
      <c r="V615" s="176">
        <f t="shared" si="1609"/>
        <v>0</v>
      </c>
      <c r="W615" s="206"/>
      <c r="X615" s="205">
        <f t="shared" si="1610"/>
        <v>0</v>
      </c>
      <c r="Y615" s="188">
        <f t="shared" si="1611"/>
        <v>0</v>
      </c>
      <c r="Z615" s="176">
        <f t="shared" si="1612"/>
        <v>0</v>
      </c>
      <c r="AA615" s="206"/>
      <c r="AB615" s="205">
        <f t="shared" si="1613"/>
        <v>0</v>
      </c>
      <c r="AC615" s="206"/>
      <c r="AD615" s="176">
        <f t="shared" si="1614"/>
        <v>0</v>
      </c>
      <c r="AE615" s="206"/>
      <c r="AF615" s="205">
        <f t="shared" si="1615"/>
        <v>0</v>
      </c>
      <c r="AG615" s="188">
        <f t="shared" si="1616"/>
        <v>0</v>
      </c>
      <c r="AH615" s="96">
        <f t="shared" si="1617"/>
        <v>0</v>
      </c>
      <c r="AI615" s="96">
        <f t="shared" si="1618"/>
        <v>0</v>
      </c>
      <c r="AJ615" s="176">
        <f t="shared" si="1619"/>
        <v>0</v>
      </c>
      <c r="AK615" s="206"/>
      <c r="AL615" s="176">
        <f t="shared" si="1620"/>
        <v>0</v>
      </c>
      <c r="AM615" s="243"/>
      <c r="AN615" s="176">
        <f t="shared" si="1621"/>
        <v>0</v>
      </c>
      <c r="AO615" s="206"/>
      <c r="AP615" s="205">
        <f t="shared" si="1622"/>
        <v>0</v>
      </c>
      <c r="AQ615" s="188">
        <f t="shared" si="1623"/>
        <v>0</v>
      </c>
      <c r="AR615" s="96">
        <f t="shared" si="1624"/>
        <v>0</v>
      </c>
      <c r="AS615" s="96"/>
      <c r="AT615" s="176">
        <f t="shared" si="1625"/>
        <v>0</v>
      </c>
      <c r="AU615" s="296"/>
      <c r="AV615" s="176">
        <f t="shared" si="1626"/>
        <v>0</v>
      </c>
      <c r="AW615" s="296"/>
      <c r="AX615" s="205">
        <f t="shared" si="1627"/>
        <v>0</v>
      </c>
      <c r="AY615" s="188">
        <f t="shared" si="1628"/>
        <v>0</v>
      </c>
      <c r="AZ615" s="96">
        <f t="shared" si="1629"/>
        <v>0</v>
      </c>
      <c r="BA615" s="96">
        <f t="shared" si="1630"/>
        <v>0</v>
      </c>
      <c r="BB615" s="96">
        <f t="shared" si="1631"/>
        <v>0</v>
      </c>
    </row>
    <row r="616" spans="1:54">
      <c r="A616" s="492">
        <v>369</v>
      </c>
      <c r="B616" s="13"/>
      <c r="C616" s="23"/>
      <c r="D616" s="13"/>
      <c r="E616" s="19" t="s">
        <v>78</v>
      </c>
      <c r="F616" s="22" t="s">
        <v>270</v>
      </c>
      <c r="G616" s="22" t="s">
        <v>1059</v>
      </c>
      <c r="H616" s="265" t="s">
        <v>358</v>
      </c>
      <c r="I616" s="232">
        <v>17.91</v>
      </c>
      <c r="J616" s="101"/>
      <c r="K616" s="232">
        <v>17.91</v>
      </c>
      <c r="L616" s="101"/>
      <c r="M616" s="232"/>
      <c r="N616" s="101"/>
      <c r="O616" s="232"/>
      <c r="P616" s="101"/>
      <c r="Q616" s="96">
        <f t="shared" si="1606"/>
        <v>0</v>
      </c>
      <c r="R616" s="337">
        <f t="shared" si="1607"/>
        <v>0</v>
      </c>
      <c r="S616" s="96"/>
      <c r="T616" s="96">
        <f t="shared" si="1608"/>
        <v>0</v>
      </c>
      <c r="U616" s="96"/>
      <c r="V616" s="176">
        <f t="shared" si="1609"/>
        <v>0</v>
      </c>
      <c r="W616" s="206"/>
      <c r="X616" s="205">
        <f t="shared" si="1610"/>
        <v>0</v>
      </c>
      <c r="Y616" s="188">
        <f t="shared" si="1611"/>
        <v>0</v>
      </c>
      <c r="Z616" s="176">
        <f t="shared" si="1612"/>
        <v>0</v>
      </c>
      <c r="AA616" s="206"/>
      <c r="AB616" s="205">
        <f t="shared" si="1613"/>
        <v>0</v>
      </c>
      <c r="AC616" s="206"/>
      <c r="AD616" s="176">
        <f t="shared" si="1614"/>
        <v>0</v>
      </c>
      <c r="AE616" s="206"/>
      <c r="AF616" s="205">
        <f t="shared" si="1615"/>
        <v>0</v>
      </c>
      <c r="AG616" s="188">
        <f t="shared" si="1616"/>
        <v>0</v>
      </c>
      <c r="AH616" s="96">
        <f t="shared" si="1617"/>
        <v>0</v>
      </c>
      <c r="AI616" s="96">
        <f t="shared" si="1618"/>
        <v>0</v>
      </c>
      <c r="AJ616" s="176">
        <f t="shared" si="1619"/>
        <v>0</v>
      </c>
      <c r="AK616" s="206"/>
      <c r="AL616" s="176">
        <f t="shared" si="1620"/>
        <v>0</v>
      </c>
      <c r="AM616" s="243"/>
      <c r="AN616" s="176">
        <f t="shared" si="1621"/>
        <v>0</v>
      </c>
      <c r="AO616" s="206"/>
      <c r="AP616" s="205">
        <f t="shared" si="1622"/>
        <v>0</v>
      </c>
      <c r="AQ616" s="188">
        <f t="shared" si="1623"/>
        <v>0</v>
      </c>
      <c r="AR616" s="96">
        <f t="shared" si="1624"/>
        <v>0</v>
      </c>
      <c r="AS616" s="96"/>
      <c r="AT616" s="176">
        <f t="shared" si="1625"/>
        <v>0</v>
      </c>
      <c r="AU616" s="296"/>
      <c r="AV616" s="176">
        <f t="shared" si="1626"/>
        <v>0</v>
      </c>
      <c r="AW616" s="296"/>
      <c r="AX616" s="205">
        <f t="shared" si="1627"/>
        <v>0</v>
      </c>
      <c r="AY616" s="188">
        <f t="shared" si="1628"/>
        <v>0</v>
      </c>
      <c r="AZ616" s="96">
        <f t="shared" si="1629"/>
        <v>0</v>
      </c>
      <c r="BA616" s="96">
        <f t="shared" si="1630"/>
        <v>0</v>
      </c>
      <c r="BB616" s="96">
        <f t="shared" si="1631"/>
        <v>0</v>
      </c>
    </row>
    <row r="617" spans="1:54">
      <c r="A617" s="492">
        <v>370</v>
      </c>
      <c r="B617" s="13"/>
      <c r="C617" s="23"/>
      <c r="D617" s="13"/>
      <c r="E617" s="19" t="s">
        <v>1525</v>
      </c>
      <c r="F617" s="22" t="s">
        <v>1526</v>
      </c>
      <c r="G617" s="22" t="s">
        <v>1059</v>
      </c>
      <c r="H617" s="265" t="s">
        <v>358</v>
      </c>
      <c r="I617" s="232">
        <v>25.25</v>
      </c>
      <c r="J617" s="101"/>
      <c r="K617" s="232">
        <v>25.25</v>
      </c>
      <c r="L617" s="101"/>
      <c r="M617" s="232"/>
      <c r="N617" s="101"/>
      <c r="O617" s="232"/>
      <c r="P617" s="101"/>
      <c r="Q617" s="96">
        <f t="shared" si="1606"/>
        <v>2.286</v>
      </c>
      <c r="R617" s="337">
        <f t="shared" si="1607"/>
        <v>85.104679590000003</v>
      </c>
      <c r="S617" s="96"/>
      <c r="T617" s="96">
        <f t="shared" si="1608"/>
        <v>0</v>
      </c>
      <c r="U617" s="96">
        <v>0.34200000000000003</v>
      </c>
      <c r="V617" s="176">
        <f t="shared" si="1609"/>
        <v>12.42009423</v>
      </c>
      <c r="W617" s="206"/>
      <c r="X617" s="205">
        <f t="shared" si="1610"/>
        <v>0</v>
      </c>
      <c r="Y617" s="188">
        <f t="shared" si="1611"/>
        <v>0.34200000000000003</v>
      </c>
      <c r="Z617" s="176">
        <f t="shared" si="1612"/>
        <v>12.42009423</v>
      </c>
      <c r="AA617" s="206">
        <v>1.944</v>
      </c>
      <c r="AB617" s="205">
        <f t="shared" si="1613"/>
        <v>72.68458536</v>
      </c>
      <c r="AC617" s="206"/>
      <c r="AD617" s="176">
        <f t="shared" si="1614"/>
        <v>0</v>
      </c>
      <c r="AE617" s="206"/>
      <c r="AF617" s="205">
        <f t="shared" si="1615"/>
        <v>0</v>
      </c>
      <c r="AG617" s="188">
        <f t="shared" si="1616"/>
        <v>1.944</v>
      </c>
      <c r="AH617" s="96">
        <f t="shared" si="1617"/>
        <v>72.68458536</v>
      </c>
      <c r="AI617" s="96">
        <f t="shared" si="1618"/>
        <v>2.286</v>
      </c>
      <c r="AJ617" s="176">
        <f t="shared" si="1619"/>
        <v>85.104679590000003</v>
      </c>
      <c r="AK617" s="206"/>
      <c r="AL617" s="176">
        <f t="shared" si="1620"/>
        <v>0</v>
      </c>
      <c r="AM617" s="243"/>
      <c r="AN617" s="176">
        <f t="shared" si="1621"/>
        <v>0</v>
      </c>
      <c r="AO617" s="206"/>
      <c r="AP617" s="205">
        <f t="shared" si="1622"/>
        <v>0</v>
      </c>
      <c r="AQ617" s="188">
        <f t="shared" si="1623"/>
        <v>0</v>
      </c>
      <c r="AR617" s="96">
        <f t="shared" si="1624"/>
        <v>0</v>
      </c>
      <c r="AS617" s="96"/>
      <c r="AT617" s="176">
        <f t="shared" si="1625"/>
        <v>0</v>
      </c>
      <c r="AU617" s="296"/>
      <c r="AV617" s="176">
        <f t="shared" si="1626"/>
        <v>0</v>
      </c>
      <c r="AW617" s="296"/>
      <c r="AX617" s="205">
        <f t="shared" si="1627"/>
        <v>0</v>
      </c>
      <c r="AY617" s="188">
        <f t="shared" si="1628"/>
        <v>0</v>
      </c>
      <c r="AZ617" s="96">
        <f t="shared" si="1629"/>
        <v>0</v>
      </c>
      <c r="BA617" s="96">
        <f t="shared" si="1630"/>
        <v>0</v>
      </c>
      <c r="BB617" s="96">
        <f t="shared" si="1631"/>
        <v>0</v>
      </c>
    </row>
    <row r="618" spans="1:54">
      <c r="A618" s="492">
        <v>371</v>
      </c>
      <c r="B618" s="14"/>
      <c r="C618" s="14"/>
      <c r="D618" s="14"/>
      <c r="E618" s="16" t="s">
        <v>546</v>
      </c>
      <c r="F618" s="17" t="s">
        <v>815</v>
      </c>
      <c r="G618" s="17" t="s">
        <v>1059</v>
      </c>
      <c r="H618" s="265" t="s">
        <v>358</v>
      </c>
      <c r="I618" s="232">
        <v>29</v>
      </c>
      <c r="J618" s="101"/>
      <c r="K618" s="232">
        <v>20.8</v>
      </c>
      <c r="L618" s="101"/>
      <c r="M618" s="232"/>
      <c r="N618" s="101"/>
      <c r="O618" s="232"/>
      <c r="P618" s="101"/>
      <c r="Q618" s="95">
        <f t="shared" si="1606"/>
        <v>0.6</v>
      </c>
      <c r="R618" s="335">
        <f t="shared" si="1607"/>
        <v>25.119509999999998</v>
      </c>
      <c r="S618" s="95">
        <v>0.6</v>
      </c>
      <c r="T618" s="95">
        <f t="shared" si="1608"/>
        <v>25.119509999999998</v>
      </c>
      <c r="U618" s="95"/>
      <c r="V618" s="175">
        <f t="shared" si="1609"/>
        <v>0</v>
      </c>
      <c r="W618" s="203"/>
      <c r="X618" s="204">
        <f t="shared" si="1610"/>
        <v>0</v>
      </c>
      <c r="Y618" s="191">
        <f t="shared" si="1611"/>
        <v>0.6</v>
      </c>
      <c r="Z618" s="175">
        <f t="shared" si="1612"/>
        <v>25.119509999999998</v>
      </c>
      <c r="AA618" s="203"/>
      <c r="AB618" s="204">
        <f t="shared" si="1613"/>
        <v>0</v>
      </c>
      <c r="AC618" s="203"/>
      <c r="AD618" s="175">
        <f t="shared" si="1614"/>
        <v>0</v>
      </c>
      <c r="AE618" s="203"/>
      <c r="AF618" s="418">
        <f t="shared" si="1615"/>
        <v>0</v>
      </c>
      <c r="AG618" s="191">
        <f t="shared" si="1616"/>
        <v>0</v>
      </c>
      <c r="AH618" s="95">
        <f t="shared" si="1617"/>
        <v>0</v>
      </c>
      <c r="AI618" s="95">
        <f t="shared" si="1618"/>
        <v>0.6</v>
      </c>
      <c r="AJ618" s="175">
        <f t="shared" si="1619"/>
        <v>25.119509999999998</v>
      </c>
      <c r="AK618" s="203"/>
      <c r="AL618" s="175">
        <f t="shared" si="1620"/>
        <v>0</v>
      </c>
      <c r="AM618" s="242"/>
      <c r="AN618" s="175">
        <f t="shared" si="1621"/>
        <v>0</v>
      </c>
      <c r="AO618" s="203"/>
      <c r="AP618" s="204">
        <f t="shared" si="1622"/>
        <v>0</v>
      </c>
      <c r="AQ618" s="191">
        <f t="shared" si="1623"/>
        <v>0</v>
      </c>
      <c r="AR618" s="95">
        <f t="shared" si="1624"/>
        <v>0</v>
      </c>
      <c r="AS618" s="95"/>
      <c r="AT618" s="175">
        <f t="shared" si="1625"/>
        <v>0</v>
      </c>
      <c r="AU618" s="203"/>
      <c r="AV618" s="175">
        <f t="shared" si="1626"/>
        <v>0</v>
      </c>
      <c r="AW618" s="203"/>
      <c r="AX618" s="204">
        <f t="shared" si="1627"/>
        <v>0</v>
      </c>
      <c r="AY618" s="191">
        <f t="shared" si="1628"/>
        <v>0</v>
      </c>
      <c r="AZ618" s="95">
        <f t="shared" si="1629"/>
        <v>0</v>
      </c>
      <c r="BA618" s="95">
        <f t="shared" si="1630"/>
        <v>0</v>
      </c>
      <c r="BB618" s="95">
        <f t="shared" si="1631"/>
        <v>0</v>
      </c>
    </row>
    <row r="619" spans="1:54">
      <c r="A619" s="492">
        <v>372</v>
      </c>
      <c r="B619" s="13"/>
      <c r="C619" s="23"/>
      <c r="D619" s="87"/>
      <c r="E619" s="19" t="s">
        <v>908</v>
      </c>
      <c r="F619" s="22" t="s">
        <v>1297</v>
      </c>
      <c r="G619" s="22" t="s">
        <v>1059</v>
      </c>
      <c r="H619" s="265" t="s">
        <v>358</v>
      </c>
      <c r="I619" s="54">
        <v>25.9</v>
      </c>
      <c r="J619" s="101"/>
      <c r="K619" s="54">
        <v>25.9</v>
      </c>
      <c r="L619" s="101"/>
      <c r="M619" s="54"/>
      <c r="N619" s="101"/>
      <c r="O619" s="54"/>
      <c r="P619" s="101"/>
      <c r="Q619" s="96">
        <f t="shared" si="1606"/>
        <v>7.1509999999999998</v>
      </c>
      <c r="R619" s="337">
        <f t="shared" si="1607"/>
        <v>270.63579022899995</v>
      </c>
      <c r="S619" s="96">
        <v>1.944</v>
      </c>
      <c r="T619" s="96">
        <f t="shared" si="1608"/>
        <v>72.687200039999993</v>
      </c>
      <c r="U619" s="96">
        <v>1.944</v>
      </c>
      <c r="V619" s="176">
        <f t="shared" si="1609"/>
        <v>72.415815695999996</v>
      </c>
      <c r="W619" s="206">
        <v>0.69899999999999995</v>
      </c>
      <c r="X619" s="205">
        <f t="shared" si="1610"/>
        <v>27.199056716999994</v>
      </c>
      <c r="Y619" s="188">
        <f t="shared" si="1611"/>
        <v>4.5869999999999997</v>
      </c>
      <c r="Z619" s="176">
        <f t="shared" si="1612"/>
        <v>172.30207245299997</v>
      </c>
      <c r="AA619" s="206">
        <v>2.5640000000000001</v>
      </c>
      <c r="AB619" s="205">
        <f t="shared" si="1613"/>
        <v>98.333717776</v>
      </c>
      <c r="AC619" s="206"/>
      <c r="AD619" s="176">
        <f t="shared" si="1614"/>
        <v>0</v>
      </c>
      <c r="AE619" s="206"/>
      <c r="AF619" s="205">
        <f t="shared" si="1615"/>
        <v>0</v>
      </c>
      <c r="AG619" s="188">
        <f t="shared" si="1616"/>
        <v>2.5640000000000001</v>
      </c>
      <c r="AH619" s="96">
        <f t="shared" si="1617"/>
        <v>98.333717776</v>
      </c>
      <c r="AI619" s="96">
        <f t="shared" si="1618"/>
        <v>7.1509999999999998</v>
      </c>
      <c r="AJ619" s="176">
        <f t="shared" si="1619"/>
        <v>270.63579022899995</v>
      </c>
      <c r="AK619" s="206"/>
      <c r="AL619" s="176">
        <f t="shared" si="1620"/>
        <v>0</v>
      </c>
      <c r="AM619" s="243"/>
      <c r="AN619" s="176">
        <f t="shared" si="1621"/>
        <v>0</v>
      </c>
      <c r="AO619" s="206"/>
      <c r="AP619" s="205">
        <f t="shared" si="1622"/>
        <v>0</v>
      </c>
      <c r="AQ619" s="188">
        <f t="shared" si="1623"/>
        <v>0</v>
      </c>
      <c r="AR619" s="96">
        <f t="shared" si="1624"/>
        <v>0</v>
      </c>
      <c r="AS619" s="96"/>
      <c r="AT619" s="176">
        <f t="shared" si="1625"/>
        <v>0</v>
      </c>
      <c r="AU619" s="296"/>
      <c r="AV619" s="176">
        <f t="shared" si="1626"/>
        <v>0</v>
      </c>
      <c r="AW619" s="296"/>
      <c r="AX619" s="205">
        <f t="shared" si="1627"/>
        <v>0</v>
      </c>
      <c r="AY619" s="188">
        <f t="shared" si="1628"/>
        <v>0</v>
      </c>
      <c r="AZ619" s="96">
        <f t="shared" si="1629"/>
        <v>0</v>
      </c>
      <c r="BA619" s="96">
        <f t="shared" si="1630"/>
        <v>0</v>
      </c>
      <c r="BB619" s="96">
        <f t="shared" si="1631"/>
        <v>0</v>
      </c>
    </row>
    <row r="620" spans="1:54">
      <c r="A620" s="492">
        <v>373</v>
      </c>
      <c r="B620" s="13"/>
      <c r="C620" s="23"/>
      <c r="D620" s="13"/>
      <c r="E620" s="19" t="s">
        <v>49</v>
      </c>
      <c r="F620" s="22">
        <v>1004</v>
      </c>
      <c r="G620" s="22" t="s">
        <v>1059</v>
      </c>
      <c r="H620" s="265" t="s">
        <v>358</v>
      </c>
      <c r="I620" s="54">
        <v>16</v>
      </c>
      <c r="J620" s="101"/>
      <c r="K620" s="54">
        <v>16</v>
      </c>
      <c r="L620" s="101"/>
      <c r="M620" s="54"/>
      <c r="N620" s="101"/>
      <c r="O620" s="54"/>
      <c r="P620" s="101"/>
      <c r="Q620" s="96">
        <f t="shared" si="1606"/>
        <v>0.92400000000000004</v>
      </c>
      <c r="R620" s="337">
        <f t="shared" si="1607"/>
        <v>21.891555840000002</v>
      </c>
      <c r="S620" s="96"/>
      <c r="T620" s="96">
        <f t="shared" si="1608"/>
        <v>0</v>
      </c>
      <c r="U620" s="96"/>
      <c r="V620" s="176">
        <f t="shared" si="1609"/>
        <v>0</v>
      </c>
      <c r="W620" s="206"/>
      <c r="X620" s="205">
        <f t="shared" si="1610"/>
        <v>0</v>
      </c>
      <c r="Y620" s="188">
        <f t="shared" si="1611"/>
        <v>0</v>
      </c>
      <c r="Z620" s="176">
        <f t="shared" si="1612"/>
        <v>0</v>
      </c>
      <c r="AA620" s="206">
        <v>0.92400000000000004</v>
      </c>
      <c r="AB620" s="205">
        <f t="shared" si="1613"/>
        <v>21.891555840000002</v>
      </c>
      <c r="AC620" s="206"/>
      <c r="AD620" s="176">
        <f t="shared" si="1614"/>
        <v>0</v>
      </c>
      <c r="AE620" s="206"/>
      <c r="AF620" s="205">
        <f t="shared" si="1615"/>
        <v>0</v>
      </c>
      <c r="AG620" s="188">
        <f t="shared" si="1616"/>
        <v>0.92400000000000004</v>
      </c>
      <c r="AH620" s="96">
        <f t="shared" si="1617"/>
        <v>21.891555840000002</v>
      </c>
      <c r="AI620" s="96">
        <f t="shared" si="1618"/>
        <v>0.92400000000000004</v>
      </c>
      <c r="AJ620" s="176">
        <f t="shared" si="1619"/>
        <v>21.891555840000002</v>
      </c>
      <c r="AK620" s="206"/>
      <c r="AL620" s="176">
        <f t="shared" si="1620"/>
        <v>0</v>
      </c>
      <c r="AM620" s="243"/>
      <c r="AN620" s="176">
        <f t="shared" si="1621"/>
        <v>0</v>
      </c>
      <c r="AO620" s="206"/>
      <c r="AP620" s="205">
        <f t="shared" si="1622"/>
        <v>0</v>
      </c>
      <c r="AQ620" s="188">
        <f t="shared" si="1623"/>
        <v>0</v>
      </c>
      <c r="AR620" s="96">
        <f t="shared" si="1624"/>
        <v>0</v>
      </c>
      <c r="AS620" s="96"/>
      <c r="AT620" s="176">
        <f t="shared" si="1625"/>
        <v>0</v>
      </c>
      <c r="AU620" s="296"/>
      <c r="AV620" s="176">
        <f t="shared" si="1626"/>
        <v>0</v>
      </c>
      <c r="AW620" s="296"/>
      <c r="AX620" s="205">
        <f t="shared" si="1627"/>
        <v>0</v>
      </c>
      <c r="AY620" s="188">
        <f t="shared" si="1628"/>
        <v>0</v>
      </c>
      <c r="AZ620" s="96">
        <f t="shared" si="1629"/>
        <v>0</v>
      </c>
      <c r="BA620" s="96">
        <f t="shared" si="1630"/>
        <v>0</v>
      </c>
      <c r="BB620" s="96">
        <f t="shared" si="1631"/>
        <v>0</v>
      </c>
    </row>
    <row r="621" spans="1:54">
      <c r="A621" s="492">
        <v>374</v>
      </c>
      <c r="B621" s="13"/>
      <c r="C621" s="23"/>
      <c r="D621" s="13"/>
      <c r="E621" s="21" t="s">
        <v>271</v>
      </c>
      <c r="F621" s="22">
        <v>1005</v>
      </c>
      <c r="G621" s="22" t="s">
        <v>1059</v>
      </c>
      <c r="H621" s="265" t="s">
        <v>358</v>
      </c>
      <c r="I621" s="54">
        <v>17.100000000000001</v>
      </c>
      <c r="J621" s="101"/>
      <c r="K621" s="54">
        <v>17.100000000000001</v>
      </c>
      <c r="L621" s="101"/>
      <c r="M621" s="54"/>
      <c r="N621" s="101"/>
      <c r="O621" s="54"/>
      <c r="P621" s="101"/>
      <c r="Q621" s="96">
        <f t="shared" si="1606"/>
        <v>0.19800000000000001</v>
      </c>
      <c r="R621" s="337">
        <f t="shared" si="1607"/>
        <v>4.8696607080000014</v>
      </c>
      <c r="S621" s="96"/>
      <c r="T621" s="96">
        <f t="shared" si="1608"/>
        <v>0</v>
      </c>
      <c r="U621" s="96">
        <v>0.19800000000000001</v>
      </c>
      <c r="V621" s="176">
        <f t="shared" si="1609"/>
        <v>4.8696607080000014</v>
      </c>
      <c r="W621" s="206"/>
      <c r="X621" s="205">
        <f t="shared" si="1610"/>
        <v>0</v>
      </c>
      <c r="Y621" s="188">
        <f t="shared" si="1611"/>
        <v>0.19800000000000001</v>
      </c>
      <c r="Z621" s="176">
        <f t="shared" si="1612"/>
        <v>4.8696607080000014</v>
      </c>
      <c r="AA621" s="206"/>
      <c r="AB621" s="205">
        <f t="shared" si="1613"/>
        <v>0</v>
      </c>
      <c r="AC621" s="206"/>
      <c r="AD621" s="176">
        <f t="shared" si="1614"/>
        <v>0</v>
      </c>
      <c r="AE621" s="206"/>
      <c r="AF621" s="205">
        <f t="shared" si="1615"/>
        <v>0</v>
      </c>
      <c r="AG621" s="188">
        <f t="shared" si="1616"/>
        <v>0</v>
      </c>
      <c r="AH621" s="96">
        <f t="shared" si="1617"/>
        <v>0</v>
      </c>
      <c r="AI621" s="96">
        <f t="shared" si="1618"/>
        <v>0.19800000000000001</v>
      </c>
      <c r="AJ621" s="176">
        <f t="shared" si="1619"/>
        <v>4.8696607080000014</v>
      </c>
      <c r="AK621" s="206"/>
      <c r="AL621" s="176">
        <f t="shared" si="1620"/>
        <v>0</v>
      </c>
      <c r="AM621" s="243"/>
      <c r="AN621" s="176">
        <f t="shared" si="1621"/>
        <v>0</v>
      </c>
      <c r="AO621" s="206"/>
      <c r="AP621" s="205">
        <f t="shared" si="1622"/>
        <v>0</v>
      </c>
      <c r="AQ621" s="188">
        <f t="shared" si="1623"/>
        <v>0</v>
      </c>
      <c r="AR621" s="96">
        <f t="shared" si="1624"/>
        <v>0</v>
      </c>
      <c r="AS621" s="96"/>
      <c r="AT621" s="176">
        <f t="shared" si="1625"/>
        <v>0</v>
      </c>
      <c r="AU621" s="296"/>
      <c r="AV621" s="176">
        <f t="shared" si="1626"/>
        <v>0</v>
      </c>
      <c r="AW621" s="296"/>
      <c r="AX621" s="205">
        <f t="shared" si="1627"/>
        <v>0</v>
      </c>
      <c r="AY621" s="188">
        <f t="shared" si="1628"/>
        <v>0</v>
      </c>
      <c r="AZ621" s="96">
        <f t="shared" si="1629"/>
        <v>0</v>
      </c>
      <c r="BA621" s="96">
        <f t="shared" si="1630"/>
        <v>0</v>
      </c>
      <c r="BB621" s="96">
        <f t="shared" si="1631"/>
        <v>0</v>
      </c>
    </row>
    <row r="622" spans="1:54">
      <c r="A622" s="492">
        <v>375</v>
      </c>
      <c r="B622" s="13"/>
      <c r="C622" s="23"/>
      <c r="D622" s="24"/>
      <c r="E622" s="24" t="s">
        <v>1041</v>
      </c>
      <c r="F622" s="83" t="s">
        <v>1042</v>
      </c>
      <c r="G622" s="64" t="s">
        <v>1056</v>
      </c>
      <c r="H622" s="282" t="s">
        <v>358</v>
      </c>
      <c r="I622" s="79">
        <v>14</v>
      </c>
      <c r="J622" s="114"/>
      <c r="K622" s="79">
        <v>14</v>
      </c>
      <c r="L622" s="114"/>
      <c r="M622" s="79"/>
      <c r="N622" s="114"/>
      <c r="O622" s="79"/>
      <c r="P622" s="114"/>
      <c r="Q622" s="118">
        <f t="shared" si="1606"/>
        <v>4.1749999999999998</v>
      </c>
      <c r="R622" s="344">
        <f t="shared" si="1607"/>
        <v>85.786015140000003</v>
      </c>
      <c r="S622" s="118"/>
      <c r="T622" s="118">
        <f t="shared" si="1608"/>
        <v>0</v>
      </c>
      <c r="U622" s="118">
        <v>1.992</v>
      </c>
      <c r="V622" s="177">
        <f t="shared" si="1609"/>
        <v>40.110194879999995</v>
      </c>
      <c r="W622" s="207">
        <v>1.391</v>
      </c>
      <c r="X622" s="208">
        <f t="shared" si="1610"/>
        <v>29.257153379999998</v>
      </c>
      <c r="Y622" s="260">
        <f t="shared" si="1611"/>
        <v>3.383</v>
      </c>
      <c r="Z622" s="177">
        <f t="shared" si="1612"/>
        <v>69.36734826</v>
      </c>
      <c r="AA622" s="207">
        <v>0.79200000000000004</v>
      </c>
      <c r="AB622" s="208">
        <f t="shared" si="1613"/>
        <v>16.41866688</v>
      </c>
      <c r="AC622" s="207"/>
      <c r="AD622" s="177">
        <f t="shared" si="1614"/>
        <v>0</v>
      </c>
      <c r="AE622" s="207"/>
      <c r="AF622" s="208">
        <f t="shared" si="1615"/>
        <v>0</v>
      </c>
      <c r="AG622" s="260">
        <f t="shared" si="1616"/>
        <v>0.79200000000000004</v>
      </c>
      <c r="AH622" s="118">
        <f t="shared" si="1617"/>
        <v>16.41866688</v>
      </c>
      <c r="AI622" s="118">
        <f t="shared" si="1618"/>
        <v>4.1749999999999998</v>
      </c>
      <c r="AJ622" s="177">
        <f t="shared" si="1619"/>
        <v>85.786015140000003</v>
      </c>
      <c r="AK622" s="207"/>
      <c r="AL622" s="177">
        <f t="shared" si="1620"/>
        <v>0</v>
      </c>
      <c r="AM622" s="244"/>
      <c r="AN622" s="177">
        <f t="shared" si="1621"/>
        <v>0</v>
      </c>
      <c r="AO622" s="207"/>
      <c r="AP622" s="208">
        <f t="shared" si="1622"/>
        <v>0</v>
      </c>
      <c r="AQ622" s="260">
        <f t="shared" si="1623"/>
        <v>0</v>
      </c>
      <c r="AR622" s="118">
        <f t="shared" si="1624"/>
        <v>0</v>
      </c>
      <c r="AS622" s="118"/>
      <c r="AT622" s="177">
        <f t="shared" si="1625"/>
        <v>0</v>
      </c>
      <c r="AU622" s="463"/>
      <c r="AV622" s="177">
        <f t="shared" si="1626"/>
        <v>0</v>
      </c>
      <c r="AW622" s="463"/>
      <c r="AX622" s="208">
        <f t="shared" si="1627"/>
        <v>0</v>
      </c>
      <c r="AY622" s="260">
        <f t="shared" si="1628"/>
        <v>0</v>
      </c>
      <c r="AZ622" s="118">
        <f t="shared" si="1629"/>
        <v>0</v>
      </c>
      <c r="BA622" s="118">
        <f t="shared" si="1630"/>
        <v>0</v>
      </c>
      <c r="BB622" s="118">
        <f t="shared" si="1631"/>
        <v>0</v>
      </c>
    </row>
    <row r="623" spans="1:54">
      <c r="A623" s="492">
        <v>376</v>
      </c>
      <c r="B623" s="26"/>
      <c r="C623" s="27" t="s">
        <v>134</v>
      </c>
      <c r="D623" s="28"/>
      <c r="E623" s="28"/>
      <c r="F623" s="91"/>
      <c r="G623" s="91"/>
      <c r="H623" s="269"/>
      <c r="I623" s="152"/>
      <c r="J623" s="110"/>
      <c r="K623" s="74"/>
      <c r="L623" s="65"/>
      <c r="M623" s="74"/>
      <c r="N623" s="65"/>
      <c r="O623" s="152"/>
      <c r="P623" s="110"/>
      <c r="Q623" s="125">
        <f t="shared" ref="Q623:BB623" si="1632">SUM(Q613:Q622)</f>
        <v>18.053999999999998</v>
      </c>
      <c r="R623" s="125">
        <f t="shared" si="1632"/>
        <v>503.95598414700004</v>
      </c>
      <c r="S623" s="125">
        <f t="shared" si="1632"/>
        <v>3.6640000000000001</v>
      </c>
      <c r="T623" s="125">
        <f t="shared" si="1632"/>
        <v>102.10763211999999</v>
      </c>
      <c r="U623" s="125">
        <f t="shared" si="1632"/>
        <v>4.9559999999999995</v>
      </c>
      <c r="V623" s="125">
        <f t="shared" si="1632"/>
        <v>131.65213588199998</v>
      </c>
      <c r="W623" s="125">
        <f t="shared" si="1632"/>
        <v>2.09</v>
      </c>
      <c r="X623" s="125">
        <f t="shared" si="1632"/>
        <v>56.456210096999996</v>
      </c>
      <c r="Y623" s="125">
        <f t="shared" si="1632"/>
        <v>10.71</v>
      </c>
      <c r="Z623" s="125">
        <f t="shared" si="1632"/>
        <v>290.21597809899993</v>
      </c>
      <c r="AA623" s="125">
        <f t="shared" si="1632"/>
        <v>7.3440000000000003</v>
      </c>
      <c r="AB623" s="125">
        <f t="shared" si="1632"/>
        <v>213.74000604799997</v>
      </c>
      <c r="AC623" s="125">
        <f t="shared" si="1632"/>
        <v>0</v>
      </c>
      <c r="AD623" s="125">
        <f t="shared" si="1632"/>
        <v>0</v>
      </c>
      <c r="AE623" s="125">
        <f t="shared" si="1632"/>
        <v>0</v>
      </c>
      <c r="AF623" s="125">
        <f t="shared" si="1632"/>
        <v>0</v>
      </c>
      <c r="AG623" s="125">
        <f t="shared" si="1632"/>
        <v>7.3440000000000003</v>
      </c>
      <c r="AH623" s="125">
        <f t="shared" si="1632"/>
        <v>213.74000604799997</v>
      </c>
      <c r="AI623" s="125">
        <f t="shared" si="1632"/>
        <v>18.053999999999998</v>
      </c>
      <c r="AJ623" s="125">
        <f t="shared" si="1632"/>
        <v>503.95598414700004</v>
      </c>
      <c r="AK623" s="125">
        <f t="shared" si="1632"/>
        <v>0</v>
      </c>
      <c r="AL623" s="125">
        <f t="shared" si="1632"/>
        <v>0</v>
      </c>
      <c r="AM623" s="125">
        <f t="shared" si="1632"/>
        <v>0</v>
      </c>
      <c r="AN623" s="125">
        <f t="shared" si="1632"/>
        <v>0</v>
      </c>
      <c r="AO623" s="125">
        <f t="shared" si="1632"/>
        <v>0</v>
      </c>
      <c r="AP623" s="125">
        <f t="shared" si="1632"/>
        <v>0</v>
      </c>
      <c r="AQ623" s="125">
        <f t="shared" si="1632"/>
        <v>0</v>
      </c>
      <c r="AR623" s="125">
        <f t="shared" si="1632"/>
        <v>0</v>
      </c>
      <c r="AS623" s="125">
        <f t="shared" si="1632"/>
        <v>0</v>
      </c>
      <c r="AT623" s="125">
        <f t="shared" si="1632"/>
        <v>0</v>
      </c>
      <c r="AU623" s="125">
        <f t="shared" si="1632"/>
        <v>0</v>
      </c>
      <c r="AV623" s="125">
        <f t="shared" si="1632"/>
        <v>0</v>
      </c>
      <c r="AW623" s="125">
        <f t="shared" si="1632"/>
        <v>0</v>
      </c>
      <c r="AX623" s="125">
        <f t="shared" si="1632"/>
        <v>0</v>
      </c>
      <c r="AY623" s="125">
        <f t="shared" si="1632"/>
        <v>0</v>
      </c>
      <c r="AZ623" s="125">
        <f t="shared" si="1632"/>
        <v>0</v>
      </c>
      <c r="BA623" s="125">
        <f t="shared" si="1632"/>
        <v>0</v>
      </c>
      <c r="BB623" s="125">
        <f t="shared" si="1632"/>
        <v>0</v>
      </c>
    </row>
    <row r="624" spans="1:54" hidden="1">
      <c r="A624" s="492">
        <v>377</v>
      </c>
      <c r="B624" s="13"/>
      <c r="C624" s="13" t="s">
        <v>135</v>
      </c>
      <c r="D624" s="82" t="s">
        <v>48</v>
      </c>
      <c r="E624" s="82" t="s">
        <v>272</v>
      </c>
      <c r="F624" s="22" t="s">
        <v>50</v>
      </c>
      <c r="G624" s="22" t="s">
        <v>1059</v>
      </c>
      <c r="H624" s="265" t="s">
        <v>360</v>
      </c>
      <c r="I624" s="142"/>
      <c r="J624" s="101"/>
      <c r="K624" s="54"/>
      <c r="L624" s="162"/>
      <c r="M624" s="54"/>
      <c r="N624" s="162"/>
      <c r="O624" s="142"/>
      <c r="P624" s="101"/>
      <c r="Q624" s="96">
        <f>SUM(AI624+BA624)</f>
        <v>0</v>
      </c>
      <c r="R624" s="337">
        <f>SUM(AJ624+BB624)</f>
        <v>0</v>
      </c>
      <c r="S624" s="96"/>
      <c r="T624" s="96">
        <f>I624*S624*$T$2/1000</f>
        <v>0</v>
      </c>
      <c r="U624" s="96"/>
      <c r="V624" s="176">
        <f>I624*U624*$V$2/1000</f>
        <v>0</v>
      </c>
      <c r="W624" s="206"/>
      <c r="X624" s="205">
        <f>I624*W624*$X$2/1000</f>
        <v>0</v>
      </c>
      <c r="Y624" s="188">
        <f>SUM(S624+U624+W624)</f>
        <v>0</v>
      </c>
      <c r="Z624" s="176">
        <f>SUM(T624+V624+X624)</f>
        <v>0</v>
      </c>
      <c r="AA624" s="206"/>
      <c r="AB624" s="205">
        <f>K624*AA624*$AB$2/1000</f>
        <v>0</v>
      </c>
      <c r="AC624" s="206"/>
      <c r="AD624" s="176">
        <f>K624*AC624*$AD$2/1000</f>
        <v>0</v>
      </c>
      <c r="AE624" s="206"/>
      <c r="AF624" s="205">
        <f>K624*AE624*$AF$2/1000</f>
        <v>0</v>
      </c>
      <c r="AG624" s="188">
        <f>SUM(AA624+AC624+AE624)</f>
        <v>0</v>
      </c>
      <c r="AH624" s="96">
        <f>SUM(AB624+AD624+AF624)</f>
        <v>0</v>
      </c>
      <c r="AI624" s="96">
        <f>SUM(Y624+AG624)</f>
        <v>0</v>
      </c>
      <c r="AJ624" s="176">
        <f>SUM(Z624,AH624)</f>
        <v>0</v>
      </c>
      <c r="AK624" s="206"/>
      <c r="AL624" s="176">
        <f>M624*AK624*$AL$2/1000</f>
        <v>0</v>
      </c>
      <c r="AM624" s="243"/>
      <c r="AN624" s="176">
        <f>M624*AM624*$AN$2/1000</f>
        <v>0</v>
      </c>
      <c r="AO624" s="206"/>
      <c r="AP624" s="205">
        <f>M624*AO624*$AP$2/1000</f>
        <v>0</v>
      </c>
      <c r="AQ624" s="188">
        <f>SUM(AK624+AM624+AO624)</f>
        <v>0</v>
      </c>
      <c r="AR624" s="96">
        <f>SUM(AL624+AN624+AP624)</f>
        <v>0</v>
      </c>
      <c r="AS624" s="291"/>
      <c r="AT624" s="176">
        <f>O624*AS624*$AT$2/1000</f>
        <v>0</v>
      </c>
      <c r="AU624" s="206"/>
      <c r="AV624" s="176">
        <f>O624*AU624*$AV$2/1000</f>
        <v>0</v>
      </c>
      <c r="AW624" s="206"/>
      <c r="AX624" s="205">
        <f>O624*AW624*$AX$2/1000</f>
        <v>0</v>
      </c>
      <c r="AY624" s="188">
        <f>SUM(AS624+AU624+AW624)</f>
        <v>0</v>
      </c>
      <c r="AZ624" s="96">
        <f>SUM(AT624+AV624+AX624)</f>
        <v>0</v>
      </c>
      <c r="BA624" s="96">
        <f>SUM(AQ624+AY624)</f>
        <v>0</v>
      </c>
      <c r="BB624" s="96">
        <f>SUM(AR624,AZ624)</f>
        <v>0</v>
      </c>
    </row>
    <row r="625" spans="1:54" hidden="1">
      <c r="A625" s="492">
        <v>378</v>
      </c>
      <c r="B625" s="26"/>
      <c r="C625" s="27" t="s">
        <v>134</v>
      </c>
      <c r="D625" s="28"/>
      <c r="E625" s="28"/>
      <c r="F625" s="88"/>
      <c r="G625" s="88"/>
      <c r="H625" s="277"/>
      <c r="I625" s="152"/>
      <c r="J625" s="100"/>
      <c r="K625" s="74"/>
      <c r="L625" s="30"/>
      <c r="M625" s="74"/>
      <c r="N625" s="30"/>
      <c r="O625" s="152"/>
      <c r="P625" s="100"/>
      <c r="Q625" s="125">
        <f t="shared" ref="Q625:BB625" si="1633">SUM(Q624)</f>
        <v>0</v>
      </c>
      <c r="R625" s="125">
        <f t="shared" si="1633"/>
        <v>0</v>
      </c>
      <c r="S625" s="125">
        <f t="shared" si="1633"/>
        <v>0</v>
      </c>
      <c r="T625" s="125">
        <f t="shared" si="1633"/>
        <v>0</v>
      </c>
      <c r="U625" s="125">
        <f t="shared" si="1633"/>
        <v>0</v>
      </c>
      <c r="V625" s="125">
        <f t="shared" si="1633"/>
        <v>0</v>
      </c>
      <c r="W625" s="125">
        <f t="shared" si="1633"/>
        <v>0</v>
      </c>
      <c r="X625" s="125">
        <f t="shared" si="1633"/>
        <v>0</v>
      </c>
      <c r="Y625" s="125">
        <f t="shared" si="1633"/>
        <v>0</v>
      </c>
      <c r="Z625" s="125">
        <f t="shared" si="1633"/>
        <v>0</v>
      </c>
      <c r="AA625" s="125">
        <f t="shared" si="1633"/>
        <v>0</v>
      </c>
      <c r="AB625" s="125">
        <f t="shared" si="1633"/>
        <v>0</v>
      </c>
      <c r="AC625" s="125">
        <f t="shared" si="1633"/>
        <v>0</v>
      </c>
      <c r="AD625" s="125">
        <f t="shared" si="1633"/>
        <v>0</v>
      </c>
      <c r="AE625" s="125">
        <f t="shared" si="1633"/>
        <v>0</v>
      </c>
      <c r="AF625" s="125">
        <f t="shared" si="1633"/>
        <v>0</v>
      </c>
      <c r="AG625" s="125">
        <f t="shared" si="1633"/>
        <v>0</v>
      </c>
      <c r="AH625" s="125">
        <f t="shared" si="1633"/>
        <v>0</v>
      </c>
      <c r="AI625" s="125">
        <f t="shared" si="1633"/>
        <v>0</v>
      </c>
      <c r="AJ625" s="125">
        <f t="shared" si="1633"/>
        <v>0</v>
      </c>
      <c r="AK625" s="125">
        <f t="shared" si="1633"/>
        <v>0</v>
      </c>
      <c r="AL625" s="125">
        <f t="shared" si="1633"/>
        <v>0</v>
      </c>
      <c r="AM625" s="125">
        <f t="shared" si="1633"/>
        <v>0</v>
      </c>
      <c r="AN625" s="125">
        <f t="shared" si="1633"/>
        <v>0</v>
      </c>
      <c r="AO625" s="125">
        <f t="shared" si="1633"/>
        <v>0</v>
      </c>
      <c r="AP625" s="125">
        <f t="shared" si="1633"/>
        <v>0</v>
      </c>
      <c r="AQ625" s="125">
        <f t="shared" si="1633"/>
        <v>0</v>
      </c>
      <c r="AR625" s="125">
        <f t="shared" si="1633"/>
        <v>0</v>
      </c>
      <c r="AS625" s="125">
        <f t="shared" si="1633"/>
        <v>0</v>
      </c>
      <c r="AT625" s="125">
        <f t="shared" si="1633"/>
        <v>0</v>
      </c>
      <c r="AU625" s="125">
        <f t="shared" si="1633"/>
        <v>0</v>
      </c>
      <c r="AV625" s="125">
        <f t="shared" si="1633"/>
        <v>0</v>
      </c>
      <c r="AW625" s="125">
        <f t="shared" si="1633"/>
        <v>0</v>
      </c>
      <c r="AX625" s="125">
        <f t="shared" si="1633"/>
        <v>0</v>
      </c>
      <c r="AY625" s="125">
        <f t="shared" si="1633"/>
        <v>0</v>
      </c>
      <c r="AZ625" s="125">
        <f t="shared" si="1633"/>
        <v>0</v>
      </c>
      <c r="BA625" s="125">
        <f t="shared" si="1633"/>
        <v>0</v>
      </c>
      <c r="BB625" s="125">
        <f t="shared" si="1633"/>
        <v>0</v>
      </c>
    </row>
    <row r="626" spans="1:54">
      <c r="A626" s="492">
        <v>379</v>
      </c>
      <c r="B626" s="58" t="s">
        <v>153</v>
      </c>
      <c r="C626" s="59"/>
      <c r="D626" s="59"/>
      <c r="E626" s="59"/>
      <c r="F626" s="59"/>
      <c r="G626" s="59"/>
      <c r="H626" s="279"/>
      <c r="I626" s="154"/>
      <c r="J626" s="103"/>
      <c r="K626" s="77"/>
      <c r="L626" s="60"/>
      <c r="M626" s="77"/>
      <c r="N626" s="60"/>
      <c r="O626" s="154"/>
      <c r="P626" s="103"/>
      <c r="Q626" s="126">
        <f t="shared" ref="Q626:BB626" si="1634">SUM(Q625,Q623,Q612)</f>
        <v>18.053999999999998</v>
      </c>
      <c r="R626" s="126">
        <f t="shared" si="1634"/>
        <v>503.95598414700004</v>
      </c>
      <c r="S626" s="126">
        <f t="shared" si="1634"/>
        <v>3.6640000000000001</v>
      </c>
      <c r="T626" s="126">
        <f t="shared" si="1634"/>
        <v>102.10763211999999</v>
      </c>
      <c r="U626" s="126">
        <f t="shared" si="1634"/>
        <v>4.9559999999999995</v>
      </c>
      <c r="V626" s="126">
        <f t="shared" si="1634"/>
        <v>131.65213588199998</v>
      </c>
      <c r="W626" s="126">
        <f t="shared" si="1634"/>
        <v>2.09</v>
      </c>
      <c r="X626" s="126">
        <f t="shared" si="1634"/>
        <v>56.456210096999996</v>
      </c>
      <c r="Y626" s="126">
        <f t="shared" si="1634"/>
        <v>10.71</v>
      </c>
      <c r="Z626" s="126">
        <f t="shared" si="1634"/>
        <v>290.21597809899993</v>
      </c>
      <c r="AA626" s="126">
        <f t="shared" si="1634"/>
        <v>7.3440000000000003</v>
      </c>
      <c r="AB626" s="126">
        <f t="shared" si="1634"/>
        <v>213.74000604799997</v>
      </c>
      <c r="AC626" s="126">
        <f t="shared" si="1634"/>
        <v>0</v>
      </c>
      <c r="AD626" s="126">
        <f t="shared" si="1634"/>
        <v>0</v>
      </c>
      <c r="AE626" s="126">
        <f t="shared" si="1634"/>
        <v>0</v>
      </c>
      <c r="AF626" s="126">
        <f t="shared" si="1634"/>
        <v>0</v>
      </c>
      <c r="AG626" s="126">
        <f t="shared" si="1634"/>
        <v>7.3440000000000003</v>
      </c>
      <c r="AH626" s="126">
        <f t="shared" si="1634"/>
        <v>213.74000604799997</v>
      </c>
      <c r="AI626" s="126">
        <f t="shared" si="1634"/>
        <v>18.053999999999998</v>
      </c>
      <c r="AJ626" s="126">
        <f t="shared" si="1634"/>
        <v>503.95598414700004</v>
      </c>
      <c r="AK626" s="126">
        <f t="shared" si="1634"/>
        <v>0</v>
      </c>
      <c r="AL626" s="126">
        <f t="shared" si="1634"/>
        <v>0</v>
      </c>
      <c r="AM626" s="126">
        <f t="shared" si="1634"/>
        <v>0</v>
      </c>
      <c r="AN626" s="126">
        <f t="shared" si="1634"/>
        <v>0</v>
      </c>
      <c r="AO626" s="126">
        <f t="shared" si="1634"/>
        <v>0</v>
      </c>
      <c r="AP626" s="126">
        <f t="shared" si="1634"/>
        <v>0</v>
      </c>
      <c r="AQ626" s="126">
        <f t="shared" si="1634"/>
        <v>0</v>
      </c>
      <c r="AR626" s="126">
        <f t="shared" si="1634"/>
        <v>0</v>
      </c>
      <c r="AS626" s="126">
        <f t="shared" si="1634"/>
        <v>0</v>
      </c>
      <c r="AT626" s="126">
        <f t="shared" si="1634"/>
        <v>0</v>
      </c>
      <c r="AU626" s="126">
        <f t="shared" si="1634"/>
        <v>0</v>
      </c>
      <c r="AV626" s="126">
        <f t="shared" si="1634"/>
        <v>0</v>
      </c>
      <c r="AW626" s="126">
        <f t="shared" si="1634"/>
        <v>0</v>
      </c>
      <c r="AX626" s="126">
        <f t="shared" si="1634"/>
        <v>0</v>
      </c>
      <c r="AY626" s="126">
        <f t="shared" si="1634"/>
        <v>0</v>
      </c>
      <c r="AZ626" s="126">
        <f t="shared" si="1634"/>
        <v>0</v>
      </c>
      <c r="BA626" s="126">
        <f t="shared" si="1634"/>
        <v>0</v>
      </c>
      <c r="BB626" s="126">
        <f t="shared" si="1634"/>
        <v>0</v>
      </c>
    </row>
    <row r="627" spans="1:54">
      <c r="A627" s="492">
        <v>380</v>
      </c>
      <c r="B627" s="13" t="s">
        <v>210</v>
      </c>
      <c r="C627" s="52" t="s">
        <v>211</v>
      </c>
      <c r="D627" s="13" t="s">
        <v>58</v>
      </c>
      <c r="E627" s="31" t="s">
        <v>212</v>
      </c>
      <c r="F627" s="310"/>
      <c r="G627" s="310" t="s">
        <v>1059</v>
      </c>
      <c r="H627" s="271" t="s">
        <v>358</v>
      </c>
      <c r="I627" s="61"/>
      <c r="J627" s="163">
        <v>4008</v>
      </c>
      <c r="K627" s="61"/>
      <c r="L627" s="163">
        <v>4008</v>
      </c>
      <c r="M627" s="61"/>
      <c r="N627" s="163"/>
      <c r="O627" s="61"/>
      <c r="P627" s="163"/>
      <c r="Q627" s="121">
        <f t="shared" ref="Q627:Q658" si="1635">SUM(AI627+BA627)</f>
        <v>0</v>
      </c>
      <c r="R627" s="341">
        <f t="shared" ref="R627:R658" si="1636">SUM(AJ627+BB627)</f>
        <v>0</v>
      </c>
      <c r="S627" s="121"/>
      <c r="T627" s="121">
        <f t="shared" ref="T627:T658" si="1637">J627*S627/1000</f>
        <v>0</v>
      </c>
      <c r="U627" s="121"/>
      <c r="V627" s="121">
        <f t="shared" ref="V627:V658" si="1638">J627*U627/1000</f>
        <v>0</v>
      </c>
      <c r="W627" s="121"/>
      <c r="X627" s="121">
        <f t="shared" ref="X627:X658" si="1639">J627*W627/1000</f>
        <v>0</v>
      </c>
      <c r="Y627" s="121">
        <f t="shared" ref="Y627:Y658" si="1640">SUM(S627+U627+W627)</f>
        <v>0</v>
      </c>
      <c r="Z627" s="121">
        <f t="shared" ref="Z627:Z658" si="1641">SUM(T627+V627+X627)</f>
        <v>0</v>
      </c>
      <c r="AA627" s="121"/>
      <c r="AB627" s="121">
        <f t="shared" ref="AB627:AB658" si="1642">L627*AA627/1000</f>
        <v>0</v>
      </c>
      <c r="AC627" s="121"/>
      <c r="AD627" s="121">
        <f t="shared" ref="AD627:AD658" si="1643">L627*AC627/1000</f>
        <v>0</v>
      </c>
      <c r="AE627" s="121"/>
      <c r="AF627" s="121">
        <f t="shared" ref="AF627:AF658" si="1644">L627*AE627/1000</f>
        <v>0</v>
      </c>
      <c r="AG627" s="121">
        <f t="shared" ref="AG627:AG658" si="1645">SUM(AA627+AC627+AE627)</f>
        <v>0</v>
      </c>
      <c r="AH627" s="121">
        <f t="shared" ref="AH627:AH658" si="1646">SUM(AB627+AD627+AF627)</f>
        <v>0</v>
      </c>
      <c r="AI627" s="121">
        <f t="shared" ref="AI627:AI658" si="1647">SUM(Y627+AG627)</f>
        <v>0</v>
      </c>
      <c r="AJ627" s="121">
        <f t="shared" ref="AJ627:AJ658" si="1648">SUM(Z627,AH627)</f>
        <v>0</v>
      </c>
      <c r="AK627" s="121"/>
      <c r="AL627" s="121">
        <f t="shared" ref="AL627:AL658" si="1649">N627*AK627/1000</f>
        <v>0</v>
      </c>
      <c r="AM627" s="121"/>
      <c r="AN627" s="121">
        <f t="shared" ref="AN627:AN658" si="1650">N627*AM627/1000</f>
        <v>0</v>
      </c>
      <c r="AO627" s="121"/>
      <c r="AP627" s="121">
        <f t="shared" ref="AP627:AP658" si="1651">N627*AO627/1000</f>
        <v>0</v>
      </c>
      <c r="AQ627" s="121">
        <f t="shared" ref="AQ627:AQ658" si="1652">SUM(AK627+AM627+AO627)</f>
        <v>0</v>
      </c>
      <c r="AR627" s="121">
        <f t="shared" ref="AR627:AR658" si="1653">SUM(AL627+AN627+AP627)</f>
        <v>0</v>
      </c>
      <c r="AS627" s="121"/>
      <c r="AT627" s="121">
        <f t="shared" ref="AT627:AT658" si="1654">P627*AS627/1000</f>
        <v>0</v>
      </c>
      <c r="AU627" s="121"/>
      <c r="AV627" s="121">
        <f t="shared" ref="AV627:AV658" si="1655">P627*AU627/1000</f>
        <v>0</v>
      </c>
      <c r="AW627" s="121"/>
      <c r="AX627" s="121">
        <f t="shared" ref="AX627:AX658" si="1656">P627*AW627/1000</f>
        <v>0</v>
      </c>
      <c r="AY627" s="121">
        <f t="shared" ref="AY627:AY658" si="1657">SUM(AS627+AU627+AW627)</f>
        <v>0</v>
      </c>
      <c r="AZ627" s="121">
        <f t="shared" ref="AZ627:AZ658" si="1658">SUM(AT627+AV627+AX627)</f>
        <v>0</v>
      </c>
      <c r="BA627" s="121">
        <f t="shared" ref="BA627:BA658" si="1659">SUM(AQ627+AY627)</f>
        <v>0</v>
      </c>
      <c r="BB627" s="121">
        <f t="shared" ref="BB627:BB658" si="1660">SUM(AR627,AZ627)</f>
        <v>0</v>
      </c>
    </row>
    <row r="628" spans="1:54">
      <c r="A628" s="492">
        <v>381</v>
      </c>
      <c r="B628" s="13"/>
      <c r="C628" s="432"/>
      <c r="D628" s="13"/>
      <c r="E628" s="21" t="s">
        <v>689</v>
      </c>
      <c r="F628" s="45"/>
      <c r="G628" s="45" t="s">
        <v>1059</v>
      </c>
      <c r="H628" s="265" t="s">
        <v>358</v>
      </c>
      <c r="I628" s="54"/>
      <c r="J628" s="162">
        <v>4171</v>
      </c>
      <c r="K628" s="54"/>
      <c r="L628" s="162">
        <v>4171</v>
      </c>
      <c r="M628" s="54"/>
      <c r="N628" s="162"/>
      <c r="O628" s="54"/>
      <c r="P628" s="162"/>
      <c r="Q628" s="96">
        <f t="shared" si="1635"/>
        <v>0</v>
      </c>
      <c r="R628" s="337">
        <f t="shared" si="1636"/>
        <v>0</v>
      </c>
      <c r="S628" s="96"/>
      <c r="T628" s="96">
        <f t="shared" si="1637"/>
        <v>0</v>
      </c>
      <c r="U628" s="96"/>
      <c r="V628" s="96">
        <f t="shared" si="1638"/>
        <v>0</v>
      </c>
      <c r="W628" s="96"/>
      <c r="X628" s="96">
        <f t="shared" si="1639"/>
        <v>0</v>
      </c>
      <c r="Y628" s="96">
        <f t="shared" si="1640"/>
        <v>0</v>
      </c>
      <c r="Z628" s="96">
        <f t="shared" si="1641"/>
        <v>0</v>
      </c>
      <c r="AA628" s="96"/>
      <c r="AB628" s="96">
        <f t="shared" si="1642"/>
        <v>0</v>
      </c>
      <c r="AC628" s="96"/>
      <c r="AD628" s="96">
        <f t="shared" si="1643"/>
        <v>0</v>
      </c>
      <c r="AE628" s="96"/>
      <c r="AF628" s="96">
        <f t="shared" si="1644"/>
        <v>0</v>
      </c>
      <c r="AG628" s="96">
        <f t="shared" si="1645"/>
        <v>0</v>
      </c>
      <c r="AH628" s="96">
        <f t="shared" si="1646"/>
        <v>0</v>
      </c>
      <c r="AI628" s="96">
        <f t="shared" si="1647"/>
        <v>0</v>
      </c>
      <c r="AJ628" s="96">
        <f t="shared" si="1648"/>
        <v>0</v>
      </c>
      <c r="AK628" s="96"/>
      <c r="AL628" s="96">
        <f t="shared" si="1649"/>
        <v>0</v>
      </c>
      <c r="AM628" s="96"/>
      <c r="AN628" s="96">
        <f t="shared" si="1650"/>
        <v>0</v>
      </c>
      <c r="AO628" s="96"/>
      <c r="AP628" s="96">
        <f t="shared" si="1651"/>
        <v>0</v>
      </c>
      <c r="AQ628" s="96">
        <f t="shared" si="1652"/>
        <v>0</v>
      </c>
      <c r="AR628" s="96">
        <f t="shared" si="1653"/>
        <v>0</v>
      </c>
      <c r="AS628" s="96"/>
      <c r="AT628" s="96">
        <f t="shared" si="1654"/>
        <v>0</v>
      </c>
      <c r="AU628" s="96"/>
      <c r="AV628" s="96">
        <f t="shared" si="1655"/>
        <v>0</v>
      </c>
      <c r="AW628" s="96"/>
      <c r="AX628" s="96">
        <f t="shared" si="1656"/>
        <v>0</v>
      </c>
      <c r="AY628" s="96">
        <f t="shared" si="1657"/>
        <v>0</v>
      </c>
      <c r="AZ628" s="96">
        <f t="shared" si="1658"/>
        <v>0</v>
      </c>
      <c r="BA628" s="96">
        <f t="shared" si="1659"/>
        <v>0</v>
      </c>
      <c r="BB628" s="96">
        <f t="shared" si="1660"/>
        <v>0</v>
      </c>
    </row>
    <row r="629" spans="1:54">
      <c r="A629" s="492">
        <v>382</v>
      </c>
      <c r="B629" s="13"/>
      <c r="C629" s="432"/>
      <c r="D629" s="13"/>
      <c r="E629" s="21" t="s">
        <v>690</v>
      </c>
      <c r="F629" s="45"/>
      <c r="G629" s="45" t="s">
        <v>1059</v>
      </c>
      <c r="H629" s="265" t="s">
        <v>358</v>
      </c>
      <c r="I629" s="54"/>
      <c r="J629" s="162">
        <v>8018</v>
      </c>
      <c r="K629" s="54"/>
      <c r="L629" s="162">
        <v>8491</v>
      </c>
      <c r="M629" s="54"/>
      <c r="N629" s="162"/>
      <c r="O629" s="54"/>
      <c r="P629" s="162"/>
      <c r="Q629" s="96">
        <f t="shared" si="1635"/>
        <v>17.603000000000002</v>
      </c>
      <c r="R629" s="337">
        <f t="shared" si="1636"/>
        <v>143.69127000000003</v>
      </c>
      <c r="S629" s="96">
        <v>6.0860000000000003</v>
      </c>
      <c r="T629" s="96">
        <f t="shared" si="1637"/>
        <v>48.797547999999999</v>
      </c>
      <c r="U629" s="96">
        <v>2.7570000000000001</v>
      </c>
      <c r="V629" s="96">
        <f t="shared" si="1638"/>
        <v>22.105626000000001</v>
      </c>
      <c r="W629" s="96">
        <v>3.3679999999999999</v>
      </c>
      <c r="X629" s="96">
        <f t="shared" si="1639"/>
        <v>27.004624</v>
      </c>
      <c r="Y629" s="96">
        <f t="shared" si="1640"/>
        <v>12.211</v>
      </c>
      <c r="Z629" s="96">
        <f t="shared" si="1641"/>
        <v>97.907798000000014</v>
      </c>
      <c r="AA629" s="96">
        <v>5.3920000000000003</v>
      </c>
      <c r="AB629" s="96">
        <f t="shared" si="1642"/>
        <v>45.783472000000003</v>
      </c>
      <c r="AC629" s="96"/>
      <c r="AD629" s="96">
        <f t="shared" si="1643"/>
        <v>0</v>
      </c>
      <c r="AE629" s="96"/>
      <c r="AF629" s="96">
        <f t="shared" si="1644"/>
        <v>0</v>
      </c>
      <c r="AG629" s="96">
        <f t="shared" si="1645"/>
        <v>5.3920000000000003</v>
      </c>
      <c r="AH629" s="96">
        <f t="shared" si="1646"/>
        <v>45.783472000000003</v>
      </c>
      <c r="AI629" s="96">
        <f t="shared" si="1647"/>
        <v>17.603000000000002</v>
      </c>
      <c r="AJ629" s="96">
        <f t="shared" si="1648"/>
        <v>143.69127000000003</v>
      </c>
      <c r="AK629" s="96"/>
      <c r="AL629" s="96">
        <f t="shared" si="1649"/>
        <v>0</v>
      </c>
      <c r="AM629" s="96"/>
      <c r="AN629" s="96">
        <f t="shared" si="1650"/>
        <v>0</v>
      </c>
      <c r="AO629" s="96"/>
      <c r="AP629" s="96">
        <f t="shared" si="1651"/>
        <v>0</v>
      </c>
      <c r="AQ629" s="96">
        <f t="shared" si="1652"/>
        <v>0</v>
      </c>
      <c r="AR629" s="96">
        <f t="shared" si="1653"/>
        <v>0</v>
      </c>
      <c r="AS629" s="96"/>
      <c r="AT629" s="96">
        <f t="shared" si="1654"/>
        <v>0</v>
      </c>
      <c r="AU629" s="96"/>
      <c r="AV629" s="96">
        <f t="shared" si="1655"/>
        <v>0</v>
      </c>
      <c r="AW629" s="96"/>
      <c r="AX629" s="96">
        <f t="shared" si="1656"/>
        <v>0</v>
      </c>
      <c r="AY629" s="96">
        <f t="shared" si="1657"/>
        <v>0</v>
      </c>
      <c r="AZ629" s="96">
        <f t="shared" si="1658"/>
        <v>0</v>
      </c>
      <c r="BA629" s="96">
        <f t="shared" si="1659"/>
        <v>0</v>
      </c>
      <c r="BB629" s="96">
        <f t="shared" si="1660"/>
        <v>0</v>
      </c>
    </row>
    <row r="630" spans="1:54" ht="12" customHeight="1">
      <c r="A630" s="492">
        <v>383</v>
      </c>
      <c r="B630" s="13"/>
      <c r="C630" s="432"/>
      <c r="D630" s="13"/>
      <c r="E630" s="21" t="s">
        <v>222</v>
      </c>
      <c r="F630" s="45"/>
      <c r="G630" s="45" t="s">
        <v>1059</v>
      </c>
      <c r="H630" s="265" t="s">
        <v>358</v>
      </c>
      <c r="I630" s="54"/>
      <c r="J630" s="162">
        <v>5401</v>
      </c>
      <c r="K630" s="54"/>
      <c r="L630" s="162">
        <v>5720</v>
      </c>
      <c r="M630" s="54"/>
      <c r="N630" s="162"/>
      <c r="O630" s="54"/>
      <c r="P630" s="162"/>
      <c r="Q630" s="96">
        <f t="shared" si="1635"/>
        <v>0</v>
      </c>
      <c r="R630" s="337">
        <f t="shared" si="1636"/>
        <v>0</v>
      </c>
      <c r="S630" s="96"/>
      <c r="T630" s="96">
        <f t="shared" si="1637"/>
        <v>0</v>
      </c>
      <c r="U630" s="96"/>
      <c r="V630" s="96">
        <f t="shared" si="1638"/>
        <v>0</v>
      </c>
      <c r="W630" s="96"/>
      <c r="X630" s="96">
        <f t="shared" si="1639"/>
        <v>0</v>
      </c>
      <c r="Y630" s="96">
        <f t="shared" si="1640"/>
        <v>0</v>
      </c>
      <c r="Z630" s="96">
        <f t="shared" si="1641"/>
        <v>0</v>
      </c>
      <c r="AA630" s="96"/>
      <c r="AB630" s="96">
        <f t="shared" si="1642"/>
        <v>0</v>
      </c>
      <c r="AC630" s="96"/>
      <c r="AD630" s="96">
        <f t="shared" si="1643"/>
        <v>0</v>
      </c>
      <c r="AE630" s="96"/>
      <c r="AF630" s="96">
        <f t="shared" si="1644"/>
        <v>0</v>
      </c>
      <c r="AG630" s="96">
        <f t="shared" si="1645"/>
        <v>0</v>
      </c>
      <c r="AH630" s="96">
        <f t="shared" si="1646"/>
        <v>0</v>
      </c>
      <c r="AI630" s="96">
        <f t="shared" si="1647"/>
        <v>0</v>
      </c>
      <c r="AJ630" s="96">
        <f t="shared" si="1648"/>
        <v>0</v>
      </c>
      <c r="AK630" s="96"/>
      <c r="AL630" s="96">
        <f t="shared" si="1649"/>
        <v>0</v>
      </c>
      <c r="AM630" s="96"/>
      <c r="AN630" s="96">
        <f t="shared" si="1650"/>
        <v>0</v>
      </c>
      <c r="AO630" s="96"/>
      <c r="AP630" s="96">
        <f t="shared" si="1651"/>
        <v>0</v>
      </c>
      <c r="AQ630" s="96">
        <f t="shared" si="1652"/>
        <v>0</v>
      </c>
      <c r="AR630" s="96">
        <f t="shared" si="1653"/>
        <v>0</v>
      </c>
      <c r="AS630" s="96"/>
      <c r="AT630" s="96">
        <f t="shared" si="1654"/>
        <v>0</v>
      </c>
      <c r="AU630" s="96"/>
      <c r="AV630" s="96">
        <f t="shared" si="1655"/>
        <v>0</v>
      </c>
      <c r="AW630" s="96"/>
      <c r="AX630" s="96">
        <f t="shared" si="1656"/>
        <v>0</v>
      </c>
      <c r="AY630" s="96">
        <f t="shared" si="1657"/>
        <v>0</v>
      </c>
      <c r="AZ630" s="96">
        <f t="shared" si="1658"/>
        <v>0</v>
      </c>
      <c r="BA630" s="96">
        <f t="shared" si="1659"/>
        <v>0</v>
      </c>
      <c r="BB630" s="96">
        <f t="shared" si="1660"/>
        <v>0</v>
      </c>
    </row>
    <row r="631" spans="1:54">
      <c r="A631" s="492">
        <v>384</v>
      </c>
      <c r="B631" s="13"/>
      <c r="C631" s="432"/>
      <c r="D631" s="13"/>
      <c r="E631" s="21" t="s">
        <v>1237</v>
      </c>
      <c r="F631" s="45"/>
      <c r="G631" s="45" t="s">
        <v>1059</v>
      </c>
      <c r="H631" s="265" t="s">
        <v>358</v>
      </c>
      <c r="I631" s="54"/>
      <c r="J631" s="162">
        <v>8018</v>
      </c>
      <c r="K631" s="54"/>
      <c r="L631" s="162">
        <v>8491</v>
      </c>
      <c r="M631" s="54"/>
      <c r="N631" s="162"/>
      <c r="O631" s="54"/>
      <c r="P631" s="162"/>
      <c r="Q631" s="96">
        <f t="shared" si="1635"/>
        <v>0.63800000000000001</v>
      </c>
      <c r="R631" s="337">
        <f t="shared" si="1636"/>
        <v>5.2185980000000001</v>
      </c>
      <c r="S631" s="96">
        <v>0.113</v>
      </c>
      <c r="T631" s="96">
        <f t="shared" si="1637"/>
        <v>0.90603400000000001</v>
      </c>
      <c r="U631" s="96">
        <v>0.307</v>
      </c>
      <c r="V631" s="96">
        <f t="shared" si="1638"/>
        <v>2.4615259999999997</v>
      </c>
      <c r="W631" s="96"/>
      <c r="X631" s="96">
        <f t="shared" si="1639"/>
        <v>0</v>
      </c>
      <c r="Y631" s="96">
        <f t="shared" si="1640"/>
        <v>0.42</v>
      </c>
      <c r="Z631" s="96">
        <f t="shared" si="1641"/>
        <v>3.3675599999999997</v>
      </c>
      <c r="AA631" s="96">
        <v>0.218</v>
      </c>
      <c r="AB631" s="96">
        <f t="shared" si="1642"/>
        <v>1.851038</v>
      </c>
      <c r="AC631" s="96"/>
      <c r="AD631" s="96">
        <f t="shared" si="1643"/>
        <v>0</v>
      </c>
      <c r="AE631" s="96"/>
      <c r="AF631" s="96">
        <f t="shared" si="1644"/>
        <v>0</v>
      </c>
      <c r="AG631" s="96">
        <f t="shared" si="1645"/>
        <v>0.218</v>
      </c>
      <c r="AH631" s="96">
        <f t="shared" si="1646"/>
        <v>1.851038</v>
      </c>
      <c r="AI631" s="96">
        <f t="shared" si="1647"/>
        <v>0.63800000000000001</v>
      </c>
      <c r="AJ631" s="96">
        <f t="shared" si="1648"/>
        <v>5.2185980000000001</v>
      </c>
      <c r="AK631" s="96"/>
      <c r="AL631" s="96">
        <f t="shared" si="1649"/>
        <v>0</v>
      </c>
      <c r="AM631" s="96"/>
      <c r="AN631" s="96">
        <f t="shared" si="1650"/>
        <v>0</v>
      </c>
      <c r="AO631" s="96"/>
      <c r="AP631" s="96">
        <f t="shared" si="1651"/>
        <v>0</v>
      </c>
      <c r="AQ631" s="96">
        <f t="shared" si="1652"/>
        <v>0</v>
      </c>
      <c r="AR631" s="96">
        <f t="shared" si="1653"/>
        <v>0</v>
      </c>
      <c r="AS631" s="96"/>
      <c r="AT631" s="96">
        <f t="shared" si="1654"/>
        <v>0</v>
      </c>
      <c r="AU631" s="96"/>
      <c r="AV631" s="96">
        <f t="shared" si="1655"/>
        <v>0</v>
      </c>
      <c r="AW631" s="96"/>
      <c r="AX631" s="96">
        <f t="shared" si="1656"/>
        <v>0</v>
      </c>
      <c r="AY631" s="96">
        <f t="shared" si="1657"/>
        <v>0</v>
      </c>
      <c r="AZ631" s="96">
        <f t="shared" si="1658"/>
        <v>0</v>
      </c>
      <c r="BA631" s="96">
        <f t="shared" si="1659"/>
        <v>0</v>
      </c>
      <c r="BB631" s="96">
        <f t="shared" si="1660"/>
        <v>0</v>
      </c>
    </row>
    <row r="632" spans="1:54">
      <c r="A632" s="492">
        <v>381</v>
      </c>
      <c r="B632" s="13"/>
      <c r="C632" s="432"/>
      <c r="D632" s="13"/>
      <c r="E632" s="21" t="s">
        <v>1546</v>
      </c>
      <c r="F632" s="45"/>
      <c r="G632" s="45" t="s">
        <v>1059</v>
      </c>
      <c r="H632" s="265" t="s">
        <v>358</v>
      </c>
      <c r="I632" s="54"/>
      <c r="J632" s="162">
        <v>5933</v>
      </c>
      <c r="K632" s="54"/>
      <c r="L632" s="162">
        <v>5933</v>
      </c>
      <c r="M632" s="54"/>
      <c r="N632" s="162"/>
      <c r="O632" s="54"/>
      <c r="P632" s="162"/>
      <c r="Q632" s="96">
        <f t="shared" si="1635"/>
        <v>0</v>
      </c>
      <c r="R632" s="337">
        <f t="shared" si="1636"/>
        <v>0</v>
      </c>
      <c r="S632" s="96"/>
      <c r="T632" s="96">
        <f t="shared" si="1637"/>
        <v>0</v>
      </c>
      <c r="U632" s="96"/>
      <c r="V632" s="96">
        <f t="shared" si="1638"/>
        <v>0</v>
      </c>
      <c r="W632" s="96"/>
      <c r="X632" s="96">
        <f t="shared" si="1639"/>
        <v>0</v>
      </c>
      <c r="Y632" s="96">
        <f t="shared" si="1640"/>
        <v>0</v>
      </c>
      <c r="Z632" s="96">
        <f t="shared" si="1641"/>
        <v>0</v>
      </c>
      <c r="AA632" s="96"/>
      <c r="AB632" s="96">
        <f t="shared" si="1642"/>
        <v>0</v>
      </c>
      <c r="AC632" s="96"/>
      <c r="AD632" s="96">
        <f t="shared" si="1643"/>
        <v>0</v>
      </c>
      <c r="AE632" s="96"/>
      <c r="AF632" s="96">
        <f t="shared" si="1644"/>
        <v>0</v>
      </c>
      <c r="AG632" s="96">
        <f t="shared" si="1645"/>
        <v>0</v>
      </c>
      <c r="AH632" s="96">
        <f t="shared" si="1646"/>
        <v>0</v>
      </c>
      <c r="AI632" s="96">
        <f t="shared" si="1647"/>
        <v>0</v>
      </c>
      <c r="AJ632" s="96">
        <f t="shared" si="1648"/>
        <v>0</v>
      </c>
      <c r="AK632" s="96"/>
      <c r="AL632" s="96">
        <f t="shared" si="1649"/>
        <v>0</v>
      </c>
      <c r="AM632" s="96"/>
      <c r="AN632" s="96">
        <f t="shared" si="1650"/>
        <v>0</v>
      </c>
      <c r="AO632" s="96"/>
      <c r="AP632" s="96">
        <f t="shared" si="1651"/>
        <v>0</v>
      </c>
      <c r="AQ632" s="96">
        <f t="shared" si="1652"/>
        <v>0</v>
      </c>
      <c r="AR632" s="96">
        <f t="shared" si="1653"/>
        <v>0</v>
      </c>
      <c r="AS632" s="96"/>
      <c r="AT632" s="96">
        <f t="shared" si="1654"/>
        <v>0</v>
      </c>
      <c r="AU632" s="96"/>
      <c r="AV632" s="96">
        <f t="shared" si="1655"/>
        <v>0</v>
      </c>
      <c r="AW632" s="96"/>
      <c r="AX632" s="96">
        <f t="shared" si="1656"/>
        <v>0</v>
      </c>
      <c r="AY632" s="96">
        <f t="shared" si="1657"/>
        <v>0</v>
      </c>
      <c r="AZ632" s="96">
        <f t="shared" si="1658"/>
        <v>0</v>
      </c>
      <c r="BA632" s="96">
        <f t="shared" si="1659"/>
        <v>0</v>
      </c>
      <c r="BB632" s="96">
        <f t="shared" si="1660"/>
        <v>0</v>
      </c>
    </row>
    <row r="633" spans="1:54" ht="11.25" customHeight="1">
      <c r="A633" s="492">
        <v>385</v>
      </c>
      <c r="B633" s="13"/>
      <c r="C633" s="432"/>
      <c r="D633" s="13"/>
      <c r="E633" s="21" t="s">
        <v>213</v>
      </c>
      <c r="F633" s="45"/>
      <c r="G633" s="45" t="s">
        <v>1059</v>
      </c>
      <c r="H633" s="265" t="s">
        <v>358</v>
      </c>
      <c r="I633" s="54"/>
      <c r="J633" s="162">
        <v>8364</v>
      </c>
      <c r="K633" s="54"/>
      <c r="L633" s="162">
        <v>8364</v>
      </c>
      <c r="M633" s="54"/>
      <c r="N633" s="162"/>
      <c r="O633" s="54"/>
      <c r="P633" s="162"/>
      <c r="Q633" s="96">
        <f t="shared" si="1635"/>
        <v>0</v>
      </c>
      <c r="R633" s="337">
        <f t="shared" si="1636"/>
        <v>0</v>
      </c>
      <c r="S633" s="96"/>
      <c r="T633" s="96">
        <f t="shared" si="1637"/>
        <v>0</v>
      </c>
      <c r="U633" s="96"/>
      <c r="V633" s="96">
        <f t="shared" si="1638"/>
        <v>0</v>
      </c>
      <c r="W633" s="96"/>
      <c r="X633" s="96">
        <f t="shared" si="1639"/>
        <v>0</v>
      </c>
      <c r="Y633" s="96">
        <f t="shared" si="1640"/>
        <v>0</v>
      </c>
      <c r="Z633" s="96">
        <f t="shared" si="1641"/>
        <v>0</v>
      </c>
      <c r="AA633" s="96"/>
      <c r="AB633" s="96">
        <f t="shared" si="1642"/>
        <v>0</v>
      </c>
      <c r="AC633" s="96"/>
      <c r="AD633" s="96">
        <f t="shared" si="1643"/>
        <v>0</v>
      </c>
      <c r="AE633" s="96"/>
      <c r="AF633" s="96">
        <f t="shared" si="1644"/>
        <v>0</v>
      </c>
      <c r="AG633" s="96">
        <f t="shared" si="1645"/>
        <v>0</v>
      </c>
      <c r="AH633" s="96">
        <f t="shared" si="1646"/>
        <v>0</v>
      </c>
      <c r="AI633" s="96">
        <f t="shared" si="1647"/>
        <v>0</v>
      </c>
      <c r="AJ633" s="96">
        <f t="shared" si="1648"/>
        <v>0</v>
      </c>
      <c r="AK633" s="96"/>
      <c r="AL633" s="96">
        <f t="shared" si="1649"/>
        <v>0</v>
      </c>
      <c r="AM633" s="96"/>
      <c r="AN633" s="96">
        <f t="shared" si="1650"/>
        <v>0</v>
      </c>
      <c r="AO633" s="96"/>
      <c r="AP633" s="96">
        <f t="shared" si="1651"/>
        <v>0</v>
      </c>
      <c r="AQ633" s="96">
        <f t="shared" si="1652"/>
        <v>0</v>
      </c>
      <c r="AR633" s="96">
        <f t="shared" si="1653"/>
        <v>0</v>
      </c>
      <c r="AS633" s="96"/>
      <c r="AT633" s="96">
        <f t="shared" si="1654"/>
        <v>0</v>
      </c>
      <c r="AU633" s="96"/>
      <c r="AV633" s="96">
        <f t="shared" si="1655"/>
        <v>0</v>
      </c>
      <c r="AW633" s="96"/>
      <c r="AX633" s="96">
        <f t="shared" si="1656"/>
        <v>0</v>
      </c>
      <c r="AY633" s="96">
        <f t="shared" si="1657"/>
        <v>0</v>
      </c>
      <c r="AZ633" s="96">
        <f t="shared" si="1658"/>
        <v>0</v>
      </c>
      <c r="BA633" s="96">
        <f t="shared" si="1659"/>
        <v>0</v>
      </c>
      <c r="BB633" s="96">
        <f t="shared" si="1660"/>
        <v>0</v>
      </c>
    </row>
    <row r="634" spans="1:54">
      <c r="A634" s="492">
        <v>386</v>
      </c>
      <c r="B634" s="13"/>
      <c r="C634" s="432"/>
      <c r="D634" s="13"/>
      <c r="E634" s="21" t="s">
        <v>214</v>
      </c>
      <c r="F634" s="45"/>
      <c r="G634" s="45" t="s">
        <v>1059</v>
      </c>
      <c r="H634" s="265" t="s">
        <v>358</v>
      </c>
      <c r="I634" s="54"/>
      <c r="J634" s="162">
        <v>7639</v>
      </c>
      <c r="K634" s="54"/>
      <c r="L634" s="162">
        <v>8090</v>
      </c>
      <c r="M634" s="54"/>
      <c r="N634" s="162"/>
      <c r="O634" s="54"/>
      <c r="P634" s="162"/>
      <c r="Q634" s="96">
        <f t="shared" si="1635"/>
        <v>1.8909999999999998</v>
      </c>
      <c r="R634" s="337">
        <f t="shared" si="1636"/>
        <v>14.535549000000001</v>
      </c>
      <c r="S634" s="96">
        <v>0.126</v>
      </c>
      <c r="T634" s="96">
        <f t="shared" si="1637"/>
        <v>0.96251399999999998</v>
      </c>
      <c r="U634" s="96">
        <v>0.92300000000000004</v>
      </c>
      <c r="V634" s="96">
        <f t="shared" si="1638"/>
        <v>7.0507970000000002</v>
      </c>
      <c r="W634" s="96">
        <v>0.64200000000000002</v>
      </c>
      <c r="X634" s="96">
        <f t="shared" si="1639"/>
        <v>4.9042380000000003</v>
      </c>
      <c r="Y634" s="96">
        <f t="shared" si="1640"/>
        <v>1.6909999999999998</v>
      </c>
      <c r="Z634" s="96">
        <f t="shared" si="1641"/>
        <v>12.917549000000001</v>
      </c>
      <c r="AA634" s="96">
        <v>0.2</v>
      </c>
      <c r="AB634" s="96">
        <f t="shared" si="1642"/>
        <v>1.6180000000000001</v>
      </c>
      <c r="AC634" s="96"/>
      <c r="AD634" s="96">
        <f t="shared" si="1643"/>
        <v>0</v>
      </c>
      <c r="AE634" s="96"/>
      <c r="AF634" s="96">
        <f t="shared" si="1644"/>
        <v>0</v>
      </c>
      <c r="AG634" s="96">
        <f t="shared" si="1645"/>
        <v>0.2</v>
      </c>
      <c r="AH634" s="96">
        <f t="shared" si="1646"/>
        <v>1.6180000000000001</v>
      </c>
      <c r="AI634" s="96">
        <f t="shared" si="1647"/>
        <v>1.8909999999999998</v>
      </c>
      <c r="AJ634" s="96">
        <f t="shared" si="1648"/>
        <v>14.535549000000001</v>
      </c>
      <c r="AK634" s="96"/>
      <c r="AL634" s="96">
        <f t="shared" si="1649"/>
        <v>0</v>
      </c>
      <c r="AM634" s="96"/>
      <c r="AN634" s="96">
        <f t="shared" si="1650"/>
        <v>0</v>
      </c>
      <c r="AO634" s="96"/>
      <c r="AP634" s="96">
        <f t="shared" si="1651"/>
        <v>0</v>
      </c>
      <c r="AQ634" s="96">
        <f t="shared" si="1652"/>
        <v>0</v>
      </c>
      <c r="AR634" s="96">
        <f t="shared" si="1653"/>
        <v>0</v>
      </c>
      <c r="AS634" s="96"/>
      <c r="AT634" s="96">
        <f t="shared" si="1654"/>
        <v>0</v>
      </c>
      <c r="AU634" s="96"/>
      <c r="AV634" s="96">
        <f t="shared" si="1655"/>
        <v>0</v>
      </c>
      <c r="AW634" s="96"/>
      <c r="AX634" s="96">
        <f t="shared" si="1656"/>
        <v>0</v>
      </c>
      <c r="AY634" s="96">
        <f t="shared" si="1657"/>
        <v>0</v>
      </c>
      <c r="AZ634" s="96">
        <f t="shared" si="1658"/>
        <v>0</v>
      </c>
      <c r="BA634" s="96">
        <f t="shared" si="1659"/>
        <v>0</v>
      </c>
      <c r="BB634" s="96">
        <f t="shared" si="1660"/>
        <v>0</v>
      </c>
    </row>
    <row r="635" spans="1:54">
      <c r="A635" s="492">
        <v>387</v>
      </c>
      <c r="B635" s="13"/>
      <c r="C635" s="432"/>
      <c r="D635" s="13"/>
      <c r="E635" s="62" t="s">
        <v>692</v>
      </c>
      <c r="F635" s="419"/>
      <c r="G635" s="419" t="s">
        <v>1059</v>
      </c>
      <c r="H635" s="281" t="s">
        <v>358</v>
      </c>
      <c r="I635" s="66"/>
      <c r="J635" s="165">
        <v>10203</v>
      </c>
      <c r="K635" s="66"/>
      <c r="L635" s="165">
        <v>10805</v>
      </c>
      <c r="M635" s="66"/>
      <c r="N635" s="165"/>
      <c r="O635" s="66"/>
      <c r="P635" s="165"/>
      <c r="Q635" s="128">
        <f t="shared" si="1635"/>
        <v>1.512</v>
      </c>
      <c r="R635" s="345">
        <f t="shared" si="1636"/>
        <v>15.715896000000001</v>
      </c>
      <c r="S635" s="128">
        <v>0.64800000000000002</v>
      </c>
      <c r="T635" s="128">
        <f t="shared" si="1637"/>
        <v>6.6115440000000003</v>
      </c>
      <c r="U635" s="128">
        <v>0.38400000000000001</v>
      </c>
      <c r="V635" s="128">
        <f t="shared" si="1638"/>
        <v>3.9179520000000001</v>
      </c>
      <c r="W635" s="128"/>
      <c r="X635" s="128">
        <f t="shared" si="1639"/>
        <v>0</v>
      </c>
      <c r="Y635" s="128">
        <f t="shared" si="1640"/>
        <v>1.032</v>
      </c>
      <c r="Z635" s="128">
        <f t="shared" si="1641"/>
        <v>10.529496</v>
      </c>
      <c r="AA635" s="128">
        <v>0.48</v>
      </c>
      <c r="AB635" s="128">
        <f t="shared" si="1642"/>
        <v>5.1863999999999999</v>
      </c>
      <c r="AC635" s="128"/>
      <c r="AD635" s="128">
        <f t="shared" si="1643"/>
        <v>0</v>
      </c>
      <c r="AE635" s="128"/>
      <c r="AF635" s="128">
        <f t="shared" si="1644"/>
        <v>0</v>
      </c>
      <c r="AG635" s="128">
        <f t="shared" si="1645"/>
        <v>0.48</v>
      </c>
      <c r="AH635" s="128">
        <f t="shared" si="1646"/>
        <v>5.1863999999999999</v>
      </c>
      <c r="AI635" s="128">
        <f t="shared" si="1647"/>
        <v>1.512</v>
      </c>
      <c r="AJ635" s="128">
        <f t="shared" si="1648"/>
        <v>15.715896000000001</v>
      </c>
      <c r="AK635" s="128"/>
      <c r="AL635" s="128">
        <f t="shared" si="1649"/>
        <v>0</v>
      </c>
      <c r="AM635" s="128"/>
      <c r="AN635" s="128">
        <f t="shared" si="1650"/>
        <v>0</v>
      </c>
      <c r="AO635" s="128"/>
      <c r="AP635" s="128">
        <f t="shared" si="1651"/>
        <v>0</v>
      </c>
      <c r="AQ635" s="128">
        <f t="shared" si="1652"/>
        <v>0</v>
      </c>
      <c r="AR635" s="128">
        <f t="shared" si="1653"/>
        <v>0</v>
      </c>
      <c r="AS635" s="128"/>
      <c r="AT635" s="128">
        <f t="shared" si="1654"/>
        <v>0</v>
      </c>
      <c r="AU635" s="128"/>
      <c r="AV635" s="128">
        <f t="shared" si="1655"/>
        <v>0</v>
      </c>
      <c r="AW635" s="128"/>
      <c r="AX635" s="128">
        <f t="shared" si="1656"/>
        <v>0</v>
      </c>
      <c r="AY635" s="128">
        <f t="shared" si="1657"/>
        <v>0</v>
      </c>
      <c r="AZ635" s="128">
        <f t="shared" si="1658"/>
        <v>0</v>
      </c>
      <c r="BA635" s="128">
        <f t="shared" si="1659"/>
        <v>0</v>
      </c>
      <c r="BB635" s="128">
        <f t="shared" si="1660"/>
        <v>0</v>
      </c>
    </row>
    <row r="636" spans="1:54">
      <c r="B636" s="13"/>
      <c r="C636" s="13"/>
      <c r="D636" s="13"/>
      <c r="E636" s="21" t="s">
        <v>1205</v>
      </c>
      <c r="F636" s="45"/>
      <c r="G636" s="45" t="s">
        <v>1056</v>
      </c>
      <c r="H636" s="265" t="s">
        <v>358</v>
      </c>
      <c r="I636" s="54"/>
      <c r="J636" s="162">
        <v>10203</v>
      </c>
      <c r="K636" s="54"/>
      <c r="L636" s="162">
        <v>10805</v>
      </c>
      <c r="M636" s="54"/>
      <c r="N636" s="162"/>
      <c r="O636" s="54"/>
      <c r="P636" s="162"/>
      <c r="Q636" s="96">
        <f t="shared" si="1635"/>
        <v>0</v>
      </c>
      <c r="R636" s="337">
        <f t="shared" si="1636"/>
        <v>0</v>
      </c>
      <c r="S636" s="96"/>
      <c r="T636" s="96">
        <f t="shared" si="1637"/>
        <v>0</v>
      </c>
      <c r="U636" s="96"/>
      <c r="V636" s="96">
        <f t="shared" si="1638"/>
        <v>0</v>
      </c>
      <c r="W636" s="96"/>
      <c r="X636" s="96">
        <f t="shared" si="1639"/>
        <v>0</v>
      </c>
      <c r="Y636" s="96">
        <f t="shared" si="1640"/>
        <v>0</v>
      </c>
      <c r="Z636" s="96">
        <f t="shared" si="1641"/>
        <v>0</v>
      </c>
      <c r="AA636" s="96"/>
      <c r="AB636" s="96">
        <f t="shared" si="1642"/>
        <v>0</v>
      </c>
      <c r="AC636" s="96"/>
      <c r="AD636" s="96">
        <f t="shared" si="1643"/>
        <v>0</v>
      </c>
      <c r="AE636" s="96"/>
      <c r="AF636" s="96">
        <f t="shared" si="1644"/>
        <v>0</v>
      </c>
      <c r="AG636" s="96">
        <f t="shared" si="1645"/>
        <v>0</v>
      </c>
      <c r="AH636" s="96">
        <f t="shared" si="1646"/>
        <v>0</v>
      </c>
      <c r="AI636" s="96">
        <f t="shared" si="1647"/>
        <v>0</v>
      </c>
      <c r="AJ636" s="96">
        <f t="shared" si="1648"/>
        <v>0</v>
      </c>
      <c r="AK636" s="96"/>
      <c r="AL636" s="96">
        <f t="shared" si="1649"/>
        <v>0</v>
      </c>
      <c r="AM636" s="96"/>
      <c r="AN636" s="96">
        <f t="shared" si="1650"/>
        <v>0</v>
      </c>
      <c r="AO636" s="96"/>
      <c r="AP636" s="96">
        <f t="shared" si="1651"/>
        <v>0</v>
      </c>
      <c r="AQ636" s="96">
        <f t="shared" si="1652"/>
        <v>0</v>
      </c>
      <c r="AR636" s="96">
        <f t="shared" si="1653"/>
        <v>0</v>
      </c>
      <c r="AS636" s="96"/>
      <c r="AT636" s="96">
        <f t="shared" si="1654"/>
        <v>0</v>
      </c>
      <c r="AU636" s="96"/>
      <c r="AV636" s="96">
        <f t="shared" si="1655"/>
        <v>0</v>
      </c>
      <c r="AW636" s="96"/>
      <c r="AX636" s="96">
        <f t="shared" si="1656"/>
        <v>0</v>
      </c>
      <c r="AY636" s="96">
        <f t="shared" si="1657"/>
        <v>0</v>
      </c>
      <c r="AZ636" s="96">
        <f t="shared" si="1658"/>
        <v>0</v>
      </c>
      <c r="BA636" s="96">
        <f t="shared" si="1659"/>
        <v>0</v>
      </c>
      <c r="BB636" s="96">
        <f t="shared" si="1660"/>
        <v>0</v>
      </c>
    </row>
    <row r="637" spans="1:54">
      <c r="A637" s="492">
        <v>395</v>
      </c>
      <c r="B637" s="13"/>
      <c r="C637" s="432"/>
      <c r="D637" s="13"/>
      <c r="E637" s="21" t="s">
        <v>1406</v>
      </c>
      <c r="F637" s="45"/>
      <c r="G637" s="45" t="s">
        <v>1059</v>
      </c>
      <c r="H637" s="265" t="s">
        <v>358</v>
      </c>
      <c r="I637" s="54"/>
      <c r="J637" s="162">
        <v>9494</v>
      </c>
      <c r="K637" s="54"/>
      <c r="L637" s="162">
        <v>10054</v>
      </c>
      <c r="M637" s="54"/>
      <c r="N637" s="162"/>
      <c r="O637" s="54"/>
      <c r="P637" s="162"/>
      <c r="Q637" s="96">
        <f t="shared" si="1635"/>
        <v>1.5510000000000002</v>
      </c>
      <c r="R637" s="337">
        <f t="shared" si="1636"/>
        <v>14.864634000000001</v>
      </c>
      <c r="S637" s="96">
        <v>0.625</v>
      </c>
      <c r="T637" s="96">
        <f t="shared" si="1637"/>
        <v>5.9337499999999999</v>
      </c>
      <c r="U637" s="96">
        <v>0.629</v>
      </c>
      <c r="V637" s="96">
        <f t="shared" si="1638"/>
        <v>5.9717259999999994</v>
      </c>
      <c r="W637" s="96">
        <v>4.8000000000000001E-2</v>
      </c>
      <c r="X637" s="96">
        <f t="shared" si="1639"/>
        <v>0.45571200000000001</v>
      </c>
      <c r="Y637" s="96">
        <f t="shared" si="1640"/>
        <v>1.302</v>
      </c>
      <c r="Z637" s="96">
        <f t="shared" si="1641"/>
        <v>12.361188</v>
      </c>
      <c r="AA637" s="96">
        <v>0.249</v>
      </c>
      <c r="AB637" s="96">
        <f t="shared" si="1642"/>
        <v>2.5034459999999998</v>
      </c>
      <c r="AC637" s="96"/>
      <c r="AD637" s="96">
        <f t="shared" si="1643"/>
        <v>0</v>
      </c>
      <c r="AE637" s="96"/>
      <c r="AF637" s="96">
        <f t="shared" si="1644"/>
        <v>0</v>
      </c>
      <c r="AG637" s="96">
        <f t="shared" si="1645"/>
        <v>0.249</v>
      </c>
      <c r="AH637" s="96">
        <f t="shared" si="1646"/>
        <v>2.5034459999999998</v>
      </c>
      <c r="AI637" s="96">
        <f t="shared" si="1647"/>
        <v>1.5510000000000002</v>
      </c>
      <c r="AJ637" s="96">
        <f t="shared" si="1648"/>
        <v>14.864634000000001</v>
      </c>
      <c r="AK637" s="96"/>
      <c r="AL637" s="96">
        <f t="shared" si="1649"/>
        <v>0</v>
      </c>
      <c r="AM637" s="96"/>
      <c r="AN637" s="96">
        <f t="shared" si="1650"/>
        <v>0</v>
      </c>
      <c r="AO637" s="96"/>
      <c r="AP637" s="96">
        <f t="shared" si="1651"/>
        <v>0</v>
      </c>
      <c r="AQ637" s="96">
        <f t="shared" si="1652"/>
        <v>0</v>
      </c>
      <c r="AR637" s="96">
        <f t="shared" si="1653"/>
        <v>0</v>
      </c>
      <c r="AS637" s="96"/>
      <c r="AT637" s="96">
        <f t="shared" si="1654"/>
        <v>0</v>
      </c>
      <c r="AU637" s="96"/>
      <c r="AV637" s="96">
        <f t="shared" si="1655"/>
        <v>0</v>
      </c>
      <c r="AW637" s="96"/>
      <c r="AX637" s="96">
        <f t="shared" si="1656"/>
        <v>0</v>
      </c>
      <c r="AY637" s="96">
        <f t="shared" si="1657"/>
        <v>0</v>
      </c>
      <c r="AZ637" s="96">
        <f t="shared" si="1658"/>
        <v>0</v>
      </c>
      <c r="BA637" s="96">
        <f t="shared" si="1659"/>
        <v>0</v>
      </c>
      <c r="BB637" s="96">
        <f t="shared" si="1660"/>
        <v>0</v>
      </c>
    </row>
    <row r="638" spans="1:54">
      <c r="A638" s="492">
        <v>388</v>
      </c>
      <c r="B638" s="13"/>
      <c r="C638" s="432"/>
      <c r="D638" s="13"/>
      <c r="E638" s="89" t="s">
        <v>1619</v>
      </c>
      <c r="F638" s="424"/>
      <c r="G638" s="424" t="s">
        <v>1059</v>
      </c>
      <c r="H638" s="284" t="s">
        <v>358</v>
      </c>
      <c r="I638" s="75"/>
      <c r="J638" s="167">
        <v>9516</v>
      </c>
      <c r="K638" s="75"/>
      <c r="L638" s="167">
        <v>10077</v>
      </c>
      <c r="M638" s="75"/>
      <c r="N638" s="167"/>
      <c r="O638" s="75"/>
      <c r="P638" s="167"/>
      <c r="Q638" s="130">
        <f t="shared" si="1635"/>
        <v>2.2549999999999999</v>
      </c>
      <c r="R638" s="347">
        <f t="shared" si="1636"/>
        <v>21.62688</v>
      </c>
      <c r="S638" s="130">
        <v>0.80500000000000005</v>
      </c>
      <c r="T638" s="130">
        <f t="shared" si="1637"/>
        <v>7.66038</v>
      </c>
      <c r="U638" s="130">
        <v>0.4</v>
      </c>
      <c r="V638" s="130">
        <f t="shared" si="1638"/>
        <v>3.8064</v>
      </c>
      <c r="W638" s="130">
        <v>0.75</v>
      </c>
      <c r="X638" s="130">
        <f t="shared" si="1639"/>
        <v>7.1369999999999996</v>
      </c>
      <c r="Y638" s="130">
        <f t="shared" si="1640"/>
        <v>1.9550000000000001</v>
      </c>
      <c r="Z638" s="130">
        <f t="shared" si="1641"/>
        <v>18.60378</v>
      </c>
      <c r="AA638" s="130">
        <v>0.3</v>
      </c>
      <c r="AB638" s="130">
        <f t="shared" si="1642"/>
        <v>3.0230999999999999</v>
      </c>
      <c r="AC638" s="130"/>
      <c r="AD638" s="130">
        <f t="shared" si="1643"/>
        <v>0</v>
      </c>
      <c r="AE638" s="130"/>
      <c r="AF638" s="130">
        <f t="shared" si="1644"/>
        <v>0</v>
      </c>
      <c r="AG638" s="130">
        <f t="shared" si="1645"/>
        <v>0.3</v>
      </c>
      <c r="AH638" s="130">
        <f t="shared" si="1646"/>
        <v>3.0230999999999999</v>
      </c>
      <c r="AI638" s="130">
        <f t="shared" si="1647"/>
        <v>2.2549999999999999</v>
      </c>
      <c r="AJ638" s="130">
        <f t="shared" si="1648"/>
        <v>21.62688</v>
      </c>
      <c r="AK638" s="130"/>
      <c r="AL638" s="130">
        <f t="shared" si="1649"/>
        <v>0</v>
      </c>
      <c r="AM638" s="130"/>
      <c r="AN638" s="130">
        <f t="shared" si="1650"/>
        <v>0</v>
      </c>
      <c r="AO638" s="130"/>
      <c r="AP638" s="130">
        <f t="shared" si="1651"/>
        <v>0</v>
      </c>
      <c r="AQ638" s="130">
        <f t="shared" si="1652"/>
        <v>0</v>
      </c>
      <c r="AR638" s="130">
        <f t="shared" si="1653"/>
        <v>0</v>
      </c>
      <c r="AS638" s="130"/>
      <c r="AT638" s="130">
        <f t="shared" si="1654"/>
        <v>0</v>
      </c>
      <c r="AU638" s="130"/>
      <c r="AV638" s="130">
        <f t="shared" si="1655"/>
        <v>0</v>
      </c>
      <c r="AW638" s="130"/>
      <c r="AX638" s="130">
        <f t="shared" si="1656"/>
        <v>0</v>
      </c>
      <c r="AY638" s="130">
        <f t="shared" si="1657"/>
        <v>0</v>
      </c>
      <c r="AZ638" s="130">
        <f t="shared" si="1658"/>
        <v>0</v>
      </c>
      <c r="BA638" s="130">
        <f t="shared" si="1659"/>
        <v>0</v>
      </c>
      <c r="BB638" s="130">
        <f t="shared" si="1660"/>
        <v>0</v>
      </c>
    </row>
    <row r="639" spans="1:54">
      <c r="A639" s="492">
        <v>389</v>
      </c>
      <c r="B639" s="13"/>
      <c r="C639" s="432"/>
      <c r="D639" s="13"/>
      <c r="E639" s="21" t="s">
        <v>710</v>
      </c>
      <c r="F639" s="45"/>
      <c r="G639" s="45" t="s">
        <v>1059</v>
      </c>
      <c r="H639" s="265" t="s">
        <v>358</v>
      </c>
      <c r="I639" s="54"/>
      <c r="J639" s="162">
        <v>6789</v>
      </c>
      <c r="K639" s="54"/>
      <c r="L639" s="162">
        <v>7190</v>
      </c>
      <c r="M639" s="54"/>
      <c r="N639" s="162"/>
      <c r="O639" s="54"/>
      <c r="P639" s="162"/>
      <c r="Q639" s="96">
        <f t="shared" si="1635"/>
        <v>4.8550000000000004</v>
      </c>
      <c r="R639" s="337">
        <f t="shared" si="1636"/>
        <v>33.821943000000005</v>
      </c>
      <c r="S639" s="96">
        <v>0.2</v>
      </c>
      <c r="T639" s="96">
        <f t="shared" si="1637"/>
        <v>1.3578000000000001</v>
      </c>
      <c r="U639" s="96">
        <v>0.88</v>
      </c>
      <c r="V639" s="96">
        <f t="shared" si="1638"/>
        <v>5.9743199999999996</v>
      </c>
      <c r="W639" s="96">
        <v>1.627</v>
      </c>
      <c r="X639" s="96">
        <f t="shared" si="1639"/>
        <v>11.045703</v>
      </c>
      <c r="Y639" s="96">
        <f t="shared" si="1640"/>
        <v>2.7069999999999999</v>
      </c>
      <c r="Z639" s="96">
        <f t="shared" si="1641"/>
        <v>18.377822999999999</v>
      </c>
      <c r="AA639" s="96">
        <v>2.1480000000000001</v>
      </c>
      <c r="AB639" s="96">
        <f t="shared" si="1642"/>
        <v>15.444120000000002</v>
      </c>
      <c r="AC639" s="96"/>
      <c r="AD639" s="96">
        <f t="shared" si="1643"/>
        <v>0</v>
      </c>
      <c r="AE639" s="96"/>
      <c r="AF639" s="96">
        <f t="shared" si="1644"/>
        <v>0</v>
      </c>
      <c r="AG639" s="96">
        <f t="shared" si="1645"/>
        <v>2.1480000000000001</v>
      </c>
      <c r="AH639" s="96">
        <f t="shared" si="1646"/>
        <v>15.444120000000002</v>
      </c>
      <c r="AI639" s="96">
        <f t="shared" si="1647"/>
        <v>4.8550000000000004</v>
      </c>
      <c r="AJ639" s="96">
        <f t="shared" si="1648"/>
        <v>33.821943000000005</v>
      </c>
      <c r="AK639" s="96"/>
      <c r="AL639" s="96">
        <f t="shared" si="1649"/>
        <v>0</v>
      </c>
      <c r="AM639" s="96"/>
      <c r="AN639" s="96">
        <f t="shared" si="1650"/>
        <v>0</v>
      </c>
      <c r="AO639" s="96"/>
      <c r="AP639" s="96">
        <f t="shared" si="1651"/>
        <v>0</v>
      </c>
      <c r="AQ639" s="96">
        <f t="shared" si="1652"/>
        <v>0</v>
      </c>
      <c r="AR639" s="96">
        <f t="shared" si="1653"/>
        <v>0</v>
      </c>
      <c r="AS639" s="96"/>
      <c r="AT639" s="96">
        <f t="shared" si="1654"/>
        <v>0</v>
      </c>
      <c r="AU639" s="96"/>
      <c r="AV639" s="96">
        <f t="shared" si="1655"/>
        <v>0</v>
      </c>
      <c r="AW639" s="96"/>
      <c r="AX639" s="96">
        <f t="shared" si="1656"/>
        <v>0</v>
      </c>
      <c r="AY639" s="96">
        <f t="shared" si="1657"/>
        <v>0</v>
      </c>
      <c r="AZ639" s="96">
        <f t="shared" si="1658"/>
        <v>0</v>
      </c>
      <c r="BA639" s="96">
        <f t="shared" si="1659"/>
        <v>0</v>
      </c>
      <c r="BB639" s="96">
        <f t="shared" si="1660"/>
        <v>0</v>
      </c>
    </row>
    <row r="640" spans="1:54">
      <c r="A640" s="492">
        <v>390</v>
      </c>
      <c r="B640" s="13"/>
      <c r="D640" s="13"/>
      <c r="E640" s="21" t="s">
        <v>1019</v>
      </c>
      <c r="F640" s="45"/>
      <c r="G640" s="45" t="s">
        <v>1056</v>
      </c>
      <c r="H640" s="265" t="s">
        <v>358</v>
      </c>
      <c r="I640" s="54"/>
      <c r="J640" s="162">
        <v>5496</v>
      </c>
      <c r="K640" s="54"/>
      <c r="L640" s="162">
        <v>5496</v>
      </c>
      <c r="M640" s="54"/>
      <c r="N640" s="162"/>
      <c r="O640" s="54"/>
      <c r="P640" s="162"/>
      <c r="Q640" s="96">
        <f t="shared" si="1635"/>
        <v>0</v>
      </c>
      <c r="R640" s="337">
        <f t="shared" si="1636"/>
        <v>0</v>
      </c>
      <c r="S640" s="96"/>
      <c r="T640" s="96">
        <f t="shared" si="1637"/>
        <v>0</v>
      </c>
      <c r="U640" s="96"/>
      <c r="V640" s="96">
        <f t="shared" si="1638"/>
        <v>0</v>
      </c>
      <c r="W640" s="96"/>
      <c r="X640" s="96">
        <f t="shared" si="1639"/>
        <v>0</v>
      </c>
      <c r="Y640" s="96">
        <f t="shared" si="1640"/>
        <v>0</v>
      </c>
      <c r="Z640" s="96">
        <f t="shared" si="1641"/>
        <v>0</v>
      </c>
      <c r="AA640" s="96"/>
      <c r="AB640" s="96">
        <f t="shared" si="1642"/>
        <v>0</v>
      </c>
      <c r="AC640" s="96"/>
      <c r="AD640" s="96">
        <f t="shared" si="1643"/>
        <v>0</v>
      </c>
      <c r="AE640" s="96"/>
      <c r="AF640" s="96">
        <f t="shared" si="1644"/>
        <v>0</v>
      </c>
      <c r="AG640" s="96">
        <f t="shared" si="1645"/>
        <v>0</v>
      </c>
      <c r="AH640" s="96">
        <f t="shared" si="1646"/>
        <v>0</v>
      </c>
      <c r="AI640" s="96">
        <f t="shared" si="1647"/>
        <v>0</v>
      </c>
      <c r="AJ640" s="96">
        <f t="shared" si="1648"/>
        <v>0</v>
      </c>
      <c r="AK640" s="96"/>
      <c r="AL640" s="96">
        <f t="shared" si="1649"/>
        <v>0</v>
      </c>
      <c r="AM640" s="96"/>
      <c r="AN640" s="96">
        <f t="shared" si="1650"/>
        <v>0</v>
      </c>
      <c r="AO640" s="96"/>
      <c r="AP640" s="96">
        <f t="shared" si="1651"/>
        <v>0</v>
      </c>
      <c r="AQ640" s="96">
        <f t="shared" si="1652"/>
        <v>0</v>
      </c>
      <c r="AR640" s="96">
        <f t="shared" si="1653"/>
        <v>0</v>
      </c>
      <c r="AS640" s="96"/>
      <c r="AT640" s="96">
        <f t="shared" si="1654"/>
        <v>0</v>
      </c>
      <c r="AU640" s="96"/>
      <c r="AV640" s="96">
        <f t="shared" si="1655"/>
        <v>0</v>
      </c>
      <c r="AW640" s="96"/>
      <c r="AX640" s="96">
        <f t="shared" si="1656"/>
        <v>0</v>
      </c>
      <c r="AY640" s="96">
        <f t="shared" si="1657"/>
        <v>0</v>
      </c>
      <c r="AZ640" s="96">
        <f t="shared" si="1658"/>
        <v>0</v>
      </c>
      <c r="BA640" s="96">
        <f t="shared" si="1659"/>
        <v>0</v>
      </c>
      <c r="BB640" s="96">
        <f t="shared" si="1660"/>
        <v>0</v>
      </c>
    </row>
    <row r="641" spans="1:54">
      <c r="A641" s="492">
        <v>391</v>
      </c>
      <c r="B641" s="13"/>
      <c r="C641" s="432"/>
      <c r="D641" s="13"/>
      <c r="E641" s="21" t="s">
        <v>547</v>
      </c>
      <c r="F641" s="45"/>
      <c r="G641" s="45" t="s">
        <v>1059</v>
      </c>
      <c r="H641" s="265" t="s">
        <v>358</v>
      </c>
      <c r="I641" s="54"/>
      <c r="J641" s="162">
        <v>2341</v>
      </c>
      <c r="K641" s="54"/>
      <c r="L641" s="162">
        <v>2479</v>
      </c>
      <c r="M641" s="54"/>
      <c r="N641" s="162"/>
      <c r="O641" s="54"/>
      <c r="P641" s="162"/>
      <c r="Q641" s="96">
        <f t="shared" si="1635"/>
        <v>0.94300000000000006</v>
      </c>
      <c r="R641" s="337">
        <f t="shared" si="1636"/>
        <v>2.2651089999999998</v>
      </c>
      <c r="S641" s="96">
        <v>0.23599999999999999</v>
      </c>
      <c r="T641" s="96">
        <f t="shared" si="1637"/>
        <v>0.55247599999999997</v>
      </c>
      <c r="U641" s="96"/>
      <c r="V641" s="96">
        <f t="shared" si="1638"/>
        <v>0</v>
      </c>
      <c r="W641" s="96">
        <v>0.28999999999999998</v>
      </c>
      <c r="X641" s="96">
        <f t="shared" si="1639"/>
        <v>0.67888999999999999</v>
      </c>
      <c r="Y641" s="96">
        <f t="shared" si="1640"/>
        <v>0.52600000000000002</v>
      </c>
      <c r="Z641" s="96">
        <f t="shared" si="1641"/>
        <v>1.231366</v>
      </c>
      <c r="AA641" s="96">
        <v>0.41699999999999998</v>
      </c>
      <c r="AB641" s="96">
        <f t="shared" si="1642"/>
        <v>1.0337429999999999</v>
      </c>
      <c r="AC641" s="96"/>
      <c r="AD641" s="96">
        <f t="shared" si="1643"/>
        <v>0</v>
      </c>
      <c r="AE641" s="96"/>
      <c r="AF641" s="96">
        <f t="shared" si="1644"/>
        <v>0</v>
      </c>
      <c r="AG641" s="96">
        <f t="shared" si="1645"/>
        <v>0.41699999999999998</v>
      </c>
      <c r="AH641" s="96">
        <f t="shared" si="1646"/>
        <v>1.0337429999999999</v>
      </c>
      <c r="AI641" s="96">
        <f t="shared" si="1647"/>
        <v>0.94300000000000006</v>
      </c>
      <c r="AJ641" s="96">
        <f t="shared" si="1648"/>
        <v>2.2651089999999998</v>
      </c>
      <c r="AK641" s="96"/>
      <c r="AL641" s="96">
        <f t="shared" si="1649"/>
        <v>0</v>
      </c>
      <c r="AM641" s="96"/>
      <c r="AN641" s="96">
        <f t="shared" si="1650"/>
        <v>0</v>
      </c>
      <c r="AO641" s="96"/>
      <c r="AP641" s="96">
        <f t="shared" si="1651"/>
        <v>0</v>
      </c>
      <c r="AQ641" s="96">
        <f t="shared" si="1652"/>
        <v>0</v>
      </c>
      <c r="AR641" s="96">
        <f t="shared" si="1653"/>
        <v>0</v>
      </c>
      <c r="AS641" s="96"/>
      <c r="AT641" s="96">
        <f t="shared" si="1654"/>
        <v>0</v>
      </c>
      <c r="AU641" s="96"/>
      <c r="AV641" s="96">
        <f t="shared" si="1655"/>
        <v>0</v>
      </c>
      <c r="AW641" s="96"/>
      <c r="AX641" s="96">
        <f t="shared" si="1656"/>
        <v>0</v>
      </c>
      <c r="AY641" s="96">
        <f t="shared" si="1657"/>
        <v>0</v>
      </c>
      <c r="AZ641" s="96">
        <f t="shared" si="1658"/>
        <v>0</v>
      </c>
      <c r="BA641" s="96">
        <f t="shared" si="1659"/>
        <v>0</v>
      </c>
      <c r="BB641" s="96">
        <f t="shared" si="1660"/>
        <v>0</v>
      </c>
    </row>
    <row r="642" spans="1:54">
      <c r="A642" s="492">
        <v>392</v>
      </c>
      <c r="B642" s="13"/>
      <c r="C642" s="432"/>
      <c r="D642" s="13"/>
      <c r="E642" s="21" t="s">
        <v>698</v>
      </c>
      <c r="F642" s="45"/>
      <c r="G642" s="45" t="s">
        <v>1059</v>
      </c>
      <c r="H642" s="265" t="s">
        <v>358</v>
      </c>
      <c r="I642" s="54"/>
      <c r="J642" s="162">
        <v>2645</v>
      </c>
      <c r="K642" s="54"/>
      <c r="L642" s="162">
        <v>2645</v>
      </c>
      <c r="M642" s="54"/>
      <c r="N642" s="162"/>
      <c r="O642" s="54"/>
      <c r="P642" s="162"/>
      <c r="Q642" s="96">
        <f t="shared" si="1635"/>
        <v>0</v>
      </c>
      <c r="R642" s="337">
        <f t="shared" si="1636"/>
        <v>0</v>
      </c>
      <c r="S642" s="96"/>
      <c r="T642" s="96">
        <f t="shared" si="1637"/>
        <v>0</v>
      </c>
      <c r="U642" s="96"/>
      <c r="V642" s="96">
        <f t="shared" si="1638"/>
        <v>0</v>
      </c>
      <c r="W642" s="96"/>
      <c r="X642" s="96">
        <f t="shared" si="1639"/>
        <v>0</v>
      </c>
      <c r="Y642" s="96">
        <f t="shared" si="1640"/>
        <v>0</v>
      </c>
      <c r="Z642" s="96">
        <f t="shared" si="1641"/>
        <v>0</v>
      </c>
      <c r="AA642" s="96"/>
      <c r="AB642" s="96">
        <f t="shared" si="1642"/>
        <v>0</v>
      </c>
      <c r="AC642" s="96"/>
      <c r="AD642" s="96">
        <f t="shared" si="1643"/>
        <v>0</v>
      </c>
      <c r="AE642" s="96"/>
      <c r="AF642" s="96">
        <f t="shared" si="1644"/>
        <v>0</v>
      </c>
      <c r="AG642" s="96">
        <f t="shared" si="1645"/>
        <v>0</v>
      </c>
      <c r="AH642" s="96">
        <f t="shared" si="1646"/>
        <v>0</v>
      </c>
      <c r="AI642" s="96">
        <f t="shared" si="1647"/>
        <v>0</v>
      </c>
      <c r="AJ642" s="96">
        <f t="shared" si="1648"/>
        <v>0</v>
      </c>
      <c r="AK642" s="96"/>
      <c r="AL642" s="96">
        <f t="shared" si="1649"/>
        <v>0</v>
      </c>
      <c r="AM642" s="96"/>
      <c r="AN642" s="96">
        <f t="shared" si="1650"/>
        <v>0</v>
      </c>
      <c r="AO642" s="96"/>
      <c r="AP642" s="96">
        <f t="shared" si="1651"/>
        <v>0</v>
      </c>
      <c r="AQ642" s="96">
        <f t="shared" si="1652"/>
        <v>0</v>
      </c>
      <c r="AR642" s="96">
        <f t="shared" si="1653"/>
        <v>0</v>
      </c>
      <c r="AS642" s="96"/>
      <c r="AT642" s="96">
        <f t="shared" si="1654"/>
        <v>0</v>
      </c>
      <c r="AU642" s="96"/>
      <c r="AV642" s="96">
        <f t="shared" si="1655"/>
        <v>0</v>
      </c>
      <c r="AW642" s="96"/>
      <c r="AX642" s="96">
        <f t="shared" si="1656"/>
        <v>0</v>
      </c>
      <c r="AY642" s="96">
        <f t="shared" si="1657"/>
        <v>0</v>
      </c>
      <c r="AZ642" s="96">
        <f t="shared" si="1658"/>
        <v>0</v>
      </c>
      <c r="BA642" s="96">
        <f t="shared" si="1659"/>
        <v>0</v>
      </c>
      <c r="BB642" s="96">
        <f t="shared" si="1660"/>
        <v>0</v>
      </c>
    </row>
    <row r="643" spans="1:54">
      <c r="A643" s="492">
        <v>393</v>
      </c>
      <c r="B643" s="13"/>
      <c r="C643" s="432"/>
      <c r="D643" s="13"/>
      <c r="E643" s="21" t="s">
        <v>816</v>
      </c>
      <c r="F643" s="45"/>
      <c r="G643" s="45" t="s">
        <v>1059</v>
      </c>
      <c r="H643" s="265" t="s">
        <v>358</v>
      </c>
      <c r="I643" s="54"/>
      <c r="J643" s="162">
        <v>6780</v>
      </c>
      <c r="K643" s="54"/>
      <c r="L643" s="162">
        <v>6780</v>
      </c>
      <c r="M643" s="54"/>
      <c r="N643" s="162"/>
      <c r="O643" s="54"/>
      <c r="P643" s="162"/>
      <c r="Q643" s="96">
        <f t="shared" si="1635"/>
        <v>0</v>
      </c>
      <c r="R643" s="337">
        <f t="shared" si="1636"/>
        <v>0</v>
      </c>
      <c r="S643" s="96"/>
      <c r="T643" s="96">
        <f t="shared" si="1637"/>
        <v>0</v>
      </c>
      <c r="U643" s="96"/>
      <c r="V643" s="96">
        <f t="shared" si="1638"/>
        <v>0</v>
      </c>
      <c r="W643" s="96"/>
      <c r="X643" s="96">
        <f t="shared" si="1639"/>
        <v>0</v>
      </c>
      <c r="Y643" s="96">
        <f t="shared" si="1640"/>
        <v>0</v>
      </c>
      <c r="Z643" s="96">
        <f t="shared" si="1641"/>
        <v>0</v>
      </c>
      <c r="AA643" s="96"/>
      <c r="AB643" s="96">
        <f t="shared" si="1642"/>
        <v>0</v>
      </c>
      <c r="AC643" s="96"/>
      <c r="AD643" s="96">
        <f t="shared" si="1643"/>
        <v>0</v>
      </c>
      <c r="AE643" s="96"/>
      <c r="AF643" s="96">
        <f t="shared" si="1644"/>
        <v>0</v>
      </c>
      <c r="AG643" s="96">
        <f t="shared" si="1645"/>
        <v>0</v>
      </c>
      <c r="AH643" s="96">
        <f t="shared" si="1646"/>
        <v>0</v>
      </c>
      <c r="AI643" s="96">
        <f t="shared" si="1647"/>
        <v>0</v>
      </c>
      <c r="AJ643" s="96">
        <f t="shared" si="1648"/>
        <v>0</v>
      </c>
      <c r="AK643" s="96"/>
      <c r="AL643" s="96">
        <f t="shared" si="1649"/>
        <v>0</v>
      </c>
      <c r="AM643" s="96"/>
      <c r="AN643" s="96">
        <f t="shared" si="1650"/>
        <v>0</v>
      </c>
      <c r="AO643" s="96"/>
      <c r="AP643" s="96">
        <f t="shared" si="1651"/>
        <v>0</v>
      </c>
      <c r="AQ643" s="96">
        <f t="shared" si="1652"/>
        <v>0</v>
      </c>
      <c r="AR643" s="96">
        <f t="shared" si="1653"/>
        <v>0</v>
      </c>
      <c r="AS643" s="96"/>
      <c r="AT643" s="96">
        <f t="shared" si="1654"/>
        <v>0</v>
      </c>
      <c r="AU643" s="96"/>
      <c r="AV643" s="96">
        <f t="shared" si="1655"/>
        <v>0</v>
      </c>
      <c r="AW643" s="96"/>
      <c r="AX643" s="96">
        <f t="shared" si="1656"/>
        <v>0</v>
      </c>
      <c r="AY643" s="96">
        <f t="shared" si="1657"/>
        <v>0</v>
      </c>
      <c r="AZ643" s="96">
        <f t="shared" si="1658"/>
        <v>0</v>
      </c>
      <c r="BA643" s="96">
        <f t="shared" si="1659"/>
        <v>0</v>
      </c>
      <c r="BB643" s="96">
        <f t="shared" si="1660"/>
        <v>0</v>
      </c>
    </row>
    <row r="644" spans="1:54">
      <c r="A644" s="492">
        <v>394</v>
      </c>
      <c r="B644" s="13"/>
      <c r="C644" s="432"/>
      <c r="D644" s="13"/>
      <c r="E644" s="21" t="s">
        <v>817</v>
      </c>
      <c r="F644" s="45"/>
      <c r="G644" s="45" t="s">
        <v>1059</v>
      </c>
      <c r="H644" s="265" t="s">
        <v>357</v>
      </c>
      <c r="I644" s="54"/>
      <c r="J644" s="162">
        <v>24203</v>
      </c>
      <c r="K644" s="54"/>
      <c r="L644" s="162">
        <v>25631</v>
      </c>
      <c r="M644" s="54"/>
      <c r="N644" s="162"/>
      <c r="O644" s="54"/>
      <c r="P644" s="162"/>
      <c r="Q644" s="96">
        <f t="shared" si="1635"/>
        <v>0.32400000000000001</v>
      </c>
      <c r="R644" s="337">
        <f t="shared" si="1636"/>
        <v>7.9188840000000003</v>
      </c>
      <c r="S644" s="96"/>
      <c r="T644" s="96">
        <f t="shared" si="1637"/>
        <v>0</v>
      </c>
      <c r="U644" s="96">
        <v>0.09</v>
      </c>
      <c r="V644" s="96">
        <f t="shared" si="1638"/>
        <v>2.1782699999999999</v>
      </c>
      <c r="W644" s="96">
        <v>0.18</v>
      </c>
      <c r="X644" s="96">
        <f t="shared" si="1639"/>
        <v>4.3565399999999999</v>
      </c>
      <c r="Y644" s="96">
        <f t="shared" si="1640"/>
        <v>0.27</v>
      </c>
      <c r="Z644" s="96">
        <f t="shared" si="1641"/>
        <v>6.5348100000000002</v>
      </c>
      <c r="AA644" s="96">
        <v>5.3999999999999999E-2</v>
      </c>
      <c r="AB644" s="96">
        <f t="shared" si="1642"/>
        <v>1.384074</v>
      </c>
      <c r="AC644" s="96"/>
      <c r="AD644" s="96">
        <f t="shared" si="1643"/>
        <v>0</v>
      </c>
      <c r="AE644" s="96"/>
      <c r="AF644" s="96">
        <f t="shared" si="1644"/>
        <v>0</v>
      </c>
      <c r="AG644" s="96">
        <f t="shared" si="1645"/>
        <v>5.3999999999999999E-2</v>
      </c>
      <c r="AH644" s="96">
        <f t="shared" si="1646"/>
        <v>1.384074</v>
      </c>
      <c r="AI644" s="96">
        <f t="shared" si="1647"/>
        <v>0.32400000000000001</v>
      </c>
      <c r="AJ644" s="96">
        <f t="shared" si="1648"/>
        <v>7.9188840000000003</v>
      </c>
      <c r="AK644" s="96"/>
      <c r="AL644" s="96">
        <f t="shared" si="1649"/>
        <v>0</v>
      </c>
      <c r="AM644" s="96"/>
      <c r="AN644" s="96">
        <f t="shared" si="1650"/>
        <v>0</v>
      </c>
      <c r="AO644" s="96"/>
      <c r="AP644" s="96">
        <f t="shared" si="1651"/>
        <v>0</v>
      </c>
      <c r="AQ644" s="96">
        <f t="shared" si="1652"/>
        <v>0</v>
      </c>
      <c r="AR644" s="96">
        <f t="shared" si="1653"/>
        <v>0</v>
      </c>
      <c r="AS644" s="96"/>
      <c r="AT644" s="96">
        <f t="shared" si="1654"/>
        <v>0</v>
      </c>
      <c r="AU644" s="96"/>
      <c r="AV644" s="96">
        <f t="shared" si="1655"/>
        <v>0</v>
      </c>
      <c r="AW644" s="96"/>
      <c r="AX644" s="96">
        <f t="shared" si="1656"/>
        <v>0</v>
      </c>
      <c r="AY644" s="96">
        <f t="shared" si="1657"/>
        <v>0</v>
      </c>
      <c r="AZ644" s="96">
        <f t="shared" si="1658"/>
        <v>0</v>
      </c>
      <c r="BA644" s="96">
        <f t="shared" si="1659"/>
        <v>0</v>
      </c>
      <c r="BB644" s="96">
        <f t="shared" si="1660"/>
        <v>0</v>
      </c>
    </row>
    <row r="645" spans="1:54">
      <c r="A645" s="492">
        <v>395</v>
      </c>
      <c r="B645" s="13"/>
      <c r="C645" s="432"/>
      <c r="D645" s="13"/>
      <c r="E645" s="21" t="s">
        <v>548</v>
      </c>
      <c r="F645" s="45"/>
      <c r="G645" s="45" t="s">
        <v>1059</v>
      </c>
      <c r="H645" s="265" t="s">
        <v>361</v>
      </c>
      <c r="I645" s="54"/>
      <c r="J645" s="162">
        <v>26354</v>
      </c>
      <c r="K645" s="54"/>
      <c r="L645" s="162">
        <v>27909</v>
      </c>
      <c r="M645" s="54"/>
      <c r="N645" s="162"/>
      <c r="O645" s="54"/>
      <c r="P645" s="162"/>
      <c r="Q645" s="96">
        <f t="shared" si="1635"/>
        <v>0</v>
      </c>
      <c r="R645" s="337">
        <f t="shared" si="1636"/>
        <v>0</v>
      </c>
      <c r="S645" s="96"/>
      <c r="T645" s="96">
        <f t="shared" si="1637"/>
        <v>0</v>
      </c>
      <c r="U645" s="96"/>
      <c r="V645" s="96">
        <f t="shared" si="1638"/>
        <v>0</v>
      </c>
      <c r="W645" s="96"/>
      <c r="X645" s="96">
        <f t="shared" si="1639"/>
        <v>0</v>
      </c>
      <c r="Y645" s="96">
        <f t="shared" si="1640"/>
        <v>0</v>
      </c>
      <c r="Z645" s="96">
        <f t="shared" si="1641"/>
        <v>0</v>
      </c>
      <c r="AA645" s="96"/>
      <c r="AB645" s="96">
        <f t="shared" si="1642"/>
        <v>0</v>
      </c>
      <c r="AC645" s="96"/>
      <c r="AD645" s="96">
        <f t="shared" si="1643"/>
        <v>0</v>
      </c>
      <c r="AE645" s="96"/>
      <c r="AF645" s="96">
        <f t="shared" si="1644"/>
        <v>0</v>
      </c>
      <c r="AG645" s="96">
        <f t="shared" si="1645"/>
        <v>0</v>
      </c>
      <c r="AH645" s="96">
        <f t="shared" si="1646"/>
        <v>0</v>
      </c>
      <c r="AI645" s="96">
        <f t="shared" si="1647"/>
        <v>0</v>
      </c>
      <c r="AJ645" s="96">
        <f t="shared" si="1648"/>
        <v>0</v>
      </c>
      <c r="AK645" s="96"/>
      <c r="AL645" s="96">
        <f t="shared" si="1649"/>
        <v>0</v>
      </c>
      <c r="AM645" s="96"/>
      <c r="AN645" s="96">
        <f t="shared" si="1650"/>
        <v>0</v>
      </c>
      <c r="AO645" s="96"/>
      <c r="AP645" s="96">
        <f t="shared" si="1651"/>
        <v>0</v>
      </c>
      <c r="AQ645" s="96">
        <f t="shared" si="1652"/>
        <v>0</v>
      </c>
      <c r="AR645" s="96">
        <f t="shared" si="1653"/>
        <v>0</v>
      </c>
      <c r="AS645" s="96"/>
      <c r="AT645" s="96">
        <f t="shared" si="1654"/>
        <v>0</v>
      </c>
      <c r="AU645" s="96"/>
      <c r="AV645" s="96">
        <f t="shared" si="1655"/>
        <v>0</v>
      </c>
      <c r="AW645" s="96"/>
      <c r="AX645" s="96">
        <f t="shared" si="1656"/>
        <v>0</v>
      </c>
      <c r="AY645" s="96">
        <f t="shared" si="1657"/>
        <v>0</v>
      </c>
      <c r="AZ645" s="96">
        <f t="shared" si="1658"/>
        <v>0</v>
      </c>
      <c r="BA645" s="96">
        <f t="shared" si="1659"/>
        <v>0</v>
      </c>
      <c r="BB645" s="96">
        <f t="shared" si="1660"/>
        <v>0</v>
      </c>
    </row>
    <row r="646" spans="1:54">
      <c r="A646" s="492">
        <v>396</v>
      </c>
      <c r="B646" s="13"/>
      <c r="C646" s="432"/>
      <c r="D646" s="13"/>
      <c r="E646" s="21" t="s">
        <v>580</v>
      </c>
      <c r="F646" s="45"/>
      <c r="G646" s="45" t="s">
        <v>1059</v>
      </c>
      <c r="H646" s="265" t="s">
        <v>357</v>
      </c>
      <c r="I646" s="54"/>
      <c r="J646" s="162">
        <v>21525</v>
      </c>
      <c r="K646" s="54"/>
      <c r="L646" s="162">
        <v>21525</v>
      </c>
      <c r="M646" s="54"/>
      <c r="N646" s="162"/>
      <c r="O646" s="54"/>
      <c r="P646" s="162"/>
      <c r="Q646" s="96">
        <f t="shared" si="1635"/>
        <v>0</v>
      </c>
      <c r="R646" s="337">
        <f t="shared" si="1636"/>
        <v>0</v>
      </c>
      <c r="S646" s="96"/>
      <c r="T646" s="96">
        <f t="shared" si="1637"/>
        <v>0</v>
      </c>
      <c r="U646" s="96"/>
      <c r="V646" s="96">
        <f t="shared" si="1638"/>
        <v>0</v>
      </c>
      <c r="W646" s="96"/>
      <c r="X646" s="96">
        <f t="shared" si="1639"/>
        <v>0</v>
      </c>
      <c r="Y646" s="96">
        <f t="shared" si="1640"/>
        <v>0</v>
      </c>
      <c r="Z646" s="96">
        <f t="shared" si="1641"/>
        <v>0</v>
      </c>
      <c r="AA646" s="96"/>
      <c r="AB646" s="96">
        <f t="shared" si="1642"/>
        <v>0</v>
      </c>
      <c r="AC646" s="96"/>
      <c r="AD646" s="96">
        <f t="shared" si="1643"/>
        <v>0</v>
      </c>
      <c r="AE646" s="96"/>
      <c r="AF646" s="96">
        <f t="shared" si="1644"/>
        <v>0</v>
      </c>
      <c r="AG646" s="96">
        <f t="shared" si="1645"/>
        <v>0</v>
      </c>
      <c r="AH646" s="96">
        <f t="shared" si="1646"/>
        <v>0</v>
      </c>
      <c r="AI646" s="96">
        <f t="shared" si="1647"/>
        <v>0</v>
      </c>
      <c r="AJ646" s="96">
        <f t="shared" si="1648"/>
        <v>0</v>
      </c>
      <c r="AK646" s="96"/>
      <c r="AL646" s="96">
        <f t="shared" si="1649"/>
        <v>0</v>
      </c>
      <c r="AM646" s="96"/>
      <c r="AN646" s="96">
        <f t="shared" si="1650"/>
        <v>0</v>
      </c>
      <c r="AO646" s="96"/>
      <c r="AP646" s="96">
        <f t="shared" si="1651"/>
        <v>0</v>
      </c>
      <c r="AQ646" s="96">
        <f t="shared" si="1652"/>
        <v>0</v>
      </c>
      <c r="AR646" s="96">
        <f t="shared" si="1653"/>
        <v>0</v>
      </c>
      <c r="AS646" s="96"/>
      <c r="AT646" s="96">
        <f t="shared" si="1654"/>
        <v>0</v>
      </c>
      <c r="AU646" s="96"/>
      <c r="AV646" s="96">
        <f t="shared" si="1655"/>
        <v>0</v>
      </c>
      <c r="AW646" s="96"/>
      <c r="AX646" s="96">
        <f t="shared" si="1656"/>
        <v>0</v>
      </c>
      <c r="AY646" s="96">
        <f t="shared" si="1657"/>
        <v>0</v>
      </c>
      <c r="AZ646" s="96">
        <f t="shared" si="1658"/>
        <v>0</v>
      </c>
      <c r="BA646" s="96">
        <f t="shared" si="1659"/>
        <v>0</v>
      </c>
      <c r="BB646" s="96">
        <f t="shared" si="1660"/>
        <v>0</v>
      </c>
    </row>
    <row r="647" spans="1:54" ht="12" customHeight="1">
      <c r="A647" s="492">
        <v>397</v>
      </c>
      <c r="B647" s="13"/>
      <c r="C647" s="432"/>
      <c r="D647" s="13"/>
      <c r="E647" s="21" t="s">
        <v>581</v>
      </c>
      <c r="F647" s="45"/>
      <c r="G647" s="45" t="s">
        <v>1059</v>
      </c>
      <c r="H647" s="265" t="s">
        <v>357</v>
      </c>
      <c r="I647" s="54"/>
      <c r="J647" s="162">
        <v>23416</v>
      </c>
      <c r="K647" s="54"/>
      <c r="L647" s="162">
        <v>23416</v>
      </c>
      <c r="M647" s="54"/>
      <c r="N647" s="162"/>
      <c r="O647" s="54"/>
      <c r="P647" s="162"/>
      <c r="Q647" s="96">
        <f t="shared" si="1635"/>
        <v>0</v>
      </c>
      <c r="R647" s="337">
        <f t="shared" si="1636"/>
        <v>0</v>
      </c>
      <c r="S647" s="96"/>
      <c r="T647" s="96">
        <f t="shared" si="1637"/>
        <v>0</v>
      </c>
      <c r="U647" s="96"/>
      <c r="V647" s="96">
        <f t="shared" si="1638"/>
        <v>0</v>
      </c>
      <c r="W647" s="96"/>
      <c r="X647" s="96">
        <f t="shared" si="1639"/>
        <v>0</v>
      </c>
      <c r="Y647" s="96">
        <f t="shared" si="1640"/>
        <v>0</v>
      </c>
      <c r="Z647" s="96">
        <f t="shared" si="1641"/>
        <v>0</v>
      </c>
      <c r="AA647" s="96"/>
      <c r="AB647" s="96">
        <f t="shared" si="1642"/>
        <v>0</v>
      </c>
      <c r="AC647" s="96"/>
      <c r="AD647" s="96">
        <f t="shared" si="1643"/>
        <v>0</v>
      </c>
      <c r="AE647" s="96"/>
      <c r="AF647" s="96">
        <f t="shared" si="1644"/>
        <v>0</v>
      </c>
      <c r="AG647" s="96">
        <f t="shared" si="1645"/>
        <v>0</v>
      </c>
      <c r="AH647" s="96">
        <f t="shared" si="1646"/>
        <v>0</v>
      </c>
      <c r="AI647" s="96">
        <f t="shared" si="1647"/>
        <v>0</v>
      </c>
      <c r="AJ647" s="96">
        <f t="shared" si="1648"/>
        <v>0</v>
      </c>
      <c r="AK647" s="96"/>
      <c r="AL647" s="96">
        <f t="shared" si="1649"/>
        <v>0</v>
      </c>
      <c r="AM647" s="96"/>
      <c r="AN647" s="96">
        <f t="shared" si="1650"/>
        <v>0</v>
      </c>
      <c r="AO647" s="96"/>
      <c r="AP647" s="96">
        <f t="shared" si="1651"/>
        <v>0</v>
      </c>
      <c r="AQ647" s="96">
        <f t="shared" si="1652"/>
        <v>0</v>
      </c>
      <c r="AR647" s="96">
        <f t="shared" si="1653"/>
        <v>0</v>
      </c>
      <c r="AS647" s="96"/>
      <c r="AT647" s="96">
        <f t="shared" si="1654"/>
        <v>0</v>
      </c>
      <c r="AU647" s="96"/>
      <c r="AV647" s="96">
        <f t="shared" si="1655"/>
        <v>0</v>
      </c>
      <c r="AW647" s="96"/>
      <c r="AX647" s="96">
        <f t="shared" si="1656"/>
        <v>0</v>
      </c>
      <c r="AY647" s="96">
        <f t="shared" si="1657"/>
        <v>0</v>
      </c>
      <c r="AZ647" s="96">
        <f t="shared" si="1658"/>
        <v>0</v>
      </c>
      <c r="BA647" s="96">
        <f t="shared" si="1659"/>
        <v>0</v>
      </c>
      <c r="BB647" s="96">
        <f t="shared" si="1660"/>
        <v>0</v>
      </c>
    </row>
    <row r="648" spans="1:54">
      <c r="A648" s="492">
        <v>398</v>
      </c>
      <c r="B648" s="13"/>
      <c r="C648" s="432"/>
      <c r="D648" s="13"/>
      <c r="E648" s="21" t="s">
        <v>847</v>
      </c>
      <c r="F648" s="45"/>
      <c r="G648" s="45" t="s">
        <v>1059</v>
      </c>
      <c r="H648" s="265" t="s">
        <v>357</v>
      </c>
      <c r="I648" s="54"/>
      <c r="J648" s="162">
        <v>25624</v>
      </c>
      <c r="K648" s="54"/>
      <c r="L648" s="162">
        <v>27136</v>
      </c>
      <c r="M648" s="54"/>
      <c r="N648" s="162"/>
      <c r="O648" s="54"/>
      <c r="P648" s="162"/>
      <c r="Q648" s="96">
        <f t="shared" si="1635"/>
        <v>2.6970000000000001</v>
      </c>
      <c r="R648" s="337">
        <f t="shared" si="1636"/>
        <v>71.394071999999994</v>
      </c>
      <c r="S648" s="96">
        <v>0.60899999999999999</v>
      </c>
      <c r="T648" s="96">
        <f t="shared" si="1637"/>
        <v>15.605015999999999</v>
      </c>
      <c r="U648" s="96"/>
      <c r="V648" s="96">
        <f t="shared" si="1638"/>
        <v>0</v>
      </c>
      <c r="W648" s="96">
        <v>0.57599999999999996</v>
      </c>
      <c r="X648" s="96">
        <f t="shared" si="1639"/>
        <v>14.759423999999999</v>
      </c>
      <c r="Y648" s="96">
        <f t="shared" si="1640"/>
        <v>1.1850000000000001</v>
      </c>
      <c r="Z648" s="96">
        <f t="shared" si="1641"/>
        <v>30.364439999999998</v>
      </c>
      <c r="AA648" s="96">
        <v>1.512</v>
      </c>
      <c r="AB648" s="96">
        <f t="shared" si="1642"/>
        <v>41.029631999999999</v>
      </c>
      <c r="AC648" s="96"/>
      <c r="AD648" s="96">
        <f t="shared" si="1643"/>
        <v>0</v>
      </c>
      <c r="AE648" s="96"/>
      <c r="AF648" s="96">
        <f t="shared" si="1644"/>
        <v>0</v>
      </c>
      <c r="AG648" s="96">
        <f t="shared" si="1645"/>
        <v>1.512</v>
      </c>
      <c r="AH648" s="96">
        <f t="shared" si="1646"/>
        <v>41.029631999999999</v>
      </c>
      <c r="AI648" s="96">
        <f t="shared" si="1647"/>
        <v>2.6970000000000001</v>
      </c>
      <c r="AJ648" s="96">
        <f t="shared" si="1648"/>
        <v>71.394071999999994</v>
      </c>
      <c r="AK648" s="96"/>
      <c r="AL648" s="96">
        <f t="shared" si="1649"/>
        <v>0</v>
      </c>
      <c r="AM648" s="96"/>
      <c r="AN648" s="96">
        <f t="shared" si="1650"/>
        <v>0</v>
      </c>
      <c r="AO648" s="96"/>
      <c r="AP648" s="96">
        <f t="shared" si="1651"/>
        <v>0</v>
      </c>
      <c r="AQ648" s="96">
        <f t="shared" si="1652"/>
        <v>0</v>
      </c>
      <c r="AR648" s="96">
        <f t="shared" si="1653"/>
        <v>0</v>
      </c>
      <c r="AS648" s="96"/>
      <c r="AT648" s="96">
        <f t="shared" si="1654"/>
        <v>0</v>
      </c>
      <c r="AU648" s="96"/>
      <c r="AV648" s="96">
        <f t="shared" si="1655"/>
        <v>0</v>
      </c>
      <c r="AW648" s="96"/>
      <c r="AX648" s="96">
        <f t="shared" si="1656"/>
        <v>0</v>
      </c>
      <c r="AY648" s="96">
        <f t="shared" si="1657"/>
        <v>0</v>
      </c>
      <c r="AZ648" s="96">
        <f t="shared" si="1658"/>
        <v>0</v>
      </c>
      <c r="BA648" s="96">
        <f t="shared" si="1659"/>
        <v>0</v>
      </c>
      <c r="BB648" s="96">
        <f t="shared" si="1660"/>
        <v>0</v>
      </c>
    </row>
    <row r="649" spans="1:54">
      <c r="A649" s="492">
        <v>399</v>
      </c>
      <c r="B649" s="13"/>
      <c r="C649" s="432"/>
      <c r="D649" s="13"/>
      <c r="E649" s="21" t="s">
        <v>896</v>
      </c>
      <c r="F649" s="45"/>
      <c r="G649" s="45" t="s">
        <v>1059</v>
      </c>
      <c r="H649" s="265" t="s">
        <v>357</v>
      </c>
      <c r="I649" s="54"/>
      <c r="J649" s="162">
        <v>24512</v>
      </c>
      <c r="K649" s="54"/>
      <c r="L649" s="162">
        <v>25958</v>
      </c>
      <c r="M649" s="54"/>
      <c r="N649" s="162"/>
      <c r="O649" s="54"/>
      <c r="P649" s="162"/>
      <c r="Q649" s="96">
        <f t="shared" si="1635"/>
        <v>1.6680000000000001</v>
      </c>
      <c r="R649" s="337">
        <f t="shared" si="1636"/>
        <v>41.464416</v>
      </c>
      <c r="S649" s="96"/>
      <c r="T649" s="96">
        <f t="shared" si="1637"/>
        <v>0</v>
      </c>
      <c r="U649" s="96">
        <v>0.38800000000000001</v>
      </c>
      <c r="V649" s="96">
        <f t="shared" si="1638"/>
        <v>9.5106560000000009</v>
      </c>
      <c r="W649" s="96">
        <v>0.88</v>
      </c>
      <c r="X649" s="96">
        <f t="shared" si="1639"/>
        <v>21.57056</v>
      </c>
      <c r="Y649" s="96">
        <f t="shared" si="1640"/>
        <v>1.268</v>
      </c>
      <c r="Z649" s="96">
        <f t="shared" si="1641"/>
        <v>31.081216000000001</v>
      </c>
      <c r="AA649" s="96">
        <v>0.4</v>
      </c>
      <c r="AB649" s="96">
        <f t="shared" si="1642"/>
        <v>10.3832</v>
      </c>
      <c r="AC649" s="96"/>
      <c r="AD649" s="96">
        <f t="shared" si="1643"/>
        <v>0</v>
      </c>
      <c r="AE649" s="96"/>
      <c r="AF649" s="96">
        <f t="shared" si="1644"/>
        <v>0</v>
      </c>
      <c r="AG649" s="96">
        <f t="shared" si="1645"/>
        <v>0.4</v>
      </c>
      <c r="AH649" s="96">
        <f t="shared" si="1646"/>
        <v>10.3832</v>
      </c>
      <c r="AI649" s="96">
        <f t="shared" si="1647"/>
        <v>1.6680000000000001</v>
      </c>
      <c r="AJ649" s="96">
        <f t="shared" si="1648"/>
        <v>41.464416</v>
      </c>
      <c r="AK649" s="96"/>
      <c r="AL649" s="96">
        <f t="shared" si="1649"/>
        <v>0</v>
      </c>
      <c r="AM649" s="96"/>
      <c r="AN649" s="96">
        <f t="shared" si="1650"/>
        <v>0</v>
      </c>
      <c r="AO649" s="96"/>
      <c r="AP649" s="96">
        <f t="shared" si="1651"/>
        <v>0</v>
      </c>
      <c r="AQ649" s="96">
        <f t="shared" si="1652"/>
        <v>0</v>
      </c>
      <c r="AR649" s="96">
        <f t="shared" si="1653"/>
        <v>0</v>
      </c>
      <c r="AS649" s="96"/>
      <c r="AT649" s="96">
        <f t="shared" si="1654"/>
        <v>0</v>
      </c>
      <c r="AU649" s="96"/>
      <c r="AV649" s="96">
        <f t="shared" si="1655"/>
        <v>0</v>
      </c>
      <c r="AW649" s="96"/>
      <c r="AX649" s="96">
        <f t="shared" si="1656"/>
        <v>0</v>
      </c>
      <c r="AY649" s="96">
        <f t="shared" si="1657"/>
        <v>0</v>
      </c>
      <c r="AZ649" s="96">
        <f t="shared" si="1658"/>
        <v>0</v>
      </c>
      <c r="BA649" s="96">
        <f t="shared" si="1659"/>
        <v>0</v>
      </c>
      <c r="BB649" s="96">
        <f t="shared" si="1660"/>
        <v>0</v>
      </c>
    </row>
    <row r="650" spans="1:54">
      <c r="A650" s="492">
        <v>401</v>
      </c>
      <c r="B650" s="13"/>
      <c r="C650" s="432"/>
      <c r="D650" s="13"/>
      <c r="E650" s="62" t="s">
        <v>965</v>
      </c>
      <c r="F650" s="419"/>
      <c r="G650" s="45" t="s">
        <v>1059</v>
      </c>
      <c r="H650" s="265" t="s">
        <v>357</v>
      </c>
      <c r="I650" s="66"/>
      <c r="J650" s="165">
        <v>24092</v>
      </c>
      <c r="K650" s="66"/>
      <c r="L650" s="165">
        <v>24092</v>
      </c>
      <c r="M650" s="66"/>
      <c r="N650" s="165"/>
      <c r="O650" s="66"/>
      <c r="P650" s="165"/>
      <c r="Q650" s="128">
        <f t="shared" si="1635"/>
        <v>0</v>
      </c>
      <c r="R650" s="345">
        <f t="shared" si="1636"/>
        <v>0</v>
      </c>
      <c r="S650" s="128"/>
      <c r="T650" s="128">
        <f t="shared" si="1637"/>
        <v>0</v>
      </c>
      <c r="U650" s="128"/>
      <c r="V650" s="128">
        <f t="shared" si="1638"/>
        <v>0</v>
      </c>
      <c r="W650" s="128"/>
      <c r="X650" s="128">
        <f t="shared" si="1639"/>
        <v>0</v>
      </c>
      <c r="Y650" s="128">
        <f t="shared" si="1640"/>
        <v>0</v>
      </c>
      <c r="Z650" s="128">
        <f t="shared" si="1641"/>
        <v>0</v>
      </c>
      <c r="AA650" s="128"/>
      <c r="AB650" s="128">
        <f t="shared" si="1642"/>
        <v>0</v>
      </c>
      <c r="AC650" s="128"/>
      <c r="AD650" s="128">
        <f t="shared" si="1643"/>
        <v>0</v>
      </c>
      <c r="AE650" s="128"/>
      <c r="AF650" s="128">
        <f t="shared" si="1644"/>
        <v>0</v>
      </c>
      <c r="AG650" s="128">
        <f t="shared" si="1645"/>
        <v>0</v>
      </c>
      <c r="AH650" s="128">
        <f t="shared" si="1646"/>
        <v>0</v>
      </c>
      <c r="AI650" s="128">
        <f t="shared" si="1647"/>
        <v>0</v>
      </c>
      <c r="AJ650" s="128">
        <f t="shared" si="1648"/>
        <v>0</v>
      </c>
      <c r="AK650" s="128"/>
      <c r="AL650" s="128">
        <f t="shared" si="1649"/>
        <v>0</v>
      </c>
      <c r="AM650" s="128"/>
      <c r="AN650" s="128">
        <f t="shared" si="1650"/>
        <v>0</v>
      </c>
      <c r="AO650" s="128"/>
      <c r="AP650" s="128">
        <f t="shared" si="1651"/>
        <v>0</v>
      </c>
      <c r="AQ650" s="128">
        <f t="shared" si="1652"/>
        <v>0</v>
      </c>
      <c r="AR650" s="128">
        <f t="shared" si="1653"/>
        <v>0</v>
      </c>
      <c r="AS650" s="128"/>
      <c r="AT650" s="128">
        <f t="shared" si="1654"/>
        <v>0</v>
      </c>
      <c r="AU650" s="128"/>
      <c r="AV650" s="128">
        <f t="shared" si="1655"/>
        <v>0</v>
      </c>
      <c r="AW650" s="128"/>
      <c r="AX650" s="128">
        <f t="shared" si="1656"/>
        <v>0</v>
      </c>
      <c r="AY650" s="128">
        <f t="shared" si="1657"/>
        <v>0</v>
      </c>
      <c r="AZ650" s="128">
        <f t="shared" si="1658"/>
        <v>0</v>
      </c>
      <c r="BA650" s="128">
        <f t="shared" si="1659"/>
        <v>0</v>
      </c>
      <c r="BB650" s="128">
        <f t="shared" si="1660"/>
        <v>0</v>
      </c>
    </row>
    <row r="651" spans="1:54">
      <c r="A651" s="492">
        <v>403</v>
      </c>
      <c r="B651" s="13"/>
      <c r="C651" s="13"/>
      <c r="D651" s="13"/>
      <c r="E651" s="21" t="s">
        <v>1127</v>
      </c>
      <c r="F651" s="45"/>
      <c r="G651" s="45" t="s">
        <v>1059</v>
      </c>
      <c r="H651" s="265" t="s">
        <v>357</v>
      </c>
      <c r="I651" s="54"/>
      <c r="J651" s="162">
        <v>27504</v>
      </c>
      <c r="K651" s="54"/>
      <c r="L651" s="162">
        <v>29127</v>
      </c>
      <c r="M651" s="54"/>
      <c r="N651" s="162"/>
      <c r="O651" s="54"/>
      <c r="P651" s="162"/>
      <c r="Q651" s="96">
        <f t="shared" si="1635"/>
        <v>1.3109999999999999</v>
      </c>
      <c r="R651" s="337">
        <f t="shared" si="1636"/>
        <v>36.301194000000002</v>
      </c>
      <c r="S651" s="96">
        <v>0.19900000000000001</v>
      </c>
      <c r="T651" s="96">
        <f t="shared" si="1637"/>
        <v>5.4732960000000004</v>
      </c>
      <c r="U651" s="96">
        <v>0.26200000000000001</v>
      </c>
      <c r="V651" s="96">
        <f t="shared" si="1638"/>
        <v>7.2060480000000009</v>
      </c>
      <c r="W651" s="96">
        <v>0.7</v>
      </c>
      <c r="X651" s="96">
        <f t="shared" si="1639"/>
        <v>19.252800000000001</v>
      </c>
      <c r="Y651" s="96">
        <f t="shared" si="1640"/>
        <v>1.161</v>
      </c>
      <c r="Z651" s="96">
        <f t="shared" si="1641"/>
        <v>31.932144000000001</v>
      </c>
      <c r="AA651" s="96">
        <v>0.15</v>
      </c>
      <c r="AB651" s="96">
        <f t="shared" si="1642"/>
        <v>4.3690500000000005</v>
      </c>
      <c r="AC651" s="96"/>
      <c r="AD651" s="96">
        <f t="shared" si="1643"/>
        <v>0</v>
      </c>
      <c r="AE651" s="96"/>
      <c r="AF651" s="96">
        <f t="shared" si="1644"/>
        <v>0</v>
      </c>
      <c r="AG651" s="96">
        <f t="shared" si="1645"/>
        <v>0.15</v>
      </c>
      <c r="AH651" s="96">
        <f t="shared" si="1646"/>
        <v>4.3690500000000005</v>
      </c>
      <c r="AI651" s="96">
        <f t="shared" si="1647"/>
        <v>1.3109999999999999</v>
      </c>
      <c r="AJ651" s="96">
        <f t="shared" si="1648"/>
        <v>36.301194000000002</v>
      </c>
      <c r="AK651" s="96"/>
      <c r="AL651" s="96">
        <f t="shared" si="1649"/>
        <v>0</v>
      </c>
      <c r="AM651" s="96"/>
      <c r="AN651" s="96">
        <f t="shared" si="1650"/>
        <v>0</v>
      </c>
      <c r="AO651" s="96"/>
      <c r="AP651" s="96">
        <f t="shared" si="1651"/>
        <v>0</v>
      </c>
      <c r="AQ651" s="96">
        <f t="shared" si="1652"/>
        <v>0</v>
      </c>
      <c r="AR651" s="96">
        <f t="shared" si="1653"/>
        <v>0</v>
      </c>
      <c r="AS651" s="96"/>
      <c r="AT651" s="96">
        <f t="shared" si="1654"/>
        <v>0</v>
      </c>
      <c r="AU651" s="96"/>
      <c r="AV651" s="96">
        <f t="shared" si="1655"/>
        <v>0</v>
      </c>
      <c r="AW651" s="96"/>
      <c r="AX651" s="96">
        <f t="shared" si="1656"/>
        <v>0</v>
      </c>
      <c r="AY651" s="96">
        <f t="shared" si="1657"/>
        <v>0</v>
      </c>
      <c r="AZ651" s="96">
        <f t="shared" si="1658"/>
        <v>0</v>
      </c>
      <c r="BA651" s="96">
        <f t="shared" si="1659"/>
        <v>0</v>
      </c>
      <c r="BB651" s="96">
        <f t="shared" si="1660"/>
        <v>0</v>
      </c>
    </row>
    <row r="652" spans="1:54">
      <c r="A652" s="492">
        <v>408</v>
      </c>
      <c r="B652" s="13"/>
      <c r="C652" s="432"/>
      <c r="D652" s="13"/>
      <c r="E652" s="21" t="s">
        <v>2143</v>
      </c>
      <c r="F652" s="45"/>
      <c r="G652" s="45" t="s">
        <v>1059</v>
      </c>
      <c r="H652" s="265" t="s">
        <v>357</v>
      </c>
      <c r="I652" s="54"/>
      <c r="J652" s="162">
        <v>31075</v>
      </c>
      <c r="K652" s="54"/>
      <c r="L652" s="162">
        <v>31075</v>
      </c>
      <c r="M652" s="54"/>
      <c r="N652" s="162"/>
      <c r="O652" s="54"/>
      <c r="P652" s="162"/>
      <c r="Q652" s="96">
        <f t="shared" si="1635"/>
        <v>0.19800000000000001</v>
      </c>
      <c r="R652" s="337">
        <f t="shared" si="1636"/>
        <v>6.1528499999999999</v>
      </c>
      <c r="S652" s="96">
        <v>6.4000000000000001E-2</v>
      </c>
      <c r="T652" s="96">
        <f t="shared" si="1637"/>
        <v>1.9887999999999999</v>
      </c>
      <c r="U652" s="96">
        <v>5.2999999999999999E-2</v>
      </c>
      <c r="V652" s="96">
        <f t="shared" si="1638"/>
        <v>1.6469749999999999</v>
      </c>
      <c r="W652" s="96">
        <v>0.04</v>
      </c>
      <c r="X652" s="96">
        <f t="shared" si="1639"/>
        <v>1.2430000000000001</v>
      </c>
      <c r="Y652" s="96">
        <f t="shared" si="1640"/>
        <v>0.157</v>
      </c>
      <c r="Z652" s="96">
        <f t="shared" si="1641"/>
        <v>4.8787750000000001</v>
      </c>
      <c r="AA652" s="96">
        <v>4.1000000000000002E-2</v>
      </c>
      <c r="AB652" s="96">
        <f t="shared" si="1642"/>
        <v>1.2740750000000001</v>
      </c>
      <c r="AC652" s="96"/>
      <c r="AD652" s="96">
        <f t="shared" si="1643"/>
        <v>0</v>
      </c>
      <c r="AE652" s="96"/>
      <c r="AF652" s="96">
        <f t="shared" si="1644"/>
        <v>0</v>
      </c>
      <c r="AG652" s="96">
        <f t="shared" si="1645"/>
        <v>4.1000000000000002E-2</v>
      </c>
      <c r="AH652" s="96">
        <f t="shared" si="1646"/>
        <v>1.2740750000000001</v>
      </c>
      <c r="AI652" s="96">
        <f t="shared" si="1647"/>
        <v>0.19800000000000001</v>
      </c>
      <c r="AJ652" s="96">
        <f t="shared" si="1648"/>
        <v>6.1528499999999999</v>
      </c>
      <c r="AK652" s="96"/>
      <c r="AL652" s="96">
        <f t="shared" si="1649"/>
        <v>0</v>
      </c>
      <c r="AM652" s="96"/>
      <c r="AN652" s="96">
        <f t="shared" si="1650"/>
        <v>0</v>
      </c>
      <c r="AO652" s="96"/>
      <c r="AP652" s="96">
        <f t="shared" si="1651"/>
        <v>0</v>
      </c>
      <c r="AQ652" s="96">
        <f t="shared" si="1652"/>
        <v>0</v>
      </c>
      <c r="AR652" s="96">
        <f t="shared" si="1653"/>
        <v>0</v>
      </c>
      <c r="AS652" s="96"/>
      <c r="AT652" s="96">
        <f t="shared" si="1654"/>
        <v>0</v>
      </c>
      <c r="AU652" s="96"/>
      <c r="AV652" s="96">
        <f t="shared" si="1655"/>
        <v>0</v>
      </c>
      <c r="AW652" s="96"/>
      <c r="AX652" s="96">
        <f t="shared" si="1656"/>
        <v>0</v>
      </c>
      <c r="AY652" s="96">
        <f t="shared" si="1657"/>
        <v>0</v>
      </c>
      <c r="AZ652" s="96">
        <f t="shared" si="1658"/>
        <v>0</v>
      </c>
      <c r="BA652" s="96">
        <f t="shared" si="1659"/>
        <v>0</v>
      </c>
      <c r="BB652" s="96">
        <f t="shared" si="1660"/>
        <v>0</v>
      </c>
    </row>
    <row r="653" spans="1:54">
      <c r="A653" s="492">
        <v>409</v>
      </c>
      <c r="B653" s="13"/>
      <c r="C653" s="432"/>
      <c r="D653" s="13"/>
      <c r="E653" s="62" t="s">
        <v>1206</v>
      </c>
      <c r="F653" s="419"/>
      <c r="G653" s="419" t="s">
        <v>1059</v>
      </c>
      <c r="H653" s="265" t="s">
        <v>357</v>
      </c>
      <c r="I653" s="66"/>
      <c r="J653" s="165">
        <v>31019</v>
      </c>
      <c r="K653" s="66"/>
      <c r="L653" s="165">
        <v>31019</v>
      </c>
      <c r="M653" s="66"/>
      <c r="N653" s="165"/>
      <c r="O653" s="66"/>
      <c r="P653" s="165"/>
      <c r="Q653" s="128">
        <f t="shared" si="1635"/>
        <v>5.8000000000000003E-2</v>
      </c>
      <c r="R653" s="345">
        <f t="shared" si="1636"/>
        <v>1.799102</v>
      </c>
      <c r="S653" s="128">
        <v>4.8000000000000001E-2</v>
      </c>
      <c r="T653" s="128">
        <f t="shared" si="1637"/>
        <v>1.488912</v>
      </c>
      <c r="U653" s="128"/>
      <c r="V653" s="128">
        <f t="shared" si="1638"/>
        <v>0</v>
      </c>
      <c r="W653" s="128"/>
      <c r="X653" s="128">
        <f t="shared" si="1639"/>
        <v>0</v>
      </c>
      <c r="Y653" s="128">
        <f t="shared" si="1640"/>
        <v>4.8000000000000001E-2</v>
      </c>
      <c r="Z653" s="128">
        <f t="shared" si="1641"/>
        <v>1.488912</v>
      </c>
      <c r="AA653" s="128">
        <v>0.01</v>
      </c>
      <c r="AB653" s="128">
        <f t="shared" si="1642"/>
        <v>0.31019000000000002</v>
      </c>
      <c r="AC653" s="128"/>
      <c r="AD653" s="128">
        <f t="shared" si="1643"/>
        <v>0</v>
      </c>
      <c r="AE653" s="128"/>
      <c r="AF653" s="128">
        <f t="shared" si="1644"/>
        <v>0</v>
      </c>
      <c r="AG653" s="128">
        <f t="shared" si="1645"/>
        <v>0.01</v>
      </c>
      <c r="AH653" s="128">
        <f t="shared" si="1646"/>
        <v>0.31019000000000002</v>
      </c>
      <c r="AI653" s="128">
        <f t="shared" si="1647"/>
        <v>5.8000000000000003E-2</v>
      </c>
      <c r="AJ653" s="128">
        <f t="shared" si="1648"/>
        <v>1.799102</v>
      </c>
      <c r="AK653" s="128"/>
      <c r="AL653" s="128">
        <f t="shared" si="1649"/>
        <v>0</v>
      </c>
      <c r="AM653" s="128"/>
      <c r="AN653" s="128">
        <f t="shared" si="1650"/>
        <v>0</v>
      </c>
      <c r="AO653" s="128"/>
      <c r="AP653" s="128">
        <f t="shared" si="1651"/>
        <v>0</v>
      </c>
      <c r="AQ653" s="128">
        <f t="shared" si="1652"/>
        <v>0</v>
      </c>
      <c r="AR653" s="128">
        <f t="shared" si="1653"/>
        <v>0</v>
      </c>
      <c r="AS653" s="128"/>
      <c r="AT653" s="128">
        <f t="shared" si="1654"/>
        <v>0</v>
      </c>
      <c r="AU653" s="128"/>
      <c r="AV653" s="128">
        <f t="shared" si="1655"/>
        <v>0</v>
      </c>
      <c r="AW653" s="128"/>
      <c r="AX653" s="128">
        <f t="shared" si="1656"/>
        <v>0</v>
      </c>
      <c r="AY653" s="128">
        <f t="shared" si="1657"/>
        <v>0</v>
      </c>
      <c r="AZ653" s="128">
        <f t="shared" si="1658"/>
        <v>0</v>
      </c>
      <c r="BA653" s="128">
        <f t="shared" si="1659"/>
        <v>0</v>
      </c>
      <c r="BB653" s="128">
        <f t="shared" si="1660"/>
        <v>0</v>
      </c>
    </row>
    <row r="654" spans="1:54">
      <c r="B654" s="13"/>
      <c r="C654" s="13"/>
      <c r="D654" s="13"/>
      <c r="E654" s="21" t="s">
        <v>1207</v>
      </c>
      <c r="F654" s="45"/>
      <c r="G654" s="45" t="s">
        <v>1056</v>
      </c>
      <c r="H654" s="265" t="s">
        <v>357</v>
      </c>
      <c r="I654" s="54"/>
      <c r="J654" s="162">
        <v>29344</v>
      </c>
      <c r="K654" s="54"/>
      <c r="L654" s="162">
        <v>29344</v>
      </c>
      <c r="M654" s="54"/>
      <c r="N654" s="162"/>
      <c r="O654" s="54"/>
      <c r="P654" s="162"/>
      <c r="Q654" s="96">
        <f t="shared" si="1635"/>
        <v>0.1</v>
      </c>
      <c r="R654" s="337">
        <f t="shared" si="1636"/>
        <v>2.9344000000000001</v>
      </c>
      <c r="S654" s="96">
        <v>0.04</v>
      </c>
      <c r="T654" s="96">
        <f t="shared" si="1637"/>
        <v>1.1737599999999999</v>
      </c>
      <c r="U654" s="96"/>
      <c r="V654" s="96">
        <f t="shared" si="1638"/>
        <v>0</v>
      </c>
      <c r="W654" s="96">
        <v>0.03</v>
      </c>
      <c r="X654" s="96">
        <f t="shared" si="1639"/>
        <v>0.88031999999999999</v>
      </c>
      <c r="Y654" s="96">
        <f t="shared" si="1640"/>
        <v>7.0000000000000007E-2</v>
      </c>
      <c r="Z654" s="96">
        <f t="shared" si="1641"/>
        <v>2.0540799999999999</v>
      </c>
      <c r="AA654" s="96">
        <v>0.03</v>
      </c>
      <c r="AB654" s="96">
        <f t="shared" si="1642"/>
        <v>0.88031999999999999</v>
      </c>
      <c r="AC654" s="96"/>
      <c r="AD654" s="96">
        <f t="shared" si="1643"/>
        <v>0</v>
      </c>
      <c r="AE654" s="96"/>
      <c r="AF654" s="96">
        <f t="shared" si="1644"/>
        <v>0</v>
      </c>
      <c r="AG654" s="96">
        <f t="shared" si="1645"/>
        <v>0.03</v>
      </c>
      <c r="AH654" s="96">
        <f t="shared" si="1646"/>
        <v>0.88031999999999999</v>
      </c>
      <c r="AI654" s="96">
        <f t="shared" si="1647"/>
        <v>0.1</v>
      </c>
      <c r="AJ654" s="96">
        <f t="shared" si="1648"/>
        <v>2.9344000000000001</v>
      </c>
      <c r="AK654" s="96"/>
      <c r="AL654" s="96">
        <f t="shared" si="1649"/>
        <v>0</v>
      </c>
      <c r="AM654" s="96"/>
      <c r="AN654" s="96">
        <f t="shared" si="1650"/>
        <v>0</v>
      </c>
      <c r="AO654" s="96"/>
      <c r="AP654" s="96">
        <f t="shared" si="1651"/>
        <v>0</v>
      </c>
      <c r="AQ654" s="96">
        <f t="shared" si="1652"/>
        <v>0</v>
      </c>
      <c r="AR654" s="96">
        <f t="shared" si="1653"/>
        <v>0</v>
      </c>
      <c r="AS654" s="96"/>
      <c r="AT654" s="96">
        <f t="shared" si="1654"/>
        <v>0</v>
      </c>
      <c r="AU654" s="96"/>
      <c r="AV654" s="96">
        <f t="shared" si="1655"/>
        <v>0</v>
      </c>
      <c r="AW654" s="96"/>
      <c r="AX654" s="96">
        <f t="shared" si="1656"/>
        <v>0</v>
      </c>
      <c r="AY654" s="96">
        <f t="shared" si="1657"/>
        <v>0</v>
      </c>
      <c r="AZ654" s="96">
        <f t="shared" si="1658"/>
        <v>0</v>
      </c>
      <c r="BA654" s="96">
        <f t="shared" si="1659"/>
        <v>0</v>
      </c>
      <c r="BB654" s="96">
        <f t="shared" si="1660"/>
        <v>0</v>
      </c>
    </row>
    <row r="655" spans="1:54">
      <c r="A655" s="492">
        <v>408</v>
      </c>
      <c r="B655" s="13"/>
      <c r="C655" s="432"/>
      <c r="D655" s="13"/>
      <c r="E655" s="21" t="s">
        <v>1238</v>
      </c>
      <c r="F655" s="45"/>
      <c r="G655" s="45" t="s">
        <v>1056</v>
      </c>
      <c r="H655" s="265" t="s">
        <v>357</v>
      </c>
      <c r="I655" s="54"/>
      <c r="J655" s="162">
        <v>29225</v>
      </c>
      <c r="K655" s="54"/>
      <c r="L655" s="162">
        <v>29225</v>
      </c>
      <c r="M655" s="54"/>
      <c r="N655" s="162"/>
      <c r="O655" s="54"/>
      <c r="P655" s="162"/>
      <c r="Q655" s="96">
        <f t="shared" si="1635"/>
        <v>0</v>
      </c>
      <c r="R655" s="337">
        <f t="shared" si="1636"/>
        <v>0</v>
      </c>
      <c r="S655" s="96"/>
      <c r="T655" s="96">
        <f t="shared" si="1637"/>
        <v>0</v>
      </c>
      <c r="U655" s="96"/>
      <c r="V655" s="96">
        <f t="shared" si="1638"/>
        <v>0</v>
      </c>
      <c r="W655" s="96"/>
      <c r="X655" s="96">
        <f t="shared" si="1639"/>
        <v>0</v>
      </c>
      <c r="Y655" s="96">
        <f t="shared" si="1640"/>
        <v>0</v>
      </c>
      <c r="Z655" s="96">
        <f t="shared" si="1641"/>
        <v>0</v>
      </c>
      <c r="AA655" s="96"/>
      <c r="AB655" s="96">
        <f t="shared" si="1642"/>
        <v>0</v>
      </c>
      <c r="AC655" s="96"/>
      <c r="AD655" s="96">
        <f t="shared" si="1643"/>
        <v>0</v>
      </c>
      <c r="AE655" s="96"/>
      <c r="AF655" s="96">
        <f t="shared" si="1644"/>
        <v>0</v>
      </c>
      <c r="AG655" s="96">
        <f t="shared" si="1645"/>
        <v>0</v>
      </c>
      <c r="AH655" s="96">
        <f t="shared" si="1646"/>
        <v>0</v>
      </c>
      <c r="AI655" s="96">
        <f t="shared" si="1647"/>
        <v>0</v>
      </c>
      <c r="AJ655" s="96">
        <f t="shared" si="1648"/>
        <v>0</v>
      </c>
      <c r="AK655" s="96"/>
      <c r="AL655" s="96">
        <f t="shared" si="1649"/>
        <v>0</v>
      </c>
      <c r="AM655" s="96"/>
      <c r="AN655" s="96">
        <f t="shared" si="1650"/>
        <v>0</v>
      </c>
      <c r="AO655" s="96"/>
      <c r="AP655" s="96">
        <f t="shared" si="1651"/>
        <v>0</v>
      </c>
      <c r="AQ655" s="96">
        <f t="shared" si="1652"/>
        <v>0</v>
      </c>
      <c r="AR655" s="96">
        <f t="shared" si="1653"/>
        <v>0</v>
      </c>
      <c r="AS655" s="96"/>
      <c r="AT655" s="96">
        <f t="shared" si="1654"/>
        <v>0</v>
      </c>
      <c r="AU655" s="96"/>
      <c r="AV655" s="96">
        <f t="shared" si="1655"/>
        <v>0</v>
      </c>
      <c r="AW655" s="96"/>
      <c r="AX655" s="96">
        <f t="shared" si="1656"/>
        <v>0</v>
      </c>
      <c r="AY655" s="96">
        <f t="shared" si="1657"/>
        <v>0</v>
      </c>
      <c r="AZ655" s="96">
        <f t="shared" si="1658"/>
        <v>0</v>
      </c>
      <c r="BA655" s="96">
        <f t="shared" si="1659"/>
        <v>0</v>
      </c>
      <c r="BB655" s="96">
        <f t="shared" si="1660"/>
        <v>0</v>
      </c>
    </row>
    <row r="656" spans="1:54">
      <c r="A656" s="492">
        <v>404</v>
      </c>
      <c r="B656" s="13"/>
      <c r="C656" s="432"/>
      <c r="D656" s="13"/>
      <c r="E656" s="89" t="s">
        <v>1128</v>
      </c>
      <c r="F656" s="424"/>
      <c r="G656" s="424" t="s">
        <v>1059</v>
      </c>
      <c r="H656" s="284" t="s">
        <v>358</v>
      </c>
      <c r="I656" s="75"/>
      <c r="J656" s="167">
        <v>12360</v>
      </c>
      <c r="K656" s="75"/>
      <c r="L656" s="167">
        <v>13089</v>
      </c>
      <c r="M656" s="75"/>
      <c r="N656" s="167"/>
      <c r="O656" s="75"/>
      <c r="P656" s="167"/>
      <c r="Q656" s="130">
        <f t="shared" si="1635"/>
        <v>1</v>
      </c>
      <c r="R656" s="347">
        <f t="shared" si="1636"/>
        <v>12.36</v>
      </c>
      <c r="S656" s="130"/>
      <c r="T656" s="130">
        <f t="shared" si="1637"/>
        <v>0</v>
      </c>
      <c r="U656" s="130">
        <v>1</v>
      </c>
      <c r="V656" s="130">
        <f t="shared" si="1638"/>
        <v>12.36</v>
      </c>
      <c r="W656" s="130"/>
      <c r="X656" s="130">
        <f t="shared" si="1639"/>
        <v>0</v>
      </c>
      <c r="Y656" s="130">
        <f t="shared" si="1640"/>
        <v>1</v>
      </c>
      <c r="Z656" s="130">
        <f t="shared" si="1641"/>
        <v>12.36</v>
      </c>
      <c r="AA656" s="130"/>
      <c r="AB656" s="130">
        <f t="shared" si="1642"/>
        <v>0</v>
      </c>
      <c r="AC656" s="130"/>
      <c r="AD656" s="130">
        <f t="shared" si="1643"/>
        <v>0</v>
      </c>
      <c r="AE656" s="130"/>
      <c r="AF656" s="130">
        <f t="shared" si="1644"/>
        <v>0</v>
      </c>
      <c r="AG656" s="130">
        <f t="shared" si="1645"/>
        <v>0</v>
      </c>
      <c r="AH656" s="130">
        <f t="shared" si="1646"/>
        <v>0</v>
      </c>
      <c r="AI656" s="130">
        <f t="shared" si="1647"/>
        <v>1</v>
      </c>
      <c r="AJ656" s="130">
        <f t="shared" si="1648"/>
        <v>12.36</v>
      </c>
      <c r="AK656" s="130"/>
      <c r="AL656" s="130">
        <f t="shared" si="1649"/>
        <v>0</v>
      </c>
      <c r="AM656" s="130"/>
      <c r="AN656" s="130">
        <f t="shared" si="1650"/>
        <v>0</v>
      </c>
      <c r="AO656" s="130"/>
      <c r="AP656" s="130">
        <f t="shared" si="1651"/>
        <v>0</v>
      </c>
      <c r="AQ656" s="130">
        <f t="shared" si="1652"/>
        <v>0</v>
      </c>
      <c r="AR656" s="130">
        <f t="shared" si="1653"/>
        <v>0</v>
      </c>
      <c r="AS656" s="130"/>
      <c r="AT656" s="130">
        <f t="shared" si="1654"/>
        <v>0</v>
      </c>
      <c r="AU656" s="130"/>
      <c r="AV656" s="130">
        <f t="shared" si="1655"/>
        <v>0</v>
      </c>
      <c r="AW656" s="130"/>
      <c r="AX656" s="130">
        <f t="shared" si="1656"/>
        <v>0</v>
      </c>
      <c r="AY656" s="130">
        <f t="shared" si="1657"/>
        <v>0</v>
      </c>
      <c r="AZ656" s="130">
        <f t="shared" si="1658"/>
        <v>0</v>
      </c>
      <c r="BA656" s="130">
        <f t="shared" si="1659"/>
        <v>0</v>
      </c>
      <c r="BB656" s="130">
        <f t="shared" si="1660"/>
        <v>0</v>
      </c>
    </row>
    <row r="657" spans="1:54">
      <c r="A657" s="492">
        <v>405</v>
      </c>
      <c r="B657" s="13"/>
      <c r="C657" s="432"/>
      <c r="D657" s="13"/>
      <c r="E657" s="21" t="s">
        <v>1129</v>
      </c>
      <c r="F657" s="45"/>
      <c r="G657" s="45" t="s">
        <v>1059</v>
      </c>
      <c r="H657" s="265" t="s">
        <v>358</v>
      </c>
      <c r="I657" s="54"/>
      <c r="J657" s="162">
        <v>16535</v>
      </c>
      <c r="K657" s="54"/>
      <c r="L657" s="162">
        <v>18216</v>
      </c>
      <c r="M657" s="54"/>
      <c r="N657" s="162"/>
      <c r="O657" s="54"/>
      <c r="P657" s="162"/>
      <c r="Q657" s="96">
        <f t="shared" si="1635"/>
        <v>0.8</v>
      </c>
      <c r="R657" s="337">
        <f t="shared" si="1636"/>
        <v>13.648249999999999</v>
      </c>
      <c r="S657" s="96"/>
      <c r="T657" s="96">
        <f t="shared" si="1637"/>
        <v>0</v>
      </c>
      <c r="U657" s="96">
        <v>0.15</v>
      </c>
      <c r="V657" s="96">
        <f t="shared" si="1638"/>
        <v>2.4802499999999998</v>
      </c>
      <c r="W657" s="96">
        <v>0.4</v>
      </c>
      <c r="X657" s="96">
        <f t="shared" si="1639"/>
        <v>6.6139999999999999</v>
      </c>
      <c r="Y657" s="96">
        <f t="shared" si="1640"/>
        <v>0.55000000000000004</v>
      </c>
      <c r="Z657" s="96">
        <f t="shared" si="1641"/>
        <v>9.0942499999999988</v>
      </c>
      <c r="AA657" s="96">
        <v>0.25</v>
      </c>
      <c r="AB657" s="96">
        <f t="shared" si="1642"/>
        <v>4.5540000000000003</v>
      </c>
      <c r="AC657" s="96"/>
      <c r="AD657" s="96">
        <f t="shared" si="1643"/>
        <v>0</v>
      </c>
      <c r="AE657" s="96"/>
      <c r="AF657" s="96">
        <f t="shared" si="1644"/>
        <v>0</v>
      </c>
      <c r="AG657" s="96">
        <f t="shared" si="1645"/>
        <v>0.25</v>
      </c>
      <c r="AH657" s="96">
        <f t="shared" si="1646"/>
        <v>4.5540000000000003</v>
      </c>
      <c r="AI657" s="96">
        <f t="shared" si="1647"/>
        <v>0.8</v>
      </c>
      <c r="AJ657" s="96">
        <f t="shared" si="1648"/>
        <v>13.648249999999999</v>
      </c>
      <c r="AK657" s="96"/>
      <c r="AL657" s="96">
        <f t="shared" si="1649"/>
        <v>0</v>
      </c>
      <c r="AM657" s="96"/>
      <c r="AN657" s="96">
        <f t="shared" si="1650"/>
        <v>0</v>
      </c>
      <c r="AO657" s="96"/>
      <c r="AP657" s="96">
        <f t="shared" si="1651"/>
        <v>0</v>
      </c>
      <c r="AQ657" s="96">
        <f t="shared" si="1652"/>
        <v>0</v>
      </c>
      <c r="AR657" s="96">
        <f t="shared" si="1653"/>
        <v>0</v>
      </c>
      <c r="AS657" s="96"/>
      <c r="AT657" s="96">
        <f t="shared" si="1654"/>
        <v>0</v>
      </c>
      <c r="AU657" s="96"/>
      <c r="AV657" s="96">
        <f t="shared" si="1655"/>
        <v>0</v>
      </c>
      <c r="AW657" s="96"/>
      <c r="AX657" s="96">
        <f t="shared" si="1656"/>
        <v>0</v>
      </c>
      <c r="AY657" s="96">
        <f t="shared" si="1657"/>
        <v>0</v>
      </c>
      <c r="AZ657" s="96">
        <f t="shared" si="1658"/>
        <v>0</v>
      </c>
      <c r="BA657" s="96">
        <f t="shared" si="1659"/>
        <v>0</v>
      </c>
      <c r="BB657" s="96">
        <f t="shared" si="1660"/>
        <v>0</v>
      </c>
    </row>
    <row r="658" spans="1:54">
      <c r="A658" s="492">
        <v>406</v>
      </c>
      <c r="B658" s="13"/>
      <c r="C658" s="432"/>
      <c r="D658" s="13"/>
      <c r="E658" s="21" t="s">
        <v>215</v>
      </c>
      <c r="F658" s="45"/>
      <c r="G658" s="45" t="s">
        <v>1059</v>
      </c>
      <c r="H658" s="265" t="s">
        <v>358</v>
      </c>
      <c r="I658" s="54"/>
      <c r="J658" s="162">
        <v>12833</v>
      </c>
      <c r="K658" s="54"/>
      <c r="L658" s="162">
        <v>12833</v>
      </c>
      <c r="M658" s="54"/>
      <c r="N658" s="162"/>
      <c r="O658" s="54"/>
      <c r="P658" s="162"/>
      <c r="Q658" s="96">
        <f t="shared" si="1635"/>
        <v>0</v>
      </c>
      <c r="R658" s="337">
        <f t="shared" si="1636"/>
        <v>0</v>
      </c>
      <c r="S658" s="96"/>
      <c r="T658" s="96">
        <f t="shared" si="1637"/>
        <v>0</v>
      </c>
      <c r="U658" s="96"/>
      <c r="V658" s="96">
        <f t="shared" si="1638"/>
        <v>0</v>
      </c>
      <c r="W658" s="96"/>
      <c r="X658" s="96">
        <f t="shared" si="1639"/>
        <v>0</v>
      </c>
      <c r="Y658" s="96">
        <f t="shared" si="1640"/>
        <v>0</v>
      </c>
      <c r="Z658" s="96">
        <f t="shared" si="1641"/>
        <v>0</v>
      </c>
      <c r="AA658" s="96"/>
      <c r="AB658" s="96">
        <f t="shared" si="1642"/>
        <v>0</v>
      </c>
      <c r="AC658" s="96"/>
      <c r="AD658" s="96">
        <f t="shared" si="1643"/>
        <v>0</v>
      </c>
      <c r="AE658" s="96"/>
      <c r="AF658" s="96">
        <f t="shared" si="1644"/>
        <v>0</v>
      </c>
      <c r="AG658" s="96">
        <f t="shared" si="1645"/>
        <v>0</v>
      </c>
      <c r="AH658" s="96">
        <f t="shared" si="1646"/>
        <v>0</v>
      </c>
      <c r="AI658" s="96">
        <f t="shared" si="1647"/>
        <v>0</v>
      </c>
      <c r="AJ658" s="96">
        <f t="shared" si="1648"/>
        <v>0</v>
      </c>
      <c r="AK658" s="96"/>
      <c r="AL658" s="96">
        <f t="shared" si="1649"/>
        <v>0</v>
      </c>
      <c r="AM658" s="96"/>
      <c r="AN658" s="96">
        <f t="shared" si="1650"/>
        <v>0</v>
      </c>
      <c r="AO658" s="96"/>
      <c r="AP658" s="96">
        <f t="shared" si="1651"/>
        <v>0</v>
      </c>
      <c r="AQ658" s="96">
        <f t="shared" si="1652"/>
        <v>0</v>
      </c>
      <c r="AR658" s="96">
        <f t="shared" si="1653"/>
        <v>0</v>
      </c>
      <c r="AS658" s="96"/>
      <c r="AT658" s="96">
        <f t="shared" si="1654"/>
        <v>0</v>
      </c>
      <c r="AU658" s="96"/>
      <c r="AV658" s="96">
        <f t="shared" si="1655"/>
        <v>0</v>
      </c>
      <c r="AW658" s="96"/>
      <c r="AX658" s="96">
        <f t="shared" si="1656"/>
        <v>0</v>
      </c>
      <c r="AY658" s="96">
        <f t="shared" si="1657"/>
        <v>0</v>
      </c>
      <c r="AZ658" s="96">
        <f t="shared" si="1658"/>
        <v>0</v>
      </c>
      <c r="BA658" s="96">
        <f t="shared" si="1659"/>
        <v>0</v>
      </c>
      <c r="BB658" s="96">
        <f t="shared" si="1660"/>
        <v>0</v>
      </c>
    </row>
    <row r="659" spans="1:54">
      <c r="A659" s="492">
        <v>406</v>
      </c>
      <c r="B659" s="13"/>
      <c r="C659" s="432"/>
      <c r="D659" s="13"/>
      <c r="E659" s="21" t="s">
        <v>1326</v>
      </c>
      <c r="F659" s="45"/>
      <c r="G659" s="45" t="s">
        <v>1059</v>
      </c>
      <c r="H659" s="265" t="s">
        <v>358</v>
      </c>
      <c r="I659" s="54"/>
      <c r="J659" s="162">
        <v>14743</v>
      </c>
      <c r="K659" s="54"/>
      <c r="L659" s="162">
        <v>15613</v>
      </c>
      <c r="M659" s="54"/>
      <c r="N659" s="162"/>
      <c r="O659" s="54"/>
      <c r="P659" s="162"/>
      <c r="Q659" s="96">
        <f t="shared" ref="Q659:Q691" si="1661">SUM(AI659+BA659)</f>
        <v>3.37</v>
      </c>
      <c r="R659" s="337">
        <f t="shared" ref="R659:R691" si="1662">SUM(AJ659+BB659)</f>
        <v>50.375559999999993</v>
      </c>
      <c r="S659" s="96">
        <v>1.284</v>
      </c>
      <c r="T659" s="96">
        <f t="shared" ref="T659:T691" si="1663">J659*S659/1000</f>
        <v>18.930011999999998</v>
      </c>
      <c r="U659" s="96">
        <v>2.4E-2</v>
      </c>
      <c r="V659" s="96">
        <f t="shared" ref="V659:V691" si="1664">J659*U659/1000</f>
        <v>0.35383199999999998</v>
      </c>
      <c r="W659" s="96">
        <v>1.2669999999999999</v>
      </c>
      <c r="X659" s="96">
        <f t="shared" ref="X659:X691" si="1665">J659*W659/1000</f>
        <v>18.679380999999999</v>
      </c>
      <c r="Y659" s="96">
        <f t="shared" ref="Y659:Y691" si="1666">SUM(S659+U659+W659)</f>
        <v>2.5750000000000002</v>
      </c>
      <c r="Z659" s="96">
        <f t="shared" ref="Z659:Z691" si="1667">SUM(T659+V659+X659)</f>
        <v>37.963224999999994</v>
      </c>
      <c r="AA659" s="96">
        <v>0.79500000000000004</v>
      </c>
      <c r="AB659" s="96">
        <f t="shared" ref="AB659:AB691" si="1668">L659*AA659/1000</f>
        <v>12.412335000000001</v>
      </c>
      <c r="AC659" s="96"/>
      <c r="AD659" s="96">
        <f t="shared" ref="AD659:AD691" si="1669">L659*AC659/1000</f>
        <v>0</v>
      </c>
      <c r="AE659" s="96"/>
      <c r="AF659" s="96">
        <f t="shared" ref="AF659:AF691" si="1670">L659*AE659/1000</f>
        <v>0</v>
      </c>
      <c r="AG659" s="96">
        <f t="shared" ref="AG659:AG691" si="1671">SUM(AA659+AC659+AE659)</f>
        <v>0.79500000000000004</v>
      </c>
      <c r="AH659" s="96">
        <f t="shared" ref="AH659:AH691" si="1672">SUM(AB659+AD659+AF659)</f>
        <v>12.412335000000001</v>
      </c>
      <c r="AI659" s="96">
        <f t="shared" ref="AI659:AI691" si="1673">SUM(Y659+AG659)</f>
        <v>3.37</v>
      </c>
      <c r="AJ659" s="96">
        <f t="shared" ref="AJ659:AJ691" si="1674">SUM(Z659,AH659)</f>
        <v>50.375559999999993</v>
      </c>
      <c r="AK659" s="96"/>
      <c r="AL659" s="96">
        <f t="shared" ref="AL659:AL691" si="1675">N659*AK659/1000</f>
        <v>0</v>
      </c>
      <c r="AM659" s="96"/>
      <c r="AN659" s="96">
        <f t="shared" ref="AN659:AN691" si="1676">N659*AM659/1000</f>
        <v>0</v>
      </c>
      <c r="AO659" s="96"/>
      <c r="AP659" s="96">
        <f t="shared" ref="AP659:AP691" si="1677">N659*AO659/1000</f>
        <v>0</v>
      </c>
      <c r="AQ659" s="96">
        <f t="shared" ref="AQ659:AQ691" si="1678">SUM(AK659+AM659+AO659)</f>
        <v>0</v>
      </c>
      <c r="AR659" s="96">
        <f t="shared" ref="AR659:AR691" si="1679">SUM(AL659+AN659+AP659)</f>
        <v>0</v>
      </c>
      <c r="AS659" s="96"/>
      <c r="AT659" s="96">
        <f t="shared" ref="AT659:AT691" si="1680">P659*AS659/1000</f>
        <v>0</v>
      </c>
      <c r="AU659" s="96"/>
      <c r="AV659" s="96">
        <f t="shared" ref="AV659:AV691" si="1681">P659*AU659/1000</f>
        <v>0</v>
      </c>
      <c r="AW659" s="96"/>
      <c r="AX659" s="96">
        <f t="shared" ref="AX659:AX691" si="1682">P659*AW659/1000</f>
        <v>0</v>
      </c>
      <c r="AY659" s="96">
        <f t="shared" ref="AY659:AY691" si="1683">SUM(AS659+AU659+AW659)</f>
        <v>0</v>
      </c>
      <c r="AZ659" s="96">
        <f t="shared" ref="AZ659:AZ691" si="1684">SUM(AT659+AV659+AX659)</f>
        <v>0</v>
      </c>
      <c r="BA659" s="96">
        <f t="shared" ref="BA659:BA691" si="1685">SUM(AQ659+AY659)</f>
        <v>0</v>
      </c>
      <c r="BB659" s="96">
        <f t="shared" ref="BB659:BB691" si="1686">SUM(AR659,AZ659)</f>
        <v>0</v>
      </c>
    </row>
    <row r="660" spans="1:54">
      <c r="A660" s="492">
        <v>407</v>
      </c>
      <c r="B660" s="13"/>
      <c r="C660" s="432"/>
      <c r="D660" s="13"/>
      <c r="E660" s="21" t="s">
        <v>1393</v>
      </c>
      <c r="F660" s="45"/>
      <c r="G660" s="45" t="s">
        <v>1056</v>
      </c>
      <c r="H660" s="265" t="s">
        <v>358</v>
      </c>
      <c r="I660" s="54"/>
      <c r="J660" s="162">
        <v>12871</v>
      </c>
      <c r="K660" s="54"/>
      <c r="L660" s="162">
        <v>12871</v>
      </c>
      <c r="M660" s="54"/>
      <c r="N660" s="162"/>
      <c r="O660" s="54"/>
      <c r="P660" s="162"/>
      <c r="Q660" s="96">
        <f t="shared" si="1661"/>
        <v>0</v>
      </c>
      <c r="R660" s="337">
        <f t="shared" si="1662"/>
        <v>0</v>
      </c>
      <c r="S660" s="96"/>
      <c r="T660" s="96">
        <f t="shared" si="1663"/>
        <v>0</v>
      </c>
      <c r="U660" s="96"/>
      <c r="V660" s="96">
        <f t="shared" si="1664"/>
        <v>0</v>
      </c>
      <c r="W660" s="96"/>
      <c r="X660" s="96">
        <f t="shared" si="1665"/>
        <v>0</v>
      </c>
      <c r="Y660" s="96">
        <f t="shared" si="1666"/>
        <v>0</v>
      </c>
      <c r="Z660" s="96">
        <f t="shared" si="1667"/>
        <v>0</v>
      </c>
      <c r="AA660" s="96"/>
      <c r="AB660" s="96">
        <f t="shared" si="1668"/>
        <v>0</v>
      </c>
      <c r="AC660" s="96"/>
      <c r="AD660" s="96">
        <f t="shared" si="1669"/>
        <v>0</v>
      </c>
      <c r="AE660" s="96"/>
      <c r="AF660" s="96">
        <f t="shared" si="1670"/>
        <v>0</v>
      </c>
      <c r="AG660" s="96">
        <f t="shared" si="1671"/>
        <v>0</v>
      </c>
      <c r="AH660" s="96">
        <f t="shared" si="1672"/>
        <v>0</v>
      </c>
      <c r="AI660" s="96">
        <f t="shared" si="1673"/>
        <v>0</v>
      </c>
      <c r="AJ660" s="96">
        <f t="shared" si="1674"/>
        <v>0</v>
      </c>
      <c r="AK660" s="96"/>
      <c r="AL660" s="96">
        <f t="shared" si="1675"/>
        <v>0</v>
      </c>
      <c r="AM660" s="96"/>
      <c r="AN660" s="96">
        <f t="shared" si="1676"/>
        <v>0</v>
      </c>
      <c r="AO660" s="96"/>
      <c r="AP660" s="96">
        <f t="shared" si="1677"/>
        <v>0</v>
      </c>
      <c r="AQ660" s="96">
        <f t="shared" si="1678"/>
        <v>0</v>
      </c>
      <c r="AR660" s="96">
        <f t="shared" si="1679"/>
        <v>0</v>
      </c>
      <c r="AS660" s="96"/>
      <c r="AT660" s="96">
        <f t="shared" si="1680"/>
        <v>0</v>
      </c>
      <c r="AU660" s="96"/>
      <c r="AV660" s="96">
        <f t="shared" si="1681"/>
        <v>0</v>
      </c>
      <c r="AW660" s="96"/>
      <c r="AX660" s="96">
        <f t="shared" si="1682"/>
        <v>0</v>
      </c>
      <c r="AY660" s="96">
        <f t="shared" si="1683"/>
        <v>0</v>
      </c>
      <c r="AZ660" s="96">
        <f t="shared" si="1684"/>
        <v>0</v>
      </c>
      <c r="BA660" s="96">
        <f t="shared" si="1685"/>
        <v>0</v>
      </c>
      <c r="BB660" s="96">
        <f t="shared" si="1686"/>
        <v>0</v>
      </c>
    </row>
    <row r="661" spans="1:54">
      <c r="A661" s="492">
        <v>409</v>
      </c>
      <c r="B661" s="13"/>
      <c r="C661" s="432"/>
      <c r="D661" s="13"/>
      <c r="E661" s="21" t="s">
        <v>1394</v>
      </c>
      <c r="F661" s="45"/>
      <c r="G661" s="45" t="s">
        <v>1059</v>
      </c>
      <c r="H661" s="265" t="s">
        <v>358</v>
      </c>
      <c r="I661" s="54"/>
      <c r="J661" s="162">
        <v>14376</v>
      </c>
      <c r="K661" s="54"/>
      <c r="L661" s="162">
        <v>15881</v>
      </c>
      <c r="M661" s="54"/>
      <c r="N661" s="162"/>
      <c r="O661" s="54"/>
      <c r="P661" s="162"/>
      <c r="Q661" s="96">
        <f t="shared" si="1661"/>
        <v>98.483000000000004</v>
      </c>
      <c r="R661" s="337">
        <f t="shared" si="1662"/>
        <v>1475.1834229999999</v>
      </c>
      <c r="S661" s="96">
        <v>18.149999999999999</v>
      </c>
      <c r="T661" s="96">
        <f t="shared" si="1663"/>
        <v>260.92439999999999</v>
      </c>
      <c r="U661" s="96">
        <v>21.347000000000001</v>
      </c>
      <c r="V661" s="96">
        <f t="shared" si="1664"/>
        <v>306.88447200000002</v>
      </c>
      <c r="W661" s="96">
        <v>19.523</v>
      </c>
      <c r="X661" s="96">
        <f t="shared" si="1665"/>
        <v>280.66264799999999</v>
      </c>
      <c r="Y661" s="96">
        <f t="shared" si="1666"/>
        <v>59.019999999999996</v>
      </c>
      <c r="Z661" s="96">
        <f t="shared" si="1667"/>
        <v>848.47152000000006</v>
      </c>
      <c r="AA661" s="96">
        <v>39.463000000000001</v>
      </c>
      <c r="AB661" s="96">
        <f t="shared" si="1668"/>
        <v>626.71190300000001</v>
      </c>
      <c r="AC661" s="96"/>
      <c r="AD661" s="96">
        <f t="shared" si="1669"/>
        <v>0</v>
      </c>
      <c r="AE661" s="96"/>
      <c r="AF661" s="96">
        <f t="shared" si="1670"/>
        <v>0</v>
      </c>
      <c r="AG661" s="96">
        <f t="shared" si="1671"/>
        <v>39.463000000000001</v>
      </c>
      <c r="AH661" s="96">
        <f t="shared" si="1672"/>
        <v>626.71190300000001</v>
      </c>
      <c r="AI661" s="96">
        <f t="shared" si="1673"/>
        <v>98.483000000000004</v>
      </c>
      <c r="AJ661" s="96">
        <f t="shared" si="1674"/>
        <v>1475.1834229999999</v>
      </c>
      <c r="AK661" s="96"/>
      <c r="AL661" s="96">
        <f t="shared" si="1675"/>
        <v>0</v>
      </c>
      <c r="AM661" s="96"/>
      <c r="AN661" s="96">
        <f t="shared" si="1676"/>
        <v>0</v>
      </c>
      <c r="AO661" s="96"/>
      <c r="AP661" s="96">
        <f t="shared" si="1677"/>
        <v>0</v>
      </c>
      <c r="AQ661" s="96">
        <f t="shared" si="1678"/>
        <v>0</v>
      </c>
      <c r="AR661" s="96">
        <f t="shared" si="1679"/>
        <v>0</v>
      </c>
      <c r="AS661" s="96"/>
      <c r="AT661" s="96">
        <f t="shared" si="1680"/>
        <v>0</v>
      </c>
      <c r="AU661" s="96"/>
      <c r="AV661" s="96">
        <f t="shared" si="1681"/>
        <v>0</v>
      </c>
      <c r="AW661" s="96"/>
      <c r="AX661" s="96">
        <f t="shared" si="1682"/>
        <v>0</v>
      </c>
      <c r="AY661" s="96">
        <f t="shared" si="1683"/>
        <v>0</v>
      </c>
      <c r="AZ661" s="96">
        <f t="shared" si="1684"/>
        <v>0</v>
      </c>
      <c r="BA661" s="96">
        <f t="shared" si="1685"/>
        <v>0</v>
      </c>
      <c r="BB661" s="96">
        <f t="shared" si="1686"/>
        <v>0</v>
      </c>
    </row>
    <row r="662" spans="1:54">
      <c r="A662" s="492">
        <v>462</v>
      </c>
      <c r="B662" s="13"/>
      <c r="C662" s="13"/>
      <c r="D662" s="13"/>
      <c r="E662" s="21" t="s">
        <v>2341</v>
      </c>
      <c r="F662" s="45"/>
      <c r="G662" s="45" t="s">
        <v>1059</v>
      </c>
      <c r="H662" s="265" t="s">
        <v>357</v>
      </c>
      <c r="I662" s="54">
        <v>1.86</v>
      </c>
      <c r="J662" s="162"/>
      <c r="K662" s="54">
        <v>1.86</v>
      </c>
      <c r="L662" s="162"/>
      <c r="M662" s="54"/>
      <c r="N662" s="162"/>
      <c r="O662" s="54"/>
      <c r="P662" s="162"/>
      <c r="Q662" s="96">
        <f t="shared" si="1661"/>
        <v>38.879999999999995</v>
      </c>
      <c r="R662" s="337">
        <f t="shared" si="1662"/>
        <v>105.59999652480001</v>
      </c>
      <c r="S662" s="96">
        <v>14.688000000000001</v>
      </c>
      <c r="T662" s="96">
        <f>I662*S662*$T$2/1000</f>
        <v>39.440056032000008</v>
      </c>
      <c r="U662" s="96">
        <v>12.096</v>
      </c>
      <c r="V662" s="96">
        <f>I662*U662*$V$2/1000</f>
        <v>32.358778905599998</v>
      </c>
      <c r="W662" s="96">
        <v>12.096</v>
      </c>
      <c r="X662" s="96">
        <f>I662*W662*$X$2/1000</f>
        <v>33.801161587199999</v>
      </c>
      <c r="Y662" s="96">
        <f>SUM(S662+U662+W662)</f>
        <v>38.879999999999995</v>
      </c>
      <c r="Z662" s="96">
        <f t="shared" si="1667"/>
        <v>105.59999652480001</v>
      </c>
      <c r="AA662" s="96"/>
      <c r="AB662" s="96">
        <f>K662*AA662*$AB$2/1000</f>
        <v>0</v>
      </c>
      <c r="AC662" s="96"/>
      <c r="AD662" s="96">
        <f>K662*AC662*$AD$2/1000</f>
        <v>0</v>
      </c>
      <c r="AE662" s="96"/>
      <c r="AF662" s="96">
        <f>K662*AE662*$AF$2/1000</f>
        <v>0</v>
      </c>
      <c r="AG662" s="96">
        <f>SUM(AA662+AC662+AE662)</f>
        <v>0</v>
      </c>
      <c r="AH662" s="96">
        <f t="shared" si="1672"/>
        <v>0</v>
      </c>
      <c r="AI662" s="96">
        <f t="shared" si="1673"/>
        <v>38.879999999999995</v>
      </c>
      <c r="AJ662" s="96">
        <f t="shared" si="1674"/>
        <v>105.59999652480001</v>
      </c>
      <c r="AK662" s="96"/>
      <c r="AL662" s="96">
        <f>M662*AK662*$AL$2/1000</f>
        <v>0</v>
      </c>
      <c r="AM662" s="96"/>
      <c r="AN662" s="96">
        <f>M662*AM662*$AN$2/1000</f>
        <v>0</v>
      </c>
      <c r="AO662" s="96"/>
      <c r="AP662" s="96">
        <f>M662*AO662*$AP$2/1000</f>
        <v>0</v>
      </c>
      <c r="AQ662" s="96">
        <f>SUM(AK662+AM662+AO662)</f>
        <v>0</v>
      </c>
      <c r="AR662" s="96">
        <f t="shared" si="1679"/>
        <v>0</v>
      </c>
      <c r="AS662" s="96"/>
      <c r="AT662" s="96">
        <f>O662*AS662*$AT$2/1000</f>
        <v>0</v>
      </c>
      <c r="AU662" s="96"/>
      <c r="AV662" s="96">
        <f>O662*AU662*$AV$2/1000</f>
        <v>0</v>
      </c>
      <c r="AW662" s="96"/>
      <c r="AX662" s="96">
        <f>O662*AW662*$AX$2/1000</f>
        <v>0</v>
      </c>
      <c r="AY662" s="96">
        <f>SUM(AS662+AU662+AW662)</f>
        <v>0</v>
      </c>
      <c r="AZ662" s="96">
        <f t="shared" si="1684"/>
        <v>0</v>
      </c>
      <c r="BA662" s="96">
        <f t="shared" si="1685"/>
        <v>0</v>
      </c>
      <c r="BB662" s="96">
        <f t="shared" si="1686"/>
        <v>0</v>
      </c>
    </row>
    <row r="663" spans="1:54">
      <c r="A663" s="492">
        <v>409</v>
      </c>
      <c r="B663" s="13"/>
      <c r="C663" s="432"/>
      <c r="D663" s="13"/>
      <c r="E663" s="21" t="s">
        <v>1486</v>
      </c>
      <c r="F663" s="45"/>
      <c r="G663" s="45" t="s">
        <v>1059</v>
      </c>
      <c r="H663" s="265" t="s">
        <v>358</v>
      </c>
      <c r="I663" s="54"/>
      <c r="J663" s="162">
        <v>8271</v>
      </c>
      <c r="K663" s="54"/>
      <c r="L663" s="162">
        <v>8759</v>
      </c>
      <c r="M663" s="54"/>
      <c r="N663" s="162"/>
      <c r="O663" s="54"/>
      <c r="P663" s="162"/>
      <c r="Q663" s="96">
        <f t="shared" si="1661"/>
        <v>3.7650000000000001</v>
      </c>
      <c r="R663" s="337">
        <f t="shared" si="1662"/>
        <v>31.628802999999998</v>
      </c>
      <c r="S663" s="96">
        <v>0.76300000000000001</v>
      </c>
      <c r="T663" s="96">
        <f t="shared" si="1663"/>
        <v>6.3107730000000002</v>
      </c>
      <c r="U663" s="96">
        <v>0.84499999999999997</v>
      </c>
      <c r="V663" s="96">
        <f t="shared" si="1664"/>
        <v>6.9889950000000001</v>
      </c>
      <c r="W663" s="96">
        <v>1.1559999999999999</v>
      </c>
      <c r="X663" s="96">
        <f t="shared" si="1665"/>
        <v>9.5612759999999994</v>
      </c>
      <c r="Y663" s="96">
        <f t="shared" si="1666"/>
        <v>2.7640000000000002</v>
      </c>
      <c r="Z663" s="96">
        <f t="shared" si="1667"/>
        <v>22.861044</v>
      </c>
      <c r="AA663" s="96">
        <v>1.0009999999999999</v>
      </c>
      <c r="AB663" s="96">
        <f t="shared" si="1668"/>
        <v>8.7677589999999981</v>
      </c>
      <c r="AC663" s="96"/>
      <c r="AD663" s="96">
        <f t="shared" si="1669"/>
        <v>0</v>
      </c>
      <c r="AE663" s="96"/>
      <c r="AF663" s="96">
        <f t="shared" si="1670"/>
        <v>0</v>
      </c>
      <c r="AG663" s="96">
        <f t="shared" si="1671"/>
        <v>1.0009999999999999</v>
      </c>
      <c r="AH663" s="96">
        <f t="shared" si="1672"/>
        <v>8.7677589999999981</v>
      </c>
      <c r="AI663" s="96">
        <f t="shared" si="1673"/>
        <v>3.7650000000000001</v>
      </c>
      <c r="AJ663" s="96">
        <f t="shared" si="1674"/>
        <v>31.628802999999998</v>
      </c>
      <c r="AK663" s="96"/>
      <c r="AL663" s="96">
        <f t="shared" si="1675"/>
        <v>0</v>
      </c>
      <c r="AM663" s="96"/>
      <c r="AN663" s="96">
        <f t="shared" si="1676"/>
        <v>0</v>
      </c>
      <c r="AO663" s="96"/>
      <c r="AP663" s="96">
        <f t="shared" si="1677"/>
        <v>0</v>
      </c>
      <c r="AQ663" s="96">
        <f t="shared" si="1678"/>
        <v>0</v>
      </c>
      <c r="AR663" s="96">
        <f t="shared" si="1679"/>
        <v>0</v>
      </c>
      <c r="AS663" s="96"/>
      <c r="AT663" s="96">
        <f t="shared" si="1680"/>
        <v>0</v>
      </c>
      <c r="AU663" s="96"/>
      <c r="AV663" s="96">
        <f t="shared" si="1681"/>
        <v>0</v>
      </c>
      <c r="AW663" s="96"/>
      <c r="AX663" s="96">
        <f t="shared" si="1682"/>
        <v>0</v>
      </c>
      <c r="AY663" s="96">
        <f t="shared" si="1683"/>
        <v>0</v>
      </c>
      <c r="AZ663" s="96">
        <f t="shared" si="1684"/>
        <v>0</v>
      </c>
      <c r="BA663" s="96">
        <f t="shared" si="1685"/>
        <v>0</v>
      </c>
      <c r="BB663" s="96">
        <f t="shared" si="1686"/>
        <v>0</v>
      </c>
    </row>
    <row r="664" spans="1:54">
      <c r="A664" s="492">
        <v>410</v>
      </c>
      <c r="B664" s="13"/>
      <c r="C664" s="432"/>
      <c r="D664" s="13"/>
      <c r="E664" s="21" t="s">
        <v>1487</v>
      </c>
      <c r="F664" s="45"/>
      <c r="G664" s="45" t="s">
        <v>1059</v>
      </c>
      <c r="H664" s="265" t="s">
        <v>358</v>
      </c>
      <c r="I664" s="54"/>
      <c r="J664" s="162">
        <v>7623</v>
      </c>
      <c r="K664" s="54"/>
      <c r="L664" s="162">
        <v>8073</v>
      </c>
      <c r="M664" s="54"/>
      <c r="N664" s="162"/>
      <c r="O664" s="54"/>
      <c r="P664" s="162"/>
      <c r="Q664" s="96">
        <f t="shared" si="1661"/>
        <v>0.33999999999999997</v>
      </c>
      <c r="R664" s="337">
        <f t="shared" si="1662"/>
        <v>2.6561699999999995</v>
      </c>
      <c r="S664" s="96">
        <v>7.3999999999999996E-2</v>
      </c>
      <c r="T664" s="96">
        <f t="shared" si="1663"/>
        <v>0.56410199999999999</v>
      </c>
      <c r="U664" s="96">
        <v>0.123</v>
      </c>
      <c r="V664" s="96">
        <f t="shared" si="1664"/>
        <v>0.93762900000000005</v>
      </c>
      <c r="W664" s="96"/>
      <c r="X664" s="96">
        <f t="shared" si="1665"/>
        <v>0</v>
      </c>
      <c r="Y664" s="96">
        <f t="shared" si="1666"/>
        <v>0.19700000000000001</v>
      </c>
      <c r="Z664" s="96">
        <f t="shared" si="1667"/>
        <v>1.5017309999999999</v>
      </c>
      <c r="AA664" s="96">
        <v>0.14299999999999999</v>
      </c>
      <c r="AB664" s="96">
        <f t="shared" si="1668"/>
        <v>1.1544389999999998</v>
      </c>
      <c r="AC664" s="96"/>
      <c r="AD664" s="96">
        <f t="shared" si="1669"/>
        <v>0</v>
      </c>
      <c r="AE664" s="96"/>
      <c r="AF664" s="96">
        <f t="shared" si="1670"/>
        <v>0</v>
      </c>
      <c r="AG664" s="96">
        <f t="shared" si="1671"/>
        <v>0.14299999999999999</v>
      </c>
      <c r="AH664" s="96">
        <f t="shared" si="1672"/>
        <v>1.1544389999999998</v>
      </c>
      <c r="AI664" s="96">
        <f t="shared" si="1673"/>
        <v>0.33999999999999997</v>
      </c>
      <c r="AJ664" s="96">
        <f t="shared" si="1674"/>
        <v>2.6561699999999995</v>
      </c>
      <c r="AK664" s="96"/>
      <c r="AL664" s="96">
        <f t="shared" si="1675"/>
        <v>0</v>
      </c>
      <c r="AM664" s="96"/>
      <c r="AN664" s="96">
        <f t="shared" si="1676"/>
        <v>0</v>
      </c>
      <c r="AO664" s="96"/>
      <c r="AP664" s="96">
        <f t="shared" si="1677"/>
        <v>0</v>
      </c>
      <c r="AQ664" s="96">
        <f t="shared" si="1678"/>
        <v>0</v>
      </c>
      <c r="AR664" s="96">
        <f t="shared" si="1679"/>
        <v>0</v>
      </c>
      <c r="AS664" s="96"/>
      <c r="AT664" s="96">
        <f t="shared" si="1680"/>
        <v>0</v>
      </c>
      <c r="AU664" s="96"/>
      <c r="AV664" s="96">
        <f t="shared" si="1681"/>
        <v>0</v>
      </c>
      <c r="AW664" s="96"/>
      <c r="AX664" s="96">
        <f t="shared" si="1682"/>
        <v>0</v>
      </c>
      <c r="AY664" s="96">
        <f t="shared" si="1683"/>
        <v>0</v>
      </c>
      <c r="AZ664" s="96">
        <f t="shared" si="1684"/>
        <v>0</v>
      </c>
      <c r="BA664" s="96">
        <f t="shared" si="1685"/>
        <v>0</v>
      </c>
      <c r="BB664" s="96">
        <f t="shared" si="1686"/>
        <v>0</v>
      </c>
    </row>
    <row r="665" spans="1:54">
      <c r="A665" s="492">
        <v>409</v>
      </c>
      <c r="B665" s="13"/>
      <c r="C665" s="432"/>
      <c r="D665" s="13"/>
      <c r="E665" s="21" t="s">
        <v>1488</v>
      </c>
      <c r="F665" s="45"/>
      <c r="G665" s="45" t="s">
        <v>1059</v>
      </c>
      <c r="H665" s="265" t="s">
        <v>358</v>
      </c>
      <c r="I665" s="54"/>
      <c r="J665" s="162">
        <v>6932</v>
      </c>
      <c r="K665" s="54"/>
      <c r="L665" s="162">
        <v>7341</v>
      </c>
      <c r="M665" s="54"/>
      <c r="N665" s="162"/>
      <c r="O665" s="54"/>
      <c r="P665" s="162"/>
      <c r="Q665" s="96">
        <f t="shared" si="1661"/>
        <v>12.11</v>
      </c>
      <c r="R665" s="337">
        <f t="shared" si="1662"/>
        <v>85.634054000000006</v>
      </c>
      <c r="S665" s="96">
        <v>3.6480000000000001</v>
      </c>
      <c r="T665" s="96">
        <f t="shared" si="1663"/>
        <v>25.287936000000002</v>
      </c>
      <c r="U665" s="96">
        <v>2.4159999999999999</v>
      </c>
      <c r="V665" s="96">
        <f t="shared" si="1664"/>
        <v>16.747712</v>
      </c>
      <c r="W665" s="96">
        <v>1.92</v>
      </c>
      <c r="X665" s="96">
        <f t="shared" si="1665"/>
        <v>13.309439999999999</v>
      </c>
      <c r="Y665" s="96">
        <f t="shared" si="1666"/>
        <v>7.984</v>
      </c>
      <c r="Z665" s="96">
        <f t="shared" si="1667"/>
        <v>55.345088000000004</v>
      </c>
      <c r="AA665" s="96">
        <v>4.1260000000000003</v>
      </c>
      <c r="AB665" s="96">
        <f t="shared" si="1668"/>
        <v>30.288966000000006</v>
      </c>
      <c r="AC665" s="96"/>
      <c r="AD665" s="96">
        <f t="shared" si="1669"/>
        <v>0</v>
      </c>
      <c r="AE665" s="96"/>
      <c r="AF665" s="96">
        <f t="shared" si="1670"/>
        <v>0</v>
      </c>
      <c r="AG665" s="96">
        <f t="shared" si="1671"/>
        <v>4.1260000000000003</v>
      </c>
      <c r="AH665" s="96">
        <f t="shared" si="1672"/>
        <v>30.288966000000006</v>
      </c>
      <c r="AI665" s="96">
        <f t="shared" si="1673"/>
        <v>12.11</v>
      </c>
      <c r="AJ665" s="96">
        <f t="shared" si="1674"/>
        <v>85.634054000000006</v>
      </c>
      <c r="AK665" s="96"/>
      <c r="AL665" s="96">
        <f t="shared" si="1675"/>
        <v>0</v>
      </c>
      <c r="AM665" s="96"/>
      <c r="AN665" s="96">
        <f t="shared" si="1676"/>
        <v>0</v>
      </c>
      <c r="AO665" s="96"/>
      <c r="AP665" s="96">
        <f t="shared" si="1677"/>
        <v>0</v>
      </c>
      <c r="AQ665" s="96">
        <f t="shared" si="1678"/>
        <v>0</v>
      </c>
      <c r="AR665" s="96">
        <f t="shared" si="1679"/>
        <v>0</v>
      </c>
      <c r="AS665" s="96"/>
      <c r="AT665" s="96">
        <f t="shared" si="1680"/>
        <v>0</v>
      </c>
      <c r="AU665" s="96"/>
      <c r="AV665" s="96">
        <f t="shared" si="1681"/>
        <v>0</v>
      </c>
      <c r="AW665" s="96"/>
      <c r="AX665" s="96">
        <f t="shared" si="1682"/>
        <v>0</v>
      </c>
      <c r="AY665" s="96">
        <f t="shared" si="1683"/>
        <v>0</v>
      </c>
      <c r="AZ665" s="96">
        <f t="shared" si="1684"/>
        <v>0</v>
      </c>
      <c r="BA665" s="96">
        <f t="shared" si="1685"/>
        <v>0</v>
      </c>
      <c r="BB665" s="96">
        <f t="shared" si="1686"/>
        <v>0</v>
      </c>
    </row>
    <row r="666" spans="1:54">
      <c r="A666" s="492">
        <v>410</v>
      </c>
      <c r="B666" s="13"/>
      <c r="C666" s="432"/>
      <c r="D666" s="13"/>
      <c r="E666" s="21" t="s">
        <v>1489</v>
      </c>
      <c r="F666" s="45"/>
      <c r="G666" s="45" t="s">
        <v>1059</v>
      </c>
      <c r="H666" s="265" t="s">
        <v>358</v>
      </c>
      <c r="I666" s="54"/>
      <c r="J666" s="162">
        <v>6303</v>
      </c>
      <c r="K666" s="54"/>
      <c r="L666" s="162">
        <v>6675</v>
      </c>
      <c r="M666" s="54"/>
      <c r="N666" s="162"/>
      <c r="O666" s="54"/>
      <c r="P666" s="162"/>
      <c r="Q666" s="96">
        <f t="shared" si="1661"/>
        <v>1.669</v>
      </c>
      <c r="R666" s="337">
        <f t="shared" si="1662"/>
        <v>10.781594999999999</v>
      </c>
      <c r="S666" s="96">
        <v>0.77300000000000002</v>
      </c>
      <c r="T666" s="96">
        <f t="shared" si="1663"/>
        <v>4.8722190000000003</v>
      </c>
      <c r="U666" s="96">
        <v>0.192</v>
      </c>
      <c r="V666" s="96">
        <f t="shared" si="1664"/>
        <v>1.2101759999999999</v>
      </c>
      <c r="W666" s="96"/>
      <c r="X666" s="96">
        <f t="shared" si="1665"/>
        <v>0</v>
      </c>
      <c r="Y666" s="96">
        <f t="shared" si="1666"/>
        <v>0.96500000000000008</v>
      </c>
      <c r="Z666" s="96">
        <f t="shared" si="1667"/>
        <v>6.082395</v>
      </c>
      <c r="AA666" s="96">
        <v>0.70399999999999996</v>
      </c>
      <c r="AB666" s="96">
        <f t="shared" si="1668"/>
        <v>4.6991999999999994</v>
      </c>
      <c r="AC666" s="96"/>
      <c r="AD666" s="96">
        <f t="shared" si="1669"/>
        <v>0</v>
      </c>
      <c r="AE666" s="96"/>
      <c r="AF666" s="96">
        <f t="shared" si="1670"/>
        <v>0</v>
      </c>
      <c r="AG666" s="96">
        <f t="shared" si="1671"/>
        <v>0.70399999999999996</v>
      </c>
      <c r="AH666" s="96">
        <f t="shared" si="1672"/>
        <v>4.6991999999999994</v>
      </c>
      <c r="AI666" s="96">
        <f t="shared" si="1673"/>
        <v>1.669</v>
      </c>
      <c r="AJ666" s="96">
        <f t="shared" si="1674"/>
        <v>10.781594999999999</v>
      </c>
      <c r="AK666" s="96"/>
      <c r="AL666" s="96">
        <f t="shared" si="1675"/>
        <v>0</v>
      </c>
      <c r="AM666" s="96"/>
      <c r="AN666" s="96">
        <f t="shared" si="1676"/>
        <v>0</v>
      </c>
      <c r="AO666" s="96"/>
      <c r="AP666" s="96">
        <f t="shared" si="1677"/>
        <v>0</v>
      </c>
      <c r="AQ666" s="96">
        <f t="shared" si="1678"/>
        <v>0</v>
      </c>
      <c r="AR666" s="96">
        <f t="shared" si="1679"/>
        <v>0</v>
      </c>
      <c r="AS666" s="96"/>
      <c r="AT666" s="96">
        <f t="shared" si="1680"/>
        <v>0</v>
      </c>
      <c r="AU666" s="96"/>
      <c r="AV666" s="96">
        <f t="shared" si="1681"/>
        <v>0</v>
      </c>
      <c r="AW666" s="96"/>
      <c r="AX666" s="96">
        <f t="shared" si="1682"/>
        <v>0</v>
      </c>
      <c r="AY666" s="96">
        <f t="shared" si="1683"/>
        <v>0</v>
      </c>
      <c r="AZ666" s="96">
        <f t="shared" si="1684"/>
        <v>0</v>
      </c>
      <c r="BA666" s="96">
        <f t="shared" si="1685"/>
        <v>0</v>
      </c>
      <c r="BB666" s="96">
        <f t="shared" si="1686"/>
        <v>0</v>
      </c>
    </row>
    <row r="667" spans="1:54">
      <c r="A667" s="492">
        <v>410</v>
      </c>
      <c r="B667" s="13"/>
      <c r="C667" s="432"/>
      <c r="D667" s="13"/>
      <c r="E667" s="21" t="s">
        <v>1673</v>
      </c>
      <c r="F667" s="45"/>
      <c r="G667" s="45" t="s">
        <v>1059</v>
      </c>
      <c r="H667" s="265" t="s">
        <v>358</v>
      </c>
      <c r="I667" s="54"/>
      <c r="J667" s="162">
        <v>8255</v>
      </c>
      <c r="K667" s="54"/>
      <c r="L667" s="162">
        <v>8742</v>
      </c>
      <c r="M667" s="54"/>
      <c r="N667" s="162"/>
      <c r="O667" s="54"/>
      <c r="P667" s="162"/>
      <c r="Q667" s="96">
        <f t="shared" si="1661"/>
        <v>1.2890000000000001</v>
      </c>
      <c r="R667" s="337">
        <f t="shared" si="1662"/>
        <v>11.036139000000002</v>
      </c>
      <c r="S667" s="96">
        <v>8.6999999999999994E-2</v>
      </c>
      <c r="T667" s="96">
        <f t="shared" si="1663"/>
        <v>0.71818499999999996</v>
      </c>
      <c r="U667" s="96">
        <v>6.4000000000000001E-2</v>
      </c>
      <c r="V667" s="96">
        <f t="shared" si="1664"/>
        <v>0.52832000000000001</v>
      </c>
      <c r="W667" s="96">
        <v>0.32600000000000001</v>
      </c>
      <c r="X667" s="96">
        <f t="shared" si="1665"/>
        <v>2.6911300000000002</v>
      </c>
      <c r="Y667" s="96">
        <f t="shared" si="1666"/>
        <v>0.47699999999999998</v>
      </c>
      <c r="Z667" s="96">
        <f t="shared" si="1667"/>
        <v>3.9376350000000002</v>
      </c>
      <c r="AA667" s="96">
        <v>0.81200000000000006</v>
      </c>
      <c r="AB667" s="96">
        <f t="shared" si="1668"/>
        <v>7.098504000000001</v>
      </c>
      <c r="AC667" s="96"/>
      <c r="AD667" s="96">
        <f t="shared" si="1669"/>
        <v>0</v>
      </c>
      <c r="AE667" s="96"/>
      <c r="AF667" s="96">
        <f t="shared" si="1670"/>
        <v>0</v>
      </c>
      <c r="AG667" s="96">
        <f t="shared" si="1671"/>
        <v>0.81200000000000006</v>
      </c>
      <c r="AH667" s="96">
        <f t="shared" si="1672"/>
        <v>7.098504000000001</v>
      </c>
      <c r="AI667" s="96">
        <f t="shared" si="1673"/>
        <v>1.2890000000000001</v>
      </c>
      <c r="AJ667" s="96">
        <f t="shared" si="1674"/>
        <v>11.036139000000002</v>
      </c>
      <c r="AK667" s="96"/>
      <c r="AL667" s="96">
        <f t="shared" si="1675"/>
        <v>0</v>
      </c>
      <c r="AM667" s="96"/>
      <c r="AN667" s="96">
        <f t="shared" si="1676"/>
        <v>0</v>
      </c>
      <c r="AO667" s="96"/>
      <c r="AP667" s="96">
        <f t="shared" si="1677"/>
        <v>0</v>
      </c>
      <c r="AQ667" s="96">
        <f t="shared" si="1678"/>
        <v>0</v>
      </c>
      <c r="AR667" s="96">
        <f t="shared" si="1679"/>
        <v>0</v>
      </c>
      <c r="AS667" s="96"/>
      <c r="AT667" s="96">
        <f t="shared" si="1680"/>
        <v>0</v>
      </c>
      <c r="AU667" s="96"/>
      <c r="AV667" s="96">
        <f t="shared" si="1681"/>
        <v>0</v>
      </c>
      <c r="AW667" s="96"/>
      <c r="AX667" s="96">
        <f t="shared" si="1682"/>
        <v>0</v>
      </c>
      <c r="AY667" s="96">
        <f t="shared" si="1683"/>
        <v>0</v>
      </c>
      <c r="AZ667" s="96">
        <f t="shared" si="1684"/>
        <v>0</v>
      </c>
      <c r="BA667" s="96">
        <f t="shared" si="1685"/>
        <v>0</v>
      </c>
      <c r="BB667" s="96">
        <f t="shared" si="1686"/>
        <v>0</v>
      </c>
    </row>
    <row r="668" spans="1:54">
      <c r="A668" s="492">
        <v>409</v>
      </c>
      <c r="B668" s="13"/>
      <c r="C668" s="432"/>
      <c r="D668" s="13"/>
      <c r="E668" s="21" t="s">
        <v>1709</v>
      </c>
      <c r="F668" s="45"/>
      <c r="G668" s="45" t="s">
        <v>1059</v>
      </c>
      <c r="H668" s="265" t="s">
        <v>358</v>
      </c>
      <c r="I668" s="54"/>
      <c r="J668" s="162">
        <v>8799</v>
      </c>
      <c r="K668" s="54"/>
      <c r="L668" s="162">
        <v>9318</v>
      </c>
      <c r="M668" s="54"/>
      <c r="N668" s="162"/>
      <c r="O668" s="54"/>
      <c r="P668" s="162"/>
      <c r="Q668" s="96">
        <f t="shared" si="1661"/>
        <v>22.516999999999999</v>
      </c>
      <c r="R668" s="337">
        <f t="shared" si="1662"/>
        <v>200.33283299999999</v>
      </c>
      <c r="S668" s="96">
        <v>5.2619999999999996</v>
      </c>
      <c r="T668" s="96">
        <f t="shared" si="1663"/>
        <v>46.300337999999996</v>
      </c>
      <c r="U668" s="96">
        <v>7.6959999999999997</v>
      </c>
      <c r="V668" s="96">
        <f t="shared" si="1664"/>
        <v>67.717103999999992</v>
      </c>
      <c r="W668" s="96">
        <v>5.3090000000000002</v>
      </c>
      <c r="X668" s="96">
        <f t="shared" si="1665"/>
        <v>46.713891000000004</v>
      </c>
      <c r="Y668" s="96">
        <f t="shared" si="1666"/>
        <v>18.266999999999999</v>
      </c>
      <c r="Z668" s="96">
        <f t="shared" si="1667"/>
        <v>160.73133300000001</v>
      </c>
      <c r="AA668" s="96">
        <v>4.25</v>
      </c>
      <c r="AB668" s="96">
        <f t="shared" si="1668"/>
        <v>39.601500000000001</v>
      </c>
      <c r="AC668" s="96"/>
      <c r="AD668" s="96">
        <f t="shared" si="1669"/>
        <v>0</v>
      </c>
      <c r="AE668" s="96"/>
      <c r="AF668" s="96">
        <f t="shared" si="1670"/>
        <v>0</v>
      </c>
      <c r="AG668" s="96">
        <f t="shared" si="1671"/>
        <v>4.25</v>
      </c>
      <c r="AH668" s="96">
        <f t="shared" si="1672"/>
        <v>39.601500000000001</v>
      </c>
      <c r="AI668" s="96">
        <f t="shared" si="1673"/>
        <v>22.516999999999999</v>
      </c>
      <c r="AJ668" s="96">
        <f t="shared" si="1674"/>
        <v>200.33283299999999</v>
      </c>
      <c r="AK668" s="96"/>
      <c r="AL668" s="96">
        <f t="shared" si="1675"/>
        <v>0</v>
      </c>
      <c r="AM668" s="96"/>
      <c r="AN668" s="96">
        <f t="shared" si="1676"/>
        <v>0</v>
      </c>
      <c r="AO668" s="96"/>
      <c r="AP668" s="96">
        <f t="shared" si="1677"/>
        <v>0</v>
      </c>
      <c r="AQ668" s="96">
        <f t="shared" si="1678"/>
        <v>0</v>
      </c>
      <c r="AR668" s="96">
        <f t="shared" si="1679"/>
        <v>0</v>
      </c>
      <c r="AS668" s="96"/>
      <c r="AT668" s="96">
        <f t="shared" si="1680"/>
        <v>0</v>
      </c>
      <c r="AU668" s="96"/>
      <c r="AV668" s="96">
        <f t="shared" si="1681"/>
        <v>0</v>
      </c>
      <c r="AW668" s="96"/>
      <c r="AX668" s="96">
        <f t="shared" si="1682"/>
        <v>0</v>
      </c>
      <c r="AY668" s="96">
        <f t="shared" si="1683"/>
        <v>0</v>
      </c>
      <c r="AZ668" s="96">
        <f t="shared" si="1684"/>
        <v>0</v>
      </c>
      <c r="BA668" s="96">
        <f t="shared" si="1685"/>
        <v>0</v>
      </c>
      <c r="BB668" s="96">
        <f t="shared" si="1686"/>
        <v>0</v>
      </c>
    </row>
    <row r="669" spans="1:54">
      <c r="A669" s="492">
        <v>409</v>
      </c>
      <c r="B669" s="13"/>
      <c r="C669" s="432"/>
      <c r="D669" s="13"/>
      <c r="E669" s="21" t="s">
        <v>1517</v>
      </c>
      <c r="F669" s="45"/>
      <c r="G669" s="45" t="s">
        <v>1059</v>
      </c>
      <c r="H669" s="265" t="s">
        <v>358</v>
      </c>
      <c r="I669" s="54"/>
      <c r="J669" s="162">
        <v>22077</v>
      </c>
      <c r="K669" s="54"/>
      <c r="L669" s="162">
        <v>23380</v>
      </c>
      <c r="M669" s="54"/>
      <c r="N669" s="162"/>
      <c r="O669" s="54"/>
      <c r="P669" s="162"/>
      <c r="Q669" s="96">
        <f t="shared" si="1661"/>
        <v>0.35599999999999998</v>
      </c>
      <c r="R669" s="337">
        <f t="shared" si="1662"/>
        <v>7.9779850000000003</v>
      </c>
      <c r="S669" s="96">
        <v>0.01</v>
      </c>
      <c r="T669" s="96">
        <f t="shared" si="1663"/>
        <v>0.22077000000000002</v>
      </c>
      <c r="U669" s="96"/>
      <c r="V669" s="96">
        <f t="shared" si="1664"/>
        <v>0</v>
      </c>
      <c r="W669" s="96">
        <v>0.255</v>
      </c>
      <c r="X669" s="96">
        <f t="shared" si="1665"/>
        <v>5.6296350000000004</v>
      </c>
      <c r="Y669" s="96">
        <f t="shared" si="1666"/>
        <v>0.26500000000000001</v>
      </c>
      <c r="Z669" s="96">
        <f t="shared" si="1667"/>
        <v>5.8504050000000003</v>
      </c>
      <c r="AA669" s="96">
        <v>9.0999999999999998E-2</v>
      </c>
      <c r="AB669" s="96">
        <f t="shared" si="1668"/>
        <v>2.12758</v>
      </c>
      <c r="AC669" s="96"/>
      <c r="AD669" s="96">
        <f t="shared" si="1669"/>
        <v>0</v>
      </c>
      <c r="AE669" s="96"/>
      <c r="AF669" s="96">
        <f t="shared" si="1670"/>
        <v>0</v>
      </c>
      <c r="AG669" s="96">
        <f t="shared" si="1671"/>
        <v>9.0999999999999998E-2</v>
      </c>
      <c r="AH669" s="96">
        <f t="shared" si="1672"/>
        <v>2.12758</v>
      </c>
      <c r="AI669" s="96">
        <f t="shared" si="1673"/>
        <v>0.35599999999999998</v>
      </c>
      <c r="AJ669" s="96">
        <f t="shared" si="1674"/>
        <v>7.9779850000000003</v>
      </c>
      <c r="AK669" s="96"/>
      <c r="AL669" s="96">
        <f t="shared" si="1675"/>
        <v>0</v>
      </c>
      <c r="AM669" s="96"/>
      <c r="AN669" s="96">
        <f t="shared" si="1676"/>
        <v>0</v>
      </c>
      <c r="AO669" s="96"/>
      <c r="AP669" s="96">
        <f t="shared" si="1677"/>
        <v>0</v>
      </c>
      <c r="AQ669" s="96">
        <f t="shared" si="1678"/>
        <v>0</v>
      </c>
      <c r="AR669" s="96">
        <f t="shared" si="1679"/>
        <v>0</v>
      </c>
      <c r="AS669" s="96"/>
      <c r="AT669" s="96">
        <f t="shared" si="1680"/>
        <v>0</v>
      </c>
      <c r="AU669" s="96"/>
      <c r="AV669" s="96">
        <f t="shared" si="1681"/>
        <v>0</v>
      </c>
      <c r="AW669" s="96"/>
      <c r="AX669" s="96">
        <f t="shared" si="1682"/>
        <v>0</v>
      </c>
      <c r="AY669" s="96">
        <f t="shared" si="1683"/>
        <v>0</v>
      </c>
      <c r="AZ669" s="96">
        <f t="shared" si="1684"/>
        <v>0</v>
      </c>
      <c r="BA669" s="96">
        <f t="shared" si="1685"/>
        <v>0</v>
      </c>
      <c r="BB669" s="96">
        <f t="shared" si="1686"/>
        <v>0</v>
      </c>
    </row>
    <row r="670" spans="1:54">
      <c r="A670" s="492">
        <v>409</v>
      </c>
      <c r="B670" s="13"/>
      <c r="C670" s="432"/>
      <c r="D670" s="13"/>
      <c r="E670" s="21" t="s">
        <v>1365</v>
      </c>
      <c r="F670" s="45"/>
      <c r="G670" s="45" t="s">
        <v>1059</v>
      </c>
      <c r="H670" s="265" t="s">
        <v>358</v>
      </c>
      <c r="I670" s="54"/>
      <c r="J670" s="162">
        <v>16489</v>
      </c>
      <c r="K670" s="54"/>
      <c r="L670" s="162">
        <v>17462</v>
      </c>
      <c r="M670" s="54"/>
      <c r="N670" s="162"/>
      <c r="O670" s="54"/>
      <c r="P670" s="162"/>
      <c r="Q670" s="96">
        <f t="shared" si="1661"/>
        <v>6.6959999999999997</v>
      </c>
      <c r="R670" s="337">
        <f t="shared" si="1662"/>
        <v>113.78276199999999</v>
      </c>
      <c r="S670" s="96">
        <v>0.81899999999999995</v>
      </c>
      <c r="T670" s="96">
        <f t="shared" si="1663"/>
        <v>13.504491</v>
      </c>
      <c r="U670" s="96">
        <v>1.1499999999999999</v>
      </c>
      <c r="V670" s="96">
        <f t="shared" si="1664"/>
        <v>18.962349999999997</v>
      </c>
      <c r="W670" s="96">
        <v>1.2609999999999999</v>
      </c>
      <c r="X670" s="96">
        <f t="shared" si="1665"/>
        <v>20.792628999999998</v>
      </c>
      <c r="Y670" s="96">
        <f t="shared" si="1666"/>
        <v>3.2299999999999995</v>
      </c>
      <c r="Z670" s="96">
        <f t="shared" si="1667"/>
        <v>53.259469999999993</v>
      </c>
      <c r="AA670" s="96">
        <v>3.4660000000000002</v>
      </c>
      <c r="AB670" s="96">
        <f t="shared" si="1668"/>
        <v>60.523291999999998</v>
      </c>
      <c r="AC670" s="96"/>
      <c r="AD670" s="96">
        <f t="shared" si="1669"/>
        <v>0</v>
      </c>
      <c r="AE670" s="96"/>
      <c r="AF670" s="96">
        <f t="shared" si="1670"/>
        <v>0</v>
      </c>
      <c r="AG670" s="96">
        <f t="shared" si="1671"/>
        <v>3.4660000000000002</v>
      </c>
      <c r="AH670" s="96">
        <f t="shared" si="1672"/>
        <v>60.523291999999998</v>
      </c>
      <c r="AI670" s="96">
        <f t="shared" si="1673"/>
        <v>6.6959999999999997</v>
      </c>
      <c r="AJ670" s="96">
        <f t="shared" si="1674"/>
        <v>113.78276199999999</v>
      </c>
      <c r="AK670" s="96"/>
      <c r="AL670" s="96">
        <f t="shared" si="1675"/>
        <v>0</v>
      </c>
      <c r="AM670" s="96"/>
      <c r="AN670" s="96">
        <f t="shared" si="1676"/>
        <v>0</v>
      </c>
      <c r="AO670" s="96"/>
      <c r="AP670" s="96">
        <f t="shared" si="1677"/>
        <v>0</v>
      </c>
      <c r="AQ670" s="96">
        <f t="shared" si="1678"/>
        <v>0</v>
      </c>
      <c r="AR670" s="96">
        <f t="shared" si="1679"/>
        <v>0</v>
      </c>
      <c r="AS670" s="96"/>
      <c r="AT670" s="96">
        <f t="shared" si="1680"/>
        <v>0</v>
      </c>
      <c r="AU670" s="96"/>
      <c r="AV670" s="96">
        <f t="shared" si="1681"/>
        <v>0</v>
      </c>
      <c r="AW670" s="96"/>
      <c r="AX670" s="96">
        <f t="shared" si="1682"/>
        <v>0</v>
      </c>
      <c r="AY670" s="96">
        <f t="shared" si="1683"/>
        <v>0</v>
      </c>
      <c r="AZ670" s="96">
        <f t="shared" si="1684"/>
        <v>0</v>
      </c>
      <c r="BA670" s="96">
        <f t="shared" si="1685"/>
        <v>0</v>
      </c>
      <c r="BB670" s="96">
        <f t="shared" si="1686"/>
        <v>0</v>
      </c>
    </row>
    <row r="671" spans="1:54">
      <c r="A671" s="492">
        <v>409</v>
      </c>
      <c r="B671" s="13"/>
      <c r="C671" s="432"/>
      <c r="D671" s="13"/>
      <c r="E671" s="21" t="s">
        <v>1547</v>
      </c>
      <c r="F671" s="45"/>
      <c r="G671" s="45" t="s">
        <v>1059</v>
      </c>
      <c r="H671" s="265" t="s">
        <v>358</v>
      </c>
      <c r="I671" s="54"/>
      <c r="J671" s="162">
        <v>7873</v>
      </c>
      <c r="K671" s="54"/>
      <c r="L671" s="162">
        <v>8338</v>
      </c>
      <c r="M671" s="54"/>
      <c r="N671" s="162"/>
      <c r="O671" s="54"/>
      <c r="P671" s="162"/>
      <c r="Q671" s="96">
        <f t="shared" si="1661"/>
        <v>0.88600000000000001</v>
      </c>
      <c r="R671" s="337">
        <f t="shared" si="1662"/>
        <v>7.1410180000000008</v>
      </c>
      <c r="S671" s="96"/>
      <c r="T671" s="96">
        <f t="shared" si="1663"/>
        <v>0</v>
      </c>
      <c r="U671" s="96">
        <v>0.39</v>
      </c>
      <c r="V671" s="96">
        <f t="shared" si="1664"/>
        <v>3.0704700000000003</v>
      </c>
      <c r="W671" s="96">
        <v>0.14000000000000001</v>
      </c>
      <c r="X671" s="96">
        <f t="shared" si="1665"/>
        <v>1.10222</v>
      </c>
      <c r="Y671" s="96">
        <f t="shared" si="1666"/>
        <v>0.53</v>
      </c>
      <c r="Z671" s="96">
        <f t="shared" si="1667"/>
        <v>4.1726900000000002</v>
      </c>
      <c r="AA671" s="96">
        <v>0.35599999999999998</v>
      </c>
      <c r="AB671" s="96">
        <f t="shared" si="1668"/>
        <v>2.9683280000000001</v>
      </c>
      <c r="AC671" s="96"/>
      <c r="AD671" s="96">
        <f t="shared" si="1669"/>
        <v>0</v>
      </c>
      <c r="AE671" s="96"/>
      <c r="AF671" s="96">
        <f t="shared" si="1670"/>
        <v>0</v>
      </c>
      <c r="AG671" s="96">
        <f t="shared" si="1671"/>
        <v>0.35599999999999998</v>
      </c>
      <c r="AH671" s="96">
        <f t="shared" si="1672"/>
        <v>2.9683280000000001</v>
      </c>
      <c r="AI671" s="96">
        <f t="shared" si="1673"/>
        <v>0.88600000000000001</v>
      </c>
      <c r="AJ671" s="96">
        <f t="shared" si="1674"/>
        <v>7.1410180000000008</v>
      </c>
      <c r="AK671" s="96"/>
      <c r="AL671" s="96">
        <f t="shared" si="1675"/>
        <v>0</v>
      </c>
      <c r="AM671" s="96"/>
      <c r="AN671" s="96">
        <f t="shared" si="1676"/>
        <v>0</v>
      </c>
      <c r="AO671" s="96"/>
      <c r="AP671" s="96">
        <f t="shared" si="1677"/>
        <v>0</v>
      </c>
      <c r="AQ671" s="96">
        <f t="shared" si="1678"/>
        <v>0</v>
      </c>
      <c r="AR671" s="96">
        <f t="shared" si="1679"/>
        <v>0</v>
      </c>
      <c r="AS671" s="96"/>
      <c r="AT671" s="96">
        <f t="shared" si="1680"/>
        <v>0</v>
      </c>
      <c r="AU671" s="96"/>
      <c r="AV671" s="96">
        <f t="shared" si="1681"/>
        <v>0</v>
      </c>
      <c r="AW671" s="96"/>
      <c r="AX671" s="96">
        <f t="shared" si="1682"/>
        <v>0</v>
      </c>
      <c r="AY671" s="96">
        <f t="shared" si="1683"/>
        <v>0</v>
      </c>
      <c r="AZ671" s="96">
        <f t="shared" si="1684"/>
        <v>0</v>
      </c>
      <c r="BA671" s="96">
        <f t="shared" si="1685"/>
        <v>0</v>
      </c>
      <c r="BB671" s="96">
        <f t="shared" si="1686"/>
        <v>0</v>
      </c>
    </row>
    <row r="672" spans="1:54">
      <c r="A672" s="492">
        <v>409</v>
      </c>
      <c r="B672" s="13"/>
      <c r="C672" s="432"/>
      <c r="D672" s="13"/>
      <c r="E672" s="21" t="s">
        <v>897</v>
      </c>
      <c r="F672" s="45"/>
      <c r="G672" s="45" t="s">
        <v>1059</v>
      </c>
      <c r="H672" s="265" t="s">
        <v>358</v>
      </c>
      <c r="I672" s="54"/>
      <c r="J672" s="162">
        <v>3013</v>
      </c>
      <c r="K672" s="54"/>
      <c r="L672" s="162">
        <v>3013</v>
      </c>
      <c r="M672" s="54"/>
      <c r="N672" s="162"/>
      <c r="O672" s="54"/>
      <c r="P672" s="162"/>
      <c r="Q672" s="96">
        <f t="shared" si="1661"/>
        <v>0</v>
      </c>
      <c r="R672" s="337">
        <f t="shared" si="1662"/>
        <v>0</v>
      </c>
      <c r="S672" s="96"/>
      <c r="T672" s="96">
        <f t="shared" si="1663"/>
        <v>0</v>
      </c>
      <c r="U672" s="96"/>
      <c r="V672" s="96">
        <f t="shared" si="1664"/>
        <v>0</v>
      </c>
      <c r="W672" s="96"/>
      <c r="X672" s="96">
        <f t="shared" si="1665"/>
        <v>0</v>
      </c>
      <c r="Y672" s="96">
        <f t="shared" si="1666"/>
        <v>0</v>
      </c>
      <c r="Z672" s="96">
        <f t="shared" si="1667"/>
        <v>0</v>
      </c>
      <c r="AA672" s="96"/>
      <c r="AB672" s="96">
        <f t="shared" si="1668"/>
        <v>0</v>
      </c>
      <c r="AC672" s="96"/>
      <c r="AD672" s="96">
        <f t="shared" si="1669"/>
        <v>0</v>
      </c>
      <c r="AE672" s="96"/>
      <c r="AF672" s="96">
        <f t="shared" si="1670"/>
        <v>0</v>
      </c>
      <c r="AG672" s="96">
        <f t="shared" si="1671"/>
        <v>0</v>
      </c>
      <c r="AH672" s="96">
        <f t="shared" si="1672"/>
        <v>0</v>
      </c>
      <c r="AI672" s="96">
        <f t="shared" si="1673"/>
        <v>0</v>
      </c>
      <c r="AJ672" s="96">
        <f t="shared" si="1674"/>
        <v>0</v>
      </c>
      <c r="AK672" s="96"/>
      <c r="AL672" s="96">
        <f t="shared" si="1675"/>
        <v>0</v>
      </c>
      <c r="AM672" s="96"/>
      <c r="AN672" s="96">
        <f t="shared" si="1676"/>
        <v>0</v>
      </c>
      <c r="AO672" s="96"/>
      <c r="AP672" s="96">
        <f t="shared" si="1677"/>
        <v>0</v>
      </c>
      <c r="AQ672" s="96">
        <f t="shared" si="1678"/>
        <v>0</v>
      </c>
      <c r="AR672" s="96">
        <f t="shared" si="1679"/>
        <v>0</v>
      </c>
      <c r="AS672" s="96"/>
      <c r="AT672" s="96">
        <f t="shared" si="1680"/>
        <v>0</v>
      </c>
      <c r="AU672" s="96"/>
      <c r="AV672" s="96">
        <f t="shared" si="1681"/>
        <v>0</v>
      </c>
      <c r="AW672" s="96"/>
      <c r="AX672" s="96">
        <f t="shared" si="1682"/>
        <v>0</v>
      </c>
      <c r="AY672" s="96">
        <f t="shared" si="1683"/>
        <v>0</v>
      </c>
      <c r="AZ672" s="96">
        <f t="shared" si="1684"/>
        <v>0</v>
      </c>
      <c r="BA672" s="96">
        <f t="shared" si="1685"/>
        <v>0</v>
      </c>
      <c r="BB672" s="96">
        <f t="shared" si="1686"/>
        <v>0</v>
      </c>
    </row>
    <row r="673" spans="1:54">
      <c r="A673" s="492">
        <v>410</v>
      </c>
      <c r="B673" s="13"/>
      <c r="C673" s="432"/>
      <c r="D673" s="13"/>
      <c r="E673" s="21" t="s">
        <v>535</v>
      </c>
      <c r="F673" s="45"/>
      <c r="G673" s="45" t="s">
        <v>1059</v>
      </c>
      <c r="H673" s="265" t="s">
        <v>358</v>
      </c>
      <c r="I673" s="54"/>
      <c r="J673" s="162">
        <v>2457</v>
      </c>
      <c r="K673" s="54"/>
      <c r="L673" s="162">
        <v>2457</v>
      </c>
      <c r="M673" s="54"/>
      <c r="N673" s="162"/>
      <c r="O673" s="54"/>
      <c r="P673" s="162"/>
      <c r="Q673" s="96">
        <f t="shared" si="1661"/>
        <v>0</v>
      </c>
      <c r="R673" s="337">
        <f t="shared" si="1662"/>
        <v>0</v>
      </c>
      <c r="S673" s="96"/>
      <c r="T673" s="96">
        <f t="shared" si="1663"/>
        <v>0</v>
      </c>
      <c r="U673" s="96"/>
      <c r="V673" s="96">
        <f t="shared" si="1664"/>
        <v>0</v>
      </c>
      <c r="W673" s="96"/>
      <c r="X673" s="96">
        <f t="shared" si="1665"/>
        <v>0</v>
      </c>
      <c r="Y673" s="96">
        <f t="shared" si="1666"/>
        <v>0</v>
      </c>
      <c r="Z673" s="96">
        <f t="shared" si="1667"/>
        <v>0</v>
      </c>
      <c r="AA673" s="96"/>
      <c r="AB673" s="96">
        <f t="shared" si="1668"/>
        <v>0</v>
      </c>
      <c r="AC673" s="96"/>
      <c r="AD673" s="96">
        <f t="shared" si="1669"/>
        <v>0</v>
      </c>
      <c r="AE673" s="96"/>
      <c r="AF673" s="96">
        <f t="shared" si="1670"/>
        <v>0</v>
      </c>
      <c r="AG673" s="96">
        <f t="shared" si="1671"/>
        <v>0</v>
      </c>
      <c r="AH673" s="96">
        <f t="shared" si="1672"/>
        <v>0</v>
      </c>
      <c r="AI673" s="96">
        <f t="shared" si="1673"/>
        <v>0</v>
      </c>
      <c r="AJ673" s="96">
        <f t="shared" si="1674"/>
        <v>0</v>
      </c>
      <c r="AK673" s="96"/>
      <c r="AL673" s="96">
        <f t="shared" si="1675"/>
        <v>0</v>
      </c>
      <c r="AM673" s="96"/>
      <c r="AN673" s="96">
        <f t="shared" si="1676"/>
        <v>0</v>
      </c>
      <c r="AO673" s="96"/>
      <c r="AP673" s="96">
        <f t="shared" si="1677"/>
        <v>0</v>
      </c>
      <c r="AQ673" s="96">
        <f t="shared" si="1678"/>
        <v>0</v>
      </c>
      <c r="AR673" s="96">
        <f t="shared" si="1679"/>
        <v>0</v>
      </c>
      <c r="AS673" s="96"/>
      <c r="AT673" s="96">
        <f t="shared" si="1680"/>
        <v>0</v>
      </c>
      <c r="AU673" s="96"/>
      <c r="AV673" s="96">
        <f t="shared" si="1681"/>
        <v>0</v>
      </c>
      <c r="AW673" s="96"/>
      <c r="AX673" s="96">
        <f t="shared" si="1682"/>
        <v>0</v>
      </c>
      <c r="AY673" s="96">
        <f t="shared" si="1683"/>
        <v>0</v>
      </c>
      <c r="AZ673" s="96">
        <f t="shared" si="1684"/>
        <v>0</v>
      </c>
      <c r="BA673" s="96">
        <f t="shared" si="1685"/>
        <v>0</v>
      </c>
      <c r="BB673" s="96">
        <f t="shared" si="1686"/>
        <v>0</v>
      </c>
    </row>
    <row r="674" spans="1:54">
      <c r="A674" s="492">
        <v>410</v>
      </c>
      <c r="B674" s="13"/>
      <c r="C674" s="432"/>
      <c r="D674" s="13"/>
      <c r="E674" s="21" t="s">
        <v>1432</v>
      </c>
      <c r="F674" s="45"/>
      <c r="G674" s="45" t="s">
        <v>1059</v>
      </c>
      <c r="H674" s="265" t="s">
        <v>358</v>
      </c>
      <c r="I674" s="54"/>
      <c r="J674" s="162">
        <v>7098</v>
      </c>
      <c r="K674" s="54"/>
      <c r="L674" s="162">
        <v>7517</v>
      </c>
      <c r="M674" s="54"/>
      <c r="N674" s="162"/>
      <c r="O674" s="54"/>
      <c r="P674" s="162"/>
      <c r="Q674" s="96">
        <f t="shared" si="1661"/>
        <v>0.85000000000000009</v>
      </c>
      <c r="R674" s="337">
        <f t="shared" si="1662"/>
        <v>6.1590000000000007</v>
      </c>
      <c r="S674" s="96"/>
      <c r="T674" s="96">
        <f t="shared" si="1663"/>
        <v>0</v>
      </c>
      <c r="U674" s="96"/>
      <c r="V674" s="96">
        <f t="shared" si="1664"/>
        <v>0</v>
      </c>
      <c r="W674" s="96">
        <v>0.55000000000000004</v>
      </c>
      <c r="X674" s="96">
        <f t="shared" si="1665"/>
        <v>3.9039000000000001</v>
      </c>
      <c r="Y674" s="96">
        <f t="shared" si="1666"/>
        <v>0.55000000000000004</v>
      </c>
      <c r="Z674" s="96">
        <f t="shared" si="1667"/>
        <v>3.9039000000000001</v>
      </c>
      <c r="AA674" s="96">
        <v>0.3</v>
      </c>
      <c r="AB674" s="96">
        <f t="shared" si="1668"/>
        <v>2.2551000000000001</v>
      </c>
      <c r="AC674" s="96"/>
      <c r="AD674" s="96">
        <f t="shared" si="1669"/>
        <v>0</v>
      </c>
      <c r="AE674" s="96"/>
      <c r="AF674" s="96">
        <f t="shared" si="1670"/>
        <v>0</v>
      </c>
      <c r="AG674" s="96">
        <f t="shared" si="1671"/>
        <v>0.3</v>
      </c>
      <c r="AH674" s="96">
        <f t="shared" si="1672"/>
        <v>2.2551000000000001</v>
      </c>
      <c r="AI674" s="96">
        <f t="shared" si="1673"/>
        <v>0.85000000000000009</v>
      </c>
      <c r="AJ674" s="96">
        <f t="shared" si="1674"/>
        <v>6.1590000000000007</v>
      </c>
      <c r="AK674" s="96"/>
      <c r="AL674" s="96">
        <f t="shared" si="1675"/>
        <v>0</v>
      </c>
      <c r="AM674" s="96"/>
      <c r="AN674" s="96">
        <f t="shared" si="1676"/>
        <v>0</v>
      </c>
      <c r="AO674" s="96"/>
      <c r="AP674" s="96">
        <f t="shared" si="1677"/>
        <v>0</v>
      </c>
      <c r="AQ674" s="96">
        <f t="shared" si="1678"/>
        <v>0</v>
      </c>
      <c r="AR674" s="96">
        <f t="shared" si="1679"/>
        <v>0</v>
      </c>
      <c r="AS674" s="96"/>
      <c r="AT674" s="96">
        <f t="shared" si="1680"/>
        <v>0</v>
      </c>
      <c r="AU674" s="96"/>
      <c r="AV674" s="96">
        <f t="shared" si="1681"/>
        <v>0</v>
      </c>
      <c r="AW674" s="96"/>
      <c r="AX674" s="96">
        <f t="shared" si="1682"/>
        <v>0</v>
      </c>
      <c r="AY674" s="96">
        <f t="shared" si="1683"/>
        <v>0</v>
      </c>
      <c r="AZ674" s="96">
        <f t="shared" si="1684"/>
        <v>0</v>
      </c>
      <c r="BA674" s="96">
        <f t="shared" si="1685"/>
        <v>0</v>
      </c>
      <c r="BB674" s="96">
        <f t="shared" si="1686"/>
        <v>0</v>
      </c>
    </row>
    <row r="675" spans="1:54">
      <c r="A675" s="492">
        <v>411</v>
      </c>
      <c r="B675" s="13"/>
      <c r="C675" s="432"/>
      <c r="D675" s="13"/>
      <c r="E675" s="21" t="s">
        <v>1130</v>
      </c>
      <c r="F675" s="45"/>
      <c r="G675" s="45" t="s">
        <v>1059</v>
      </c>
      <c r="H675" s="265" t="s">
        <v>358</v>
      </c>
      <c r="I675" s="54"/>
      <c r="J675" s="162">
        <v>19973</v>
      </c>
      <c r="K675" s="54"/>
      <c r="L675" s="162">
        <v>21151</v>
      </c>
      <c r="M675" s="54"/>
      <c r="N675" s="162"/>
      <c r="O675" s="54"/>
      <c r="P675" s="162"/>
      <c r="Q675" s="96">
        <f t="shared" si="1661"/>
        <v>0.14699999999999999</v>
      </c>
      <c r="R675" s="337">
        <f t="shared" si="1662"/>
        <v>2.9619469999999999</v>
      </c>
      <c r="S675" s="96">
        <v>1.7000000000000001E-2</v>
      </c>
      <c r="T675" s="96">
        <f t="shared" si="1663"/>
        <v>0.33954099999999998</v>
      </c>
      <c r="U675" s="96">
        <v>6.6000000000000003E-2</v>
      </c>
      <c r="V675" s="96">
        <f t="shared" si="1664"/>
        <v>1.3182180000000001</v>
      </c>
      <c r="W675" s="96">
        <v>4.2000000000000003E-2</v>
      </c>
      <c r="X675" s="96">
        <f t="shared" si="1665"/>
        <v>0.83886600000000011</v>
      </c>
      <c r="Y675" s="96">
        <f t="shared" si="1666"/>
        <v>0.125</v>
      </c>
      <c r="Z675" s="96">
        <f t="shared" si="1667"/>
        <v>2.4966249999999999</v>
      </c>
      <c r="AA675" s="96">
        <v>2.1999999999999999E-2</v>
      </c>
      <c r="AB675" s="96">
        <f t="shared" si="1668"/>
        <v>0.46532199999999996</v>
      </c>
      <c r="AC675" s="96"/>
      <c r="AD675" s="96">
        <f t="shared" si="1669"/>
        <v>0</v>
      </c>
      <c r="AE675" s="96"/>
      <c r="AF675" s="96">
        <f t="shared" si="1670"/>
        <v>0</v>
      </c>
      <c r="AG675" s="96">
        <f t="shared" si="1671"/>
        <v>2.1999999999999999E-2</v>
      </c>
      <c r="AH675" s="96">
        <f t="shared" si="1672"/>
        <v>0.46532199999999996</v>
      </c>
      <c r="AI675" s="96">
        <f t="shared" si="1673"/>
        <v>0.14699999999999999</v>
      </c>
      <c r="AJ675" s="96">
        <f t="shared" si="1674"/>
        <v>2.9619469999999999</v>
      </c>
      <c r="AK675" s="96"/>
      <c r="AL675" s="96">
        <f t="shared" si="1675"/>
        <v>0</v>
      </c>
      <c r="AM675" s="96"/>
      <c r="AN675" s="96">
        <f t="shared" si="1676"/>
        <v>0</v>
      </c>
      <c r="AO675" s="96"/>
      <c r="AP675" s="96">
        <f t="shared" si="1677"/>
        <v>0</v>
      </c>
      <c r="AQ675" s="96">
        <f t="shared" si="1678"/>
        <v>0</v>
      </c>
      <c r="AR675" s="96">
        <f t="shared" si="1679"/>
        <v>0</v>
      </c>
      <c r="AS675" s="96"/>
      <c r="AT675" s="96">
        <f t="shared" si="1680"/>
        <v>0</v>
      </c>
      <c r="AU675" s="96"/>
      <c r="AV675" s="96">
        <f t="shared" si="1681"/>
        <v>0</v>
      </c>
      <c r="AW675" s="96"/>
      <c r="AX675" s="96">
        <f t="shared" si="1682"/>
        <v>0</v>
      </c>
      <c r="AY675" s="96">
        <f t="shared" si="1683"/>
        <v>0</v>
      </c>
      <c r="AZ675" s="96">
        <f t="shared" si="1684"/>
        <v>0</v>
      </c>
      <c r="BA675" s="96">
        <f t="shared" si="1685"/>
        <v>0</v>
      </c>
      <c r="BB675" s="96">
        <f t="shared" si="1686"/>
        <v>0</v>
      </c>
    </row>
    <row r="676" spans="1:54">
      <c r="A676" s="492">
        <v>412</v>
      </c>
      <c r="B676" s="13"/>
      <c r="C676" s="432"/>
      <c r="D676" s="13"/>
      <c r="E676" s="21" t="s">
        <v>536</v>
      </c>
      <c r="F676" s="45"/>
      <c r="G676" s="45" t="s">
        <v>1059</v>
      </c>
      <c r="H676" s="265" t="s">
        <v>358</v>
      </c>
      <c r="I676" s="54"/>
      <c r="J676" s="162">
        <v>19426</v>
      </c>
      <c r="K676" s="54"/>
      <c r="L676" s="162">
        <v>20572</v>
      </c>
      <c r="M676" s="54"/>
      <c r="N676" s="162"/>
      <c r="O676" s="54"/>
      <c r="P676" s="162"/>
      <c r="Q676" s="96">
        <f t="shared" si="1661"/>
        <v>0.19600000000000001</v>
      </c>
      <c r="R676" s="337">
        <f t="shared" si="1662"/>
        <v>3.807496</v>
      </c>
      <c r="S676" s="96">
        <v>0.19600000000000001</v>
      </c>
      <c r="T676" s="96">
        <f t="shared" si="1663"/>
        <v>3.807496</v>
      </c>
      <c r="U676" s="96"/>
      <c r="V676" s="96">
        <f t="shared" si="1664"/>
        <v>0</v>
      </c>
      <c r="W676" s="96"/>
      <c r="X676" s="96">
        <f t="shared" si="1665"/>
        <v>0</v>
      </c>
      <c r="Y676" s="96">
        <f t="shared" si="1666"/>
        <v>0.19600000000000001</v>
      </c>
      <c r="Z676" s="96">
        <f t="shared" si="1667"/>
        <v>3.807496</v>
      </c>
      <c r="AA676" s="96"/>
      <c r="AB676" s="96">
        <f t="shared" si="1668"/>
        <v>0</v>
      </c>
      <c r="AC676" s="96"/>
      <c r="AD676" s="96">
        <f t="shared" si="1669"/>
        <v>0</v>
      </c>
      <c r="AE676" s="96"/>
      <c r="AF676" s="96">
        <f t="shared" si="1670"/>
        <v>0</v>
      </c>
      <c r="AG676" s="96">
        <f t="shared" si="1671"/>
        <v>0</v>
      </c>
      <c r="AH676" s="96">
        <f t="shared" si="1672"/>
        <v>0</v>
      </c>
      <c r="AI676" s="96">
        <f t="shared" si="1673"/>
        <v>0.19600000000000001</v>
      </c>
      <c r="AJ676" s="96">
        <f t="shared" si="1674"/>
        <v>3.807496</v>
      </c>
      <c r="AK676" s="96"/>
      <c r="AL676" s="96">
        <f t="shared" si="1675"/>
        <v>0</v>
      </c>
      <c r="AM676" s="96"/>
      <c r="AN676" s="96">
        <f t="shared" si="1676"/>
        <v>0</v>
      </c>
      <c r="AO676" s="96"/>
      <c r="AP676" s="96">
        <f t="shared" si="1677"/>
        <v>0</v>
      </c>
      <c r="AQ676" s="96">
        <f t="shared" si="1678"/>
        <v>0</v>
      </c>
      <c r="AR676" s="96">
        <f t="shared" si="1679"/>
        <v>0</v>
      </c>
      <c r="AS676" s="96"/>
      <c r="AT676" s="96">
        <f t="shared" si="1680"/>
        <v>0</v>
      </c>
      <c r="AU676" s="96"/>
      <c r="AV676" s="96">
        <f t="shared" si="1681"/>
        <v>0</v>
      </c>
      <c r="AW676" s="96"/>
      <c r="AX676" s="96">
        <f t="shared" si="1682"/>
        <v>0</v>
      </c>
      <c r="AY676" s="96">
        <f t="shared" si="1683"/>
        <v>0</v>
      </c>
      <c r="AZ676" s="96">
        <f t="shared" si="1684"/>
        <v>0</v>
      </c>
      <c r="BA676" s="96">
        <f t="shared" si="1685"/>
        <v>0</v>
      </c>
      <c r="BB676" s="96">
        <f t="shared" si="1686"/>
        <v>0</v>
      </c>
    </row>
    <row r="677" spans="1:54">
      <c r="A677" s="492">
        <v>413</v>
      </c>
      <c r="B677" s="13"/>
      <c r="C677" s="432"/>
      <c r="D677" s="13"/>
      <c r="E677" s="21" t="s">
        <v>854</v>
      </c>
      <c r="F677" s="45"/>
      <c r="G677" s="45" t="s">
        <v>1059</v>
      </c>
      <c r="H677" s="265" t="s">
        <v>358</v>
      </c>
      <c r="I677" s="54"/>
      <c r="J677" s="162">
        <v>21818</v>
      </c>
      <c r="K677" s="54"/>
      <c r="L677" s="162">
        <v>23105</v>
      </c>
      <c r="M677" s="54"/>
      <c r="N677" s="162"/>
      <c r="O677" s="54"/>
      <c r="P677" s="162"/>
      <c r="Q677" s="96">
        <f t="shared" si="1661"/>
        <v>0.61099999999999999</v>
      </c>
      <c r="R677" s="337">
        <f t="shared" si="1662"/>
        <v>13.469794</v>
      </c>
      <c r="S677" s="96">
        <v>6.4000000000000001E-2</v>
      </c>
      <c r="T677" s="96">
        <f t="shared" si="1663"/>
        <v>1.396352</v>
      </c>
      <c r="U677" s="96">
        <v>0.23400000000000001</v>
      </c>
      <c r="V677" s="96">
        <f t="shared" si="1664"/>
        <v>5.1054120000000003</v>
      </c>
      <c r="W677" s="96">
        <v>0.20499999999999999</v>
      </c>
      <c r="X677" s="96">
        <f t="shared" si="1665"/>
        <v>4.4726899999999992</v>
      </c>
      <c r="Y677" s="96">
        <f t="shared" si="1666"/>
        <v>0.503</v>
      </c>
      <c r="Z677" s="96">
        <f t="shared" si="1667"/>
        <v>10.974454</v>
      </c>
      <c r="AA677" s="96">
        <v>0.108</v>
      </c>
      <c r="AB677" s="96">
        <f t="shared" si="1668"/>
        <v>2.4953400000000001</v>
      </c>
      <c r="AC677" s="96"/>
      <c r="AD677" s="96">
        <f t="shared" si="1669"/>
        <v>0</v>
      </c>
      <c r="AE677" s="96"/>
      <c r="AF677" s="96">
        <f t="shared" si="1670"/>
        <v>0</v>
      </c>
      <c r="AG677" s="96">
        <f t="shared" si="1671"/>
        <v>0.108</v>
      </c>
      <c r="AH677" s="96">
        <f t="shared" si="1672"/>
        <v>2.4953400000000001</v>
      </c>
      <c r="AI677" s="96">
        <f t="shared" si="1673"/>
        <v>0.61099999999999999</v>
      </c>
      <c r="AJ677" s="96">
        <f t="shared" si="1674"/>
        <v>13.469794</v>
      </c>
      <c r="AK677" s="96"/>
      <c r="AL677" s="96">
        <f t="shared" si="1675"/>
        <v>0</v>
      </c>
      <c r="AM677" s="96"/>
      <c r="AN677" s="96">
        <f t="shared" si="1676"/>
        <v>0</v>
      </c>
      <c r="AO677" s="96"/>
      <c r="AP677" s="96">
        <f t="shared" si="1677"/>
        <v>0</v>
      </c>
      <c r="AQ677" s="96">
        <f t="shared" si="1678"/>
        <v>0</v>
      </c>
      <c r="AR677" s="96">
        <f t="shared" si="1679"/>
        <v>0</v>
      </c>
      <c r="AS677" s="96"/>
      <c r="AT677" s="96">
        <f t="shared" si="1680"/>
        <v>0</v>
      </c>
      <c r="AU677" s="96"/>
      <c r="AV677" s="96">
        <f t="shared" si="1681"/>
        <v>0</v>
      </c>
      <c r="AW677" s="96"/>
      <c r="AX677" s="96">
        <f t="shared" si="1682"/>
        <v>0</v>
      </c>
      <c r="AY677" s="96">
        <f t="shared" si="1683"/>
        <v>0</v>
      </c>
      <c r="AZ677" s="96">
        <f t="shared" si="1684"/>
        <v>0</v>
      </c>
      <c r="BA677" s="96">
        <f t="shared" si="1685"/>
        <v>0</v>
      </c>
      <c r="BB677" s="96">
        <f t="shared" si="1686"/>
        <v>0</v>
      </c>
    </row>
    <row r="678" spans="1:54">
      <c r="A678" s="492">
        <v>410</v>
      </c>
      <c r="B678" s="13"/>
      <c r="C678" s="432"/>
      <c r="D678" s="13"/>
      <c r="E678" s="21" t="s">
        <v>1407</v>
      </c>
      <c r="F678" s="45"/>
      <c r="G678" s="45" t="s">
        <v>1059</v>
      </c>
      <c r="H678" s="265" t="s">
        <v>358</v>
      </c>
      <c r="I678" s="54"/>
      <c r="J678" s="162">
        <v>21818</v>
      </c>
      <c r="K678" s="54"/>
      <c r="L678" s="162">
        <v>23105</v>
      </c>
      <c r="M678" s="54"/>
      <c r="N678" s="162"/>
      <c r="O678" s="54"/>
      <c r="P678" s="162"/>
      <c r="Q678" s="96">
        <f t="shared" si="1661"/>
        <v>4.5640000000000001</v>
      </c>
      <c r="R678" s="337">
        <f t="shared" si="1662"/>
        <v>100.331534</v>
      </c>
      <c r="S678" s="96">
        <v>3.052</v>
      </c>
      <c r="T678" s="96">
        <f t="shared" si="1663"/>
        <v>66.588536000000005</v>
      </c>
      <c r="U678" s="96">
        <v>0.92500000000000004</v>
      </c>
      <c r="V678" s="96">
        <f t="shared" si="1664"/>
        <v>20.181650000000001</v>
      </c>
      <c r="W678" s="96">
        <v>1E-3</v>
      </c>
      <c r="X678" s="96">
        <f t="shared" si="1665"/>
        <v>2.1818000000000001E-2</v>
      </c>
      <c r="Y678" s="96">
        <f t="shared" si="1666"/>
        <v>3.9780000000000002</v>
      </c>
      <c r="Z678" s="96">
        <f t="shared" si="1667"/>
        <v>86.792004000000006</v>
      </c>
      <c r="AA678" s="96">
        <v>0.58599999999999997</v>
      </c>
      <c r="AB678" s="96">
        <f t="shared" si="1668"/>
        <v>13.539529999999999</v>
      </c>
      <c r="AC678" s="96"/>
      <c r="AD678" s="96">
        <f t="shared" si="1669"/>
        <v>0</v>
      </c>
      <c r="AE678" s="96"/>
      <c r="AF678" s="96">
        <f t="shared" si="1670"/>
        <v>0</v>
      </c>
      <c r="AG678" s="96">
        <f t="shared" si="1671"/>
        <v>0.58599999999999997</v>
      </c>
      <c r="AH678" s="96">
        <f t="shared" si="1672"/>
        <v>13.539529999999999</v>
      </c>
      <c r="AI678" s="96">
        <f t="shared" si="1673"/>
        <v>4.5640000000000001</v>
      </c>
      <c r="AJ678" s="96">
        <f t="shared" si="1674"/>
        <v>100.331534</v>
      </c>
      <c r="AK678" s="96"/>
      <c r="AL678" s="96">
        <f t="shared" si="1675"/>
        <v>0</v>
      </c>
      <c r="AM678" s="96"/>
      <c r="AN678" s="96">
        <f t="shared" si="1676"/>
        <v>0</v>
      </c>
      <c r="AO678" s="96"/>
      <c r="AP678" s="96">
        <f t="shared" si="1677"/>
        <v>0</v>
      </c>
      <c r="AQ678" s="96">
        <f t="shared" si="1678"/>
        <v>0</v>
      </c>
      <c r="AR678" s="96">
        <f t="shared" si="1679"/>
        <v>0</v>
      </c>
      <c r="AS678" s="96"/>
      <c r="AT678" s="96">
        <f t="shared" si="1680"/>
        <v>0</v>
      </c>
      <c r="AU678" s="96"/>
      <c r="AV678" s="96">
        <f t="shared" si="1681"/>
        <v>0</v>
      </c>
      <c r="AW678" s="96"/>
      <c r="AX678" s="96">
        <f t="shared" si="1682"/>
        <v>0</v>
      </c>
      <c r="AY678" s="96">
        <f t="shared" si="1683"/>
        <v>0</v>
      </c>
      <c r="AZ678" s="96">
        <f t="shared" si="1684"/>
        <v>0</v>
      </c>
      <c r="BA678" s="96">
        <f t="shared" si="1685"/>
        <v>0</v>
      </c>
      <c r="BB678" s="96">
        <f t="shared" si="1686"/>
        <v>0</v>
      </c>
    </row>
    <row r="679" spans="1:54">
      <c r="A679" s="492">
        <v>414</v>
      </c>
      <c r="B679" s="13"/>
      <c r="C679" s="432"/>
      <c r="D679" s="13"/>
      <c r="E679" s="21" t="s">
        <v>1050</v>
      </c>
      <c r="F679" s="45"/>
      <c r="G679" s="45" t="s">
        <v>1059</v>
      </c>
      <c r="H679" s="265" t="s">
        <v>358</v>
      </c>
      <c r="I679" s="54"/>
      <c r="J679" s="162">
        <v>18061</v>
      </c>
      <c r="K679" s="54"/>
      <c r="L679" s="162">
        <v>19127</v>
      </c>
      <c r="M679" s="54"/>
      <c r="N679" s="162"/>
      <c r="O679" s="54"/>
      <c r="P679" s="162"/>
      <c r="Q679" s="96">
        <f t="shared" si="1661"/>
        <v>0</v>
      </c>
      <c r="R679" s="337">
        <f t="shared" si="1662"/>
        <v>0</v>
      </c>
      <c r="S679" s="96"/>
      <c r="T679" s="96">
        <f t="shared" si="1663"/>
        <v>0</v>
      </c>
      <c r="U679" s="96"/>
      <c r="V679" s="96">
        <f t="shared" si="1664"/>
        <v>0</v>
      </c>
      <c r="W679" s="96"/>
      <c r="X679" s="96">
        <f t="shared" si="1665"/>
        <v>0</v>
      </c>
      <c r="Y679" s="96">
        <f t="shared" si="1666"/>
        <v>0</v>
      </c>
      <c r="Z679" s="96">
        <f t="shared" si="1667"/>
        <v>0</v>
      </c>
      <c r="AA679" s="96"/>
      <c r="AB679" s="96">
        <f t="shared" si="1668"/>
        <v>0</v>
      </c>
      <c r="AC679" s="96"/>
      <c r="AD679" s="96">
        <f t="shared" si="1669"/>
        <v>0</v>
      </c>
      <c r="AE679" s="96"/>
      <c r="AF679" s="96">
        <f t="shared" si="1670"/>
        <v>0</v>
      </c>
      <c r="AG679" s="96">
        <f t="shared" si="1671"/>
        <v>0</v>
      </c>
      <c r="AH679" s="96">
        <f t="shared" si="1672"/>
        <v>0</v>
      </c>
      <c r="AI679" s="96">
        <f t="shared" si="1673"/>
        <v>0</v>
      </c>
      <c r="AJ679" s="96">
        <f t="shared" si="1674"/>
        <v>0</v>
      </c>
      <c r="AK679" s="96"/>
      <c r="AL679" s="96">
        <f t="shared" si="1675"/>
        <v>0</v>
      </c>
      <c r="AM679" s="96"/>
      <c r="AN679" s="96">
        <f t="shared" si="1676"/>
        <v>0</v>
      </c>
      <c r="AO679" s="96"/>
      <c r="AP679" s="96">
        <f t="shared" si="1677"/>
        <v>0</v>
      </c>
      <c r="AQ679" s="96">
        <f t="shared" si="1678"/>
        <v>0</v>
      </c>
      <c r="AR679" s="96">
        <f t="shared" si="1679"/>
        <v>0</v>
      </c>
      <c r="AS679" s="96"/>
      <c r="AT679" s="96">
        <f t="shared" si="1680"/>
        <v>0</v>
      </c>
      <c r="AU679" s="96"/>
      <c r="AV679" s="96">
        <f t="shared" si="1681"/>
        <v>0</v>
      </c>
      <c r="AW679" s="96"/>
      <c r="AX679" s="96">
        <f t="shared" si="1682"/>
        <v>0</v>
      </c>
      <c r="AY679" s="96">
        <f t="shared" si="1683"/>
        <v>0</v>
      </c>
      <c r="AZ679" s="96">
        <f t="shared" si="1684"/>
        <v>0</v>
      </c>
      <c r="BA679" s="96">
        <f t="shared" si="1685"/>
        <v>0</v>
      </c>
      <c r="BB679" s="96">
        <f t="shared" si="1686"/>
        <v>0</v>
      </c>
    </row>
    <row r="680" spans="1:54">
      <c r="A680" s="492">
        <v>410</v>
      </c>
      <c r="B680" s="13"/>
      <c r="C680" s="432"/>
      <c r="D680" s="13"/>
      <c r="E680" s="21" t="s">
        <v>1499</v>
      </c>
      <c r="F680" s="45"/>
      <c r="G680" s="45" t="s">
        <v>1059</v>
      </c>
      <c r="H680" s="265" t="s">
        <v>358</v>
      </c>
      <c r="I680" s="54"/>
      <c r="J680" s="162">
        <v>20587</v>
      </c>
      <c r="K680" s="54"/>
      <c r="L680" s="162">
        <v>21802</v>
      </c>
      <c r="M680" s="54"/>
      <c r="N680" s="162"/>
      <c r="O680" s="54"/>
      <c r="P680" s="162"/>
      <c r="Q680" s="96">
        <f t="shared" si="1661"/>
        <v>0</v>
      </c>
      <c r="R680" s="337">
        <f t="shared" si="1662"/>
        <v>0</v>
      </c>
      <c r="S680" s="96"/>
      <c r="T680" s="96">
        <f t="shared" si="1663"/>
        <v>0</v>
      </c>
      <c r="U680" s="96"/>
      <c r="V680" s="96">
        <f t="shared" si="1664"/>
        <v>0</v>
      </c>
      <c r="W680" s="96"/>
      <c r="X680" s="96">
        <f t="shared" si="1665"/>
        <v>0</v>
      </c>
      <c r="Y680" s="96">
        <f t="shared" si="1666"/>
        <v>0</v>
      </c>
      <c r="Z680" s="96">
        <f t="shared" si="1667"/>
        <v>0</v>
      </c>
      <c r="AA680" s="96"/>
      <c r="AB680" s="96">
        <f t="shared" si="1668"/>
        <v>0</v>
      </c>
      <c r="AC680" s="96"/>
      <c r="AD680" s="96">
        <f t="shared" si="1669"/>
        <v>0</v>
      </c>
      <c r="AE680" s="96"/>
      <c r="AF680" s="96">
        <f t="shared" si="1670"/>
        <v>0</v>
      </c>
      <c r="AG680" s="96">
        <f t="shared" si="1671"/>
        <v>0</v>
      </c>
      <c r="AH680" s="96">
        <f t="shared" si="1672"/>
        <v>0</v>
      </c>
      <c r="AI680" s="96">
        <f t="shared" si="1673"/>
        <v>0</v>
      </c>
      <c r="AJ680" s="96">
        <f t="shared" si="1674"/>
        <v>0</v>
      </c>
      <c r="AK680" s="96"/>
      <c r="AL680" s="96">
        <f t="shared" si="1675"/>
        <v>0</v>
      </c>
      <c r="AM680" s="96"/>
      <c r="AN680" s="96">
        <f t="shared" si="1676"/>
        <v>0</v>
      </c>
      <c r="AO680" s="96"/>
      <c r="AP680" s="96">
        <f t="shared" si="1677"/>
        <v>0</v>
      </c>
      <c r="AQ680" s="96">
        <f t="shared" si="1678"/>
        <v>0</v>
      </c>
      <c r="AR680" s="96">
        <f t="shared" si="1679"/>
        <v>0</v>
      </c>
      <c r="AS680" s="96"/>
      <c r="AT680" s="96">
        <f t="shared" si="1680"/>
        <v>0</v>
      </c>
      <c r="AU680" s="96"/>
      <c r="AV680" s="96">
        <f t="shared" si="1681"/>
        <v>0</v>
      </c>
      <c r="AW680" s="96"/>
      <c r="AX680" s="96">
        <f t="shared" si="1682"/>
        <v>0</v>
      </c>
      <c r="AY680" s="96">
        <f t="shared" si="1683"/>
        <v>0</v>
      </c>
      <c r="AZ680" s="96">
        <f t="shared" si="1684"/>
        <v>0</v>
      </c>
      <c r="BA680" s="96">
        <f t="shared" si="1685"/>
        <v>0</v>
      </c>
      <c r="BB680" s="96">
        <f t="shared" si="1686"/>
        <v>0</v>
      </c>
    </row>
    <row r="681" spans="1:54">
      <c r="A681" s="492">
        <v>410</v>
      </c>
      <c r="B681" s="13"/>
      <c r="C681" s="432"/>
      <c r="D681" s="13"/>
      <c r="E681" s="21" t="s">
        <v>1735</v>
      </c>
      <c r="F681" s="45"/>
      <c r="G681" s="45" t="s">
        <v>1059</v>
      </c>
      <c r="H681" s="265" t="s">
        <v>358</v>
      </c>
      <c r="I681" s="54"/>
      <c r="J681" s="162">
        <v>9674</v>
      </c>
      <c r="K681" s="54"/>
      <c r="L681" s="162">
        <v>10245</v>
      </c>
      <c r="M681" s="54"/>
      <c r="N681" s="162"/>
      <c r="O681" s="54"/>
      <c r="P681" s="162"/>
      <c r="Q681" s="96">
        <f t="shared" si="1661"/>
        <v>0</v>
      </c>
      <c r="R681" s="337">
        <f t="shared" si="1662"/>
        <v>0</v>
      </c>
      <c r="S681" s="96"/>
      <c r="T681" s="96">
        <f t="shared" si="1663"/>
        <v>0</v>
      </c>
      <c r="U681" s="96"/>
      <c r="V681" s="96">
        <f t="shared" si="1664"/>
        <v>0</v>
      </c>
      <c r="W681" s="96"/>
      <c r="X681" s="96">
        <f t="shared" si="1665"/>
        <v>0</v>
      </c>
      <c r="Y681" s="96">
        <f t="shared" si="1666"/>
        <v>0</v>
      </c>
      <c r="Z681" s="96">
        <f t="shared" si="1667"/>
        <v>0</v>
      </c>
      <c r="AA681" s="96"/>
      <c r="AB681" s="96">
        <f t="shared" si="1668"/>
        <v>0</v>
      </c>
      <c r="AC681" s="96"/>
      <c r="AD681" s="96">
        <f t="shared" si="1669"/>
        <v>0</v>
      </c>
      <c r="AE681" s="96"/>
      <c r="AF681" s="96">
        <f t="shared" si="1670"/>
        <v>0</v>
      </c>
      <c r="AG681" s="96">
        <f t="shared" si="1671"/>
        <v>0</v>
      </c>
      <c r="AH681" s="96">
        <f t="shared" si="1672"/>
        <v>0</v>
      </c>
      <c r="AI681" s="96">
        <f t="shared" si="1673"/>
        <v>0</v>
      </c>
      <c r="AJ681" s="96">
        <f t="shared" si="1674"/>
        <v>0</v>
      </c>
      <c r="AK681" s="96"/>
      <c r="AL681" s="96">
        <f t="shared" si="1675"/>
        <v>0</v>
      </c>
      <c r="AM681" s="96"/>
      <c r="AN681" s="96">
        <f t="shared" si="1676"/>
        <v>0</v>
      </c>
      <c r="AO681" s="96"/>
      <c r="AP681" s="96">
        <f t="shared" si="1677"/>
        <v>0</v>
      </c>
      <c r="AQ681" s="96">
        <f t="shared" si="1678"/>
        <v>0</v>
      </c>
      <c r="AR681" s="96">
        <f t="shared" si="1679"/>
        <v>0</v>
      </c>
      <c r="AS681" s="96"/>
      <c r="AT681" s="96">
        <f t="shared" si="1680"/>
        <v>0</v>
      </c>
      <c r="AU681" s="96"/>
      <c r="AV681" s="96">
        <f t="shared" si="1681"/>
        <v>0</v>
      </c>
      <c r="AW681" s="96"/>
      <c r="AX681" s="96">
        <f t="shared" si="1682"/>
        <v>0</v>
      </c>
      <c r="AY681" s="96">
        <f t="shared" si="1683"/>
        <v>0</v>
      </c>
      <c r="AZ681" s="96">
        <f t="shared" si="1684"/>
        <v>0</v>
      </c>
      <c r="BA681" s="96">
        <f t="shared" si="1685"/>
        <v>0</v>
      </c>
      <c r="BB681" s="96">
        <f t="shared" si="1686"/>
        <v>0</v>
      </c>
    </row>
    <row r="682" spans="1:54">
      <c r="A682" s="492">
        <v>415</v>
      </c>
      <c r="B682" s="13"/>
      <c r="C682" s="432"/>
      <c r="D682" s="13"/>
      <c r="E682" s="21" t="s">
        <v>1131</v>
      </c>
      <c r="F682" s="45" t="s">
        <v>216</v>
      </c>
      <c r="G682" s="45" t="s">
        <v>1059</v>
      </c>
      <c r="H682" s="265" t="s">
        <v>359</v>
      </c>
      <c r="I682" s="54"/>
      <c r="J682" s="162">
        <v>17782</v>
      </c>
      <c r="K682" s="54"/>
      <c r="L682" s="162">
        <v>18831</v>
      </c>
      <c r="M682" s="54"/>
      <c r="N682" s="162"/>
      <c r="O682" s="54"/>
      <c r="P682" s="162"/>
      <c r="Q682" s="96">
        <f t="shared" si="1661"/>
        <v>7.5339999999999998</v>
      </c>
      <c r="R682" s="337">
        <f t="shared" si="1662"/>
        <v>136.340328</v>
      </c>
      <c r="S682" s="96">
        <v>1.95</v>
      </c>
      <c r="T682" s="96">
        <f t="shared" si="1663"/>
        <v>34.674900000000001</v>
      </c>
      <c r="U682" s="96">
        <v>0.80500000000000005</v>
      </c>
      <c r="V682" s="96">
        <f t="shared" si="1664"/>
        <v>14.31451</v>
      </c>
      <c r="W682" s="96">
        <v>2.5190000000000001</v>
      </c>
      <c r="X682" s="96">
        <f t="shared" si="1665"/>
        <v>44.792858000000003</v>
      </c>
      <c r="Y682" s="96">
        <f t="shared" si="1666"/>
        <v>5.274</v>
      </c>
      <c r="Z682" s="96">
        <f t="shared" si="1667"/>
        <v>93.782268000000002</v>
      </c>
      <c r="AA682" s="96">
        <v>2.2599999999999998</v>
      </c>
      <c r="AB682" s="96">
        <f t="shared" si="1668"/>
        <v>42.558059999999998</v>
      </c>
      <c r="AC682" s="96"/>
      <c r="AD682" s="96">
        <f t="shared" si="1669"/>
        <v>0</v>
      </c>
      <c r="AE682" s="96"/>
      <c r="AF682" s="96">
        <f t="shared" si="1670"/>
        <v>0</v>
      </c>
      <c r="AG682" s="96">
        <f t="shared" si="1671"/>
        <v>2.2599999999999998</v>
      </c>
      <c r="AH682" s="96">
        <f t="shared" si="1672"/>
        <v>42.558059999999998</v>
      </c>
      <c r="AI682" s="96">
        <f t="shared" si="1673"/>
        <v>7.5339999999999998</v>
      </c>
      <c r="AJ682" s="96">
        <f t="shared" si="1674"/>
        <v>136.340328</v>
      </c>
      <c r="AK682" s="96"/>
      <c r="AL682" s="96">
        <f t="shared" si="1675"/>
        <v>0</v>
      </c>
      <c r="AM682" s="96"/>
      <c r="AN682" s="96">
        <f t="shared" si="1676"/>
        <v>0</v>
      </c>
      <c r="AO682" s="96"/>
      <c r="AP682" s="96">
        <f t="shared" si="1677"/>
        <v>0</v>
      </c>
      <c r="AQ682" s="96">
        <f t="shared" si="1678"/>
        <v>0</v>
      </c>
      <c r="AR682" s="96">
        <f t="shared" si="1679"/>
        <v>0</v>
      </c>
      <c r="AS682" s="96"/>
      <c r="AT682" s="96">
        <f t="shared" si="1680"/>
        <v>0</v>
      </c>
      <c r="AU682" s="96"/>
      <c r="AV682" s="96">
        <f t="shared" si="1681"/>
        <v>0</v>
      </c>
      <c r="AW682" s="96"/>
      <c r="AX682" s="96">
        <f t="shared" si="1682"/>
        <v>0</v>
      </c>
      <c r="AY682" s="96">
        <f t="shared" si="1683"/>
        <v>0</v>
      </c>
      <c r="AZ682" s="96">
        <f t="shared" si="1684"/>
        <v>0</v>
      </c>
      <c r="BA682" s="96">
        <f t="shared" si="1685"/>
        <v>0</v>
      </c>
      <c r="BB682" s="96">
        <f t="shared" si="1686"/>
        <v>0</v>
      </c>
    </row>
    <row r="683" spans="1:54">
      <c r="A683" s="492">
        <v>416</v>
      </c>
      <c r="B683" s="13"/>
      <c r="C683" s="23"/>
      <c r="D683" s="13"/>
      <c r="E683" s="21" t="s">
        <v>537</v>
      </c>
      <c r="F683" s="45"/>
      <c r="G683" s="45" t="s">
        <v>1059</v>
      </c>
      <c r="H683" s="265" t="s">
        <v>358</v>
      </c>
      <c r="I683" s="54"/>
      <c r="J683" s="162">
        <v>16508</v>
      </c>
      <c r="K683" s="54"/>
      <c r="L683" s="162">
        <v>17482</v>
      </c>
      <c r="M683" s="54"/>
      <c r="N683" s="162"/>
      <c r="O683" s="54"/>
      <c r="P683" s="162"/>
      <c r="Q683" s="96">
        <f t="shared" si="1661"/>
        <v>1.081</v>
      </c>
      <c r="R683" s="337">
        <f t="shared" si="1662"/>
        <v>17.932808000000001</v>
      </c>
      <c r="S683" s="96">
        <v>0.18</v>
      </c>
      <c r="T683" s="96">
        <f t="shared" si="1663"/>
        <v>2.9714399999999999</v>
      </c>
      <c r="U683" s="96">
        <v>0.53</v>
      </c>
      <c r="V683" s="96">
        <f t="shared" si="1664"/>
        <v>8.7492400000000004</v>
      </c>
      <c r="W683" s="96">
        <v>0.28100000000000003</v>
      </c>
      <c r="X683" s="96">
        <f t="shared" si="1665"/>
        <v>4.6387480000000005</v>
      </c>
      <c r="Y683" s="96">
        <f t="shared" si="1666"/>
        <v>0.99099999999999999</v>
      </c>
      <c r="Z683" s="96">
        <f t="shared" si="1667"/>
        <v>16.359428000000001</v>
      </c>
      <c r="AA683" s="96">
        <v>0.09</v>
      </c>
      <c r="AB683" s="96">
        <f t="shared" si="1668"/>
        <v>1.5733799999999998</v>
      </c>
      <c r="AC683" s="96"/>
      <c r="AD683" s="96">
        <f t="shared" si="1669"/>
        <v>0</v>
      </c>
      <c r="AE683" s="96"/>
      <c r="AF683" s="96">
        <f t="shared" si="1670"/>
        <v>0</v>
      </c>
      <c r="AG683" s="96">
        <f t="shared" si="1671"/>
        <v>0.09</v>
      </c>
      <c r="AH683" s="96">
        <f t="shared" si="1672"/>
        <v>1.5733799999999998</v>
      </c>
      <c r="AI683" s="96">
        <f t="shared" si="1673"/>
        <v>1.081</v>
      </c>
      <c r="AJ683" s="96">
        <f t="shared" si="1674"/>
        <v>17.932808000000001</v>
      </c>
      <c r="AK683" s="96"/>
      <c r="AL683" s="96">
        <f t="shared" si="1675"/>
        <v>0</v>
      </c>
      <c r="AM683" s="96"/>
      <c r="AN683" s="96">
        <f t="shared" si="1676"/>
        <v>0</v>
      </c>
      <c r="AO683" s="96"/>
      <c r="AP683" s="96">
        <f t="shared" si="1677"/>
        <v>0</v>
      </c>
      <c r="AQ683" s="96">
        <f t="shared" si="1678"/>
        <v>0</v>
      </c>
      <c r="AR683" s="96">
        <f t="shared" si="1679"/>
        <v>0</v>
      </c>
      <c r="AS683" s="96"/>
      <c r="AT683" s="96">
        <f t="shared" si="1680"/>
        <v>0</v>
      </c>
      <c r="AU683" s="96"/>
      <c r="AV683" s="96">
        <f t="shared" si="1681"/>
        <v>0</v>
      </c>
      <c r="AW683" s="96"/>
      <c r="AX683" s="96">
        <f t="shared" si="1682"/>
        <v>0</v>
      </c>
      <c r="AY683" s="96">
        <f t="shared" si="1683"/>
        <v>0</v>
      </c>
      <c r="AZ683" s="96">
        <f t="shared" si="1684"/>
        <v>0</v>
      </c>
      <c r="BA683" s="96">
        <f t="shared" si="1685"/>
        <v>0</v>
      </c>
      <c r="BB683" s="96">
        <f t="shared" si="1686"/>
        <v>0</v>
      </c>
    </row>
    <row r="684" spans="1:54">
      <c r="A684" s="492">
        <v>417</v>
      </c>
      <c r="B684" s="13"/>
      <c r="C684" s="23"/>
      <c r="D684" s="13"/>
      <c r="E684" s="21" t="s">
        <v>855</v>
      </c>
      <c r="F684" s="45"/>
      <c r="G684" s="45" t="s">
        <v>1059</v>
      </c>
      <c r="H684" s="265" t="s">
        <v>358</v>
      </c>
      <c r="I684" s="54"/>
      <c r="J684" s="162">
        <v>16508</v>
      </c>
      <c r="K684" s="54"/>
      <c r="L684" s="162">
        <v>16508</v>
      </c>
      <c r="M684" s="54"/>
      <c r="N684" s="162"/>
      <c r="O684" s="54"/>
      <c r="P684" s="162"/>
      <c r="Q684" s="96">
        <f t="shared" si="1661"/>
        <v>0</v>
      </c>
      <c r="R684" s="337">
        <f t="shared" si="1662"/>
        <v>0</v>
      </c>
      <c r="S684" s="96"/>
      <c r="T684" s="96">
        <f t="shared" si="1663"/>
        <v>0</v>
      </c>
      <c r="U684" s="96"/>
      <c r="V684" s="96">
        <f t="shared" si="1664"/>
        <v>0</v>
      </c>
      <c r="W684" s="96"/>
      <c r="X684" s="96">
        <f t="shared" si="1665"/>
        <v>0</v>
      </c>
      <c r="Y684" s="96">
        <f t="shared" si="1666"/>
        <v>0</v>
      </c>
      <c r="Z684" s="96">
        <f t="shared" si="1667"/>
        <v>0</v>
      </c>
      <c r="AA684" s="96"/>
      <c r="AB684" s="96">
        <f t="shared" si="1668"/>
        <v>0</v>
      </c>
      <c r="AC684" s="96"/>
      <c r="AD684" s="96">
        <f t="shared" si="1669"/>
        <v>0</v>
      </c>
      <c r="AE684" s="96"/>
      <c r="AF684" s="96">
        <f t="shared" si="1670"/>
        <v>0</v>
      </c>
      <c r="AG684" s="96">
        <f t="shared" si="1671"/>
        <v>0</v>
      </c>
      <c r="AH684" s="96">
        <f t="shared" si="1672"/>
        <v>0</v>
      </c>
      <c r="AI684" s="96">
        <f t="shared" si="1673"/>
        <v>0</v>
      </c>
      <c r="AJ684" s="96">
        <f t="shared" si="1674"/>
        <v>0</v>
      </c>
      <c r="AK684" s="96"/>
      <c r="AL684" s="96">
        <f t="shared" si="1675"/>
        <v>0</v>
      </c>
      <c r="AM684" s="96"/>
      <c r="AN684" s="96">
        <f t="shared" si="1676"/>
        <v>0</v>
      </c>
      <c r="AO684" s="96"/>
      <c r="AP684" s="96">
        <f t="shared" si="1677"/>
        <v>0</v>
      </c>
      <c r="AQ684" s="96">
        <f t="shared" si="1678"/>
        <v>0</v>
      </c>
      <c r="AR684" s="96">
        <f t="shared" si="1679"/>
        <v>0</v>
      </c>
      <c r="AS684" s="96"/>
      <c r="AT684" s="96">
        <f t="shared" si="1680"/>
        <v>0</v>
      </c>
      <c r="AU684" s="96"/>
      <c r="AV684" s="96">
        <f t="shared" si="1681"/>
        <v>0</v>
      </c>
      <c r="AW684" s="96"/>
      <c r="AX684" s="96">
        <f t="shared" si="1682"/>
        <v>0</v>
      </c>
      <c r="AY684" s="96">
        <f t="shared" si="1683"/>
        <v>0</v>
      </c>
      <c r="AZ684" s="96">
        <f t="shared" si="1684"/>
        <v>0</v>
      </c>
      <c r="BA684" s="96">
        <f t="shared" si="1685"/>
        <v>0</v>
      </c>
      <c r="BB684" s="96">
        <f t="shared" si="1686"/>
        <v>0</v>
      </c>
    </row>
    <row r="685" spans="1:54">
      <c r="A685" s="492">
        <v>418</v>
      </c>
      <c r="B685" s="13"/>
      <c r="C685" s="23"/>
      <c r="D685" s="13"/>
      <c r="E685" s="21" t="s">
        <v>538</v>
      </c>
      <c r="F685" s="45"/>
      <c r="G685" s="45" t="s">
        <v>1059</v>
      </c>
      <c r="H685" s="265" t="s">
        <v>358</v>
      </c>
      <c r="I685" s="54"/>
      <c r="J685" s="162">
        <v>16734</v>
      </c>
      <c r="K685" s="54"/>
      <c r="L685" s="162">
        <v>17721</v>
      </c>
      <c r="M685" s="54"/>
      <c r="N685" s="162"/>
      <c r="O685" s="54"/>
      <c r="P685" s="162"/>
      <c r="Q685" s="96">
        <f t="shared" si="1661"/>
        <v>1.4999999999999999E-2</v>
      </c>
      <c r="R685" s="337">
        <f t="shared" si="1662"/>
        <v>0.25101000000000001</v>
      </c>
      <c r="S685" s="96"/>
      <c r="T685" s="96">
        <f t="shared" si="1663"/>
        <v>0</v>
      </c>
      <c r="U685" s="96">
        <v>1.4999999999999999E-2</v>
      </c>
      <c r="V685" s="96">
        <f t="shared" si="1664"/>
        <v>0.25101000000000001</v>
      </c>
      <c r="W685" s="96"/>
      <c r="X685" s="96">
        <f t="shared" si="1665"/>
        <v>0</v>
      </c>
      <c r="Y685" s="96">
        <f t="shared" si="1666"/>
        <v>1.4999999999999999E-2</v>
      </c>
      <c r="Z685" s="96">
        <f t="shared" si="1667"/>
        <v>0.25101000000000001</v>
      </c>
      <c r="AA685" s="96"/>
      <c r="AB685" s="96">
        <f t="shared" si="1668"/>
        <v>0</v>
      </c>
      <c r="AC685" s="96"/>
      <c r="AD685" s="96">
        <f t="shared" si="1669"/>
        <v>0</v>
      </c>
      <c r="AE685" s="96"/>
      <c r="AF685" s="96">
        <f t="shared" si="1670"/>
        <v>0</v>
      </c>
      <c r="AG685" s="96">
        <f t="shared" si="1671"/>
        <v>0</v>
      </c>
      <c r="AH685" s="96">
        <f t="shared" si="1672"/>
        <v>0</v>
      </c>
      <c r="AI685" s="96">
        <f t="shared" si="1673"/>
        <v>1.4999999999999999E-2</v>
      </c>
      <c r="AJ685" s="96">
        <f t="shared" si="1674"/>
        <v>0.25101000000000001</v>
      </c>
      <c r="AK685" s="96"/>
      <c r="AL685" s="96">
        <f t="shared" si="1675"/>
        <v>0</v>
      </c>
      <c r="AM685" s="96"/>
      <c r="AN685" s="96">
        <f t="shared" si="1676"/>
        <v>0</v>
      </c>
      <c r="AO685" s="96"/>
      <c r="AP685" s="96">
        <f t="shared" si="1677"/>
        <v>0</v>
      </c>
      <c r="AQ685" s="96">
        <f t="shared" si="1678"/>
        <v>0</v>
      </c>
      <c r="AR685" s="96">
        <f t="shared" si="1679"/>
        <v>0</v>
      </c>
      <c r="AS685" s="96"/>
      <c r="AT685" s="96">
        <f t="shared" si="1680"/>
        <v>0</v>
      </c>
      <c r="AU685" s="96"/>
      <c r="AV685" s="96">
        <f t="shared" si="1681"/>
        <v>0</v>
      </c>
      <c r="AW685" s="96"/>
      <c r="AX685" s="96">
        <f t="shared" si="1682"/>
        <v>0</v>
      </c>
      <c r="AY685" s="96">
        <f t="shared" si="1683"/>
        <v>0</v>
      </c>
      <c r="AZ685" s="96">
        <f t="shared" si="1684"/>
        <v>0</v>
      </c>
      <c r="BA685" s="96">
        <f t="shared" si="1685"/>
        <v>0</v>
      </c>
      <c r="BB685" s="96">
        <f t="shared" si="1686"/>
        <v>0</v>
      </c>
    </row>
    <row r="686" spans="1:54">
      <c r="A686" s="492">
        <v>419</v>
      </c>
      <c r="B686" s="13"/>
      <c r="C686" s="13"/>
      <c r="D686" s="13"/>
      <c r="E686" s="21" t="s">
        <v>1548</v>
      </c>
      <c r="F686" s="45" t="s">
        <v>217</v>
      </c>
      <c r="G686" s="45" t="s">
        <v>1059</v>
      </c>
      <c r="H686" s="265" t="s">
        <v>359</v>
      </c>
      <c r="I686" s="54"/>
      <c r="J686" s="162">
        <v>17712</v>
      </c>
      <c r="K686" s="54"/>
      <c r="L686" s="162">
        <v>18757</v>
      </c>
      <c r="M686" s="54"/>
      <c r="N686" s="162"/>
      <c r="O686" s="54"/>
      <c r="P686" s="162"/>
      <c r="Q686" s="96">
        <f t="shared" si="1661"/>
        <v>0.42099999999999999</v>
      </c>
      <c r="R686" s="337">
        <f t="shared" si="1662"/>
        <v>7.4567519999999998</v>
      </c>
      <c r="S686" s="96">
        <v>8.5999999999999993E-2</v>
      </c>
      <c r="T686" s="96">
        <f t="shared" si="1663"/>
        <v>1.5232319999999999</v>
      </c>
      <c r="U686" s="96">
        <v>0.28999999999999998</v>
      </c>
      <c r="V686" s="96">
        <f t="shared" si="1664"/>
        <v>5.1364799999999997</v>
      </c>
      <c r="W686" s="96">
        <v>4.4999999999999998E-2</v>
      </c>
      <c r="X686" s="96">
        <f t="shared" si="1665"/>
        <v>0.79703999999999997</v>
      </c>
      <c r="Y686" s="96">
        <f t="shared" si="1666"/>
        <v>0.42099999999999999</v>
      </c>
      <c r="Z686" s="96">
        <f t="shared" si="1667"/>
        <v>7.4567519999999998</v>
      </c>
      <c r="AA686" s="96"/>
      <c r="AB686" s="96">
        <f t="shared" si="1668"/>
        <v>0</v>
      </c>
      <c r="AC686" s="96"/>
      <c r="AD686" s="96">
        <f t="shared" si="1669"/>
        <v>0</v>
      </c>
      <c r="AE686" s="96"/>
      <c r="AF686" s="96">
        <f t="shared" si="1670"/>
        <v>0</v>
      </c>
      <c r="AG686" s="96">
        <f t="shared" si="1671"/>
        <v>0</v>
      </c>
      <c r="AH686" s="96">
        <f t="shared" si="1672"/>
        <v>0</v>
      </c>
      <c r="AI686" s="96">
        <f t="shared" si="1673"/>
        <v>0.42099999999999999</v>
      </c>
      <c r="AJ686" s="96">
        <f t="shared" si="1674"/>
        <v>7.4567519999999998</v>
      </c>
      <c r="AK686" s="96"/>
      <c r="AL686" s="96">
        <f t="shared" si="1675"/>
        <v>0</v>
      </c>
      <c r="AM686" s="96"/>
      <c r="AN686" s="96">
        <f t="shared" si="1676"/>
        <v>0</v>
      </c>
      <c r="AO686" s="96"/>
      <c r="AP686" s="96">
        <f t="shared" si="1677"/>
        <v>0</v>
      </c>
      <c r="AQ686" s="96">
        <f t="shared" si="1678"/>
        <v>0</v>
      </c>
      <c r="AR686" s="96">
        <f t="shared" si="1679"/>
        <v>0</v>
      </c>
      <c r="AS686" s="96"/>
      <c r="AT686" s="96">
        <f t="shared" si="1680"/>
        <v>0</v>
      </c>
      <c r="AU686" s="96"/>
      <c r="AV686" s="96">
        <f t="shared" si="1681"/>
        <v>0</v>
      </c>
      <c r="AW686" s="96"/>
      <c r="AX686" s="96">
        <f t="shared" si="1682"/>
        <v>0</v>
      </c>
      <c r="AY686" s="96">
        <f t="shared" si="1683"/>
        <v>0</v>
      </c>
      <c r="AZ686" s="96">
        <f t="shared" si="1684"/>
        <v>0</v>
      </c>
      <c r="BA686" s="96">
        <f t="shared" si="1685"/>
        <v>0</v>
      </c>
      <c r="BB686" s="96">
        <f t="shared" si="1686"/>
        <v>0</v>
      </c>
    </row>
    <row r="687" spans="1:54">
      <c r="A687" s="492">
        <v>410</v>
      </c>
      <c r="B687" s="13"/>
      <c r="C687" s="432"/>
      <c r="D687" s="13"/>
      <c r="E687" s="21" t="s">
        <v>1549</v>
      </c>
      <c r="F687" s="45"/>
      <c r="G687" s="45" t="s">
        <v>1059</v>
      </c>
      <c r="H687" s="265" t="s">
        <v>358</v>
      </c>
      <c r="I687" s="54"/>
      <c r="J687" s="162">
        <v>22672</v>
      </c>
      <c r="K687" s="54"/>
      <c r="L687" s="162">
        <v>24010</v>
      </c>
      <c r="M687" s="54"/>
      <c r="N687" s="162"/>
      <c r="O687" s="54"/>
      <c r="P687" s="162"/>
      <c r="Q687" s="96">
        <f t="shared" si="1661"/>
        <v>0.252</v>
      </c>
      <c r="R687" s="337">
        <f t="shared" si="1662"/>
        <v>5.9140440000000005</v>
      </c>
      <c r="S687" s="96"/>
      <c r="T687" s="96">
        <f t="shared" si="1663"/>
        <v>0</v>
      </c>
      <c r="U687" s="96"/>
      <c r="V687" s="96">
        <f t="shared" si="1664"/>
        <v>0</v>
      </c>
      <c r="W687" s="96">
        <v>0.10199999999999999</v>
      </c>
      <c r="X687" s="96">
        <f t="shared" si="1665"/>
        <v>2.3125439999999999</v>
      </c>
      <c r="Y687" s="96">
        <f t="shared" si="1666"/>
        <v>0.10199999999999999</v>
      </c>
      <c r="Z687" s="96">
        <f t="shared" si="1667"/>
        <v>2.3125439999999999</v>
      </c>
      <c r="AA687" s="96">
        <v>0.15</v>
      </c>
      <c r="AB687" s="96">
        <f t="shared" si="1668"/>
        <v>3.6015000000000001</v>
      </c>
      <c r="AC687" s="96"/>
      <c r="AD687" s="96">
        <f t="shared" si="1669"/>
        <v>0</v>
      </c>
      <c r="AE687" s="96"/>
      <c r="AF687" s="96">
        <f t="shared" si="1670"/>
        <v>0</v>
      </c>
      <c r="AG687" s="96">
        <f t="shared" si="1671"/>
        <v>0.15</v>
      </c>
      <c r="AH687" s="96">
        <f t="shared" si="1672"/>
        <v>3.6015000000000001</v>
      </c>
      <c r="AI687" s="96">
        <f t="shared" si="1673"/>
        <v>0.252</v>
      </c>
      <c r="AJ687" s="96">
        <f t="shared" si="1674"/>
        <v>5.9140440000000005</v>
      </c>
      <c r="AK687" s="96"/>
      <c r="AL687" s="96">
        <f t="shared" si="1675"/>
        <v>0</v>
      </c>
      <c r="AM687" s="96"/>
      <c r="AN687" s="96">
        <f t="shared" si="1676"/>
        <v>0</v>
      </c>
      <c r="AO687" s="96"/>
      <c r="AP687" s="96">
        <f t="shared" si="1677"/>
        <v>0</v>
      </c>
      <c r="AQ687" s="96">
        <f t="shared" si="1678"/>
        <v>0</v>
      </c>
      <c r="AR687" s="96">
        <f t="shared" si="1679"/>
        <v>0</v>
      </c>
      <c r="AS687" s="96"/>
      <c r="AT687" s="96">
        <f t="shared" si="1680"/>
        <v>0</v>
      </c>
      <c r="AU687" s="96"/>
      <c r="AV687" s="96">
        <f t="shared" si="1681"/>
        <v>0</v>
      </c>
      <c r="AW687" s="96"/>
      <c r="AX687" s="96">
        <f t="shared" si="1682"/>
        <v>0</v>
      </c>
      <c r="AY687" s="96">
        <f t="shared" si="1683"/>
        <v>0</v>
      </c>
      <c r="AZ687" s="96">
        <f t="shared" si="1684"/>
        <v>0</v>
      </c>
      <c r="BA687" s="96">
        <f t="shared" si="1685"/>
        <v>0</v>
      </c>
      <c r="BB687" s="96">
        <f t="shared" si="1686"/>
        <v>0</v>
      </c>
    </row>
    <row r="688" spans="1:54">
      <c r="A688" s="492">
        <v>420</v>
      </c>
      <c r="B688" s="13"/>
      <c r="C688" s="13"/>
      <c r="D688" s="15"/>
      <c r="E688" s="21" t="s">
        <v>1490</v>
      </c>
      <c r="F688" s="45"/>
      <c r="G688" s="45" t="s">
        <v>1059</v>
      </c>
      <c r="H688" s="265" t="s">
        <v>359</v>
      </c>
      <c r="I688" s="54"/>
      <c r="J688" s="162">
        <v>16571</v>
      </c>
      <c r="K688" s="54"/>
      <c r="L688" s="162">
        <v>17549</v>
      </c>
      <c r="M688" s="54"/>
      <c r="N688" s="162"/>
      <c r="O688" s="54"/>
      <c r="P688" s="162"/>
      <c r="Q688" s="96">
        <f t="shared" si="1661"/>
        <v>1.3000000000000001E-2</v>
      </c>
      <c r="R688" s="337">
        <f t="shared" si="1662"/>
        <v>0.215423</v>
      </c>
      <c r="S688" s="96">
        <v>1.2E-2</v>
      </c>
      <c r="T688" s="96">
        <f t="shared" si="1663"/>
        <v>0.198852</v>
      </c>
      <c r="U688" s="96"/>
      <c r="V688" s="96">
        <f t="shared" si="1664"/>
        <v>0</v>
      </c>
      <c r="W688" s="96">
        <v>1E-3</v>
      </c>
      <c r="X688" s="96">
        <f t="shared" si="1665"/>
        <v>1.6571000000000002E-2</v>
      </c>
      <c r="Y688" s="96">
        <f t="shared" si="1666"/>
        <v>1.3000000000000001E-2</v>
      </c>
      <c r="Z688" s="96">
        <f t="shared" si="1667"/>
        <v>0.215423</v>
      </c>
      <c r="AA688" s="96"/>
      <c r="AB688" s="96">
        <f t="shared" si="1668"/>
        <v>0</v>
      </c>
      <c r="AC688" s="96"/>
      <c r="AD688" s="96">
        <f t="shared" si="1669"/>
        <v>0</v>
      </c>
      <c r="AE688" s="96"/>
      <c r="AF688" s="96">
        <f t="shared" si="1670"/>
        <v>0</v>
      </c>
      <c r="AG688" s="96">
        <f t="shared" si="1671"/>
        <v>0</v>
      </c>
      <c r="AH688" s="96">
        <f t="shared" si="1672"/>
        <v>0</v>
      </c>
      <c r="AI688" s="96">
        <f t="shared" si="1673"/>
        <v>1.3000000000000001E-2</v>
      </c>
      <c r="AJ688" s="96">
        <f t="shared" si="1674"/>
        <v>0.215423</v>
      </c>
      <c r="AK688" s="96"/>
      <c r="AL688" s="96">
        <f t="shared" si="1675"/>
        <v>0</v>
      </c>
      <c r="AM688" s="96"/>
      <c r="AN688" s="96">
        <f t="shared" si="1676"/>
        <v>0</v>
      </c>
      <c r="AO688" s="96"/>
      <c r="AP688" s="96">
        <f t="shared" si="1677"/>
        <v>0</v>
      </c>
      <c r="AQ688" s="96">
        <f t="shared" si="1678"/>
        <v>0</v>
      </c>
      <c r="AR688" s="96">
        <f t="shared" si="1679"/>
        <v>0</v>
      </c>
      <c r="AS688" s="96"/>
      <c r="AT688" s="96">
        <f t="shared" si="1680"/>
        <v>0</v>
      </c>
      <c r="AU688" s="96"/>
      <c r="AV688" s="96">
        <f t="shared" si="1681"/>
        <v>0</v>
      </c>
      <c r="AW688" s="96"/>
      <c r="AX688" s="96">
        <f t="shared" si="1682"/>
        <v>0</v>
      </c>
      <c r="AY688" s="96">
        <f t="shared" si="1683"/>
        <v>0</v>
      </c>
      <c r="AZ688" s="96">
        <f t="shared" si="1684"/>
        <v>0</v>
      </c>
      <c r="BA688" s="96">
        <f t="shared" si="1685"/>
        <v>0</v>
      </c>
      <c r="BB688" s="96">
        <f t="shared" si="1686"/>
        <v>0</v>
      </c>
    </row>
    <row r="689" spans="1:54">
      <c r="A689" s="492">
        <v>420</v>
      </c>
      <c r="B689" s="13"/>
      <c r="C689" s="13"/>
      <c r="D689" s="15"/>
      <c r="E689" s="21" t="s">
        <v>1518</v>
      </c>
      <c r="F689" s="45"/>
      <c r="G689" s="45" t="s">
        <v>1059</v>
      </c>
      <c r="H689" s="265" t="s">
        <v>359</v>
      </c>
      <c r="I689" s="54"/>
      <c r="J689" s="162">
        <v>17340</v>
      </c>
      <c r="K689" s="54"/>
      <c r="L689" s="162">
        <v>18363</v>
      </c>
      <c r="M689" s="54"/>
      <c r="N689" s="162"/>
      <c r="O689" s="54"/>
      <c r="P689" s="162"/>
      <c r="Q689" s="96">
        <f t="shared" si="1661"/>
        <v>22.923000000000002</v>
      </c>
      <c r="R689" s="337">
        <f t="shared" si="1662"/>
        <v>405.99822599999999</v>
      </c>
      <c r="S689" s="96">
        <v>4.0149999999999997</v>
      </c>
      <c r="T689" s="96">
        <f t="shared" si="1663"/>
        <v>69.620099999999994</v>
      </c>
      <c r="U689" s="96">
        <v>4.6859999999999999</v>
      </c>
      <c r="V689" s="96">
        <f t="shared" si="1664"/>
        <v>81.255240000000001</v>
      </c>
      <c r="W689" s="96">
        <v>5.9</v>
      </c>
      <c r="X689" s="96">
        <f t="shared" si="1665"/>
        <v>102.306</v>
      </c>
      <c r="Y689" s="96">
        <f t="shared" si="1666"/>
        <v>14.601000000000001</v>
      </c>
      <c r="Z689" s="96">
        <f t="shared" si="1667"/>
        <v>253.18133999999998</v>
      </c>
      <c r="AA689" s="96">
        <v>8.3219999999999992</v>
      </c>
      <c r="AB689" s="96">
        <f t="shared" si="1668"/>
        <v>152.81688600000001</v>
      </c>
      <c r="AC689" s="96"/>
      <c r="AD689" s="96">
        <f t="shared" si="1669"/>
        <v>0</v>
      </c>
      <c r="AE689" s="96"/>
      <c r="AF689" s="96">
        <f t="shared" si="1670"/>
        <v>0</v>
      </c>
      <c r="AG689" s="96">
        <f t="shared" si="1671"/>
        <v>8.3219999999999992</v>
      </c>
      <c r="AH689" s="96">
        <f t="shared" si="1672"/>
        <v>152.81688600000001</v>
      </c>
      <c r="AI689" s="96">
        <f t="shared" si="1673"/>
        <v>22.923000000000002</v>
      </c>
      <c r="AJ689" s="96">
        <f t="shared" si="1674"/>
        <v>405.99822599999999</v>
      </c>
      <c r="AK689" s="96"/>
      <c r="AL689" s="96">
        <f t="shared" si="1675"/>
        <v>0</v>
      </c>
      <c r="AM689" s="96"/>
      <c r="AN689" s="96">
        <f t="shared" si="1676"/>
        <v>0</v>
      </c>
      <c r="AO689" s="96"/>
      <c r="AP689" s="96">
        <f t="shared" si="1677"/>
        <v>0</v>
      </c>
      <c r="AQ689" s="96">
        <f t="shared" si="1678"/>
        <v>0</v>
      </c>
      <c r="AR689" s="96">
        <f t="shared" si="1679"/>
        <v>0</v>
      </c>
      <c r="AS689" s="96"/>
      <c r="AT689" s="96">
        <f t="shared" si="1680"/>
        <v>0</v>
      </c>
      <c r="AU689" s="96"/>
      <c r="AV689" s="96">
        <f t="shared" si="1681"/>
        <v>0</v>
      </c>
      <c r="AW689" s="96"/>
      <c r="AX689" s="96">
        <f t="shared" si="1682"/>
        <v>0</v>
      </c>
      <c r="AY689" s="96">
        <f t="shared" si="1683"/>
        <v>0</v>
      </c>
      <c r="AZ689" s="96">
        <f t="shared" si="1684"/>
        <v>0</v>
      </c>
      <c r="BA689" s="96">
        <f t="shared" si="1685"/>
        <v>0</v>
      </c>
      <c r="BB689" s="96">
        <f t="shared" si="1686"/>
        <v>0</v>
      </c>
    </row>
    <row r="690" spans="1:54">
      <c r="A690" s="492">
        <v>410</v>
      </c>
      <c r="B690" s="13"/>
      <c r="C690" s="432"/>
      <c r="D690" s="13"/>
      <c r="E690" s="21" t="s">
        <v>1751</v>
      </c>
      <c r="F690" s="45"/>
      <c r="G690" s="45" t="s">
        <v>1059</v>
      </c>
      <c r="H690" s="265" t="s">
        <v>358</v>
      </c>
      <c r="I690" s="54"/>
      <c r="J690" s="162">
        <v>9592</v>
      </c>
      <c r="K690" s="54"/>
      <c r="L690" s="162">
        <v>10158</v>
      </c>
      <c r="M690" s="54"/>
      <c r="N690" s="162"/>
      <c r="O690" s="54"/>
      <c r="P690" s="162"/>
      <c r="Q690" s="96">
        <f t="shared" si="1661"/>
        <v>88.425000000000011</v>
      </c>
      <c r="R690" s="337">
        <f t="shared" si="1662"/>
        <v>859.763148</v>
      </c>
      <c r="S690" s="96">
        <v>21.701000000000001</v>
      </c>
      <c r="T690" s="96">
        <f t="shared" si="1663"/>
        <v>208.155992</v>
      </c>
      <c r="U690" s="96">
        <v>20.908999999999999</v>
      </c>
      <c r="V690" s="96">
        <f t="shared" si="1664"/>
        <v>200.55912799999999</v>
      </c>
      <c r="W690" s="96">
        <v>25.337</v>
      </c>
      <c r="X690" s="96">
        <f t="shared" si="1665"/>
        <v>243.03250399999999</v>
      </c>
      <c r="Y690" s="96">
        <f t="shared" si="1666"/>
        <v>67.947000000000003</v>
      </c>
      <c r="Z690" s="96">
        <f t="shared" si="1667"/>
        <v>651.74762399999997</v>
      </c>
      <c r="AA690" s="96">
        <v>20.478000000000002</v>
      </c>
      <c r="AB690" s="96">
        <f t="shared" si="1668"/>
        <v>208.015524</v>
      </c>
      <c r="AC690" s="96"/>
      <c r="AD690" s="96">
        <f t="shared" si="1669"/>
        <v>0</v>
      </c>
      <c r="AE690" s="96"/>
      <c r="AF690" s="96">
        <f t="shared" si="1670"/>
        <v>0</v>
      </c>
      <c r="AG690" s="96">
        <f t="shared" si="1671"/>
        <v>20.478000000000002</v>
      </c>
      <c r="AH690" s="96">
        <f t="shared" si="1672"/>
        <v>208.015524</v>
      </c>
      <c r="AI690" s="96">
        <f t="shared" si="1673"/>
        <v>88.425000000000011</v>
      </c>
      <c r="AJ690" s="96">
        <f t="shared" si="1674"/>
        <v>859.763148</v>
      </c>
      <c r="AK690" s="96"/>
      <c r="AL690" s="96">
        <f t="shared" si="1675"/>
        <v>0</v>
      </c>
      <c r="AM690" s="96"/>
      <c r="AN690" s="96">
        <f t="shared" si="1676"/>
        <v>0</v>
      </c>
      <c r="AO690" s="96"/>
      <c r="AP690" s="96">
        <f t="shared" si="1677"/>
        <v>0</v>
      </c>
      <c r="AQ690" s="96">
        <f t="shared" si="1678"/>
        <v>0</v>
      </c>
      <c r="AR690" s="96">
        <f t="shared" si="1679"/>
        <v>0</v>
      </c>
      <c r="AS690" s="96"/>
      <c r="AT690" s="96">
        <f t="shared" si="1680"/>
        <v>0</v>
      </c>
      <c r="AU690" s="96"/>
      <c r="AV690" s="96">
        <f t="shared" si="1681"/>
        <v>0</v>
      </c>
      <c r="AW690" s="96"/>
      <c r="AX690" s="96">
        <f t="shared" si="1682"/>
        <v>0</v>
      </c>
      <c r="AY690" s="96">
        <f t="shared" si="1683"/>
        <v>0</v>
      </c>
      <c r="AZ690" s="96">
        <f t="shared" si="1684"/>
        <v>0</v>
      </c>
      <c r="BA690" s="96">
        <f t="shared" si="1685"/>
        <v>0</v>
      </c>
      <c r="BB690" s="96">
        <f t="shared" si="1686"/>
        <v>0</v>
      </c>
    </row>
    <row r="691" spans="1:54" ht="12" customHeight="1">
      <c r="A691" s="492">
        <v>425</v>
      </c>
      <c r="B691" s="13"/>
      <c r="C691" s="13"/>
      <c r="D691" s="13"/>
      <c r="E691" s="16" t="s">
        <v>1704</v>
      </c>
      <c r="F691" s="45"/>
      <c r="G691" s="45" t="s">
        <v>1059</v>
      </c>
      <c r="H691" s="265" t="s">
        <v>359</v>
      </c>
      <c r="I691" s="54"/>
      <c r="J691" s="162">
        <v>21510</v>
      </c>
      <c r="K691" s="54"/>
      <c r="L691" s="162">
        <v>22779</v>
      </c>
      <c r="M691" s="54"/>
      <c r="N691" s="162"/>
      <c r="O691" s="54"/>
      <c r="P691" s="162"/>
      <c r="Q691" s="96">
        <f t="shared" si="1661"/>
        <v>1.4550000000000001</v>
      </c>
      <c r="R691" s="337">
        <f t="shared" si="1662"/>
        <v>31.297049999999999</v>
      </c>
      <c r="S691" s="96">
        <v>0.71699999999999997</v>
      </c>
      <c r="T691" s="96">
        <f t="shared" si="1663"/>
        <v>15.42267</v>
      </c>
      <c r="U691" s="96">
        <v>0.04</v>
      </c>
      <c r="V691" s="96">
        <f t="shared" si="1664"/>
        <v>0.86039999999999994</v>
      </c>
      <c r="W691" s="96">
        <v>0.69799999999999995</v>
      </c>
      <c r="X691" s="96">
        <f t="shared" si="1665"/>
        <v>15.01398</v>
      </c>
      <c r="Y691" s="96">
        <f t="shared" si="1666"/>
        <v>1.4550000000000001</v>
      </c>
      <c r="Z691" s="96">
        <f t="shared" si="1667"/>
        <v>31.297049999999999</v>
      </c>
      <c r="AA691" s="96"/>
      <c r="AB691" s="96">
        <f t="shared" si="1668"/>
        <v>0</v>
      </c>
      <c r="AC691" s="96"/>
      <c r="AD691" s="96">
        <f t="shared" si="1669"/>
        <v>0</v>
      </c>
      <c r="AE691" s="96"/>
      <c r="AF691" s="96">
        <f t="shared" si="1670"/>
        <v>0</v>
      </c>
      <c r="AG691" s="96">
        <f t="shared" si="1671"/>
        <v>0</v>
      </c>
      <c r="AH691" s="96">
        <f t="shared" si="1672"/>
        <v>0</v>
      </c>
      <c r="AI691" s="96">
        <f t="shared" si="1673"/>
        <v>1.4550000000000001</v>
      </c>
      <c r="AJ691" s="96">
        <f t="shared" si="1674"/>
        <v>31.297049999999999</v>
      </c>
      <c r="AK691" s="96"/>
      <c r="AL691" s="96">
        <f t="shared" si="1675"/>
        <v>0</v>
      </c>
      <c r="AM691" s="96"/>
      <c r="AN691" s="96">
        <f t="shared" si="1676"/>
        <v>0</v>
      </c>
      <c r="AO691" s="96"/>
      <c r="AP691" s="96">
        <f t="shared" si="1677"/>
        <v>0</v>
      </c>
      <c r="AQ691" s="96">
        <f t="shared" si="1678"/>
        <v>0</v>
      </c>
      <c r="AR691" s="96">
        <f t="shared" si="1679"/>
        <v>0</v>
      </c>
      <c r="AS691" s="96"/>
      <c r="AT691" s="96">
        <f t="shared" si="1680"/>
        <v>0</v>
      </c>
      <c r="AU691" s="96"/>
      <c r="AV691" s="96">
        <f t="shared" si="1681"/>
        <v>0</v>
      </c>
      <c r="AW691" s="96"/>
      <c r="AX691" s="96">
        <f t="shared" si="1682"/>
        <v>0</v>
      </c>
      <c r="AY691" s="96">
        <f t="shared" si="1683"/>
        <v>0</v>
      </c>
      <c r="AZ691" s="96">
        <f t="shared" si="1684"/>
        <v>0</v>
      </c>
      <c r="BA691" s="96">
        <f t="shared" si="1685"/>
        <v>0</v>
      </c>
      <c r="BB691" s="96">
        <f t="shared" si="1686"/>
        <v>0</v>
      </c>
    </row>
    <row r="692" spans="1:54">
      <c r="A692" s="492">
        <v>421</v>
      </c>
      <c r="B692" s="13"/>
      <c r="C692" s="13"/>
      <c r="D692" s="15"/>
      <c r="E692" s="21" t="s">
        <v>218</v>
      </c>
      <c r="F692" s="45"/>
      <c r="G692" s="45" t="s">
        <v>1059</v>
      </c>
      <c r="H692" s="265" t="s">
        <v>358</v>
      </c>
      <c r="I692" s="54"/>
      <c r="J692" s="162">
        <v>16072</v>
      </c>
      <c r="K692" s="54"/>
      <c r="L692" s="162">
        <v>17020</v>
      </c>
      <c r="M692" s="54"/>
      <c r="N692" s="162"/>
      <c r="O692" s="54"/>
      <c r="P692" s="162"/>
      <c r="Q692" s="96">
        <f t="shared" ref="Q692:Q729" si="1687">SUM(AI692+BA692)</f>
        <v>9.9000000000000005E-2</v>
      </c>
      <c r="R692" s="337">
        <f t="shared" ref="R692:R729" si="1688">SUM(AJ692+BB692)</f>
        <v>1.5911280000000001</v>
      </c>
      <c r="S692" s="96"/>
      <c r="T692" s="96">
        <f t="shared" ref="T692:T729" si="1689">J692*S692/1000</f>
        <v>0</v>
      </c>
      <c r="U692" s="96">
        <v>9.9000000000000005E-2</v>
      </c>
      <c r="V692" s="96">
        <f t="shared" ref="V692:V729" si="1690">J692*U692/1000</f>
        <v>1.5911280000000001</v>
      </c>
      <c r="W692" s="96"/>
      <c r="X692" s="96">
        <f t="shared" ref="X692:X729" si="1691">J692*W692/1000</f>
        <v>0</v>
      </c>
      <c r="Y692" s="96">
        <f t="shared" ref="Y692:Y729" si="1692">SUM(S692+U692+W692)</f>
        <v>9.9000000000000005E-2</v>
      </c>
      <c r="Z692" s="96">
        <f t="shared" ref="Z692:Z729" si="1693">SUM(T692+V692+X692)</f>
        <v>1.5911280000000001</v>
      </c>
      <c r="AA692" s="96"/>
      <c r="AB692" s="96">
        <f t="shared" ref="AB692:AB729" si="1694">L692*AA692/1000</f>
        <v>0</v>
      </c>
      <c r="AC692" s="96"/>
      <c r="AD692" s="96">
        <f t="shared" ref="AD692:AD729" si="1695">L692*AC692/1000</f>
        <v>0</v>
      </c>
      <c r="AE692" s="96"/>
      <c r="AF692" s="96">
        <f t="shared" ref="AF692:AF729" si="1696">L692*AE692/1000</f>
        <v>0</v>
      </c>
      <c r="AG692" s="96">
        <f t="shared" ref="AG692:AG729" si="1697">SUM(AA692+AC692+AE692)</f>
        <v>0</v>
      </c>
      <c r="AH692" s="96">
        <f t="shared" ref="AH692:AH729" si="1698">SUM(AB692+AD692+AF692)</f>
        <v>0</v>
      </c>
      <c r="AI692" s="96">
        <f t="shared" ref="AI692:AI729" si="1699">SUM(Y692+AG692)</f>
        <v>9.9000000000000005E-2</v>
      </c>
      <c r="AJ692" s="96">
        <f t="shared" ref="AJ692:AJ729" si="1700">SUM(Z692,AH692)</f>
        <v>1.5911280000000001</v>
      </c>
      <c r="AK692" s="96"/>
      <c r="AL692" s="96">
        <f t="shared" ref="AL692:AL729" si="1701">N692*AK692/1000</f>
        <v>0</v>
      </c>
      <c r="AM692" s="96"/>
      <c r="AN692" s="96">
        <f t="shared" ref="AN692:AN729" si="1702">N692*AM692/1000</f>
        <v>0</v>
      </c>
      <c r="AO692" s="96"/>
      <c r="AP692" s="96">
        <f t="shared" ref="AP692:AP729" si="1703">N692*AO692/1000</f>
        <v>0</v>
      </c>
      <c r="AQ692" s="96">
        <f t="shared" ref="AQ692:AQ729" si="1704">SUM(AK692+AM692+AO692)</f>
        <v>0</v>
      </c>
      <c r="AR692" s="96">
        <f t="shared" ref="AR692:AR729" si="1705">SUM(AL692+AN692+AP692)</f>
        <v>0</v>
      </c>
      <c r="AS692" s="96"/>
      <c r="AT692" s="96">
        <f t="shared" ref="AT692:AT729" si="1706">P692*AS692/1000</f>
        <v>0</v>
      </c>
      <c r="AU692" s="96"/>
      <c r="AV692" s="96">
        <f t="shared" ref="AV692:AV729" si="1707">P692*AU692/1000</f>
        <v>0</v>
      </c>
      <c r="AW692" s="96"/>
      <c r="AX692" s="96">
        <f t="shared" ref="AX692:AX729" si="1708">P692*AW692/1000</f>
        <v>0</v>
      </c>
      <c r="AY692" s="96">
        <f t="shared" ref="AY692:AY729" si="1709">SUM(AS692+AU692+AW692)</f>
        <v>0</v>
      </c>
      <c r="AZ692" s="96">
        <f t="shared" ref="AZ692:AZ729" si="1710">SUM(AT692+AV692+AX692)</f>
        <v>0</v>
      </c>
      <c r="BA692" s="96">
        <f t="shared" ref="BA692:BA729" si="1711">SUM(AQ692+AY692)</f>
        <v>0</v>
      </c>
      <c r="BB692" s="96">
        <f t="shared" ref="BB692:BB729" si="1712">SUM(AR692,AZ692)</f>
        <v>0</v>
      </c>
    </row>
    <row r="693" spans="1:54">
      <c r="A693" s="492">
        <v>422</v>
      </c>
      <c r="B693" s="13"/>
      <c r="C693" s="13"/>
      <c r="D693" s="15"/>
      <c r="E693" s="21" t="s">
        <v>219</v>
      </c>
      <c r="F693" s="45"/>
      <c r="G693" s="45" t="s">
        <v>1059</v>
      </c>
      <c r="H693" s="265" t="s">
        <v>358</v>
      </c>
      <c r="I693" s="54"/>
      <c r="J693" s="162">
        <v>3459</v>
      </c>
      <c r="K693" s="54"/>
      <c r="L693" s="162">
        <v>3663</v>
      </c>
      <c r="M693" s="54"/>
      <c r="N693" s="162"/>
      <c r="O693" s="54"/>
      <c r="P693" s="162"/>
      <c r="Q693" s="96">
        <f t="shared" si="1687"/>
        <v>0</v>
      </c>
      <c r="R693" s="337">
        <f t="shared" si="1688"/>
        <v>0</v>
      </c>
      <c r="S693" s="96"/>
      <c r="T693" s="96">
        <f t="shared" si="1689"/>
        <v>0</v>
      </c>
      <c r="U693" s="96"/>
      <c r="V693" s="96">
        <f t="shared" si="1690"/>
        <v>0</v>
      </c>
      <c r="W693" s="96"/>
      <c r="X693" s="96">
        <f t="shared" si="1691"/>
        <v>0</v>
      </c>
      <c r="Y693" s="96">
        <f t="shared" si="1692"/>
        <v>0</v>
      </c>
      <c r="Z693" s="96">
        <f t="shared" si="1693"/>
        <v>0</v>
      </c>
      <c r="AA693" s="96"/>
      <c r="AB693" s="96">
        <f t="shared" si="1694"/>
        <v>0</v>
      </c>
      <c r="AC693" s="96"/>
      <c r="AD693" s="96">
        <f t="shared" si="1695"/>
        <v>0</v>
      </c>
      <c r="AE693" s="96"/>
      <c r="AF693" s="96">
        <f t="shared" si="1696"/>
        <v>0</v>
      </c>
      <c r="AG693" s="96">
        <f t="shared" si="1697"/>
        <v>0</v>
      </c>
      <c r="AH693" s="96">
        <f t="shared" si="1698"/>
        <v>0</v>
      </c>
      <c r="AI693" s="96">
        <f t="shared" si="1699"/>
        <v>0</v>
      </c>
      <c r="AJ693" s="96">
        <f t="shared" si="1700"/>
        <v>0</v>
      </c>
      <c r="AK693" s="96"/>
      <c r="AL693" s="96">
        <f t="shared" si="1701"/>
        <v>0</v>
      </c>
      <c r="AM693" s="96"/>
      <c r="AN693" s="96">
        <f t="shared" si="1702"/>
        <v>0</v>
      </c>
      <c r="AO693" s="96"/>
      <c r="AP693" s="96">
        <f t="shared" si="1703"/>
        <v>0</v>
      </c>
      <c r="AQ693" s="96">
        <f t="shared" si="1704"/>
        <v>0</v>
      </c>
      <c r="AR693" s="96">
        <f t="shared" si="1705"/>
        <v>0</v>
      </c>
      <c r="AS693" s="96"/>
      <c r="AT693" s="96">
        <f t="shared" si="1706"/>
        <v>0</v>
      </c>
      <c r="AU693" s="96"/>
      <c r="AV693" s="96">
        <f t="shared" si="1707"/>
        <v>0</v>
      </c>
      <c r="AW693" s="96"/>
      <c r="AX693" s="96">
        <f t="shared" si="1708"/>
        <v>0</v>
      </c>
      <c r="AY693" s="96">
        <f t="shared" si="1709"/>
        <v>0</v>
      </c>
      <c r="AZ693" s="96">
        <f t="shared" si="1710"/>
        <v>0</v>
      </c>
      <c r="BA693" s="96">
        <f t="shared" si="1711"/>
        <v>0</v>
      </c>
      <c r="BB693" s="96">
        <f t="shared" si="1712"/>
        <v>0</v>
      </c>
    </row>
    <row r="694" spans="1:54" s="6" customFormat="1">
      <c r="A694" s="492">
        <v>423</v>
      </c>
      <c r="B694" s="14"/>
      <c r="C694" s="14"/>
      <c r="D694" s="40"/>
      <c r="E694" s="16" t="s">
        <v>351</v>
      </c>
      <c r="F694" s="44"/>
      <c r="G694" s="45" t="s">
        <v>1059</v>
      </c>
      <c r="H694" s="264" t="s">
        <v>363</v>
      </c>
      <c r="I694" s="232"/>
      <c r="J694" s="239">
        <v>3374</v>
      </c>
      <c r="K694" s="232"/>
      <c r="L694" s="239">
        <v>3573</v>
      </c>
      <c r="M694" s="232"/>
      <c r="N694" s="239"/>
      <c r="O694" s="232"/>
      <c r="P694" s="239"/>
      <c r="Q694" s="95">
        <f t="shared" si="1687"/>
        <v>0</v>
      </c>
      <c r="R694" s="335">
        <f t="shared" si="1688"/>
        <v>0</v>
      </c>
      <c r="S694" s="95"/>
      <c r="T694" s="95">
        <f t="shared" si="1689"/>
        <v>0</v>
      </c>
      <c r="U694" s="95"/>
      <c r="V694" s="95">
        <f t="shared" si="1690"/>
        <v>0</v>
      </c>
      <c r="W694" s="95"/>
      <c r="X694" s="95">
        <f t="shared" si="1691"/>
        <v>0</v>
      </c>
      <c r="Y694" s="95">
        <f t="shared" si="1692"/>
        <v>0</v>
      </c>
      <c r="Z694" s="95">
        <f t="shared" si="1693"/>
        <v>0</v>
      </c>
      <c r="AA694" s="95"/>
      <c r="AB694" s="95">
        <f t="shared" si="1694"/>
        <v>0</v>
      </c>
      <c r="AC694" s="95"/>
      <c r="AD694" s="95">
        <f t="shared" si="1695"/>
        <v>0</v>
      </c>
      <c r="AE694" s="95"/>
      <c r="AF694" s="96">
        <f t="shared" si="1696"/>
        <v>0</v>
      </c>
      <c r="AG694" s="95">
        <f t="shared" si="1697"/>
        <v>0</v>
      </c>
      <c r="AH694" s="95">
        <f t="shared" si="1698"/>
        <v>0</v>
      </c>
      <c r="AI694" s="95">
        <f t="shared" si="1699"/>
        <v>0</v>
      </c>
      <c r="AJ694" s="95">
        <f t="shared" si="1700"/>
        <v>0</v>
      </c>
      <c r="AK694" s="95"/>
      <c r="AL694" s="95">
        <f t="shared" si="1701"/>
        <v>0</v>
      </c>
      <c r="AM694" s="95"/>
      <c r="AN694" s="95">
        <f t="shared" si="1702"/>
        <v>0</v>
      </c>
      <c r="AO694" s="95"/>
      <c r="AP694" s="95">
        <f t="shared" si="1703"/>
        <v>0</v>
      </c>
      <c r="AQ694" s="95">
        <f t="shared" si="1704"/>
        <v>0</v>
      </c>
      <c r="AR694" s="95">
        <f t="shared" si="1705"/>
        <v>0</v>
      </c>
      <c r="AS694" s="95"/>
      <c r="AT694" s="95">
        <f t="shared" si="1706"/>
        <v>0</v>
      </c>
      <c r="AU694" s="95"/>
      <c r="AV694" s="95">
        <f t="shared" si="1707"/>
        <v>0</v>
      </c>
      <c r="AW694" s="95"/>
      <c r="AX694" s="95">
        <f t="shared" si="1708"/>
        <v>0</v>
      </c>
      <c r="AY694" s="95">
        <f t="shared" si="1709"/>
        <v>0</v>
      </c>
      <c r="AZ694" s="95">
        <f t="shared" si="1710"/>
        <v>0</v>
      </c>
      <c r="BA694" s="95">
        <f t="shared" si="1711"/>
        <v>0</v>
      </c>
      <c r="BB694" s="95">
        <f t="shared" si="1712"/>
        <v>0</v>
      </c>
    </row>
    <row r="695" spans="1:54" ht="12" customHeight="1">
      <c r="A695" s="492">
        <v>424</v>
      </c>
      <c r="B695" s="13"/>
      <c r="C695" s="13"/>
      <c r="D695" s="13"/>
      <c r="E695" s="16" t="s">
        <v>594</v>
      </c>
      <c r="F695" s="45"/>
      <c r="G695" s="45" t="s">
        <v>1059</v>
      </c>
      <c r="H695" s="265" t="s">
        <v>359</v>
      </c>
      <c r="I695" s="54"/>
      <c r="J695" s="162">
        <v>17266</v>
      </c>
      <c r="K695" s="54"/>
      <c r="L695" s="162">
        <v>18285</v>
      </c>
      <c r="M695" s="54"/>
      <c r="N695" s="162"/>
      <c r="O695" s="54"/>
      <c r="P695" s="162"/>
      <c r="Q695" s="96">
        <f t="shared" si="1687"/>
        <v>3.1E-2</v>
      </c>
      <c r="R695" s="337">
        <f t="shared" si="1688"/>
        <v>0.535246</v>
      </c>
      <c r="S695" s="96">
        <v>4.0000000000000001E-3</v>
      </c>
      <c r="T695" s="96">
        <f t="shared" si="1689"/>
        <v>6.9064E-2</v>
      </c>
      <c r="U695" s="96">
        <v>2.7E-2</v>
      </c>
      <c r="V695" s="96">
        <f t="shared" si="1690"/>
        <v>0.46618200000000004</v>
      </c>
      <c r="W695" s="96"/>
      <c r="X695" s="96">
        <f t="shared" si="1691"/>
        <v>0</v>
      </c>
      <c r="Y695" s="96">
        <f t="shared" si="1692"/>
        <v>3.1E-2</v>
      </c>
      <c r="Z695" s="96">
        <f t="shared" si="1693"/>
        <v>0.535246</v>
      </c>
      <c r="AA695" s="96"/>
      <c r="AB695" s="96">
        <f t="shared" si="1694"/>
        <v>0</v>
      </c>
      <c r="AC695" s="96"/>
      <c r="AD695" s="96">
        <f t="shared" si="1695"/>
        <v>0</v>
      </c>
      <c r="AE695" s="96"/>
      <c r="AF695" s="96">
        <f t="shared" si="1696"/>
        <v>0</v>
      </c>
      <c r="AG695" s="96">
        <f t="shared" si="1697"/>
        <v>0</v>
      </c>
      <c r="AH695" s="96">
        <f t="shared" si="1698"/>
        <v>0</v>
      </c>
      <c r="AI695" s="96">
        <f t="shared" si="1699"/>
        <v>3.1E-2</v>
      </c>
      <c r="AJ695" s="96">
        <f t="shared" si="1700"/>
        <v>0.535246</v>
      </c>
      <c r="AK695" s="96"/>
      <c r="AL695" s="96">
        <f t="shared" si="1701"/>
        <v>0</v>
      </c>
      <c r="AM695" s="96"/>
      <c r="AN695" s="96">
        <f t="shared" si="1702"/>
        <v>0</v>
      </c>
      <c r="AO695" s="96"/>
      <c r="AP695" s="96">
        <f t="shared" si="1703"/>
        <v>0</v>
      </c>
      <c r="AQ695" s="96">
        <f t="shared" si="1704"/>
        <v>0</v>
      </c>
      <c r="AR695" s="96">
        <f t="shared" si="1705"/>
        <v>0</v>
      </c>
      <c r="AS695" s="96"/>
      <c r="AT695" s="96">
        <f t="shared" si="1706"/>
        <v>0</v>
      </c>
      <c r="AU695" s="96"/>
      <c r="AV695" s="96">
        <f t="shared" si="1707"/>
        <v>0</v>
      </c>
      <c r="AW695" s="96"/>
      <c r="AX695" s="96">
        <f t="shared" si="1708"/>
        <v>0</v>
      </c>
      <c r="AY695" s="96">
        <f t="shared" si="1709"/>
        <v>0</v>
      </c>
      <c r="AZ695" s="96">
        <f t="shared" si="1710"/>
        <v>0</v>
      </c>
      <c r="BA695" s="96">
        <f t="shared" si="1711"/>
        <v>0</v>
      </c>
      <c r="BB695" s="96">
        <f t="shared" si="1712"/>
        <v>0</v>
      </c>
    </row>
    <row r="696" spans="1:54" ht="12" customHeight="1">
      <c r="A696" s="492">
        <v>425</v>
      </c>
      <c r="B696" s="13"/>
      <c r="C696" s="13"/>
      <c r="D696" s="13"/>
      <c r="E696" s="16" t="s">
        <v>711</v>
      </c>
      <c r="F696" s="45"/>
      <c r="G696" s="45" t="s">
        <v>1059</v>
      </c>
      <c r="H696" s="265" t="s">
        <v>359</v>
      </c>
      <c r="I696" s="54"/>
      <c r="J696" s="162">
        <v>17654</v>
      </c>
      <c r="K696" s="54"/>
      <c r="L696" s="162">
        <v>18696</v>
      </c>
      <c r="M696" s="54"/>
      <c r="N696" s="162"/>
      <c r="O696" s="54"/>
      <c r="P696" s="162"/>
      <c r="Q696" s="96">
        <f t="shared" si="1687"/>
        <v>0</v>
      </c>
      <c r="R696" s="337">
        <f t="shared" si="1688"/>
        <v>0</v>
      </c>
      <c r="S696" s="96"/>
      <c r="T696" s="96">
        <f t="shared" si="1689"/>
        <v>0</v>
      </c>
      <c r="U696" s="96"/>
      <c r="V696" s="96">
        <f t="shared" si="1690"/>
        <v>0</v>
      </c>
      <c r="W696" s="96"/>
      <c r="X696" s="96">
        <f t="shared" si="1691"/>
        <v>0</v>
      </c>
      <c r="Y696" s="96">
        <f t="shared" si="1692"/>
        <v>0</v>
      </c>
      <c r="Z696" s="96">
        <f t="shared" si="1693"/>
        <v>0</v>
      </c>
      <c r="AA696" s="96"/>
      <c r="AB696" s="96">
        <f t="shared" si="1694"/>
        <v>0</v>
      </c>
      <c r="AC696" s="96"/>
      <c r="AD696" s="96">
        <f t="shared" si="1695"/>
        <v>0</v>
      </c>
      <c r="AE696" s="96"/>
      <c r="AF696" s="96">
        <f t="shared" si="1696"/>
        <v>0</v>
      </c>
      <c r="AG696" s="96">
        <f t="shared" si="1697"/>
        <v>0</v>
      </c>
      <c r="AH696" s="96">
        <f t="shared" si="1698"/>
        <v>0</v>
      </c>
      <c r="AI696" s="96">
        <f t="shared" si="1699"/>
        <v>0</v>
      </c>
      <c r="AJ696" s="96">
        <f t="shared" si="1700"/>
        <v>0</v>
      </c>
      <c r="AK696" s="96"/>
      <c r="AL696" s="96">
        <f t="shared" si="1701"/>
        <v>0</v>
      </c>
      <c r="AM696" s="96"/>
      <c r="AN696" s="96">
        <f t="shared" si="1702"/>
        <v>0</v>
      </c>
      <c r="AO696" s="96"/>
      <c r="AP696" s="96">
        <f t="shared" si="1703"/>
        <v>0</v>
      </c>
      <c r="AQ696" s="96">
        <f t="shared" si="1704"/>
        <v>0</v>
      </c>
      <c r="AR696" s="96">
        <f t="shared" si="1705"/>
        <v>0</v>
      </c>
      <c r="AS696" s="96"/>
      <c r="AT696" s="96">
        <f t="shared" si="1706"/>
        <v>0</v>
      </c>
      <c r="AU696" s="96"/>
      <c r="AV696" s="96">
        <f t="shared" si="1707"/>
        <v>0</v>
      </c>
      <c r="AW696" s="96"/>
      <c r="AX696" s="96">
        <f t="shared" si="1708"/>
        <v>0</v>
      </c>
      <c r="AY696" s="96">
        <f t="shared" si="1709"/>
        <v>0</v>
      </c>
      <c r="AZ696" s="96">
        <f t="shared" si="1710"/>
        <v>0</v>
      </c>
      <c r="BA696" s="96">
        <f t="shared" si="1711"/>
        <v>0</v>
      </c>
      <c r="BB696" s="96">
        <f t="shared" si="1712"/>
        <v>0</v>
      </c>
    </row>
    <row r="697" spans="1:54" ht="12" customHeight="1">
      <c r="A697" s="492">
        <v>425</v>
      </c>
      <c r="B697" s="13"/>
      <c r="C697" s="13"/>
      <c r="D697" s="13"/>
      <c r="E697" s="16" t="s">
        <v>2249</v>
      </c>
      <c r="F697" s="45"/>
      <c r="G697" s="45" t="s">
        <v>1059</v>
      </c>
      <c r="H697" s="265" t="s">
        <v>359</v>
      </c>
      <c r="I697" s="54"/>
      <c r="J697" s="162">
        <v>7361</v>
      </c>
      <c r="K697" s="54"/>
      <c r="L697" s="162">
        <v>7795</v>
      </c>
      <c r="M697" s="54"/>
      <c r="N697" s="162"/>
      <c r="O697" s="54"/>
      <c r="P697" s="162"/>
      <c r="Q697" s="96">
        <f t="shared" si="1687"/>
        <v>25.901</v>
      </c>
      <c r="R697" s="337">
        <f t="shared" si="1688"/>
        <v>193.592837</v>
      </c>
      <c r="S697" s="96">
        <v>6.3170000000000002</v>
      </c>
      <c r="T697" s="96">
        <f t="shared" si="1689"/>
        <v>46.499437</v>
      </c>
      <c r="U697" s="96">
        <v>4.1219999999999999</v>
      </c>
      <c r="V697" s="96">
        <f t="shared" si="1690"/>
        <v>30.342041999999999</v>
      </c>
      <c r="W697" s="96">
        <v>8.6980000000000004</v>
      </c>
      <c r="X697" s="96">
        <f t="shared" si="1691"/>
        <v>64.025978000000009</v>
      </c>
      <c r="Y697" s="96">
        <f t="shared" si="1692"/>
        <v>19.137</v>
      </c>
      <c r="Z697" s="96">
        <f t="shared" si="1693"/>
        <v>140.867457</v>
      </c>
      <c r="AA697" s="96">
        <v>6.7640000000000002</v>
      </c>
      <c r="AB697" s="96">
        <f t="shared" si="1694"/>
        <v>52.725380000000001</v>
      </c>
      <c r="AC697" s="96"/>
      <c r="AD697" s="96">
        <f t="shared" si="1695"/>
        <v>0</v>
      </c>
      <c r="AE697" s="96"/>
      <c r="AF697" s="96">
        <f t="shared" si="1696"/>
        <v>0</v>
      </c>
      <c r="AG697" s="96">
        <f t="shared" si="1697"/>
        <v>6.7640000000000002</v>
      </c>
      <c r="AH697" s="96">
        <f t="shared" si="1698"/>
        <v>52.725380000000001</v>
      </c>
      <c r="AI697" s="96">
        <f t="shared" si="1699"/>
        <v>25.901</v>
      </c>
      <c r="AJ697" s="96">
        <f t="shared" si="1700"/>
        <v>193.592837</v>
      </c>
      <c r="AK697" s="96"/>
      <c r="AL697" s="96">
        <f t="shared" si="1701"/>
        <v>0</v>
      </c>
      <c r="AM697" s="96"/>
      <c r="AN697" s="96">
        <f t="shared" si="1702"/>
        <v>0</v>
      </c>
      <c r="AO697" s="96"/>
      <c r="AP697" s="96">
        <f t="shared" si="1703"/>
        <v>0</v>
      </c>
      <c r="AQ697" s="96">
        <f t="shared" si="1704"/>
        <v>0</v>
      </c>
      <c r="AR697" s="96">
        <f t="shared" si="1705"/>
        <v>0</v>
      </c>
      <c r="AS697" s="96"/>
      <c r="AT697" s="96">
        <f t="shared" si="1706"/>
        <v>0</v>
      </c>
      <c r="AU697" s="96"/>
      <c r="AV697" s="96">
        <f t="shared" si="1707"/>
        <v>0</v>
      </c>
      <c r="AW697" s="96"/>
      <c r="AX697" s="96">
        <f t="shared" si="1708"/>
        <v>0</v>
      </c>
      <c r="AY697" s="96">
        <f t="shared" si="1709"/>
        <v>0</v>
      </c>
      <c r="AZ697" s="96">
        <f t="shared" si="1710"/>
        <v>0</v>
      </c>
      <c r="BA697" s="96">
        <f t="shared" si="1711"/>
        <v>0</v>
      </c>
      <c r="BB697" s="96">
        <f t="shared" si="1712"/>
        <v>0</v>
      </c>
    </row>
    <row r="698" spans="1:54" ht="12" customHeight="1">
      <c r="A698" s="492">
        <v>425</v>
      </c>
      <c r="B698" s="13"/>
      <c r="C698" s="13"/>
      <c r="D698" s="13"/>
      <c r="E698" s="16" t="s">
        <v>2453</v>
      </c>
      <c r="F698" s="45"/>
      <c r="G698" s="45" t="s">
        <v>1059</v>
      </c>
      <c r="H698" s="265" t="s">
        <v>359</v>
      </c>
      <c r="I698" s="54"/>
      <c r="J698" s="162">
        <v>5450</v>
      </c>
      <c r="K698" s="54"/>
      <c r="L698" s="162">
        <v>5772</v>
      </c>
      <c r="M698" s="54"/>
      <c r="N698" s="162"/>
      <c r="O698" s="54"/>
      <c r="P698" s="162"/>
      <c r="Q698" s="96">
        <f t="shared" ref="Q698" si="1713">SUM(AI698+BA698)</f>
        <v>59.768999999999998</v>
      </c>
      <c r="R698" s="337">
        <f t="shared" ref="R698" si="1714">SUM(AJ698+BB698)</f>
        <v>335.16438000000005</v>
      </c>
      <c r="S698" s="96">
        <v>0.12</v>
      </c>
      <c r="T698" s="96">
        <f t="shared" ref="T698" si="1715">J698*S698/1000</f>
        <v>0.65400000000000003</v>
      </c>
      <c r="U698" s="96">
        <v>9.8640000000000008</v>
      </c>
      <c r="V698" s="96">
        <f t="shared" ref="V698" si="1716">J698*U698/1000</f>
        <v>53.758800000000001</v>
      </c>
      <c r="W698" s="96">
        <v>20.52</v>
      </c>
      <c r="X698" s="96">
        <f t="shared" ref="X698" si="1717">J698*W698/1000</f>
        <v>111.834</v>
      </c>
      <c r="Y698" s="96">
        <f t="shared" ref="Y698" si="1718">SUM(S698+U698+W698)</f>
        <v>30.503999999999998</v>
      </c>
      <c r="Z698" s="96">
        <f t="shared" ref="Z698" si="1719">SUM(T698+V698+X698)</f>
        <v>166.24680000000001</v>
      </c>
      <c r="AA698" s="96">
        <v>29.265000000000001</v>
      </c>
      <c r="AB698" s="96">
        <f t="shared" ref="AB698" si="1720">L698*AA698/1000</f>
        <v>168.91758000000002</v>
      </c>
      <c r="AC698" s="96"/>
      <c r="AD698" s="96">
        <f t="shared" ref="AD698" si="1721">L698*AC698/1000</f>
        <v>0</v>
      </c>
      <c r="AE698" s="96"/>
      <c r="AF698" s="96">
        <f t="shared" ref="AF698" si="1722">L698*AE698/1000</f>
        <v>0</v>
      </c>
      <c r="AG698" s="96">
        <f t="shared" ref="AG698" si="1723">SUM(AA698+AC698+AE698)</f>
        <v>29.265000000000001</v>
      </c>
      <c r="AH698" s="96">
        <f t="shared" ref="AH698" si="1724">SUM(AB698+AD698+AF698)</f>
        <v>168.91758000000002</v>
      </c>
      <c r="AI698" s="96">
        <f t="shared" ref="AI698" si="1725">SUM(Y698+AG698)</f>
        <v>59.768999999999998</v>
      </c>
      <c r="AJ698" s="96">
        <f t="shared" ref="AJ698" si="1726">SUM(Z698,AH698)</f>
        <v>335.16438000000005</v>
      </c>
      <c r="AK698" s="96"/>
      <c r="AL698" s="96">
        <f t="shared" ref="AL698" si="1727">N698*AK698/1000</f>
        <v>0</v>
      </c>
      <c r="AM698" s="96"/>
      <c r="AN698" s="96">
        <f t="shared" ref="AN698" si="1728">N698*AM698/1000</f>
        <v>0</v>
      </c>
      <c r="AO698" s="96"/>
      <c r="AP698" s="96">
        <f t="shared" ref="AP698" si="1729">N698*AO698/1000</f>
        <v>0</v>
      </c>
      <c r="AQ698" s="96">
        <f t="shared" ref="AQ698" si="1730">SUM(AK698+AM698+AO698)</f>
        <v>0</v>
      </c>
      <c r="AR698" s="96">
        <f t="shared" ref="AR698" si="1731">SUM(AL698+AN698+AP698)</f>
        <v>0</v>
      </c>
      <c r="AS698" s="96"/>
      <c r="AT698" s="96">
        <f t="shared" ref="AT698" si="1732">P698*AS698/1000</f>
        <v>0</v>
      </c>
      <c r="AU698" s="96"/>
      <c r="AV698" s="96">
        <f t="shared" ref="AV698" si="1733">P698*AU698/1000</f>
        <v>0</v>
      </c>
      <c r="AW698" s="96"/>
      <c r="AX698" s="96">
        <f t="shared" ref="AX698" si="1734">P698*AW698/1000</f>
        <v>0</v>
      </c>
      <c r="AY698" s="96">
        <f t="shared" ref="AY698" si="1735">SUM(AS698+AU698+AW698)</f>
        <v>0</v>
      </c>
      <c r="AZ698" s="96">
        <f t="shared" ref="AZ698" si="1736">SUM(AT698+AV698+AX698)</f>
        <v>0</v>
      </c>
      <c r="BA698" s="96">
        <f t="shared" ref="BA698" si="1737">SUM(AQ698+AY698)</f>
        <v>0</v>
      </c>
      <c r="BB698" s="96">
        <f t="shared" ref="BB698" si="1738">SUM(AR698,AZ698)</f>
        <v>0</v>
      </c>
    </row>
    <row r="699" spans="1:54" ht="12" customHeight="1">
      <c r="A699" s="492">
        <v>425</v>
      </c>
      <c r="B699" s="13"/>
      <c r="C699" s="13"/>
      <c r="D699" s="13"/>
      <c r="E699" s="16" t="s">
        <v>2250</v>
      </c>
      <c r="F699" s="45"/>
      <c r="G699" s="45" t="s">
        <v>1059</v>
      </c>
      <c r="H699" s="265" t="s">
        <v>359</v>
      </c>
      <c r="I699" s="54"/>
      <c r="J699" s="162">
        <v>19939</v>
      </c>
      <c r="K699" s="54"/>
      <c r="L699" s="162">
        <v>21115</v>
      </c>
      <c r="M699" s="54"/>
      <c r="N699" s="162"/>
      <c r="O699" s="54"/>
      <c r="P699" s="162"/>
      <c r="Q699" s="96">
        <f t="shared" si="1687"/>
        <v>27.265999999999998</v>
      </c>
      <c r="R699" s="337">
        <f t="shared" si="1688"/>
        <v>552.13338199999998</v>
      </c>
      <c r="S699" s="96">
        <v>6.4640000000000004</v>
      </c>
      <c r="T699" s="96">
        <f t="shared" si="1689"/>
        <v>128.88569600000002</v>
      </c>
      <c r="U699" s="96">
        <v>4.25</v>
      </c>
      <c r="V699" s="96">
        <f t="shared" si="1690"/>
        <v>84.740750000000006</v>
      </c>
      <c r="W699" s="96">
        <v>9.3439999999999994</v>
      </c>
      <c r="X699" s="96">
        <f t="shared" si="1691"/>
        <v>186.31001599999996</v>
      </c>
      <c r="Y699" s="96">
        <f t="shared" si="1692"/>
        <v>20.058</v>
      </c>
      <c r="Z699" s="96">
        <f t="shared" si="1693"/>
        <v>399.93646200000001</v>
      </c>
      <c r="AA699" s="96">
        <v>7.2080000000000002</v>
      </c>
      <c r="AB699" s="96">
        <f t="shared" si="1694"/>
        <v>152.19692000000001</v>
      </c>
      <c r="AC699" s="96"/>
      <c r="AD699" s="96">
        <f t="shared" si="1695"/>
        <v>0</v>
      </c>
      <c r="AE699" s="96"/>
      <c r="AF699" s="96">
        <f t="shared" si="1696"/>
        <v>0</v>
      </c>
      <c r="AG699" s="96">
        <f t="shared" si="1697"/>
        <v>7.2080000000000002</v>
      </c>
      <c r="AH699" s="96">
        <f t="shared" si="1698"/>
        <v>152.19692000000001</v>
      </c>
      <c r="AI699" s="96">
        <f t="shared" si="1699"/>
        <v>27.265999999999998</v>
      </c>
      <c r="AJ699" s="96">
        <f t="shared" si="1700"/>
        <v>552.13338199999998</v>
      </c>
      <c r="AK699" s="96"/>
      <c r="AL699" s="96">
        <f t="shared" si="1701"/>
        <v>0</v>
      </c>
      <c r="AM699" s="96"/>
      <c r="AN699" s="96">
        <f t="shared" si="1702"/>
        <v>0</v>
      </c>
      <c r="AO699" s="96"/>
      <c r="AP699" s="96">
        <f t="shared" si="1703"/>
        <v>0</v>
      </c>
      <c r="AQ699" s="96">
        <f t="shared" si="1704"/>
        <v>0</v>
      </c>
      <c r="AR699" s="96">
        <f t="shared" si="1705"/>
        <v>0</v>
      </c>
      <c r="AS699" s="96"/>
      <c r="AT699" s="96">
        <f t="shared" si="1706"/>
        <v>0</v>
      </c>
      <c r="AU699" s="96"/>
      <c r="AV699" s="96">
        <f t="shared" si="1707"/>
        <v>0</v>
      </c>
      <c r="AW699" s="96"/>
      <c r="AX699" s="96">
        <f t="shared" si="1708"/>
        <v>0</v>
      </c>
      <c r="AY699" s="96">
        <f t="shared" si="1709"/>
        <v>0</v>
      </c>
      <c r="AZ699" s="96">
        <f t="shared" si="1710"/>
        <v>0</v>
      </c>
      <c r="BA699" s="96">
        <f t="shared" si="1711"/>
        <v>0</v>
      </c>
      <c r="BB699" s="96">
        <f t="shared" si="1712"/>
        <v>0</v>
      </c>
    </row>
    <row r="700" spans="1:54">
      <c r="A700" s="492">
        <v>427</v>
      </c>
      <c r="B700" s="13"/>
      <c r="C700" s="23"/>
      <c r="D700" s="13"/>
      <c r="E700" s="21" t="s">
        <v>2223</v>
      </c>
      <c r="F700" s="45"/>
      <c r="G700" s="45" t="s">
        <v>1059</v>
      </c>
      <c r="H700" s="265" t="s">
        <v>358</v>
      </c>
      <c r="I700" s="54"/>
      <c r="J700" s="162">
        <v>27542</v>
      </c>
      <c r="K700" s="54"/>
      <c r="L700" s="162">
        <v>29167</v>
      </c>
      <c r="M700" s="54"/>
      <c r="N700" s="162"/>
      <c r="O700" s="54"/>
      <c r="P700" s="162"/>
      <c r="Q700" s="96">
        <f t="shared" ref="Q700:Q701" si="1739">SUM(AI700+BA700)</f>
        <v>21.252000000000002</v>
      </c>
      <c r="R700" s="337">
        <f t="shared" ref="R700:R701" si="1740">SUM(AJ700+BB700)</f>
        <v>596.27670899999998</v>
      </c>
      <c r="S700" s="96">
        <v>8.4580000000000002</v>
      </c>
      <c r="T700" s="96">
        <f t="shared" ref="T700:T701" si="1741">J700*S700/1000</f>
        <v>232.95023600000002</v>
      </c>
      <c r="U700" s="96">
        <v>2.9470000000000001</v>
      </c>
      <c r="V700" s="96">
        <f t="shared" ref="V700:V701" si="1742">J700*U700/1000</f>
        <v>81.166274000000001</v>
      </c>
      <c r="W700" s="96">
        <v>3.1059999999999999</v>
      </c>
      <c r="X700" s="96">
        <f t="shared" ref="X700:X701" si="1743">J700*W700/1000</f>
        <v>85.545451999999983</v>
      </c>
      <c r="Y700" s="96">
        <f t="shared" ref="Y700:Y701" si="1744">SUM(S700+U700+W700)</f>
        <v>14.511000000000001</v>
      </c>
      <c r="Z700" s="96">
        <f t="shared" ref="Z700:Z701" si="1745">SUM(T700+V700+X700)</f>
        <v>399.66196200000002</v>
      </c>
      <c r="AA700" s="96">
        <v>6.7409999999999997</v>
      </c>
      <c r="AB700" s="96">
        <f t="shared" ref="AB700:AB701" si="1746">L700*AA700/1000</f>
        <v>196.61474699999999</v>
      </c>
      <c r="AC700" s="96"/>
      <c r="AD700" s="96">
        <f t="shared" ref="AD700:AD701" si="1747">L700*AC700/1000</f>
        <v>0</v>
      </c>
      <c r="AE700" s="96"/>
      <c r="AF700" s="96">
        <f t="shared" ref="AF700:AF701" si="1748">L700*AE700/1000</f>
        <v>0</v>
      </c>
      <c r="AG700" s="96">
        <f t="shared" ref="AG700:AG701" si="1749">SUM(AA700+AC700+AE700)</f>
        <v>6.7409999999999997</v>
      </c>
      <c r="AH700" s="96">
        <f t="shared" ref="AH700:AH701" si="1750">SUM(AB700+AD700+AF700)</f>
        <v>196.61474699999999</v>
      </c>
      <c r="AI700" s="96">
        <f t="shared" ref="AI700:AI701" si="1751">SUM(Y700+AG700)</f>
        <v>21.252000000000002</v>
      </c>
      <c r="AJ700" s="96">
        <f t="shared" ref="AJ700:AJ701" si="1752">SUM(Z700,AH700)</f>
        <v>596.27670899999998</v>
      </c>
      <c r="AK700" s="96"/>
      <c r="AL700" s="96">
        <f t="shared" ref="AL700:AL701" si="1753">N700*AK700/1000</f>
        <v>0</v>
      </c>
      <c r="AM700" s="96"/>
      <c r="AN700" s="96">
        <f t="shared" ref="AN700:AN701" si="1754">N700*AM700/1000</f>
        <v>0</v>
      </c>
      <c r="AO700" s="96"/>
      <c r="AP700" s="96">
        <f t="shared" ref="AP700:AP701" si="1755">N700*AO700/1000</f>
        <v>0</v>
      </c>
      <c r="AQ700" s="96">
        <f t="shared" ref="AQ700:AQ701" si="1756">SUM(AK700+AM700+AO700)</f>
        <v>0</v>
      </c>
      <c r="AR700" s="96">
        <f t="shared" ref="AR700:AR701" si="1757">SUM(AL700+AN700+AP700)</f>
        <v>0</v>
      </c>
      <c r="AS700" s="96"/>
      <c r="AT700" s="96">
        <f t="shared" ref="AT700:AT701" si="1758">P700*AS700/1000</f>
        <v>0</v>
      </c>
      <c r="AU700" s="96"/>
      <c r="AV700" s="96">
        <f t="shared" ref="AV700:AV701" si="1759">P700*AU700/1000</f>
        <v>0</v>
      </c>
      <c r="AW700" s="96"/>
      <c r="AX700" s="96">
        <f t="shared" ref="AX700:AX701" si="1760">P700*AW700/1000</f>
        <v>0</v>
      </c>
      <c r="AY700" s="96">
        <f t="shared" ref="AY700:AY701" si="1761">SUM(AS700+AU700+AW700)</f>
        <v>0</v>
      </c>
      <c r="AZ700" s="96">
        <f t="shared" ref="AZ700:AZ701" si="1762">SUM(AT700+AV700+AX700)</f>
        <v>0</v>
      </c>
      <c r="BA700" s="96">
        <f t="shared" ref="BA700:BA701" si="1763">SUM(AQ700+AY700)</f>
        <v>0</v>
      </c>
      <c r="BB700" s="96">
        <f t="shared" ref="BB700:BB701" si="1764">SUM(AR700,AZ700)</f>
        <v>0</v>
      </c>
    </row>
    <row r="701" spans="1:54">
      <c r="A701" s="492">
        <v>428</v>
      </c>
      <c r="B701" s="13"/>
      <c r="C701" s="23"/>
      <c r="D701" s="13"/>
      <c r="E701" s="21" t="s">
        <v>2627</v>
      </c>
      <c r="F701" s="45"/>
      <c r="G701" s="45" t="s">
        <v>1059</v>
      </c>
      <c r="H701" s="265" t="s">
        <v>358</v>
      </c>
      <c r="I701" s="54"/>
      <c r="J701" s="162"/>
      <c r="K701" s="54"/>
      <c r="L701" s="162">
        <v>33617</v>
      </c>
      <c r="M701" s="54"/>
      <c r="N701" s="162"/>
      <c r="O701" s="54"/>
      <c r="P701" s="162"/>
      <c r="Q701" s="96">
        <f t="shared" si="1739"/>
        <v>0.2</v>
      </c>
      <c r="R701" s="337">
        <f t="shared" si="1740"/>
        <v>6.7234000000000007</v>
      </c>
      <c r="S701" s="96"/>
      <c r="T701" s="96">
        <f t="shared" si="1741"/>
        <v>0</v>
      </c>
      <c r="U701" s="96"/>
      <c r="V701" s="96">
        <f t="shared" si="1742"/>
        <v>0</v>
      </c>
      <c r="W701" s="96"/>
      <c r="X701" s="96">
        <f t="shared" si="1743"/>
        <v>0</v>
      </c>
      <c r="Y701" s="96">
        <f t="shared" si="1744"/>
        <v>0</v>
      </c>
      <c r="Z701" s="96">
        <f t="shared" si="1745"/>
        <v>0</v>
      </c>
      <c r="AA701" s="96">
        <v>0.2</v>
      </c>
      <c r="AB701" s="96">
        <f t="shared" si="1746"/>
        <v>6.7234000000000007</v>
      </c>
      <c r="AC701" s="96"/>
      <c r="AD701" s="96">
        <f t="shared" si="1747"/>
        <v>0</v>
      </c>
      <c r="AE701" s="96"/>
      <c r="AF701" s="96">
        <f t="shared" si="1748"/>
        <v>0</v>
      </c>
      <c r="AG701" s="96">
        <f t="shared" si="1749"/>
        <v>0.2</v>
      </c>
      <c r="AH701" s="96">
        <f t="shared" si="1750"/>
        <v>6.7234000000000007</v>
      </c>
      <c r="AI701" s="96">
        <f t="shared" si="1751"/>
        <v>0.2</v>
      </c>
      <c r="AJ701" s="96">
        <f t="shared" si="1752"/>
        <v>6.7234000000000007</v>
      </c>
      <c r="AK701" s="96"/>
      <c r="AL701" s="96">
        <f t="shared" si="1753"/>
        <v>0</v>
      </c>
      <c r="AM701" s="96"/>
      <c r="AN701" s="96">
        <f t="shared" si="1754"/>
        <v>0</v>
      </c>
      <c r="AO701" s="96"/>
      <c r="AP701" s="96">
        <f t="shared" si="1755"/>
        <v>0</v>
      </c>
      <c r="AQ701" s="96">
        <f t="shared" si="1756"/>
        <v>0</v>
      </c>
      <c r="AR701" s="96">
        <f t="shared" si="1757"/>
        <v>0</v>
      </c>
      <c r="AS701" s="96"/>
      <c r="AT701" s="96">
        <f t="shared" si="1758"/>
        <v>0</v>
      </c>
      <c r="AU701" s="96"/>
      <c r="AV701" s="96">
        <f t="shared" si="1759"/>
        <v>0</v>
      </c>
      <c r="AW701" s="96"/>
      <c r="AX701" s="96">
        <f t="shared" si="1760"/>
        <v>0</v>
      </c>
      <c r="AY701" s="96">
        <f t="shared" si="1761"/>
        <v>0</v>
      </c>
      <c r="AZ701" s="96">
        <f t="shared" si="1762"/>
        <v>0</v>
      </c>
      <c r="BA701" s="96">
        <f t="shared" si="1763"/>
        <v>0</v>
      </c>
      <c r="BB701" s="96">
        <f t="shared" si="1764"/>
        <v>0</v>
      </c>
    </row>
    <row r="702" spans="1:54">
      <c r="A702" s="492">
        <v>427</v>
      </c>
      <c r="B702" s="13"/>
      <c r="C702" s="23"/>
      <c r="D702" s="13"/>
      <c r="E702" s="21" t="s">
        <v>1132</v>
      </c>
      <c r="F702" s="45"/>
      <c r="G702" s="45" t="s">
        <v>1059</v>
      </c>
      <c r="H702" s="265" t="s">
        <v>358</v>
      </c>
      <c r="I702" s="54"/>
      <c r="J702" s="162">
        <v>24724</v>
      </c>
      <c r="K702" s="54"/>
      <c r="L702" s="162">
        <v>24724</v>
      </c>
      <c r="M702" s="54"/>
      <c r="N702" s="162"/>
      <c r="O702" s="54"/>
      <c r="P702" s="162"/>
      <c r="Q702" s="96">
        <f t="shared" si="1687"/>
        <v>2.4E-2</v>
      </c>
      <c r="R702" s="337">
        <f t="shared" si="1688"/>
        <v>0.59337600000000001</v>
      </c>
      <c r="S702" s="96">
        <v>1.2E-2</v>
      </c>
      <c r="T702" s="96">
        <f t="shared" si="1689"/>
        <v>0.29668800000000001</v>
      </c>
      <c r="U702" s="96">
        <v>1.2E-2</v>
      </c>
      <c r="V702" s="96">
        <f t="shared" si="1690"/>
        <v>0.29668800000000001</v>
      </c>
      <c r="W702" s="96"/>
      <c r="X702" s="96">
        <f t="shared" si="1691"/>
        <v>0</v>
      </c>
      <c r="Y702" s="96">
        <f t="shared" si="1692"/>
        <v>2.4E-2</v>
      </c>
      <c r="Z702" s="96">
        <f t="shared" si="1693"/>
        <v>0.59337600000000001</v>
      </c>
      <c r="AA702" s="96"/>
      <c r="AB702" s="96">
        <f t="shared" si="1694"/>
        <v>0</v>
      </c>
      <c r="AC702" s="96"/>
      <c r="AD702" s="96">
        <f t="shared" si="1695"/>
        <v>0</v>
      </c>
      <c r="AE702" s="96"/>
      <c r="AF702" s="96">
        <f t="shared" si="1696"/>
        <v>0</v>
      </c>
      <c r="AG702" s="96">
        <f t="shared" si="1697"/>
        <v>0</v>
      </c>
      <c r="AH702" s="96">
        <f t="shared" si="1698"/>
        <v>0</v>
      </c>
      <c r="AI702" s="96">
        <f t="shared" si="1699"/>
        <v>2.4E-2</v>
      </c>
      <c r="AJ702" s="96">
        <f t="shared" si="1700"/>
        <v>0.59337600000000001</v>
      </c>
      <c r="AK702" s="96"/>
      <c r="AL702" s="96">
        <f t="shared" si="1701"/>
        <v>0</v>
      </c>
      <c r="AM702" s="96"/>
      <c r="AN702" s="96">
        <f t="shared" si="1702"/>
        <v>0</v>
      </c>
      <c r="AO702" s="96"/>
      <c r="AP702" s="96">
        <f t="shared" si="1703"/>
        <v>0</v>
      </c>
      <c r="AQ702" s="96">
        <f t="shared" si="1704"/>
        <v>0</v>
      </c>
      <c r="AR702" s="96">
        <f t="shared" si="1705"/>
        <v>0</v>
      </c>
      <c r="AS702" s="96"/>
      <c r="AT702" s="96">
        <f t="shared" si="1706"/>
        <v>0</v>
      </c>
      <c r="AU702" s="96"/>
      <c r="AV702" s="96">
        <f t="shared" si="1707"/>
        <v>0</v>
      </c>
      <c r="AW702" s="96"/>
      <c r="AX702" s="96">
        <f t="shared" si="1708"/>
        <v>0</v>
      </c>
      <c r="AY702" s="96">
        <f t="shared" si="1709"/>
        <v>0</v>
      </c>
      <c r="AZ702" s="96">
        <f t="shared" si="1710"/>
        <v>0</v>
      </c>
      <c r="BA702" s="96">
        <f t="shared" si="1711"/>
        <v>0</v>
      </c>
      <c r="BB702" s="96">
        <f t="shared" si="1712"/>
        <v>0</v>
      </c>
    </row>
    <row r="703" spans="1:54">
      <c r="A703" s="492">
        <v>428</v>
      </c>
      <c r="B703" s="13"/>
      <c r="C703" s="23"/>
      <c r="D703" s="13"/>
      <c r="E703" s="21" t="s">
        <v>527</v>
      </c>
      <c r="F703" s="45"/>
      <c r="G703" s="45" t="s">
        <v>1059</v>
      </c>
      <c r="H703" s="265" t="s">
        <v>358</v>
      </c>
      <c r="I703" s="54"/>
      <c r="J703" s="162">
        <v>21726</v>
      </c>
      <c r="K703" s="54"/>
      <c r="L703" s="162">
        <v>21726</v>
      </c>
      <c r="M703" s="54"/>
      <c r="N703" s="162"/>
      <c r="O703" s="54"/>
      <c r="P703" s="162"/>
      <c r="Q703" s="96">
        <f t="shared" si="1687"/>
        <v>0</v>
      </c>
      <c r="R703" s="337">
        <f t="shared" si="1688"/>
        <v>0</v>
      </c>
      <c r="S703" s="96"/>
      <c r="T703" s="96">
        <f t="shared" si="1689"/>
        <v>0</v>
      </c>
      <c r="U703" s="96"/>
      <c r="V703" s="96">
        <f t="shared" si="1690"/>
        <v>0</v>
      </c>
      <c r="W703" s="96"/>
      <c r="X703" s="96">
        <f t="shared" si="1691"/>
        <v>0</v>
      </c>
      <c r="Y703" s="96">
        <f t="shared" si="1692"/>
        <v>0</v>
      </c>
      <c r="Z703" s="96">
        <f t="shared" si="1693"/>
        <v>0</v>
      </c>
      <c r="AA703" s="96"/>
      <c r="AB703" s="96">
        <f t="shared" si="1694"/>
        <v>0</v>
      </c>
      <c r="AC703" s="96"/>
      <c r="AD703" s="96">
        <f t="shared" si="1695"/>
        <v>0</v>
      </c>
      <c r="AE703" s="96"/>
      <c r="AF703" s="96">
        <f t="shared" si="1696"/>
        <v>0</v>
      </c>
      <c r="AG703" s="96">
        <f t="shared" si="1697"/>
        <v>0</v>
      </c>
      <c r="AH703" s="96">
        <f t="shared" si="1698"/>
        <v>0</v>
      </c>
      <c r="AI703" s="96">
        <f t="shared" si="1699"/>
        <v>0</v>
      </c>
      <c r="AJ703" s="96">
        <f t="shared" si="1700"/>
        <v>0</v>
      </c>
      <c r="AK703" s="96"/>
      <c r="AL703" s="96">
        <f t="shared" si="1701"/>
        <v>0</v>
      </c>
      <c r="AM703" s="96"/>
      <c r="AN703" s="96">
        <f t="shared" si="1702"/>
        <v>0</v>
      </c>
      <c r="AO703" s="96"/>
      <c r="AP703" s="96">
        <f t="shared" si="1703"/>
        <v>0</v>
      </c>
      <c r="AQ703" s="96">
        <f t="shared" si="1704"/>
        <v>0</v>
      </c>
      <c r="AR703" s="96">
        <f t="shared" si="1705"/>
        <v>0</v>
      </c>
      <c r="AS703" s="96"/>
      <c r="AT703" s="96">
        <f t="shared" si="1706"/>
        <v>0</v>
      </c>
      <c r="AU703" s="96"/>
      <c r="AV703" s="96">
        <f t="shared" si="1707"/>
        <v>0</v>
      </c>
      <c r="AW703" s="96"/>
      <c r="AX703" s="96">
        <f t="shared" si="1708"/>
        <v>0</v>
      </c>
      <c r="AY703" s="96">
        <f t="shared" si="1709"/>
        <v>0</v>
      </c>
      <c r="AZ703" s="96">
        <f t="shared" si="1710"/>
        <v>0</v>
      </c>
      <c r="BA703" s="96">
        <f t="shared" si="1711"/>
        <v>0</v>
      </c>
      <c r="BB703" s="96">
        <f t="shared" si="1712"/>
        <v>0</v>
      </c>
    </row>
    <row r="704" spans="1:54" ht="12" customHeight="1">
      <c r="A704" s="492">
        <v>429</v>
      </c>
      <c r="B704" s="13"/>
      <c r="C704" s="13"/>
      <c r="D704" s="13"/>
      <c r="E704" s="21" t="s">
        <v>798</v>
      </c>
      <c r="F704" s="45"/>
      <c r="G704" s="45" t="s">
        <v>1059</v>
      </c>
      <c r="H704" s="265" t="s">
        <v>359</v>
      </c>
      <c r="I704" s="54"/>
      <c r="J704" s="162">
        <v>25611</v>
      </c>
      <c r="K704" s="54"/>
      <c r="L704" s="162">
        <v>27122</v>
      </c>
      <c r="M704" s="54"/>
      <c r="N704" s="162"/>
      <c r="O704" s="54"/>
      <c r="P704" s="162"/>
      <c r="Q704" s="96">
        <f t="shared" si="1687"/>
        <v>0.02</v>
      </c>
      <c r="R704" s="337">
        <f t="shared" si="1688"/>
        <v>0.54244000000000003</v>
      </c>
      <c r="S704" s="96"/>
      <c r="T704" s="96">
        <f t="shared" si="1689"/>
        <v>0</v>
      </c>
      <c r="U704" s="96"/>
      <c r="V704" s="96">
        <f t="shared" si="1690"/>
        <v>0</v>
      </c>
      <c r="W704" s="96"/>
      <c r="X704" s="96">
        <f t="shared" si="1691"/>
        <v>0</v>
      </c>
      <c r="Y704" s="96">
        <f t="shared" si="1692"/>
        <v>0</v>
      </c>
      <c r="Z704" s="96">
        <f t="shared" si="1693"/>
        <v>0</v>
      </c>
      <c r="AA704" s="96">
        <v>0.02</v>
      </c>
      <c r="AB704" s="96">
        <f t="shared" si="1694"/>
        <v>0.54244000000000003</v>
      </c>
      <c r="AC704" s="96"/>
      <c r="AD704" s="96">
        <f t="shared" si="1695"/>
        <v>0</v>
      </c>
      <c r="AE704" s="96"/>
      <c r="AF704" s="96">
        <f t="shared" si="1696"/>
        <v>0</v>
      </c>
      <c r="AG704" s="96">
        <f t="shared" si="1697"/>
        <v>0.02</v>
      </c>
      <c r="AH704" s="96">
        <f t="shared" si="1698"/>
        <v>0.54244000000000003</v>
      </c>
      <c r="AI704" s="96">
        <f t="shared" si="1699"/>
        <v>0.02</v>
      </c>
      <c r="AJ704" s="96">
        <f t="shared" si="1700"/>
        <v>0.54244000000000003</v>
      </c>
      <c r="AK704" s="96"/>
      <c r="AL704" s="96">
        <f t="shared" si="1701"/>
        <v>0</v>
      </c>
      <c r="AM704" s="96"/>
      <c r="AN704" s="96">
        <f t="shared" si="1702"/>
        <v>0</v>
      </c>
      <c r="AO704" s="96"/>
      <c r="AP704" s="96">
        <f t="shared" si="1703"/>
        <v>0</v>
      </c>
      <c r="AQ704" s="96">
        <f t="shared" si="1704"/>
        <v>0</v>
      </c>
      <c r="AR704" s="96">
        <f t="shared" si="1705"/>
        <v>0</v>
      </c>
      <c r="AS704" s="96"/>
      <c r="AT704" s="96">
        <f t="shared" si="1706"/>
        <v>0</v>
      </c>
      <c r="AU704" s="96"/>
      <c r="AV704" s="96">
        <f t="shared" si="1707"/>
        <v>0</v>
      </c>
      <c r="AW704" s="96"/>
      <c r="AX704" s="96">
        <f t="shared" si="1708"/>
        <v>0</v>
      </c>
      <c r="AY704" s="96">
        <f t="shared" si="1709"/>
        <v>0</v>
      </c>
      <c r="AZ704" s="96">
        <f t="shared" si="1710"/>
        <v>0</v>
      </c>
      <c r="BA704" s="96">
        <f t="shared" si="1711"/>
        <v>0</v>
      </c>
      <c r="BB704" s="96">
        <f t="shared" si="1712"/>
        <v>0</v>
      </c>
    </row>
    <row r="705" spans="1:54" ht="12" customHeight="1">
      <c r="A705" s="492">
        <v>430</v>
      </c>
      <c r="B705" s="13"/>
      <c r="C705" s="13"/>
      <c r="D705" s="13"/>
      <c r="E705" s="62" t="s">
        <v>799</v>
      </c>
      <c r="F705" s="419"/>
      <c r="G705" s="419" t="s">
        <v>1059</v>
      </c>
      <c r="H705" s="281" t="s">
        <v>359</v>
      </c>
      <c r="I705" s="66"/>
      <c r="J705" s="165">
        <v>22350</v>
      </c>
      <c r="K705" s="66"/>
      <c r="L705" s="165">
        <v>22350</v>
      </c>
      <c r="M705" s="66"/>
      <c r="N705" s="165"/>
      <c r="O705" s="66"/>
      <c r="P705" s="165"/>
      <c r="Q705" s="128">
        <f t="shared" si="1687"/>
        <v>0</v>
      </c>
      <c r="R705" s="345">
        <f t="shared" si="1688"/>
        <v>0</v>
      </c>
      <c r="S705" s="128"/>
      <c r="T705" s="128">
        <f t="shared" si="1689"/>
        <v>0</v>
      </c>
      <c r="U705" s="128"/>
      <c r="V705" s="128">
        <f t="shared" si="1690"/>
        <v>0</v>
      </c>
      <c r="W705" s="128"/>
      <c r="X705" s="128">
        <f t="shared" si="1691"/>
        <v>0</v>
      </c>
      <c r="Y705" s="128">
        <f t="shared" si="1692"/>
        <v>0</v>
      </c>
      <c r="Z705" s="128">
        <f t="shared" si="1693"/>
        <v>0</v>
      </c>
      <c r="AA705" s="128"/>
      <c r="AB705" s="128">
        <f t="shared" si="1694"/>
        <v>0</v>
      </c>
      <c r="AC705" s="128"/>
      <c r="AD705" s="128">
        <f t="shared" si="1695"/>
        <v>0</v>
      </c>
      <c r="AE705" s="128"/>
      <c r="AF705" s="128">
        <f t="shared" si="1696"/>
        <v>0</v>
      </c>
      <c r="AG705" s="128">
        <f t="shared" si="1697"/>
        <v>0</v>
      </c>
      <c r="AH705" s="128">
        <f t="shared" si="1698"/>
        <v>0</v>
      </c>
      <c r="AI705" s="128">
        <f t="shared" si="1699"/>
        <v>0</v>
      </c>
      <c r="AJ705" s="128">
        <f t="shared" si="1700"/>
        <v>0</v>
      </c>
      <c r="AK705" s="128"/>
      <c r="AL705" s="128">
        <f t="shared" si="1701"/>
        <v>0</v>
      </c>
      <c r="AM705" s="128"/>
      <c r="AN705" s="128">
        <f t="shared" si="1702"/>
        <v>0</v>
      </c>
      <c r="AO705" s="128"/>
      <c r="AP705" s="128">
        <f t="shared" si="1703"/>
        <v>0</v>
      </c>
      <c r="AQ705" s="128">
        <f t="shared" si="1704"/>
        <v>0</v>
      </c>
      <c r="AR705" s="128">
        <f t="shared" si="1705"/>
        <v>0</v>
      </c>
      <c r="AS705" s="128"/>
      <c r="AT705" s="128">
        <f t="shared" si="1706"/>
        <v>0</v>
      </c>
      <c r="AU705" s="128"/>
      <c r="AV705" s="128">
        <f t="shared" si="1707"/>
        <v>0</v>
      </c>
      <c r="AW705" s="128"/>
      <c r="AX705" s="128">
        <f t="shared" si="1708"/>
        <v>0</v>
      </c>
      <c r="AY705" s="128">
        <f t="shared" si="1709"/>
        <v>0</v>
      </c>
      <c r="AZ705" s="128">
        <f t="shared" si="1710"/>
        <v>0</v>
      </c>
      <c r="BA705" s="128">
        <f t="shared" si="1711"/>
        <v>0</v>
      </c>
      <c r="BB705" s="128">
        <f t="shared" si="1712"/>
        <v>0</v>
      </c>
    </row>
    <row r="706" spans="1:54">
      <c r="A706" s="492">
        <v>431</v>
      </c>
      <c r="B706" s="13"/>
      <c r="C706" s="13"/>
      <c r="D706" s="13"/>
      <c r="E706" s="21" t="s">
        <v>1091</v>
      </c>
      <c r="F706" s="45"/>
      <c r="G706" s="419" t="s">
        <v>1059</v>
      </c>
      <c r="H706" s="281" t="s">
        <v>359</v>
      </c>
      <c r="I706" s="54"/>
      <c r="J706" s="162">
        <v>29817</v>
      </c>
      <c r="K706" s="54"/>
      <c r="L706" s="162">
        <v>31576</v>
      </c>
      <c r="M706" s="54"/>
      <c r="N706" s="162"/>
      <c r="O706" s="54"/>
      <c r="P706" s="162"/>
      <c r="Q706" s="96">
        <f t="shared" si="1687"/>
        <v>0.02</v>
      </c>
      <c r="R706" s="337">
        <f t="shared" si="1688"/>
        <v>0.59633999999999998</v>
      </c>
      <c r="S706" s="96">
        <v>0.01</v>
      </c>
      <c r="T706" s="96">
        <f t="shared" si="1689"/>
        <v>0.29816999999999999</v>
      </c>
      <c r="U706" s="96">
        <v>0.01</v>
      </c>
      <c r="V706" s="96">
        <f t="shared" si="1690"/>
        <v>0.29816999999999999</v>
      </c>
      <c r="W706" s="96"/>
      <c r="X706" s="96">
        <f t="shared" si="1691"/>
        <v>0</v>
      </c>
      <c r="Y706" s="96">
        <f t="shared" si="1692"/>
        <v>0.02</v>
      </c>
      <c r="Z706" s="96">
        <f t="shared" si="1693"/>
        <v>0.59633999999999998</v>
      </c>
      <c r="AA706" s="96"/>
      <c r="AB706" s="96">
        <f t="shared" si="1694"/>
        <v>0</v>
      </c>
      <c r="AC706" s="96"/>
      <c r="AD706" s="96">
        <f t="shared" si="1695"/>
        <v>0</v>
      </c>
      <c r="AE706" s="96"/>
      <c r="AF706" s="96">
        <f t="shared" si="1696"/>
        <v>0</v>
      </c>
      <c r="AG706" s="96">
        <f t="shared" si="1697"/>
        <v>0</v>
      </c>
      <c r="AH706" s="96">
        <f t="shared" si="1698"/>
        <v>0</v>
      </c>
      <c r="AI706" s="96">
        <f t="shared" si="1699"/>
        <v>0.02</v>
      </c>
      <c r="AJ706" s="96">
        <f t="shared" si="1700"/>
        <v>0.59633999999999998</v>
      </c>
      <c r="AK706" s="96"/>
      <c r="AL706" s="96">
        <f t="shared" si="1701"/>
        <v>0</v>
      </c>
      <c r="AM706" s="96"/>
      <c r="AN706" s="96">
        <f t="shared" si="1702"/>
        <v>0</v>
      </c>
      <c r="AO706" s="96"/>
      <c r="AP706" s="96">
        <f t="shared" si="1703"/>
        <v>0</v>
      </c>
      <c r="AQ706" s="96">
        <f t="shared" si="1704"/>
        <v>0</v>
      </c>
      <c r="AR706" s="96">
        <f t="shared" si="1705"/>
        <v>0</v>
      </c>
      <c r="AS706" s="96"/>
      <c r="AT706" s="96">
        <f t="shared" si="1706"/>
        <v>0</v>
      </c>
      <c r="AU706" s="96"/>
      <c r="AV706" s="96">
        <f t="shared" si="1707"/>
        <v>0</v>
      </c>
      <c r="AW706" s="96"/>
      <c r="AX706" s="96">
        <f t="shared" si="1708"/>
        <v>0</v>
      </c>
      <c r="AY706" s="96">
        <f t="shared" si="1709"/>
        <v>0</v>
      </c>
      <c r="AZ706" s="96">
        <f t="shared" si="1710"/>
        <v>0</v>
      </c>
      <c r="BA706" s="96">
        <f t="shared" si="1711"/>
        <v>0</v>
      </c>
      <c r="BB706" s="96">
        <f t="shared" si="1712"/>
        <v>0</v>
      </c>
    </row>
    <row r="707" spans="1:54">
      <c r="A707" s="492">
        <v>432</v>
      </c>
      <c r="B707" s="13"/>
      <c r="C707" s="13"/>
      <c r="D707" s="13"/>
      <c r="E707" s="21" t="s">
        <v>1092</v>
      </c>
      <c r="F707" s="45"/>
      <c r="G707" s="419" t="s">
        <v>1059</v>
      </c>
      <c r="H707" s="281" t="s">
        <v>359</v>
      </c>
      <c r="I707" s="54"/>
      <c r="J707" s="162">
        <v>26322</v>
      </c>
      <c r="K707" s="54"/>
      <c r="L707" s="162">
        <v>26322</v>
      </c>
      <c r="M707" s="54"/>
      <c r="N707" s="162"/>
      <c r="O707" s="54"/>
      <c r="P707" s="162"/>
      <c r="Q707" s="96">
        <f t="shared" si="1687"/>
        <v>0</v>
      </c>
      <c r="R707" s="337">
        <f t="shared" si="1688"/>
        <v>0</v>
      </c>
      <c r="S707" s="96"/>
      <c r="T707" s="96">
        <f t="shared" si="1689"/>
        <v>0</v>
      </c>
      <c r="U707" s="96"/>
      <c r="V707" s="96">
        <f t="shared" si="1690"/>
        <v>0</v>
      </c>
      <c r="W707" s="96"/>
      <c r="X707" s="96">
        <f t="shared" si="1691"/>
        <v>0</v>
      </c>
      <c r="Y707" s="96">
        <f t="shared" si="1692"/>
        <v>0</v>
      </c>
      <c r="Z707" s="96">
        <f t="shared" si="1693"/>
        <v>0</v>
      </c>
      <c r="AA707" s="96"/>
      <c r="AB707" s="96">
        <f t="shared" si="1694"/>
        <v>0</v>
      </c>
      <c r="AC707" s="96"/>
      <c r="AD707" s="96">
        <f t="shared" si="1695"/>
        <v>0</v>
      </c>
      <c r="AE707" s="96"/>
      <c r="AF707" s="96">
        <f t="shared" si="1696"/>
        <v>0</v>
      </c>
      <c r="AG707" s="96">
        <f t="shared" si="1697"/>
        <v>0</v>
      </c>
      <c r="AH707" s="96">
        <f t="shared" si="1698"/>
        <v>0</v>
      </c>
      <c r="AI707" s="96">
        <f t="shared" si="1699"/>
        <v>0</v>
      </c>
      <c r="AJ707" s="96">
        <f t="shared" si="1700"/>
        <v>0</v>
      </c>
      <c r="AK707" s="96"/>
      <c r="AL707" s="96">
        <f t="shared" si="1701"/>
        <v>0</v>
      </c>
      <c r="AM707" s="96"/>
      <c r="AN707" s="96">
        <f t="shared" si="1702"/>
        <v>0</v>
      </c>
      <c r="AO707" s="96"/>
      <c r="AP707" s="96">
        <f t="shared" si="1703"/>
        <v>0</v>
      </c>
      <c r="AQ707" s="96">
        <f t="shared" si="1704"/>
        <v>0</v>
      </c>
      <c r="AR707" s="96">
        <f t="shared" si="1705"/>
        <v>0</v>
      </c>
      <c r="AS707" s="96"/>
      <c r="AT707" s="96">
        <f t="shared" si="1706"/>
        <v>0</v>
      </c>
      <c r="AU707" s="96"/>
      <c r="AV707" s="96">
        <f t="shared" si="1707"/>
        <v>0</v>
      </c>
      <c r="AW707" s="96"/>
      <c r="AX707" s="96">
        <f t="shared" si="1708"/>
        <v>0</v>
      </c>
      <c r="AY707" s="96">
        <f t="shared" si="1709"/>
        <v>0</v>
      </c>
      <c r="AZ707" s="96">
        <f t="shared" si="1710"/>
        <v>0</v>
      </c>
      <c r="BA707" s="96">
        <f t="shared" si="1711"/>
        <v>0</v>
      </c>
      <c r="BB707" s="96">
        <f t="shared" si="1712"/>
        <v>0</v>
      </c>
    </row>
    <row r="708" spans="1:54">
      <c r="A708" s="492">
        <v>433</v>
      </c>
      <c r="B708" s="13"/>
      <c r="C708" s="13"/>
      <c r="D708" s="15"/>
      <c r="E708" s="89" t="s">
        <v>1674</v>
      </c>
      <c r="F708" s="424"/>
      <c r="G708" s="45" t="s">
        <v>1059</v>
      </c>
      <c r="H708" s="265" t="s">
        <v>359</v>
      </c>
      <c r="I708" s="75"/>
      <c r="J708" s="162">
        <v>9869</v>
      </c>
      <c r="K708" s="75"/>
      <c r="L708" s="162">
        <v>10451</v>
      </c>
      <c r="M708" s="75"/>
      <c r="N708" s="162"/>
      <c r="O708" s="75"/>
      <c r="P708" s="162"/>
      <c r="Q708" s="130">
        <f t="shared" si="1687"/>
        <v>0.156</v>
      </c>
      <c r="R708" s="347">
        <f t="shared" si="1688"/>
        <v>1.5500399999999999</v>
      </c>
      <c r="S708" s="130">
        <v>2.8000000000000001E-2</v>
      </c>
      <c r="T708" s="130">
        <f t="shared" si="1689"/>
        <v>0.27633199999999997</v>
      </c>
      <c r="U708" s="130"/>
      <c r="V708" s="130">
        <f t="shared" si="1690"/>
        <v>0</v>
      </c>
      <c r="W708" s="130">
        <v>0.11</v>
      </c>
      <c r="X708" s="130">
        <f t="shared" si="1691"/>
        <v>1.0855899999999998</v>
      </c>
      <c r="Y708" s="130">
        <f t="shared" si="1692"/>
        <v>0.13800000000000001</v>
      </c>
      <c r="Z708" s="130">
        <f t="shared" si="1693"/>
        <v>1.3619219999999999</v>
      </c>
      <c r="AA708" s="130">
        <v>1.7999999999999999E-2</v>
      </c>
      <c r="AB708" s="130">
        <f t="shared" si="1694"/>
        <v>0.18811800000000001</v>
      </c>
      <c r="AC708" s="130"/>
      <c r="AD708" s="130">
        <f t="shared" si="1695"/>
        <v>0</v>
      </c>
      <c r="AE708" s="130"/>
      <c r="AF708" s="130">
        <f t="shared" si="1696"/>
        <v>0</v>
      </c>
      <c r="AG708" s="130">
        <f t="shared" si="1697"/>
        <v>1.7999999999999999E-2</v>
      </c>
      <c r="AH708" s="130">
        <f t="shared" si="1698"/>
        <v>0.18811800000000001</v>
      </c>
      <c r="AI708" s="130">
        <f t="shared" si="1699"/>
        <v>0.156</v>
      </c>
      <c r="AJ708" s="130">
        <f t="shared" si="1700"/>
        <v>1.5500399999999999</v>
      </c>
      <c r="AK708" s="130"/>
      <c r="AL708" s="130">
        <f t="shared" si="1701"/>
        <v>0</v>
      </c>
      <c r="AM708" s="130"/>
      <c r="AN708" s="130">
        <f t="shared" si="1702"/>
        <v>0</v>
      </c>
      <c r="AO708" s="130"/>
      <c r="AP708" s="130">
        <f t="shared" si="1703"/>
        <v>0</v>
      </c>
      <c r="AQ708" s="130">
        <f t="shared" si="1704"/>
        <v>0</v>
      </c>
      <c r="AR708" s="130">
        <f t="shared" si="1705"/>
        <v>0</v>
      </c>
      <c r="AS708" s="130"/>
      <c r="AT708" s="130">
        <f t="shared" si="1706"/>
        <v>0</v>
      </c>
      <c r="AU708" s="130"/>
      <c r="AV708" s="130">
        <f t="shared" si="1707"/>
        <v>0</v>
      </c>
      <c r="AW708" s="130"/>
      <c r="AX708" s="130">
        <f t="shared" si="1708"/>
        <v>0</v>
      </c>
      <c r="AY708" s="130">
        <f t="shared" si="1709"/>
        <v>0</v>
      </c>
      <c r="AZ708" s="130">
        <f t="shared" si="1710"/>
        <v>0</v>
      </c>
      <c r="BA708" s="130">
        <f t="shared" si="1711"/>
        <v>0</v>
      </c>
      <c r="BB708" s="130">
        <f t="shared" si="1712"/>
        <v>0</v>
      </c>
    </row>
    <row r="709" spans="1:54">
      <c r="A709" s="492">
        <v>433</v>
      </c>
      <c r="B709" s="13"/>
      <c r="C709" s="13"/>
      <c r="D709" s="15"/>
      <c r="E709" s="89" t="s">
        <v>517</v>
      </c>
      <c r="F709" s="424"/>
      <c r="G709" s="45" t="s">
        <v>1059</v>
      </c>
      <c r="H709" s="265" t="s">
        <v>360</v>
      </c>
      <c r="I709" s="75"/>
      <c r="J709" s="162">
        <v>31408</v>
      </c>
      <c r="K709" s="75"/>
      <c r="L709" s="162">
        <v>31408</v>
      </c>
      <c r="M709" s="75"/>
      <c r="N709" s="162"/>
      <c r="O709" s="75"/>
      <c r="P709" s="162"/>
      <c r="Q709" s="130">
        <f t="shared" si="1687"/>
        <v>0</v>
      </c>
      <c r="R709" s="347">
        <f t="shared" si="1688"/>
        <v>0</v>
      </c>
      <c r="S709" s="130"/>
      <c r="T709" s="130">
        <f t="shared" si="1689"/>
        <v>0</v>
      </c>
      <c r="U709" s="130"/>
      <c r="V709" s="130">
        <f t="shared" si="1690"/>
        <v>0</v>
      </c>
      <c r="W709" s="130"/>
      <c r="X709" s="130">
        <f t="shared" si="1691"/>
        <v>0</v>
      </c>
      <c r="Y709" s="130">
        <f t="shared" si="1692"/>
        <v>0</v>
      </c>
      <c r="Z709" s="130">
        <f t="shared" si="1693"/>
        <v>0</v>
      </c>
      <c r="AA709" s="130"/>
      <c r="AB709" s="130">
        <f t="shared" si="1694"/>
        <v>0</v>
      </c>
      <c r="AC709" s="130"/>
      <c r="AD709" s="130">
        <f t="shared" si="1695"/>
        <v>0</v>
      </c>
      <c r="AE709" s="130"/>
      <c r="AF709" s="130">
        <f t="shared" si="1696"/>
        <v>0</v>
      </c>
      <c r="AG709" s="130">
        <f t="shared" si="1697"/>
        <v>0</v>
      </c>
      <c r="AH709" s="130">
        <f t="shared" si="1698"/>
        <v>0</v>
      </c>
      <c r="AI709" s="130">
        <f t="shared" si="1699"/>
        <v>0</v>
      </c>
      <c r="AJ709" s="130">
        <f t="shared" si="1700"/>
        <v>0</v>
      </c>
      <c r="AK709" s="130"/>
      <c r="AL709" s="130">
        <f t="shared" si="1701"/>
        <v>0</v>
      </c>
      <c r="AM709" s="130"/>
      <c r="AN709" s="130">
        <f t="shared" si="1702"/>
        <v>0</v>
      </c>
      <c r="AO709" s="130"/>
      <c r="AP709" s="130">
        <f t="shared" si="1703"/>
        <v>0</v>
      </c>
      <c r="AQ709" s="130">
        <f t="shared" si="1704"/>
        <v>0</v>
      </c>
      <c r="AR709" s="130">
        <f t="shared" si="1705"/>
        <v>0</v>
      </c>
      <c r="AS709" s="130"/>
      <c r="AT709" s="130">
        <f t="shared" si="1706"/>
        <v>0</v>
      </c>
      <c r="AU709" s="130"/>
      <c r="AV709" s="130">
        <f t="shared" si="1707"/>
        <v>0</v>
      </c>
      <c r="AW709" s="130"/>
      <c r="AX709" s="130">
        <f t="shared" si="1708"/>
        <v>0</v>
      </c>
      <c r="AY709" s="130">
        <f t="shared" si="1709"/>
        <v>0</v>
      </c>
      <c r="AZ709" s="130">
        <f t="shared" si="1710"/>
        <v>0</v>
      </c>
      <c r="BA709" s="130">
        <f t="shared" si="1711"/>
        <v>0</v>
      </c>
      <c r="BB709" s="130">
        <f t="shared" si="1712"/>
        <v>0</v>
      </c>
    </row>
    <row r="710" spans="1:54" ht="12" customHeight="1">
      <c r="A710" s="492">
        <v>426</v>
      </c>
      <c r="B710" s="13"/>
      <c r="C710" s="13"/>
      <c r="D710" s="13"/>
      <c r="E710" s="21" t="s">
        <v>1350</v>
      </c>
      <c r="F710" s="45"/>
      <c r="G710" s="45" t="s">
        <v>1059</v>
      </c>
      <c r="H710" s="265" t="s">
        <v>359</v>
      </c>
      <c r="I710" s="54"/>
      <c r="J710" s="162">
        <v>29658</v>
      </c>
      <c r="K710" s="54"/>
      <c r="L710" s="162">
        <v>29658</v>
      </c>
      <c r="M710" s="54"/>
      <c r="N710" s="162"/>
      <c r="O710" s="54"/>
      <c r="P710" s="162"/>
      <c r="Q710" s="96">
        <f t="shared" si="1687"/>
        <v>0</v>
      </c>
      <c r="R710" s="337">
        <f t="shared" si="1688"/>
        <v>0</v>
      </c>
      <c r="S710" s="96"/>
      <c r="T710" s="96">
        <f t="shared" si="1689"/>
        <v>0</v>
      </c>
      <c r="U710" s="96"/>
      <c r="V710" s="96">
        <f t="shared" si="1690"/>
        <v>0</v>
      </c>
      <c r="W710" s="96"/>
      <c r="X710" s="96">
        <f t="shared" si="1691"/>
        <v>0</v>
      </c>
      <c r="Y710" s="96">
        <f t="shared" si="1692"/>
        <v>0</v>
      </c>
      <c r="Z710" s="96">
        <f t="shared" si="1693"/>
        <v>0</v>
      </c>
      <c r="AA710" s="96"/>
      <c r="AB710" s="96">
        <f t="shared" si="1694"/>
        <v>0</v>
      </c>
      <c r="AC710" s="96"/>
      <c r="AD710" s="96">
        <f t="shared" si="1695"/>
        <v>0</v>
      </c>
      <c r="AE710" s="96"/>
      <c r="AF710" s="96">
        <f t="shared" si="1696"/>
        <v>0</v>
      </c>
      <c r="AG710" s="96">
        <f t="shared" si="1697"/>
        <v>0</v>
      </c>
      <c r="AH710" s="96">
        <f t="shared" si="1698"/>
        <v>0</v>
      </c>
      <c r="AI710" s="96">
        <f t="shared" si="1699"/>
        <v>0</v>
      </c>
      <c r="AJ710" s="96">
        <f t="shared" si="1700"/>
        <v>0</v>
      </c>
      <c r="AK710" s="96"/>
      <c r="AL710" s="96">
        <f t="shared" si="1701"/>
        <v>0</v>
      </c>
      <c r="AM710" s="96"/>
      <c r="AN710" s="96">
        <f t="shared" si="1702"/>
        <v>0</v>
      </c>
      <c r="AO710" s="96"/>
      <c r="AP710" s="96">
        <f t="shared" si="1703"/>
        <v>0</v>
      </c>
      <c r="AQ710" s="96">
        <f t="shared" si="1704"/>
        <v>0</v>
      </c>
      <c r="AR710" s="96">
        <f t="shared" si="1705"/>
        <v>0</v>
      </c>
      <c r="AS710" s="96"/>
      <c r="AT710" s="96">
        <f t="shared" si="1706"/>
        <v>0</v>
      </c>
      <c r="AU710" s="96"/>
      <c r="AV710" s="96">
        <f t="shared" si="1707"/>
        <v>0</v>
      </c>
      <c r="AW710" s="96"/>
      <c r="AX710" s="96">
        <f t="shared" si="1708"/>
        <v>0</v>
      </c>
      <c r="AY710" s="96">
        <f t="shared" si="1709"/>
        <v>0</v>
      </c>
      <c r="AZ710" s="96">
        <f t="shared" si="1710"/>
        <v>0</v>
      </c>
      <c r="BA710" s="96">
        <f t="shared" si="1711"/>
        <v>0</v>
      </c>
      <c r="BB710" s="96">
        <f t="shared" si="1712"/>
        <v>0</v>
      </c>
    </row>
    <row r="711" spans="1:54">
      <c r="A711" s="492">
        <v>420</v>
      </c>
      <c r="B711" s="13"/>
      <c r="C711" s="13"/>
      <c r="D711" s="15"/>
      <c r="E711" s="21" t="s">
        <v>1408</v>
      </c>
      <c r="F711" s="45"/>
      <c r="G711" s="45" t="s">
        <v>1059</v>
      </c>
      <c r="H711" s="265" t="s">
        <v>359</v>
      </c>
      <c r="I711" s="54"/>
      <c r="J711" s="162">
        <v>29658</v>
      </c>
      <c r="K711" s="54"/>
      <c r="L711" s="162">
        <v>33261</v>
      </c>
      <c r="M711" s="54"/>
      <c r="N711" s="162"/>
      <c r="O711" s="54"/>
      <c r="P711" s="162"/>
      <c r="Q711" s="96">
        <f t="shared" si="1687"/>
        <v>0.153</v>
      </c>
      <c r="R711" s="337">
        <f t="shared" si="1688"/>
        <v>4.537674</v>
      </c>
      <c r="S711" s="96">
        <v>0.153</v>
      </c>
      <c r="T711" s="96">
        <f t="shared" si="1689"/>
        <v>4.537674</v>
      </c>
      <c r="U711" s="96"/>
      <c r="V711" s="96">
        <f t="shared" si="1690"/>
        <v>0</v>
      </c>
      <c r="W711" s="96"/>
      <c r="X711" s="96">
        <f t="shared" si="1691"/>
        <v>0</v>
      </c>
      <c r="Y711" s="96">
        <f t="shared" si="1692"/>
        <v>0.153</v>
      </c>
      <c r="Z711" s="96">
        <f t="shared" si="1693"/>
        <v>4.537674</v>
      </c>
      <c r="AA711" s="96"/>
      <c r="AB711" s="96">
        <f t="shared" si="1694"/>
        <v>0</v>
      </c>
      <c r="AC711" s="96"/>
      <c r="AD711" s="96">
        <f t="shared" si="1695"/>
        <v>0</v>
      </c>
      <c r="AE711" s="96"/>
      <c r="AF711" s="96">
        <f t="shared" si="1696"/>
        <v>0</v>
      </c>
      <c r="AG711" s="96">
        <f t="shared" si="1697"/>
        <v>0</v>
      </c>
      <c r="AH711" s="96">
        <f t="shared" si="1698"/>
        <v>0</v>
      </c>
      <c r="AI711" s="96">
        <f t="shared" si="1699"/>
        <v>0.153</v>
      </c>
      <c r="AJ711" s="96">
        <f t="shared" si="1700"/>
        <v>4.537674</v>
      </c>
      <c r="AK711" s="96"/>
      <c r="AL711" s="96">
        <f t="shared" si="1701"/>
        <v>0</v>
      </c>
      <c r="AM711" s="96"/>
      <c r="AN711" s="96">
        <f t="shared" si="1702"/>
        <v>0</v>
      </c>
      <c r="AO711" s="96"/>
      <c r="AP711" s="96">
        <f t="shared" si="1703"/>
        <v>0</v>
      </c>
      <c r="AQ711" s="96">
        <f t="shared" si="1704"/>
        <v>0</v>
      </c>
      <c r="AR711" s="96">
        <f t="shared" si="1705"/>
        <v>0</v>
      </c>
      <c r="AS711" s="96"/>
      <c r="AT711" s="96">
        <f t="shared" si="1706"/>
        <v>0</v>
      </c>
      <c r="AU711" s="96"/>
      <c r="AV711" s="96">
        <f t="shared" si="1707"/>
        <v>0</v>
      </c>
      <c r="AW711" s="96"/>
      <c r="AX711" s="96">
        <f t="shared" si="1708"/>
        <v>0</v>
      </c>
      <c r="AY711" s="96">
        <f t="shared" si="1709"/>
        <v>0</v>
      </c>
      <c r="AZ711" s="96">
        <f t="shared" si="1710"/>
        <v>0</v>
      </c>
      <c r="BA711" s="96">
        <f t="shared" si="1711"/>
        <v>0</v>
      </c>
      <c r="BB711" s="96">
        <f t="shared" si="1712"/>
        <v>0</v>
      </c>
    </row>
    <row r="712" spans="1:54" ht="12" customHeight="1">
      <c r="A712" s="492">
        <v>434</v>
      </c>
      <c r="B712" s="13"/>
      <c r="C712" s="13"/>
      <c r="D712" s="13"/>
      <c r="E712" s="21" t="s">
        <v>856</v>
      </c>
      <c r="F712" s="45"/>
      <c r="G712" s="45" t="s">
        <v>1059</v>
      </c>
      <c r="H712" s="265" t="s">
        <v>359</v>
      </c>
      <c r="I712" s="54"/>
      <c r="J712" s="162">
        <v>41646</v>
      </c>
      <c r="K712" s="54"/>
      <c r="L712" s="162">
        <v>44103</v>
      </c>
      <c r="M712" s="54"/>
      <c r="N712" s="162"/>
      <c r="O712" s="54"/>
      <c r="P712" s="162"/>
      <c r="Q712" s="96">
        <f t="shared" si="1687"/>
        <v>5.6000000000000001E-2</v>
      </c>
      <c r="R712" s="337">
        <f t="shared" si="1688"/>
        <v>2.332176</v>
      </c>
      <c r="S712" s="96">
        <v>5.6000000000000001E-2</v>
      </c>
      <c r="T712" s="96">
        <f t="shared" si="1689"/>
        <v>2.332176</v>
      </c>
      <c r="U712" s="96"/>
      <c r="V712" s="96">
        <f t="shared" si="1690"/>
        <v>0</v>
      </c>
      <c r="W712" s="96"/>
      <c r="X712" s="96">
        <f t="shared" si="1691"/>
        <v>0</v>
      </c>
      <c r="Y712" s="96">
        <f t="shared" si="1692"/>
        <v>5.6000000000000001E-2</v>
      </c>
      <c r="Z712" s="96">
        <f t="shared" si="1693"/>
        <v>2.332176</v>
      </c>
      <c r="AA712" s="96"/>
      <c r="AB712" s="96">
        <f t="shared" si="1694"/>
        <v>0</v>
      </c>
      <c r="AC712" s="96"/>
      <c r="AD712" s="96">
        <f t="shared" si="1695"/>
        <v>0</v>
      </c>
      <c r="AE712" s="96"/>
      <c r="AF712" s="96">
        <f t="shared" si="1696"/>
        <v>0</v>
      </c>
      <c r="AG712" s="96">
        <f t="shared" si="1697"/>
        <v>0</v>
      </c>
      <c r="AH712" s="96">
        <f t="shared" si="1698"/>
        <v>0</v>
      </c>
      <c r="AI712" s="96">
        <f t="shared" si="1699"/>
        <v>5.6000000000000001E-2</v>
      </c>
      <c r="AJ712" s="96">
        <f t="shared" si="1700"/>
        <v>2.332176</v>
      </c>
      <c r="AK712" s="96"/>
      <c r="AL712" s="96">
        <f t="shared" si="1701"/>
        <v>0</v>
      </c>
      <c r="AM712" s="96"/>
      <c r="AN712" s="96">
        <f t="shared" si="1702"/>
        <v>0</v>
      </c>
      <c r="AO712" s="96"/>
      <c r="AP712" s="96">
        <f t="shared" si="1703"/>
        <v>0</v>
      </c>
      <c r="AQ712" s="96">
        <f t="shared" si="1704"/>
        <v>0</v>
      </c>
      <c r="AR712" s="96">
        <f t="shared" si="1705"/>
        <v>0</v>
      </c>
      <c r="AS712" s="96"/>
      <c r="AT712" s="96">
        <f t="shared" si="1706"/>
        <v>0</v>
      </c>
      <c r="AU712" s="96"/>
      <c r="AV712" s="96">
        <f t="shared" si="1707"/>
        <v>0</v>
      </c>
      <c r="AW712" s="96"/>
      <c r="AX712" s="96">
        <f t="shared" si="1708"/>
        <v>0</v>
      </c>
      <c r="AY712" s="96">
        <f t="shared" si="1709"/>
        <v>0</v>
      </c>
      <c r="AZ712" s="96">
        <f t="shared" si="1710"/>
        <v>0</v>
      </c>
      <c r="BA712" s="96">
        <f t="shared" si="1711"/>
        <v>0</v>
      </c>
      <c r="BB712" s="96">
        <f t="shared" si="1712"/>
        <v>0</v>
      </c>
    </row>
    <row r="713" spans="1:54">
      <c r="A713" s="492">
        <v>435</v>
      </c>
      <c r="B713" s="13"/>
      <c r="C713" s="23"/>
      <c r="D713" s="13"/>
      <c r="E713" s="21" t="s">
        <v>1047</v>
      </c>
      <c r="F713" s="45"/>
      <c r="G713" s="45" t="s">
        <v>1056</v>
      </c>
      <c r="H713" s="265" t="s">
        <v>358</v>
      </c>
      <c r="I713" s="54"/>
      <c r="J713" s="162">
        <v>5661</v>
      </c>
      <c r="K713" s="54"/>
      <c r="L713" s="162">
        <v>5995</v>
      </c>
      <c r="M713" s="54"/>
      <c r="N713" s="162"/>
      <c r="O713" s="54"/>
      <c r="P713" s="162"/>
      <c r="Q713" s="96">
        <f t="shared" si="1687"/>
        <v>6.8819999999999997</v>
      </c>
      <c r="R713" s="337">
        <f t="shared" si="1688"/>
        <v>39.72119</v>
      </c>
      <c r="S713" s="96">
        <v>2.6629999999999998</v>
      </c>
      <c r="T713" s="96">
        <f t="shared" si="1689"/>
        <v>15.075242999999999</v>
      </c>
      <c r="U713" s="96">
        <v>1.877</v>
      </c>
      <c r="V713" s="96">
        <f t="shared" si="1690"/>
        <v>10.625697000000001</v>
      </c>
      <c r="W713" s="96">
        <v>0.06</v>
      </c>
      <c r="X713" s="96">
        <f t="shared" si="1691"/>
        <v>0.33965999999999996</v>
      </c>
      <c r="Y713" s="96">
        <f t="shared" si="1692"/>
        <v>4.5999999999999996</v>
      </c>
      <c r="Z713" s="96">
        <f t="shared" si="1693"/>
        <v>26.040599999999998</v>
      </c>
      <c r="AA713" s="96">
        <v>2.282</v>
      </c>
      <c r="AB713" s="96">
        <f t="shared" si="1694"/>
        <v>13.68059</v>
      </c>
      <c r="AC713" s="96"/>
      <c r="AD713" s="96">
        <f t="shared" si="1695"/>
        <v>0</v>
      </c>
      <c r="AE713" s="96"/>
      <c r="AF713" s="96">
        <f t="shared" si="1696"/>
        <v>0</v>
      </c>
      <c r="AG713" s="96">
        <f t="shared" si="1697"/>
        <v>2.282</v>
      </c>
      <c r="AH713" s="96">
        <f t="shared" si="1698"/>
        <v>13.68059</v>
      </c>
      <c r="AI713" s="96">
        <f t="shared" si="1699"/>
        <v>6.8819999999999997</v>
      </c>
      <c r="AJ713" s="96">
        <f t="shared" si="1700"/>
        <v>39.72119</v>
      </c>
      <c r="AK713" s="96"/>
      <c r="AL713" s="96">
        <f t="shared" si="1701"/>
        <v>0</v>
      </c>
      <c r="AM713" s="96"/>
      <c r="AN713" s="96">
        <f t="shared" si="1702"/>
        <v>0</v>
      </c>
      <c r="AO713" s="96"/>
      <c r="AP713" s="96">
        <f t="shared" si="1703"/>
        <v>0</v>
      </c>
      <c r="AQ713" s="96">
        <f t="shared" si="1704"/>
        <v>0</v>
      </c>
      <c r="AR713" s="96">
        <f t="shared" si="1705"/>
        <v>0</v>
      </c>
      <c r="AS713" s="96"/>
      <c r="AT713" s="96">
        <f t="shared" si="1706"/>
        <v>0</v>
      </c>
      <c r="AU713" s="96"/>
      <c r="AV713" s="96">
        <f t="shared" si="1707"/>
        <v>0</v>
      </c>
      <c r="AW713" s="96"/>
      <c r="AX713" s="96">
        <f t="shared" si="1708"/>
        <v>0</v>
      </c>
      <c r="AY713" s="96">
        <f t="shared" si="1709"/>
        <v>0</v>
      </c>
      <c r="AZ713" s="96">
        <f t="shared" si="1710"/>
        <v>0</v>
      </c>
      <c r="BA713" s="96">
        <f t="shared" si="1711"/>
        <v>0</v>
      </c>
      <c r="BB713" s="96">
        <f t="shared" si="1712"/>
        <v>0</v>
      </c>
    </row>
    <row r="714" spans="1:54">
      <c r="A714" s="492">
        <v>436</v>
      </c>
      <c r="B714" s="13"/>
      <c r="C714" s="23"/>
      <c r="D714" s="13"/>
      <c r="E714" s="21" t="s">
        <v>1048</v>
      </c>
      <c r="F714" s="45"/>
      <c r="G714" s="45" t="s">
        <v>1056</v>
      </c>
      <c r="H714" s="265" t="s">
        <v>358</v>
      </c>
      <c r="I714" s="54"/>
      <c r="J714" s="162">
        <v>3300</v>
      </c>
      <c r="K714" s="54"/>
      <c r="L714" s="162">
        <v>3495</v>
      </c>
      <c r="M714" s="54"/>
      <c r="N714" s="162"/>
      <c r="O714" s="54"/>
      <c r="P714" s="162"/>
      <c r="Q714" s="96">
        <f t="shared" si="1687"/>
        <v>10.962</v>
      </c>
      <c r="R714" s="337">
        <f t="shared" si="1688"/>
        <v>37.082324999999997</v>
      </c>
      <c r="S714" s="96">
        <v>2.246</v>
      </c>
      <c r="T714" s="96">
        <f t="shared" si="1689"/>
        <v>7.4118000000000004</v>
      </c>
      <c r="U714" s="96">
        <v>2.657</v>
      </c>
      <c r="V714" s="96">
        <f t="shared" si="1690"/>
        <v>8.7681000000000004</v>
      </c>
      <c r="W714" s="96">
        <v>1.4039999999999999</v>
      </c>
      <c r="X714" s="96">
        <f t="shared" si="1691"/>
        <v>4.6331999999999995</v>
      </c>
      <c r="Y714" s="96">
        <f t="shared" si="1692"/>
        <v>6.3070000000000004</v>
      </c>
      <c r="Z714" s="96">
        <f t="shared" si="1693"/>
        <v>20.813099999999999</v>
      </c>
      <c r="AA714" s="96">
        <v>4.6550000000000002</v>
      </c>
      <c r="AB714" s="96">
        <f t="shared" si="1694"/>
        <v>16.269224999999999</v>
      </c>
      <c r="AC714" s="96"/>
      <c r="AD714" s="96">
        <f t="shared" si="1695"/>
        <v>0</v>
      </c>
      <c r="AE714" s="96"/>
      <c r="AF714" s="96">
        <f t="shared" si="1696"/>
        <v>0</v>
      </c>
      <c r="AG714" s="96">
        <f t="shared" si="1697"/>
        <v>4.6550000000000002</v>
      </c>
      <c r="AH714" s="96">
        <f t="shared" si="1698"/>
        <v>16.269224999999999</v>
      </c>
      <c r="AI714" s="96">
        <f t="shared" si="1699"/>
        <v>10.962</v>
      </c>
      <c r="AJ714" s="96">
        <f t="shared" si="1700"/>
        <v>37.082324999999997</v>
      </c>
      <c r="AK714" s="96"/>
      <c r="AL714" s="96">
        <f t="shared" si="1701"/>
        <v>0</v>
      </c>
      <c r="AM714" s="96"/>
      <c r="AN714" s="96">
        <f t="shared" si="1702"/>
        <v>0</v>
      </c>
      <c r="AO714" s="96"/>
      <c r="AP714" s="96">
        <f t="shared" si="1703"/>
        <v>0</v>
      </c>
      <c r="AQ714" s="96">
        <f t="shared" si="1704"/>
        <v>0</v>
      </c>
      <c r="AR714" s="96">
        <f t="shared" si="1705"/>
        <v>0</v>
      </c>
      <c r="AS714" s="96"/>
      <c r="AT714" s="96">
        <f t="shared" si="1706"/>
        <v>0</v>
      </c>
      <c r="AU714" s="96"/>
      <c r="AV714" s="96">
        <f t="shared" si="1707"/>
        <v>0</v>
      </c>
      <c r="AW714" s="96"/>
      <c r="AX714" s="96">
        <f t="shared" si="1708"/>
        <v>0</v>
      </c>
      <c r="AY714" s="96">
        <f t="shared" si="1709"/>
        <v>0</v>
      </c>
      <c r="AZ714" s="96">
        <f t="shared" si="1710"/>
        <v>0</v>
      </c>
      <c r="BA714" s="96">
        <f t="shared" si="1711"/>
        <v>0</v>
      </c>
      <c r="BB714" s="96">
        <f t="shared" si="1712"/>
        <v>0</v>
      </c>
    </row>
    <row r="715" spans="1:54">
      <c r="A715" s="492">
        <v>437</v>
      </c>
      <c r="B715" s="13"/>
      <c r="C715" s="23"/>
      <c r="D715" s="13"/>
      <c r="E715" s="62" t="s">
        <v>1049</v>
      </c>
      <c r="F715" s="419"/>
      <c r="G715" s="419" t="s">
        <v>1057</v>
      </c>
      <c r="H715" s="281" t="s">
        <v>358</v>
      </c>
      <c r="I715" s="66"/>
      <c r="J715" s="165">
        <v>6403</v>
      </c>
      <c r="K715" s="66"/>
      <c r="L715" s="165">
        <v>6781</v>
      </c>
      <c r="M715" s="66"/>
      <c r="N715" s="165"/>
      <c r="O715" s="66"/>
      <c r="P715" s="165"/>
      <c r="Q715" s="128">
        <f t="shared" si="1687"/>
        <v>4.2119999999999997</v>
      </c>
      <c r="R715" s="345">
        <f t="shared" si="1688"/>
        <v>27.702378000000003</v>
      </c>
      <c r="S715" s="128">
        <v>0.30099999999999999</v>
      </c>
      <c r="T715" s="128">
        <f t="shared" si="1689"/>
        <v>1.927303</v>
      </c>
      <c r="U715" s="128">
        <v>0.61199999999999999</v>
      </c>
      <c r="V715" s="128">
        <f t="shared" si="1690"/>
        <v>3.9186359999999998</v>
      </c>
      <c r="W715" s="128">
        <v>1.36</v>
      </c>
      <c r="X715" s="128">
        <f t="shared" si="1691"/>
        <v>8.7080800000000007</v>
      </c>
      <c r="Y715" s="128">
        <f t="shared" si="1692"/>
        <v>2.2730000000000001</v>
      </c>
      <c r="Z715" s="128">
        <f t="shared" si="1693"/>
        <v>14.554019</v>
      </c>
      <c r="AA715" s="128">
        <v>1.9390000000000001</v>
      </c>
      <c r="AB715" s="128">
        <f t="shared" si="1694"/>
        <v>13.148359000000001</v>
      </c>
      <c r="AC715" s="128"/>
      <c r="AD715" s="128">
        <f t="shared" si="1695"/>
        <v>0</v>
      </c>
      <c r="AE715" s="128"/>
      <c r="AF715" s="128">
        <f t="shared" si="1696"/>
        <v>0</v>
      </c>
      <c r="AG715" s="128">
        <f t="shared" si="1697"/>
        <v>1.9390000000000001</v>
      </c>
      <c r="AH715" s="128">
        <f t="shared" si="1698"/>
        <v>13.148359000000001</v>
      </c>
      <c r="AI715" s="128">
        <f t="shared" si="1699"/>
        <v>4.2119999999999997</v>
      </c>
      <c r="AJ715" s="128">
        <f t="shared" si="1700"/>
        <v>27.702378000000003</v>
      </c>
      <c r="AK715" s="128"/>
      <c r="AL715" s="128">
        <f t="shared" si="1701"/>
        <v>0</v>
      </c>
      <c r="AM715" s="128"/>
      <c r="AN715" s="128">
        <f t="shared" si="1702"/>
        <v>0</v>
      </c>
      <c r="AO715" s="128"/>
      <c r="AP715" s="128">
        <f t="shared" si="1703"/>
        <v>0</v>
      </c>
      <c r="AQ715" s="128">
        <f t="shared" si="1704"/>
        <v>0</v>
      </c>
      <c r="AR715" s="128">
        <f t="shared" si="1705"/>
        <v>0</v>
      </c>
      <c r="AS715" s="128"/>
      <c r="AT715" s="128">
        <f t="shared" si="1706"/>
        <v>0</v>
      </c>
      <c r="AU715" s="128"/>
      <c r="AV715" s="128">
        <f t="shared" si="1707"/>
        <v>0</v>
      </c>
      <c r="AW715" s="128"/>
      <c r="AX715" s="128">
        <f t="shared" si="1708"/>
        <v>0</v>
      </c>
      <c r="AY715" s="128">
        <f t="shared" si="1709"/>
        <v>0</v>
      </c>
      <c r="AZ715" s="128">
        <f t="shared" si="1710"/>
        <v>0</v>
      </c>
      <c r="BA715" s="128">
        <f t="shared" si="1711"/>
        <v>0</v>
      </c>
      <c r="BB715" s="128">
        <f t="shared" si="1712"/>
        <v>0</v>
      </c>
    </row>
    <row r="716" spans="1:54">
      <c r="B716" s="13"/>
      <c r="C716" s="13"/>
      <c r="D716" s="13"/>
      <c r="E716" s="21" t="s">
        <v>1221</v>
      </c>
      <c r="F716" s="45"/>
      <c r="G716" s="419" t="s">
        <v>1057</v>
      </c>
      <c r="H716" s="281" t="s">
        <v>358</v>
      </c>
      <c r="I716" s="54"/>
      <c r="J716" s="162">
        <v>12324</v>
      </c>
      <c r="K716" s="54"/>
      <c r="L716" s="162">
        <v>13051</v>
      </c>
      <c r="M716" s="54"/>
      <c r="N716" s="162"/>
      <c r="O716" s="54"/>
      <c r="P716" s="162"/>
      <c r="Q716" s="96">
        <f t="shared" si="1687"/>
        <v>1.262</v>
      </c>
      <c r="R716" s="337">
        <f t="shared" si="1688"/>
        <v>15.552888000000001</v>
      </c>
      <c r="S716" s="96">
        <v>1.262</v>
      </c>
      <c r="T716" s="96">
        <f t="shared" si="1689"/>
        <v>15.552888000000001</v>
      </c>
      <c r="U716" s="96"/>
      <c r="V716" s="96">
        <f t="shared" si="1690"/>
        <v>0</v>
      </c>
      <c r="W716" s="96"/>
      <c r="X716" s="96">
        <f t="shared" si="1691"/>
        <v>0</v>
      </c>
      <c r="Y716" s="96">
        <f t="shared" si="1692"/>
        <v>1.262</v>
      </c>
      <c r="Z716" s="96">
        <f t="shared" si="1693"/>
        <v>15.552888000000001</v>
      </c>
      <c r="AA716" s="96"/>
      <c r="AB716" s="96">
        <f t="shared" si="1694"/>
        <v>0</v>
      </c>
      <c r="AC716" s="96"/>
      <c r="AD716" s="96">
        <f t="shared" si="1695"/>
        <v>0</v>
      </c>
      <c r="AE716" s="96"/>
      <c r="AF716" s="96">
        <f t="shared" si="1696"/>
        <v>0</v>
      </c>
      <c r="AG716" s="96">
        <f t="shared" si="1697"/>
        <v>0</v>
      </c>
      <c r="AH716" s="96">
        <f t="shared" si="1698"/>
        <v>0</v>
      </c>
      <c r="AI716" s="96">
        <f t="shared" si="1699"/>
        <v>1.262</v>
      </c>
      <c r="AJ716" s="96">
        <f t="shared" si="1700"/>
        <v>15.552888000000001</v>
      </c>
      <c r="AK716" s="96"/>
      <c r="AL716" s="96">
        <f t="shared" si="1701"/>
        <v>0</v>
      </c>
      <c r="AM716" s="96"/>
      <c r="AN716" s="96">
        <f t="shared" si="1702"/>
        <v>0</v>
      </c>
      <c r="AO716" s="96"/>
      <c r="AP716" s="96">
        <f t="shared" si="1703"/>
        <v>0</v>
      </c>
      <c r="AQ716" s="96">
        <f t="shared" si="1704"/>
        <v>0</v>
      </c>
      <c r="AR716" s="96">
        <f t="shared" si="1705"/>
        <v>0</v>
      </c>
      <c r="AS716" s="96"/>
      <c r="AT716" s="96">
        <f t="shared" si="1706"/>
        <v>0</v>
      </c>
      <c r="AU716" s="96"/>
      <c r="AV716" s="96">
        <f t="shared" si="1707"/>
        <v>0</v>
      </c>
      <c r="AW716" s="96"/>
      <c r="AX716" s="96">
        <f t="shared" si="1708"/>
        <v>0</v>
      </c>
      <c r="AY716" s="96">
        <f t="shared" si="1709"/>
        <v>0</v>
      </c>
      <c r="AZ716" s="96">
        <f t="shared" si="1710"/>
        <v>0</v>
      </c>
      <c r="BA716" s="96">
        <f t="shared" si="1711"/>
        <v>0</v>
      </c>
      <c r="BB716" s="96">
        <f t="shared" si="1712"/>
        <v>0</v>
      </c>
    </row>
    <row r="717" spans="1:54">
      <c r="A717" s="492">
        <v>420</v>
      </c>
      <c r="B717" s="13"/>
      <c r="C717" s="13"/>
      <c r="D717" s="15"/>
      <c r="E717" s="21" t="s">
        <v>1366</v>
      </c>
      <c r="F717" s="45"/>
      <c r="G717" s="45" t="s">
        <v>1059</v>
      </c>
      <c r="H717" s="265" t="s">
        <v>359</v>
      </c>
      <c r="I717" s="54"/>
      <c r="J717" s="162">
        <v>16454</v>
      </c>
      <c r="K717" s="54"/>
      <c r="L717" s="162">
        <v>19532</v>
      </c>
      <c r="M717" s="54"/>
      <c r="N717" s="162"/>
      <c r="O717" s="54"/>
      <c r="P717" s="162"/>
      <c r="Q717" s="96">
        <f t="shared" si="1687"/>
        <v>4.0759999999999996</v>
      </c>
      <c r="R717" s="337">
        <f t="shared" si="1688"/>
        <v>69.596620000000001</v>
      </c>
      <c r="S717" s="96">
        <v>1.343</v>
      </c>
      <c r="T717" s="96">
        <f t="shared" si="1689"/>
        <v>22.097721999999997</v>
      </c>
      <c r="U717" s="96">
        <v>0.60899999999999999</v>
      </c>
      <c r="V717" s="96">
        <f t="shared" si="1690"/>
        <v>10.020485999999998</v>
      </c>
      <c r="W717" s="96">
        <v>1.302</v>
      </c>
      <c r="X717" s="96">
        <f t="shared" si="1691"/>
        <v>21.423107999999999</v>
      </c>
      <c r="Y717" s="96">
        <f t="shared" si="1692"/>
        <v>3.254</v>
      </c>
      <c r="Z717" s="96">
        <f t="shared" si="1693"/>
        <v>53.541315999999995</v>
      </c>
      <c r="AA717" s="96">
        <v>0.82199999999999995</v>
      </c>
      <c r="AB717" s="96">
        <f t="shared" si="1694"/>
        <v>16.055304</v>
      </c>
      <c r="AC717" s="96"/>
      <c r="AD717" s="96">
        <f t="shared" si="1695"/>
        <v>0</v>
      </c>
      <c r="AE717" s="96"/>
      <c r="AF717" s="96">
        <f t="shared" si="1696"/>
        <v>0</v>
      </c>
      <c r="AG717" s="96">
        <f t="shared" si="1697"/>
        <v>0.82199999999999995</v>
      </c>
      <c r="AH717" s="96">
        <f t="shared" si="1698"/>
        <v>16.055304</v>
      </c>
      <c r="AI717" s="96">
        <f t="shared" si="1699"/>
        <v>4.0759999999999996</v>
      </c>
      <c r="AJ717" s="96">
        <f t="shared" si="1700"/>
        <v>69.596620000000001</v>
      </c>
      <c r="AK717" s="96"/>
      <c r="AL717" s="96">
        <f t="shared" si="1701"/>
        <v>0</v>
      </c>
      <c r="AM717" s="96"/>
      <c r="AN717" s="96">
        <f t="shared" si="1702"/>
        <v>0</v>
      </c>
      <c r="AO717" s="96"/>
      <c r="AP717" s="96">
        <f t="shared" si="1703"/>
        <v>0</v>
      </c>
      <c r="AQ717" s="96">
        <f t="shared" si="1704"/>
        <v>0</v>
      </c>
      <c r="AR717" s="96">
        <f t="shared" si="1705"/>
        <v>0</v>
      </c>
      <c r="AS717" s="96"/>
      <c r="AT717" s="96">
        <f t="shared" si="1706"/>
        <v>0</v>
      </c>
      <c r="AU717" s="96"/>
      <c r="AV717" s="96">
        <f t="shared" si="1707"/>
        <v>0</v>
      </c>
      <c r="AW717" s="96"/>
      <c r="AX717" s="96">
        <f t="shared" si="1708"/>
        <v>0</v>
      </c>
      <c r="AY717" s="96">
        <f t="shared" si="1709"/>
        <v>0</v>
      </c>
      <c r="AZ717" s="96">
        <f t="shared" si="1710"/>
        <v>0</v>
      </c>
      <c r="BA717" s="96">
        <f t="shared" si="1711"/>
        <v>0</v>
      </c>
      <c r="BB717" s="96">
        <f t="shared" si="1712"/>
        <v>0</v>
      </c>
    </row>
    <row r="718" spans="1:54">
      <c r="B718" s="13"/>
      <c r="C718" s="13"/>
      <c r="D718" s="13"/>
      <c r="E718" s="89" t="s">
        <v>1167</v>
      </c>
      <c r="F718" s="424"/>
      <c r="G718" s="23" t="s">
        <v>1056</v>
      </c>
      <c r="H718" s="266" t="s">
        <v>358</v>
      </c>
      <c r="I718" s="75"/>
      <c r="J718" s="167">
        <v>32384</v>
      </c>
      <c r="K718" s="75"/>
      <c r="L718" s="167">
        <v>34295</v>
      </c>
      <c r="M718" s="75"/>
      <c r="N718" s="167"/>
      <c r="O718" s="75"/>
      <c r="P718" s="167"/>
      <c r="Q718" s="130">
        <f t="shared" si="1687"/>
        <v>0.44</v>
      </c>
      <c r="R718" s="347">
        <f t="shared" si="1688"/>
        <v>14.24896</v>
      </c>
      <c r="S718" s="130">
        <v>0.24</v>
      </c>
      <c r="T718" s="130">
        <f t="shared" si="1689"/>
        <v>7.7721599999999995</v>
      </c>
      <c r="U718" s="130"/>
      <c r="V718" s="130">
        <f t="shared" si="1690"/>
        <v>0</v>
      </c>
      <c r="W718" s="130">
        <v>0.2</v>
      </c>
      <c r="X718" s="130">
        <f t="shared" si="1691"/>
        <v>6.4767999999999999</v>
      </c>
      <c r="Y718" s="130">
        <f t="shared" si="1692"/>
        <v>0.44</v>
      </c>
      <c r="Z718" s="130">
        <f t="shared" si="1693"/>
        <v>14.24896</v>
      </c>
      <c r="AA718" s="130"/>
      <c r="AB718" s="130">
        <f t="shared" si="1694"/>
        <v>0</v>
      </c>
      <c r="AC718" s="130"/>
      <c r="AD718" s="130">
        <f t="shared" si="1695"/>
        <v>0</v>
      </c>
      <c r="AE718" s="130"/>
      <c r="AF718" s="130">
        <f t="shared" si="1696"/>
        <v>0</v>
      </c>
      <c r="AG718" s="130">
        <f t="shared" si="1697"/>
        <v>0</v>
      </c>
      <c r="AH718" s="130">
        <f t="shared" si="1698"/>
        <v>0</v>
      </c>
      <c r="AI718" s="130">
        <f t="shared" si="1699"/>
        <v>0.44</v>
      </c>
      <c r="AJ718" s="130">
        <f t="shared" si="1700"/>
        <v>14.24896</v>
      </c>
      <c r="AK718" s="130"/>
      <c r="AL718" s="130">
        <f t="shared" si="1701"/>
        <v>0</v>
      </c>
      <c r="AM718" s="130"/>
      <c r="AN718" s="130">
        <f t="shared" si="1702"/>
        <v>0</v>
      </c>
      <c r="AO718" s="130"/>
      <c r="AP718" s="130">
        <f t="shared" si="1703"/>
        <v>0</v>
      </c>
      <c r="AQ718" s="130">
        <f t="shared" si="1704"/>
        <v>0</v>
      </c>
      <c r="AR718" s="130">
        <f t="shared" si="1705"/>
        <v>0</v>
      </c>
      <c r="AS718" s="130"/>
      <c r="AT718" s="130">
        <f t="shared" si="1706"/>
        <v>0</v>
      </c>
      <c r="AU718" s="130"/>
      <c r="AV718" s="130">
        <f t="shared" si="1707"/>
        <v>0</v>
      </c>
      <c r="AW718" s="130"/>
      <c r="AX718" s="130">
        <f t="shared" si="1708"/>
        <v>0</v>
      </c>
      <c r="AY718" s="130">
        <f t="shared" si="1709"/>
        <v>0</v>
      </c>
      <c r="AZ718" s="130">
        <f t="shared" si="1710"/>
        <v>0</v>
      </c>
      <c r="BA718" s="130">
        <f t="shared" si="1711"/>
        <v>0</v>
      </c>
      <c r="BB718" s="130">
        <f t="shared" si="1712"/>
        <v>0</v>
      </c>
    </row>
    <row r="719" spans="1:54">
      <c r="B719" s="13"/>
      <c r="C719" s="13"/>
      <c r="D719" s="13"/>
      <c r="E719" s="62" t="s">
        <v>1168</v>
      </c>
      <c r="F719" s="419"/>
      <c r="G719" s="419" t="s">
        <v>1056</v>
      </c>
      <c r="H719" s="281" t="s">
        <v>358</v>
      </c>
      <c r="I719" s="66"/>
      <c r="J719" s="165">
        <v>27340</v>
      </c>
      <c r="K719" s="66"/>
      <c r="L719" s="165">
        <v>27340</v>
      </c>
      <c r="M719" s="66"/>
      <c r="N719" s="165"/>
      <c r="O719" s="66"/>
      <c r="P719" s="165"/>
      <c r="Q719" s="128">
        <f t="shared" si="1687"/>
        <v>0</v>
      </c>
      <c r="R719" s="345">
        <f t="shared" si="1688"/>
        <v>0</v>
      </c>
      <c r="S719" s="128"/>
      <c r="T719" s="128">
        <f t="shared" si="1689"/>
        <v>0</v>
      </c>
      <c r="U719" s="128"/>
      <c r="V719" s="128">
        <f t="shared" si="1690"/>
        <v>0</v>
      </c>
      <c r="W719" s="128"/>
      <c r="X719" s="128">
        <f t="shared" si="1691"/>
        <v>0</v>
      </c>
      <c r="Y719" s="128">
        <f t="shared" si="1692"/>
        <v>0</v>
      </c>
      <c r="Z719" s="128">
        <f t="shared" si="1693"/>
        <v>0</v>
      </c>
      <c r="AA719" s="128"/>
      <c r="AB719" s="128">
        <f t="shared" si="1694"/>
        <v>0</v>
      </c>
      <c r="AC719" s="128"/>
      <c r="AD719" s="128">
        <f t="shared" si="1695"/>
        <v>0</v>
      </c>
      <c r="AE719" s="128"/>
      <c r="AF719" s="128">
        <f t="shared" si="1696"/>
        <v>0</v>
      </c>
      <c r="AG719" s="128">
        <f t="shared" si="1697"/>
        <v>0</v>
      </c>
      <c r="AH719" s="128">
        <f t="shared" si="1698"/>
        <v>0</v>
      </c>
      <c r="AI719" s="128">
        <f t="shared" si="1699"/>
        <v>0</v>
      </c>
      <c r="AJ719" s="128">
        <f t="shared" si="1700"/>
        <v>0</v>
      </c>
      <c r="AK719" s="128"/>
      <c r="AL719" s="128">
        <f t="shared" si="1701"/>
        <v>0</v>
      </c>
      <c r="AM719" s="128"/>
      <c r="AN719" s="128">
        <f t="shared" si="1702"/>
        <v>0</v>
      </c>
      <c r="AO719" s="128"/>
      <c r="AP719" s="128">
        <f t="shared" si="1703"/>
        <v>0</v>
      </c>
      <c r="AQ719" s="128">
        <f t="shared" si="1704"/>
        <v>0</v>
      </c>
      <c r="AR719" s="128">
        <f t="shared" si="1705"/>
        <v>0</v>
      </c>
      <c r="AS719" s="128"/>
      <c r="AT719" s="128">
        <f t="shared" si="1706"/>
        <v>0</v>
      </c>
      <c r="AU719" s="128"/>
      <c r="AV719" s="128">
        <f t="shared" si="1707"/>
        <v>0</v>
      </c>
      <c r="AW719" s="128"/>
      <c r="AX719" s="128">
        <f t="shared" si="1708"/>
        <v>0</v>
      </c>
      <c r="AY719" s="128">
        <f t="shared" si="1709"/>
        <v>0</v>
      </c>
      <c r="AZ719" s="128">
        <f t="shared" si="1710"/>
        <v>0</v>
      </c>
      <c r="BA719" s="128">
        <f t="shared" si="1711"/>
        <v>0</v>
      </c>
      <c r="BB719" s="128">
        <f t="shared" si="1712"/>
        <v>0</v>
      </c>
    </row>
    <row r="720" spans="1:54" ht="12" customHeight="1">
      <c r="A720" s="492">
        <v>426</v>
      </c>
      <c r="B720" s="13"/>
      <c r="C720" s="13"/>
      <c r="D720" s="13"/>
      <c r="E720" s="21" t="s">
        <v>2048</v>
      </c>
      <c r="F720" s="45"/>
      <c r="G720" s="45" t="s">
        <v>1059</v>
      </c>
      <c r="H720" s="265" t="s">
        <v>359</v>
      </c>
      <c r="I720" s="54"/>
      <c r="J720" s="162">
        <v>36444</v>
      </c>
      <c r="K720" s="54"/>
      <c r="L720" s="162">
        <v>38594</v>
      </c>
      <c r="M720" s="54"/>
      <c r="N720" s="162"/>
      <c r="O720" s="54"/>
      <c r="P720" s="162"/>
      <c r="Q720" s="96">
        <f t="shared" si="1687"/>
        <v>0.14399999999999999</v>
      </c>
      <c r="R720" s="337">
        <f t="shared" si="1688"/>
        <v>5.5575359999999989</v>
      </c>
      <c r="S720" s="96"/>
      <c r="T720" s="96">
        <f t="shared" si="1689"/>
        <v>0</v>
      </c>
      <c r="U720" s="96"/>
      <c r="V720" s="96">
        <f t="shared" si="1690"/>
        <v>0</v>
      </c>
      <c r="W720" s="96"/>
      <c r="X720" s="96">
        <f t="shared" si="1691"/>
        <v>0</v>
      </c>
      <c r="Y720" s="96">
        <f t="shared" si="1692"/>
        <v>0</v>
      </c>
      <c r="Z720" s="96">
        <f t="shared" si="1693"/>
        <v>0</v>
      </c>
      <c r="AA720" s="96">
        <v>0.14399999999999999</v>
      </c>
      <c r="AB720" s="96">
        <f t="shared" si="1694"/>
        <v>5.5575359999999989</v>
      </c>
      <c r="AC720" s="96"/>
      <c r="AD720" s="96">
        <f t="shared" si="1695"/>
        <v>0</v>
      </c>
      <c r="AE720" s="96"/>
      <c r="AF720" s="96">
        <f t="shared" si="1696"/>
        <v>0</v>
      </c>
      <c r="AG720" s="96">
        <f t="shared" si="1697"/>
        <v>0.14399999999999999</v>
      </c>
      <c r="AH720" s="96">
        <f t="shared" si="1698"/>
        <v>5.5575359999999989</v>
      </c>
      <c r="AI720" s="96">
        <f t="shared" si="1699"/>
        <v>0.14399999999999999</v>
      </c>
      <c r="AJ720" s="96">
        <f t="shared" si="1700"/>
        <v>5.5575359999999989</v>
      </c>
      <c r="AK720" s="96"/>
      <c r="AL720" s="96">
        <f t="shared" si="1701"/>
        <v>0</v>
      </c>
      <c r="AM720" s="96"/>
      <c r="AN720" s="96">
        <f t="shared" si="1702"/>
        <v>0</v>
      </c>
      <c r="AO720" s="96"/>
      <c r="AP720" s="96">
        <f t="shared" si="1703"/>
        <v>0</v>
      </c>
      <c r="AQ720" s="96">
        <f t="shared" si="1704"/>
        <v>0</v>
      </c>
      <c r="AR720" s="96">
        <f t="shared" si="1705"/>
        <v>0</v>
      </c>
      <c r="AS720" s="96"/>
      <c r="AT720" s="96">
        <f t="shared" si="1706"/>
        <v>0</v>
      </c>
      <c r="AU720" s="96"/>
      <c r="AV720" s="96">
        <f t="shared" si="1707"/>
        <v>0</v>
      </c>
      <c r="AW720" s="96"/>
      <c r="AX720" s="96">
        <f t="shared" si="1708"/>
        <v>0</v>
      </c>
      <c r="AY720" s="96">
        <f t="shared" si="1709"/>
        <v>0</v>
      </c>
      <c r="AZ720" s="96">
        <f t="shared" si="1710"/>
        <v>0</v>
      </c>
      <c r="BA720" s="96">
        <f t="shared" si="1711"/>
        <v>0</v>
      </c>
      <c r="BB720" s="96">
        <f t="shared" si="1712"/>
        <v>0</v>
      </c>
    </row>
    <row r="721" spans="1:54">
      <c r="A721" s="492">
        <v>420</v>
      </c>
      <c r="B721" s="13"/>
      <c r="C721" s="13"/>
      <c r="D721" s="15"/>
      <c r="E721" s="21" t="s">
        <v>1433</v>
      </c>
      <c r="F721" s="45"/>
      <c r="G721" s="45" t="s">
        <v>1059</v>
      </c>
      <c r="H721" s="265" t="s">
        <v>359</v>
      </c>
      <c r="I721" s="54"/>
      <c r="J721" s="162">
        <v>23380</v>
      </c>
      <c r="K721" s="54"/>
      <c r="L721" s="162">
        <v>23380</v>
      </c>
      <c r="M721" s="54"/>
      <c r="N721" s="162"/>
      <c r="O721" s="54"/>
      <c r="P721" s="162"/>
      <c r="Q721" s="96">
        <f t="shared" si="1687"/>
        <v>0</v>
      </c>
      <c r="R721" s="337">
        <f t="shared" si="1688"/>
        <v>0</v>
      </c>
      <c r="S721" s="96"/>
      <c r="T721" s="96">
        <f t="shared" si="1689"/>
        <v>0</v>
      </c>
      <c r="U721" s="96"/>
      <c r="V721" s="96">
        <f t="shared" si="1690"/>
        <v>0</v>
      </c>
      <c r="W721" s="96"/>
      <c r="X721" s="96">
        <f t="shared" si="1691"/>
        <v>0</v>
      </c>
      <c r="Y721" s="96">
        <f t="shared" si="1692"/>
        <v>0</v>
      </c>
      <c r="Z721" s="96">
        <f t="shared" si="1693"/>
        <v>0</v>
      </c>
      <c r="AA721" s="96"/>
      <c r="AB721" s="96">
        <f t="shared" si="1694"/>
        <v>0</v>
      </c>
      <c r="AC721" s="96"/>
      <c r="AD721" s="96">
        <f t="shared" si="1695"/>
        <v>0</v>
      </c>
      <c r="AE721" s="96"/>
      <c r="AF721" s="96">
        <f t="shared" si="1696"/>
        <v>0</v>
      </c>
      <c r="AG721" s="96">
        <f t="shared" si="1697"/>
        <v>0</v>
      </c>
      <c r="AH721" s="96">
        <f t="shared" si="1698"/>
        <v>0</v>
      </c>
      <c r="AI721" s="96">
        <f t="shared" si="1699"/>
        <v>0</v>
      </c>
      <c r="AJ721" s="96">
        <f t="shared" si="1700"/>
        <v>0</v>
      </c>
      <c r="AK721" s="96"/>
      <c r="AL721" s="96">
        <f t="shared" si="1701"/>
        <v>0</v>
      </c>
      <c r="AM721" s="96"/>
      <c r="AN721" s="96">
        <f t="shared" si="1702"/>
        <v>0</v>
      </c>
      <c r="AO721" s="96"/>
      <c r="AP721" s="96">
        <f t="shared" si="1703"/>
        <v>0</v>
      </c>
      <c r="AQ721" s="96">
        <f t="shared" si="1704"/>
        <v>0</v>
      </c>
      <c r="AR721" s="96">
        <f t="shared" si="1705"/>
        <v>0</v>
      </c>
      <c r="AS721" s="96"/>
      <c r="AT721" s="96">
        <f t="shared" si="1706"/>
        <v>0</v>
      </c>
      <c r="AU721" s="96"/>
      <c r="AV721" s="96">
        <f t="shared" si="1707"/>
        <v>0</v>
      </c>
      <c r="AW721" s="96"/>
      <c r="AX721" s="96">
        <f t="shared" si="1708"/>
        <v>0</v>
      </c>
      <c r="AY721" s="96">
        <f t="shared" si="1709"/>
        <v>0</v>
      </c>
      <c r="AZ721" s="96">
        <f t="shared" si="1710"/>
        <v>0</v>
      </c>
      <c r="BA721" s="96">
        <f t="shared" si="1711"/>
        <v>0</v>
      </c>
      <c r="BB721" s="96">
        <f t="shared" si="1712"/>
        <v>0</v>
      </c>
    </row>
    <row r="722" spans="1:54">
      <c r="A722" s="492">
        <v>420</v>
      </c>
      <c r="B722" s="13"/>
      <c r="C722" s="13"/>
      <c r="D722" s="15"/>
      <c r="E722" s="21" t="s">
        <v>2410</v>
      </c>
      <c r="F722" s="45"/>
      <c r="G722" s="45" t="s">
        <v>1059</v>
      </c>
      <c r="H722" s="265" t="s">
        <v>359</v>
      </c>
      <c r="I722" s="54"/>
      <c r="J722" s="162">
        <v>24800</v>
      </c>
      <c r="K722" s="54"/>
      <c r="L722" s="162">
        <v>26263</v>
      </c>
      <c r="M722" s="54"/>
      <c r="N722" s="162"/>
      <c r="O722" s="54"/>
      <c r="P722" s="162"/>
      <c r="Q722" s="96">
        <f t="shared" ref="Q722" si="1765">SUM(AI722+BA722)</f>
        <v>0.08</v>
      </c>
      <c r="R722" s="337">
        <f t="shared" ref="R722" si="1766">SUM(AJ722+BB722)</f>
        <v>1.984</v>
      </c>
      <c r="S722" s="96">
        <v>0.08</v>
      </c>
      <c r="T722" s="96">
        <f t="shared" ref="T722" si="1767">J722*S722/1000</f>
        <v>1.984</v>
      </c>
      <c r="U722" s="96"/>
      <c r="V722" s="96">
        <f t="shared" ref="V722" si="1768">J722*U722/1000</f>
        <v>0</v>
      </c>
      <c r="W722" s="96"/>
      <c r="X722" s="96">
        <f t="shared" ref="X722" si="1769">J722*W722/1000</f>
        <v>0</v>
      </c>
      <c r="Y722" s="96">
        <f t="shared" ref="Y722" si="1770">SUM(S722+U722+W722)</f>
        <v>0.08</v>
      </c>
      <c r="Z722" s="96">
        <f t="shared" ref="Z722" si="1771">SUM(T722+V722+X722)</f>
        <v>1.984</v>
      </c>
      <c r="AA722" s="96"/>
      <c r="AB722" s="96">
        <f t="shared" ref="AB722" si="1772">L722*AA722/1000</f>
        <v>0</v>
      </c>
      <c r="AC722" s="96"/>
      <c r="AD722" s="96">
        <f t="shared" ref="AD722" si="1773">L722*AC722/1000</f>
        <v>0</v>
      </c>
      <c r="AE722" s="96"/>
      <c r="AF722" s="96">
        <f t="shared" ref="AF722" si="1774">L722*AE722/1000</f>
        <v>0</v>
      </c>
      <c r="AG722" s="96">
        <f t="shared" ref="AG722" si="1775">SUM(AA722+AC722+AE722)</f>
        <v>0</v>
      </c>
      <c r="AH722" s="96">
        <f t="shared" ref="AH722" si="1776">SUM(AB722+AD722+AF722)</f>
        <v>0</v>
      </c>
      <c r="AI722" s="96">
        <f t="shared" ref="AI722" si="1777">SUM(Y722+AG722)</f>
        <v>0.08</v>
      </c>
      <c r="AJ722" s="96">
        <f t="shared" ref="AJ722" si="1778">SUM(Z722,AH722)</f>
        <v>1.984</v>
      </c>
      <c r="AK722" s="96"/>
      <c r="AL722" s="96">
        <f t="shared" ref="AL722" si="1779">N722*AK722/1000</f>
        <v>0</v>
      </c>
      <c r="AM722" s="96"/>
      <c r="AN722" s="96">
        <f t="shared" ref="AN722" si="1780">N722*AM722/1000</f>
        <v>0</v>
      </c>
      <c r="AO722" s="96"/>
      <c r="AP722" s="96">
        <f t="shared" ref="AP722" si="1781">N722*AO722/1000</f>
        <v>0</v>
      </c>
      <c r="AQ722" s="96">
        <f t="shared" ref="AQ722" si="1782">SUM(AK722+AM722+AO722)</f>
        <v>0</v>
      </c>
      <c r="AR722" s="96">
        <f t="shared" ref="AR722" si="1783">SUM(AL722+AN722+AP722)</f>
        <v>0</v>
      </c>
      <c r="AS722" s="96"/>
      <c r="AT722" s="96">
        <f t="shared" ref="AT722" si="1784">P722*AS722/1000</f>
        <v>0</v>
      </c>
      <c r="AU722" s="96"/>
      <c r="AV722" s="96">
        <f t="shared" ref="AV722" si="1785">P722*AU722/1000</f>
        <v>0</v>
      </c>
      <c r="AW722" s="96"/>
      <c r="AX722" s="96">
        <f t="shared" ref="AX722" si="1786">P722*AW722/1000</f>
        <v>0</v>
      </c>
      <c r="AY722" s="96">
        <f t="shared" ref="AY722" si="1787">SUM(AS722+AU722+AW722)</f>
        <v>0</v>
      </c>
      <c r="AZ722" s="96">
        <f t="shared" ref="AZ722" si="1788">SUM(AT722+AV722+AX722)</f>
        <v>0</v>
      </c>
      <c r="BA722" s="96">
        <f t="shared" ref="BA722" si="1789">SUM(AQ722+AY722)</f>
        <v>0</v>
      </c>
      <c r="BB722" s="96">
        <f t="shared" ref="BB722" si="1790">SUM(AR722,AZ722)</f>
        <v>0</v>
      </c>
    </row>
    <row r="723" spans="1:54">
      <c r="A723" s="492">
        <v>420</v>
      </c>
      <c r="B723" s="13"/>
      <c r="C723" s="13"/>
      <c r="D723" s="15"/>
      <c r="E723" s="21" t="s">
        <v>1445</v>
      </c>
      <c r="F723" s="45"/>
      <c r="G723" s="45" t="s">
        <v>1059</v>
      </c>
      <c r="H723" s="265" t="s">
        <v>359</v>
      </c>
      <c r="I723" s="54"/>
      <c r="J723" s="162">
        <v>36000</v>
      </c>
      <c r="K723" s="54"/>
      <c r="L723" s="162">
        <v>38124</v>
      </c>
      <c r="M723" s="54"/>
      <c r="N723" s="162"/>
      <c r="O723" s="54"/>
      <c r="P723" s="162"/>
      <c r="Q723" s="96">
        <f t="shared" si="1687"/>
        <v>0</v>
      </c>
      <c r="R723" s="337">
        <f t="shared" si="1688"/>
        <v>0</v>
      </c>
      <c r="S723" s="96"/>
      <c r="T723" s="96">
        <f t="shared" si="1689"/>
        <v>0</v>
      </c>
      <c r="U723" s="96"/>
      <c r="V723" s="96">
        <f t="shared" si="1690"/>
        <v>0</v>
      </c>
      <c r="W723" s="96"/>
      <c r="X723" s="96">
        <f t="shared" si="1691"/>
        <v>0</v>
      </c>
      <c r="Y723" s="96">
        <f t="shared" si="1692"/>
        <v>0</v>
      </c>
      <c r="Z723" s="96">
        <f t="shared" si="1693"/>
        <v>0</v>
      </c>
      <c r="AA723" s="96"/>
      <c r="AB723" s="96">
        <f t="shared" si="1694"/>
        <v>0</v>
      </c>
      <c r="AC723" s="96"/>
      <c r="AD723" s="96">
        <f t="shared" si="1695"/>
        <v>0</v>
      </c>
      <c r="AE723" s="96"/>
      <c r="AF723" s="96">
        <f t="shared" si="1696"/>
        <v>0</v>
      </c>
      <c r="AG723" s="96">
        <f t="shared" si="1697"/>
        <v>0</v>
      </c>
      <c r="AH723" s="96">
        <f t="shared" si="1698"/>
        <v>0</v>
      </c>
      <c r="AI723" s="96">
        <f t="shared" si="1699"/>
        <v>0</v>
      </c>
      <c r="AJ723" s="96">
        <f t="shared" si="1700"/>
        <v>0</v>
      </c>
      <c r="AK723" s="96"/>
      <c r="AL723" s="96">
        <f t="shared" si="1701"/>
        <v>0</v>
      </c>
      <c r="AM723" s="96"/>
      <c r="AN723" s="96">
        <f t="shared" si="1702"/>
        <v>0</v>
      </c>
      <c r="AO723" s="96"/>
      <c r="AP723" s="96">
        <f t="shared" si="1703"/>
        <v>0</v>
      </c>
      <c r="AQ723" s="96">
        <f t="shared" si="1704"/>
        <v>0</v>
      </c>
      <c r="AR723" s="96">
        <f t="shared" si="1705"/>
        <v>0</v>
      </c>
      <c r="AS723" s="96"/>
      <c r="AT723" s="96">
        <f t="shared" si="1706"/>
        <v>0</v>
      </c>
      <c r="AU723" s="96"/>
      <c r="AV723" s="96">
        <f t="shared" si="1707"/>
        <v>0</v>
      </c>
      <c r="AW723" s="96"/>
      <c r="AX723" s="96">
        <f t="shared" si="1708"/>
        <v>0</v>
      </c>
      <c r="AY723" s="96">
        <f t="shared" si="1709"/>
        <v>0</v>
      </c>
      <c r="AZ723" s="96">
        <f t="shared" si="1710"/>
        <v>0</v>
      </c>
      <c r="BA723" s="96">
        <f t="shared" si="1711"/>
        <v>0</v>
      </c>
      <c r="BB723" s="96">
        <f t="shared" si="1712"/>
        <v>0</v>
      </c>
    </row>
    <row r="724" spans="1:54">
      <c r="B724" s="13"/>
      <c r="C724" s="13"/>
      <c r="D724" s="13"/>
      <c r="E724" s="21" t="s">
        <v>1274</v>
      </c>
      <c r="F724" s="45"/>
      <c r="G724" s="419" t="s">
        <v>1056</v>
      </c>
      <c r="H724" s="281" t="s">
        <v>358</v>
      </c>
      <c r="I724" s="54"/>
      <c r="J724" s="162">
        <v>35301</v>
      </c>
      <c r="K724" s="54"/>
      <c r="L724" s="162">
        <v>37384</v>
      </c>
      <c r="M724" s="54"/>
      <c r="N724" s="162"/>
      <c r="O724" s="54"/>
      <c r="P724" s="162"/>
      <c r="Q724" s="96">
        <f t="shared" si="1687"/>
        <v>0.35599999999999998</v>
      </c>
      <c r="R724" s="337">
        <f t="shared" si="1688"/>
        <v>12.642144000000002</v>
      </c>
      <c r="S724" s="96">
        <v>0.22</v>
      </c>
      <c r="T724" s="96">
        <f t="shared" si="1689"/>
        <v>7.7662200000000006</v>
      </c>
      <c r="U724" s="96"/>
      <c r="V724" s="96">
        <f t="shared" si="1690"/>
        <v>0</v>
      </c>
      <c r="W724" s="96">
        <v>0.1</v>
      </c>
      <c r="X724" s="96">
        <f t="shared" si="1691"/>
        <v>3.5301000000000005</v>
      </c>
      <c r="Y724" s="96">
        <f t="shared" si="1692"/>
        <v>0.32</v>
      </c>
      <c r="Z724" s="96">
        <f t="shared" si="1693"/>
        <v>11.296320000000001</v>
      </c>
      <c r="AA724" s="96">
        <v>3.5999999999999997E-2</v>
      </c>
      <c r="AB724" s="96">
        <f t="shared" si="1694"/>
        <v>1.3458239999999999</v>
      </c>
      <c r="AC724" s="96"/>
      <c r="AD724" s="96">
        <f t="shared" si="1695"/>
        <v>0</v>
      </c>
      <c r="AE724" s="96"/>
      <c r="AF724" s="96">
        <f t="shared" si="1696"/>
        <v>0</v>
      </c>
      <c r="AG724" s="96">
        <f t="shared" si="1697"/>
        <v>3.5999999999999997E-2</v>
      </c>
      <c r="AH724" s="96">
        <f t="shared" si="1698"/>
        <v>1.3458239999999999</v>
      </c>
      <c r="AI724" s="96">
        <f t="shared" si="1699"/>
        <v>0.35599999999999998</v>
      </c>
      <c r="AJ724" s="96">
        <f t="shared" si="1700"/>
        <v>12.642144000000002</v>
      </c>
      <c r="AK724" s="96"/>
      <c r="AL724" s="96">
        <f t="shared" si="1701"/>
        <v>0</v>
      </c>
      <c r="AM724" s="96"/>
      <c r="AN724" s="96">
        <f t="shared" si="1702"/>
        <v>0</v>
      </c>
      <c r="AO724" s="96"/>
      <c r="AP724" s="96">
        <f t="shared" si="1703"/>
        <v>0</v>
      </c>
      <c r="AQ724" s="96">
        <f t="shared" si="1704"/>
        <v>0</v>
      </c>
      <c r="AR724" s="96">
        <f t="shared" si="1705"/>
        <v>0</v>
      </c>
      <c r="AS724" s="96"/>
      <c r="AT724" s="96">
        <f t="shared" si="1706"/>
        <v>0</v>
      </c>
      <c r="AU724" s="96"/>
      <c r="AV724" s="96">
        <f t="shared" si="1707"/>
        <v>0</v>
      </c>
      <c r="AW724" s="96"/>
      <c r="AX724" s="96">
        <f t="shared" si="1708"/>
        <v>0</v>
      </c>
      <c r="AY724" s="96">
        <f t="shared" si="1709"/>
        <v>0</v>
      </c>
      <c r="AZ724" s="96">
        <f t="shared" si="1710"/>
        <v>0</v>
      </c>
      <c r="BA724" s="96">
        <f t="shared" si="1711"/>
        <v>0</v>
      </c>
      <c r="BB724" s="96">
        <f t="shared" si="1712"/>
        <v>0</v>
      </c>
    </row>
    <row r="725" spans="1:54">
      <c r="B725" s="13"/>
      <c r="C725" s="13"/>
      <c r="D725" s="13"/>
      <c r="E725" s="21" t="s">
        <v>1275</v>
      </c>
      <c r="F725" s="45"/>
      <c r="G725" s="419" t="s">
        <v>1056</v>
      </c>
      <c r="H725" s="281" t="s">
        <v>358</v>
      </c>
      <c r="I725" s="54"/>
      <c r="J725" s="162">
        <v>34588</v>
      </c>
      <c r="K725" s="54"/>
      <c r="L725" s="162">
        <v>36629</v>
      </c>
      <c r="M725" s="54"/>
      <c r="N725" s="162"/>
      <c r="O725" s="54"/>
      <c r="P725" s="162"/>
      <c r="Q725" s="96">
        <f t="shared" si="1687"/>
        <v>0.10600000000000001</v>
      </c>
      <c r="R725" s="337">
        <f t="shared" si="1688"/>
        <v>3.666328</v>
      </c>
      <c r="S725" s="96">
        <v>5.6000000000000001E-2</v>
      </c>
      <c r="T725" s="96">
        <f t="shared" si="1689"/>
        <v>1.9369280000000002</v>
      </c>
      <c r="U725" s="96">
        <v>0.05</v>
      </c>
      <c r="V725" s="96">
        <f t="shared" si="1690"/>
        <v>1.7294</v>
      </c>
      <c r="W725" s="96"/>
      <c r="X725" s="96">
        <f t="shared" si="1691"/>
        <v>0</v>
      </c>
      <c r="Y725" s="96">
        <f t="shared" si="1692"/>
        <v>0.10600000000000001</v>
      </c>
      <c r="Z725" s="96">
        <f t="shared" si="1693"/>
        <v>3.666328</v>
      </c>
      <c r="AA725" s="96"/>
      <c r="AB725" s="96">
        <f t="shared" si="1694"/>
        <v>0</v>
      </c>
      <c r="AC725" s="96"/>
      <c r="AD725" s="96">
        <f t="shared" si="1695"/>
        <v>0</v>
      </c>
      <c r="AE725" s="96"/>
      <c r="AF725" s="96">
        <f t="shared" si="1696"/>
        <v>0</v>
      </c>
      <c r="AG725" s="96">
        <f t="shared" si="1697"/>
        <v>0</v>
      </c>
      <c r="AH725" s="96">
        <f t="shared" si="1698"/>
        <v>0</v>
      </c>
      <c r="AI725" s="96">
        <f t="shared" si="1699"/>
        <v>0.10600000000000001</v>
      </c>
      <c r="AJ725" s="96">
        <f t="shared" si="1700"/>
        <v>3.666328</v>
      </c>
      <c r="AK725" s="96"/>
      <c r="AL725" s="96">
        <f t="shared" si="1701"/>
        <v>0</v>
      </c>
      <c r="AM725" s="96"/>
      <c r="AN725" s="96">
        <f t="shared" si="1702"/>
        <v>0</v>
      </c>
      <c r="AO725" s="96"/>
      <c r="AP725" s="96">
        <f t="shared" si="1703"/>
        <v>0</v>
      </c>
      <c r="AQ725" s="96">
        <f t="shared" si="1704"/>
        <v>0</v>
      </c>
      <c r="AR725" s="96">
        <f t="shared" si="1705"/>
        <v>0</v>
      </c>
      <c r="AS725" s="96"/>
      <c r="AT725" s="96">
        <f t="shared" si="1706"/>
        <v>0</v>
      </c>
      <c r="AU725" s="96"/>
      <c r="AV725" s="96">
        <f t="shared" si="1707"/>
        <v>0</v>
      </c>
      <c r="AW725" s="96"/>
      <c r="AX725" s="96">
        <f t="shared" si="1708"/>
        <v>0</v>
      </c>
      <c r="AY725" s="96">
        <f t="shared" si="1709"/>
        <v>0</v>
      </c>
      <c r="AZ725" s="96">
        <f t="shared" si="1710"/>
        <v>0</v>
      </c>
      <c r="BA725" s="96">
        <f t="shared" si="1711"/>
        <v>0</v>
      </c>
      <c r="BB725" s="96">
        <f t="shared" si="1712"/>
        <v>0</v>
      </c>
    </row>
    <row r="726" spans="1:54">
      <c r="B726" s="13"/>
      <c r="C726" s="13"/>
      <c r="D726" s="13"/>
      <c r="E726" s="21" t="s">
        <v>1298</v>
      </c>
      <c r="F726" s="45"/>
      <c r="G726" s="419" t="s">
        <v>1056</v>
      </c>
      <c r="H726" s="281" t="s">
        <v>358</v>
      </c>
      <c r="I726" s="54"/>
      <c r="J726" s="162">
        <v>33704</v>
      </c>
      <c r="K726" s="54"/>
      <c r="L726" s="162">
        <v>34317</v>
      </c>
      <c r="M726" s="54"/>
      <c r="N726" s="162"/>
      <c r="O726" s="54"/>
      <c r="P726" s="162"/>
      <c r="Q726" s="96">
        <f t="shared" si="1687"/>
        <v>32.574999999999996</v>
      </c>
      <c r="R726" s="337">
        <f t="shared" si="1688"/>
        <v>1100.926825</v>
      </c>
      <c r="S726" s="96">
        <v>10.932</v>
      </c>
      <c r="T726" s="96">
        <f t="shared" si="1689"/>
        <v>368.45212800000002</v>
      </c>
      <c r="U726" s="96">
        <v>7.7969999999999997</v>
      </c>
      <c r="V726" s="96">
        <f t="shared" si="1690"/>
        <v>262.79008799999997</v>
      </c>
      <c r="W726" s="96">
        <v>8.9209999999999994</v>
      </c>
      <c r="X726" s="96">
        <f t="shared" si="1691"/>
        <v>300.67338399999994</v>
      </c>
      <c r="Y726" s="96">
        <f t="shared" si="1692"/>
        <v>27.65</v>
      </c>
      <c r="Z726" s="96">
        <f t="shared" si="1693"/>
        <v>931.91559999999993</v>
      </c>
      <c r="AA726" s="96">
        <v>4.9249999999999998</v>
      </c>
      <c r="AB726" s="96">
        <f t="shared" si="1694"/>
        <v>169.011225</v>
      </c>
      <c r="AC726" s="96"/>
      <c r="AD726" s="96">
        <f t="shared" si="1695"/>
        <v>0</v>
      </c>
      <c r="AE726" s="96"/>
      <c r="AF726" s="96">
        <f t="shared" si="1696"/>
        <v>0</v>
      </c>
      <c r="AG726" s="96">
        <f t="shared" si="1697"/>
        <v>4.9249999999999998</v>
      </c>
      <c r="AH726" s="96">
        <f t="shared" si="1698"/>
        <v>169.011225</v>
      </c>
      <c r="AI726" s="96">
        <f t="shared" si="1699"/>
        <v>32.574999999999996</v>
      </c>
      <c r="AJ726" s="96">
        <f t="shared" si="1700"/>
        <v>1100.926825</v>
      </c>
      <c r="AK726" s="96"/>
      <c r="AL726" s="96">
        <f t="shared" si="1701"/>
        <v>0</v>
      </c>
      <c r="AM726" s="96"/>
      <c r="AN726" s="96">
        <f t="shared" si="1702"/>
        <v>0</v>
      </c>
      <c r="AO726" s="96"/>
      <c r="AP726" s="96">
        <f t="shared" si="1703"/>
        <v>0</v>
      </c>
      <c r="AQ726" s="96">
        <f t="shared" si="1704"/>
        <v>0</v>
      </c>
      <c r="AR726" s="96">
        <f t="shared" si="1705"/>
        <v>0</v>
      </c>
      <c r="AS726" s="96"/>
      <c r="AT726" s="96">
        <f t="shared" si="1706"/>
        <v>0</v>
      </c>
      <c r="AU726" s="96"/>
      <c r="AV726" s="96">
        <f t="shared" si="1707"/>
        <v>0</v>
      </c>
      <c r="AW726" s="96"/>
      <c r="AX726" s="96">
        <f t="shared" si="1708"/>
        <v>0</v>
      </c>
      <c r="AY726" s="96">
        <f t="shared" si="1709"/>
        <v>0</v>
      </c>
      <c r="AZ726" s="96">
        <f t="shared" si="1710"/>
        <v>0</v>
      </c>
      <c r="BA726" s="96">
        <f t="shared" si="1711"/>
        <v>0</v>
      </c>
      <c r="BB726" s="96">
        <f t="shared" si="1712"/>
        <v>0</v>
      </c>
    </row>
    <row r="727" spans="1:54">
      <c r="B727" s="13"/>
      <c r="C727" s="13"/>
      <c r="D727" s="13"/>
      <c r="E727" s="21" t="s">
        <v>1299</v>
      </c>
      <c r="F727" s="45"/>
      <c r="G727" s="419" t="s">
        <v>1056</v>
      </c>
      <c r="H727" s="281" t="s">
        <v>358</v>
      </c>
      <c r="I727" s="54"/>
      <c r="J727" s="162">
        <v>35567</v>
      </c>
      <c r="K727" s="54"/>
      <c r="L727" s="162">
        <v>34429</v>
      </c>
      <c r="M727" s="54"/>
      <c r="N727" s="162"/>
      <c r="O727" s="54"/>
      <c r="P727" s="162"/>
      <c r="Q727" s="96">
        <f t="shared" si="1687"/>
        <v>5.1210000000000004</v>
      </c>
      <c r="R727" s="337">
        <f t="shared" si="1688"/>
        <v>180.62165299999998</v>
      </c>
      <c r="S727" s="96">
        <v>1.113</v>
      </c>
      <c r="T727" s="96">
        <f t="shared" si="1689"/>
        <v>39.586070999999997</v>
      </c>
      <c r="U727" s="96">
        <v>0.91800000000000004</v>
      </c>
      <c r="V727" s="96">
        <f t="shared" si="1690"/>
        <v>32.650506</v>
      </c>
      <c r="W727" s="96">
        <v>1.7569999999999999</v>
      </c>
      <c r="X727" s="96">
        <f t="shared" si="1691"/>
        <v>62.491218999999994</v>
      </c>
      <c r="Y727" s="96">
        <f t="shared" si="1692"/>
        <v>3.7880000000000003</v>
      </c>
      <c r="Z727" s="96">
        <f t="shared" si="1693"/>
        <v>134.72779599999998</v>
      </c>
      <c r="AA727" s="96">
        <v>1.333</v>
      </c>
      <c r="AB727" s="96">
        <f t="shared" si="1694"/>
        <v>45.893856999999997</v>
      </c>
      <c r="AC727" s="96"/>
      <c r="AD727" s="96">
        <f t="shared" si="1695"/>
        <v>0</v>
      </c>
      <c r="AE727" s="96"/>
      <c r="AF727" s="96">
        <f t="shared" si="1696"/>
        <v>0</v>
      </c>
      <c r="AG727" s="96">
        <f t="shared" si="1697"/>
        <v>1.333</v>
      </c>
      <c r="AH727" s="96">
        <f t="shared" si="1698"/>
        <v>45.893856999999997</v>
      </c>
      <c r="AI727" s="96">
        <f t="shared" si="1699"/>
        <v>5.1210000000000004</v>
      </c>
      <c r="AJ727" s="96">
        <f t="shared" si="1700"/>
        <v>180.62165299999998</v>
      </c>
      <c r="AK727" s="96"/>
      <c r="AL727" s="96">
        <f t="shared" si="1701"/>
        <v>0</v>
      </c>
      <c r="AM727" s="96"/>
      <c r="AN727" s="96">
        <f t="shared" si="1702"/>
        <v>0</v>
      </c>
      <c r="AO727" s="96"/>
      <c r="AP727" s="96">
        <f t="shared" si="1703"/>
        <v>0</v>
      </c>
      <c r="AQ727" s="96">
        <f t="shared" si="1704"/>
        <v>0</v>
      </c>
      <c r="AR727" s="96">
        <f t="shared" si="1705"/>
        <v>0</v>
      </c>
      <c r="AS727" s="96"/>
      <c r="AT727" s="96">
        <f t="shared" si="1706"/>
        <v>0</v>
      </c>
      <c r="AU727" s="96"/>
      <c r="AV727" s="96">
        <f t="shared" si="1707"/>
        <v>0</v>
      </c>
      <c r="AW727" s="96"/>
      <c r="AX727" s="96">
        <f t="shared" si="1708"/>
        <v>0</v>
      </c>
      <c r="AY727" s="96">
        <f t="shared" si="1709"/>
        <v>0</v>
      </c>
      <c r="AZ727" s="96">
        <f t="shared" si="1710"/>
        <v>0</v>
      </c>
      <c r="BA727" s="96">
        <f t="shared" si="1711"/>
        <v>0</v>
      </c>
      <c r="BB727" s="96">
        <f t="shared" si="1712"/>
        <v>0</v>
      </c>
    </row>
    <row r="728" spans="1:54">
      <c r="A728" s="492">
        <v>420</v>
      </c>
      <c r="B728" s="13"/>
      <c r="C728" s="13"/>
      <c r="D728" s="15"/>
      <c r="E728" s="21" t="s">
        <v>1372</v>
      </c>
      <c r="F728" s="45"/>
      <c r="G728" s="45" t="s">
        <v>1059</v>
      </c>
      <c r="H728" s="265" t="s">
        <v>359</v>
      </c>
      <c r="I728" s="54"/>
      <c r="J728" s="162">
        <v>36719</v>
      </c>
      <c r="K728" s="54"/>
      <c r="L728" s="162">
        <v>38885</v>
      </c>
      <c r="M728" s="54"/>
      <c r="N728" s="162"/>
      <c r="O728" s="54"/>
      <c r="P728" s="162"/>
      <c r="Q728" s="96">
        <f t="shared" si="1687"/>
        <v>5.56</v>
      </c>
      <c r="R728" s="337">
        <f t="shared" si="1688"/>
        <v>208.21239199999999</v>
      </c>
      <c r="S728" s="96">
        <v>1.1359999999999999</v>
      </c>
      <c r="T728" s="96">
        <f t="shared" si="1689"/>
        <v>41.712783999999999</v>
      </c>
      <c r="U728" s="96">
        <v>0.48</v>
      </c>
      <c r="V728" s="96">
        <f t="shared" si="1690"/>
        <v>17.625119999999999</v>
      </c>
      <c r="W728" s="96">
        <v>2.0720000000000001</v>
      </c>
      <c r="X728" s="96">
        <f t="shared" si="1691"/>
        <v>76.081767999999997</v>
      </c>
      <c r="Y728" s="96">
        <f t="shared" si="1692"/>
        <v>3.6879999999999997</v>
      </c>
      <c r="Z728" s="96">
        <f t="shared" si="1693"/>
        <v>135.41967199999999</v>
      </c>
      <c r="AA728" s="96">
        <v>1.8720000000000001</v>
      </c>
      <c r="AB728" s="96">
        <f t="shared" si="1694"/>
        <v>72.792720000000003</v>
      </c>
      <c r="AC728" s="96"/>
      <c r="AD728" s="96">
        <f t="shared" si="1695"/>
        <v>0</v>
      </c>
      <c r="AE728" s="96"/>
      <c r="AF728" s="96">
        <f t="shared" si="1696"/>
        <v>0</v>
      </c>
      <c r="AG728" s="96">
        <f t="shared" si="1697"/>
        <v>1.8720000000000001</v>
      </c>
      <c r="AH728" s="96">
        <f t="shared" si="1698"/>
        <v>72.792720000000003</v>
      </c>
      <c r="AI728" s="96">
        <f t="shared" si="1699"/>
        <v>5.56</v>
      </c>
      <c r="AJ728" s="96">
        <f t="shared" si="1700"/>
        <v>208.21239199999999</v>
      </c>
      <c r="AK728" s="96"/>
      <c r="AL728" s="96">
        <f t="shared" si="1701"/>
        <v>0</v>
      </c>
      <c r="AM728" s="96"/>
      <c r="AN728" s="96">
        <f t="shared" si="1702"/>
        <v>0</v>
      </c>
      <c r="AO728" s="96"/>
      <c r="AP728" s="96">
        <f t="shared" si="1703"/>
        <v>0</v>
      </c>
      <c r="AQ728" s="96">
        <f t="shared" si="1704"/>
        <v>0</v>
      </c>
      <c r="AR728" s="96">
        <f t="shared" si="1705"/>
        <v>0</v>
      </c>
      <c r="AS728" s="96"/>
      <c r="AT728" s="96">
        <f t="shared" si="1706"/>
        <v>0</v>
      </c>
      <c r="AU728" s="96"/>
      <c r="AV728" s="96">
        <f t="shared" si="1707"/>
        <v>0</v>
      </c>
      <c r="AW728" s="96"/>
      <c r="AX728" s="96">
        <f t="shared" si="1708"/>
        <v>0</v>
      </c>
      <c r="AY728" s="96">
        <f t="shared" si="1709"/>
        <v>0</v>
      </c>
      <c r="AZ728" s="96">
        <f t="shared" si="1710"/>
        <v>0</v>
      </c>
      <c r="BA728" s="96">
        <f t="shared" si="1711"/>
        <v>0</v>
      </c>
      <c r="BB728" s="96">
        <f t="shared" si="1712"/>
        <v>0</v>
      </c>
    </row>
    <row r="729" spans="1:54" ht="12" customHeight="1">
      <c r="A729" s="492">
        <v>426</v>
      </c>
      <c r="B729" s="13"/>
      <c r="C729" s="13"/>
      <c r="D729" s="13"/>
      <c r="E729" s="21" t="s">
        <v>1595</v>
      </c>
      <c r="F729" s="45"/>
      <c r="G729" s="45" t="s">
        <v>1059</v>
      </c>
      <c r="H729" s="265" t="s">
        <v>359</v>
      </c>
      <c r="I729" s="54"/>
      <c r="J729" s="162">
        <v>42289</v>
      </c>
      <c r="K729" s="54"/>
      <c r="L729" s="162">
        <v>44784</v>
      </c>
      <c r="M729" s="54"/>
      <c r="N729" s="162"/>
      <c r="O729" s="54"/>
      <c r="P729" s="162"/>
      <c r="Q729" s="96">
        <f t="shared" si="1687"/>
        <v>0</v>
      </c>
      <c r="R729" s="337">
        <f t="shared" si="1688"/>
        <v>0</v>
      </c>
      <c r="S729" s="96"/>
      <c r="T729" s="96">
        <f t="shared" si="1689"/>
        <v>0</v>
      </c>
      <c r="U729" s="96"/>
      <c r="V729" s="96">
        <f t="shared" si="1690"/>
        <v>0</v>
      </c>
      <c r="W729" s="96"/>
      <c r="X729" s="96">
        <f t="shared" si="1691"/>
        <v>0</v>
      </c>
      <c r="Y729" s="96">
        <f t="shared" si="1692"/>
        <v>0</v>
      </c>
      <c r="Z729" s="96">
        <f t="shared" si="1693"/>
        <v>0</v>
      </c>
      <c r="AA729" s="96"/>
      <c r="AB729" s="96">
        <f t="shared" si="1694"/>
        <v>0</v>
      </c>
      <c r="AC729" s="96"/>
      <c r="AD729" s="96">
        <f t="shared" si="1695"/>
        <v>0</v>
      </c>
      <c r="AE729" s="96"/>
      <c r="AF729" s="96">
        <f t="shared" si="1696"/>
        <v>0</v>
      </c>
      <c r="AG729" s="96">
        <f t="shared" si="1697"/>
        <v>0</v>
      </c>
      <c r="AH729" s="96">
        <f t="shared" si="1698"/>
        <v>0</v>
      </c>
      <c r="AI729" s="96">
        <f t="shared" si="1699"/>
        <v>0</v>
      </c>
      <c r="AJ729" s="96">
        <f t="shared" si="1700"/>
        <v>0</v>
      </c>
      <c r="AK729" s="96"/>
      <c r="AL729" s="96">
        <f t="shared" si="1701"/>
        <v>0</v>
      </c>
      <c r="AM729" s="96"/>
      <c r="AN729" s="96">
        <f t="shared" si="1702"/>
        <v>0</v>
      </c>
      <c r="AO729" s="96"/>
      <c r="AP729" s="96">
        <f t="shared" si="1703"/>
        <v>0</v>
      </c>
      <c r="AQ729" s="96">
        <f t="shared" si="1704"/>
        <v>0</v>
      </c>
      <c r="AR729" s="96">
        <f t="shared" si="1705"/>
        <v>0</v>
      </c>
      <c r="AS729" s="96"/>
      <c r="AT729" s="96">
        <f t="shared" si="1706"/>
        <v>0</v>
      </c>
      <c r="AU729" s="96"/>
      <c r="AV729" s="96">
        <f t="shared" si="1707"/>
        <v>0</v>
      </c>
      <c r="AW729" s="96"/>
      <c r="AX729" s="96">
        <f t="shared" si="1708"/>
        <v>0</v>
      </c>
      <c r="AY729" s="96">
        <f t="shared" si="1709"/>
        <v>0</v>
      </c>
      <c r="AZ729" s="96">
        <f t="shared" si="1710"/>
        <v>0</v>
      </c>
      <c r="BA729" s="96">
        <f t="shared" si="1711"/>
        <v>0</v>
      </c>
      <c r="BB729" s="96">
        <f t="shared" si="1712"/>
        <v>0</v>
      </c>
    </row>
    <row r="730" spans="1:54" ht="12" customHeight="1">
      <c r="A730" s="492">
        <v>426</v>
      </c>
      <c r="B730" s="13"/>
      <c r="C730" s="13"/>
      <c r="D730" s="13"/>
      <c r="E730" s="21" t="s">
        <v>1620</v>
      </c>
      <c r="F730" s="45"/>
      <c r="G730" s="45" t="s">
        <v>1059</v>
      </c>
      <c r="H730" s="265" t="s">
        <v>359</v>
      </c>
      <c r="I730" s="54"/>
      <c r="J730" s="162">
        <v>38810</v>
      </c>
      <c r="K730" s="54"/>
      <c r="L730" s="162">
        <v>41100</v>
      </c>
      <c r="M730" s="54"/>
      <c r="N730" s="162"/>
      <c r="O730" s="54"/>
      <c r="P730" s="162"/>
      <c r="Q730" s="96">
        <f t="shared" ref="Q730:Q736" si="1791">SUM(AI730+BA730)</f>
        <v>3.4849999999999999</v>
      </c>
      <c r="R730" s="337">
        <f t="shared" ref="R730:R736" si="1792">SUM(AJ730+BB730)</f>
        <v>135.55971</v>
      </c>
      <c r="S730" s="96">
        <v>0.71799999999999997</v>
      </c>
      <c r="T730" s="96">
        <f t="shared" ref="T730:T736" si="1793">J730*S730/1000</f>
        <v>27.865579999999998</v>
      </c>
      <c r="U730" s="96">
        <v>1.514</v>
      </c>
      <c r="V730" s="96">
        <f t="shared" ref="V730:V736" si="1794">J730*U730/1000</f>
        <v>58.758340000000004</v>
      </c>
      <c r="W730" s="96">
        <v>1.119</v>
      </c>
      <c r="X730" s="96">
        <f t="shared" ref="X730:X736" si="1795">J730*W730/1000</f>
        <v>43.42839</v>
      </c>
      <c r="Y730" s="96">
        <f t="shared" ref="Y730:Y736" si="1796">SUM(S730+U730+W730)</f>
        <v>3.351</v>
      </c>
      <c r="Z730" s="96">
        <f t="shared" ref="Z730:Z736" si="1797">SUM(T730+V730+X730)</f>
        <v>130.05231000000001</v>
      </c>
      <c r="AA730" s="96">
        <v>0.13400000000000001</v>
      </c>
      <c r="AB730" s="96">
        <f t="shared" ref="AB730:AB736" si="1798">L730*AA730/1000</f>
        <v>5.5074000000000005</v>
      </c>
      <c r="AC730" s="96"/>
      <c r="AD730" s="96">
        <f t="shared" ref="AD730:AD736" si="1799">L730*AC730/1000</f>
        <v>0</v>
      </c>
      <c r="AE730" s="96"/>
      <c r="AF730" s="96">
        <f t="shared" ref="AF730:AF736" si="1800">L730*AE730/1000</f>
        <v>0</v>
      </c>
      <c r="AG730" s="96">
        <f t="shared" ref="AG730:AG736" si="1801">SUM(AA730+AC730+AE730)</f>
        <v>0.13400000000000001</v>
      </c>
      <c r="AH730" s="96">
        <f t="shared" ref="AH730:AH736" si="1802">SUM(AB730+AD730+AF730)</f>
        <v>5.5074000000000005</v>
      </c>
      <c r="AI730" s="96">
        <f t="shared" ref="AI730:AI736" si="1803">SUM(Y730+AG730)</f>
        <v>3.4849999999999999</v>
      </c>
      <c r="AJ730" s="96">
        <f t="shared" ref="AJ730:AJ736" si="1804">SUM(Z730,AH730)</f>
        <v>135.55971</v>
      </c>
      <c r="AK730" s="96"/>
      <c r="AL730" s="96">
        <f t="shared" ref="AL730:AL736" si="1805">N730*AK730/1000</f>
        <v>0</v>
      </c>
      <c r="AM730" s="96"/>
      <c r="AN730" s="96">
        <f t="shared" ref="AN730:AN736" si="1806">N730*AM730/1000</f>
        <v>0</v>
      </c>
      <c r="AO730" s="96"/>
      <c r="AP730" s="96">
        <f t="shared" ref="AP730:AP736" si="1807">N730*AO730/1000</f>
        <v>0</v>
      </c>
      <c r="AQ730" s="96">
        <f t="shared" ref="AQ730:AQ736" si="1808">SUM(AK730+AM730+AO730)</f>
        <v>0</v>
      </c>
      <c r="AR730" s="96">
        <f t="shared" ref="AR730:AR736" si="1809">SUM(AL730+AN730+AP730)</f>
        <v>0</v>
      </c>
      <c r="AS730" s="96"/>
      <c r="AT730" s="96">
        <f t="shared" ref="AT730:AT736" si="1810">P730*AS730/1000</f>
        <v>0</v>
      </c>
      <c r="AU730" s="96"/>
      <c r="AV730" s="96">
        <f t="shared" ref="AV730:AV736" si="1811">P730*AU730/1000</f>
        <v>0</v>
      </c>
      <c r="AW730" s="96"/>
      <c r="AX730" s="96">
        <f t="shared" ref="AX730:AX736" si="1812">P730*AW730/1000</f>
        <v>0</v>
      </c>
      <c r="AY730" s="96">
        <f t="shared" ref="AY730:AY736" si="1813">SUM(AS730+AU730+AW730)</f>
        <v>0</v>
      </c>
      <c r="AZ730" s="96">
        <f t="shared" ref="AZ730:AZ736" si="1814">SUM(AT730+AV730+AX730)</f>
        <v>0</v>
      </c>
      <c r="BA730" s="96">
        <f t="shared" ref="BA730:BA736" si="1815">SUM(AQ730+AY730)</f>
        <v>0</v>
      </c>
      <c r="BB730" s="96">
        <f t="shared" ref="BB730:BB736" si="1816">SUM(AR730,AZ730)</f>
        <v>0</v>
      </c>
    </row>
    <row r="731" spans="1:54">
      <c r="B731" s="13"/>
      <c r="C731" s="13"/>
      <c r="D731" s="13"/>
      <c r="E731" s="21" t="s">
        <v>1276</v>
      </c>
      <c r="F731" s="45"/>
      <c r="G731" s="419" t="s">
        <v>1056</v>
      </c>
      <c r="H731" s="281" t="s">
        <v>358</v>
      </c>
      <c r="I731" s="54"/>
      <c r="J731" s="162">
        <v>10914</v>
      </c>
      <c r="K731" s="54"/>
      <c r="L731" s="162">
        <v>11558</v>
      </c>
      <c r="M731" s="54"/>
      <c r="N731" s="162"/>
      <c r="O731" s="54"/>
      <c r="P731" s="162"/>
      <c r="Q731" s="96">
        <f t="shared" si="1791"/>
        <v>0.51400000000000001</v>
      </c>
      <c r="R731" s="337">
        <f t="shared" si="1792"/>
        <v>5.6097960000000002</v>
      </c>
      <c r="S731" s="96">
        <v>0.34200000000000003</v>
      </c>
      <c r="T731" s="96">
        <f t="shared" si="1793"/>
        <v>3.7325880000000002</v>
      </c>
      <c r="U731" s="96">
        <v>0.121</v>
      </c>
      <c r="V731" s="96">
        <f t="shared" si="1794"/>
        <v>1.320594</v>
      </c>
      <c r="W731" s="96">
        <v>5.0999999999999997E-2</v>
      </c>
      <c r="X731" s="96">
        <f t="shared" si="1795"/>
        <v>0.55661399999999994</v>
      </c>
      <c r="Y731" s="96">
        <f t="shared" si="1796"/>
        <v>0.51400000000000001</v>
      </c>
      <c r="Z731" s="96">
        <f t="shared" si="1797"/>
        <v>5.6097960000000002</v>
      </c>
      <c r="AA731" s="96"/>
      <c r="AB731" s="96">
        <f t="shared" si="1798"/>
        <v>0</v>
      </c>
      <c r="AC731" s="96"/>
      <c r="AD731" s="96">
        <f t="shared" si="1799"/>
        <v>0</v>
      </c>
      <c r="AE731" s="96"/>
      <c r="AF731" s="96">
        <f t="shared" si="1800"/>
        <v>0</v>
      </c>
      <c r="AG731" s="96">
        <f t="shared" si="1801"/>
        <v>0</v>
      </c>
      <c r="AH731" s="96">
        <f t="shared" si="1802"/>
        <v>0</v>
      </c>
      <c r="AI731" s="96">
        <f t="shared" si="1803"/>
        <v>0.51400000000000001</v>
      </c>
      <c r="AJ731" s="96">
        <f t="shared" si="1804"/>
        <v>5.6097960000000002</v>
      </c>
      <c r="AK731" s="96"/>
      <c r="AL731" s="96">
        <f t="shared" si="1805"/>
        <v>0</v>
      </c>
      <c r="AM731" s="96"/>
      <c r="AN731" s="96">
        <f t="shared" si="1806"/>
        <v>0</v>
      </c>
      <c r="AO731" s="96"/>
      <c r="AP731" s="96">
        <f t="shared" si="1807"/>
        <v>0</v>
      </c>
      <c r="AQ731" s="96">
        <f t="shared" si="1808"/>
        <v>0</v>
      </c>
      <c r="AR731" s="96">
        <f t="shared" si="1809"/>
        <v>0</v>
      </c>
      <c r="AS731" s="96"/>
      <c r="AT731" s="96">
        <f t="shared" si="1810"/>
        <v>0</v>
      </c>
      <c r="AU731" s="96"/>
      <c r="AV731" s="96">
        <f t="shared" si="1811"/>
        <v>0</v>
      </c>
      <c r="AW731" s="96"/>
      <c r="AX731" s="96">
        <f t="shared" si="1812"/>
        <v>0</v>
      </c>
      <c r="AY731" s="96">
        <f t="shared" si="1813"/>
        <v>0</v>
      </c>
      <c r="AZ731" s="96">
        <f t="shared" si="1814"/>
        <v>0</v>
      </c>
      <c r="BA731" s="96">
        <f t="shared" si="1815"/>
        <v>0</v>
      </c>
      <c r="BB731" s="96">
        <f t="shared" si="1816"/>
        <v>0</v>
      </c>
    </row>
    <row r="732" spans="1:54">
      <c r="A732" s="492">
        <v>420</v>
      </c>
      <c r="B732" s="13"/>
      <c r="C732" s="13"/>
      <c r="D732" s="15"/>
      <c r="E732" s="21" t="s">
        <v>1444</v>
      </c>
      <c r="F732" s="45"/>
      <c r="G732" s="45" t="s">
        <v>1059</v>
      </c>
      <c r="H732" s="265" t="s">
        <v>359</v>
      </c>
      <c r="I732" s="54"/>
      <c r="J732" s="162">
        <v>10777</v>
      </c>
      <c r="K732" s="54"/>
      <c r="L732" s="162">
        <v>11413</v>
      </c>
      <c r="M732" s="54"/>
      <c r="N732" s="162"/>
      <c r="O732" s="54"/>
      <c r="P732" s="162"/>
      <c r="Q732" s="96">
        <f t="shared" si="1791"/>
        <v>0.04</v>
      </c>
      <c r="R732" s="337">
        <f t="shared" si="1792"/>
        <v>0.43107999999999996</v>
      </c>
      <c r="S732" s="96">
        <v>0.04</v>
      </c>
      <c r="T732" s="96">
        <f t="shared" si="1793"/>
        <v>0.43107999999999996</v>
      </c>
      <c r="U732" s="96"/>
      <c r="V732" s="96">
        <f t="shared" si="1794"/>
        <v>0</v>
      </c>
      <c r="W732" s="96"/>
      <c r="X732" s="96">
        <f t="shared" si="1795"/>
        <v>0</v>
      </c>
      <c r="Y732" s="96">
        <f t="shared" si="1796"/>
        <v>0.04</v>
      </c>
      <c r="Z732" s="96">
        <f t="shared" si="1797"/>
        <v>0.43107999999999996</v>
      </c>
      <c r="AA732" s="96"/>
      <c r="AB732" s="96">
        <f t="shared" si="1798"/>
        <v>0</v>
      </c>
      <c r="AC732" s="96"/>
      <c r="AD732" s="96">
        <f t="shared" si="1799"/>
        <v>0</v>
      </c>
      <c r="AE732" s="96"/>
      <c r="AF732" s="96">
        <f t="shared" si="1800"/>
        <v>0</v>
      </c>
      <c r="AG732" s="96">
        <f t="shared" si="1801"/>
        <v>0</v>
      </c>
      <c r="AH732" s="96">
        <f t="shared" si="1802"/>
        <v>0</v>
      </c>
      <c r="AI732" s="96">
        <f t="shared" si="1803"/>
        <v>0.04</v>
      </c>
      <c r="AJ732" s="96">
        <f t="shared" si="1804"/>
        <v>0.43107999999999996</v>
      </c>
      <c r="AK732" s="96"/>
      <c r="AL732" s="96">
        <f t="shared" si="1805"/>
        <v>0</v>
      </c>
      <c r="AM732" s="96"/>
      <c r="AN732" s="96">
        <f t="shared" si="1806"/>
        <v>0</v>
      </c>
      <c r="AO732" s="96"/>
      <c r="AP732" s="96">
        <f t="shared" si="1807"/>
        <v>0</v>
      </c>
      <c r="AQ732" s="96">
        <f t="shared" si="1808"/>
        <v>0</v>
      </c>
      <c r="AR732" s="96">
        <f t="shared" si="1809"/>
        <v>0</v>
      </c>
      <c r="AS732" s="96"/>
      <c r="AT732" s="96">
        <f t="shared" si="1810"/>
        <v>0</v>
      </c>
      <c r="AU732" s="96"/>
      <c r="AV732" s="96">
        <f t="shared" si="1811"/>
        <v>0</v>
      </c>
      <c r="AW732" s="96"/>
      <c r="AX732" s="96">
        <f t="shared" si="1812"/>
        <v>0</v>
      </c>
      <c r="AY732" s="96">
        <f t="shared" si="1813"/>
        <v>0</v>
      </c>
      <c r="AZ732" s="96">
        <f t="shared" si="1814"/>
        <v>0</v>
      </c>
      <c r="BA732" s="96">
        <f t="shared" si="1815"/>
        <v>0</v>
      </c>
      <c r="BB732" s="96">
        <f t="shared" si="1816"/>
        <v>0</v>
      </c>
    </row>
    <row r="733" spans="1:54">
      <c r="B733" s="13"/>
      <c r="C733" s="13"/>
      <c r="D733" s="13"/>
      <c r="E733" s="21" t="s">
        <v>1277</v>
      </c>
      <c r="F733" s="45"/>
      <c r="G733" s="419" t="s">
        <v>1056</v>
      </c>
      <c r="H733" s="281" t="s">
        <v>358</v>
      </c>
      <c r="I733" s="54"/>
      <c r="J733" s="162">
        <v>3275</v>
      </c>
      <c r="K733" s="54"/>
      <c r="L733" s="162">
        <v>3468</v>
      </c>
      <c r="M733" s="54"/>
      <c r="N733" s="162"/>
      <c r="O733" s="54"/>
      <c r="P733" s="162"/>
      <c r="Q733" s="96">
        <f t="shared" si="1791"/>
        <v>0.29599999999999999</v>
      </c>
      <c r="R733" s="337">
        <f t="shared" si="1792"/>
        <v>0.96939999999999993</v>
      </c>
      <c r="S733" s="96">
        <v>0.245</v>
      </c>
      <c r="T733" s="96">
        <f t="shared" si="1793"/>
        <v>0.80237499999999995</v>
      </c>
      <c r="U733" s="96"/>
      <c r="V733" s="96">
        <f t="shared" si="1794"/>
        <v>0</v>
      </c>
      <c r="W733" s="96">
        <v>5.0999999999999997E-2</v>
      </c>
      <c r="X733" s="96">
        <f t="shared" si="1795"/>
        <v>0.16702499999999998</v>
      </c>
      <c r="Y733" s="96">
        <f t="shared" si="1796"/>
        <v>0.29599999999999999</v>
      </c>
      <c r="Z733" s="96">
        <f t="shared" si="1797"/>
        <v>0.96939999999999993</v>
      </c>
      <c r="AA733" s="96"/>
      <c r="AB733" s="96">
        <f t="shared" si="1798"/>
        <v>0</v>
      </c>
      <c r="AC733" s="96"/>
      <c r="AD733" s="96">
        <f t="shared" si="1799"/>
        <v>0</v>
      </c>
      <c r="AE733" s="96"/>
      <c r="AF733" s="96">
        <f t="shared" si="1800"/>
        <v>0</v>
      </c>
      <c r="AG733" s="96">
        <f t="shared" si="1801"/>
        <v>0</v>
      </c>
      <c r="AH733" s="96">
        <f t="shared" si="1802"/>
        <v>0</v>
      </c>
      <c r="AI733" s="96">
        <f t="shared" si="1803"/>
        <v>0.29599999999999999</v>
      </c>
      <c r="AJ733" s="96">
        <f t="shared" si="1804"/>
        <v>0.96939999999999993</v>
      </c>
      <c r="AK733" s="96"/>
      <c r="AL733" s="96">
        <f t="shared" si="1805"/>
        <v>0</v>
      </c>
      <c r="AM733" s="96"/>
      <c r="AN733" s="96">
        <f t="shared" si="1806"/>
        <v>0</v>
      </c>
      <c r="AO733" s="96"/>
      <c r="AP733" s="96">
        <f t="shared" si="1807"/>
        <v>0</v>
      </c>
      <c r="AQ733" s="96">
        <f t="shared" si="1808"/>
        <v>0</v>
      </c>
      <c r="AR733" s="96">
        <f t="shared" si="1809"/>
        <v>0</v>
      </c>
      <c r="AS733" s="96"/>
      <c r="AT733" s="96">
        <f t="shared" si="1810"/>
        <v>0</v>
      </c>
      <c r="AU733" s="96"/>
      <c r="AV733" s="96">
        <f t="shared" si="1811"/>
        <v>0</v>
      </c>
      <c r="AW733" s="96"/>
      <c r="AX733" s="96">
        <f t="shared" si="1812"/>
        <v>0</v>
      </c>
      <c r="AY733" s="96">
        <f t="shared" si="1813"/>
        <v>0</v>
      </c>
      <c r="AZ733" s="96">
        <f t="shared" si="1814"/>
        <v>0</v>
      </c>
      <c r="BA733" s="96">
        <f t="shared" si="1815"/>
        <v>0</v>
      </c>
      <c r="BB733" s="96">
        <f t="shared" si="1816"/>
        <v>0</v>
      </c>
    </row>
    <row r="734" spans="1:54">
      <c r="A734" s="492">
        <v>420</v>
      </c>
      <c r="B734" s="13"/>
      <c r="C734" s="13"/>
      <c r="D734" s="15"/>
      <c r="E734" s="21" t="s">
        <v>1700</v>
      </c>
      <c r="F734" s="45"/>
      <c r="G734" s="45" t="s">
        <v>1059</v>
      </c>
      <c r="H734" s="265" t="s">
        <v>359</v>
      </c>
      <c r="I734" s="54"/>
      <c r="J734" s="162">
        <v>38494</v>
      </c>
      <c r="K734" s="54"/>
      <c r="L734" s="162">
        <v>40765</v>
      </c>
      <c r="M734" s="54"/>
      <c r="N734" s="162"/>
      <c r="O734" s="54"/>
      <c r="P734" s="162"/>
      <c r="Q734" s="96">
        <f t="shared" si="1791"/>
        <v>0</v>
      </c>
      <c r="R734" s="337">
        <f t="shared" si="1792"/>
        <v>0</v>
      </c>
      <c r="S734" s="96"/>
      <c r="T734" s="96">
        <f t="shared" si="1793"/>
        <v>0</v>
      </c>
      <c r="U734" s="96"/>
      <c r="V734" s="96">
        <f t="shared" si="1794"/>
        <v>0</v>
      </c>
      <c r="W734" s="96"/>
      <c r="X734" s="96">
        <f t="shared" si="1795"/>
        <v>0</v>
      </c>
      <c r="Y734" s="96">
        <f t="shared" si="1796"/>
        <v>0</v>
      </c>
      <c r="Z734" s="96">
        <f t="shared" si="1797"/>
        <v>0</v>
      </c>
      <c r="AA734" s="96"/>
      <c r="AB734" s="96">
        <f t="shared" si="1798"/>
        <v>0</v>
      </c>
      <c r="AC734" s="96"/>
      <c r="AD734" s="96">
        <f t="shared" si="1799"/>
        <v>0</v>
      </c>
      <c r="AE734" s="96"/>
      <c r="AF734" s="96">
        <f t="shared" si="1800"/>
        <v>0</v>
      </c>
      <c r="AG734" s="96">
        <f t="shared" si="1801"/>
        <v>0</v>
      </c>
      <c r="AH734" s="96">
        <f t="shared" si="1802"/>
        <v>0</v>
      </c>
      <c r="AI734" s="96">
        <f t="shared" si="1803"/>
        <v>0</v>
      </c>
      <c r="AJ734" s="96">
        <f t="shared" si="1804"/>
        <v>0</v>
      </c>
      <c r="AK734" s="96"/>
      <c r="AL734" s="96">
        <f t="shared" si="1805"/>
        <v>0</v>
      </c>
      <c r="AM734" s="96"/>
      <c r="AN734" s="96">
        <f t="shared" si="1806"/>
        <v>0</v>
      </c>
      <c r="AO734" s="96"/>
      <c r="AP734" s="96">
        <f t="shared" si="1807"/>
        <v>0</v>
      </c>
      <c r="AQ734" s="96">
        <f t="shared" si="1808"/>
        <v>0</v>
      </c>
      <c r="AR734" s="96">
        <f t="shared" si="1809"/>
        <v>0</v>
      </c>
      <c r="AS734" s="96"/>
      <c r="AT734" s="96">
        <f t="shared" si="1810"/>
        <v>0</v>
      </c>
      <c r="AU734" s="96"/>
      <c r="AV734" s="96">
        <f t="shared" si="1811"/>
        <v>0</v>
      </c>
      <c r="AW734" s="96"/>
      <c r="AX734" s="96">
        <f t="shared" si="1812"/>
        <v>0</v>
      </c>
      <c r="AY734" s="96">
        <f t="shared" si="1813"/>
        <v>0</v>
      </c>
      <c r="AZ734" s="96">
        <f t="shared" si="1814"/>
        <v>0</v>
      </c>
      <c r="BA734" s="96">
        <f t="shared" si="1815"/>
        <v>0</v>
      </c>
      <c r="BB734" s="96">
        <f t="shared" si="1816"/>
        <v>0</v>
      </c>
    </row>
    <row r="735" spans="1:54">
      <c r="B735" s="13"/>
      <c r="C735" s="13"/>
      <c r="D735" s="13"/>
      <c r="E735" s="21" t="s">
        <v>1675</v>
      </c>
      <c r="F735" s="45"/>
      <c r="G735" s="419" t="s">
        <v>1056</v>
      </c>
      <c r="H735" s="281" t="s">
        <v>358</v>
      </c>
      <c r="I735" s="54"/>
      <c r="J735" s="162">
        <v>39508</v>
      </c>
      <c r="K735" s="54"/>
      <c r="L735" s="162">
        <v>41839</v>
      </c>
      <c r="M735" s="54"/>
      <c r="N735" s="162"/>
      <c r="O735" s="54"/>
      <c r="P735" s="162"/>
      <c r="Q735" s="96">
        <f t="shared" si="1791"/>
        <v>0.15</v>
      </c>
      <c r="R735" s="337">
        <f t="shared" si="1792"/>
        <v>5.9261999999999997</v>
      </c>
      <c r="S735" s="96">
        <v>0.15</v>
      </c>
      <c r="T735" s="96">
        <f t="shared" si="1793"/>
        <v>5.9261999999999997</v>
      </c>
      <c r="U735" s="96"/>
      <c r="V735" s="96">
        <f t="shared" si="1794"/>
        <v>0</v>
      </c>
      <c r="W735" s="96"/>
      <c r="X735" s="96">
        <f t="shared" si="1795"/>
        <v>0</v>
      </c>
      <c r="Y735" s="96">
        <f t="shared" si="1796"/>
        <v>0.15</v>
      </c>
      <c r="Z735" s="96">
        <f t="shared" si="1797"/>
        <v>5.9261999999999997</v>
      </c>
      <c r="AA735" s="96"/>
      <c r="AB735" s="96">
        <f t="shared" si="1798"/>
        <v>0</v>
      </c>
      <c r="AC735" s="96"/>
      <c r="AD735" s="96">
        <f t="shared" si="1799"/>
        <v>0</v>
      </c>
      <c r="AE735" s="96"/>
      <c r="AF735" s="96">
        <f t="shared" si="1800"/>
        <v>0</v>
      </c>
      <c r="AG735" s="96">
        <f t="shared" si="1801"/>
        <v>0</v>
      </c>
      <c r="AH735" s="96">
        <f t="shared" si="1802"/>
        <v>0</v>
      </c>
      <c r="AI735" s="96">
        <f t="shared" si="1803"/>
        <v>0.15</v>
      </c>
      <c r="AJ735" s="96">
        <f t="shared" si="1804"/>
        <v>5.9261999999999997</v>
      </c>
      <c r="AK735" s="96"/>
      <c r="AL735" s="96">
        <f t="shared" si="1805"/>
        <v>0</v>
      </c>
      <c r="AM735" s="96"/>
      <c r="AN735" s="96">
        <f t="shared" si="1806"/>
        <v>0</v>
      </c>
      <c r="AO735" s="96"/>
      <c r="AP735" s="96">
        <f t="shared" si="1807"/>
        <v>0</v>
      </c>
      <c r="AQ735" s="96">
        <f t="shared" si="1808"/>
        <v>0</v>
      </c>
      <c r="AR735" s="96">
        <f t="shared" si="1809"/>
        <v>0</v>
      </c>
      <c r="AS735" s="96"/>
      <c r="AT735" s="96">
        <f t="shared" si="1810"/>
        <v>0</v>
      </c>
      <c r="AU735" s="96"/>
      <c r="AV735" s="96">
        <f t="shared" si="1811"/>
        <v>0</v>
      </c>
      <c r="AW735" s="96"/>
      <c r="AX735" s="96">
        <f t="shared" si="1812"/>
        <v>0</v>
      </c>
      <c r="AY735" s="96">
        <f t="shared" si="1813"/>
        <v>0</v>
      </c>
      <c r="AZ735" s="96">
        <f t="shared" si="1814"/>
        <v>0</v>
      </c>
      <c r="BA735" s="96">
        <f t="shared" si="1815"/>
        <v>0</v>
      </c>
      <c r="BB735" s="96">
        <f t="shared" si="1816"/>
        <v>0</v>
      </c>
    </row>
    <row r="736" spans="1:54">
      <c r="A736" s="492"/>
      <c r="B736" s="13"/>
      <c r="C736" s="23"/>
      <c r="D736" s="13"/>
      <c r="E736" s="21" t="s">
        <v>1133</v>
      </c>
      <c r="F736" s="45"/>
      <c r="G736" s="45" t="s">
        <v>1059</v>
      </c>
      <c r="H736" s="265" t="s">
        <v>359</v>
      </c>
      <c r="I736" s="54"/>
      <c r="J736" s="162">
        <v>14142</v>
      </c>
      <c r="K736" s="54"/>
      <c r="L736" s="162">
        <v>14142</v>
      </c>
      <c r="M736" s="54"/>
      <c r="N736" s="162"/>
      <c r="O736" s="54"/>
      <c r="P736" s="162"/>
      <c r="Q736" s="96">
        <f t="shared" si="1791"/>
        <v>0</v>
      </c>
      <c r="R736" s="337">
        <f t="shared" si="1792"/>
        <v>0</v>
      </c>
      <c r="S736" s="96"/>
      <c r="T736" s="96">
        <f t="shared" si="1793"/>
        <v>0</v>
      </c>
      <c r="U736" s="96"/>
      <c r="V736" s="96">
        <f t="shared" si="1794"/>
        <v>0</v>
      </c>
      <c r="W736" s="96"/>
      <c r="X736" s="96">
        <f t="shared" si="1795"/>
        <v>0</v>
      </c>
      <c r="Y736" s="96">
        <f t="shared" si="1796"/>
        <v>0</v>
      </c>
      <c r="Z736" s="96">
        <f t="shared" si="1797"/>
        <v>0</v>
      </c>
      <c r="AA736" s="96"/>
      <c r="AB736" s="96">
        <f t="shared" si="1798"/>
        <v>0</v>
      </c>
      <c r="AC736" s="96"/>
      <c r="AD736" s="96">
        <f t="shared" si="1799"/>
        <v>0</v>
      </c>
      <c r="AE736" s="96"/>
      <c r="AF736" s="96">
        <f t="shared" si="1800"/>
        <v>0</v>
      </c>
      <c r="AG736" s="96">
        <f t="shared" si="1801"/>
        <v>0</v>
      </c>
      <c r="AH736" s="96">
        <f t="shared" si="1802"/>
        <v>0</v>
      </c>
      <c r="AI736" s="96">
        <f t="shared" si="1803"/>
        <v>0</v>
      </c>
      <c r="AJ736" s="96">
        <f t="shared" si="1804"/>
        <v>0</v>
      </c>
      <c r="AK736" s="96"/>
      <c r="AL736" s="96">
        <f t="shared" si="1805"/>
        <v>0</v>
      </c>
      <c r="AM736" s="96"/>
      <c r="AN736" s="96">
        <f t="shared" si="1806"/>
        <v>0</v>
      </c>
      <c r="AO736" s="96"/>
      <c r="AP736" s="96">
        <f t="shared" si="1807"/>
        <v>0</v>
      </c>
      <c r="AQ736" s="96">
        <f t="shared" si="1808"/>
        <v>0</v>
      </c>
      <c r="AR736" s="96">
        <f t="shared" si="1809"/>
        <v>0</v>
      </c>
      <c r="AS736" s="96"/>
      <c r="AT736" s="96">
        <f t="shared" si="1810"/>
        <v>0</v>
      </c>
      <c r="AU736" s="96"/>
      <c r="AV736" s="96">
        <f t="shared" si="1811"/>
        <v>0</v>
      </c>
      <c r="AW736" s="96"/>
      <c r="AX736" s="96">
        <f t="shared" si="1812"/>
        <v>0</v>
      </c>
      <c r="AY736" s="96">
        <f t="shared" si="1813"/>
        <v>0</v>
      </c>
      <c r="AZ736" s="96">
        <f t="shared" si="1814"/>
        <v>0</v>
      </c>
      <c r="BA736" s="96">
        <f t="shared" si="1815"/>
        <v>0</v>
      </c>
      <c r="BB736" s="96">
        <f t="shared" si="1816"/>
        <v>0</v>
      </c>
    </row>
    <row r="737" spans="1:54">
      <c r="A737" s="492">
        <v>439</v>
      </c>
      <c r="B737" s="13"/>
      <c r="C737" s="23"/>
      <c r="D737" s="70"/>
      <c r="E737" s="551" t="s">
        <v>330</v>
      </c>
      <c r="F737" s="234"/>
      <c r="G737" s="234"/>
      <c r="H737" s="266"/>
      <c r="I737" s="151"/>
      <c r="J737" s="170"/>
      <c r="K737" s="73"/>
      <c r="L737" s="170"/>
      <c r="M737" s="73"/>
      <c r="N737" s="170"/>
      <c r="O737" s="151"/>
      <c r="P737" s="170"/>
      <c r="Q737" s="122">
        <f t="shared" ref="Q737:BB737" si="1817">SUM(Q627:Q736)</f>
        <v>569.45999999999992</v>
      </c>
      <c r="R737" s="122">
        <f t="shared" si="1817"/>
        <v>7701.9224985248047</v>
      </c>
      <c r="S737" s="122">
        <f t="shared" si="1817"/>
        <v>132.05600000000001</v>
      </c>
      <c r="T737" s="122">
        <f t="shared" si="1817"/>
        <v>1907.1167660319995</v>
      </c>
      <c r="U737" s="122">
        <f t="shared" si="1817"/>
        <v>121.03199999999998</v>
      </c>
      <c r="V737" s="122">
        <f t="shared" si="1817"/>
        <v>1541.0286739055996</v>
      </c>
      <c r="W737" s="122">
        <f t="shared" si="1817"/>
        <v>148.63999999999996</v>
      </c>
      <c r="X737" s="122">
        <f t="shared" si="1817"/>
        <v>1952.3041255872001</v>
      </c>
      <c r="Y737" s="122">
        <f t="shared" si="1817"/>
        <v>401.72800000000001</v>
      </c>
      <c r="Z737" s="122">
        <f t="shared" si="1817"/>
        <v>5400.4495655247993</v>
      </c>
      <c r="AA737" s="122">
        <f t="shared" si="1817"/>
        <v>167.73200000000006</v>
      </c>
      <c r="AB737" s="122">
        <f t="shared" si="1817"/>
        <v>2301.4729330000005</v>
      </c>
      <c r="AC737" s="122">
        <f t="shared" si="1817"/>
        <v>0</v>
      </c>
      <c r="AD737" s="122">
        <f t="shared" si="1817"/>
        <v>0</v>
      </c>
      <c r="AE737" s="122">
        <f t="shared" si="1817"/>
        <v>0</v>
      </c>
      <c r="AF737" s="122">
        <f t="shared" si="1817"/>
        <v>0</v>
      </c>
      <c r="AG737" s="122">
        <f t="shared" si="1817"/>
        <v>167.73200000000006</v>
      </c>
      <c r="AH737" s="122">
        <f t="shared" si="1817"/>
        <v>2301.4729330000005</v>
      </c>
      <c r="AI737" s="122">
        <f t="shared" si="1817"/>
        <v>569.45999999999992</v>
      </c>
      <c r="AJ737" s="122">
        <f t="shared" si="1817"/>
        <v>7701.9224985248047</v>
      </c>
      <c r="AK737" s="122">
        <f t="shared" si="1817"/>
        <v>0</v>
      </c>
      <c r="AL737" s="122">
        <f t="shared" si="1817"/>
        <v>0</v>
      </c>
      <c r="AM737" s="122">
        <f t="shared" si="1817"/>
        <v>0</v>
      </c>
      <c r="AN737" s="122">
        <f t="shared" si="1817"/>
        <v>0</v>
      </c>
      <c r="AO737" s="122">
        <f t="shared" si="1817"/>
        <v>0</v>
      </c>
      <c r="AP737" s="122">
        <f t="shared" si="1817"/>
        <v>0</v>
      </c>
      <c r="AQ737" s="122">
        <f t="shared" si="1817"/>
        <v>0</v>
      </c>
      <c r="AR737" s="122">
        <f t="shared" si="1817"/>
        <v>0</v>
      </c>
      <c r="AS737" s="122">
        <f t="shared" si="1817"/>
        <v>0</v>
      </c>
      <c r="AT737" s="122">
        <f t="shared" si="1817"/>
        <v>0</v>
      </c>
      <c r="AU737" s="122">
        <f t="shared" si="1817"/>
        <v>0</v>
      </c>
      <c r="AV737" s="122">
        <f t="shared" si="1817"/>
        <v>0</v>
      </c>
      <c r="AW737" s="122">
        <f t="shared" si="1817"/>
        <v>0</v>
      </c>
      <c r="AX737" s="122">
        <f t="shared" si="1817"/>
        <v>0</v>
      </c>
      <c r="AY737" s="122">
        <f t="shared" si="1817"/>
        <v>0</v>
      </c>
      <c r="AZ737" s="122">
        <f t="shared" si="1817"/>
        <v>0</v>
      </c>
      <c r="BA737" s="122">
        <f t="shared" si="1817"/>
        <v>0</v>
      </c>
      <c r="BB737" s="122">
        <f t="shared" si="1817"/>
        <v>0</v>
      </c>
    </row>
    <row r="738" spans="1:54">
      <c r="A738" s="492">
        <v>440</v>
      </c>
      <c r="B738" s="13"/>
      <c r="C738" s="13"/>
      <c r="D738" s="52" t="s">
        <v>220</v>
      </c>
      <c r="E738" s="31" t="s">
        <v>783</v>
      </c>
      <c r="F738" s="310"/>
      <c r="G738" s="310" t="s">
        <v>1059</v>
      </c>
      <c r="H738" s="271" t="s">
        <v>359</v>
      </c>
      <c r="I738" s="61"/>
      <c r="J738" s="163">
        <v>4820</v>
      </c>
      <c r="K738" s="61"/>
      <c r="L738" s="163">
        <v>4820</v>
      </c>
      <c r="M738" s="61"/>
      <c r="N738" s="163"/>
      <c r="O738" s="61"/>
      <c r="P738" s="163"/>
      <c r="Q738" s="121">
        <f t="shared" ref="Q738:Q763" si="1818">SUM(AI738+BA738)</f>
        <v>0</v>
      </c>
      <c r="R738" s="341">
        <f t="shared" ref="R738:R763" si="1819">SUM(AJ738+BB738)</f>
        <v>0</v>
      </c>
      <c r="S738" s="121"/>
      <c r="T738" s="121">
        <f t="shared" ref="T738:T763" si="1820">J738*S738/1000</f>
        <v>0</v>
      </c>
      <c r="U738" s="121"/>
      <c r="V738" s="121">
        <f t="shared" ref="V738:V763" si="1821">J738*U738/1000</f>
        <v>0</v>
      </c>
      <c r="W738" s="121"/>
      <c r="X738" s="121">
        <f t="shared" ref="X738:X763" si="1822">J738*W738/1000</f>
        <v>0</v>
      </c>
      <c r="Y738" s="121">
        <f t="shared" ref="Y738:Y763" si="1823">SUM(S738+U738+W738)</f>
        <v>0</v>
      </c>
      <c r="Z738" s="121">
        <f t="shared" ref="Z738:Z763" si="1824">SUM(T738+V738+X738)</f>
        <v>0</v>
      </c>
      <c r="AA738" s="121"/>
      <c r="AB738" s="121">
        <f t="shared" ref="AB738:AB763" si="1825">L738*AA738/1000</f>
        <v>0</v>
      </c>
      <c r="AC738" s="121"/>
      <c r="AD738" s="121">
        <f t="shared" ref="AD738:AD763" si="1826">L738*AC738/1000</f>
        <v>0</v>
      </c>
      <c r="AE738" s="121"/>
      <c r="AF738" s="121">
        <f t="shared" ref="AF738:AF763" si="1827">L738*AE738/1000</f>
        <v>0</v>
      </c>
      <c r="AG738" s="121">
        <f t="shared" ref="AG738:AG763" si="1828">SUM(AA738+AC738+AE738)</f>
        <v>0</v>
      </c>
      <c r="AH738" s="121">
        <f t="shared" ref="AH738:AH763" si="1829">SUM(AB738+AD738+AF738)</f>
        <v>0</v>
      </c>
      <c r="AI738" s="121">
        <f t="shared" ref="AI738:AI763" si="1830">SUM(Y738+AG738)</f>
        <v>0</v>
      </c>
      <c r="AJ738" s="121">
        <f t="shared" ref="AJ738:AJ763" si="1831">SUM(Z738,AH738)</f>
        <v>0</v>
      </c>
      <c r="AK738" s="121"/>
      <c r="AL738" s="121">
        <f t="shared" ref="AL738:AL763" si="1832">N738*AK738/1000</f>
        <v>0</v>
      </c>
      <c r="AM738" s="121"/>
      <c r="AN738" s="121">
        <f t="shared" ref="AN738:AN763" si="1833">N738*AM738/1000</f>
        <v>0</v>
      </c>
      <c r="AO738" s="121"/>
      <c r="AP738" s="121">
        <f t="shared" ref="AP738:AP763" si="1834">N738*AO738/1000</f>
        <v>0</v>
      </c>
      <c r="AQ738" s="121">
        <f t="shared" ref="AQ738:AQ763" si="1835">SUM(AK738+AM738+AO738)</f>
        <v>0</v>
      </c>
      <c r="AR738" s="121">
        <f t="shared" ref="AR738:AR763" si="1836">SUM(AL738+AN738+AP738)</f>
        <v>0</v>
      </c>
      <c r="AS738" s="121"/>
      <c r="AT738" s="121">
        <f t="shared" ref="AT738:AT763" si="1837">P738*AS738/1000</f>
        <v>0</v>
      </c>
      <c r="AU738" s="121"/>
      <c r="AV738" s="121">
        <f t="shared" ref="AV738:AV763" si="1838">P738*AU738/1000</f>
        <v>0</v>
      </c>
      <c r="AW738" s="121"/>
      <c r="AX738" s="121">
        <f t="shared" ref="AX738:AX763" si="1839">P738*AW738/1000</f>
        <v>0</v>
      </c>
      <c r="AY738" s="121">
        <f t="shared" ref="AY738:AY763" si="1840">SUM(AS738+AU738+AW738)</f>
        <v>0</v>
      </c>
      <c r="AZ738" s="121">
        <f t="shared" ref="AZ738:AZ763" si="1841">SUM(AT738+AV738+AX738)</f>
        <v>0</v>
      </c>
      <c r="BA738" s="121">
        <f t="shared" ref="BA738:BA763" si="1842">SUM(AQ738+AY738)</f>
        <v>0</v>
      </c>
      <c r="BB738" s="121">
        <f t="shared" ref="BB738:BB763" si="1843">SUM(AR738,AZ738)</f>
        <v>0</v>
      </c>
    </row>
    <row r="739" spans="1:54">
      <c r="A739" s="492">
        <v>441</v>
      </c>
      <c r="B739" s="13"/>
      <c r="C739" s="13"/>
      <c r="D739" s="13"/>
      <c r="E739" s="21" t="s">
        <v>221</v>
      </c>
      <c r="F739" s="45"/>
      <c r="G739" s="45" t="s">
        <v>1059</v>
      </c>
      <c r="H739" s="265" t="s">
        <v>358</v>
      </c>
      <c r="I739" s="54"/>
      <c r="J739" s="162">
        <v>4680</v>
      </c>
      <c r="K739" s="54"/>
      <c r="L739" s="162">
        <v>4680</v>
      </c>
      <c r="M739" s="54"/>
      <c r="N739" s="162"/>
      <c r="O739" s="54"/>
      <c r="P739" s="162"/>
      <c r="Q739" s="96">
        <f t="shared" si="1818"/>
        <v>0</v>
      </c>
      <c r="R739" s="337">
        <f t="shared" si="1819"/>
        <v>0</v>
      </c>
      <c r="S739" s="96"/>
      <c r="T739" s="96">
        <f t="shared" si="1820"/>
        <v>0</v>
      </c>
      <c r="U739" s="96"/>
      <c r="V739" s="96">
        <f t="shared" si="1821"/>
        <v>0</v>
      </c>
      <c r="W739" s="96"/>
      <c r="X739" s="96">
        <f t="shared" si="1822"/>
        <v>0</v>
      </c>
      <c r="Y739" s="96">
        <f t="shared" si="1823"/>
        <v>0</v>
      </c>
      <c r="Z739" s="96">
        <f t="shared" si="1824"/>
        <v>0</v>
      </c>
      <c r="AA739" s="96"/>
      <c r="AB739" s="96">
        <f t="shared" si="1825"/>
        <v>0</v>
      </c>
      <c r="AC739" s="96"/>
      <c r="AD739" s="96">
        <f t="shared" si="1826"/>
        <v>0</v>
      </c>
      <c r="AE739" s="96"/>
      <c r="AF739" s="96">
        <f t="shared" si="1827"/>
        <v>0</v>
      </c>
      <c r="AG739" s="96">
        <f t="shared" si="1828"/>
        <v>0</v>
      </c>
      <c r="AH739" s="96">
        <f t="shared" si="1829"/>
        <v>0</v>
      </c>
      <c r="AI739" s="96">
        <f t="shared" si="1830"/>
        <v>0</v>
      </c>
      <c r="AJ739" s="96">
        <f t="shared" si="1831"/>
        <v>0</v>
      </c>
      <c r="AK739" s="96"/>
      <c r="AL739" s="96">
        <f t="shared" si="1832"/>
        <v>0</v>
      </c>
      <c r="AM739" s="96"/>
      <c r="AN739" s="96">
        <f t="shared" si="1833"/>
        <v>0</v>
      </c>
      <c r="AO739" s="96"/>
      <c r="AP739" s="96">
        <f t="shared" si="1834"/>
        <v>0</v>
      </c>
      <c r="AQ739" s="96">
        <f t="shared" si="1835"/>
        <v>0</v>
      </c>
      <c r="AR739" s="96">
        <f t="shared" si="1836"/>
        <v>0</v>
      </c>
      <c r="AS739" s="96"/>
      <c r="AT739" s="96">
        <f t="shared" si="1837"/>
        <v>0</v>
      </c>
      <c r="AU739" s="96"/>
      <c r="AV739" s="96">
        <f t="shared" si="1838"/>
        <v>0</v>
      </c>
      <c r="AW739" s="96"/>
      <c r="AX739" s="96">
        <f t="shared" si="1839"/>
        <v>0</v>
      </c>
      <c r="AY739" s="96">
        <f t="shared" si="1840"/>
        <v>0</v>
      </c>
      <c r="AZ739" s="96">
        <f t="shared" si="1841"/>
        <v>0</v>
      </c>
      <c r="BA739" s="96">
        <f t="shared" si="1842"/>
        <v>0</v>
      </c>
      <c r="BB739" s="96">
        <f t="shared" si="1843"/>
        <v>0</v>
      </c>
    </row>
    <row r="740" spans="1:54">
      <c r="A740" s="492">
        <v>443</v>
      </c>
      <c r="B740" s="13"/>
      <c r="C740" s="13"/>
      <c r="D740" s="13"/>
      <c r="E740" s="21" t="s">
        <v>1134</v>
      </c>
      <c r="F740" s="45"/>
      <c r="G740" s="45" t="s">
        <v>1059</v>
      </c>
      <c r="H740" s="265" t="s">
        <v>358</v>
      </c>
      <c r="I740" s="54"/>
      <c r="J740" s="162">
        <v>18253</v>
      </c>
      <c r="K740" s="54"/>
      <c r="L740" s="162">
        <v>19330</v>
      </c>
      <c r="M740" s="54"/>
      <c r="N740" s="162"/>
      <c r="O740" s="54"/>
      <c r="P740" s="162"/>
      <c r="Q740" s="96">
        <f t="shared" si="1818"/>
        <v>0.05</v>
      </c>
      <c r="R740" s="337">
        <f t="shared" si="1819"/>
        <v>0.91265000000000007</v>
      </c>
      <c r="S740" s="96">
        <v>0.05</v>
      </c>
      <c r="T740" s="96">
        <f t="shared" si="1820"/>
        <v>0.91265000000000007</v>
      </c>
      <c r="U740" s="96"/>
      <c r="V740" s="96">
        <f t="shared" si="1821"/>
        <v>0</v>
      </c>
      <c r="W740" s="96"/>
      <c r="X740" s="96">
        <f t="shared" si="1822"/>
        <v>0</v>
      </c>
      <c r="Y740" s="96">
        <f t="shared" si="1823"/>
        <v>0.05</v>
      </c>
      <c r="Z740" s="96">
        <f t="shared" si="1824"/>
        <v>0.91265000000000007</v>
      </c>
      <c r="AA740" s="96"/>
      <c r="AB740" s="96">
        <f t="shared" si="1825"/>
        <v>0</v>
      </c>
      <c r="AC740" s="96"/>
      <c r="AD740" s="96">
        <f t="shared" si="1826"/>
        <v>0</v>
      </c>
      <c r="AE740" s="96"/>
      <c r="AF740" s="96">
        <f t="shared" si="1827"/>
        <v>0</v>
      </c>
      <c r="AG740" s="96">
        <f t="shared" si="1828"/>
        <v>0</v>
      </c>
      <c r="AH740" s="96">
        <f t="shared" si="1829"/>
        <v>0</v>
      </c>
      <c r="AI740" s="96">
        <f t="shared" si="1830"/>
        <v>0.05</v>
      </c>
      <c r="AJ740" s="96">
        <f t="shared" si="1831"/>
        <v>0.91265000000000007</v>
      </c>
      <c r="AK740" s="96"/>
      <c r="AL740" s="96">
        <f t="shared" si="1832"/>
        <v>0</v>
      </c>
      <c r="AM740" s="96"/>
      <c r="AN740" s="96">
        <f t="shared" si="1833"/>
        <v>0</v>
      </c>
      <c r="AO740" s="96"/>
      <c r="AP740" s="96">
        <f t="shared" si="1834"/>
        <v>0</v>
      </c>
      <c r="AQ740" s="96">
        <f t="shared" si="1835"/>
        <v>0</v>
      </c>
      <c r="AR740" s="96">
        <f t="shared" si="1836"/>
        <v>0</v>
      </c>
      <c r="AS740" s="96"/>
      <c r="AT740" s="96">
        <f t="shared" si="1837"/>
        <v>0</v>
      </c>
      <c r="AU740" s="96"/>
      <c r="AV740" s="96">
        <f t="shared" si="1838"/>
        <v>0</v>
      </c>
      <c r="AW740" s="96"/>
      <c r="AX740" s="96">
        <f t="shared" si="1839"/>
        <v>0</v>
      </c>
      <c r="AY740" s="96">
        <f t="shared" si="1840"/>
        <v>0</v>
      </c>
      <c r="AZ740" s="96">
        <f t="shared" si="1841"/>
        <v>0</v>
      </c>
      <c r="BA740" s="96">
        <f t="shared" si="1842"/>
        <v>0</v>
      </c>
      <c r="BB740" s="96">
        <f t="shared" si="1843"/>
        <v>0</v>
      </c>
    </row>
    <row r="741" spans="1:54" ht="11.25" customHeight="1">
      <c r="A741" s="492">
        <v>444</v>
      </c>
      <c r="B741" s="13"/>
      <c r="C741" s="13"/>
      <c r="D741" s="13"/>
      <c r="E741" s="21" t="s">
        <v>706</v>
      </c>
      <c r="F741" s="45" t="s">
        <v>131</v>
      </c>
      <c r="G741" s="45" t="s">
        <v>1059</v>
      </c>
      <c r="H741" s="265" t="s">
        <v>359</v>
      </c>
      <c r="I741" s="54"/>
      <c r="J741" s="162">
        <v>18253</v>
      </c>
      <c r="K741" s="54"/>
      <c r="L741" s="162">
        <v>19330</v>
      </c>
      <c r="M741" s="54"/>
      <c r="N741" s="162"/>
      <c r="O741" s="54"/>
      <c r="P741" s="162"/>
      <c r="Q741" s="96">
        <f t="shared" si="1818"/>
        <v>15.756</v>
      </c>
      <c r="R741" s="337">
        <f t="shared" si="1819"/>
        <v>292.51508100000001</v>
      </c>
      <c r="S741" s="96">
        <v>4.4160000000000004</v>
      </c>
      <c r="T741" s="96">
        <f t="shared" si="1820"/>
        <v>80.605248000000003</v>
      </c>
      <c r="U741" s="96">
        <v>2.8959999999999999</v>
      </c>
      <c r="V741" s="96">
        <f t="shared" si="1821"/>
        <v>52.860688000000003</v>
      </c>
      <c r="W741" s="96">
        <v>3.875</v>
      </c>
      <c r="X741" s="96">
        <f t="shared" si="1822"/>
        <v>70.730374999999995</v>
      </c>
      <c r="Y741" s="96">
        <f t="shared" si="1823"/>
        <v>11.187000000000001</v>
      </c>
      <c r="Z741" s="96">
        <f t="shared" si="1824"/>
        <v>204.19631099999998</v>
      </c>
      <c r="AA741" s="96">
        <v>4.569</v>
      </c>
      <c r="AB741" s="96">
        <f t="shared" si="1825"/>
        <v>88.318770000000001</v>
      </c>
      <c r="AC741" s="96"/>
      <c r="AD741" s="96">
        <f t="shared" si="1826"/>
        <v>0</v>
      </c>
      <c r="AE741" s="96"/>
      <c r="AF741" s="96">
        <f t="shared" si="1827"/>
        <v>0</v>
      </c>
      <c r="AG741" s="96">
        <f t="shared" si="1828"/>
        <v>4.569</v>
      </c>
      <c r="AH741" s="96">
        <f t="shared" si="1829"/>
        <v>88.318770000000001</v>
      </c>
      <c r="AI741" s="96">
        <f t="shared" si="1830"/>
        <v>15.756</v>
      </c>
      <c r="AJ741" s="96">
        <f t="shared" si="1831"/>
        <v>292.51508100000001</v>
      </c>
      <c r="AK741" s="96"/>
      <c r="AL741" s="96">
        <f t="shared" si="1832"/>
        <v>0</v>
      </c>
      <c r="AM741" s="96"/>
      <c r="AN741" s="96">
        <f t="shared" si="1833"/>
        <v>0</v>
      </c>
      <c r="AO741" s="96"/>
      <c r="AP741" s="96">
        <f t="shared" si="1834"/>
        <v>0</v>
      </c>
      <c r="AQ741" s="96">
        <f t="shared" si="1835"/>
        <v>0</v>
      </c>
      <c r="AR741" s="96">
        <f t="shared" si="1836"/>
        <v>0</v>
      </c>
      <c r="AS741" s="96"/>
      <c r="AT741" s="96">
        <f t="shared" si="1837"/>
        <v>0</v>
      </c>
      <c r="AU741" s="96"/>
      <c r="AV741" s="96">
        <f t="shared" si="1838"/>
        <v>0</v>
      </c>
      <c r="AW741" s="96"/>
      <c r="AX741" s="96">
        <f t="shared" si="1839"/>
        <v>0</v>
      </c>
      <c r="AY741" s="96">
        <f t="shared" si="1840"/>
        <v>0</v>
      </c>
      <c r="AZ741" s="96">
        <f t="shared" si="1841"/>
        <v>0</v>
      </c>
      <c r="BA741" s="96">
        <f t="shared" si="1842"/>
        <v>0</v>
      </c>
      <c r="BB741" s="96">
        <f t="shared" si="1843"/>
        <v>0</v>
      </c>
    </row>
    <row r="742" spans="1:54" ht="11.25" customHeight="1">
      <c r="A742" s="492">
        <v>445</v>
      </c>
      <c r="B742" s="13"/>
      <c r="C742" s="13"/>
      <c r="D742" s="13"/>
      <c r="E742" s="21" t="s">
        <v>707</v>
      </c>
      <c r="F742" s="45"/>
      <c r="G742" s="45" t="s">
        <v>1059</v>
      </c>
      <c r="H742" s="265" t="s">
        <v>358</v>
      </c>
      <c r="I742" s="54"/>
      <c r="J742" s="162">
        <v>18536</v>
      </c>
      <c r="K742" s="54"/>
      <c r="L742" s="162">
        <v>19630</v>
      </c>
      <c r="M742" s="54"/>
      <c r="N742" s="162"/>
      <c r="O742" s="54"/>
      <c r="P742" s="162"/>
      <c r="Q742" s="96">
        <f t="shared" si="1818"/>
        <v>0.92400000000000004</v>
      </c>
      <c r="R742" s="337">
        <f t="shared" si="1819"/>
        <v>17.674264000000001</v>
      </c>
      <c r="S742" s="96">
        <v>0.224</v>
      </c>
      <c r="T742" s="96">
        <f t="shared" si="1820"/>
        <v>4.1520640000000002</v>
      </c>
      <c r="U742" s="96">
        <v>0.1</v>
      </c>
      <c r="V742" s="96">
        <f t="shared" si="1821"/>
        <v>1.8536000000000001</v>
      </c>
      <c r="W742" s="96">
        <v>0.1</v>
      </c>
      <c r="X742" s="96">
        <f t="shared" si="1822"/>
        <v>1.8536000000000001</v>
      </c>
      <c r="Y742" s="96">
        <f t="shared" si="1823"/>
        <v>0.42400000000000004</v>
      </c>
      <c r="Z742" s="96">
        <f t="shared" si="1824"/>
        <v>7.8592640000000005</v>
      </c>
      <c r="AA742" s="96">
        <v>0.5</v>
      </c>
      <c r="AB742" s="96">
        <f t="shared" si="1825"/>
        <v>9.8149999999999995</v>
      </c>
      <c r="AC742" s="96"/>
      <c r="AD742" s="96">
        <f t="shared" si="1826"/>
        <v>0</v>
      </c>
      <c r="AE742" s="96"/>
      <c r="AF742" s="96">
        <f t="shared" si="1827"/>
        <v>0</v>
      </c>
      <c r="AG742" s="96">
        <f t="shared" si="1828"/>
        <v>0.5</v>
      </c>
      <c r="AH742" s="96">
        <f t="shared" si="1829"/>
        <v>9.8149999999999995</v>
      </c>
      <c r="AI742" s="96">
        <f t="shared" si="1830"/>
        <v>0.92400000000000004</v>
      </c>
      <c r="AJ742" s="96">
        <f t="shared" si="1831"/>
        <v>17.674264000000001</v>
      </c>
      <c r="AK742" s="96"/>
      <c r="AL742" s="96">
        <f t="shared" si="1832"/>
        <v>0</v>
      </c>
      <c r="AM742" s="96"/>
      <c r="AN742" s="96">
        <f t="shared" si="1833"/>
        <v>0</v>
      </c>
      <c r="AO742" s="96"/>
      <c r="AP742" s="96">
        <f t="shared" si="1834"/>
        <v>0</v>
      </c>
      <c r="AQ742" s="96">
        <f t="shared" si="1835"/>
        <v>0</v>
      </c>
      <c r="AR742" s="96">
        <f t="shared" si="1836"/>
        <v>0</v>
      </c>
      <c r="AS742" s="96"/>
      <c r="AT742" s="96">
        <f t="shared" si="1837"/>
        <v>0</v>
      </c>
      <c r="AU742" s="96"/>
      <c r="AV742" s="96">
        <f t="shared" si="1838"/>
        <v>0</v>
      </c>
      <c r="AW742" s="96"/>
      <c r="AX742" s="96">
        <f t="shared" si="1839"/>
        <v>0</v>
      </c>
      <c r="AY742" s="96">
        <f t="shared" si="1840"/>
        <v>0</v>
      </c>
      <c r="AZ742" s="96">
        <f t="shared" si="1841"/>
        <v>0</v>
      </c>
      <c r="BA742" s="96">
        <f t="shared" si="1842"/>
        <v>0</v>
      </c>
      <c r="BB742" s="96">
        <f t="shared" si="1843"/>
        <v>0</v>
      </c>
    </row>
    <row r="743" spans="1:54" ht="12" customHeight="1">
      <c r="A743" s="492">
        <v>446</v>
      </c>
      <c r="B743" s="13"/>
      <c r="C743" s="13"/>
      <c r="D743" s="13"/>
      <c r="E743" s="21" t="s">
        <v>1300</v>
      </c>
      <c r="F743" s="45" t="s">
        <v>131</v>
      </c>
      <c r="G743" s="45" t="s">
        <v>1059</v>
      </c>
      <c r="H743" s="265" t="s">
        <v>359</v>
      </c>
      <c r="I743" s="54"/>
      <c r="J743" s="162">
        <v>23510</v>
      </c>
      <c r="K743" s="54"/>
      <c r="L743" s="162">
        <v>25248</v>
      </c>
      <c r="M743" s="54"/>
      <c r="N743" s="162"/>
      <c r="O743" s="54"/>
      <c r="P743" s="162"/>
      <c r="Q743" s="96">
        <f t="shared" si="1818"/>
        <v>0</v>
      </c>
      <c r="R743" s="337">
        <f t="shared" si="1819"/>
        <v>0</v>
      </c>
      <c r="S743" s="96"/>
      <c r="T743" s="96">
        <f t="shared" si="1820"/>
        <v>0</v>
      </c>
      <c r="U743" s="96"/>
      <c r="V743" s="96">
        <f t="shared" si="1821"/>
        <v>0</v>
      </c>
      <c r="W743" s="96"/>
      <c r="X743" s="96">
        <f t="shared" si="1822"/>
        <v>0</v>
      </c>
      <c r="Y743" s="96">
        <f t="shared" si="1823"/>
        <v>0</v>
      </c>
      <c r="Z743" s="96">
        <f t="shared" si="1824"/>
        <v>0</v>
      </c>
      <c r="AA743" s="96"/>
      <c r="AB743" s="96">
        <f t="shared" si="1825"/>
        <v>0</v>
      </c>
      <c r="AC743" s="96"/>
      <c r="AD743" s="96">
        <f t="shared" si="1826"/>
        <v>0</v>
      </c>
      <c r="AE743" s="96"/>
      <c r="AF743" s="96">
        <f t="shared" si="1827"/>
        <v>0</v>
      </c>
      <c r="AG743" s="96">
        <f t="shared" si="1828"/>
        <v>0</v>
      </c>
      <c r="AH743" s="96">
        <f t="shared" si="1829"/>
        <v>0</v>
      </c>
      <c r="AI743" s="96">
        <f t="shared" si="1830"/>
        <v>0</v>
      </c>
      <c r="AJ743" s="96">
        <f t="shared" si="1831"/>
        <v>0</v>
      </c>
      <c r="AK743" s="96"/>
      <c r="AL743" s="96">
        <f t="shared" si="1832"/>
        <v>0</v>
      </c>
      <c r="AM743" s="96"/>
      <c r="AN743" s="96">
        <f t="shared" si="1833"/>
        <v>0</v>
      </c>
      <c r="AO743" s="96"/>
      <c r="AP743" s="96">
        <f t="shared" si="1834"/>
        <v>0</v>
      </c>
      <c r="AQ743" s="96">
        <f t="shared" si="1835"/>
        <v>0</v>
      </c>
      <c r="AR743" s="96">
        <f t="shared" si="1836"/>
        <v>0</v>
      </c>
      <c r="AS743" s="96"/>
      <c r="AT743" s="96">
        <f t="shared" si="1837"/>
        <v>0</v>
      </c>
      <c r="AU743" s="96"/>
      <c r="AV743" s="96">
        <f t="shared" si="1838"/>
        <v>0</v>
      </c>
      <c r="AW743" s="96"/>
      <c r="AX743" s="96">
        <f t="shared" si="1839"/>
        <v>0</v>
      </c>
      <c r="AY743" s="96">
        <f t="shared" si="1840"/>
        <v>0</v>
      </c>
      <c r="AZ743" s="96">
        <f t="shared" si="1841"/>
        <v>0</v>
      </c>
      <c r="BA743" s="96">
        <f t="shared" si="1842"/>
        <v>0</v>
      </c>
      <c r="BB743" s="96">
        <f t="shared" si="1843"/>
        <v>0</v>
      </c>
    </row>
    <row r="744" spans="1:54" ht="11.25" customHeight="1">
      <c r="A744" s="492">
        <v>448</v>
      </c>
      <c r="B744" s="13"/>
      <c r="C744" s="13"/>
      <c r="D744" s="13"/>
      <c r="E744" s="21" t="s">
        <v>273</v>
      </c>
      <c r="F744" s="45" t="s">
        <v>131</v>
      </c>
      <c r="G744" s="45" t="s">
        <v>1059</v>
      </c>
      <c r="H744" s="265" t="s">
        <v>359</v>
      </c>
      <c r="I744" s="54"/>
      <c r="J744" s="162">
        <v>37022</v>
      </c>
      <c r="K744" s="54"/>
      <c r="L744" s="162">
        <v>39206</v>
      </c>
      <c r="M744" s="54"/>
      <c r="N744" s="162"/>
      <c r="O744" s="54"/>
      <c r="P744" s="162"/>
      <c r="Q744" s="96">
        <f t="shared" si="1818"/>
        <v>0</v>
      </c>
      <c r="R744" s="337">
        <f t="shared" si="1819"/>
        <v>0</v>
      </c>
      <c r="S744" s="96"/>
      <c r="T744" s="96">
        <f t="shared" si="1820"/>
        <v>0</v>
      </c>
      <c r="U744" s="96"/>
      <c r="V744" s="96">
        <f t="shared" si="1821"/>
        <v>0</v>
      </c>
      <c r="W744" s="96"/>
      <c r="X744" s="96">
        <f t="shared" si="1822"/>
        <v>0</v>
      </c>
      <c r="Y744" s="96">
        <f t="shared" si="1823"/>
        <v>0</v>
      </c>
      <c r="Z744" s="96">
        <f t="shared" si="1824"/>
        <v>0</v>
      </c>
      <c r="AA744" s="96"/>
      <c r="AB744" s="96">
        <f t="shared" si="1825"/>
        <v>0</v>
      </c>
      <c r="AC744" s="96"/>
      <c r="AD744" s="96">
        <f t="shared" si="1826"/>
        <v>0</v>
      </c>
      <c r="AE744" s="96"/>
      <c r="AF744" s="96">
        <f t="shared" si="1827"/>
        <v>0</v>
      </c>
      <c r="AG744" s="96">
        <f t="shared" si="1828"/>
        <v>0</v>
      </c>
      <c r="AH744" s="96">
        <f t="shared" si="1829"/>
        <v>0</v>
      </c>
      <c r="AI744" s="96">
        <f t="shared" si="1830"/>
        <v>0</v>
      </c>
      <c r="AJ744" s="96">
        <f t="shared" si="1831"/>
        <v>0</v>
      </c>
      <c r="AK744" s="96"/>
      <c r="AL744" s="96">
        <f t="shared" si="1832"/>
        <v>0</v>
      </c>
      <c r="AM744" s="96"/>
      <c r="AN744" s="96">
        <f t="shared" si="1833"/>
        <v>0</v>
      </c>
      <c r="AO744" s="96"/>
      <c r="AP744" s="96">
        <f t="shared" si="1834"/>
        <v>0</v>
      </c>
      <c r="AQ744" s="96">
        <f t="shared" si="1835"/>
        <v>0</v>
      </c>
      <c r="AR744" s="96">
        <f t="shared" si="1836"/>
        <v>0</v>
      </c>
      <c r="AS744" s="96"/>
      <c r="AT744" s="96">
        <f t="shared" si="1837"/>
        <v>0</v>
      </c>
      <c r="AU744" s="96"/>
      <c r="AV744" s="96">
        <f t="shared" si="1838"/>
        <v>0</v>
      </c>
      <c r="AW744" s="96"/>
      <c r="AX744" s="96">
        <f t="shared" si="1839"/>
        <v>0</v>
      </c>
      <c r="AY744" s="96">
        <f t="shared" si="1840"/>
        <v>0</v>
      </c>
      <c r="AZ744" s="96">
        <f t="shared" si="1841"/>
        <v>0</v>
      </c>
      <c r="BA744" s="96">
        <f t="shared" si="1842"/>
        <v>0</v>
      </c>
      <c r="BB744" s="96">
        <f t="shared" si="1843"/>
        <v>0</v>
      </c>
    </row>
    <row r="745" spans="1:54">
      <c r="A745" s="492">
        <v>450</v>
      </c>
      <c r="B745" s="13"/>
      <c r="C745" s="13"/>
      <c r="D745" s="13"/>
      <c r="E745" s="21" t="s">
        <v>274</v>
      </c>
      <c r="F745" s="45" t="s">
        <v>131</v>
      </c>
      <c r="G745" s="45" t="s">
        <v>1059</v>
      </c>
      <c r="H745" s="265" t="s">
        <v>359</v>
      </c>
      <c r="I745" s="54"/>
      <c r="J745" s="162">
        <v>37145</v>
      </c>
      <c r="K745" s="54"/>
      <c r="L745" s="162">
        <v>39337</v>
      </c>
      <c r="M745" s="54"/>
      <c r="N745" s="162"/>
      <c r="O745" s="54"/>
      <c r="P745" s="162"/>
      <c r="Q745" s="96">
        <f t="shared" si="1818"/>
        <v>4.7809999999999997</v>
      </c>
      <c r="R745" s="337">
        <f t="shared" si="1819"/>
        <v>177.59024500000001</v>
      </c>
      <c r="S745" s="96">
        <v>1.2609999999999999</v>
      </c>
      <c r="T745" s="96">
        <f t="shared" si="1820"/>
        <v>46.839844999999997</v>
      </c>
      <c r="U745" s="96">
        <v>1.06</v>
      </c>
      <c r="V745" s="96">
        <f t="shared" si="1821"/>
        <v>39.373700000000007</v>
      </c>
      <c r="W745" s="96">
        <v>2.46</v>
      </c>
      <c r="X745" s="96">
        <f t="shared" si="1822"/>
        <v>91.3767</v>
      </c>
      <c r="Y745" s="96">
        <f t="shared" si="1823"/>
        <v>4.7809999999999997</v>
      </c>
      <c r="Z745" s="96">
        <f t="shared" si="1824"/>
        <v>177.59024500000001</v>
      </c>
      <c r="AA745" s="96"/>
      <c r="AB745" s="96">
        <f t="shared" si="1825"/>
        <v>0</v>
      </c>
      <c r="AC745" s="96"/>
      <c r="AD745" s="96">
        <f t="shared" si="1826"/>
        <v>0</v>
      </c>
      <c r="AE745" s="96"/>
      <c r="AF745" s="96">
        <f t="shared" si="1827"/>
        <v>0</v>
      </c>
      <c r="AG745" s="96">
        <f t="shared" si="1828"/>
        <v>0</v>
      </c>
      <c r="AH745" s="96">
        <f t="shared" si="1829"/>
        <v>0</v>
      </c>
      <c r="AI745" s="96">
        <f t="shared" si="1830"/>
        <v>4.7809999999999997</v>
      </c>
      <c r="AJ745" s="96">
        <f t="shared" si="1831"/>
        <v>177.59024500000001</v>
      </c>
      <c r="AK745" s="96"/>
      <c r="AL745" s="96">
        <f t="shared" si="1832"/>
        <v>0</v>
      </c>
      <c r="AM745" s="96"/>
      <c r="AN745" s="96">
        <f t="shared" si="1833"/>
        <v>0</v>
      </c>
      <c r="AO745" s="96"/>
      <c r="AP745" s="96">
        <f t="shared" si="1834"/>
        <v>0</v>
      </c>
      <c r="AQ745" s="96">
        <f t="shared" si="1835"/>
        <v>0</v>
      </c>
      <c r="AR745" s="96">
        <f t="shared" si="1836"/>
        <v>0</v>
      </c>
      <c r="AS745" s="96"/>
      <c r="AT745" s="96">
        <f t="shared" si="1837"/>
        <v>0</v>
      </c>
      <c r="AU745" s="96"/>
      <c r="AV745" s="96">
        <f t="shared" si="1838"/>
        <v>0</v>
      </c>
      <c r="AW745" s="96"/>
      <c r="AX745" s="96">
        <f t="shared" si="1839"/>
        <v>0</v>
      </c>
      <c r="AY745" s="96">
        <f t="shared" si="1840"/>
        <v>0</v>
      </c>
      <c r="AZ745" s="96">
        <f t="shared" si="1841"/>
        <v>0</v>
      </c>
      <c r="BA745" s="96">
        <f t="shared" si="1842"/>
        <v>0</v>
      </c>
      <c r="BB745" s="96">
        <f t="shared" si="1843"/>
        <v>0</v>
      </c>
    </row>
    <row r="746" spans="1:54">
      <c r="A746" s="492">
        <v>451</v>
      </c>
      <c r="B746" s="13"/>
      <c r="C746" s="13"/>
      <c r="D746" s="13"/>
      <c r="E746" s="21" t="s">
        <v>326</v>
      </c>
      <c r="F746" s="45" t="s">
        <v>131</v>
      </c>
      <c r="G746" s="45" t="s">
        <v>1059</v>
      </c>
      <c r="H746" s="265" t="s">
        <v>359</v>
      </c>
      <c r="I746" s="54"/>
      <c r="J746" s="162">
        <v>37410</v>
      </c>
      <c r="K746" s="54"/>
      <c r="L746" s="162">
        <v>39617</v>
      </c>
      <c r="M746" s="54"/>
      <c r="N746" s="162"/>
      <c r="O746" s="54"/>
      <c r="P746" s="162"/>
      <c r="Q746" s="96">
        <f t="shared" si="1818"/>
        <v>9.6000000000000002E-2</v>
      </c>
      <c r="R746" s="337">
        <f t="shared" si="1819"/>
        <v>3.5913600000000003</v>
      </c>
      <c r="S746" s="96"/>
      <c r="T746" s="96">
        <f t="shared" si="1820"/>
        <v>0</v>
      </c>
      <c r="U746" s="96">
        <v>9.6000000000000002E-2</v>
      </c>
      <c r="V746" s="96">
        <f t="shared" si="1821"/>
        <v>3.5913600000000003</v>
      </c>
      <c r="W746" s="96"/>
      <c r="X746" s="96">
        <f t="shared" si="1822"/>
        <v>0</v>
      </c>
      <c r="Y746" s="96">
        <f t="shared" si="1823"/>
        <v>9.6000000000000002E-2</v>
      </c>
      <c r="Z746" s="96">
        <f t="shared" si="1824"/>
        <v>3.5913600000000003</v>
      </c>
      <c r="AA746" s="96"/>
      <c r="AB746" s="96">
        <f t="shared" si="1825"/>
        <v>0</v>
      </c>
      <c r="AC746" s="96"/>
      <c r="AD746" s="96">
        <f t="shared" si="1826"/>
        <v>0</v>
      </c>
      <c r="AE746" s="96"/>
      <c r="AF746" s="96">
        <f t="shared" si="1827"/>
        <v>0</v>
      </c>
      <c r="AG746" s="96">
        <f t="shared" si="1828"/>
        <v>0</v>
      </c>
      <c r="AH746" s="96">
        <f t="shared" si="1829"/>
        <v>0</v>
      </c>
      <c r="AI746" s="96">
        <f t="shared" si="1830"/>
        <v>9.6000000000000002E-2</v>
      </c>
      <c r="AJ746" s="96">
        <f t="shared" si="1831"/>
        <v>3.5913600000000003</v>
      </c>
      <c r="AK746" s="96"/>
      <c r="AL746" s="96">
        <f t="shared" si="1832"/>
        <v>0</v>
      </c>
      <c r="AM746" s="96"/>
      <c r="AN746" s="96">
        <f t="shared" si="1833"/>
        <v>0</v>
      </c>
      <c r="AO746" s="96"/>
      <c r="AP746" s="96">
        <f t="shared" si="1834"/>
        <v>0</v>
      </c>
      <c r="AQ746" s="96">
        <f t="shared" si="1835"/>
        <v>0</v>
      </c>
      <c r="AR746" s="96">
        <f t="shared" si="1836"/>
        <v>0</v>
      </c>
      <c r="AS746" s="96"/>
      <c r="AT746" s="96">
        <f t="shared" si="1837"/>
        <v>0</v>
      </c>
      <c r="AU746" s="96"/>
      <c r="AV746" s="96">
        <f t="shared" si="1838"/>
        <v>0</v>
      </c>
      <c r="AW746" s="96"/>
      <c r="AX746" s="96">
        <f t="shared" si="1839"/>
        <v>0</v>
      </c>
      <c r="AY746" s="96">
        <f t="shared" si="1840"/>
        <v>0</v>
      </c>
      <c r="AZ746" s="96">
        <f t="shared" si="1841"/>
        <v>0</v>
      </c>
      <c r="BA746" s="96">
        <f t="shared" si="1842"/>
        <v>0</v>
      </c>
      <c r="BB746" s="96">
        <f t="shared" si="1843"/>
        <v>0</v>
      </c>
    </row>
    <row r="747" spans="1:54">
      <c r="A747" s="492">
        <v>452</v>
      </c>
      <c r="B747" s="13"/>
      <c r="C747" s="13"/>
      <c r="D747" s="13"/>
      <c r="E747" s="21" t="s">
        <v>275</v>
      </c>
      <c r="F747" s="45" t="s">
        <v>131</v>
      </c>
      <c r="G747" s="45" t="s">
        <v>1059</v>
      </c>
      <c r="H747" s="265" t="s">
        <v>359</v>
      </c>
      <c r="I747" s="54"/>
      <c r="J747" s="162">
        <v>10914</v>
      </c>
      <c r="K747" s="54"/>
      <c r="L747" s="162">
        <v>11558</v>
      </c>
      <c r="M747" s="54"/>
      <c r="N747" s="162"/>
      <c r="O747" s="54"/>
      <c r="P747" s="162"/>
      <c r="Q747" s="96">
        <f t="shared" si="1818"/>
        <v>4.7910000000000004</v>
      </c>
      <c r="R747" s="337">
        <f t="shared" si="1819"/>
        <v>52.288973999999996</v>
      </c>
      <c r="S747" s="96">
        <v>1.2609999999999999</v>
      </c>
      <c r="T747" s="96">
        <f t="shared" si="1820"/>
        <v>13.762553999999998</v>
      </c>
      <c r="U747" s="96">
        <v>1.06</v>
      </c>
      <c r="V747" s="96">
        <f t="shared" si="1821"/>
        <v>11.56884</v>
      </c>
      <c r="W747" s="96">
        <v>2.4700000000000002</v>
      </c>
      <c r="X747" s="96">
        <f t="shared" si="1822"/>
        <v>26.95758</v>
      </c>
      <c r="Y747" s="96">
        <f t="shared" si="1823"/>
        <v>4.7910000000000004</v>
      </c>
      <c r="Z747" s="96">
        <f t="shared" si="1824"/>
        <v>52.288973999999996</v>
      </c>
      <c r="AA747" s="96"/>
      <c r="AB747" s="96">
        <f t="shared" si="1825"/>
        <v>0</v>
      </c>
      <c r="AC747" s="96"/>
      <c r="AD747" s="96">
        <f t="shared" si="1826"/>
        <v>0</v>
      </c>
      <c r="AE747" s="96"/>
      <c r="AF747" s="96">
        <f t="shared" si="1827"/>
        <v>0</v>
      </c>
      <c r="AG747" s="96">
        <f t="shared" si="1828"/>
        <v>0</v>
      </c>
      <c r="AH747" s="96">
        <f t="shared" si="1829"/>
        <v>0</v>
      </c>
      <c r="AI747" s="96">
        <f t="shared" si="1830"/>
        <v>4.7910000000000004</v>
      </c>
      <c r="AJ747" s="96">
        <f t="shared" si="1831"/>
        <v>52.288973999999996</v>
      </c>
      <c r="AK747" s="96"/>
      <c r="AL747" s="96">
        <f t="shared" si="1832"/>
        <v>0</v>
      </c>
      <c r="AM747" s="96"/>
      <c r="AN747" s="96">
        <f t="shared" si="1833"/>
        <v>0</v>
      </c>
      <c r="AO747" s="96"/>
      <c r="AP747" s="96">
        <f t="shared" si="1834"/>
        <v>0</v>
      </c>
      <c r="AQ747" s="96">
        <f t="shared" si="1835"/>
        <v>0</v>
      </c>
      <c r="AR747" s="96">
        <f t="shared" si="1836"/>
        <v>0</v>
      </c>
      <c r="AS747" s="96"/>
      <c r="AT747" s="96">
        <f t="shared" si="1837"/>
        <v>0</v>
      </c>
      <c r="AU747" s="96"/>
      <c r="AV747" s="96">
        <f t="shared" si="1838"/>
        <v>0</v>
      </c>
      <c r="AW747" s="96"/>
      <c r="AX747" s="96">
        <f t="shared" si="1839"/>
        <v>0</v>
      </c>
      <c r="AY747" s="96">
        <f t="shared" si="1840"/>
        <v>0</v>
      </c>
      <c r="AZ747" s="96">
        <f t="shared" si="1841"/>
        <v>0</v>
      </c>
      <c r="BA747" s="96">
        <f t="shared" si="1842"/>
        <v>0</v>
      </c>
      <c r="BB747" s="96">
        <f t="shared" si="1843"/>
        <v>0</v>
      </c>
    </row>
    <row r="748" spans="1:54">
      <c r="A748" s="492">
        <v>453</v>
      </c>
      <c r="B748" s="13"/>
      <c r="C748" s="13"/>
      <c r="D748" s="13"/>
      <c r="E748" s="21" t="s">
        <v>784</v>
      </c>
      <c r="F748" s="45" t="s">
        <v>131</v>
      </c>
      <c r="G748" s="45" t="s">
        <v>1059</v>
      </c>
      <c r="H748" s="265" t="s">
        <v>359</v>
      </c>
      <c r="I748" s="54"/>
      <c r="J748" s="162">
        <v>10577</v>
      </c>
      <c r="K748" s="54"/>
      <c r="L748" s="162">
        <v>11201</v>
      </c>
      <c r="M748" s="54"/>
      <c r="N748" s="162"/>
      <c r="O748" s="54"/>
      <c r="P748" s="162"/>
      <c r="Q748" s="96">
        <f t="shared" si="1818"/>
        <v>9.6000000000000002E-2</v>
      </c>
      <c r="R748" s="337">
        <f t="shared" si="1819"/>
        <v>1.0153920000000001</v>
      </c>
      <c r="S748" s="96"/>
      <c r="T748" s="96">
        <f t="shared" si="1820"/>
        <v>0</v>
      </c>
      <c r="U748" s="96">
        <v>9.6000000000000002E-2</v>
      </c>
      <c r="V748" s="96">
        <f t="shared" si="1821"/>
        <v>1.0153920000000001</v>
      </c>
      <c r="W748" s="96"/>
      <c r="X748" s="96">
        <f t="shared" si="1822"/>
        <v>0</v>
      </c>
      <c r="Y748" s="96">
        <f t="shared" si="1823"/>
        <v>9.6000000000000002E-2</v>
      </c>
      <c r="Z748" s="96">
        <f t="shared" si="1824"/>
        <v>1.0153920000000001</v>
      </c>
      <c r="AA748" s="96"/>
      <c r="AB748" s="96">
        <f t="shared" si="1825"/>
        <v>0</v>
      </c>
      <c r="AC748" s="96"/>
      <c r="AD748" s="96">
        <f t="shared" si="1826"/>
        <v>0</v>
      </c>
      <c r="AE748" s="96"/>
      <c r="AF748" s="96">
        <f t="shared" si="1827"/>
        <v>0</v>
      </c>
      <c r="AG748" s="96">
        <f t="shared" si="1828"/>
        <v>0</v>
      </c>
      <c r="AH748" s="96">
        <f t="shared" si="1829"/>
        <v>0</v>
      </c>
      <c r="AI748" s="96">
        <f t="shared" si="1830"/>
        <v>9.6000000000000002E-2</v>
      </c>
      <c r="AJ748" s="96">
        <f t="shared" si="1831"/>
        <v>1.0153920000000001</v>
      </c>
      <c r="AK748" s="96"/>
      <c r="AL748" s="96">
        <f t="shared" si="1832"/>
        <v>0</v>
      </c>
      <c r="AM748" s="96"/>
      <c r="AN748" s="96">
        <f t="shared" si="1833"/>
        <v>0</v>
      </c>
      <c r="AO748" s="96"/>
      <c r="AP748" s="96">
        <f t="shared" si="1834"/>
        <v>0</v>
      </c>
      <c r="AQ748" s="96">
        <f t="shared" si="1835"/>
        <v>0</v>
      </c>
      <c r="AR748" s="96">
        <f t="shared" si="1836"/>
        <v>0</v>
      </c>
      <c r="AS748" s="96"/>
      <c r="AT748" s="96">
        <f t="shared" si="1837"/>
        <v>0</v>
      </c>
      <c r="AU748" s="96"/>
      <c r="AV748" s="96">
        <f t="shared" si="1838"/>
        <v>0</v>
      </c>
      <c r="AW748" s="96"/>
      <c r="AX748" s="96">
        <f t="shared" si="1839"/>
        <v>0</v>
      </c>
      <c r="AY748" s="96">
        <f t="shared" si="1840"/>
        <v>0</v>
      </c>
      <c r="AZ748" s="96">
        <f t="shared" si="1841"/>
        <v>0</v>
      </c>
      <c r="BA748" s="96">
        <f t="shared" si="1842"/>
        <v>0</v>
      </c>
      <c r="BB748" s="96">
        <f t="shared" si="1843"/>
        <v>0</v>
      </c>
    </row>
    <row r="749" spans="1:54">
      <c r="A749" s="492">
        <v>454</v>
      </c>
      <c r="B749" s="13"/>
      <c r="C749" s="13"/>
      <c r="D749" s="13"/>
      <c r="E749" s="21" t="s">
        <v>873</v>
      </c>
      <c r="F749" s="45" t="s">
        <v>131</v>
      </c>
      <c r="G749" s="45" t="s">
        <v>1059</v>
      </c>
      <c r="H749" s="265" t="s">
        <v>359</v>
      </c>
      <c r="I749" s="54"/>
      <c r="J749" s="162">
        <v>6658</v>
      </c>
      <c r="K749" s="54"/>
      <c r="L749" s="162">
        <v>7051</v>
      </c>
      <c r="M749" s="54"/>
      <c r="N749" s="162"/>
      <c r="O749" s="54"/>
      <c r="P749" s="162"/>
      <c r="Q749" s="96">
        <f t="shared" si="1818"/>
        <v>31.551999999999996</v>
      </c>
      <c r="R749" s="337">
        <f t="shared" si="1819"/>
        <v>211.60159300000001</v>
      </c>
      <c r="S749" s="96">
        <v>7.3659999999999997</v>
      </c>
      <c r="T749" s="96">
        <f t="shared" si="1820"/>
        <v>49.042828</v>
      </c>
      <c r="U749" s="96">
        <v>11.098000000000001</v>
      </c>
      <c r="V749" s="96">
        <f t="shared" si="1821"/>
        <v>73.890484000000015</v>
      </c>
      <c r="W749" s="96">
        <v>9.1989999999999998</v>
      </c>
      <c r="X749" s="96">
        <f t="shared" si="1822"/>
        <v>61.246941999999997</v>
      </c>
      <c r="Y749" s="96">
        <f t="shared" si="1823"/>
        <v>27.662999999999997</v>
      </c>
      <c r="Z749" s="96">
        <f t="shared" si="1824"/>
        <v>184.18025400000002</v>
      </c>
      <c r="AA749" s="96">
        <v>3.8889999999999998</v>
      </c>
      <c r="AB749" s="96">
        <f t="shared" si="1825"/>
        <v>27.421339</v>
      </c>
      <c r="AC749" s="96"/>
      <c r="AD749" s="96">
        <f t="shared" si="1826"/>
        <v>0</v>
      </c>
      <c r="AE749" s="96"/>
      <c r="AF749" s="96">
        <f t="shared" si="1827"/>
        <v>0</v>
      </c>
      <c r="AG749" s="96">
        <f t="shared" si="1828"/>
        <v>3.8889999999999998</v>
      </c>
      <c r="AH749" s="96">
        <f t="shared" si="1829"/>
        <v>27.421339</v>
      </c>
      <c r="AI749" s="96">
        <f t="shared" si="1830"/>
        <v>31.551999999999996</v>
      </c>
      <c r="AJ749" s="96">
        <f t="shared" si="1831"/>
        <v>211.60159300000001</v>
      </c>
      <c r="AK749" s="96"/>
      <c r="AL749" s="96">
        <f t="shared" si="1832"/>
        <v>0</v>
      </c>
      <c r="AM749" s="96"/>
      <c r="AN749" s="96">
        <f t="shared" si="1833"/>
        <v>0</v>
      </c>
      <c r="AO749" s="96"/>
      <c r="AP749" s="96">
        <f t="shared" si="1834"/>
        <v>0</v>
      </c>
      <c r="AQ749" s="96">
        <f t="shared" si="1835"/>
        <v>0</v>
      </c>
      <c r="AR749" s="96">
        <f t="shared" si="1836"/>
        <v>0</v>
      </c>
      <c r="AS749" s="96"/>
      <c r="AT749" s="96">
        <f t="shared" si="1837"/>
        <v>0</v>
      </c>
      <c r="AU749" s="96"/>
      <c r="AV749" s="96">
        <f t="shared" si="1838"/>
        <v>0</v>
      </c>
      <c r="AW749" s="96"/>
      <c r="AX749" s="96">
        <f t="shared" si="1839"/>
        <v>0</v>
      </c>
      <c r="AY749" s="96">
        <f t="shared" si="1840"/>
        <v>0</v>
      </c>
      <c r="AZ749" s="96">
        <f t="shared" si="1841"/>
        <v>0</v>
      </c>
      <c r="BA749" s="96">
        <f t="shared" si="1842"/>
        <v>0</v>
      </c>
      <c r="BB749" s="96">
        <f t="shared" si="1843"/>
        <v>0</v>
      </c>
    </row>
    <row r="750" spans="1:54">
      <c r="A750" s="492">
        <v>455</v>
      </c>
      <c r="B750" s="13"/>
      <c r="C750" s="13"/>
      <c r="D750" s="13"/>
      <c r="E750" s="21" t="s">
        <v>874</v>
      </c>
      <c r="F750" s="45" t="s">
        <v>131</v>
      </c>
      <c r="G750" s="45" t="s">
        <v>1059</v>
      </c>
      <c r="H750" s="265" t="s">
        <v>359</v>
      </c>
      <c r="I750" s="54"/>
      <c r="J750" s="162">
        <v>19368</v>
      </c>
      <c r="K750" s="54"/>
      <c r="L750" s="162">
        <v>20511</v>
      </c>
      <c r="M750" s="54"/>
      <c r="N750" s="162"/>
      <c r="O750" s="54"/>
      <c r="P750" s="162"/>
      <c r="Q750" s="96">
        <f t="shared" si="1818"/>
        <v>1.6059999999999999</v>
      </c>
      <c r="R750" s="337">
        <f t="shared" si="1819"/>
        <v>31.726799999999997</v>
      </c>
      <c r="S750" s="96">
        <v>0.35699999999999998</v>
      </c>
      <c r="T750" s="96">
        <f t="shared" si="1820"/>
        <v>6.914375999999999</v>
      </c>
      <c r="U750" s="96">
        <v>0.58299999999999996</v>
      </c>
      <c r="V750" s="96">
        <f t="shared" si="1821"/>
        <v>11.291544</v>
      </c>
      <c r="W750" s="96">
        <v>0.122</v>
      </c>
      <c r="X750" s="96">
        <f t="shared" si="1822"/>
        <v>2.3628959999999997</v>
      </c>
      <c r="Y750" s="96">
        <f t="shared" si="1823"/>
        <v>1.0619999999999998</v>
      </c>
      <c r="Z750" s="96">
        <f t="shared" si="1824"/>
        <v>20.568815999999998</v>
      </c>
      <c r="AA750" s="96">
        <v>0.54400000000000004</v>
      </c>
      <c r="AB750" s="96">
        <f t="shared" si="1825"/>
        <v>11.157984000000001</v>
      </c>
      <c r="AC750" s="96"/>
      <c r="AD750" s="96">
        <f t="shared" si="1826"/>
        <v>0</v>
      </c>
      <c r="AE750" s="96"/>
      <c r="AF750" s="96">
        <f t="shared" si="1827"/>
        <v>0</v>
      </c>
      <c r="AG750" s="96">
        <f t="shared" si="1828"/>
        <v>0.54400000000000004</v>
      </c>
      <c r="AH750" s="96">
        <f t="shared" si="1829"/>
        <v>11.157984000000001</v>
      </c>
      <c r="AI750" s="96">
        <f t="shared" si="1830"/>
        <v>1.6059999999999999</v>
      </c>
      <c r="AJ750" s="96">
        <f t="shared" si="1831"/>
        <v>31.726799999999997</v>
      </c>
      <c r="AK750" s="96"/>
      <c r="AL750" s="96">
        <f t="shared" si="1832"/>
        <v>0</v>
      </c>
      <c r="AM750" s="96"/>
      <c r="AN750" s="96">
        <f t="shared" si="1833"/>
        <v>0</v>
      </c>
      <c r="AO750" s="96"/>
      <c r="AP750" s="96">
        <f t="shared" si="1834"/>
        <v>0</v>
      </c>
      <c r="AQ750" s="96">
        <f t="shared" si="1835"/>
        <v>0</v>
      </c>
      <c r="AR750" s="96">
        <f t="shared" si="1836"/>
        <v>0</v>
      </c>
      <c r="AS750" s="96"/>
      <c r="AT750" s="96">
        <f t="shared" si="1837"/>
        <v>0</v>
      </c>
      <c r="AU750" s="96"/>
      <c r="AV750" s="96">
        <f t="shared" si="1838"/>
        <v>0</v>
      </c>
      <c r="AW750" s="96"/>
      <c r="AX750" s="96">
        <f t="shared" si="1839"/>
        <v>0</v>
      </c>
      <c r="AY750" s="96">
        <f t="shared" si="1840"/>
        <v>0</v>
      </c>
      <c r="AZ750" s="96">
        <f t="shared" si="1841"/>
        <v>0</v>
      </c>
      <c r="BA750" s="96">
        <f t="shared" si="1842"/>
        <v>0</v>
      </c>
      <c r="BB750" s="96">
        <f t="shared" si="1843"/>
        <v>0</v>
      </c>
    </row>
    <row r="751" spans="1:54" ht="11.25" customHeight="1">
      <c r="A751" s="492">
        <v>456</v>
      </c>
      <c r="B751" s="13"/>
      <c r="C751" s="23"/>
      <c r="D751" s="13"/>
      <c r="E751" s="21" t="s">
        <v>1635</v>
      </c>
      <c r="F751" s="45"/>
      <c r="G751" s="45" t="s">
        <v>1059</v>
      </c>
      <c r="H751" s="265" t="s">
        <v>358</v>
      </c>
      <c r="I751" s="54"/>
      <c r="J751" s="162">
        <v>19368</v>
      </c>
      <c r="K751" s="54"/>
      <c r="L751" s="162">
        <v>20511</v>
      </c>
      <c r="M751" s="54"/>
      <c r="N751" s="162"/>
      <c r="O751" s="54"/>
      <c r="P751" s="162"/>
      <c r="Q751" s="96">
        <f t="shared" si="1818"/>
        <v>27.968</v>
      </c>
      <c r="R751" s="337">
        <f t="shared" si="1819"/>
        <v>546.82658100000003</v>
      </c>
      <c r="S751" s="96">
        <v>6.976</v>
      </c>
      <c r="T751" s="96">
        <f t="shared" si="1820"/>
        <v>135.11116799999999</v>
      </c>
      <c r="U751" s="96">
        <v>8.5299999999999994</v>
      </c>
      <c r="V751" s="96">
        <f t="shared" si="1821"/>
        <v>165.20903999999999</v>
      </c>
      <c r="W751" s="96">
        <v>7.9630000000000001</v>
      </c>
      <c r="X751" s="96">
        <f t="shared" si="1822"/>
        <v>154.227384</v>
      </c>
      <c r="Y751" s="96">
        <f t="shared" si="1823"/>
        <v>23.469000000000001</v>
      </c>
      <c r="Z751" s="96">
        <f t="shared" si="1824"/>
        <v>454.54759200000001</v>
      </c>
      <c r="AA751" s="96">
        <v>4.4989999999999997</v>
      </c>
      <c r="AB751" s="96">
        <f t="shared" si="1825"/>
        <v>92.278988999999982</v>
      </c>
      <c r="AC751" s="96"/>
      <c r="AD751" s="96">
        <f t="shared" si="1826"/>
        <v>0</v>
      </c>
      <c r="AE751" s="96"/>
      <c r="AF751" s="96">
        <f t="shared" si="1827"/>
        <v>0</v>
      </c>
      <c r="AG751" s="96">
        <f t="shared" si="1828"/>
        <v>4.4989999999999997</v>
      </c>
      <c r="AH751" s="96">
        <f t="shared" si="1829"/>
        <v>92.278988999999982</v>
      </c>
      <c r="AI751" s="96">
        <f t="shared" si="1830"/>
        <v>27.968</v>
      </c>
      <c r="AJ751" s="96">
        <f t="shared" si="1831"/>
        <v>546.82658100000003</v>
      </c>
      <c r="AK751" s="96"/>
      <c r="AL751" s="96">
        <f t="shared" si="1832"/>
        <v>0</v>
      </c>
      <c r="AM751" s="96"/>
      <c r="AN751" s="96">
        <f t="shared" si="1833"/>
        <v>0</v>
      </c>
      <c r="AO751" s="96"/>
      <c r="AP751" s="96">
        <f t="shared" si="1834"/>
        <v>0</v>
      </c>
      <c r="AQ751" s="96">
        <f t="shared" si="1835"/>
        <v>0</v>
      </c>
      <c r="AR751" s="96">
        <f t="shared" si="1836"/>
        <v>0</v>
      </c>
      <c r="AS751" s="96"/>
      <c r="AT751" s="96">
        <f t="shared" si="1837"/>
        <v>0</v>
      </c>
      <c r="AU751" s="96"/>
      <c r="AV751" s="96">
        <f t="shared" si="1838"/>
        <v>0</v>
      </c>
      <c r="AW751" s="96"/>
      <c r="AX751" s="96">
        <f t="shared" si="1839"/>
        <v>0</v>
      </c>
      <c r="AY751" s="96">
        <f t="shared" si="1840"/>
        <v>0</v>
      </c>
      <c r="AZ751" s="96">
        <f t="shared" si="1841"/>
        <v>0</v>
      </c>
      <c r="BA751" s="96">
        <f t="shared" si="1842"/>
        <v>0</v>
      </c>
      <c r="BB751" s="96">
        <f t="shared" si="1843"/>
        <v>0</v>
      </c>
    </row>
    <row r="752" spans="1:54" ht="11.25" customHeight="1">
      <c r="A752" s="492">
        <v>456</v>
      </c>
      <c r="B752" s="13"/>
      <c r="C752" s="23"/>
      <c r="D752" s="13"/>
      <c r="E752" s="21" t="s">
        <v>350</v>
      </c>
      <c r="F752" s="45"/>
      <c r="G752" s="45" t="s">
        <v>1059</v>
      </c>
      <c r="H752" s="265" t="s">
        <v>358</v>
      </c>
      <c r="I752" s="54"/>
      <c r="J752" s="162">
        <v>11845</v>
      </c>
      <c r="K752" s="54"/>
      <c r="L752" s="162">
        <v>11845</v>
      </c>
      <c r="M752" s="54"/>
      <c r="N752" s="162"/>
      <c r="O752" s="54"/>
      <c r="P752" s="162"/>
      <c r="Q752" s="96">
        <f t="shared" si="1818"/>
        <v>0</v>
      </c>
      <c r="R752" s="337">
        <f t="shared" si="1819"/>
        <v>0</v>
      </c>
      <c r="S752" s="96"/>
      <c r="T752" s="96">
        <f t="shared" si="1820"/>
        <v>0</v>
      </c>
      <c r="U752" s="96"/>
      <c r="V752" s="96">
        <f t="shared" si="1821"/>
        <v>0</v>
      </c>
      <c r="W752" s="96"/>
      <c r="X752" s="96">
        <f t="shared" si="1822"/>
        <v>0</v>
      </c>
      <c r="Y752" s="96">
        <f t="shared" si="1823"/>
        <v>0</v>
      </c>
      <c r="Z752" s="96">
        <f t="shared" si="1824"/>
        <v>0</v>
      </c>
      <c r="AA752" s="96"/>
      <c r="AB752" s="96">
        <f t="shared" si="1825"/>
        <v>0</v>
      </c>
      <c r="AC752" s="96"/>
      <c r="AD752" s="96">
        <f t="shared" si="1826"/>
        <v>0</v>
      </c>
      <c r="AE752" s="96"/>
      <c r="AF752" s="96">
        <f t="shared" si="1827"/>
        <v>0</v>
      </c>
      <c r="AG752" s="96">
        <f t="shared" si="1828"/>
        <v>0</v>
      </c>
      <c r="AH752" s="96">
        <f t="shared" si="1829"/>
        <v>0</v>
      </c>
      <c r="AI752" s="96">
        <f t="shared" si="1830"/>
        <v>0</v>
      </c>
      <c r="AJ752" s="96">
        <f t="shared" si="1831"/>
        <v>0</v>
      </c>
      <c r="AK752" s="96"/>
      <c r="AL752" s="96">
        <f t="shared" si="1832"/>
        <v>0</v>
      </c>
      <c r="AM752" s="96"/>
      <c r="AN752" s="96">
        <f t="shared" si="1833"/>
        <v>0</v>
      </c>
      <c r="AO752" s="96"/>
      <c r="AP752" s="96">
        <f t="shared" si="1834"/>
        <v>0</v>
      </c>
      <c r="AQ752" s="96">
        <f t="shared" si="1835"/>
        <v>0</v>
      </c>
      <c r="AR752" s="96">
        <f t="shared" si="1836"/>
        <v>0</v>
      </c>
      <c r="AS752" s="96"/>
      <c r="AT752" s="96">
        <f t="shared" si="1837"/>
        <v>0</v>
      </c>
      <c r="AU752" s="96"/>
      <c r="AV752" s="96">
        <f t="shared" si="1838"/>
        <v>0</v>
      </c>
      <c r="AW752" s="96"/>
      <c r="AX752" s="96">
        <f t="shared" si="1839"/>
        <v>0</v>
      </c>
      <c r="AY752" s="96">
        <f t="shared" si="1840"/>
        <v>0</v>
      </c>
      <c r="AZ752" s="96">
        <f t="shared" si="1841"/>
        <v>0</v>
      </c>
      <c r="BA752" s="96">
        <f t="shared" si="1842"/>
        <v>0</v>
      </c>
      <c r="BB752" s="96">
        <f t="shared" si="1843"/>
        <v>0</v>
      </c>
    </row>
    <row r="753" spans="1:54">
      <c r="A753" s="492">
        <v>457</v>
      </c>
      <c r="B753" s="13"/>
      <c r="C753" s="23"/>
      <c r="D753" s="13"/>
      <c r="E753" s="21" t="s">
        <v>276</v>
      </c>
      <c r="F753" s="45"/>
      <c r="G753" s="45" t="s">
        <v>1059</v>
      </c>
      <c r="H753" s="265" t="s">
        <v>358</v>
      </c>
      <c r="I753" s="54"/>
      <c r="J753" s="162">
        <v>16581</v>
      </c>
      <c r="K753" s="54"/>
      <c r="L753" s="162">
        <v>17559</v>
      </c>
      <c r="M753" s="54"/>
      <c r="N753" s="162"/>
      <c r="O753" s="54"/>
      <c r="P753" s="162"/>
      <c r="Q753" s="96">
        <f t="shared" si="1818"/>
        <v>0</v>
      </c>
      <c r="R753" s="337">
        <f t="shared" si="1819"/>
        <v>0</v>
      </c>
      <c r="S753" s="96"/>
      <c r="T753" s="96">
        <f t="shared" si="1820"/>
        <v>0</v>
      </c>
      <c r="U753" s="96"/>
      <c r="V753" s="96">
        <f t="shared" si="1821"/>
        <v>0</v>
      </c>
      <c r="W753" s="96"/>
      <c r="X753" s="96">
        <f t="shared" si="1822"/>
        <v>0</v>
      </c>
      <c r="Y753" s="96">
        <f t="shared" si="1823"/>
        <v>0</v>
      </c>
      <c r="Z753" s="96">
        <f t="shared" si="1824"/>
        <v>0</v>
      </c>
      <c r="AA753" s="96"/>
      <c r="AB753" s="96">
        <f t="shared" si="1825"/>
        <v>0</v>
      </c>
      <c r="AC753" s="96"/>
      <c r="AD753" s="96">
        <f t="shared" si="1826"/>
        <v>0</v>
      </c>
      <c r="AE753" s="96"/>
      <c r="AF753" s="96">
        <f t="shared" si="1827"/>
        <v>0</v>
      </c>
      <c r="AG753" s="96">
        <f t="shared" si="1828"/>
        <v>0</v>
      </c>
      <c r="AH753" s="96">
        <f t="shared" si="1829"/>
        <v>0</v>
      </c>
      <c r="AI753" s="96">
        <f t="shared" si="1830"/>
        <v>0</v>
      </c>
      <c r="AJ753" s="96">
        <f t="shared" si="1831"/>
        <v>0</v>
      </c>
      <c r="AK753" s="96"/>
      <c r="AL753" s="96">
        <f t="shared" si="1832"/>
        <v>0</v>
      </c>
      <c r="AM753" s="96"/>
      <c r="AN753" s="96">
        <f t="shared" si="1833"/>
        <v>0</v>
      </c>
      <c r="AO753" s="96"/>
      <c r="AP753" s="96">
        <f t="shared" si="1834"/>
        <v>0</v>
      </c>
      <c r="AQ753" s="96">
        <f t="shared" si="1835"/>
        <v>0</v>
      </c>
      <c r="AR753" s="96">
        <f t="shared" si="1836"/>
        <v>0</v>
      </c>
      <c r="AS753" s="96"/>
      <c r="AT753" s="96">
        <f t="shared" si="1837"/>
        <v>0</v>
      </c>
      <c r="AU753" s="96"/>
      <c r="AV753" s="96">
        <f t="shared" si="1838"/>
        <v>0</v>
      </c>
      <c r="AW753" s="96"/>
      <c r="AX753" s="96">
        <f t="shared" si="1839"/>
        <v>0</v>
      </c>
      <c r="AY753" s="96">
        <f t="shared" si="1840"/>
        <v>0</v>
      </c>
      <c r="AZ753" s="96">
        <f t="shared" si="1841"/>
        <v>0</v>
      </c>
      <c r="BA753" s="96">
        <f t="shared" si="1842"/>
        <v>0</v>
      </c>
      <c r="BB753" s="96">
        <f t="shared" si="1843"/>
        <v>0</v>
      </c>
    </row>
    <row r="754" spans="1:54" ht="12" customHeight="1">
      <c r="A754" s="492">
        <v>458</v>
      </c>
      <c r="B754" s="13"/>
      <c r="C754" s="13"/>
      <c r="D754" s="13"/>
      <c r="E754" s="21" t="s">
        <v>1471</v>
      </c>
      <c r="F754" s="45"/>
      <c r="G754" s="45" t="s">
        <v>1059</v>
      </c>
      <c r="H754" s="265" t="s">
        <v>359</v>
      </c>
      <c r="I754" s="54"/>
      <c r="J754" s="162">
        <v>16633</v>
      </c>
      <c r="K754" s="54"/>
      <c r="L754" s="162">
        <v>17614</v>
      </c>
      <c r="M754" s="54"/>
      <c r="N754" s="162"/>
      <c r="O754" s="54"/>
      <c r="P754" s="162"/>
      <c r="Q754" s="96">
        <f t="shared" si="1818"/>
        <v>2.5580000000000003</v>
      </c>
      <c r="R754" s="337">
        <f t="shared" si="1819"/>
        <v>43.400683999999998</v>
      </c>
      <c r="S754" s="96">
        <v>0.42</v>
      </c>
      <c r="T754" s="96">
        <f t="shared" si="1820"/>
        <v>6.9858599999999997</v>
      </c>
      <c r="U754" s="96">
        <v>0.61799999999999999</v>
      </c>
      <c r="V754" s="96">
        <f t="shared" si="1821"/>
        <v>10.279194</v>
      </c>
      <c r="W754" s="96">
        <v>0.65</v>
      </c>
      <c r="X754" s="96">
        <f t="shared" si="1822"/>
        <v>10.811450000000001</v>
      </c>
      <c r="Y754" s="96">
        <f t="shared" si="1823"/>
        <v>1.6880000000000002</v>
      </c>
      <c r="Z754" s="96">
        <f t="shared" si="1824"/>
        <v>28.076504</v>
      </c>
      <c r="AA754" s="96">
        <v>0.87</v>
      </c>
      <c r="AB754" s="96">
        <f t="shared" si="1825"/>
        <v>15.32418</v>
      </c>
      <c r="AC754" s="96"/>
      <c r="AD754" s="96">
        <f t="shared" si="1826"/>
        <v>0</v>
      </c>
      <c r="AE754" s="96"/>
      <c r="AF754" s="96">
        <f t="shared" si="1827"/>
        <v>0</v>
      </c>
      <c r="AG754" s="96">
        <f t="shared" si="1828"/>
        <v>0.87</v>
      </c>
      <c r="AH754" s="96">
        <f t="shared" si="1829"/>
        <v>15.32418</v>
      </c>
      <c r="AI754" s="96">
        <f t="shared" si="1830"/>
        <v>2.5580000000000003</v>
      </c>
      <c r="AJ754" s="96">
        <f t="shared" si="1831"/>
        <v>43.400683999999998</v>
      </c>
      <c r="AK754" s="96"/>
      <c r="AL754" s="96">
        <f t="shared" si="1832"/>
        <v>0</v>
      </c>
      <c r="AM754" s="96"/>
      <c r="AN754" s="96">
        <f t="shared" si="1833"/>
        <v>0</v>
      </c>
      <c r="AO754" s="96"/>
      <c r="AP754" s="96">
        <f t="shared" si="1834"/>
        <v>0</v>
      </c>
      <c r="AQ754" s="96">
        <f t="shared" si="1835"/>
        <v>0</v>
      </c>
      <c r="AR754" s="96">
        <f t="shared" si="1836"/>
        <v>0</v>
      </c>
      <c r="AS754" s="96"/>
      <c r="AT754" s="96">
        <f t="shared" si="1837"/>
        <v>0</v>
      </c>
      <c r="AU754" s="96"/>
      <c r="AV754" s="96">
        <f t="shared" si="1838"/>
        <v>0</v>
      </c>
      <c r="AW754" s="96"/>
      <c r="AX754" s="96">
        <f t="shared" si="1839"/>
        <v>0</v>
      </c>
      <c r="AY754" s="96">
        <f t="shared" si="1840"/>
        <v>0</v>
      </c>
      <c r="AZ754" s="96">
        <f t="shared" si="1841"/>
        <v>0</v>
      </c>
      <c r="BA754" s="96">
        <f t="shared" si="1842"/>
        <v>0</v>
      </c>
      <c r="BB754" s="96">
        <f t="shared" si="1843"/>
        <v>0</v>
      </c>
    </row>
    <row r="755" spans="1:54" ht="12" customHeight="1">
      <c r="A755" s="492">
        <v>458</v>
      </c>
      <c r="B755" s="13"/>
      <c r="C755" s="13"/>
      <c r="D755" s="13"/>
      <c r="E755" s="21" t="s">
        <v>766</v>
      </c>
      <c r="F755" s="45"/>
      <c r="G755" s="45" t="s">
        <v>1059</v>
      </c>
      <c r="H755" s="265" t="s">
        <v>359</v>
      </c>
      <c r="I755" s="54"/>
      <c r="J755" s="162">
        <v>16848</v>
      </c>
      <c r="K755" s="54"/>
      <c r="L755" s="162">
        <v>17842</v>
      </c>
      <c r="M755" s="54"/>
      <c r="N755" s="162"/>
      <c r="O755" s="54"/>
      <c r="P755" s="162"/>
      <c r="Q755" s="96">
        <f t="shared" si="1818"/>
        <v>0</v>
      </c>
      <c r="R755" s="337">
        <f t="shared" si="1819"/>
        <v>0</v>
      </c>
      <c r="S755" s="96"/>
      <c r="T755" s="96">
        <f t="shared" si="1820"/>
        <v>0</v>
      </c>
      <c r="U755" s="96"/>
      <c r="V755" s="96">
        <f t="shared" si="1821"/>
        <v>0</v>
      </c>
      <c r="W755" s="96"/>
      <c r="X755" s="96">
        <f t="shared" si="1822"/>
        <v>0</v>
      </c>
      <c r="Y755" s="96">
        <f t="shared" si="1823"/>
        <v>0</v>
      </c>
      <c r="Z755" s="96">
        <f t="shared" si="1824"/>
        <v>0</v>
      </c>
      <c r="AA755" s="96"/>
      <c r="AB755" s="96">
        <f t="shared" si="1825"/>
        <v>0</v>
      </c>
      <c r="AC755" s="96"/>
      <c r="AD755" s="96">
        <f t="shared" si="1826"/>
        <v>0</v>
      </c>
      <c r="AE755" s="96"/>
      <c r="AF755" s="96">
        <f t="shared" si="1827"/>
        <v>0</v>
      </c>
      <c r="AG755" s="96">
        <f t="shared" si="1828"/>
        <v>0</v>
      </c>
      <c r="AH755" s="96">
        <f t="shared" si="1829"/>
        <v>0</v>
      </c>
      <c r="AI755" s="96">
        <f t="shared" si="1830"/>
        <v>0</v>
      </c>
      <c r="AJ755" s="96">
        <f t="shared" si="1831"/>
        <v>0</v>
      </c>
      <c r="AK755" s="96"/>
      <c r="AL755" s="96">
        <f t="shared" si="1832"/>
        <v>0</v>
      </c>
      <c r="AM755" s="96"/>
      <c r="AN755" s="96">
        <f t="shared" si="1833"/>
        <v>0</v>
      </c>
      <c r="AO755" s="96"/>
      <c r="AP755" s="96">
        <f t="shared" si="1834"/>
        <v>0</v>
      </c>
      <c r="AQ755" s="96">
        <f t="shared" si="1835"/>
        <v>0</v>
      </c>
      <c r="AR755" s="96">
        <f t="shared" si="1836"/>
        <v>0</v>
      </c>
      <c r="AS755" s="96"/>
      <c r="AT755" s="96">
        <f t="shared" si="1837"/>
        <v>0</v>
      </c>
      <c r="AU755" s="96"/>
      <c r="AV755" s="96">
        <f t="shared" si="1838"/>
        <v>0</v>
      </c>
      <c r="AW755" s="96"/>
      <c r="AX755" s="96">
        <f t="shared" si="1839"/>
        <v>0</v>
      </c>
      <c r="AY755" s="96">
        <f t="shared" si="1840"/>
        <v>0</v>
      </c>
      <c r="AZ755" s="96">
        <f t="shared" si="1841"/>
        <v>0</v>
      </c>
      <c r="BA755" s="96">
        <f t="shared" si="1842"/>
        <v>0</v>
      </c>
      <c r="BB755" s="96">
        <f t="shared" si="1843"/>
        <v>0</v>
      </c>
    </row>
    <row r="756" spans="1:54">
      <c r="A756" s="492">
        <v>459</v>
      </c>
      <c r="B756" s="13"/>
      <c r="C756" s="23"/>
      <c r="D756" s="13"/>
      <c r="E756" s="62" t="s">
        <v>562</v>
      </c>
      <c r="F756" s="419"/>
      <c r="G756" s="419" t="s">
        <v>1059</v>
      </c>
      <c r="H756" s="281" t="s">
        <v>358</v>
      </c>
      <c r="I756" s="66"/>
      <c r="J756" s="165">
        <v>13583</v>
      </c>
      <c r="K756" s="66"/>
      <c r="L756" s="165">
        <v>14384</v>
      </c>
      <c r="M756" s="66"/>
      <c r="N756" s="165"/>
      <c r="O756" s="66"/>
      <c r="P756" s="165"/>
      <c r="Q756" s="128">
        <f t="shared" si="1818"/>
        <v>0.28800000000000003</v>
      </c>
      <c r="R756" s="345">
        <f t="shared" si="1819"/>
        <v>3.9311280000000006</v>
      </c>
      <c r="S756" s="128">
        <v>0.26400000000000001</v>
      </c>
      <c r="T756" s="128">
        <f t="shared" si="1820"/>
        <v>3.5859120000000004</v>
      </c>
      <c r="U756" s="128"/>
      <c r="V756" s="128">
        <f t="shared" si="1821"/>
        <v>0</v>
      </c>
      <c r="W756" s="128"/>
      <c r="X756" s="128">
        <f t="shared" si="1822"/>
        <v>0</v>
      </c>
      <c r="Y756" s="128">
        <f t="shared" si="1823"/>
        <v>0.26400000000000001</v>
      </c>
      <c r="Z756" s="128">
        <f t="shared" si="1824"/>
        <v>3.5859120000000004</v>
      </c>
      <c r="AA756" s="128">
        <v>2.4E-2</v>
      </c>
      <c r="AB756" s="128">
        <f t="shared" si="1825"/>
        <v>0.34521600000000002</v>
      </c>
      <c r="AC756" s="128"/>
      <c r="AD756" s="128">
        <f t="shared" si="1826"/>
        <v>0</v>
      </c>
      <c r="AE756" s="128"/>
      <c r="AF756" s="128">
        <f t="shared" si="1827"/>
        <v>0</v>
      </c>
      <c r="AG756" s="128">
        <f t="shared" si="1828"/>
        <v>2.4E-2</v>
      </c>
      <c r="AH756" s="128">
        <f t="shared" si="1829"/>
        <v>0.34521600000000002</v>
      </c>
      <c r="AI756" s="128">
        <f t="shared" si="1830"/>
        <v>0.28800000000000003</v>
      </c>
      <c r="AJ756" s="128">
        <f t="shared" si="1831"/>
        <v>3.9311280000000006</v>
      </c>
      <c r="AK756" s="128"/>
      <c r="AL756" s="128">
        <f t="shared" si="1832"/>
        <v>0</v>
      </c>
      <c r="AM756" s="128"/>
      <c r="AN756" s="128">
        <f t="shared" si="1833"/>
        <v>0</v>
      </c>
      <c r="AO756" s="128"/>
      <c r="AP756" s="128">
        <f t="shared" si="1834"/>
        <v>0</v>
      </c>
      <c r="AQ756" s="128">
        <f t="shared" si="1835"/>
        <v>0</v>
      </c>
      <c r="AR756" s="128">
        <f t="shared" si="1836"/>
        <v>0</v>
      </c>
      <c r="AS756" s="128"/>
      <c r="AT756" s="128">
        <f t="shared" si="1837"/>
        <v>0</v>
      </c>
      <c r="AU756" s="128"/>
      <c r="AV756" s="128">
        <f t="shared" si="1838"/>
        <v>0</v>
      </c>
      <c r="AW756" s="128"/>
      <c r="AX756" s="128">
        <f t="shared" si="1839"/>
        <v>0</v>
      </c>
      <c r="AY756" s="128">
        <f t="shared" si="1840"/>
        <v>0</v>
      </c>
      <c r="AZ756" s="128">
        <f t="shared" si="1841"/>
        <v>0</v>
      </c>
      <c r="BA756" s="128">
        <f t="shared" si="1842"/>
        <v>0</v>
      </c>
      <c r="BB756" s="128">
        <f t="shared" si="1843"/>
        <v>0</v>
      </c>
    </row>
    <row r="757" spans="1:54" s="6" customFormat="1">
      <c r="A757" s="492">
        <v>423</v>
      </c>
      <c r="B757" s="14"/>
      <c r="C757" s="14"/>
      <c r="D757" s="40"/>
      <c r="E757" s="16" t="s">
        <v>1524</v>
      </c>
      <c r="F757" s="44"/>
      <c r="G757" s="45" t="s">
        <v>1059</v>
      </c>
      <c r="H757" s="264" t="s">
        <v>359</v>
      </c>
      <c r="I757" s="232"/>
      <c r="J757" s="239">
        <v>14974</v>
      </c>
      <c r="K757" s="232"/>
      <c r="L757" s="239">
        <v>15857</v>
      </c>
      <c r="M757" s="232"/>
      <c r="N757" s="239"/>
      <c r="O757" s="232"/>
      <c r="P757" s="239"/>
      <c r="Q757" s="95">
        <f t="shared" si="1818"/>
        <v>63.059999999999995</v>
      </c>
      <c r="R757" s="335">
        <f t="shared" si="1819"/>
        <v>958.89969700000006</v>
      </c>
      <c r="S757" s="95">
        <v>15.606</v>
      </c>
      <c r="T757" s="95">
        <f t="shared" si="1820"/>
        <v>233.68424400000001</v>
      </c>
      <c r="U757" s="95">
        <v>11.847</v>
      </c>
      <c r="V757" s="95">
        <f t="shared" si="1821"/>
        <v>177.39697799999999</v>
      </c>
      <c r="W757" s="95">
        <v>19.027999999999999</v>
      </c>
      <c r="X757" s="95">
        <f t="shared" si="1822"/>
        <v>284.92527200000001</v>
      </c>
      <c r="Y757" s="95">
        <f t="shared" si="1823"/>
        <v>46.480999999999995</v>
      </c>
      <c r="Z757" s="95">
        <f t="shared" si="1824"/>
        <v>696.00649399999998</v>
      </c>
      <c r="AA757" s="95">
        <v>16.579000000000001</v>
      </c>
      <c r="AB757" s="95">
        <f t="shared" si="1825"/>
        <v>262.89320300000003</v>
      </c>
      <c r="AC757" s="95"/>
      <c r="AD757" s="95">
        <f t="shared" si="1826"/>
        <v>0</v>
      </c>
      <c r="AE757" s="95"/>
      <c r="AF757" s="96">
        <f t="shared" si="1827"/>
        <v>0</v>
      </c>
      <c r="AG757" s="95">
        <f t="shared" si="1828"/>
        <v>16.579000000000001</v>
      </c>
      <c r="AH757" s="95">
        <f t="shared" si="1829"/>
        <v>262.89320300000003</v>
      </c>
      <c r="AI757" s="95">
        <f t="shared" si="1830"/>
        <v>63.059999999999995</v>
      </c>
      <c r="AJ757" s="95">
        <f t="shared" si="1831"/>
        <v>958.89969700000006</v>
      </c>
      <c r="AK757" s="95"/>
      <c r="AL757" s="95">
        <f t="shared" si="1832"/>
        <v>0</v>
      </c>
      <c r="AM757" s="95"/>
      <c r="AN757" s="95">
        <f t="shared" si="1833"/>
        <v>0</v>
      </c>
      <c r="AO757" s="95"/>
      <c r="AP757" s="95">
        <f t="shared" si="1834"/>
        <v>0</v>
      </c>
      <c r="AQ757" s="95">
        <f t="shared" si="1835"/>
        <v>0</v>
      </c>
      <c r="AR757" s="95">
        <f t="shared" si="1836"/>
        <v>0</v>
      </c>
      <c r="AS757" s="95"/>
      <c r="AT757" s="95">
        <f t="shared" si="1837"/>
        <v>0</v>
      </c>
      <c r="AU757" s="95"/>
      <c r="AV757" s="95">
        <f t="shared" si="1838"/>
        <v>0</v>
      </c>
      <c r="AW757" s="95"/>
      <c r="AX757" s="95">
        <f t="shared" si="1839"/>
        <v>0</v>
      </c>
      <c r="AY757" s="95">
        <f t="shared" si="1840"/>
        <v>0</v>
      </c>
      <c r="AZ757" s="95">
        <f t="shared" si="1841"/>
        <v>0</v>
      </c>
      <c r="BA757" s="95">
        <f t="shared" si="1842"/>
        <v>0</v>
      </c>
      <c r="BB757" s="95">
        <f t="shared" si="1843"/>
        <v>0</v>
      </c>
    </row>
    <row r="758" spans="1:54" s="6" customFormat="1">
      <c r="A758" s="492">
        <v>423</v>
      </c>
      <c r="B758" s="14"/>
      <c r="C758" s="14"/>
      <c r="D758" s="40"/>
      <c r="E758" s="16" t="s">
        <v>2145</v>
      </c>
      <c r="F758" s="44"/>
      <c r="G758" s="45" t="s">
        <v>1059</v>
      </c>
      <c r="H758" s="264" t="s">
        <v>363</v>
      </c>
      <c r="I758" s="232"/>
      <c r="J758" s="239">
        <v>14600</v>
      </c>
      <c r="K758" s="232"/>
      <c r="L758" s="239">
        <v>15461</v>
      </c>
      <c r="M758" s="232"/>
      <c r="N758" s="239"/>
      <c r="O758" s="232"/>
      <c r="P758" s="239"/>
      <c r="Q758" s="95">
        <f t="shared" si="1818"/>
        <v>6.3309999999999995</v>
      </c>
      <c r="R758" s="335">
        <f t="shared" si="1819"/>
        <v>94.151156</v>
      </c>
      <c r="S758" s="95">
        <v>1.175</v>
      </c>
      <c r="T758" s="95">
        <f t="shared" si="1820"/>
        <v>17.155000000000001</v>
      </c>
      <c r="U758" s="95">
        <v>1.4390000000000001</v>
      </c>
      <c r="V758" s="95">
        <f t="shared" si="1821"/>
        <v>21.009400000000003</v>
      </c>
      <c r="W758" s="95">
        <v>1.7210000000000001</v>
      </c>
      <c r="X758" s="95">
        <f t="shared" si="1822"/>
        <v>25.126600000000003</v>
      </c>
      <c r="Y758" s="95">
        <f t="shared" si="1823"/>
        <v>4.335</v>
      </c>
      <c r="Z758" s="95">
        <f t="shared" si="1824"/>
        <v>63.291000000000004</v>
      </c>
      <c r="AA758" s="95">
        <v>1.996</v>
      </c>
      <c r="AB758" s="95">
        <f t="shared" si="1825"/>
        <v>30.860156</v>
      </c>
      <c r="AC758" s="95"/>
      <c r="AD758" s="95">
        <f t="shared" si="1826"/>
        <v>0</v>
      </c>
      <c r="AE758" s="95"/>
      <c r="AF758" s="96">
        <f t="shared" si="1827"/>
        <v>0</v>
      </c>
      <c r="AG758" s="95">
        <f t="shared" si="1828"/>
        <v>1.996</v>
      </c>
      <c r="AH758" s="95">
        <f t="shared" si="1829"/>
        <v>30.860156</v>
      </c>
      <c r="AI758" s="95">
        <f t="shared" si="1830"/>
        <v>6.3309999999999995</v>
      </c>
      <c r="AJ758" s="95">
        <f t="shared" si="1831"/>
        <v>94.151156</v>
      </c>
      <c r="AK758" s="95"/>
      <c r="AL758" s="95">
        <f t="shared" si="1832"/>
        <v>0</v>
      </c>
      <c r="AM758" s="95"/>
      <c r="AN758" s="95">
        <f t="shared" si="1833"/>
        <v>0</v>
      </c>
      <c r="AO758" s="95"/>
      <c r="AP758" s="95">
        <f t="shared" si="1834"/>
        <v>0</v>
      </c>
      <c r="AQ758" s="95">
        <f t="shared" si="1835"/>
        <v>0</v>
      </c>
      <c r="AR758" s="95">
        <f t="shared" si="1836"/>
        <v>0</v>
      </c>
      <c r="AS758" s="95"/>
      <c r="AT758" s="95">
        <f t="shared" si="1837"/>
        <v>0</v>
      </c>
      <c r="AU758" s="95"/>
      <c r="AV758" s="95">
        <f t="shared" si="1838"/>
        <v>0</v>
      </c>
      <c r="AW758" s="95"/>
      <c r="AX758" s="95">
        <f t="shared" si="1839"/>
        <v>0</v>
      </c>
      <c r="AY758" s="95">
        <f t="shared" si="1840"/>
        <v>0</v>
      </c>
      <c r="AZ758" s="95">
        <f t="shared" si="1841"/>
        <v>0</v>
      </c>
      <c r="BA758" s="95">
        <f t="shared" si="1842"/>
        <v>0</v>
      </c>
      <c r="BB758" s="95">
        <f t="shared" si="1843"/>
        <v>0</v>
      </c>
    </row>
    <row r="759" spans="1:54" ht="12" customHeight="1">
      <c r="A759" s="492">
        <v>458</v>
      </c>
      <c r="B759" s="13"/>
      <c r="C759" s="13"/>
      <c r="D759" s="13"/>
      <c r="E759" s="21" t="s">
        <v>2326</v>
      </c>
      <c r="F759" s="45"/>
      <c r="G759" s="45" t="s">
        <v>1059</v>
      </c>
      <c r="H759" s="265" t="s">
        <v>359</v>
      </c>
      <c r="I759" s="54"/>
      <c r="J759" s="162">
        <v>19288</v>
      </c>
      <c r="K759" s="54"/>
      <c r="L759" s="162">
        <v>20426</v>
      </c>
      <c r="M759" s="54"/>
      <c r="N759" s="162"/>
      <c r="O759" s="54"/>
      <c r="P759" s="162"/>
      <c r="Q759" s="96">
        <f t="shared" ref="Q759" si="1844">SUM(AI759+BA759)</f>
        <v>11.125999999999999</v>
      </c>
      <c r="R759" s="337">
        <f t="shared" ref="R759" si="1845">SUM(AJ759+BB759)</f>
        <v>216.81624999999997</v>
      </c>
      <c r="S759" s="96">
        <v>3</v>
      </c>
      <c r="T759" s="96">
        <f t="shared" ref="T759" si="1846">J759*S759/1000</f>
        <v>57.863999999999997</v>
      </c>
      <c r="U759" s="96">
        <v>3.28</v>
      </c>
      <c r="V759" s="96">
        <f t="shared" ref="V759" si="1847">J759*U759/1000</f>
        <v>63.26464</v>
      </c>
      <c r="W759" s="96">
        <v>2.8969999999999998</v>
      </c>
      <c r="X759" s="96">
        <f t="shared" ref="X759" si="1848">J759*W759/1000</f>
        <v>55.877335999999993</v>
      </c>
      <c r="Y759" s="96">
        <f t="shared" ref="Y759" si="1849">SUM(S759+U759+W759)</f>
        <v>9.1769999999999996</v>
      </c>
      <c r="Z759" s="96">
        <f t="shared" ref="Z759" si="1850">SUM(T759+V759+X759)</f>
        <v>177.00597599999998</v>
      </c>
      <c r="AA759" s="96">
        <v>1.9490000000000001</v>
      </c>
      <c r="AB759" s="96">
        <f t="shared" ref="AB759" si="1851">L759*AA759/1000</f>
        <v>39.810274000000007</v>
      </c>
      <c r="AC759" s="96"/>
      <c r="AD759" s="96">
        <f t="shared" ref="AD759" si="1852">L759*AC759/1000</f>
        <v>0</v>
      </c>
      <c r="AE759" s="96"/>
      <c r="AF759" s="96">
        <f t="shared" ref="AF759" si="1853">L759*AE759/1000</f>
        <v>0</v>
      </c>
      <c r="AG759" s="96">
        <f t="shared" ref="AG759" si="1854">SUM(AA759+AC759+AE759)</f>
        <v>1.9490000000000001</v>
      </c>
      <c r="AH759" s="96">
        <f t="shared" ref="AH759" si="1855">SUM(AB759+AD759+AF759)</f>
        <v>39.810274000000007</v>
      </c>
      <c r="AI759" s="96">
        <f t="shared" ref="AI759" si="1856">SUM(Y759+AG759)</f>
        <v>11.125999999999999</v>
      </c>
      <c r="AJ759" s="96">
        <f t="shared" ref="AJ759" si="1857">SUM(Z759,AH759)</f>
        <v>216.81624999999997</v>
      </c>
      <c r="AK759" s="96"/>
      <c r="AL759" s="96">
        <f t="shared" ref="AL759" si="1858">N759*AK759/1000</f>
        <v>0</v>
      </c>
      <c r="AM759" s="96"/>
      <c r="AN759" s="96">
        <f t="shared" ref="AN759" si="1859">N759*AM759/1000</f>
        <v>0</v>
      </c>
      <c r="AO759" s="96"/>
      <c r="AP759" s="96">
        <f t="shared" ref="AP759" si="1860">N759*AO759/1000</f>
        <v>0</v>
      </c>
      <c r="AQ759" s="96">
        <f t="shared" ref="AQ759" si="1861">SUM(AK759+AM759+AO759)</f>
        <v>0</v>
      </c>
      <c r="AR759" s="96">
        <f t="shared" ref="AR759" si="1862">SUM(AL759+AN759+AP759)</f>
        <v>0</v>
      </c>
      <c r="AS759" s="96"/>
      <c r="AT759" s="96">
        <f t="shared" ref="AT759" si="1863">P759*AS759/1000</f>
        <v>0</v>
      </c>
      <c r="AU759" s="96"/>
      <c r="AV759" s="96">
        <f t="shared" ref="AV759" si="1864">P759*AU759/1000</f>
        <v>0</v>
      </c>
      <c r="AW759" s="96"/>
      <c r="AX759" s="96">
        <f t="shared" ref="AX759" si="1865">P759*AW759/1000</f>
        <v>0</v>
      </c>
      <c r="AY759" s="96">
        <f t="shared" ref="AY759" si="1866">SUM(AS759+AU759+AW759)</f>
        <v>0</v>
      </c>
      <c r="AZ759" s="96">
        <f t="shared" ref="AZ759" si="1867">SUM(AT759+AV759+AX759)</f>
        <v>0</v>
      </c>
      <c r="BA759" s="96">
        <f t="shared" ref="BA759" si="1868">SUM(AQ759+AY759)</f>
        <v>0</v>
      </c>
      <c r="BB759" s="96">
        <f t="shared" ref="BB759" si="1869">SUM(AR759,AZ759)</f>
        <v>0</v>
      </c>
    </row>
    <row r="760" spans="1:54">
      <c r="B760" s="13"/>
      <c r="C760" s="13"/>
      <c r="D760" s="13"/>
      <c r="E760" s="21" t="s">
        <v>1224</v>
      </c>
      <c r="F760" s="45"/>
      <c r="G760" s="45" t="s">
        <v>1055</v>
      </c>
      <c r="H760" s="265" t="s">
        <v>358</v>
      </c>
      <c r="I760" s="54"/>
      <c r="J760" s="162">
        <v>5212</v>
      </c>
      <c r="K760" s="54"/>
      <c r="L760" s="162">
        <v>5520</v>
      </c>
      <c r="M760" s="54"/>
      <c r="N760" s="162"/>
      <c r="O760" s="54"/>
      <c r="P760" s="162"/>
      <c r="Q760" s="96">
        <f t="shared" si="1818"/>
        <v>4.0120000000000005</v>
      </c>
      <c r="R760" s="337">
        <f t="shared" si="1819"/>
        <v>21.289383999999998</v>
      </c>
      <c r="S760" s="96">
        <v>1</v>
      </c>
      <c r="T760" s="96">
        <f t="shared" si="1820"/>
        <v>5.2119999999999997</v>
      </c>
      <c r="U760" s="96">
        <v>0.33600000000000002</v>
      </c>
      <c r="V760" s="96">
        <f t="shared" si="1821"/>
        <v>1.7512320000000001</v>
      </c>
      <c r="W760" s="96">
        <v>1.446</v>
      </c>
      <c r="X760" s="96">
        <f t="shared" si="1822"/>
        <v>7.5365519999999995</v>
      </c>
      <c r="Y760" s="96">
        <f t="shared" si="1823"/>
        <v>2.782</v>
      </c>
      <c r="Z760" s="96">
        <f t="shared" si="1824"/>
        <v>14.499783999999998</v>
      </c>
      <c r="AA760" s="96">
        <v>1.23</v>
      </c>
      <c r="AB760" s="96">
        <f t="shared" si="1825"/>
        <v>6.7895999999999992</v>
      </c>
      <c r="AC760" s="96"/>
      <c r="AD760" s="96">
        <f t="shared" si="1826"/>
        <v>0</v>
      </c>
      <c r="AE760" s="96"/>
      <c r="AF760" s="96">
        <f t="shared" si="1827"/>
        <v>0</v>
      </c>
      <c r="AG760" s="96">
        <f t="shared" si="1828"/>
        <v>1.23</v>
      </c>
      <c r="AH760" s="96">
        <f t="shared" si="1829"/>
        <v>6.7895999999999992</v>
      </c>
      <c r="AI760" s="96">
        <f t="shared" si="1830"/>
        <v>4.0120000000000005</v>
      </c>
      <c r="AJ760" s="96">
        <f t="shared" si="1831"/>
        <v>21.289383999999998</v>
      </c>
      <c r="AK760" s="96"/>
      <c r="AL760" s="96">
        <f t="shared" si="1832"/>
        <v>0</v>
      </c>
      <c r="AM760" s="96"/>
      <c r="AN760" s="96">
        <f t="shared" si="1833"/>
        <v>0</v>
      </c>
      <c r="AO760" s="96"/>
      <c r="AP760" s="96">
        <f t="shared" si="1834"/>
        <v>0</v>
      </c>
      <c r="AQ760" s="96">
        <f t="shared" si="1835"/>
        <v>0</v>
      </c>
      <c r="AR760" s="96">
        <f t="shared" si="1836"/>
        <v>0</v>
      </c>
      <c r="AS760" s="96"/>
      <c r="AT760" s="96">
        <f t="shared" si="1837"/>
        <v>0</v>
      </c>
      <c r="AU760" s="96"/>
      <c r="AV760" s="96">
        <f t="shared" si="1838"/>
        <v>0</v>
      </c>
      <c r="AW760" s="96"/>
      <c r="AX760" s="96">
        <f t="shared" si="1839"/>
        <v>0</v>
      </c>
      <c r="AY760" s="96">
        <f t="shared" si="1840"/>
        <v>0</v>
      </c>
      <c r="AZ760" s="96">
        <f t="shared" si="1841"/>
        <v>0</v>
      </c>
      <c r="BA760" s="96">
        <f t="shared" si="1842"/>
        <v>0</v>
      </c>
      <c r="BB760" s="96">
        <f t="shared" si="1843"/>
        <v>0</v>
      </c>
    </row>
    <row r="761" spans="1:54">
      <c r="B761" s="13"/>
      <c r="C761" s="13"/>
      <c r="D761" s="13"/>
      <c r="E761" s="21" t="s">
        <v>1223</v>
      </c>
      <c r="F761" s="45"/>
      <c r="G761" s="45" t="s">
        <v>1055</v>
      </c>
      <c r="H761" s="265" t="s">
        <v>358</v>
      </c>
      <c r="I761" s="54"/>
      <c r="J761" s="162">
        <v>22341</v>
      </c>
      <c r="K761" s="54"/>
      <c r="L761" s="162">
        <v>23659</v>
      </c>
      <c r="M761" s="54"/>
      <c r="N761" s="162"/>
      <c r="O761" s="54"/>
      <c r="P761" s="162"/>
      <c r="Q761" s="96">
        <f t="shared" si="1818"/>
        <v>0.97499999999999998</v>
      </c>
      <c r="R761" s="337">
        <f t="shared" si="1819"/>
        <v>22.118565</v>
      </c>
      <c r="S761" s="96">
        <v>0.11700000000000001</v>
      </c>
      <c r="T761" s="96">
        <f t="shared" si="1820"/>
        <v>2.6138970000000001</v>
      </c>
      <c r="U761" s="96">
        <v>0.38200000000000001</v>
      </c>
      <c r="V761" s="96">
        <f t="shared" si="1821"/>
        <v>8.534262</v>
      </c>
      <c r="W761" s="96">
        <v>0.221</v>
      </c>
      <c r="X761" s="96">
        <f t="shared" si="1822"/>
        <v>4.9373610000000001</v>
      </c>
      <c r="Y761" s="96">
        <f t="shared" si="1823"/>
        <v>0.72</v>
      </c>
      <c r="Z761" s="96">
        <f t="shared" si="1824"/>
        <v>16.085519999999999</v>
      </c>
      <c r="AA761" s="96">
        <v>0.255</v>
      </c>
      <c r="AB761" s="96">
        <f t="shared" si="1825"/>
        <v>6.0330450000000004</v>
      </c>
      <c r="AC761" s="96"/>
      <c r="AD761" s="96">
        <f t="shared" si="1826"/>
        <v>0</v>
      </c>
      <c r="AE761" s="96"/>
      <c r="AF761" s="96">
        <f t="shared" si="1827"/>
        <v>0</v>
      </c>
      <c r="AG761" s="96">
        <f t="shared" si="1828"/>
        <v>0.255</v>
      </c>
      <c r="AH761" s="96">
        <f t="shared" si="1829"/>
        <v>6.0330450000000004</v>
      </c>
      <c r="AI761" s="96">
        <f t="shared" si="1830"/>
        <v>0.97499999999999998</v>
      </c>
      <c r="AJ761" s="96">
        <f t="shared" si="1831"/>
        <v>22.118565</v>
      </c>
      <c r="AK761" s="96"/>
      <c r="AL761" s="96">
        <f t="shared" si="1832"/>
        <v>0</v>
      </c>
      <c r="AM761" s="96"/>
      <c r="AN761" s="96">
        <f t="shared" si="1833"/>
        <v>0</v>
      </c>
      <c r="AO761" s="96"/>
      <c r="AP761" s="96">
        <f t="shared" si="1834"/>
        <v>0</v>
      </c>
      <c r="AQ761" s="96">
        <f t="shared" si="1835"/>
        <v>0</v>
      </c>
      <c r="AR761" s="96">
        <f t="shared" si="1836"/>
        <v>0</v>
      </c>
      <c r="AS761" s="96"/>
      <c r="AT761" s="96">
        <f t="shared" si="1837"/>
        <v>0</v>
      </c>
      <c r="AU761" s="96"/>
      <c r="AV761" s="96">
        <f t="shared" si="1838"/>
        <v>0</v>
      </c>
      <c r="AW761" s="96"/>
      <c r="AX761" s="96">
        <f t="shared" si="1839"/>
        <v>0</v>
      </c>
      <c r="AY761" s="96">
        <f t="shared" si="1840"/>
        <v>0</v>
      </c>
      <c r="AZ761" s="96">
        <f t="shared" si="1841"/>
        <v>0</v>
      </c>
      <c r="BA761" s="96">
        <f t="shared" si="1842"/>
        <v>0</v>
      </c>
      <c r="BB761" s="96">
        <f t="shared" si="1843"/>
        <v>0</v>
      </c>
    </row>
    <row r="762" spans="1:54">
      <c r="A762" s="492">
        <v>442</v>
      </c>
      <c r="B762" s="13"/>
      <c r="C762" s="13"/>
      <c r="D762" s="15"/>
      <c r="E762" s="532" t="s">
        <v>1166</v>
      </c>
      <c r="F762" s="45"/>
      <c r="G762" s="45" t="s">
        <v>1056</v>
      </c>
      <c r="H762" s="265" t="s">
        <v>358</v>
      </c>
      <c r="I762" s="54"/>
      <c r="J762" s="162">
        <v>23166</v>
      </c>
      <c r="K762" s="54"/>
      <c r="L762" s="162">
        <v>24533</v>
      </c>
      <c r="M762" s="54"/>
      <c r="N762" s="162"/>
      <c r="O762" s="54"/>
      <c r="P762" s="162"/>
      <c r="Q762" s="96">
        <f t="shared" si="1818"/>
        <v>2.7910000000000004</v>
      </c>
      <c r="R762" s="337">
        <f t="shared" si="1819"/>
        <v>65.502478999999994</v>
      </c>
      <c r="S762" s="96">
        <v>0.878</v>
      </c>
      <c r="T762" s="96">
        <f t="shared" si="1820"/>
        <v>20.339748</v>
      </c>
      <c r="U762" s="96">
        <v>0.83</v>
      </c>
      <c r="V762" s="96">
        <f t="shared" si="1821"/>
        <v>19.227779999999999</v>
      </c>
      <c r="W762" s="96">
        <v>0.46400000000000002</v>
      </c>
      <c r="X762" s="96">
        <f t="shared" si="1822"/>
        <v>10.749024000000002</v>
      </c>
      <c r="Y762" s="96">
        <f t="shared" si="1823"/>
        <v>2.1720000000000002</v>
      </c>
      <c r="Z762" s="96">
        <f t="shared" si="1824"/>
        <v>50.316552000000001</v>
      </c>
      <c r="AA762" s="96">
        <v>0.61899999999999999</v>
      </c>
      <c r="AB762" s="96">
        <f t="shared" si="1825"/>
        <v>15.185927</v>
      </c>
      <c r="AC762" s="96"/>
      <c r="AD762" s="96">
        <f t="shared" si="1826"/>
        <v>0</v>
      </c>
      <c r="AE762" s="96"/>
      <c r="AF762" s="96">
        <f t="shared" si="1827"/>
        <v>0</v>
      </c>
      <c r="AG762" s="96">
        <f t="shared" si="1828"/>
        <v>0.61899999999999999</v>
      </c>
      <c r="AH762" s="96">
        <f t="shared" si="1829"/>
        <v>15.185927</v>
      </c>
      <c r="AI762" s="96">
        <f t="shared" si="1830"/>
        <v>2.7910000000000004</v>
      </c>
      <c r="AJ762" s="96">
        <f t="shared" si="1831"/>
        <v>65.502478999999994</v>
      </c>
      <c r="AK762" s="96"/>
      <c r="AL762" s="96">
        <f t="shared" si="1832"/>
        <v>0</v>
      </c>
      <c r="AM762" s="96"/>
      <c r="AN762" s="96">
        <f t="shared" si="1833"/>
        <v>0</v>
      </c>
      <c r="AO762" s="96"/>
      <c r="AP762" s="96">
        <f t="shared" si="1834"/>
        <v>0</v>
      </c>
      <c r="AQ762" s="96">
        <f t="shared" si="1835"/>
        <v>0</v>
      </c>
      <c r="AR762" s="96">
        <f t="shared" si="1836"/>
        <v>0</v>
      </c>
      <c r="AS762" s="96"/>
      <c r="AT762" s="96">
        <f t="shared" si="1837"/>
        <v>0</v>
      </c>
      <c r="AU762" s="96"/>
      <c r="AV762" s="96">
        <f t="shared" si="1838"/>
        <v>0</v>
      </c>
      <c r="AW762" s="96"/>
      <c r="AX762" s="96">
        <f t="shared" si="1839"/>
        <v>0</v>
      </c>
      <c r="AY762" s="96">
        <f t="shared" si="1840"/>
        <v>0</v>
      </c>
      <c r="AZ762" s="96">
        <f t="shared" si="1841"/>
        <v>0</v>
      </c>
      <c r="BA762" s="96">
        <f t="shared" si="1842"/>
        <v>0</v>
      </c>
      <c r="BB762" s="96">
        <f t="shared" si="1843"/>
        <v>0</v>
      </c>
    </row>
    <row r="763" spans="1:54" ht="12" customHeight="1">
      <c r="A763" s="492">
        <v>458</v>
      </c>
      <c r="B763" s="13"/>
      <c r="C763" s="13"/>
      <c r="D763" s="13"/>
      <c r="E763" s="50" t="s">
        <v>1519</v>
      </c>
      <c r="F763" s="64"/>
      <c r="G763" s="64" t="s">
        <v>1059</v>
      </c>
      <c r="H763" s="272" t="s">
        <v>359</v>
      </c>
      <c r="I763" s="57"/>
      <c r="J763" s="166">
        <v>19557</v>
      </c>
      <c r="K763" s="57"/>
      <c r="L763" s="166">
        <v>20711</v>
      </c>
      <c r="M763" s="57"/>
      <c r="N763" s="166"/>
      <c r="O763" s="57"/>
      <c r="P763" s="166"/>
      <c r="Q763" s="94">
        <f t="shared" si="1818"/>
        <v>14.529</v>
      </c>
      <c r="R763" s="338">
        <f t="shared" si="1819"/>
        <v>287.97839500000003</v>
      </c>
      <c r="S763" s="94">
        <v>4.7629999999999999</v>
      </c>
      <c r="T763" s="94">
        <f t="shared" si="1820"/>
        <v>93.149991</v>
      </c>
      <c r="U763" s="94">
        <v>2.56</v>
      </c>
      <c r="V763" s="94">
        <f t="shared" si="1821"/>
        <v>50.065919999999998</v>
      </c>
      <c r="W763" s="94">
        <v>3.883</v>
      </c>
      <c r="X763" s="94">
        <f t="shared" si="1822"/>
        <v>75.939831000000012</v>
      </c>
      <c r="Y763" s="94">
        <f t="shared" si="1823"/>
        <v>11.206</v>
      </c>
      <c r="Z763" s="94">
        <f t="shared" si="1824"/>
        <v>219.15574200000003</v>
      </c>
      <c r="AA763" s="94">
        <v>3.323</v>
      </c>
      <c r="AB763" s="94">
        <f t="shared" si="1825"/>
        <v>68.822653000000003</v>
      </c>
      <c r="AC763" s="94"/>
      <c r="AD763" s="94">
        <f t="shared" si="1826"/>
        <v>0</v>
      </c>
      <c r="AE763" s="94"/>
      <c r="AF763" s="94">
        <f t="shared" si="1827"/>
        <v>0</v>
      </c>
      <c r="AG763" s="94">
        <f t="shared" si="1828"/>
        <v>3.323</v>
      </c>
      <c r="AH763" s="94">
        <f t="shared" si="1829"/>
        <v>68.822653000000003</v>
      </c>
      <c r="AI763" s="94">
        <f t="shared" si="1830"/>
        <v>14.529</v>
      </c>
      <c r="AJ763" s="94">
        <f t="shared" si="1831"/>
        <v>287.97839500000003</v>
      </c>
      <c r="AK763" s="94"/>
      <c r="AL763" s="94">
        <f t="shared" si="1832"/>
        <v>0</v>
      </c>
      <c r="AM763" s="94"/>
      <c r="AN763" s="94">
        <f t="shared" si="1833"/>
        <v>0</v>
      </c>
      <c r="AO763" s="94"/>
      <c r="AP763" s="94">
        <f t="shared" si="1834"/>
        <v>0</v>
      </c>
      <c r="AQ763" s="94">
        <f t="shared" si="1835"/>
        <v>0</v>
      </c>
      <c r="AR763" s="94">
        <f t="shared" si="1836"/>
        <v>0</v>
      </c>
      <c r="AS763" s="94"/>
      <c r="AT763" s="94">
        <f t="shared" si="1837"/>
        <v>0</v>
      </c>
      <c r="AU763" s="94"/>
      <c r="AV763" s="94">
        <f t="shared" si="1838"/>
        <v>0</v>
      </c>
      <c r="AW763" s="94"/>
      <c r="AX763" s="94">
        <f t="shared" si="1839"/>
        <v>0</v>
      </c>
      <c r="AY763" s="94">
        <f t="shared" si="1840"/>
        <v>0</v>
      </c>
      <c r="AZ763" s="94">
        <f t="shared" si="1841"/>
        <v>0</v>
      </c>
      <c r="BA763" s="94">
        <f t="shared" si="1842"/>
        <v>0</v>
      </c>
      <c r="BB763" s="94">
        <f t="shared" si="1843"/>
        <v>0</v>
      </c>
    </row>
    <row r="764" spans="1:54">
      <c r="A764" s="492">
        <v>460</v>
      </c>
      <c r="B764" s="13"/>
      <c r="C764" s="23"/>
      <c r="D764" s="70"/>
      <c r="E764" s="551" t="s">
        <v>330</v>
      </c>
      <c r="F764" s="234"/>
      <c r="G764" s="234"/>
      <c r="H764" s="266"/>
      <c r="I764" s="151"/>
      <c r="J764" s="170"/>
      <c r="K764" s="73"/>
      <c r="L764" s="170"/>
      <c r="M764" s="73"/>
      <c r="N764" s="170"/>
      <c r="O764" s="151"/>
      <c r="P764" s="170"/>
      <c r="Q764" s="122">
        <f t="shared" ref="Q764:BB764" si="1870">SUM(Q738:Q763)</f>
        <v>193.28999999999996</v>
      </c>
      <c r="R764" s="122">
        <f t="shared" si="1870"/>
        <v>3049.8306780000003</v>
      </c>
      <c r="S764" s="122">
        <f t="shared" si="1870"/>
        <v>49.133999999999993</v>
      </c>
      <c r="T764" s="122">
        <f t="shared" si="1870"/>
        <v>777.93138499999998</v>
      </c>
      <c r="U764" s="122">
        <f t="shared" si="1870"/>
        <v>46.810999999999993</v>
      </c>
      <c r="V764" s="122">
        <f t="shared" si="1870"/>
        <v>712.18405399999995</v>
      </c>
      <c r="W764" s="122">
        <f t="shared" si="1870"/>
        <v>56.498999999999988</v>
      </c>
      <c r="X764" s="122">
        <f t="shared" si="1870"/>
        <v>884.65890300000012</v>
      </c>
      <c r="Y764" s="122">
        <f t="shared" si="1870"/>
        <v>152.44399999999999</v>
      </c>
      <c r="Z764" s="122">
        <f t="shared" si="1870"/>
        <v>2374.7743419999997</v>
      </c>
      <c r="AA764" s="122">
        <f t="shared" si="1870"/>
        <v>40.845999999999997</v>
      </c>
      <c r="AB764" s="122">
        <f t="shared" si="1870"/>
        <v>675.0563360000001</v>
      </c>
      <c r="AC764" s="122">
        <f t="shared" si="1870"/>
        <v>0</v>
      </c>
      <c r="AD764" s="122">
        <f t="shared" si="1870"/>
        <v>0</v>
      </c>
      <c r="AE764" s="122">
        <f t="shared" si="1870"/>
        <v>0</v>
      </c>
      <c r="AF764" s="122">
        <f t="shared" si="1870"/>
        <v>0</v>
      </c>
      <c r="AG764" s="122">
        <f t="shared" si="1870"/>
        <v>40.845999999999997</v>
      </c>
      <c r="AH764" s="122">
        <f t="shared" si="1870"/>
        <v>675.0563360000001</v>
      </c>
      <c r="AI764" s="122">
        <f t="shared" si="1870"/>
        <v>193.28999999999996</v>
      </c>
      <c r="AJ764" s="122">
        <f t="shared" si="1870"/>
        <v>3049.8306780000003</v>
      </c>
      <c r="AK764" s="122">
        <f t="shared" si="1870"/>
        <v>0</v>
      </c>
      <c r="AL764" s="122">
        <f t="shared" si="1870"/>
        <v>0</v>
      </c>
      <c r="AM764" s="122">
        <f t="shared" si="1870"/>
        <v>0</v>
      </c>
      <c r="AN764" s="122">
        <f t="shared" si="1870"/>
        <v>0</v>
      </c>
      <c r="AO764" s="122">
        <f t="shared" si="1870"/>
        <v>0</v>
      </c>
      <c r="AP764" s="122">
        <f t="shared" si="1870"/>
        <v>0</v>
      </c>
      <c r="AQ764" s="122">
        <f t="shared" si="1870"/>
        <v>0</v>
      </c>
      <c r="AR764" s="122">
        <f t="shared" si="1870"/>
        <v>0</v>
      </c>
      <c r="AS764" s="122">
        <f t="shared" si="1870"/>
        <v>0</v>
      </c>
      <c r="AT764" s="122">
        <f t="shared" si="1870"/>
        <v>0</v>
      </c>
      <c r="AU764" s="122">
        <f t="shared" si="1870"/>
        <v>0</v>
      </c>
      <c r="AV764" s="122">
        <f t="shared" si="1870"/>
        <v>0</v>
      </c>
      <c r="AW764" s="122">
        <f t="shared" si="1870"/>
        <v>0</v>
      </c>
      <c r="AX764" s="122">
        <f t="shared" si="1870"/>
        <v>0</v>
      </c>
      <c r="AY764" s="122">
        <f t="shared" si="1870"/>
        <v>0</v>
      </c>
      <c r="AZ764" s="122">
        <f t="shared" si="1870"/>
        <v>0</v>
      </c>
      <c r="BA764" s="122">
        <f t="shared" si="1870"/>
        <v>0</v>
      </c>
      <c r="BB764" s="122">
        <f t="shared" si="1870"/>
        <v>0</v>
      </c>
    </row>
    <row r="765" spans="1:54">
      <c r="A765" s="492">
        <v>461</v>
      </c>
      <c r="B765" s="13"/>
      <c r="C765" s="13"/>
      <c r="D765" s="13" t="s">
        <v>279</v>
      </c>
      <c r="E765" s="31" t="s">
        <v>595</v>
      </c>
      <c r="F765" s="310"/>
      <c r="G765" s="310" t="s">
        <v>1059</v>
      </c>
      <c r="H765" s="265" t="s">
        <v>357</v>
      </c>
      <c r="I765" s="61">
        <v>4.13</v>
      </c>
      <c r="J765" s="163"/>
      <c r="K765" s="61">
        <v>4.13</v>
      </c>
      <c r="L765" s="163"/>
      <c r="M765" s="61"/>
      <c r="N765" s="163"/>
      <c r="O765" s="61"/>
      <c r="P765" s="163"/>
      <c r="Q765" s="121">
        <f t="shared" ref="Q765:Q796" si="1871">SUM(AI765+BA765)</f>
        <v>0</v>
      </c>
      <c r="R765" s="341">
        <f t="shared" ref="R765:R796" si="1872">SUM(AJ765+BB765)</f>
        <v>0</v>
      </c>
      <c r="S765" s="121"/>
      <c r="T765" s="121">
        <f>I765*S765*$T$2/1000</f>
        <v>0</v>
      </c>
      <c r="U765" s="121"/>
      <c r="V765" s="121">
        <f>I765*U765*$V$2/1000</f>
        <v>0</v>
      </c>
      <c r="W765" s="121"/>
      <c r="X765" s="121">
        <f>I765*W765*$X$2/1000</f>
        <v>0</v>
      </c>
      <c r="Y765" s="121">
        <f t="shared" ref="Y765:Y796" si="1873">SUM(S765+U765+W765)</f>
        <v>0</v>
      </c>
      <c r="Z765" s="121">
        <f t="shared" ref="Z765:Z796" si="1874">SUM(T765+V765+X765)</f>
        <v>0</v>
      </c>
      <c r="AA765" s="121"/>
      <c r="AB765" s="121">
        <f>K765*AA765*$AB$2/1000</f>
        <v>0</v>
      </c>
      <c r="AC765" s="121"/>
      <c r="AD765" s="121">
        <f>K765*AC765*$AD$2/1000</f>
        <v>0</v>
      </c>
      <c r="AE765" s="121"/>
      <c r="AF765" s="121">
        <f>K765*AE765*$AF$2/1000</f>
        <v>0</v>
      </c>
      <c r="AG765" s="121">
        <f t="shared" ref="AG765:AG796" si="1875">SUM(AA765+AC765+AE765)</f>
        <v>0</v>
      </c>
      <c r="AH765" s="121">
        <f t="shared" ref="AH765:AH796" si="1876">SUM(AB765+AD765+AF765)</f>
        <v>0</v>
      </c>
      <c r="AI765" s="121">
        <f t="shared" ref="AI765:AI796" si="1877">SUM(Y765+AG765)</f>
        <v>0</v>
      </c>
      <c r="AJ765" s="121">
        <f t="shared" ref="AJ765:AJ796" si="1878">SUM(Z765,AH765)</f>
        <v>0</v>
      </c>
      <c r="AK765" s="121"/>
      <c r="AL765" s="121">
        <f>M765*AK765*$AL$2/1000</f>
        <v>0</v>
      </c>
      <c r="AM765" s="121"/>
      <c r="AN765" s="121">
        <f>M765*AM765*$AN$2/1000</f>
        <v>0</v>
      </c>
      <c r="AO765" s="121"/>
      <c r="AP765" s="121">
        <f>M765*AO765*$AP$2/1000</f>
        <v>0</v>
      </c>
      <c r="AQ765" s="121">
        <f t="shared" ref="AQ765:AQ796" si="1879">SUM(AK765+AM765+AO765)</f>
        <v>0</v>
      </c>
      <c r="AR765" s="121">
        <f t="shared" ref="AR765:AR796" si="1880">SUM(AL765+AN765+AP765)</f>
        <v>0</v>
      </c>
      <c r="AS765" s="121"/>
      <c r="AT765" s="121">
        <f>O765*AS765*$AT$2/1000</f>
        <v>0</v>
      </c>
      <c r="AU765" s="121"/>
      <c r="AV765" s="121">
        <f>O765*AU765*$AV$2/1000</f>
        <v>0</v>
      </c>
      <c r="AW765" s="121"/>
      <c r="AX765" s="121">
        <f>O765*AW765*$AX$2/1000</f>
        <v>0</v>
      </c>
      <c r="AY765" s="121">
        <f t="shared" ref="AY765:AY796" si="1881">SUM(AS765+AU765+AW765)</f>
        <v>0</v>
      </c>
      <c r="AZ765" s="121">
        <f t="shared" ref="AZ765:AZ796" si="1882">SUM(AT765+AV765+AX765)</f>
        <v>0</v>
      </c>
      <c r="BA765" s="121">
        <f t="shared" ref="BA765:BA796" si="1883">SUM(AQ765+AY765)</f>
        <v>0</v>
      </c>
      <c r="BB765" s="121">
        <f t="shared" ref="BB765:BB796" si="1884">SUM(AR765,AZ765)</f>
        <v>0</v>
      </c>
    </row>
    <row r="766" spans="1:54">
      <c r="A766" s="492">
        <v>462</v>
      </c>
      <c r="B766" s="13"/>
      <c r="C766" s="13"/>
      <c r="D766" s="13"/>
      <c r="E766" s="21" t="s">
        <v>818</v>
      </c>
      <c r="F766" s="45"/>
      <c r="G766" s="45" t="s">
        <v>1059</v>
      </c>
      <c r="H766" s="265" t="s">
        <v>357</v>
      </c>
      <c r="I766" s="54">
        <v>4.96</v>
      </c>
      <c r="J766" s="162"/>
      <c r="K766" s="54">
        <v>4.96</v>
      </c>
      <c r="L766" s="162"/>
      <c r="M766" s="54"/>
      <c r="N766" s="162"/>
      <c r="O766" s="54"/>
      <c r="P766" s="162"/>
      <c r="Q766" s="96">
        <f t="shared" si="1871"/>
        <v>0</v>
      </c>
      <c r="R766" s="337">
        <f t="shared" si="1872"/>
        <v>0</v>
      </c>
      <c r="S766" s="96"/>
      <c r="T766" s="96">
        <f>I766*S766*$T$2/1000</f>
        <v>0</v>
      </c>
      <c r="U766" s="96"/>
      <c r="V766" s="96">
        <f>I766*U766*$V$2/1000</f>
        <v>0</v>
      </c>
      <c r="W766" s="96"/>
      <c r="X766" s="96">
        <f>I766*W766*$X$2/1000</f>
        <v>0</v>
      </c>
      <c r="Y766" s="96">
        <f t="shared" si="1873"/>
        <v>0</v>
      </c>
      <c r="Z766" s="96">
        <f t="shared" si="1874"/>
        <v>0</v>
      </c>
      <c r="AA766" s="96"/>
      <c r="AB766" s="96">
        <f>K766*AA766*$AB$2/1000</f>
        <v>0</v>
      </c>
      <c r="AC766" s="96"/>
      <c r="AD766" s="96">
        <f>K766*AC766*$AD$2/1000</f>
        <v>0</v>
      </c>
      <c r="AE766" s="96"/>
      <c r="AF766" s="96">
        <f>K766*AE766*$AF$2/1000</f>
        <v>0</v>
      </c>
      <c r="AG766" s="96">
        <f t="shared" si="1875"/>
        <v>0</v>
      </c>
      <c r="AH766" s="96">
        <f t="shared" si="1876"/>
        <v>0</v>
      </c>
      <c r="AI766" s="96">
        <f t="shared" si="1877"/>
        <v>0</v>
      </c>
      <c r="AJ766" s="96">
        <f t="shared" si="1878"/>
        <v>0</v>
      </c>
      <c r="AK766" s="96"/>
      <c r="AL766" s="96">
        <f>M766*AK766*$AL$2/1000</f>
        <v>0</v>
      </c>
      <c r="AM766" s="96"/>
      <c r="AN766" s="96">
        <f>M766*AM766*$AN$2/1000</f>
        <v>0</v>
      </c>
      <c r="AO766" s="96"/>
      <c r="AP766" s="96">
        <f>M766*AO766*$AP$2/1000</f>
        <v>0</v>
      </c>
      <c r="AQ766" s="96">
        <f t="shared" si="1879"/>
        <v>0</v>
      </c>
      <c r="AR766" s="96">
        <f t="shared" si="1880"/>
        <v>0</v>
      </c>
      <c r="AS766" s="96"/>
      <c r="AT766" s="96">
        <f>O766*AS766*$AT$2/1000</f>
        <v>0</v>
      </c>
      <c r="AU766" s="96"/>
      <c r="AV766" s="96">
        <f>O766*AU766*$AV$2/1000</f>
        <v>0</v>
      </c>
      <c r="AW766" s="96"/>
      <c r="AX766" s="96">
        <f>O766*AW766*$AX$2/1000</f>
        <v>0</v>
      </c>
      <c r="AY766" s="96">
        <f t="shared" si="1881"/>
        <v>0</v>
      </c>
      <c r="AZ766" s="96">
        <f t="shared" si="1882"/>
        <v>0</v>
      </c>
      <c r="BA766" s="96">
        <f t="shared" si="1883"/>
        <v>0</v>
      </c>
      <c r="BB766" s="96">
        <f t="shared" si="1884"/>
        <v>0</v>
      </c>
    </row>
    <row r="767" spans="1:54">
      <c r="A767" s="492">
        <v>463</v>
      </c>
      <c r="B767" s="13"/>
      <c r="C767" s="13"/>
      <c r="D767" s="13"/>
      <c r="E767" s="21" t="s">
        <v>1135</v>
      </c>
      <c r="F767" s="45"/>
      <c r="G767" s="45" t="s">
        <v>1059</v>
      </c>
      <c r="H767" s="265" t="s">
        <v>357</v>
      </c>
      <c r="I767" s="54">
        <v>4.82</v>
      </c>
      <c r="J767" s="162"/>
      <c r="K767" s="54">
        <v>4.82</v>
      </c>
      <c r="L767" s="162"/>
      <c r="M767" s="54"/>
      <c r="N767" s="162"/>
      <c r="O767" s="54"/>
      <c r="P767" s="162"/>
      <c r="Q767" s="96">
        <f t="shared" si="1871"/>
        <v>2.12</v>
      </c>
      <c r="R767" s="337">
        <f t="shared" si="1872"/>
        <v>14.751793160000004</v>
      </c>
      <c r="S767" s="96">
        <v>2.12</v>
      </c>
      <c r="T767" s="96">
        <f>I767*S767*$T$2/1000</f>
        <v>14.751793160000004</v>
      </c>
      <c r="U767" s="96"/>
      <c r="V767" s="96">
        <f>I767*U767*$V$2/1000</f>
        <v>0</v>
      </c>
      <c r="W767" s="96"/>
      <c r="X767" s="96">
        <f>I767*W767*$X$2/1000</f>
        <v>0</v>
      </c>
      <c r="Y767" s="96">
        <f t="shared" si="1873"/>
        <v>2.12</v>
      </c>
      <c r="Z767" s="96">
        <f t="shared" si="1874"/>
        <v>14.751793160000004</v>
      </c>
      <c r="AA767" s="96"/>
      <c r="AB767" s="96">
        <f>K767*AA767*$AB$2/1000</f>
        <v>0</v>
      </c>
      <c r="AC767" s="96"/>
      <c r="AD767" s="96">
        <f>K767*AC767*$AD$2/1000</f>
        <v>0</v>
      </c>
      <c r="AE767" s="96"/>
      <c r="AF767" s="96">
        <f>K767*AE767*$AF$2/1000</f>
        <v>0</v>
      </c>
      <c r="AG767" s="96">
        <f t="shared" si="1875"/>
        <v>0</v>
      </c>
      <c r="AH767" s="96">
        <f t="shared" si="1876"/>
        <v>0</v>
      </c>
      <c r="AI767" s="96">
        <f t="shared" si="1877"/>
        <v>2.12</v>
      </c>
      <c r="AJ767" s="96">
        <f t="shared" si="1878"/>
        <v>14.751793160000004</v>
      </c>
      <c r="AK767" s="96"/>
      <c r="AL767" s="96">
        <f>M767*AK767*$AL$2/1000</f>
        <v>0</v>
      </c>
      <c r="AM767" s="96"/>
      <c r="AN767" s="96">
        <f>M767*AM767*$AN$2/1000</f>
        <v>0</v>
      </c>
      <c r="AO767" s="96"/>
      <c r="AP767" s="96">
        <f>M767*AO767*$AP$2/1000</f>
        <v>0</v>
      </c>
      <c r="AQ767" s="96">
        <f t="shared" si="1879"/>
        <v>0</v>
      </c>
      <c r="AR767" s="96">
        <f t="shared" si="1880"/>
        <v>0</v>
      </c>
      <c r="AS767" s="96"/>
      <c r="AT767" s="96">
        <f>O767*AS767*$AT$2/1000</f>
        <v>0</v>
      </c>
      <c r="AU767" s="96"/>
      <c r="AV767" s="96">
        <f>O767*AU767*$AV$2/1000</f>
        <v>0</v>
      </c>
      <c r="AW767" s="96"/>
      <c r="AX767" s="96">
        <f>O767*AW767*$AX$2/1000</f>
        <v>0</v>
      </c>
      <c r="AY767" s="96">
        <f t="shared" si="1881"/>
        <v>0</v>
      </c>
      <c r="AZ767" s="96">
        <f t="shared" si="1882"/>
        <v>0</v>
      </c>
      <c r="BA767" s="96">
        <f t="shared" si="1883"/>
        <v>0</v>
      </c>
      <c r="BB767" s="96">
        <f t="shared" si="1884"/>
        <v>0</v>
      </c>
    </row>
    <row r="768" spans="1:54" ht="12" customHeight="1">
      <c r="A768" s="492">
        <v>464</v>
      </c>
      <c r="B768" s="13"/>
      <c r="C768" s="13"/>
      <c r="D768" s="13"/>
      <c r="E768" s="21" t="s">
        <v>563</v>
      </c>
      <c r="F768" s="45"/>
      <c r="G768" s="45" t="s">
        <v>1059</v>
      </c>
      <c r="H768" s="265" t="s">
        <v>357</v>
      </c>
      <c r="I768" s="54">
        <v>5.49</v>
      </c>
      <c r="J768" s="162"/>
      <c r="K768" s="54">
        <v>5.49</v>
      </c>
      <c r="L768" s="162"/>
      <c r="M768" s="54"/>
      <c r="N768" s="162"/>
      <c r="O768" s="54"/>
      <c r="P768" s="162"/>
      <c r="Q768" s="96">
        <f t="shared" si="1871"/>
        <v>3.98</v>
      </c>
      <c r="R768" s="337">
        <f t="shared" si="1872"/>
        <v>31.804568630999995</v>
      </c>
      <c r="S768" s="96">
        <v>0.89</v>
      </c>
      <c r="T768" s="96">
        <f>I768*S768*$T$2/1000</f>
        <v>7.0538182650000003</v>
      </c>
      <c r="U768" s="96">
        <v>2.09</v>
      </c>
      <c r="V768" s="96">
        <f>I768*U768*$V$2/1000</f>
        <v>16.502739065999997</v>
      </c>
      <c r="W768" s="96">
        <v>1</v>
      </c>
      <c r="X768" s="96">
        <f>I768*W768*$X$2/1000</f>
        <v>8.2480112999999999</v>
      </c>
      <c r="Y768" s="96">
        <f t="shared" si="1873"/>
        <v>3.98</v>
      </c>
      <c r="Z768" s="96">
        <f t="shared" si="1874"/>
        <v>31.804568630999995</v>
      </c>
      <c r="AA768" s="96"/>
      <c r="AB768" s="96">
        <f>K768*AA768*$AB$2/1000</f>
        <v>0</v>
      </c>
      <c r="AC768" s="96"/>
      <c r="AD768" s="96">
        <f>K768*AC768*$AD$2/1000</f>
        <v>0</v>
      </c>
      <c r="AE768" s="96"/>
      <c r="AF768" s="96">
        <f>K768*AE768*$AF$2/1000</f>
        <v>0</v>
      </c>
      <c r="AG768" s="96">
        <f t="shared" si="1875"/>
        <v>0</v>
      </c>
      <c r="AH768" s="96">
        <f t="shared" si="1876"/>
        <v>0</v>
      </c>
      <c r="AI768" s="96">
        <f t="shared" si="1877"/>
        <v>3.98</v>
      </c>
      <c r="AJ768" s="96">
        <f t="shared" si="1878"/>
        <v>31.804568630999995</v>
      </c>
      <c r="AK768" s="96"/>
      <c r="AL768" s="96">
        <f>M768*AK768*$AL$2/1000</f>
        <v>0</v>
      </c>
      <c r="AM768" s="96"/>
      <c r="AN768" s="96">
        <f>M768*AM768*$AN$2/1000</f>
        <v>0</v>
      </c>
      <c r="AO768" s="96"/>
      <c r="AP768" s="96">
        <f>M768*AO768*$AP$2/1000</f>
        <v>0</v>
      </c>
      <c r="AQ768" s="96">
        <f t="shared" si="1879"/>
        <v>0</v>
      </c>
      <c r="AR768" s="96">
        <f t="shared" si="1880"/>
        <v>0</v>
      </c>
      <c r="AS768" s="96"/>
      <c r="AT768" s="96">
        <f>O768*AS768*$AT$2/1000</f>
        <v>0</v>
      </c>
      <c r="AU768" s="96"/>
      <c r="AV768" s="96">
        <f>O768*AU768*$AV$2/1000</f>
        <v>0</v>
      </c>
      <c r="AW768" s="96"/>
      <c r="AX768" s="96">
        <f>O768*AW768*$AX$2/1000</f>
        <v>0</v>
      </c>
      <c r="AY768" s="96">
        <f t="shared" si="1881"/>
        <v>0</v>
      </c>
      <c r="AZ768" s="96">
        <f t="shared" si="1882"/>
        <v>0</v>
      </c>
      <c r="BA768" s="96">
        <f t="shared" si="1883"/>
        <v>0</v>
      </c>
      <c r="BB768" s="96">
        <f t="shared" si="1884"/>
        <v>0</v>
      </c>
    </row>
    <row r="769" spans="1:54">
      <c r="A769" s="492">
        <v>465</v>
      </c>
      <c r="B769" s="13"/>
      <c r="C769" s="13"/>
      <c r="D769" s="13"/>
      <c r="E769" s="21" t="s">
        <v>671</v>
      </c>
      <c r="F769" s="45"/>
      <c r="G769" s="45" t="s">
        <v>1059</v>
      </c>
      <c r="H769" s="265" t="s">
        <v>357</v>
      </c>
      <c r="I769" s="54">
        <v>4.97</v>
      </c>
      <c r="J769" s="162"/>
      <c r="K769" s="54">
        <v>4.97</v>
      </c>
      <c r="L769" s="162"/>
      <c r="M769" s="54"/>
      <c r="N769" s="162"/>
      <c r="O769" s="54"/>
      <c r="P769" s="162"/>
      <c r="Q769" s="96">
        <f t="shared" si="1871"/>
        <v>0</v>
      </c>
      <c r="R769" s="337">
        <f t="shared" si="1872"/>
        <v>0</v>
      </c>
      <c r="S769" s="96"/>
      <c r="T769" s="96">
        <f>I769*S769*$T$2/1000</f>
        <v>0</v>
      </c>
      <c r="U769" s="96"/>
      <c r="V769" s="96">
        <f>I769*U769*$V$2/1000</f>
        <v>0</v>
      </c>
      <c r="W769" s="96"/>
      <c r="X769" s="96">
        <f>I769*W769*$X$2/1000</f>
        <v>0</v>
      </c>
      <c r="Y769" s="96">
        <f t="shared" si="1873"/>
        <v>0</v>
      </c>
      <c r="Z769" s="96">
        <f t="shared" si="1874"/>
        <v>0</v>
      </c>
      <c r="AA769" s="96"/>
      <c r="AB769" s="96">
        <f>K769*AA769*$AB$2/1000</f>
        <v>0</v>
      </c>
      <c r="AC769" s="96"/>
      <c r="AD769" s="96">
        <f>K769*AC769*$AD$2/1000</f>
        <v>0</v>
      </c>
      <c r="AE769" s="96"/>
      <c r="AF769" s="96">
        <f>K769*AE769*$AF$2/1000</f>
        <v>0</v>
      </c>
      <c r="AG769" s="96">
        <f t="shared" si="1875"/>
        <v>0</v>
      </c>
      <c r="AH769" s="96">
        <f t="shared" si="1876"/>
        <v>0</v>
      </c>
      <c r="AI769" s="96">
        <f t="shared" si="1877"/>
        <v>0</v>
      </c>
      <c r="AJ769" s="96">
        <f t="shared" si="1878"/>
        <v>0</v>
      </c>
      <c r="AK769" s="96"/>
      <c r="AL769" s="96">
        <f>M769*AK769*$AL$2/1000</f>
        <v>0</v>
      </c>
      <c r="AM769" s="96"/>
      <c r="AN769" s="96">
        <f>M769*AM769*$AN$2/1000</f>
        <v>0</v>
      </c>
      <c r="AO769" s="96"/>
      <c r="AP769" s="96">
        <f>M769*AO769*$AP$2/1000</f>
        <v>0</v>
      </c>
      <c r="AQ769" s="96">
        <f t="shared" si="1879"/>
        <v>0</v>
      </c>
      <c r="AR769" s="96">
        <f t="shared" si="1880"/>
        <v>0</v>
      </c>
      <c r="AS769" s="96"/>
      <c r="AT769" s="96">
        <f>O769*AS769*$AT$2/1000</f>
        <v>0</v>
      </c>
      <c r="AU769" s="96"/>
      <c r="AV769" s="96">
        <f>O769*AU769*$AV$2/1000</f>
        <v>0</v>
      </c>
      <c r="AW769" s="96"/>
      <c r="AX769" s="96">
        <f>O769*AW769*$AX$2/1000</f>
        <v>0</v>
      </c>
      <c r="AY769" s="96">
        <f t="shared" si="1881"/>
        <v>0</v>
      </c>
      <c r="AZ769" s="96">
        <f t="shared" si="1882"/>
        <v>0</v>
      </c>
      <c r="BA769" s="96">
        <f t="shared" si="1883"/>
        <v>0</v>
      </c>
      <c r="BB769" s="96">
        <f t="shared" si="1884"/>
        <v>0</v>
      </c>
    </row>
    <row r="770" spans="1:54">
      <c r="A770" s="492">
        <v>466</v>
      </c>
      <c r="B770" s="13"/>
      <c r="C770" s="13"/>
      <c r="D770" s="15"/>
      <c r="E770" s="367" t="s">
        <v>898</v>
      </c>
      <c r="F770" s="45"/>
      <c r="G770" s="45" t="s">
        <v>1059</v>
      </c>
      <c r="H770" s="265" t="s">
        <v>357</v>
      </c>
      <c r="I770" s="54"/>
      <c r="J770" s="162">
        <v>6772</v>
      </c>
      <c r="K770" s="54"/>
      <c r="L770" s="162">
        <v>6772</v>
      </c>
      <c r="M770" s="54"/>
      <c r="N770" s="162"/>
      <c r="O770" s="54"/>
      <c r="P770" s="162"/>
      <c r="Q770" s="96">
        <f t="shared" si="1871"/>
        <v>0</v>
      </c>
      <c r="R770" s="337">
        <f t="shared" si="1872"/>
        <v>0</v>
      </c>
      <c r="S770" s="96"/>
      <c r="T770" s="96">
        <f>J770*S770/1000</f>
        <v>0</v>
      </c>
      <c r="U770" s="96"/>
      <c r="V770" s="96">
        <f>J770*U770/1000</f>
        <v>0</v>
      </c>
      <c r="W770" s="96"/>
      <c r="X770" s="96">
        <f>J770*W770/1000</f>
        <v>0</v>
      </c>
      <c r="Y770" s="96">
        <f t="shared" si="1873"/>
        <v>0</v>
      </c>
      <c r="Z770" s="96">
        <f t="shared" si="1874"/>
        <v>0</v>
      </c>
      <c r="AA770" s="96"/>
      <c r="AB770" s="96">
        <f>L770*AA770/1000</f>
        <v>0</v>
      </c>
      <c r="AC770" s="96"/>
      <c r="AD770" s="96">
        <f>L770*AC770/1000</f>
        <v>0</v>
      </c>
      <c r="AE770" s="96"/>
      <c r="AF770" s="96">
        <f>L770*AE770/1000</f>
        <v>0</v>
      </c>
      <c r="AG770" s="96">
        <f t="shared" si="1875"/>
        <v>0</v>
      </c>
      <c r="AH770" s="96">
        <f t="shared" si="1876"/>
        <v>0</v>
      </c>
      <c r="AI770" s="96">
        <f t="shared" si="1877"/>
        <v>0</v>
      </c>
      <c r="AJ770" s="96">
        <f t="shared" si="1878"/>
        <v>0</v>
      </c>
      <c r="AK770" s="96"/>
      <c r="AL770" s="96">
        <f>N770*AK770/1000</f>
        <v>0</v>
      </c>
      <c r="AM770" s="96"/>
      <c r="AN770" s="96">
        <f>N770*AM770/1000</f>
        <v>0</v>
      </c>
      <c r="AO770" s="96"/>
      <c r="AP770" s="96">
        <f>N770*AO770/1000</f>
        <v>0</v>
      </c>
      <c r="AQ770" s="96">
        <f t="shared" si="1879"/>
        <v>0</v>
      </c>
      <c r="AR770" s="96">
        <f t="shared" si="1880"/>
        <v>0</v>
      </c>
      <c r="AS770" s="96"/>
      <c r="AT770" s="96">
        <f>P770*AS770/1000</f>
        <v>0</v>
      </c>
      <c r="AU770" s="96"/>
      <c r="AV770" s="96">
        <f>P770*AU770/1000</f>
        <v>0</v>
      </c>
      <c r="AW770" s="96"/>
      <c r="AX770" s="96">
        <f>P770*AW770/1000</f>
        <v>0</v>
      </c>
      <c r="AY770" s="96">
        <f t="shared" si="1881"/>
        <v>0</v>
      </c>
      <c r="AZ770" s="96">
        <f t="shared" si="1882"/>
        <v>0</v>
      </c>
      <c r="BA770" s="96">
        <f t="shared" si="1883"/>
        <v>0</v>
      </c>
      <c r="BB770" s="96">
        <f t="shared" si="1884"/>
        <v>0</v>
      </c>
    </row>
    <row r="771" spans="1:54" ht="12.75" customHeight="1">
      <c r="A771" s="492">
        <v>467</v>
      </c>
      <c r="B771" s="13"/>
      <c r="C771" s="13"/>
      <c r="D771" s="13"/>
      <c r="E771" s="21" t="s">
        <v>968</v>
      </c>
      <c r="F771" s="45"/>
      <c r="G771" s="45" t="s">
        <v>1059</v>
      </c>
      <c r="H771" s="265" t="s">
        <v>357</v>
      </c>
      <c r="I771" s="54"/>
      <c r="J771" s="162">
        <v>7820</v>
      </c>
      <c r="K771" s="54"/>
      <c r="L771" s="162">
        <v>7820</v>
      </c>
      <c r="M771" s="54"/>
      <c r="N771" s="162"/>
      <c r="O771" s="54"/>
      <c r="P771" s="162"/>
      <c r="Q771" s="96">
        <f t="shared" si="1871"/>
        <v>0</v>
      </c>
      <c r="R771" s="337">
        <f t="shared" si="1872"/>
        <v>0</v>
      </c>
      <c r="S771" s="96"/>
      <c r="T771" s="96">
        <f>J771*S771/1000</f>
        <v>0</v>
      </c>
      <c r="U771" s="96"/>
      <c r="V771" s="96">
        <f>J771*U771/1000</f>
        <v>0</v>
      </c>
      <c r="W771" s="96"/>
      <c r="X771" s="96">
        <f>J771*W771/1000</f>
        <v>0</v>
      </c>
      <c r="Y771" s="96">
        <f t="shared" si="1873"/>
        <v>0</v>
      </c>
      <c r="Z771" s="96">
        <f t="shared" si="1874"/>
        <v>0</v>
      </c>
      <c r="AA771" s="96"/>
      <c r="AB771" s="96">
        <f>L771*AA771/1000</f>
        <v>0</v>
      </c>
      <c r="AC771" s="96"/>
      <c r="AD771" s="96">
        <f>L771*AC771/1000</f>
        <v>0</v>
      </c>
      <c r="AE771" s="96"/>
      <c r="AF771" s="96">
        <f>L771*AE771/1000</f>
        <v>0</v>
      </c>
      <c r="AG771" s="96">
        <f t="shared" si="1875"/>
        <v>0</v>
      </c>
      <c r="AH771" s="96">
        <f t="shared" si="1876"/>
        <v>0</v>
      </c>
      <c r="AI771" s="96">
        <f t="shared" si="1877"/>
        <v>0</v>
      </c>
      <c r="AJ771" s="96">
        <f t="shared" si="1878"/>
        <v>0</v>
      </c>
      <c r="AK771" s="96"/>
      <c r="AL771" s="96">
        <f>N771*AK771/1000</f>
        <v>0</v>
      </c>
      <c r="AM771" s="96"/>
      <c r="AN771" s="96">
        <f>N771*AM771/1000</f>
        <v>0</v>
      </c>
      <c r="AO771" s="96"/>
      <c r="AP771" s="96">
        <f>N771*AO771/1000</f>
        <v>0</v>
      </c>
      <c r="AQ771" s="96">
        <f t="shared" si="1879"/>
        <v>0</v>
      </c>
      <c r="AR771" s="96">
        <f t="shared" si="1880"/>
        <v>0</v>
      </c>
      <c r="AS771" s="96"/>
      <c r="AT771" s="96">
        <f>P771*AS771/1000</f>
        <v>0</v>
      </c>
      <c r="AU771" s="96"/>
      <c r="AV771" s="96">
        <f>P771*AU771/1000</f>
        <v>0</v>
      </c>
      <c r="AW771" s="96"/>
      <c r="AX771" s="96">
        <f>P771*AW771/1000</f>
        <v>0</v>
      </c>
      <c r="AY771" s="96">
        <f t="shared" si="1881"/>
        <v>0</v>
      </c>
      <c r="AZ771" s="96">
        <f t="shared" si="1882"/>
        <v>0</v>
      </c>
      <c r="BA771" s="96">
        <f t="shared" si="1883"/>
        <v>0</v>
      </c>
      <c r="BB771" s="96">
        <f t="shared" si="1884"/>
        <v>0</v>
      </c>
    </row>
    <row r="772" spans="1:54" ht="12" customHeight="1">
      <c r="A772" s="492">
        <v>446</v>
      </c>
      <c r="B772" s="13"/>
      <c r="C772" s="13"/>
      <c r="D772" s="13"/>
      <c r="E772" s="21" t="s">
        <v>1349</v>
      </c>
      <c r="F772" s="45"/>
      <c r="G772" s="45" t="s">
        <v>1059</v>
      </c>
      <c r="H772" s="265" t="s">
        <v>357</v>
      </c>
      <c r="I772" s="54"/>
      <c r="J772" s="162">
        <v>6988</v>
      </c>
      <c r="K772" s="54"/>
      <c r="L772" s="162">
        <v>6988</v>
      </c>
      <c r="M772" s="54"/>
      <c r="N772" s="162"/>
      <c r="O772" s="54"/>
      <c r="P772" s="162"/>
      <c r="Q772" s="96">
        <f t="shared" si="1871"/>
        <v>0</v>
      </c>
      <c r="R772" s="337">
        <f t="shared" si="1872"/>
        <v>0</v>
      </c>
      <c r="S772" s="96"/>
      <c r="T772" s="96">
        <f>J772*S772/1000</f>
        <v>0</v>
      </c>
      <c r="U772" s="96"/>
      <c r="V772" s="96">
        <f>J772*U772/1000</f>
        <v>0</v>
      </c>
      <c r="W772" s="96"/>
      <c r="X772" s="96">
        <f>J772*W772/1000</f>
        <v>0</v>
      </c>
      <c r="Y772" s="96">
        <f t="shared" si="1873"/>
        <v>0</v>
      </c>
      <c r="Z772" s="96">
        <f t="shared" si="1874"/>
        <v>0</v>
      </c>
      <c r="AA772" s="96"/>
      <c r="AB772" s="96">
        <f>L772*AA772/1000</f>
        <v>0</v>
      </c>
      <c r="AC772" s="96"/>
      <c r="AD772" s="96">
        <f>L772*AC772/1000</f>
        <v>0</v>
      </c>
      <c r="AE772" s="96"/>
      <c r="AF772" s="96">
        <f>L772*AE772/1000</f>
        <v>0</v>
      </c>
      <c r="AG772" s="96">
        <f t="shared" si="1875"/>
        <v>0</v>
      </c>
      <c r="AH772" s="96">
        <f t="shared" si="1876"/>
        <v>0</v>
      </c>
      <c r="AI772" s="96">
        <f t="shared" si="1877"/>
        <v>0</v>
      </c>
      <c r="AJ772" s="96">
        <f t="shared" si="1878"/>
        <v>0</v>
      </c>
      <c r="AK772" s="96"/>
      <c r="AL772" s="96">
        <f>N772*AK772/1000</f>
        <v>0</v>
      </c>
      <c r="AM772" s="96"/>
      <c r="AN772" s="96">
        <f>N772*AM772/1000</f>
        <v>0</v>
      </c>
      <c r="AO772" s="96"/>
      <c r="AP772" s="96">
        <f>N772*AO772/1000</f>
        <v>0</v>
      </c>
      <c r="AQ772" s="96">
        <f t="shared" si="1879"/>
        <v>0</v>
      </c>
      <c r="AR772" s="96">
        <f t="shared" si="1880"/>
        <v>0</v>
      </c>
      <c r="AS772" s="96"/>
      <c r="AT772" s="96">
        <f>P772*AS772/1000</f>
        <v>0</v>
      </c>
      <c r="AU772" s="96"/>
      <c r="AV772" s="96">
        <f>P772*AU772/1000</f>
        <v>0</v>
      </c>
      <c r="AW772" s="96"/>
      <c r="AX772" s="96">
        <f>P772*AW772/1000</f>
        <v>0</v>
      </c>
      <c r="AY772" s="96">
        <f t="shared" si="1881"/>
        <v>0</v>
      </c>
      <c r="AZ772" s="96">
        <f t="shared" si="1882"/>
        <v>0</v>
      </c>
      <c r="BA772" s="96">
        <f t="shared" si="1883"/>
        <v>0</v>
      </c>
      <c r="BB772" s="96">
        <f t="shared" si="1884"/>
        <v>0</v>
      </c>
    </row>
    <row r="773" spans="1:54" ht="12" customHeight="1">
      <c r="A773" s="492">
        <v>446</v>
      </c>
      <c r="B773" s="13"/>
      <c r="C773" s="13"/>
      <c r="D773" s="13"/>
      <c r="E773" s="21" t="s">
        <v>1301</v>
      </c>
      <c r="F773" s="45"/>
      <c r="G773" s="45" t="s">
        <v>1059</v>
      </c>
      <c r="H773" s="265" t="s">
        <v>357</v>
      </c>
      <c r="I773" s="54"/>
      <c r="J773" s="162">
        <v>8861</v>
      </c>
      <c r="K773" s="54"/>
      <c r="L773" s="162">
        <v>8861</v>
      </c>
      <c r="M773" s="54"/>
      <c r="N773" s="162"/>
      <c r="O773" s="54"/>
      <c r="P773" s="162"/>
      <c r="Q773" s="96">
        <f t="shared" si="1871"/>
        <v>2.2599999999999998</v>
      </c>
      <c r="R773" s="337">
        <f t="shared" si="1872"/>
        <v>20.025860000000002</v>
      </c>
      <c r="S773" s="96">
        <v>0.47799999999999998</v>
      </c>
      <c r="T773" s="96">
        <f>J773*S773/1000</f>
        <v>4.2355580000000002</v>
      </c>
      <c r="U773" s="96">
        <v>0.5</v>
      </c>
      <c r="V773" s="96">
        <f>J773*U773/1000</f>
        <v>4.4305000000000003</v>
      </c>
      <c r="W773" s="96">
        <v>0.22</v>
      </c>
      <c r="X773" s="96">
        <f>J773*W773/1000</f>
        <v>1.9494200000000002</v>
      </c>
      <c r="Y773" s="96">
        <f t="shared" si="1873"/>
        <v>1.198</v>
      </c>
      <c r="Z773" s="96">
        <f t="shared" si="1874"/>
        <v>10.615478</v>
      </c>
      <c r="AA773" s="96">
        <v>1.0620000000000001</v>
      </c>
      <c r="AB773" s="96">
        <f>L773*AA773/1000</f>
        <v>9.4103820000000002</v>
      </c>
      <c r="AC773" s="96"/>
      <c r="AD773" s="96">
        <f>L773*AC773/1000</f>
        <v>0</v>
      </c>
      <c r="AE773" s="96"/>
      <c r="AF773" s="96">
        <f>L773*AE773/1000</f>
        <v>0</v>
      </c>
      <c r="AG773" s="96">
        <f t="shared" si="1875"/>
        <v>1.0620000000000001</v>
      </c>
      <c r="AH773" s="96">
        <f t="shared" si="1876"/>
        <v>9.4103820000000002</v>
      </c>
      <c r="AI773" s="96">
        <f t="shared" si="1877"/>
        <v>2.2599999999999998</v>
      </c>
      <c r="AJ773" s="96">
        <f t="shared" si="1878"/>
        <v>20.025860000000002</v>
      </c>
      <c r="AK773" s="96"/>
      <c r="AL773" s="96">
        <f>N773*AK773/1000</f>
        <v>0</v>
      </c>
      <c r="AM773" s="96"/>
      <c r="AN773" s="96">
        <f>N773*AM773/1000</f>
        <v>0</v>
      </c>
      <c r="AO773" s="96"/>
      <c r="AP773" s="96">
        <f>N773*AO773/1000</f>
        <v>0</v>
      </c>
      <c r="AQ773" s="96">
        <f t="shared" si="1879"/>
        <v>0</v>
      </c>
      <c r="AR773" s="96">
        <f t="shared" si="1880"/>
        <v>0</v>
      </c>
      <c r="AS773" s="96"/>
      <c r="AT773" s="96">
        <f>P773*AS773/1000</f>
        <v>0</v>
      </c>
      <c r="AU773" s="96"/>
      <c r="AV773" s="96">
        <f>P773*AU773/1000</f>
        <v>0</v>
      </c>
      <c r="AW773" s="96"/>
      <c r="AX773" s="96">
        <f>P773*AW773/1000</f>
        <v>0</v>
      </c>
      <c r="AY773" s="96">
        <f t="shared" si="1881"/>
        <v>0</v>
      </c>
      <c r="AZ773" s="96">
        <f t="shared" si="1882"/>
        <v>0</v>
      </c>
      <c r="BA773" s="96">
        <f t="shared" si="1883"/>
        <v>0</v>
      </c>
      <c r="BB773" s="96">
        <f t="shared" si="1884"/>
        <v>0</v>
      </c>
    </row>
    <row r="774" spans="1:54">
      <c r="A774" s="492">
        <v>474</v>
      </c>
      <c r="B774" s="13"/>
      <c r="C774" s="13"/>
      <c r="D774" s="13"/>
      <c r="E774" s="21" t="s">
        <v>1443</v>
      </c>
      <c r="F774" s="45"/>
      <c r="G774" s="45" t="s">
        <v>1059</v>
      </c>
      <c r="H774" s="265" t="s">
        <v>357</v>
      </c>
      <c r="I774" s="54">
        <v>4.51</v>
      </c>
      <c r="J774" s="162"/>
      <c r="K774" s="54">
        <v>4.51</v>
      </c>
      <c r="L774" s="162"/>
      <c r="M774" s="54"/>
      <c r="N774" s="162"/>
      <c r="O774" s="54"/>
      <c r="P774" s="162"/>
      <c r="Q774" s="96">
        <f t="shared" si="1871"/>
        <v>0</v>
      </c>
      <c r="R774" s="337">
        <f t="shared" si="1872"/>
        <v>0</v>
      </c>
      <c r="S774" s="96"/>
      <c r="T774" s="96">
        <f t="shared" ref="T774:T805" si="1885">I774*S774*$T$2/1000</f>
        <v>0</v>
      </c>
      <c r="U774" s="96"/>
      <c r="V774" s="96">
        <f t="shared" ref="V774:V805" si="1886">I774*U774*$V$2/1000</f>
        <v>0</v>
      </c>
      <c r="W774" s="96"/>
      <c r="X774" s="96">
        <f t="shared" ref="X774:X805" si="1887">I774*W774*$X$2/1000</f>
        <v>0</v>
      </c>
      <c r="Y774" s="96">
        <f t="shared" si="1873"/>
        <v>0</v>
      </c>
      <c r="Z774" s="96">
        <f t="shared" si="1874"/>
        <v>0</v>
      </c>
      <c r="AA774" s="96"/>
      <c r="AB774" s="96">
        <f t="shared" ref="AB774:AB805" si="1888">K774*AA774*$AB$2/1000</f>
        <v>0</v>
      </c>
      <c r="AC774" s="96"/>
      <c r="AD774" s="96">
        <f t="shared" ref="AD774:AD805" si="1889">K774*AC774*$AD$2/1000</f>
        <v>0</v>
      </c>
      <c r="AE774" s="96"/>
      <c r="AF774" s="96">
        <f t="shared" ref="AF774:AF805" si="1890">K774*AE774*$AF$2/1000</f>
        <v>0</v>
      </c>
      <c r="AG774" s="96">
        <f t="shared" si="1875"/>
        <v>0</v>
      </c>
      <c r="AH774" s="96">
        <f t="shared" si="1876"/>
        <v>0</v>
      </c>
      <c r="AI774" s="96">
        <f t="shared" si="1877"/>
        <v>0</v>
      </c>
      <c r="AJ774" s="96">
        <f t="shared" si="1878"/>
        <v>0</v>
      </c>
      <c r="AK774" s="96"/>
      <c r="AL774" s="96">
        <f t="shared" ref="AL774:AL805" si="1891">M774*AK774*$AL$2/1000</f>
        <v>0</v>
      </c>
      <c r="AM774" s="96"/>
      <c r="AN774" s="96">
        <f t="shared" ref="AN774:AN805" si="1892">M774*AM774*$AN$2/1000</f>
        <v>0</v>
      </c>
      <c r="AO774" s="96"/>
      <c r="AP774" s="96">
        <f t="shared" ref="AP774:AP805" si="1893">M774*AO774*$AP$2/1000</f>
        <v>0</v>
      </c>
      <c r="AQ774" s="96">
        <f t="shared" si="1879"/>
        <v>0</v>
      </c>
      <c r="AR774" s="96">
        <f t="shared" si="1880"/>
        <v>0</v>
      </c>
      <c r="AS774" s="96"/>
      <c r="AT774" s="96">
        <f t="shared" ref="AT774:AT805" si="1894">O774*AS774*$AT$2/1000</f>
        <v>0</v>
      </c>
      <c r="AU774" s="96"/>
      <c r="AV774" s="96">
        <f t="shared" ref="AV774:AV805" si="1895">O774*AU774*$AV$2/1000</f>
        <v>0</v>
      </c>
      <c r="AW774" s="96"/>
      <c r="AX774" s="96">
        <f t="shared" ref="AX774:AX805" si="1896">O774*AW774*$AX$2/1000</f>
        <v>0</v>
      </c>
      <c r="AY774" s="96">
        <f t="shared" si="1881"/>
        <v>0</v>
      </c>
      <c r="AZ774" s="96">
        <f t="shared" si="1882"/>
        <v>0</v>
      </c>
      <c r="BA774" s="96">
        <f t="shared" si="1883"/>
        <v>0</v>
      </c>
      <c r="BB774" s="96">
        <f t="shared" si="1884"/>
        <v>0</v>
      </c>
    </row>
    <row r="775" spans="1:54">
      <c r="A775" s="492">
        <v>468</v>
      </c>
      <c r="B775" s="13"/>
      <c r="C775" s="13"/>
      <c r="D775" s="13"/>
      <c r="E775" s="21" t="s">
        <v>596</v>
      </c>
      <c r="F775" s="45"/>
      <c r="G775" s="45" t="s">
        <v>1059</v>
      </c>
      <c r="H775" s="265" t="s">
        <v>357</v>
      </c>
      <c r="I775" s="54">
        <v>4.1500000000000004</v>
      </c>
      <c r="J775" s="162"/>
      <c r="K775" s="54">
        <v>4.1500000000000004</v>
      </c>
      <c r="L775" s="162"/>
      <c r="M775" s="54"/>
      <c r="N775" s="162"/>
      <c r="O775" s="54"/>
      <c r="P775" s="162"/>
      <c r="Q775" s="96">
        <f t="shared" si="1871"/>
        <v>0</v>
      </c>
      <c r="R775" s="337">
        <f t="shared" si="1872"/>
        <v>0</v>
      </c>
      <c r="S775" s="96"/>
      <c r="T775" s="96">
        <f t="shared" si="1885"/>
        <v>0</v>
      </c>
      <c r="U775" s="96"/>
      <c r="V775" s="96">
        <f t="shared" si="1886"/>
        <v>0</v>
      </c>
      <c r="W775" s="96"/>
      <c r="X775" s="96">
        <f t="shared" si="1887"/>
        <v>0</v>
      </c>
      <c r="Y775" s="96">
        <f t="shared" si="1873"/>
        <v>0</v>
      </c>
      <c r="Z775" s="96">
        <f t="shared" si="1874"/>
        <v>0</v>
      </c>
      <c r="AA775" s="96"/>
      <c r="AB775" s="96">
        <f t="shared" si="1888"/>
        <v>0</v>
      </c>
      <c r="AC775" s="96"/>
      <c r="AD775" s="96">
        <f t="shared" si="1889"/>
        <v>0</v>
      </c>
      <c r="AE775" s="96"/>
      <c r="AF775" s="96">
        <f t="shared" si="1890"/>
        <v>0</v>
      </c>
      <c r="AG775" s="96">
        <f t="shared" si="1875"/>
        <v>0</v>
      </c>
      <c r="AH775" s="96">
        <f t="shared" si="1876"/>
        <v>0</v>
      </c>
      <c r="AI775" s="96">
        <f t="shared" si="1877"/>
        <v>0</v>
      </c>
      <c r="AJ775" s="96">
        <f t="shared" si="1878"/>
        <v>0</v>
      </c>
      <c r="AK775" s="96"/>
      <c r="AL775" s="96">
        <f t="shared" si="1891"/>
        <v>0</v>
      </c>
      <c r="AM775" s="96"/>
      <c r="AN775" s="96">
        <f t="shared" si="1892"/>
        <v>0</v>
      </c>
      <c r="AO775" s="96"/>
      <c r="AP775" s="96">
        <f t="shared" si="1893"/>
        <v>0</v>
      </c>
      <c r="AQ775" s="96">
        <f t="shared" si="1879"/>
        <v>0</v>
      </c>
      <c r="AR775" s="96">
        <f t="shared" si="1880"/>
        <v>0</v>
      </c>
      <c r="AS775" s="96"/>
      <c r="AT775" s="96">
        <f t="shared" si="1894"/>
        <v>0</v>
      </c>
      <c r="AU775" s="96"/>
      <c r="AV775" s="96">
        <f t="shared" si="1895"/>
        <v>0</v>
      </c>
      <c r="AW775" s="96"/>
      <c r="AX775" s="96">
        <f t="shared" si="1896"/>
        <v>0</v>
      </c>
      <c r="AY775" s="96">
        <f t="shared" si="1881"/>
        <v>0</v>
      </c>
      <c r="AZ775" s="96">
        <f t="shared" si="1882"/>
        <v>0</v>
      </c>
      <c r="BA775" s="96">
        <f t="shared" si="1883"/>
        <v>0</v>
      </c>
      <c r="BB775" s="96">
        <f t="shared" si="1884"/>
        <v>0</v>
      </c>
    </row>
    <row r="776" spans="1:54">
      <c r="A776" s="492">
        <v>469</v>
      </c>
      <c r="B776" s="13"/>
      <c r="C776" s="13"/>
      <c r="D776" s="13"/>
      <c r="E776" s="21" t="s">
        <v>649</v>
      </c>
      <c r="F776" s="45"/>
      <c r="G776" s="45" t="s">
        <v>1059</v>
      </c>
      <c r="H776" s="265" t="s">
        <v>357</v>
      </c>
      <c r="I776" s="54">
        <v>4.3499999999999996</v>
      </c>
      <c r="J776" s="162"/>
      <c r="K776" s="54">
        <v>4.3499999999999996</v>
      </c>
      <c r="L776" s="162"/>
      <c r="M776" s="54"/>
      <c r="N776" s="162"/>
      <c r="O776" s="54"/>
      <c r="P776" s="162"/>
      <c r="Q776" s="96">
        <f t="shared" si="1871"/>
        <v>0</v>
      </c>
      <c r="R776" s="337">
        <f t="shared" si="1872"/>
        <v>0</v>
      </c>
      <c r="S776" s="96"/>
      <c r="T776" s="96">
        <f t="shared" si="1885"/>
        <v>0</v>
      </c>
      <c r="U776" s="96"/>
      <c r="V776" s="96">
        <f t="shared" si="1886"/>
        <v>0</v>
      </c>
      <c r="W776" s="96"/>
      <c r="X776" s="96">
        <f t="shared" si="1887"/>
        <v>0</v>
      </c>
      <c r="Y776" s="96">
        <f t="shared" si="1873"/>
        <v>0</v>
      </c>
      <c r="Z776" s="96">
        <f t="shared" si="1874"/>
        <v>0</v>
      </c>
      <c r="AA776" s="96"/>
      <c r="AB776" s="96">
        <f t="shared" si="1888"/>
        <v>0</v>
      </c>
      <c r="AC776" s="96"/>
      <c r="AD776" s="96">
        <f t="shared" si="1889"/>
        <v>0</v>
      </c>
      <c r="AE776" s="96"/>
      <c r="AF776" s="96">
        <f t="shared" si="1890"/>
        <v>0</v>
      </c>
      <c r="AG776" s="96">
        <f t="shared" si="1875"/>
        <v>0</v>
      </c>
      <c r="AH776" s="96">
        <f t="shared" si="1876"/>
        <v>0</v>
      </c>
      <c r="AI776" s="96">
        <f t="shared" si="1877"/>
        <v>0</v>
      </c>
      <c r="AJ776" s="96">
        <f t="shared" si="1878"/>
        <v>0</v>
      </c>
      <c r="AK776" s="96"/>
      <c r="AL776" s="96">
        <f t="shared" si="1891"/>
        <v>0</v>
      </c>
      <c r="AM776" s="96"/>
      <c r="AN776" s="96">
        <f t="shared" si="1892"/>
        <v>0</v>
      </c>
      <c r="AO776" s="96"/>
      <c r="AP776" s="96">
        <f t="shared" si="1893"/>
        <v>0</v>
      </c>
      <c r="AQ776" s="96">
        <f t="shared" si="1879"/>
        <v>0</v>
      </c>
      <c r="AR776" s="96">
        <f t="shared" si="1880"/>
        <v>0</v>
      </c>
      <c r="AS776" s="96"/>
      <c r="AT776" s="96">
        <f t="shared" si="1894"/>
        <v>0</v>
      </c>
      <c r="AU776" s="96"/>
      <c r="AV776" s="96">
        <f t="shared" si="1895"/>
        <v>0</v>
      </c>
      <c r="AW776" s="96"/>
      <c r="AX776" s="96">
        <f t="shared" si="1896"/>
        <v>0</v>
      </c>
      <c r="AY776" s="96">
        <f t="shared" si="1881"/>
        <v>0</v>
      </c>
      <c r="AZ776" s="96">
        <f t="shared" si="1882"/>
        <v>0</v>
      </c>
      <c r="BA776" s="96">
        <f t="shared" si="1883"/>
        <v>0</v>
      </c>
      <c r="BB776" s="96">
        <f t="shared" si="1884"/>
        <v>0</v>
      </c>
    </row>
    <row r="777" spans="1:54">
      <c r="A777" s="492">
        <v>470</v>
      </c>
      <c r="B777" s="13"/>
      <c r="C777" s="13"/>
      <c r="D777" s="13"/>
      <c r="E777" s="21" t="s">
        <v>813</v>
      </c>
      <c r="F777" s="45"/>
      <c r="G777" s="45" t="s">
        <v>1059</v>
      </c>
      <c r="H777" s="265" t="s">
        <v>357</v>
      </c>
      <c r="I777" s="54">
        <v>4.1500000000000004</v>
      </c>
      <c r="J777" s="162"/>
      <c r="K777" s="54">
        <v>4.1500000000000004</v>
      </c>
      <c r="L777" s="162"/>
      <c r="M777" s="54"/>
      <c r="N777" s="162"/>
      <c r="O777" s="54"/>
      <c r="P777" s="162"/>
      <c r="Q777" s="96">
        <f t="shared" si="1871"/>
        <v>9.7319999999999993</v>
      </c>
      <c r="R777" s="337">
        <f t="shared" si="1872"/>
        <v>59.000538214000017</v>
      </c>
      <c r="S777" s="96">
        <v>2.8460000000000001</v>
      </c>
      <c r="T777" s="96">
        <f t="shared" si="1885"/>
        <v>17.050805785000005</v>
      </c>
      <c r="U777" s="96">
        <v>3.6960000000000002</v>
      </c>
      <c r="V777" s="96">
        <f t="shared" si="1886"/>
        <v>22.060607184000006</v>
      </c>
      <c r="W777" s="96">
        <v>3.19</v>
      </c>
      <c r="X777" s="96">
        <f t="shared" si="1887"/>
        <v>19.889125244999999</v>
      </c>
      <c r="Y777" s="96">
        <f t="shared" si="1873"/>
        <v>9.7319999999999993</v>
      </c>
      <c r="Z777" s="96">
        <f t="shared" si="1874"/>
        <v>59.000538214000017</v>
      </c>
      <c r="AA777" s="96"/>
      <c r="AB777" s="96">
        <f t="shared" si="1888"/>
        <v>0</v>
      </c>
      <c r="AC777" s="96"/>
      <c r="AD777" s="96">
        <f t="shared" si="1889"/>
        <v>0</v>
      </c>
      <c r="AE777" s="96"/>
      <c r="AF777" s="96">
        <f t="shared" si="1890"/>
        <v>0</v>
      </c>
      <c r="AG777" s="96">
        <f t="shared" si="1875"/>
        <v>0</v>
      </c>
      <c r="AH777" s="96">
        <f t="shared" si="1876"/>
        <v>0</v>
      </c>
      <c r="AI777" s="96">
        <f t="shared" si="1877"/>
        <v>9.7319999999999993</v>
      </c>
      <c r="AJ777" s="96">
        <f t="shared" si="1878"/>
        <v>59.000538214000017</v>
      </c>
      <c r="AK777" s="96"/>
      <c r="AL777" s="96">
        <f t="shared" si="1891"/>
        <v>0</v>
      </c>
      <c r="AM777" s="96"/>
      <c r="AN777" s="96">
        <f t="shared" si="1892"/>
        <v>0</v>
      </c>
      <c r="AO777" s="96"/>
      <c r="AP777" s="96">
        <f t="shared" si="1893"/>
        <v>0</v>
      </c>
      <c r="AQ777" s="96">
        <f t="shared" si="1879"/>
        <v>0</v>
      </c>
      <c r="AR777" s="96">
        <f t="shared" si="1880"/>
        <v>0</v>
      </c>
      <c r="AS777" s="96"/>
      <c r="AT777" s="96">
        <f t="shared" si="1894"/>
        <v>0</v>
      </c>
      <c r="AU777" s="96"/>
      <c r="AV777" s="96">
        <f t="shared" si="1895"/>
        <v>0</v>
      </c>
      <c r="AW777" s="96"/>
      <c r="AX777" s="96">
        <f t="shared" si="1896"/>
        <v>0</v>
      </c>
      <c r="AY777" s="96">
        <f t="shared" si="1881"/>
        <v>0</v>
      </c>
      <c r="AZ777" s="96">
        <f t="shared" si="1882"/>
        <v>0</v>
      </c>
      <c r="BA777" s="96">
        <f t="shared" si="1883"/>
        <v>0</v>
      </c>
      <c r="BB777" s="96">
        <f t="shared" si="1884"/>
        <v>0</v>
      </c>
    </row>
    <row r="778" spans="1:54">
      <c r="A778" s="492">
        <v>471</v>
      </c>
      <c r="B778" s="13"/>
      <c r="C778" s="13"/>
      <c r="D778" s="13"/>
      <c r="E778" s="21" t="s">
        <v>857</v>
      </c>
      <c r="F778" s="45"/>
      <c r="G778" s="45" t="s">
        <v>1059</v>
      </c>
      <c r="H778" s="265" t="s">
        <v>357</v>
      </c>
      <c r="I778" s="54">
        <v>4.7</v>
      </c>
      <c r="J778" s="162"/>
      <c r="K778" s="54">
        <v>4.7</v>
      </c>
      <c r="L778" s="162"/>
      <c r="M778" s="54"/>
      <c r="N778" s="162"/>
      <c r="O778" s="54"/>
      <c r="P778" s="162"/>
      <c r="Q778" s="96">
        <f t="shared" si="1871"/>
        <v>11.085000000000001</v>
      </c>
      <c r="R778" s="337">
        <f t="shared" si="1872"/>
        <v>75.213443175000009</v>
      </c>
      <c r="S778" s="96">
        <v>11.085000000000001</v>
      </c>
      <c r="T778" s="96">
        <f t="shared" si="1885"/>
        <v>75.213443175000009</v>
      </c>
      <c r="U778" s="96"/>
      <c r="V778" s="96">
        <f t="shared" si="1886"/>
        <v>0</v>
      </c>
      <c r="W778" s="96"/>
      <c r="X778" s="96">
        <f t="shared" si="1887"/>
        <v>0</v>
      </c>
      <c r="Y778" s="96">
        <f t="shared" si="1873"/>
        <v>11.085000000000001</v>
      </c>
      <c r="Z778" s="96">
        <f t="shared" si="1874"/>
        <v>75.213443175000009</v>
      </c>
      <c r="AA778" s="96"/>
      <c r="AB778" s="96">
        <f t="shared" si="1888"/>
        <v>0</v>
      </c>
      <c r="AC778" s="96"/>
      <c r="AD778" s="96">
        <f t="shared" si="1889"/>
        <v>0</v>
      </c>
      <c r="AE778" s="96"/>
      <c r="AF778" s="96">
        <f t="shared" si="1890"/>
        <v>0</v>
      </c>
      <c r="AG778" s="96">
        <f t="shared" si="1875"/>
        <v>0</v>
      </c>
      <c r="AH778" s="96">
        <f t="shared" si="1876"/>
        <v>0</v>
      </c>
      <c r="AI778" s="96">
        <f t="shared" si="1877"/>
        <v>11.085000000000001</v>
      </c>
      <c r="AJ778" s="96">
        <f t="shared" si="1878"/>
        <v>75.213443175000009</v>
      </c>
      <c r="AK778" s="96"/>
      <c r="AL778" s="96">
        <f t="shared" si="1891"/>
        <v>0</v>
      </c>
      <c r="AM778" s="96"/>
      <c r="AN778" s="96">
        <f t="shared" si="1892"/>
        <v>0</v>
      </c>
      <c r="AO778" s="96"/>
      <c r="AP778" s="96">
        <f t="shared" si="1893"/>
        <v>0</v>
      </c>
      <c r="AQ778" s="96">
        <f t="shared" si="1879"/>
        <v>0</v>
      </c>
      <c r="AR778" s="96">
        <f t="shared" si="1880"/>
        <v>0</v>
      </c>
      <c r="AS778" s="96"/>
      <c r="AT778" s="96">
        <f t="shared" si="1894"/>
        <v>0</v>
      </c>
      <c r="AU778" s="96"/>
      <c r="AV778" s="96">
        <f t="shared" si="1895"/>
        <v>0</v>
      </c>
      <c r="AW778" s="96"/>
      <c r="AX778" s="96">
        <f t="shared" si="1896"/>
        <v>0</v>
      </c>
      <c r="AY778" s="96">
        <f t="shared" si="1881"/>
        <v>0</v>
      </c>
      <c r="AZ778" s="96">
        <f t="shared" si="1882"/>
        <v>0</v>
      </c>
      <c r="BA778" s="96">
        <f t="shared" si="1883"/>
        <v>0</v>
      </c>
      <c r="BB778" s="96">
        <f t="shared" si="1884"/>
        <v>0</v>
      </c>
    </row>
    <row r="779" spans="1:54">
      <c r="A779" s="492">
        <v>472</v>
      </c>
      <c r="B779" s="13"/>
      <c r="C779" s="13"/>
      <c r="D779" s="13"/>
      <c r="E779" s="21" t="s">
        <v>846</v>
      </c>
      <c r="F779" s="45"/>
      <c r="G779" s="45" t="s">
        <v>1059</v>
      </c>
      <c r="H779" s="265" t="s">
        <v>357</v>
      </c>
      <c r="I779" s="54">
        <v>4.42</v>
      </c>
      <c r="J779" s="162"/>
      <c r="K779" s="54">
        <v>4.42</v>
      </c>
      <c r="L779" s="162"/>
      <c r="M779" s="54"/>
      <c r="N779" s="162"/>
      <c r="O779" s="54"/>
      <c r="P779" s="162"/>
      <c r="Q779" s="96">
        <f t="shared" si="1871"/>
        <v>7.5750000000000002</v>
      </c>
      <c r="R779" s="337">
        <f t="shared" si="1872"/>
        <v>49.121633977000002</v>
      </c>
      <c r="S779" s="96">
        <v>3.3650000000000002</v>
      </c>
      <c r="T779" s="96">
        <f t="shared" si="1885"/>
        <v>21.471839545000002</v>
      </c>
      <c r="U779" s="96"/>
      <c r="V779" s="96">
        <f t="shared" si="1886"/>
        <v>0</v>
      </c>
      <c r="W779" s="96">
        <v>1</v>
      </c>
      <c r="X779" s="96">
        <f t="shared" si="1887"/>
        <v>6.6404753999999997</v>
      </c>
      <c r="Y779" s="96">
        <f t="shared" si="1873"/>
        <v>4.3650000000000002</v>
      </c>
      <c r="Z779" s="96">
        <f t="shared" si="1874"/>
        <v>28.112314945000001</v>
      </c>
      <c r="AA779" s="96">
        <v>3.21</v>
      </c>
      <c r="AB779" s="96">
        <f t="shared" si="1888"/>
        <v>21.009319032000001</v>
      </c>
      <c r="AC779" s="96"/>
      <c r="AD779" s="96">
        <f t="shared" si="1889"/>
        <v>0</v>
      </c>
      <c r="AE779" s="96"/>
      <c r="AF779" s="96">
        <f t="shared" si="1890"/>
        <v>0</v>
      </c>
      <c r="AG779" s="96">
        <f t="shared" si="1875"/>
        <v>3.21</v>
      </c>
      <c r="AH779" s="96">
        <f t="shared" si="1876"/>
        <v>21.009319032000001</v>
      </c>
      <c r="AI779" s="96">
        <f t="shared" si="1877"/>
        <v>7.5750000000000002</v>
      </c>
      <c r="AJ779" s="96">
        <f t="shared" si="1878"/>
        <v>49.121633977000002</v>
      </c>
      <c r="AK779" s="96"/>
      <c r="AL779" s="96">
        <f t="shared" si="1891"/>
        <v>0</v>
      </c>
      <c r="AM779" s="96"/>
      <c r="AN779" s="96">
        <f t="shared" si="1892"/>
        <v>0</v>
      </c>
      <c r="AO779" s="96"/>
      <c r="AP779" s="96">
        <f t="shared" si="1893"/>
        <v>0</v>
      </c>
      <c r="AQ779" s="96">
        <f t="shared" si="1879"/>
        <v>0</v>
      </c>
      <c r="AR779" s="96">
        <f t="shared" si="1880"/>
        <v>0</v>
      </c>
      <c r="AS779" s="96"/>
      <c r="AT779" s="96">
        <f t="shared" si="1894"/>
        <v>0</v>
      </c>
      <c r="AU779" s="96"/>
      <c r="AV779" s="96">
        <f t="shared" si="1895"/>
        <v>0</v>
      </c>
      <c r="AW779" s="96"/>
      <c r="AX779" s="96">
        <f t="shared" si="1896"/>
        <v>0</v>
      </c>
      <c r="AY779" s="96">
        <f t="shared" si="1881"/>
        <v>0</v>
      </c>
      <c r="AZ779" s="96">
        <f t="shared" si="1882"/>
        <v>0</v>
      </c>
      <c r="BA779" s="96">
        <f t="shared" si="1883"/>
        <v>0</v>
      </c>
      <c r="BB779" s="96">
        <f t="shared" si="1884"/>
        <v>0</v>
      </c>
    </row>
    <row r="780" spans="1:54" hidden="1">
      <c r="A780" s="492">
        <v>473</v>
      </c>
      <c r="B780" s="13"/>
      <c r="C780" s="13"/>
      <c r="D780" s="13"/>
      <c r="E780" s="21" t="s">
        <v>564</v>
      </c>
      <c r="F780" s="45"/>
      <c r="G780" s="45" t="s">
        <v>1059</v>
      </c>
      <c r="H780" s="265" t="s">
        <v>357</v>
      </c>
      <c r="I780" s="54">
        <v>0.96</v>
      </c>
      <c r="J780" s="162"/>
      <c r="K780" s="54">
        <v>0.96</v>
      </c>
      <c r="L780" s="162"/>
      <c r="M780" s="54"/>
      <c r="N780" s="162"/>
      <c r="O780" s="54"/>
      <c r="P780" s="162"/>
      <c r="Q780" s="96">
        <f t="shared" si="1871"/>
        <v>0</v>
      </c>
      <c r="R780" s="337">
        <f t="shared" si="1872"/>
        <v>0</v>
      </c>
      <c r="S780" s="96"/>
      <c r="T780" s="96">
        <f t="shared" si="1885"/>
        <v>0</v>
      </c>
      <c r="U780" s="96"/>
      <c r="V780" s="96">
        <f t="shared" si="1886"/>
        <v>0</v>
      </c>
      <c r="W780" s="96"/>
      <c r="X780" s="96">
        <f t="shared" si="1887"/>
        <v>0</v>
      </c>
      <c r="Y780" s="96">
        <f t="shared" si="1873"/>
        <v>0</v>
      </c>
      <c r="Z780" s="96">
        <f t="shared" si="1874"/>
        <v>0</v>
      </c>
      <c r="AA780" s="96"/>
      <c r="AB780" s="96">
        <f t="shared" si="1888"/>
        <v>0</v>
      </c>
      <c r="AC780" s="96"/>
      <c r="AD780" s="96">
        <f t="shared" si="1889"/>
        <v>0</v>
      </c>
      <c r="AE780" s="96"/>
      <c r="AF780" s="96">
        <f t="shared" si="1890"/>
        <v>0</v>
      </c>
      <c r="AG780" s="96">
        <f t="shared" si="1875"/>
        <v>0</v>
      </c>
      <c r="AH780" s="96">
        <f t="shared" si="1876"/>
        <v>0</v>
      </c>
      <c r="AI780" s="96">
        <f t="shared" si="1877"/>
        <v>0</v>
      </c>
      <c r="AJ780" s="96">
        <f t="shared" si="1878"/>
        <v>0</v>
      </c>
      <c r="AK780" s="96"/>
      <c r="AL780" s="96">
        <f t="shared" si="1891"/>
        <v>0</v>
      </c>
      <c r="AM780" s="96"/>
      <c r="AN780" s="96">
        <f t="shared" si="1892"/>
        <v>0</v>
      </c>
      <c r="AO780" s="96"/>
      <c r="AP780" s="96">
        <f t="shared" si="1893"/>
        <v>0</v>
      </c>
      <c r="AQ780" s="96">
        <f t="shared" si="1879"/>
        <v>0</v>
      </c>
      <c r="AR780" s="96">
        <f t="shared" si="1880"/>
        <v>0</v>
      </c>
      <c r="AS780" s="96"/>
      <c r="AT780" s="96">
        <f t="shared" si="1894"/>
        <v>0</v>
      </c>
      <c r="AU780" s="96"/>
      <c r="AV780" s="96">
        <f t="shared" si="1895"/>
        <v>0</v>
      </c>
      <c r="AW780" s="96"/>
      <c r="AX780" s="96">
        <f t="shared" si="1896"/>
        <v>0</v>
      </c>
      <c r="AY780" s="96">
        <f t="shared" si="1881"/>
        <v>0</v>
      </c>
      <c r="AZ780" s="96">
        <f t="shared" si="1882"/>
        <v>0</v>
      </c>
      <c r="BA780" s="96">
        <f t="shared" si="1883"/>
        <v>0</v>
      </c>
      <c r="BB780" s="96">
        <f t="shared" si="1884"/>
        <v>0</v>
      </c>
    </row>
    <row r="781" spans="1:54" hidden="1">
      <c r="A781" s="492">
        <v>474</v>
      </c>
      <c r="B781" s="13"/>
      <c r="C781" s="13"/>
      <c r="D781" s="13"/>
      <c r="E781" s="21" t="s">
        <v>565</v>
      </c>
      <c r="F781" s="45"/>
      <c r="G781" s="45" t="s">
        <v>1059</v>
      </c>
      <c r="H781" s="265" t="s">
        <v>357</v>
      </c>
      <c r="I781" s="54">
        <v>3.54</v>
      </c>
      <c r="J781" s="162"/>
      <c r="K781" s="54">
        <v>3.54</v>
      </c>
      <c r="L781" s="162"/>
      <c r="M781" s="54"/>
      <c r="N781" s="162"/>
      <c r="O781" s="54"/>
      <c r="P781" s="162"/>
      <c r="Q781" s="96">
        <f t="shared" si="1871"/>
        <v>0</v>
      </c>
      <c r="R781" s="337">
        <f t="shared" si="1872"/>
        <v>0</v>
      </c>
      <c r="S781" s="96"/>
      <c r="T781" s="96">
        <f t="shared" si="1885"/>
        <v>0</v>
      </c>
      <c r="U781" s="96"/>
      <c r="V781" s="96">
        <f t="shared" si="1886"/>
        <v>0</v>
      </c>
      <c r="W781" s="96"/>
      <c r="X781" s="96">
        <f t="shared" si="1887"/>
        <v>0</v>
      </c>
      <c r="Y781" s="96">
        <f t="shared" si="1873"/>
        <v>0</v>
      </c>
      <c r="Z781" s="96">
        <f t="shared" si="1874"/>
        <v>0</v>
      </c>
      <c r="AA781" s="96"/>
      <c r="AB781" s="96">
        <f t="shared" si="1888"/>
        <v>0</v>
      </c>
      <c r="AC781" s="96"/>
      <c r="AD781" s="96">
        <f t="shared" si="1889"/>
        <v>0</v>
      </c>
      <c r="AE781" s="96"/>
      <c r="AF781" s="96">
        <f t="shared" si="1890"/>
        <v>0</v>
      </c>
      <c r="AG781" s="96">
        <f t="shared" si="1875"/>
        <v>0</v>
      </c>
      <c r="AH781" s="96">
        <f t="shared" si="1876"/>
        <v>0</v>
      </c>
      <c r="AI781" s="96">
        <f t="shared" si="1877"/>
        <v>0</v>
      </c>
      <c r="AJ781" s="96">
        <f t="shared" si="1878"/>
        <v>0</v>
      </c>
      <c r="AK781" s="96"/>
      <c r="AL781" s="96">
        <f t="shared" si="1891"/>
        <v>0</v>
      </c>
      <c r="AM781" s="96"/>
      <c r="AN781" s="96">
        <f t="shared" si="1892"/>
        <v>0</v>
      </c>
      <c r="AO781" s="96"/>
      <c r="AP781" s="96">
        <f t="shared" si="1893"/>
        <v>0</v>
      </c>
      <c r="AQ781" s="96">
        <f t="shared" si="1879"/>
        <v>0</v>
      </c>
      <c r="AR781" s="96">
        <f t="shared" si="1880"/>
        <v>0</v>
      </c>
      <c r="AS781" s="96"/>
      <c r="AT781" s="96">
        <f t="shared" si="1894"/>
        <v>0</v>
      </c>
      <c r="AU781" s="96"/>
      <c r="AV781" s="96">
        <f t="shared" si="1895"/>
        <v>0</v>
      </c>
      <c r="AW781" s="96"/>
      <c r="AX781" s="96">
        <f t="shared" si="1896"/>
        <v>0</v>
      </c>
      <c r="AY781" s="96">
        <f t="shared" si="1881"/>
        <v>0</v>
      </c>
      <c r="AZ781" s="96">
        <f t="shared" si="1882"/>
        <v>0</v>
      </c>
      <c r="BA781" s="96">
        <f t="shared" si="1883"/>
        <v>0</v>
      </c>
      <c r="BB781" s="96">
        <f t="shared" si="1884"/>
        <v>0</v>
      </c>
    </row>
    <row r="782" spans="1:54" hidden="1">
      <c r="A782" s="492">
        <v>475</v>
      </c>
      <c r="B782" s="13"/>
      <c r="C782" s="13"/>
      <c r="D782" s="13"/>
      <c r="E782" s="21" t="s">
        <v>673</v>
      </c>
      <c r="F782" s="45"/>
      <c r="G782" s="45" t="s">
        <v>1059</v>
      </c>
      <c r="H782" s="265" t="s">
        <v>357</v>
      </c>
      <c r="I782" s="54">
        <v>5.5</v>
      </c>
      <c r="J782" s="162"/>
      <c r="K782" s="54">
        <v>5.5</v>
      </c>
      <c r="L782" s="162"/>
      <c r="M782" s="54"/>
      <c r="N782" s="162"/>
      <c r="O782" s="54"/>
      <c r="P782" s="162"/>
      <c r="Q782" s="96">
        <f t="shared" si="1871"/>
        <v>0</v>
      </c>
      <c r="R782" s="337">
        <f t="shared" si="1872"/>
        <v>0</v>
      </c>
      <c r="S782" s="96"/>
      <c r="T782" s="96">
        <f t="shared" si="1885"/>
        <v>0</v>
      </c>
      <c r="U782" s="96"/>
      <c r="V782" s="96">
        <f t="shared" si="1886"/>
        <v>0</v>
      </c>
      <c r="W782" s="96"/>
      <c r="X782" s="96">
        <f t="shared" si="1887"/>
        <v>0</v>
      </c>
      <c r="Y782" s="96">
        <f t="shared" si="1873"/>
        <v>0</v>
      </c>
      <c r="Z782" s="96">
        <f t="shared" si="1874"/>
        <v>0</v>
      </c>
      <c r="AA782" s="96"/>
      <c r="AB782" s="96">
        <f t="shared" si="1888"/>
        <v>0</v>
      </c>
      <c r="AC782" s="96"/>
      <c r="AD782" s="96">
        <f t="shared" si="1889"/>
        <v>0</v>
      </c>
      <c r="AE782" s="96"/>
      <c r="AF782" s="96">
        <f t="shared" si="1890"/>
        <v>0</v>
      </c>
      <c r="AG782" s="96">
        <f t="shared" si="1875"/>
        <v>0</v>
      </c>
      <c r="AH782" s="96">
        <f t="shared" si="1876"/>
        <v>0</v>
      </c>
      <c r="AI782" s="96">
        <f t="shared" si="1877"/>
        <v>0</v>
      </c>
      <c r="AJ782" s="96">
        <f t="shared" si="1878"/>
        <v>0</v>
      </c>
      <c r="AK782" s="96"/>
      <c r="AL782" s="96">
        <f t="shared" si="1891"/>
        <v>0</v>
      </c>
      <c r="AM782" s="96"/>
      <c r="AN782" s="96">
        <f t="shared" si="1892"/>
        <v>0</v>
      </c>
      <c r="AO782" s="96"/>
      <c r="AP782" s="96">
        <f t="shared" si="1893"/>
        <v>0</v>
      </c>
      <c r="AQ782" s="96">
        <f t="shared" si="1879"/>
        <v>0</v>
      </c>
      <c r="AR782" s="96">
        <f t="shared" si="1880"/>
        <v>0</v>
      </c>
      <c r="AS782" s="96"/>
      <c r="AT782" s="96">
        <f t="shared" si="1894"/>
        <v>0</v>
      </c>
      <c r="AU782" s="96"/>
      <c r="AV782" s="96">
        <f t="shared" si="1895"/>
        <v>0</v>
      </c>
      <c r="AW782" s="96"/>
      <c r="AX782" s="96">
        <f t="shared" si="1896"/>
        <v>0</v>
      </c>
      <c r="AY782" s="96">
        <f t="shared" si="1881"/>
        <v>0</v>
      </c>
      <c r="AZ782" s="96">
        <f t="shared" si="1882"/>
        <v>0</v>
      </c>
      <c r="BA782" s="96">
        <f t="shared" si="1883"/>
        <v>0</v>
      </c>
      <c r="BB782" s="96">
        <f t="shared" si="1884"/>
        <v>0</v>
      </c>
    </row>
    <row r="783" spans="1:54" hidden="1">
      <c r="A783" s="492">
        <v>476</v>
      </c>
      <c r="B783" s="13"/>
      <c r="C783" s="13"/>
      <c r="D783" s="13"/>
      <c r="E783" s="21" t="s">
        <v>1136</v>
      </c>
      <c r="F783" s="45"/>
      <c r="G783" s="45" t="s">
        <v>1059</v>
      </c>
      <c r="H783" s="265" t="s">
        <v>357</v>
      </c>
      <c r="I783" s="54">
        <v>5.5</v>
      </c>
      <c r="J783" s="162"/>
      <c r="K783" s="54">
        <v>5.5</v>
      </c>
      <c r="L783" s="162"/>
      <c r="M783" s="54"/>
      <c r="N783" s="162"/>
      <c r="O783" s="54"/>
      <c r="P783" s="162"/>
      <c r="Q783" s="96">
        <f t="shared" si="1871"/>
        <v>0</v>
      </c>
      <c r="R783" s="337">
        <f t="shared" si="1872"/>
        <v>0</v>
      </c>
      <c r="S783" s="96"/>
      <c r="T783" s="96">
        <f t="shared" si="1885"/>
        <v>0</v>
      </c>
      <c r="U783" s="96"/>
      <c r="V783" s="96">
        <f t="shared" si="1886"/>
        <v>0</v>
      </c>
      <c r="W783" s="96"/>
      <c r="X783" s="96">
        <f t="shared" si="1887"/>
        <v>0</v>
      </c>
      <c r="Y783" s="96">
        <f t="shared" si="1873"/>
        <v>0</v>
      </c>
      <c r="Z783" s="96">
        <f t="shared" si="1874"/>
        <v>0</v>
      </c>
      <c r="AA783" s="96"/>
      <c r="AB783" s="96">
        <f t="shared" si="1888"/>
        <v>0</v>
      </c>
      <c r="AC783" s="96"/>
      <c r="AD783" s="96">
        <f t="shared" si="1889"/>
        <v>0</v>
      </c>
      <c r="AE783" s="96"/>
      <c r="AF783" s="96">
        <f t="shared" si="1890"/>
        <v>0</v>
      </c>
      <c r="AG783" s="96">
        <f t="shared" si="1875"/>
        <v>0</v>
      </c>
      <c r="AH783" s="96">
        <f t="shared" si="1876"/>
        <v>0</v>
      </c>
      <c r="AI783" s="96">
        <f t="shared" si="1877"/>
        <v>0</v>
      </c>
      <c r="AJ783" s="96">
        <f t="shared" si="1878"/>
        <v>0</v>
      </c>
      <c r="AK783" s="96"/>
      <c r="AL783" s="96">
        <f t="shared" si="1891"/>
        <v>0</v>
      </c>
      <c r="AM783" s="96"/>
      <c r="AN783" s="96">
        <f t="shared" si="1892"/>
        <v>0</v>
      </c>
      <c r="AO783" s="96"/>
      <c r="AP783" s="96">
        <f t="shared" si="1893"/>
        <v>0</v>
      </c>
      <c r="AQ783" s="96">
        <f t="shared" si="1879"/>
        <v>0</v>
      </c>
      <c r="AR783" s="96">
        <f t="shared" si="1880"/>
        <v>0</v>
      </c>
      <c r="AS783" s="96"/>
      <c r="AT783" s="96">
        <f t="shared" si="1894"/>
        <v>0</v>
      </c>
      <c r="AU783" s="96"/>
      <c r="AV783" s="96">
        <f t="shared" si="1895"/>
        <v>0</v>
      </c>
      <c r="AW783" s="96"/>
      <c r="AX783" s="96">
        <f t="shared" si="1896"/>
        <v>0</v>
      </c>
      <c r="AY783" s="96">
        <f t="shared" si="1881"/>
        <v>0</v>
      </c>
      <c r="AZ783" s="96">
        <f t="shared" si="1882"/>
        <v>0</v>
      </c>
      <c r="BA783" s="96">
        <f t="shared" si="1883"/>
        <v>0</v>
      </c>
      <c r="BB783" s="96">
        <f t="shared" si="1884"/>
        <v>0</v>
      </c>
    </row>
    <row r="784" spans="1:54" hidden="1">
      <c r="A784" s="492">
        <v>477</v>
      </c>
      <c r="B784" s="13"/>
      <c r="C784" s="13"/>
      <c r="D784" s="13"/>
      <c r="E784" s="21" t="s">
        <v>1137</v>
      </c>
      <c r="F784" s="45"/>
      <c r="G784" s="45" t="s">
        <v>1059</v>
      </c>
      <c r="H784" s="265" t="s">
        <v>357</v>
      </c>
      <c r="I784" s="54">
        <v>5.72</v>
      </c>
      <c r="J784" s="162"/>
      <c r="K784" s="54">
        <v>5.72</v>
      </c>
      <c r="L784" s="162"/>
      <c r="M784" s="54"/>
      <c r="N784" s="162"/>
      <c r="O784" s="54"/>
      <c r="P784" s="162"/>
      <c r="Q784" s="96">
        <f t="shared" si="1871"/>
        <v>0</v>
      </c>
      <c r="R784" s="337">
        <f t="shared" si="1872"/>
        <v>0</v>
      </c>
      <c r="S784" s="96"/>
      <c r="T784" s="96">
        <f t="shared" si="1885"/>
        <v>0</v>
      </c>
      <c r="U784" s="96"/>
      <c r="V784" s="96">
        <f t="shared" si="1886"/>
        <v>0</v>
      </c>
      <c r="W784" s="96"/>
      <c r="X784" s="96">
        <f t="shared" si="1887"/>
        <v>0</v>
      </c>
      <c r="Y784" s="96">
        <f t="shared" si="1873"/>
        <v>0</v>
      </c>
      <c r="Z784" s="96">
        <f t="shared" si="1874"/>
        <v>0</v>
      </c>
      <c r="AA784" s="96"/>
      <c r="AB784" s="96">
        <f t="shared" si="1888"/>
        <v>0</v>
      </c>
      <c r="AC784" s="96"/>
      <c r="AD784" s="96">
        <f t="shared" si="1889"/>
        <v>0</v>
      </c>
      <c r="AE784" s="96"/>
      <c r="AF784" s="96">
        <f t="shared" si="1890"/>
        <v>0</v>
      </c>
      <c r="AG784" s="96">
        <f t="shared" si="1875"/>
        <v>0</v>
      </c>
      <c r="AH784" s="96">
        <f t="shared" si="1876"/>
        <v>0</v>
      </c>
      <c r="AI784" s="96">
        <f t="shared" si="1877"/>
        <v>0</v>
      </c>
      <c r="AJ784" s="96">
        <f t="shared" si="1878"/>
        <v>0</v>
      </c>
      <c r="AK784" s="96"/>
      <c r="AL784" s="96">
        <f t="shared" si="1891"/>
        <v>0</v>
      </c>
      <c r="AM784" s="96"/>
      <c r="AN784" s="96">
        <f t="shared" si="1892"/>
        <v>0</v>
      </c>
      <c r="AO784" s="96"/>
      <c r="AP784" s="96">
        <f t="shared" si="1893"/>
        <v>0</v>
      </c>
      <c r="AQ784" s="96">
        <f t="shared" si="1879"/>
        <v>0</v>
      </c>
      <c r="AR784" s="96">
        <f t="shared" si="1880"/>
        <v>0</v>
      </c>
      <c r="AS784" s="96"/>
      <c r="AT784" s="96">
        <f t="shared" si="1894"/>
        <v>0</v>
      </c>
      <c r="AU784" s="96"/>
      <c r="AV784" s="96">
        <f t="shared" si="1895"/>
        <v>0</v>
      </c>
      <c r="AW784" s="96"/>
      <c r="AX784" s="96">
        <f t="shared" si="1896"/>
        <v>0</v>
      </c>
      <c r="AY784" s="96">
        <f t="shared" si="1881"/>
        <v>0</v>
      </c>
      <c r="AZ784" s="96">
        <f t="shared" si="1882"/>
        <v>0</v>
      </c>
      <c r="BA784" s="96">
        <f t="shared" si="1883"/>
        <v>0</v>
      </c>
      <c r="BB784" s="96">
        <f t="shared" si="1884"/>
        <v>0</v>
      </c>
    </row>
    <row r="785" spans="1:54" hidden="1">
      <c r="A785" s="492">
        <v>478</v>
      </c>
      <c r="B785" s="13"/>
      <c r="C785" s="13"/>
      <c r="D785" s="13"/>
      <c r="E785" s="21" t="s">
        <v>1103</v>
      </c>
      <c r="F785" s="22"/>
      <c r="G785" s="45" t="s">
        <v>1059</v>
      </c>
      <c r="H785" s="265" t="s">
        <v>357</v>
      </c>
      <c r="I785" s="54">
        <v>10.34</v>
      </c>
      <c r="J785" s="101"/>
      <c r="K785" s="54">
        <v>10.34</v>
      </c>
      <c r="L785" s="101"/>
      <c r="M785" s="54"/>
      <c r="N785" s="101"/>
      <c r="O785" s="54"/>
      <c r="P785" s="101"/>
      <c r="Q785" s="96">
        <f t="shared" si="1871"/>
        <v>0</v>
      </c>
      <c r="R785" s="337">
        <f t="shared" si="1872"/>
        <v>0</v>
      </c>
      <c r="S785" s="96"/>
      <c r="T785" s="96">
        <f t="shared" si="1885"/>
        <v>0</v>
      </c>
      <c r="U785" s="96"/>
      <c r="V785" s="176">
        <f t="shared" si="1886"/>
        <v>0</v>
      </c>
      <c r="W785" s="206"/>
      <c r="X785" s="205">
        <f t="shared" si="1887"/>
        <v>0</v>
      </c>
      <c r="Y785" s="188">
        <f t="shared" si="1873"/>
        <v>0</v>
      </c>
      <c r="Z785" s="176">
        <f t="shared" si="1874"/>
        <v>0</v>
      </c>
      <c r="AA785" s="206"/>
      <c r="AB785" s="205">
        <f t="shared" si="1888"/>
        <v>0</v>
      </c>
      <c r="AC785" s="206"/>
      <c r="AD785" s="176">
        <f t="shared" si="1889"/>
        <v>0</v>
      </c>
      <c r="AE785" s="206"/>
      <c r="AF785" s="205">
        <f t="shared" si="1890"/>
        <v>0</v>
      </c>
      <c r="AG785" s="188">
        <f t="shared" si="1875"/>
        <v>0</v>
      </c>
      <c r="AH785" s="96">
        <f t="shared" si="1876"/>
        <v>0</v>
      </c>
      <c r="AI785" s="96">
        <f t="shared" si="1877"/>
        <v>0</v>
      </c>
      <c r="AJ785" s="176">
        <f t="shared" si="1878"/>
        <v>0</v>
      </c>
      <c r="AK785" s="206"/>
      <c r="AL785" s="176">
        <f t="shared" si="1891"/>
        <v>0</v>
      </c>
      <c r="AM785" s="243"/>
      <c r="AN785" s="176">
        <f t="shared" si="1892"/>
        <v>0</v>
      </c>
      <c r="AO785" s="206"/>
      <c r="AP785" s="205">
        <f t="shared" si="1893"/>
        <v>0</v>
      </c>
      <c r="AQ785" s="188">
        <f t="shared" si="1879"/>
        <v>0</v>
      </c>
      <c r="AR785" s="96">
        <f t="shared" si="1880"/>
        <v>0</v>
      </c>
      <c r="AS785" s="96"/>
      <c r="AT785" s="176">
        <f t="shared" si="1894"/>
        <v>0</v>
      </c>
      <c r="AU785" s="206"/>
      <c r="AV785" s="176">
        <f t="shared" si="1895"/>
        <v>0</v>
      </c>
      <c r="AW785" s="206"/>
      <c r="AX785" s="205">
        <f t="shared" si="1896"/>
        <v>0</v>
      </c>
      <c r="AY785" s="188">
        <f t="shared" si="1881"/>
        <v>0</v>
      </c>
      <c r="AZ785" s="96">
        <f t="shared" si="1882"/>
        <v>0</v>
      </c>
      <c r="BA785" s="96">
        <f t="shared" si="1883"/>
        <v>0</v>
      </c>
      <c r="BB785" s="96">
        <f t="shared" si="1884"/>
        <v>0</v>
      </c>
    </row>
    <row r="786" spans="1:54" hidden="1">
      <c r="A786" s="492">
        <v>479</v>
      </c>
      <c r="B786" s="13"/>
      <c r="C786" s="13"/>
      <c r="D786" s="13"/>
      <c r="E786" s="21" t="s">
        <v>1104</v>
      </c>
      <c r="F786" s="22"/>
      <c r="G786" s="45" t="s">
        <v>1059</v>
      </c>
      <c r="H786" s="265" t="s">
        <v>357</v>
      </c>
      <c r="I786" s="54">
        <v>10.34</v>
      </c>
      <c r="J786" s="101"/>
      <c r="K786" s="54">
        <v>10.34</v>
      </c>
      <c r="L786" s="101"/>
      <c r="M786" s="54"/>
      <c r="N786" s="101"/>
      <c r="O786" s="54"/>
      <c r="P786" s="101"/>
      <c r="Q786" s="96">
        <f t="shared" si="1871"/>
        <v>0</v>
      </c>
      <c r="R786" s="337">
        <f t="shared" si="1872"/>
        <v>0</v>
      </c>
      <c r="S786" s="96"/>
      <c r="T786" s="96">
        <f t="shared" si="1885"/>
        <v>0</v>
      </c>
      <c r="U786" s="96"/>
      <c r="V786" s="176">
        <f t="shared" si="1886"/>
        <v>0</v>
      </c>
      <c r="W786" s="206"/>
      <c r="X786" s="205">
        <f t="shared" si="1887"/>
        <v>0</v>
      </c>
      <c r="Y786" s="188">
        <f t="shared" si="1873"/>
        <v>0</v>
      </c>
      <c r="Z786" s="176">
        <f t="shared" si="1874"/>
        <v>0</v>
      </c>
      <c r="AA786" s="206"/>
      <c r="AB786" s="205">
        <f t="shared" si="1888"/>
        <v>0</v>
      </c>
      <c r="AC786" s="206"/>
      <c r="AD786" s="176">
        <f t="shared" si="1889"/>
        <v>0</v>
      </c>
      <c r="AE786" s="206"/>
      <c r="AF786" s="205">
        <f t="shared" si="1890"/>
        <v>0</v>
      </c>
      <c r="AG786" s="188">
        <f t="shared" si="1875"/>
        <v>0</v>
      </c>
      <c r="AH786" s="96">
        <f t="shared" si="1876"/>
        <v>0</v>
      </c>
      <c r="AI786" s="96">
        <f t="shared" si="1877"/>
        <v>0</v>
      </c>
      <c r="AJ786" s="176">
        <f t="shared" si="1878"/>
        <v>0</v>
      </c>
      <c r="AK786" s="206"/>
      <c r="AL786" s="176">
        <f t="shared" si="1891"/>
        <v>0</v>
      </c>
      <c r="AM786" s="243"/>
      <c r="AN786" s="176">
        <f t="shared" si="1892"/>
        <v>0</v>
      </c>
      <c r="AO786" s="206"/>
      <c r="AP786" s="205">
        <f t="shared" si="1893"/>
        <v>0</v>
      </c>
      <c r="AQ786" s="188">
        <f t="shared" si="1879"/>
        <v>0</v>
      </c>
      <c r="AR786" s="96">
        <f t="shared" si="1880"/>
        <v>0</v>
      </c>
      <c r="AS786" s="96"/>
      <c r="AT786" s="176">
        <f t="shared" si="1894"/>
        <v>0</v>
      </c>
      <c r="AU786" s="206"/>
      <c r="AV786" s="176">
        <f t="shared" si="1895"/>
        <v>0</v>
      </c>
      <c r="AW786" s="206"/>
      <c r="AX786" s="205">
        <f t="shared" si="1896"/>
        <v>0</v>
      </c>
      <c r="AY786" s="188">
        <f t="shared" si="1881"/>
        <v>0</v>
      </c>
      <c r="AZ786" s="96">
        <f t="shared" si="1882"/>
        <v>0</v>
      </c>
      <c r="BA786" s="96">
        <f t="shared" si="1883"/>
        <v>0</v>
      </c>
      <c r="BB786" s="96">
        <f t="shared" si="1884"/>
        <v>0</v>
      </c>
    </row>
    <row r="787" spans="1:54" hidden="1">
      <c r="A787" s="492">
        <v>480</v>
      </c>
      <c r="B787" s="13"/>
      <c r="C787" s="13"/>
      <c r="D787" s="13"/>
      <c r="E787" s="21" t="s">
        <v>1105</v>
      </c>
      <c r="F787" s="22"/>
      <c r="G787" s="45" t="s">
        <v>1059</v>
      </c>
      <c r="H787" s="265" t="s">
        <v>357</v>
      </c>
      <c r="I787" s="54">
        <v>6.29</v>
      </c>
      <c r="J787" s="101"/>
      <c r="K787" s="54">
        <v>6.29</v>
      </c>
      <c r="L787" s="101"/>
      <c r="M787" s="54"/>
      <c r="N787" s="101"/>
      <c r="O787" s="54"/>
      <c r="P787" s="101"/>
      <c r="Q787" s="96">
        <f t="shared" si="1871"/>
        <v>0</v>
      </c>
      <c r="R787" s="337">
        <f t="shared" si="1872"/>
        <v>0</v>
      </c>
      <c r="S787" s="96"/>
      <c r="T787" s="96">
        <f t="shared" si="1885"/>
        <v>0</v>
      </c>
      <c r="U787" s="96"/>
      <c r="V787" s="176">
        <f t="shared" si="1886"/>
        <v>0</v>
      </c>
      <c r="W787" s="206"/>
      <c r="X787" s="205">
        <f t="shared" si="1887"/>
        <v>0</v>
      </c>
      <c r="Y787" s="188">
        <f t="shared" si="1873"/>
        <v>0</v>
      </c>
      <c r="Z787" s="176">
        <f t="shared" si="1874"/>
        <v>0</v>
      </c>
      <c r="AA787" s="206"/>
      <c r="AB787" s="205">
        <f t="shared" si="1888"/>
        <v>0</v>
      </c>
      <c r="AC787" s="206"/>
      <c r="AD787" s="176">
        <f t="shared" si="1889"/>
        <v>0</v>
      </c>
      <c r="AE787" s="206"/>
      <c r="AF787" s="205">
        <f t="shared" si="1890"/>
        <v>0</v>
      </c>
      <c r="AG787" s="188">
        <f t="shared" si="1875"/>
        <v>0</v>
      </c>
      <c r="AH787" s="96">
        <f t="shared" si="1876"/>
        <v>0</v>
      </c>
      <c r="AI787" s="96">
        <f t="shared" si="1877"/>
        <v>0</v>
      </c>
      <c r="AJ787" s="176">
        <f t="shared" si="1878"/>
        <v>0</v>
      </c>
      <c r="AK787" s="206"/>
      <c r="AL787" s="176">
        <f t="shared" si="1891"/>
        <v>0</v>
      </c>
      <c r="AM787" s="243"/>
      <c r="AN787" s="176">
        <f t="shared" si="1892"/>
        <v>0</v>
      </c>
      <c r="AO787" s="206"/>
      <c r="AP787" s="205">
        <f t="shared" si="1893"/>
        <v>0</v>
      </c>
      <c r="AQ787" s="188">
        <f t="shared" si="1879"/>
        <v>0</v>
      </c>
      <c r="AR787" s="96">
        <f t="shared" si="1880"/>
        <v>0</v>
      </c>
      <c r="AS787" s="96"/>
      <c r="AT787" s="176">
        <f t="shared" si="1894"/>
        <v>0</v>
      </c>
      <c r="AU787" s="206"/>
      <c r="AV787" s="176">
        <f t="shared" si="1895"/>
        <v>0</v>
      </c>
      <c r="AW787" s="206"/>
      <c r="AX787" s="205">
        <f t="shared" si="1896"/>
        <v>0</v>
      </c>
      <c r="AY787" s="188">
        <f t="shared" si="1881"/>
        <v>0</v>
      </c>
      <c r="AZ787" s="96">
        <f t="shared" si="1882"/>
        <v>0</v>
      </c>
      <c r="BA787" s="96">
        <f t="shared" si="1883"/>
        <v>0</v>
      </c>
      <c r="BB787" s="96">
        <f t="shared" si="1884"/>
        <v>0</v>
      </c>
    </row>
    <row r="788" spans="1:54" hidden="1">
      <c r="A788" s="492">
        <v>481</v>
      </c>
      <c r="B788" s="13"/>
      <c r="C788" s="13"/>
      <c r="D788" s="13"/>
      <c r="E788" s="21" t="s">
        <v>576</v>
      </c>
      <c r="F788" s="45"/>
      <c r="G788" s="45" t="s">
        <v>1059</v>
      </c>
      <c r="H788" s="265" t="s">
        <v>357</v>
      </c>
      <c r="I788" s="54">
        <v>3.54</v>
      </c>
      <c r="J788" s="162"/>
      <c r="K788" s="54">
        <v>3.54</v>
      </c>
      <c r="L788" s="162"/>
      <c r="M788" s="54"/>
      <c r="N788" s="162"/>
      <c r="O788" s="54"/>
      <c r="P788" s="162"/>
      <c r="Q788" s="96">
        <f t="shared" si="1871"/>
        <v>0</v>
      </c>
      <c r="R788" s="337">
        <f t="shared" si="1872"/>
        <v>0</v>
      </c>
      <c r="S788" s="96"/>
      <c r="T788" s="96">
        <f t="shared" si="1885"/>
        <v>0</v>
      </c>
      <c r="U788" s="96"/>
      <c r="V788" s="96">
        <f t="shared" si="1886"/>
        <v>0</v>
      </c>
      <c r="W788" s="96"/>
      <c r="X788" s="96">
        <f t="shared" si="1887"/>
        <v>0</v>
      </c>
      <c r="Y788" s="96">
        <f t="shared" si="1873"/>
        <v>0</v>
      </c>
      <c r="Z788" s="96">
        <f t="shared" si="1874"/>
        <v>0</v>
      </c>
      <c r="AA788" s="96"/>
      <c r="AB788" s="96">
        <f t="shared" si="1888"/>
        <v>0</v>
      </c>
      <c r="AC788" s="96"/>
      <c r="AD788" s="96">
        <f t="shared" si="1889"/>
        <v>0</v>
      </c>
      <c r="AE788" s="96"/>
      <c r="AF788" s="96">
        <f t="shared" si="1890"/>
        <v>0</v>
      </c>
      <c r="AG788" s="96">
        <f t="shared" si="1875"/>
        <v>0</v>
      </c>
      <c r="AH788" s="96">
        <f t="shared" si="1876"/>
        <v>0</v>
      </c>
      <c r="AI788" s="96">
        <f t="shared" si="1877"/>
        <v>0</v>
      </c>
      <c r="AJ788" s="96">
        <f t="shared" si="1878"/>
        <v>0</v>
      </c>
      <c r="AK788" s="96"/>
      <c r="AL788" s="96">
        <f t="shared" si="1891"/>
        <v>0</v>
      </c>
      <c r="AM788" s="96"/>
      <c r="AN788" s="96">
        <f t="shared" si="1892"/>
        <v>0</v>
      </c>
      <c r="AO788" s="96"/>
      <c r="AP788" s="96">
        <f t="shared" si="1893"/>
        <v>0</v>
      </c>
      <c r="AQ788" s="96">
        <f t="shared" si="1879"/>
        <v>0</v>
      </c>
      <c r="AR788" s="96">
        <f t="shared" si="1880"/>
        <v>0</v>
      </c>
      <c r="AS788" s="96"/>
      <c r="AT788" s="96">
        <f t="shared" si="1894"/>
        <v>0</v>
      </c>
      <c r="AU788" s="96"/>
      <c r="AV788" s="96">
        <f t="shared" si="1895"/>
        <v>0</v>
      </c>
      <c r="AW788" s="96"/>
      <c r="AX788" s="96">
        <f t="shared" si="1896"/>
        <v>0</v>
      </c>
      <c r="AY788" s="96">
        <f t="shared" si="1881"/>
        <v>0</v>
      </c>
      <c r="AZ788" s="96">
        <f t="shared" si="1882"/>
        <v>0</v>
      </c>
      <c r="BA788" s="96">
        <f t="shared" si="1883"/>
        <v>0</v>
      </c>
      <c r="BB788" s="96">
        <f t="shared" si="1884"/>
        <v>0</v>
      </c>
    </row>
    <row r="789" spans="1:54" hidden="1">
      <c r="A789" s="492">
        <v>482</v>
      </c>
      <c r="B789" s="13"/>
      <c r="C789" s="13"/>
      <c r="D789" s="13"/>
      <c r="E789" s="21" t="s">
        <v>566</v>
      </c>
      <c r="F789" s="45"/>
      <c r="G789" s="45" t="s">
        <v>1059</v>
      </c>
      <c r="H789" s="265" t="s">
        <v>357</v>
      </c>
      <c r="I789" s="54">
        <v>9.49</v>
      </c>
      <c r="J789" s="162"/>
      <c r="K789" s="54">
        <v>9.49</v>
      </c>
      <c r="L789" s="162"/>
      <c r="M789" s="54"/>
      <c r="N789" s="162"/>
      <c r="O789" s="54"/>
      <c r="P789" s="162"/>
      <c r="Q789" s="96">
        <f t="shared" si="1871"/>
        <v>0</v>
      </c>
      <c r="R789" s="337">
        <f t="shared" si="1872"/>
        <v>0</v>
      </c>
      <c r="S789" s="96"/>
      <c r="T789" s="96">
        <f t="shared" si="1885"/>
        <v>0</v>
      </c>
      <c r="U789" s="96"/>
      <c r="V789" s="96">
        <f t="shared" si="1886"/>
        <v>0</v>
      </c>
      <c r="W789" s="96"/>
      <c r="X789" s="96">
        <f t="shared" si="1887"/>
        <v>0</v>
      </c>
      <c r="Y789" s="96">
        <f t="shared" si="1873"/>
        <v>0</v>
      </c>
      <c r="Z789" s="96">
        <f t="shared" si="1874"/>
        <v>0</v>
      </c>
      <c r="AA789" s="96"/>
      <c r="AB789" s="96">
        <f t="shared" si="1888"/>
        <v>0</v>
      </c>
      <c r="AC789" s="96"/>
      <c r="AD789" s="96">
        <f t="shared" si="1889"/>
        <v>0</v>
      </c>
      <c r="AE789" s="96"/>
      <c r="AF789" s="96">
        <f t="shared" si="1890"/>
        <v>0</v>
      </c>
      <c r="AG789" s="96">
        <f t="shared" si="1875"/>
        <v>0</v>
      </c>
      <c r="AH789" s="96">
        <f t="shared" si="1876"/>
        <v>0</v>
      </c>
      <c r="AI789" s="96">
        <f t="shared" si="1877"/>
        <v>0</v>
      </c>
      <c r="AJ789" s="96">
        <f t="shared" si="1878"/>
        <v>0</v>
      </c>
      <c r="AK789" s="96"/>
      <c r="AL789" s="96">
        <f t="shared" si="1891"/>
        <v>0</v>
      </c>
      <c r="AM789" s="96"/>
      <c r="AN789" s="96">
        <f t="shared" si="1892"/>
        <v>0</v>
      </c>
      <c r="AO789" s="96"/>
      <c r="AP789" s="96">
        <f t="shared" si="1893"/>
        <v>0</v>
      </c>
      <c r="AQ789" s="96">
        <f t="shared" si="1879"/>
        <v>0</v>
      </c>
      <c r="AR789" s="96">
        <f t="shared" si="1880"/>
        <v>0</v>
      </c>
      <c r="AS789" s="96"/>
      <c r="AT789" s="96">
        <f t="shared" si="1894"/>
        <v>0</v>
      </c>
      <c r="AU789" s="96"/>
      <c r="AV789" s="96">
        <f t="shared" si="1895"/>
        <v>0</v>
      </c>
      <c r="AW789" s="96"/>
      <c r="AX789" s="96">
        <f t="shared" si="1896"/>
        <v>0</v>
      </c>
      <c r="AY789" s="96">
        <f t="shared" si="1881"/>
        <v>0</v>
      </c>
      <c r="AZ789" s="96">
        <f t="shared" si="1882"/>
        <v>0</v>
      </c>
      <c r="BA789" s="96">
        <f t="shared" si="1883"/>
        <v>0</v>
      </c>
      <c r="BB789" s="96">
        <f t="shared" si="1884"/>
        <v>0</v>
      </c>
    </row>
    <row r="790" spans="1:54" hidden="1">
      <c r="A790" s="492">
        <v>483</v>
      </c>
      <c r="B790" s="13"/>
      <c r="C790" s="13"/>
      <c r="D790" s="13"/>
      <c r="E790" s="21" t="s">
        <v>577</v>
      </c>
      <c r="F790" s="45"/>
      <c r="G790" s="45" t="s">
        <v>1059</v>
      </c>
      <c r="H790" s="265" t="s">
        <v>357</v>
      </c>
      <c r="I790" s="54">
        <v>9.49</v>
      </c>
      <c r="J790" s="162"/>
      <c r="K790" s="54">
        <v>9.49</v>
      </c>
      <c r="L790" s="162"/>
      <c r="M790" s="54"/>
      <c r="N790" s="162"/>
      <c r="O790" s="54"/>
      <c r="P790" s="162"/>
      <c r="Q790" s="96">
        <f t="shared" si="1871"/>
        <v>0</v>
      </c>
      <c r="R790" s="337">
        <f t="shared" si="1872"/>
        <v>0</v>
      </c>
      <c r="S790" s="96"/>
      <c r="T790" s="96">
        <f t="shared" si="1885"/>
        <v>0</v>
      </c>
      <c r="U790" s="96"/>
      <c r="V790" s="96">
        <f t="shared" si="1886"/>
        <v>0</v>
      </c>
      <c r="W790" s="96"/>
      <c r="X790" s="96">
        <f t="shared" si="1887"/>
        <v>0</v>
      </c>
      <c r="Y790" s="96">
        <f t="shared" si="1873"/>
        <v>0</v>
      </c>
      <c r="Z790" s="96">
        <f t="shared" si="1874"/>
        <v>0</v>
      </c>
      <c r="AA790" s="96"/>
      <c r="AB790" s="96">
        <f t="shared" si="1888"/>
        <v>0</v>
      </c>
      <c r="AC790" s="96"/>
      <c r="AD790" s="96">
        <f t="shared" si="1889"/>
        <v>0</v>
      </c>
      <c r="AE790" s="96"/>
      <c r="AF790" s="96">
        <f t="shared" si="1890"/>
        <v>0</v>
      </c>
      <c r="AG790" s="96">
        <f t="shared" si="1875"/>
        <v>0</v>
      </c>
      <c r="AH790" s="96">
        <f t="shared" si="1876"/>
        <v>0</v>
      </c>
      <c r="AI790" s="96">
        <f t="shared" si="1877"/>
        <v>0</v>
      </c>
      <c r="AJ790" s="96">
        <f t="shared" si="1878"/>
        <v>0</v>
      </c>
      <c r="AK790" s="96"/>
      <c r="AL790" s="96">
        <f t="shared" si="1891"/>
        <v>0</v>
      </c>
      <c r="AM790" s="96"/>
      <c r="AN790" s="96">
        <f t="shared" si="1892"/>
        <v>0</v>
      </c>
      <c r="AO790" s="96"/>
      <c r="AP790" s="96">
        <f t="shared" si="1893"/>
        <v>0</v>
      </c>
      <c r="AQ790" s="96">
        <f t="shared" si="1879"/>
        <v>0</v>
      </c>
      <c r="AR790" s="96">
        <f t="shared" si="1880"/>
        <v>0</v>
      </c>
      <c r="AS790" s="96"/>
      <c r="AT790" s="96">
        <f t="shared" si="1894"/>
        <v>0</v>
      </c>
      <c r="AU790" s="96"/>
      <c r="AV790" s="96">
        <f t="shared" si="1895"/>
        <v>0</v>
      </c>
      <c r="AW790" s="96"/>
      <c r="AX790" s="96">
        <f t="shared" si="1896"/>
        <v>0</v>
      </c>
      <c r="AY790" s="96">
        <f t="shared" si="1881"/>
        <v>0</v>
      </c>
      <c r="AZ790" s="96">
        <f t="shared" si="1882"/>
        <v>0</v>
      </c>
      <c r="BA790" s="96">
        <f t="shared" si="1883"/>
        <v>0</v>
      </c>
      <c r="BB790" s="96">
        <f t="shared" si="1884"/>
        <v>0</v>
      </c>
    </row>
    <row r="791" spans="1:54" hidden="1">
      <c r="A791" s="492">
        <v>484</v>
      </c>
      <c r="B791" s="13"/>
      <c r="C791" s="13"/>
      <c r="D791" s="13"/>
      <c r="E791" s="21" t="s">
        <v>674</v>
      </c>
      <c r="F791" s="45"/>
      <c r="G791" s="45" t="s">
        <v>1059</v>
      </c>
      <c r="H791" s="265" t="s">
        <v>357</v>
      </c>
      <c r="I791" s="54">
        <v>5.6</v>
      </c>
      <c r="J791" s="162"/>
      <c r="K791" s="54">
        <v>5.6</v>
      </c>
      <c r="L791" s="162"/>
      <c r="M791" s="54"/>
      <c r="N791" s="162"/>
      <c r="O791" s="54"/>
      <c r="P791" s="162"/>
      <c r="Q791" s="96">
        <f t="shared" si="1871"/>
        <v>0</v>
      </c>
      <c r="R791" s="337">
        <f t="shared" si="1872"/>
        <v>0</v>
      </c>
      <c r="S791" s="96"/>
      <c r="T791" s="96">
        <f t="shared" si="1885"/>
        <v>0</v>
      </c>
      <c r="U791" s="96"/>
      <c r="V791" s="96">
        <f t="shared" si="1886"/>
        <v>0</v>
      </c>
      <c r="W791" s="96"/>
      <c r="X791" s="96">
        <f t="shared" si="1887"/>
        <v>0</v>
      </c>
      <c r="Y791" s="96">
        <f t="shared" si="1873"/>
        <v>0</v>
      </c>
      <c r="Z791" s="96">
        <f t="shared" si="1874"/>
        <v>0</v>
      </c>
      <c r="AA791" s="96"/>
      <c r="AB791" s="96">
        <f t="shared" si="1888"/>
        <v>0</v>
      </c>
      <c r="AC791" s="96"/>
      <c r="AD791" s="96">
        <f t="shared" si="1889"/>
        <v>0</v>
      </c>
      <c r="AE791" s="96"/>
      <c r="AF791" s="96">
        <f t="shared" si="1890"/>
        <v>0</v>
      </c>
      <c r="AG791" s="96">
        <f t="shared" si="1875"/>
        <v>0</v>
      </c>
      <c r="AH791" s="96">
        <f t="shared" si="1876"/>
        <v>0</v>
      </c>
      <c r="AI791" s="96">
        <f t="shared" si="1877"/>
        <v>0</v>
      </c>
      <c r="AJ791" s="96">
        <f t="shared" si="1878"/>
        <v>0</v>
      </c>
      <c r="AK791" s="96"/>
      <c r="AL791" s="96">
        <f t="shared" si="1891"/>
        <v>0</v>
      </c>
      <c r="AM791" s="96"/>
      <c r="AN791" s="96">
        <f t="shared" si="1892"/>
        <v>0</v>
      </c>
      <c r="AO791" s="96"/>
      <c r="AP791" s="96">
        <f t="shared" si="1893"/>
        <v>0</v>
      </c>
      <c r="AQ791" s="96">
        <f t="shared" si="1879"/>
        <v>0</v>
      </c>
      <c r="AR791" s="96">
        <f t="shared" si="1880"/>
        <v>0</v>
      </c>
      <c r="AS791" s="96"/>
      <c r="AT791" s="96">
        <f t="shared" si="1894"/>
        <v>0</v>
      </c>
      <c r="AU791" s="96"/>
      <c r="AV791" s="96">
        <f t="shared" si="1895"/>
        <v>0</v>
      </c>
      <c r="AW791" s="96"/>
      <c r="AX791" s="96">
        <f t="shared" si="1896"/>
        <v>0</v>
      </c>
      <c r="AY791" s="96">
        <f t="shared" si="1881"/>
        <v>0</v>
      </c>
      <c r="AZ791" s="96">
        <f t="shared" si="1882"/>
        <v>0</v>
      </c>
      <c r="BA791" s="96">
        <f t="shared" si="1883"/>
        <v>0</v>
      </c>
      <c r="BB791" s="96">
        <f t="shared" si="1884"/>
        <v>0</v>
      </c>
    </row>
    <row r="792" spans="1:54" hidden="1">
      <c r="A792" s="492">
        <v>485</v>
      </c>
      <c r="B792" s="13"/>
      <c r="C792" s="13"/>
      <c r="D792" s="13"/>
      <c r="E792" s="21" t="s">
        <v>675</v>
      </c>
      <c r="F792" s="45"/>
      <c r="G792" s="45" t="s">
        <v>1059</v>
      </c>
      <c r="H792" s="265" t="s">
        <v>357</v>
      </c>
      <c r="I792" s="54">
        <v>9.49</v>
      </c>
      <c r="J792" s="162"/>
      <c r="K792" s="54">
        <v>9.49</v>
      </c>
      <c r="L792" s="162"/>
      <c r="M792" s="54"/>
      <c r="N792" s="162"/>
      <c r="O792" s="54"/>
      <c r="P792" s="162"/>
      <c r="Q792" s="96">
        <f t="shared" si="1871"/>
        <v>0</v>
      </c>
      <c r="R792" s="337">
        <f t="shared" si="1872"/>
        <v>0</v>
      </c>
      <c r="S792" s="96"/>
      <c r="T792" s="96">
        <f t="shared" si="1885"/>
        <v>0</v>
      </c>
      <c r="U792" s="96"/>
      <c r="V792" s="96">
        <f t="shared" si="1886"/>
        <v>0</v>
      </c>
      <c r="W792" s="96"/>
      <c r="X792" s="96">
        <f t="shared" si="1887"/>
        <v>0</v>
      </c>
      <c r="Y792" s="96">
        <f t="shared" si="1873"/>
        <v>0</v>
      </c>
      <c r="Z792" s="96">
        <f t="shared" si="1874"/>
        <v>0</v>
      </c>
      <c r="AA792" s="96"/>
      <c r="AB792" s="96">
        <f t="shared" si="1888"/>
        <v>0</v>
      </c>
      <c r="AC792" s="96"/>
      <c r="AD792" s="96">
        <f t="shared" si="1889"/>
        <v>0</v>
      </c>
      <c r="AE792" s="96"/>
      <c r="AF792" s="96">
        <f t="shared" si="1890"/>
        <v>0</v>
      </c>
      <c r="AG792" s="96">
        <f t="shared" si="1875"/>
        <v>0</v>
      </c>
      <c r="AH792" s="96">
        <f t="shared" si="1876"/>
        <v>0</v>
      </c>
      <c r="AI792" s="96">
        <f t="shared" si="1877"/>
        <v>0</v>
      </c>
      <c r="AJ792" s="96">
        <f t="shared" si="1878"/>
        <v>0</v>
      </c>
      <c r="AK792" s="96"/>
      <c r="AL792" s="96">
        <f t="shared" si="1891"/>
        <v>0</v>
      </c>
      <c r="AM792" s="96"/>
      <c r="AN792" s="96">
        <f t="shared" si="1892"/>
        <v>0</v>
      </c>
      <c r="AO792" s="96"/>
      <c r="AP792" s="96">
        <f t="shared" si="1893"/>
        <v>0</v>
      </c>
      <c r="AQ792" s="96">
        <f t="shared" si="1879"/>
        <v>0</v>
      </c>
      <c r="AR792" s="96">
        <f t="shared" si="1880"/>
        <v>0</v>
      </c>
      <c r="AS792" s="96"/>
      <c r="AT792" s="96">
        <f t="shared" si="1894"/>
        <v>0</v>
      </c>
      <c r="AU792" s="96"/>
      <c r="AV792" s="96">
        <f t="shared" si="1895"/>
        <v>0</v>
      </c>
      <c r="AW792" s="96"/>
      <c r="AX792" s="96">
        <f t="shared" si="1896"/>
        <v>0</v>
      </c>
      <c r="AY792" s="96">
        <f t="shared" si="1881"/>
        <v>0</v>
      </c>
      <c r="AZ792" s="96">
        <f t="shared" si="1882"/>
        <v>0</v>
      </c>
      <c r="BA792" s="96">
        <f t="shared" si="1883"/>
        <v>0</v>
      </c>
      <c r="BB792" s="96">
        <f t="shared" si="1884"/>
        <v>0</v>
      </c>
    </row>
    <row r="793" spans="1:54" hidden="1">
      <c r="A793" s="492">
        <v>486</v>
      </c>
      <c r="B793" s="13"/>
      <c r="C793" s="13"/>
      <c r="D793" s="13"/>
      <c r="E793" s="21" t="s">
        <v>694</v>
      </c>
      <c r="F793" s="45"/>
      <c r="G793" s="45" t="s">
        <v>1059</v>
      </c>
      <c r="H793" s="265" t="s">
        <v>357</v>
      </c>
      <c r="I793" s="54">
        <v>9.49</v>
      </c>
      <c r="J793" s="162"/>
      <c r="K793" s="54">
        <v>9.49</v>
      </c>
      <c r="L793" s="162"/>
      <c r="M793" s="54"/>
      <c r="N793" s="162"/>
      <c r="O793" s="54"/>
      <c r="P793" s="162"/>
      <c r="Q793" s="96">
        <f t="shared" si="1871"/>
        <v>0</v>
      </c>
      <c r="R793" s="337">
        <f t="shared" si="1872"/>
        <v>0</v>
      </c>
      <c r="S793" s="96"/>
      <c r="T793" s="96">
        <f t="shared" si="1885"/>
        <v>0</v>
      </c>
      <c r="U793" s="96"/>
      <c r="V793" s="96">
        <f t="shared" si="1886"/>
        <v>0</v>
      </c>
      <c r="W793" s="96"/>
      <c r="X793" s="96">
        <f t="shared" si="1887"/>
        <v>0</v>
      </c>
      <c r="Y793" s="96">
        <f t="shared" si="1873"/>
        <v>0</v>
      </c>
      <c r="Z793" s="96">
        <f t="shared" si="1874"/>
        <v>0</v>
      </c>
      <c r="AA793" s="96"/>
      <c r="AB793" s="96">
        <f t="shared" si="1888"/>
        <v>0</v>
      </c>
      <c r="AC793" s="96"/>
      <c r="AD793" s="96">
        <f t="shared" si="1889"/>
        <v>0</v>
      </c>
      <c r="AE793" s="96"/>
      <c r="AF793" s="96">
        <f t="shared" si="1890"/>
        <v>0</v>
      </c>
      <c r="AG793" s="96">
        <f t="shared" si="1875"/>
        <v>0</v>
      </c>
      <c r="AH793" s="96">
        <f t="shared" si="1876"/>
        <v>0</v>
      </c>
      <c r="AI793" s="96">
        <f t="shared" si="1877"/>
        <v>0</v>
      </c>
      <c r="AJ793" s="96">
        <f t="shared" si="1878"/>
        <v>0</v>
      </c>
      <c r="AK793" s="96"/>
      <c r="AL793" s="96">
        <f t="shared" si="1891"/>
        <v>0</v>
      </c>
      <c r="AM793" s="96"/>
      <c r="AN793" s="96">
        <f t="shared" si="1892"/>
        <v>0</v>
      </c>
      <c r="AO793" s="96"/>
      <c r="AP793" s="96">
        <f t="shared" si="1893"/>
        <v>0</v>
      </c>
      <c r="AQ793" s="96">
        <f t="shared" si="1879"/>
        <v>0</v>
      </c>
      <c r="AR793" s="96">
        <f t="shared" si="1880"/>
        <v>0</v>
      </c>
      <c r="AS793" s="96"/>
      <c r="AT793" s="96">
        <f t="shared" si="1894"/>
        <v>0</v>
      </c>
      <c r="AU793" s="96"/>
      <c r="AV793" s="96">
        <f t="shared" si="1895"/>
        <v>0</v>
      </c>
      <c r="AW793" s="96"/>
      <c r="AX793" s="96">
        <f t="shared" si="1896"/>
        <v>0</v>
      </c>
      <c r="AY793" s="96">
        <f t="shared" si="1881"/>
        <v>0</v>
      </c>
      <c r="AZ793" s="96">
        <f t="shared" si="1882"/>
        <v>0</v>
      </c>
      <c r="BA793" s="96">
        <f t="shared" si="1883"/>
        <v>0</v>
      </c>
      <c r="BB793" s="96">
        <f t="shared" si="1884"/>
        <v>0</v>
      </c>
    </row>
    <row r="794" spans="1:54" hidden="1">
      <c r="A794" s="492">
        <v>487</v>
      </c>
      <c r="B794" s="13"/>
      <c r="C794" s="13"/>
      <c r="D794" s="13"/>
      <c r="E794" s="21" t="s">
        <v>579</v>
      </c>
      <c r="F794" s="45"/>
      <c r="G794" s="45" t="s">
        <v>1059</v>
      </c>
      <c r="H794" s="265" t="s">
        <v>357</v>
      </c>
      <c r="I794" s="54">
        <v>9.49</v>
      </c>
      <c r="J794" s="162"/>
      <c r="K794" s="54">
        <v>9.49</v>
      </c>
      <c r="L794" s="162"/>
      <c r="M794" s="54"/>
      <c r="N794" s="162"/>
      <c r="O794" s="54"/>
      <c r="P794" s="162"/>
      <c r="Q794" s="96">
        <f t="shared" si="1871"/>
        <v>0</v>
      </c>
      <c r="R794" s="337">
        <f t="shared" si="1872"/>
        <v>0</v>
      </c>
      <c r="S794" s="96"/>
      <c r="T794" s="96">
        <f t="shared" si="1885"/>
        <v>0</v>
      </c>
      <c r="U794" s="96"/>
      <c r="V794" s="96">
        <f t="shared" si="1886"/>
        <v>0</v>
      </c>
      <c r="W794" s="96"/>
      <c r="X794" s="96">
        <f t="shared" si="1887"/>
        <v>0</v>
      </c>
      <c r="Y794" s="96">
        <f t="shared" si="1873"/>
        <v>0</v>
      </c>
      <c r="Z794" s="96">
        <f t="shared" si="1874"/>
        <v>0</v>
      </c>
      <c r="AA794" s="96"/>
      <c r="AB794" s="96">
        <f t="shared" si="1888"/>
        <v>0</v>
      </c>
      <c r="AC794" s="96"/>
      <c r="AD794" s="96">
        <f t="shared" si="1889"/>
        <v>0</v>
      </c>
      <c r="AE794" s="96"/>
      <c r="AF794" s="96">
        <f t="shared" si="1890"/>
        <v>0</v>
      </c>
      <c r="AG794" s="96">
        <f t="shared" si="1875"/>
        <v>0</v>
      </c>
      <c r="AH794" s="96">
        <f t="shared" si="1876"/>
        <v>0</v>
      </c>
      <c r="AI794" s="96">
        <f t="shared" si="1877"/>
        <v>0</v>
      </c>
      <c r="AJ794" s="96">
        <f t="shared" si="1878"/>
        <v>0</v>
      </c>
      <c r="AK794" s="96"/>
      <c r="AL794" s="96">
        <f t="shared" si="1891"/>
        <v>0</v>
      </c>
      <c r="AM794" s="96"/>
      <c r="AN794" s="96">
        <f t="shared" si="1892"/>
        <v>0</v>
      </c>
      <c r="AO794" s="96"/>
      <c r="AP794" s="96">
        <f t="shared" si="1893"/>
        <v>0</v>
      </c>
      <c r="AQ794" s="96">
        <f t="shared" si="1879"/>
        <v>0</v>
      </c>
      <c r="AR794" s="96">
        <f t="shared" si="1880"/>
        <v>0</v>
      </c>
      <c r="AS794" s="96"/>
      <c r="AT794" s="96">
        <f t="shared" si="1894"/>
        <v>0</v>
      </c>
      <c r="AU794" s="96"/>
      <c r="AV794" s="96">
        <f t="shared" si="1895"/>
        <v>0</v>
      </c>
      <c r="AW794" s="96"/>
      <c r="AX794" s="96">
        <f t="shared" si="1896"/>
        <v>0</v>
      </c>
      <c r="AY794" s="96">
        <f t="shared" si="1881"/>
        <v>0</v>
      </c>
      <c r="AZ794" s="96">
        <f t="shared" si="1882"/>
        <v>0</v>
      </c>
      <c r="BA794" s="96">
        <f t="shared" si="1883"/>
        <v>0</v>
      </c>
      <c r="BB794" s="96">
        <f t="shared" si="1884"/>
        <v>0</v>
      </c>
    </row>
    <row r="795" spans="1:54" hidden="1">
      <c r="A795" s="492">
        <v>488</v>
      </c>
      <c r="B795" s="13"/>
      <c r="C795" s="13"/>
      <c r="D795" s="13"/>
      <c r="E795" s="21" t="s">
        <v>578</v>
      </c>
      <c r="F795" s="45"/>
      <c r="G795" s="45" t="s">
        <v>1059</v>
      </c>
      <c r="H795" s="265" t="s">
        <v>357</v>
      </c>
      <c r="I795" s="54">
        <v>9.49</v>
      </c>
      <c r="J795" s="162"/>
      <c r="K795" s="54">
        <v>9.49</v>
      </c>
      <c r="L795" s="162"/>
      <c r="M795" s="54"/>
      <c r="N795" s="162"/>
      <c r="O795" s="54"/>
      <c r="P795" s="162"/>
      <c r="Q795" s="96">
        <f t="shared" si="1871"/>
        <v>0</v>
      </c>
      <c r="R795" s="337">
        <f t="shared" si="1872"/>
        <v>0</v>
      </c>
      <c r="S795" s="96"/>
      <c r="T795" s="96">
        <f t="shared" si="1885"/>
        <v>0</v>
      </c>
      <c r="U795" s="96"/>
      <c r="V795" s="96">
        <f t="shared" si="1886"/>
        <v>0</v>
      </c>
      <c r="W795" s="96"/>
      <c r="X795" s="96">
        <f t="shared" si="1887"/>
        <v>0</v>
      </c>
      <c r="Y795" s="96">
        <f t="shared" si="1873"/>
        <v>0</v>
      </c>
      <c r="Z795" s="96">
        <f t="shared" si="1874"/>
        <v>0</v>
      </c>
      <c r="AA795" s="96"/>
      <c r="AB795" s="96">
        <f t="shared" si="1888"/>
        <v>0</v>
      </c>
      <c r="AC795" s="96"/>
      <c r="AD795" s="96">
        <f t="shared" si="1889"/>
        <v>0</v>
      </c>
      <c r="AE795" s="96"/>
      <c r="AF795" s="96">
        <f t="shared" si="1890"/>
        <v>0</v>
      </c>
      <c r="AG795" s="96">
        <f t="shared" si="1875"/>
        <v>0</v>
      </c>
      <c r="AH795" s="96">
        <f t="shared" si="1876"/>
        <v>0</v>
      </c>
      <c r="AI795" s="96">
        <f t="shared" si="1877"/>
        <v>0</v>
      </c>
      <c r="AJ795" s="96">
        <f t="shared" si="1878"/>
        <v>0</v>
      </c>
      <c r="AK795" s="96"/>
      <c r="AL795" s="96">
        <f t="shared" si="1891"/>
        <v>0</v>
      </c>
      <c r="AM795" s="96"/>
      <c r="AN795" s="96">
        <f t="shared" si="1892"/>
        <v>0</v>
      </c>
      <c r="AO795" s="96"/>
      <c r="AP795" s="96">
        <f t="shared" si="1893"/>
        <v>0</v>
      </c>
      <c r="AQ795" s="96">
        <f t="shared" si="1879"/>
        <v>0</v>
      </c>
      <c r="AR795" s="96">
        <f t="shared" si="1880"/>
        <v>0</v>
      </c>
      <c r="AS795" s="96"/>
      <c r="AT795" s="96">
        <f t="shared" si="1894"/>
        <v>0</v>
      </c>
      <c r="AU795" s="96"/>
      <c r="AV795" s="96">
        <f t="shared" si="1895"/>
        <v>0</v>
      </c>
      <c r="AW795" s="96"/>
      <c r="AX795" s="96">
        <f t="shared" si="1896"/>
        <v>0</v>
      </c>
      <c r="AY795" s="96">
        <f t="shared" si="1881"/>
        <v>0</v>
      </c>
      <c r="AZ795" s="96">
        <f t="shared" si="1882"/>
        <v>0</v>
      </c>
      <c r="BA795" s="96">
        <f t="shared" si="1883"/>
        <v>0</v>
      </c>
      <c r="BB795" s="96">
        <f t="shared" si="1884"/>
        <v>0</v>
      </c>
    </row>
    <row r="796" spans="1:54" hidden="1">
      <c r="A796" s="492">
        <v>489</v>
      </c>
      <c r="B796" s="13"/>
      <c r="C796" s="13"/>
      <c r="D796" s="13"/>
      <c r="E796" s="21" t="s">
        <v>648</v>
      </c>
      <c r="F796" s="45"/>
      <c r="G796" s="45" t="s">
        <v>1059</v>
      </c>
      <c r="H796" s="265" t="s">
        <v>357</v>
      </c>
      <c r="I796" s="54">
        <v>9.49</v>
      </c>
      <c r="J796" s="162"/>
      <c r="K796" s="54">
        <v>9.49</v>
      </c>
      <c r="L796" s="162"/>
      <c r="M796" s="54"/>
      <c r="N796" s="162"/>
      <c r="O796" s="54"/>
      <c r="P796" s="162"/>
      <c r="Q796" s="96">
        <f t="shared" si="1871"/>
        <v>0</v>
      </c>
      <c r="R796" s="337">
        <f t="shared" si="1872"/>
        <v>0</v>
      </c>
      <c r="S796" s="96"/>
      <c r="T796" s="96">
        <f t="shared" si="1885"/>
        <v>0</v>
      </c>
      <c r="U796" s="96"/>
      <c r="V796" s="96">
        <f t="shared" si="1886"/>
        <v>0</v>
      </c>
      <c r="W796" s="96"/>
      <c r="X796" s="96">
        <f t="shared" si="1887"/>
        <v>0</v>
      </c>
      <c r="Y796" s="96">
        <f t="shared" si="1873"/>
        <v>0</v>
      </c>
      <c r="Z796" s="96">
        <f t="shared" si="1874"/>
        <v>0</v>
      </c>
      <c r="AA796" s="96"/>
      <c r="AB796" s="96">
        <f t="shared" si="1888"/>
        <v>0</v>
      </c>
      <c r="AC796" s="96"/>
      <c r="AD796" s="96">
        <f t="shared" si="1889"/>
        <v>0</v>
      </c>
      <c r="AE796" s="96"/>
      <c r="AF796" s="96">
        <f t="shared" si="1890"/>
        <v>0</v>
      </c>
      <c r="AG796" s="96">
        <f t="shared" si="1875"/>
        <v>0</v>
      </c>
      <c r="AH796" s="96">
        <f t="shared" si="1876"/>
        <v>0</v>
      </c>
      <c r="AI796" s="96">
        <f t="shared" si="1877"/>
        <v>0</v>
      </c>
      <c r="AJ796" s="96">
        <f t="shared" si="1878"/>
        <v>0</v>
      </c>
      <c r="AK796" s="96"/>
      <c r="AL796" s="96">
        <f t="shared" si="1891"/>
        <v>0</v>
      </c>
      <c r="AM796" s="96"/>
      <c r="AN796" s="96">
        <f t="shared" si="1892"/>
        <v>0</v>
      </c>
      <c r="AO796" s="96"/>
      <c r="AP796" s="96">
        <f t="shared" si="1893"/>
        <v>0</v>
      </c>
      <c r="AQ796" s="96">
        <f t="shared" si="1879"/>
        <v>0</v>
      </c>
      <c r="AR796" s="96">
        <f t="shared" si="1880"/>
        <v>0</v>
      </c>
      <c r="AS796" s="96"/>
      <c r="AT796" s="96">
        <f t="shared" si="1894"/>
        <v>0</v>
      </c>
      <c r="AU796" s="96"/>
      <c r="AV796" s="96">
        <f t="shared" si="1895"/>
        <v>0</v>
      </c>
      <c r="AW796" s="96"/>
      <c r="AX796" s="96">
        <f t="shared" si="1896"/>
        <v>0</v>
      </c>
      <c r="AY796" s="96">
        <f t="shared" si="1881"/>
        <v>0</v>
      </c>
      <c r="AZ796" s="96">
        <f t="shared" si="1882"/>
        <v>0</v>
      </c>
      <c r="BA796" s="96">
        <f t="shared" si="1883"/>
        <v>0</v>
      </c>
      <c r="BB796" s="96">
        <f t="shared" si="1884"/>
        <v>0</v>
      </c>
    </row>
    <row r="797" spans="1:54" hidden="1">
      <c r="A797" s="492">
        <v>490</v>
      </c>
      <c r="B797" s="13"/>
      <c r="C797" s="13"/>
      <c r="D797" s="13"/>
      <c r="E797" s="21" t="s">
        <v>672</v>
      </c>
      <c r="F797" s="45"/>
      <c r="G797" s="45" t="s">
        <v>1059</v>
      </c>
      <c r="H797" s="265" t="s">
        <v>357</v>
      </c>
      <c r="I797" s="54">
        <v>9.49</v>
      </c>
      <c r="J797" s="162"/>
      <c r="K797" s="54">
        <v>9.49</v>
      </c>
      <c r="L797" s="162"/>
      <c r="M797" s="54"/>
      <c r="N797" s="162"/>
      <c r="O797" s="54"/>
      <c r="P797" s="162"/>
      <c r="Q797" s="96">
        <f t="shared" ref="Q797:Q828" si="1897">SUM(AI797+BA797)</f>
        <v>0</v>
      </c>
      <c r="R797" s="337">
        <f t="shared" ref="R797:R828" si="1898">SUM(AJ797+BB797)</f>
        <v>0</v>
      </c>
      <c r="S797" s="96"/>
      <c r="T797" s="96">
        <f t="shared" si="1885"/>
        <v>0</v>
      </c>
      <c r="U797" s="96"/>
      <c r="V797" s="96">
        <f t="shared" si="1886"/>
        <v>0</v>
      </c>
      <c r="W797" s="96"/>
      <c r="X797" s="96">
        <f t="shared" si="1887"/>
        <v>0</v>
      </c>
      <c r="Y797" s="96">
        <f t="shared" ref="Y797:Y828" si="1899">SUM(S797+U797+W797)</f>
        <v>0</v>
      </c>
      <c r="Z797" s="96">
        <f t="shared" ref="Z797:Z828" si="1900">SUM(T797+V797+X797)</f>
        <v>0</v>
      </c>
      <c r="AA797" s="96"/>
      <c r="AB797" s="96">
        <f t="shared" si="1888"/>
        <v>0</v>
      </c>
      <c r="AC797" s="96"/>
      <c r="AD797" s="96">
        <f t="shared" si="1889"/>
        <v>0</v>
      </c>
      <c r="AE797" s="96"/>
      <c r="AF797" s="96">
        <f t="shared" si="1890"/>
        <v>0</v>
      </c>
      <c r="AG797" s="96">
        <f t="shared" ref="AG797:AG828" si="1901">SUM(AA797+AC797+AE797)</f>
        <v>0</v>
      </c>
      <c r="AH797" s="96">
        <f t="shared" ref="AH797:AH828" si="1902">SUM(AB797+AD797+AF797)</f>
        <v>0</v>
      </c>
      <c r="AI797" s="96">
        <f t="shared" ref="AI797:AI828" si="1903">SUM(Y797+AG797)</f>
        <v>0</v>
      </c>
      <c r="AJ797" s="96">
        <f t="shared" ref="AJ797:AJ828" si="1904">SUM(Z797,AH797)</f>
        <v>0</v>
      </c>
      <c r="AK797" s="96"/>
      <c r="AL797" s="96">
        <f t="shared" si="1891"/>
        <v>0</v>
      </c>
      <c r="AM797" s="96"/>
      <c r="AN797" s="96">
        <f t="shared" si="1892"/>
        <v>0</v>
      </c>
      <c r="AO797" s="96"/>
      <c r="AP797" s="96">
        <f t="shared" si="1893"/>
        <v>0</v>
      </c>
      <c r="AQ797" s="96">
        <f t="shared" ref="AQ797:AQ828" si="1905">SUM(AK797+AM797+AO797)</f>
        <v>0</v>
      </c>
      <c r="AR797" s="96">
        <f t="shared" ref="AR797:AR828" si="1906">SUM(AL797+AN797+AP797)</f>
        <v>0</v>
      </c>
      <c r="AS797" s="96"/>
      <c r="AT797" s="96">
        <f t="shared" si="1894"/>
        <v>0</v>
      </c>
      <c r="AU797" s="96"/>
      <c r="AV797" s="96">
        <f t="shared" si="1895"/>
        <v>0</v>
      </c>
      <c r="AW797" s="96"/>
      <c r="AX797" s="96">
        <f t="shared" si="1896"/>
        <v>0</v>
      </c>
      <c r="AY797" s="96">
        <f t="shared" ref="AY797:AY828" si="1907">SUM(AS797+AU797+AW797)</f>
        <v>0</v>
      </c>
      <c r="AZ797" s="96">
        <f t="shared" ref="AZ797:AZ828" si="1908">SUM(AT797+AV797+AX797)</f>
        <v>0</v>
      </c>
      <c r="BA797" s="96">
        <f t="shared" ref="BA797:BA828" si="1909">SUM(AQ797+AY797)</f>
        <v>0</v>
      </c>
      <c r="BB797" s="96">
        <f t="shared" ref="BB797:BB828" si="1910">SUM(AR797,AZ797)</f>
        <v>0</v>
      </c>
    </row>
    <row r="798" spans="1:54" hidden="1">
      <c r="A798" s="492">
        <v>491</v>
      </c>
      <c r="B798" s="13"/>
      <c r="C798" s="13"/>
      <c r="D798" s="13"/>
      <c r="E798" s="21" t="s">
        <v>693</v>
      </c>
      <c r="F798" s="45"/>
      <c r="G798" s="45" t="s">
        <v>1059</v>
      </c>
      <c r="H798" s="265" t="s">
        <v>357</v>
      </c>
      <c r="I798" s="54">
        <v>9.49</v>
      </c>
      <c r="J798" s="162"/>
      <c r="K798" s="54">
        <v>9.49</v>
      </c>
      <c r="L798" s="162"/>
      <c r="M798" s="54"/>
      <c r="N798" s="162"/>
      <c r="O798" s="54"/>
      <c r="P798" s="162"/>
      <c r="Q798" s="96">
        <f t="shared" si="1897"/>
        <v>0</v>
      </c>
      <c r="R798" s="337">
        <f t="shared" si="1898"/>
        <v>0</v>
      </c>
      <c r="S798" s="96"/>
      <c r="T798" s="96">
        <f t="shared" si="1885"/>
        <v>0</v>
      </c>
      <c r="U798" s="96"/>
      <c r="V798" s="96">
        <f t="shared" si="1886"/>
        <v>0</v>
      </c>
      <c r="W798" s="96"/>
      <c r="X798" s="96">
        <f t="shared" si="1887"/>
        <v>0</v>
      </c>
      <c r="Y798" s="96">
        <f t="shared" si="1899"/>
        <v>0</v>
      </c>
      <c r="Z798" s="96">
        <f t="shared" si="1900"/>
        <v>0</v>
      </c>
      <c r="AA798" s="96"/>
      <c r="AB798" s="96">
        <f t="shared" si="1888"/>
        <v>0</v>
      </c>
      <c r="AC798" s="96"/>
      <c r="AD798" s="96">
        <f t="shared" si="1889"/>
        <v>0</v>
      </c>
      <c r="AE798" s="96"/>
      <c r="AF798" s="96">
        <f t="shared" si="1890"/>
        <v>0</v>
      </c>
      <c r="AG798" s="96">
        <f t="shared" si="1901"/>
        <v>0</v>
      </c>
      <c r="AH798" s="96">
        <f t="shared" si="1902"/>
        <v>0</v>
      </c>
      <c r="AI798" s="96">
        <f t="shared" si="1903"/>
        <v>0</v>
      </c>
      <c r="AJ798" s="96">
        <f t="shared" si="1904"/>
        <v>0</v>
      </c>
      <c r="AK798" s="96"/>
      <c r="AL798" s="96">
        <f t="shared" si="1891"/>
        <v>0</v>
      </c>
      <c r="AM798" s="96"/>
      <c r="AN798" s="96">
        <f t="shared" si="1892"/>
        <v>0</v>
      </c>
      <c r="AO798" s="96"/>
      <c r="AP798" s="96">
        <f t="shared" si="1893"/>
        <v>0</v>
      </c>
      <c r="AQ798" s="96">
        <f t="shared" si="1905"/>
        <v>0</v>
      </c>
      <c r="AR798" s="96">
        <f t="shared" si="1906"/>
        <v>0</v>
      </c>
      <c r="AS798" s="96"/>
      <c r="AT798" s="96">
        <f t="shared" si="1894"/>
        <v>0</v>
      </c>
      <c r="AU798" s="96"/>
      <c r="AV798" s="96">
        <f t="shared" si="1895"/>
        <v>0</v>
      </c>
      <c r="AW798" s="96"/>
      <c r="AX798" s="96">
        <f t="shared" si="1896"/>
        <v>0</v>
      </c>
      <c r="AY798" s="96">
        <f t="shared" si="1907"/>
        <v>0</v>
      </c>
      <c r="AZ798" s="96">
        <f t="shared" si="1908"/>
        <v>0</v>
      </c>
      <c r="BA798" s="96">
        <f t="shared" si="1909"/>
        <v>0</v>
      </c>
      <c r="BB798" s="96">
        <f t="shared" si="1910"/>
        <v>0</v>
      </c>
    </row>
    <row r="799" spans="1:54">
      <c r="A799" s="492">
        <v>500</v>
      </c>
      <c r="B799" s="13"/>
      <c r="C799" s="13"/>
      <c r="D799" s="13"/>
      <c r="E799" s="21" t="s">
        <v>516</v>
      </c>
      <c r="F799" s="45"/>
      <c r="G799" s="45" t="s">
        <v>1059</v>
      </c>
      <c r="H799" s="265" t="s">
        <v>357</v>
      </c>
      <c r="I799" s="54">
        <v>6.47</v>
      </c>
      <c r="J799" s="162"/>
      <c r="K799" s="54">
        <v>6.47</v>
      </c>
      <c r="L799" s="162"/>
      <c r="M799" s="54"/>
      <c r="N799" s="162"/>
      <c r="O799" s="54"/>
      <c r="P799" s="162"/>
      <c r="Q799" s="96">
        <f t="shared" si="1897"/>
        <v>0</v>
      </c>
      <c r="R799" s="337">
        <f t="shared" si="1898"/>
        <v>0</v>
      </c>
      <c r="S799" s="96"/>
      <c r="T799" s="96">
        <f t="shared" si="1885"/>
        <v>0</v>
      </c>
      <c r="U799" s="96"/>
      <c r="V799" s="96">
        <f t="shared" si="1886"/>
        <v>0</v>
      </c>
      <c r="W799" s="96"/>
      <c r="X799" s="96">
        <f t="shared" si="1887"/>
        <v>0</v>
      </c>
      <c r="Y799" s="96">
        <f t="shared" si="1899"/>
        <v>0</v>
      </c>
      <c r="Z799" s="96">
        <f t="shared" si="1900"/>
        <v>0</v>
      </c>
      <c r="AA799" s="96"/>
      <c r="AB799" s="96">
        <f t="shared" si="1888"/>
        <v>0</v>
      </c>
      <c r="AC799" s="96"/>
      <c r="AD799" s="96">
        <f t="shared" si="1889"/>
        <v>0</v>
      </c>
      <c r="AE799" s="96"/>
      <c r="AF799" s="96">
        <f t="shared" si="1890"/>
        <v>0</v>
      </c>
      <c r="AG799" s="96">
        <f t="shared" si="1901"/>
        <v>0</v>
      </c>
      <c r="AH799" s="96">
        <f t="shared" si="1902"/>
        <v>0</v>
      </c>
      <c r="AI799" s="96">
        <f t="shared" si="1903"/>
        <v>0</v>
      </c>
      <c r="AJ799" s="96">
        <f t="shared" si="1904"/>
        <v>0</v>
      </c>
      <c r="AK799" s="96"/>
      <c r="AL799" s="96">
        <f t="shared" si="1891"/>
        <v>0</v>
      </c>
      <c r="AM799" s="96"/>
      <c r="AN799" s="96">
        <f t="shared" si="1892"/>
        <v>0</v>
      </c>
      <c r="AO799" s="96"/>
      <c r="AP799" s="96">
        <f t="shared" si="1893"/>
        <v>0</v>
      </c>
      <c r="AQ799" s="96">
        <f t="shared" si="1905"/>
        <v>0</v>
      </c>
      <c r="AR799" s="96">
        <f t="shared" si="1906"/>
        <v>0</v>
      </c>
      <c r="AS799" s="96"/>
      <c r="AT799" s="96">
        <f t="shared" si="1894"/>
        <v>0</v>
      </c>
      <c r="AU799" s="96"/>
      <c r="AV799" s="96">
        <f t="shared" si="1895"/>
        <v>0</v>
      </c>
      <c r="AW799" s="96"/>
      <c r="AX799" s="96">
        <f t="shared" si="1896"/>
        <v>0</v>
      </c>
      <c r="AY799" s="96">
        <f t="shared" si="1907"/>
        <v>0</v>
      </c>
      <c r="AZ799" s="96">
        <f t="shared" si="1908"/>
        <v>0</v>
      </c>
      <c r="BA799" s="96">
        <f t="shared" si="1909"/>
        <v>0</v>
      </c>
      <c r="BB799" s="96">
        <f t="shared" si="1910"/>
        <v>0</v>
      </c>
    </row>
    <row r="800" spans="1:54">
      <c r="A800" s="492">
        <v>501</v>
      </c>
      <c r="B800" s="13"/>
      <c r="C800" s="13"/>
      <c r="D800" s="13"/>
      <c r="E800" s="21" t="s">
        <v>1070</v>
      </c>
      <c r="F800" s="22"/>
      <c r="G800" s="22" t="s">
        <v>1069</v>
      </c>
      <c r="H800" s="265" t="s">
        <v>357</v>
      </c>
      <c r="I800" s="54">
        <v>5.74</v>
      </c>
      <c r="J800" s="101"/>
      <c r="K800" s="54">
        <v>5.74</v>
      </c>
      <c r="L800" s="101"/>
      <c r="M800" s="54"/>
      <c r="N800" s="101"/>
      <c r="O800" s="54"/>
      <c r="P800" s="101"/>
      <c r="Q800" s="96">
        <f t="shared" si="1897"/>
        <v>0</v>
      </c>
      <c r="R800" s="337">
        <f t="shared" si="1898"/>
        <v>0</v>
      </c>
      <c r="S800" s="96"/>
      <c r="T800" s="96">
        <f t="shared" si="1885"/>
        <v>0</v>
      </c>
      <c r="U800" s="96"/>
      <c r="V800" s="176">
        <f t="shared" si="1886"/>
        <v>0</v>
      </c>
      <c r="W800" s="206"/>
      <c r="X800" s="205">
        <f t="shared" si="1887"/>
        <v>0</v>
      </c>
      <c r="Y800" s="188">
        <f t="shared" si="1899"/>
        <v>0</v>
      </c>
      <c r="Z800" s="176">
        <f t="shared" si="1900"/>
        <v>0</v>
      </c>
      <c r="AA800" s="206"/>
      <c r="AB800" s="205">
        <f t="shared" si="1888"/>
        <v>0</v>
      </c>
      <c r="AC800" s="206"/>
      <c r="AD800" s="176">
        <f t="shared" si="1889"/>
        <v>0</v>
      </c>
      <c r="AE800" s="206"/>
      <c r="AF800" s="205">
        <f t="shared" si="1890"/>
        <v>0</v>
      </c>
      <c r="AG800" s="188">
        <f t="shared" si="1901"/>
        <v>0</v>
      </c>
      <c r="AH800" s="96">
        <f t="shared" si="1902"/>
        <v>0</v>
      </c>
      <c r="AI800" s="96">
        <f t="shared" si="1903"/>
        <v>0</v>
      </c>
      <c r="AJ800" s="176">
        <f t="shared" si="1904"/>
        <v>0</v>
      </c>
      <c r="AK800" s="206"/>
      <c r="AL800" s="176">
        <f t="shared" si="1891"/>
        <v>0</v>
      </c>
      <c r="AM800" s="243"/>
      <c r="AN800" s="176">
        <f t="shared" si="1892"/>
        <v>0</v>
      </c>
      <c r="AO800" s="206"/>
      <c r="AP800" s="205">
        <f t="shared" si="1893"/>
        <v>0</v>
      </c>
      <c r="AQ800" s="188">
        <f t="shared" si="1905"/>
        <v>0</v>
      </c>
      <c r="AR800" s="96">
        <f t="shared" si="1906"/>
        <v>0</v>
      </c>
      <c r="AS800" s="96"/>
      <c r="AT800" s="176">
        <f t="shared" si="1894"/>
        <v>0</v>
      </c>
      <c r="AU800" s="206"/>
      <c r="AV800" s="176">
        <f t="shared" si="1895"/>
        <v>0</v>
      </c>
      <c r="AW800" s="206"/>
      <c r="AX800" s="205">
        <f t="shared" si="1896"/>
        <v>0</v>
      </c>
      <c r="AY800" s="188">
        <f t="shared" si="1907"/>
        <v>0</v>
      </c>
      <c r="AZ800" s="96">
        <f t="shared" si="1908"/>
        <v>0</v>
      </c>
      <c r="BA800" s="96">
        <f t="shared" si="1909"/>
        <v>0</v>
      </c>
      <c r="BB800" s="96">
        <f t="shared" si="1910"/>
        <v>0</v>
      </c>
    </row>
    <row r="801" spans="1:54">
      <c r="A801" s="492">
        <v>502</v>
      </c>
      <c r="B801" s="13"/>
      <c r="C801" s="13"/>
      <c r="D801" s="13"/>
      <c r="E801" s="21" t="s">
        <v>1071</v>
      </c>
      <c r="F801" s="22"/>
      <c r="G801" s="22" t="s">
        <v>1069</v>
      </c>
      <c r="H801" s="265" t="s">
        <v>357</v>
      </c>
      <c r="I801" s="54">
        <v>5.74</v>
      </c>
      <c r="J801" s="101"/>
      <c r="K801" s="54">
        <v>5.74</v>
      </c>
      <c r="L801" s="101"/>
      <c r="M801" s="54"/>
      <c r="N801" s="101"/>
      <c r="O801" s="54"/>
      <c r="P801" s="101"/>
      <c r="Q801" s="96">
        <f t="shared" si="1897"/>
        <v>0</v>
      </c>
      <c r="R801" s="337">
        <f t="shared" si="1898"/>
        <v>0</v>
      </c>
      <c r="S801" s="96"/>
      <c r="T801" s="96">
        <f t="shared" si="1885"/>
        <v>0</v>
      </c>
      <c r="U801" s="96"/>
      <c r="V801" s="176">
        <f t="shared" si="1886"/>
        <v>0</v>
      </c>
      <c r="W801" s="206"/>
      <c r="X801" s="205">
        <f t="shared" si="1887"/>
        <v>0</v>
      </c>
      <c r="Y801" s="188">
        <f t="shared" si="1899"/>
        <v>0</v>
      </c>
      <c r="Z801" s="176">
        <f t="shared" si="1900"/>
        <v>0</v>
      </c>
      <c r="AA801" s="206"/>
      <c r="AB801" s="205">
        <f t="shared" si="1888"/>
        <v>0</v>
      </c>
      <c r="AC801" s="206"/>
      <c r="AD801" s="176">
        <f t="shared" si="1889"/>
        <v>0</v>
      </c>
      <c r="AE801" s="206"/>
      <c r="AF801" s="205">
        <f t="shared" si="1890"/>
        <v>0</v>
      </c>
      <c r="AG801" s="188">
        <f t="shared" si="1901"/>
        <v>0</v>
      </c>
      <c r="AH801" s="96">
        <f t="shared" si="1902"/>
        <v>0</v>
      </c>
      <c r="AI801" s="96">
        <f t="shared" si="1903"/>
        <v>0</v>
      </c>
      <c r="AJ801" s="176">
        <f t="shared" si="1904"/>
        <v>0</v>
      </c>
      <c r="AK801" s="206"/>
      <c r="AL801" s="176">
        <f t="shared" si="1891"/>
        <v>0</v>
      </c>
      <c r="AM801" s="243"/>
      <c r="AN801" s="176">
        <f t="shared" si="1892"/>
        <v>0</v>
      </c>
      <c r="AO801" s="206"/>
      <c r="AP801" s="205">
        <f t="shared" si="1893"/>
        <v>0</v>
      </c>
      <c r="AQ801" s="188">
        <f t="shared" si="1905"/>
        <v>0</v>
      </c>
      <c r="AR801" s="96">
        <f t="shared" si="1906"/>
        <v>0</v>
      </c>
      <c r="AS801" s="96"/>
      <c r="AT801" s="176">
        <f t="shared" si="1894"/>
        <v>0</v>
      </c>
      <c r="AU801" s="206"/>
      <c r="AV801" s="176">
        <f t="shared" si="1895"/>
        <v>0</v>
      </c>
      <c r="AW801" s="206"/>
      <c r="AX801" s="205">
        <f t="shared" si="1896"/>
        <v>0</v>
      </c>
      <c r="AY801" s="188">
        <f t="shared" si="1907"/>
        <v>0</v>
      </c>
      <c r="AZ801" s="96">
        <f t="shared" si="1908"/>
        <v>0</v>
      </c>
      <c r="BA801" s="96">
        <f t="shared" si="1909"/>
        <v>0</v>
      </c>
      <c r="BB801" s="96">
        <f t="shared" si="1910"/>
        <v>0</v>
      </c>
    </row>
    <row r="802" spans="1:54">
      <c r="A802" s="492">
        <v>503</v>
      </c>
      <c r="B802" s="13"/>
      <c r="C802" s="13"/>
      <c r="D802" s="13"/>
      <c r="E802" s="21" t="s">
        <v>695</v>
      </c>
      <c r="F802" s="45"/>
      <c r="G802" s="45" t="s">
        <v>1059</v>
      </c>
      <c r="H802" s="265" t="s">
        <v>357</v>
      </c>
      <c r="I802" s="54">
        <v>7.46</v>
      </c>
      <c r="J802" s="162"/>
      <c r="K802" s="54">
        <v>7.46</v>
      </c>
      <c r="L802" s="162"/>
      <c r="M802" s="54"/>
      <c r="N802" s="162"/>
      <c r="O802" s="54"/>
      <c r="P802" s="162"/>
      <c r="Q802" s="96">
        <f t="shared" si="1897"/>
        <v>0</v>
      </c>
      <c r="R802" s="337">
        <f t="shared" si="1898"/>
        <v>0</v>
      </c>
      <c r="S802" s="96"/>
      <c r="T802" s="96">
        <f t="shared" si="1885"/>
        <v>0</v>
      </c>
      <c r="U802" s="96"/>
      <c r="V802" s="96">
        <f t="shared" si="1886"/>
        <v>0</v>
      </c>
      <c r="W802" s="96"/>
      <c r="X802" s="96">
        <f t="shared" si="1887"/>
        <v>0</v>
      </c>
      <c r="Y802" s="96">
        <f t="shared" si="1899"/>
        <v>0</v>
      </c>
      <c r="Z802" s="96">
        <f t="shared" si="1900"/>
        <v>0</v>
      </c>
      <c r="AA802" s="96"/>
      <c r="AB802" s="96">
        <f t="shared" si="1888"/>
        <v>0</v>
      </c>
      <c r="AC802" s="96"/>
      <c r="AD802" s="96">
        <f t="shared" si="1889"/>
        <v>0</v>
      </c>
      <c r="AE802" s="96"/>
      <c r="AF802" s="96">
        <f t="shared" si="1890"/>
        <v>0</v>
      </c>
      <c r="AG802" s="96">
        <f t="shared" si="1901"/>
        <v>0</v>
      </c>
      <c r="AH802" s="96">
        <f t="shared" si="1902"/>
        <v>0</v>
      </c>
      <c r="AI802" s="96">
        <f t="shared" si="1903"/>
        <v>0</v>
      </c>
      <c r="AJ802" s="96">
        <f t="shared" si="1904"/>
        <v>0</v>
      </c>
      <c r="AK802" s="96"/>
      <c r="AL802" s="96">
        <f t="shared" si="1891"/>
        <v>0</v>
      </c>
      <c r="AM802" s="96"/>
      <c r="AN802" s="96">
        <f t="shared" si="1892"/>
        <v>0</v>
      </c>
      <c r="AO802" s="96"/>
      <c r="AP802" s="96">
        <f t="shared" si="1893"/>
        <v>0</v>
      </c>
      <c r="AQ802" s="96">
        <f t="shared" si="1905"/>
        <v>0</v>
      </c>
      <c r="AR802" s="96">
        <f t="shared" si="1906"/>
        <v>0</v>
      </c>
      <c r="AS802" s="96"/>
      <c r="AT802" s="96">
        <f t="shared" si="1894"/>
        <v>0</v>
      </c>
      <c r="AU802" s="96"/>
      <c r="AV802" s="96">
        <f t="shared" si="1895"/>
        <v>0</v>
      </c>
      <c r="AW802" s="96"/>
      <c r="AX802" s="96">
        <f t="shared" si="1896"/>
        <v>0</v>
      </c>
      <c r="AY802" s="96">
        <f t="shared" si="1907"/>
        <v>0</v>
      </c>
      <c r="AZ802" s="96">
        <f t="shared" si="1908"/>
        <v>0</v>
      </c>
      <c r="BA802" s="96">
        <f t="shared" si="1909"/>
        <v>0</v>
      </c>
      <c r="BB802" s="96">
        <f t="shared" si="1910"/>
        <v>0</v>
      </c>
    </row>
    <row r="803" spans="1:54">
      <c r="A803" s="492">
        <v>504</v>
      </c>
      <c r="B803" s="13"/>
      <c r="C803" s="13"/>
      <c r="D803" s="13"/>
      <c r="E803" s="21" t="s">
        <v>567</v>
      </c>
      <c r="F803" s="45"/>
      <c r="G803" s="45" t="s">
        <v>1059</v>
      </c>
      <c r="H803" s="265" t="s">
        <v>357</v>
      </c>
      <c r="I803" s="54">
        <v>5.74</v>
      </c>
      <c r="J803" s="162"/>
      <c r="K803" s="54">
        <v>5.74</v>
      </c>
      <c r="L803" s="162"/>
      <c r="M803" s="54"/>
      <c r="N803" s="162"/>
      <c r="O803" s="54"/>
      <c r="P803" s="162"/>
      <c r="Q803" s="96">
        <f t="shared" si="1897"/>
        <v>0</v>
      </c>
      <c r="R803" s="337">
        <f t="shared" si="1898"/>
        <v>0</v>
      </c>
      <c r="S803" s="96"/>
      <c r="T803" s="96">
        <f t="shared" si="1885"/>
        <v>0</v>
      </c>
      <c r="U803" s="96"/>
      <c r="V803" s="96">
        <f t="shared" si="1886"/>
        <v>0</v>
      </c>
      <c r="W803" s="96"/>
      <c r="X803" s="96">
        <f t="shared" si="1887"/>
        <v>0</v>
      </c>
      <c r="Y803" s="96">
        <f t="shared" si="1899"/>
        <v>0</v>
      </c>
      <c r="Z803" s="96">
        <f t="shared" si="1900"/>
        <v>0</v>
      </c>
      <c r="AA803" s="96"/>
      <c r="AB803" s="96">
        <f t="shared" si="1888"/>
        <v>0</v>
      </c>
      <c r="AC803" s="96"/>
      <c r="AD803" s="96">
        <f t="shared" si="1889"/>
        <v>0</v>
      </c>
      <c r="AE803" s="96"/>
      <c r="AF803" s="96">
        <f t="shared" si="1890"/>
        <v>0</v>
      </c>
      <c r="AG803" s="96">
        <f t="shared" si="1901"/>
        <v>0</v>
      </c>
      <c r="AH803" s="96">
        <f t="shared" si="1902"/>
        <v>0</v>
      </c>
      <c r="AI803" s="96">
        <f t="shared" si="1903"/>
        <v>0</v>
      </c>
      <c r="AJ803" s="96">
        <f t="shared" si="1904"/>
        <v>0</v>
      </c>
      <c r="AK803" s="96"/>
      <c r="AL803" s="96">
        <f t="shared" si="1891"/>
        <v>0</v>
      </c>
      <c r="AM803" s="96"/>
      <c r="AN803" s="96">
        <f t="shared" si="1892"/>
        <v>0</v>
      </c>
      <c r="AO803" s="96"/>
      <c r="AP803" s="96">
        <f t="shared" si="1893"/>
        <v>0</v>
      </c>
      <c r="AQ803" s="96">
        <f t="shared" si="1905"/>
        <v>0</v>
      </c>
      <c r="AR803" s="96">
        <f t="shared" si="1906"/>
        <v>0</v>
      </c>
      <c r="AS803" s="96"/>
      <c r="AT803" s="96">
        <f t="shared" si="1894"/>
        <v>0</v>
      </c>
      <c r="AU803" s="96"/>
      <c r="AV803" s="96">
        <f t="shared" si="1895"/>
        <v>0</v>
      </c>
      <c r="AW803" s="96"/>
      <c r="AX803" s="96">
        <f t="shared" si="1896"/>
        <v>0</v>
      </c>
      <c r="AY803" s="96">
        <f t="shared" si="1907"/>
        <v>0</v>
      </c>
      <c r="AZ803" s="96">
        <f t="shared" si="1908"/>
        <v>0</v>
      </c>
      <c r="BA803" s="96">
        <f t="shared" si="1909"/>
        <v>0</v>
      </c>
      <c r="BB803" s="96">
        <f t="shared" si="1910"/>
        <v>0</v>
      </c>
    </row>
    <row r="804" spans="1:54">
      <c r="A804" s="492">
        <v>505</v>
      </c>
      <c r="B804" s="13"/>
      <c r="C804" s="13"/>
      <c r="D804" s="13"/>
      <c r="E804" s="21" t="s">
        <v>1051</v>
      </c>
      <c r="F804" s="45"/>
      <c r="G804" s="45" t="s">
        <v>1056</v>
      </c>
      <c r="H804" s="265" t="s">
        <v>357</v>
      </c>
      <c r="I804" s="54">
        <v>5.74</v>
      </c>
      <c r="J804" s="162"/>
      <c r="K804" s="54">
        <v>5.74</v>
      </c>
      <c r="L804" s="162"/>
      <c r="M804" s="54"/>
      <c r="N804" s="162"/>
      <c r="O804" s="54"/>
      <c r="P804" s="162"/>
      <c r="Q804" s="96">
        <f t="shared" si="1897"/>
        <v>0</v>
      </c>
      <c r="R804" s="337">
        <f t="shared" si="1898"/>
        <v>0</v>
      </c>
      <c r="S804" s="96"/>
      <c r="T804" s="96">
        <f t="shared" si="1885"/>
        <v>0</v>
      </c>
      <c r="U804" s="96"/>
      <c r="V804" s="96">
        <f t="shared" si="1886"/>
        <v>0</v>
      </c>
      <c r="W804" s="96"/>
      <c r="X804" s="96">
        <f t="shared" si="1887"/>
        <v>0</v>
      </c>
      <c r="Y804" s="96">
        <f t="shared" si="1899"/>
        <v>0</v>
      </c>
      <c r="Z804" s="96">
        <f t="shared" si="1900"/>
        <v>0</v>
      </c>
      <c r="AA804" s="96"/>
      <c r="AB804" s="96">
        <f t="shared" si="1888"/>
        <v>0</v>
      </c>
      <c r="AC804" s="96"/>
      <c r="AD804" s="96">
        <f t="shared" si="1889"/>
        <v>0</v>
      </c>
      <c r="AE804" s="96"/>
      <c r="AF804" s="96">
        <f t="shared" si="1890"/>
        <v>0</v>
      </c>
      <c r="AG804" s="96">
        <f t="shared" si="1901"/>
        <v>0</v>
      </c>
      <c r="AH804" s="96">
        <f t="shared" si="1902"/>
        <v>0</v>
      </c>
      <c r="AI804" s="96">
        <f t="shared" si="1903"/>
        <v>0</v>
      </c>
      <c r="AJ804" s="96">
        <f t="shared" si="1904"/>
        <v>0</v>
      </c>
      <c r="AK804" s="96"/>
      <c r="AL804" s="96">
        <f t="shared" si="1891"/>
        <v>0</v>
      </c>
      <c r="AM804" s="96"/>
      <c r="AN804" s="96">
        <f t="shared" si="1892"/>
        <v>0</v>
      </c>
      <c r="AO804" s="96"/>
      <c r="AP804" s="96">
        <f t="shared" si="1893"/>
        <v>0</v>
      </c>
      <c r="AQ804" s="96">
        <f t="shared" si="1905"/>
        <v>0</v>
      </c>
      <c r="AR804" s="96">
        <f t="shared" si="1906"/>
        <v>0</v>
      </c>
      <c r="AS804" s="96"/>
      <c r="AT804" s="96">
        <f t="shared" si="1894"/>
        <v>0</v>
      </c>
      <c r="AU804" s="96"/>
      <c r="AV804" s="96">
        <f t="shared" si="1895"/>
        <v>0</v>
      </c>
      <c r="AW804" s="96"/>
      <c r="AX804" s="96">
        <f t="shared" si="1896"/>
        <v>0</v>
      </c>
      <c r="AY804" s="96">
        <f t="shared" si="1907"/>
        <v>0</v>
      </c>
      <c r="AZ804" s="96">
        <f t="shared" si="1908"/>
        <v>0</v>
      </c>
      <c r="BA804" s="96">
        <f t="shared" si="1909"/>
        <v>0</v>
      </c>
      <c r="BB804" s="96">
        <f t="shared" si="1910"/>
        <v>0</v>
      </c>
    </row>
    <row r="805" spans="1:54">
      <c r="A805" s="492">
        <v>506</v>
      </c>
      <c r="B805" s="13"/>
      <c r="C805" s="13"/>
      <c r="D805" s="13"/>
      <c r="E805" s="21" t="s">
        <v>1020</v>
      </c>
      <c r="F805" s="45"/>
      <c r="G805" s="45" t="s">
        <v>1056</v>
      </c>
      <c r="H805" s="265" t="s">
        <v>357</v>
      </c>
      <c r="I805" s="54">
        <v>5.95</v>
      </c>
      <c r="J805" s="162"/>
      <c r="K805" s="54">
        <v>5.95</v>
      </c>
      <c r="L805" s="162"/>
      <c r="M805" s="54"/>
      <c r="N805" s="162"/>
      <c r="O805" s="54"/>
      <c r="P805" s="162"/>
      <c r="Q805" s="96">
        <f t="shared" si="1897"/>
        <v>7.1040000000000001</v>
      </c>
      <c r="R805" s="337">
        <f t="shared" si="1898"/>
        <v>62.281237536000006</v>
      </c>
      <c r="S805" s="96">
        <v>1.536</v>
      </c>
      <c r="T805" s="96">
        <f t="shared" si="1885"/>
        <v>13.193806080000002</v>
      </c>
      <c r="U805" s="96">
        <v>1.3440000000000001</v>
      </c>
      <c r="V805" s="96">
        <f t="shared" si="1886"/>
        <v>11.501477568</v>
      </c>
      <c r="W805" s="96">
        <v>2.88</v>
      </c>
      <c r="X805" s="96">
        <f t="shared" si="1887"/>
        <v>25.744612319999998</v>
      </c>
      <c r="Y805" s="96">
        <f t="shared" si="1899"/>
        <v>5.76</v>
      </c>
      <c r="Z805" s="96">
        <f t="shared" si="1900"/>
        <v>50.439895968000002</v>
      </c>
      <c r="AA805" s="96">
        <v>1.3440000000000001</v>
      </c>
      <c r="AB805" s="96">
        <f t="shared" si="1888"/>
        <v>11.841341568000001</v>
      </c>
      <c r="AC805" s="96"/>
      <c r="AD805" s="96">
        <f t="shared" si="1889"/>
        <v>0</v>
      </c>
      <c r="AE805" s="96"/>
      <c r="AF805" s="96">
        <f t="shared" si="1890"/>
        <v>0</v>
      </c>
      <c r="AG805" s="96">
        <f t="shared" si="1901"/>
        <v>1.3440000000000001</v>
      </c>
      <c r="AH805" s="96">
        <f t="shared" si="1902"/>
        <v>11.841341568000001</v>
      </c>
      <c r="AI805" s="96">
        <f t="shared" si="1903"/>
        <v>7.1040000000000001</v>
      </c>
      <c r="AJ805" s="96">
        <f t="shared" si="1904"/>
        <v>62.281237536000006</v>
      </c>
      <c r="AK805" s="96"/>
      <c r="AL805" s="96">
        <f t="shared" si="1891"/>
        <v>0</v>
      </c>
      <c r="AM805" s="96"/>
      <c r="AN805" s="96">
        <f t="shared" si="1892"/>
        <v>0</v>
      </c>
      <c r="AO805" s="96"/>
      <c r="AP805" s="96">
        <f t="shared" si="1893"/>
        <v>0</v>
      </c>
      <c r="AQ805" s="96">
        <f t="shared" si="1905"/>
        <v>0</v>
      </c>
      <c r="AR805" s="96">
        <f t="shared" si="1906"/>
        <v>0</v>
      </c>
      <c r="AS805" s="96"/>
      <c r="AT805" s="96">
        <f t="shared" si="1894"/>
        <v>0</v>
      </c>
      <c r="AU805" s="96"/>
      <c r="AV805" s="96">
        <f t="shared" si="1895"/>
        <v>0</v>
      </c>
      <c r="AW805" s="96"/>
      <c r="AX805" s="96">
        <f t="shared" si="1896"/>
        <v>0</v>
      </c>
      <c r="AY805" s="96">
        <f t="shared" si="1907"/>
        <v>0</v>
      </c>
      <c r="AZ805" s="96">
        <f t="shared" si="1908"/>
        <v>0</v>
      </c>
      <c r="BA805" s="96">
        <f t="shared" si="1909"/>
        <v>0</v>
      </c>
      <c r="BB805" s="96">
        <f t="shared" si="1910"/>
        <v>0</v>
      </c>
    </row>
    <row r="806" spans="1:54">
      <c r="B806" s="13"/>
      <c r="C806" s="13"/>
      <c r="D806" s="13"/>
      <c r="E806" s="21" t="s">
        <v>1156</v>
      </c>
      <c r="F806" s="22"/>
      <c r="G806" s="45" t="s">
        <v>1056</v>
      </c>
      <c r="H806" s="265" t="s">
        <v>357</v>
      </c>
      <c r="I806" s="54">
        <v>9.18</v>
      </c>
      <c r="J806" s="101"/>
      <c r="K806" s="54">
        <v>9.18</v>
      </c>
      <c r="L806" s="101"/>
      <c r="M806" s="54"/>
      <c r="N806" s="101"/>
      <c r="O806" s="54"/>
      <c r="P806" s="101"/>
      <c r="Q806" s="96">
        <f t="shared" si="1897"/>
        <v>0</v>
      </c>
      <c r="R806" s="337">
        <f t="shared" si="1898"/>
        <v>0</v>
      </c>
      <c r="S806" s="96"/>
      <c r="T806" s="96">
        <f t="shared" ref="T806:T824" si="1911">I806*S806*$T$2/1000</f>
        <v>0</v>
      </c>
      <c r="U806" s="96"/>
      <c r="V806" s="176">
        <f t="shared" ref="V806:V824" si="1912">I806*U806*$V$2/1000</f>
        <v>0</v>
      </c>
      <c r="W806" s="206"/>
      <c r="X806" s="205">
        <f t="shared" ref="X806:X824" si="1913">I806*W806*$X$2/1000</f>
        <v>0</v>
      </c>
      <c r="Y806" s="188">
        <f t="shared" si="1899"/>
        <v>0</v>
      </c>
      <c r="Z806" s="176">
        <f t="shared" si="1900"/>
        <v>0</v>
      </c>
      <c r="AA806" s="206"/>
      <c r="AB806" s="205">
        <f t="shared" ref="AB806:AB824" si="1914">K806*AA806*$AB$2/1000</f>
        <v>0</v>
      </c>
      <c r="AC806" s="206"/>
      <c r="AD806" s="176">
        <f t="shared" ref="AD806:AD824" si="1915">K806*AC806*$AD$2/1000</f>
        <v>0</v>
      </c>
      <c r="AE806" s="206"/>
      <c r="AF806" s="205">
        <f t="shared" ref="AF806:AF824" si="1916">K806*AE806*$AF$2/1000</f>
        <v>0</v>
      </c>
      <c r="AG806" s="188">
        <f t="shared" si="1901"/>
        <v>0</v>
      </c>
      <c r="AH806" s="96">
        <f t="shared" si="1902"/>
        <v>0</v>
      </c>
      <c r="AI806" s="96">
        <f t="shared" si="1903"/>
        <v>0</v>
      </c>
      <c r="AJ806" s="176">
        <f t="shared" si="1904"/>
        <v>0</v>
      </c>
      <c r="AK806" s="206"/>
      <c r="AL806" s="176">
        <f t="shared" ref="AL806:AL824" si="1917">M806*AK806*$AL$2/1000</f>
        <v>0</v>
      </c>
      <c r="AM806" s="243"/>
      <c r="AN806" s="176">
        <f t="shared" ref="AN806:AN824" si="1918">M806*AM806*$AN$2/1000</f>
        <v>0</v>
      </c>
      <c r="AO806" s="206"/>
      <c r="AP806" s="205">
        <f t="shared" ref="AP806:AP824" si="1919">M806*AO806*$AP$2/1000</f>
        <v>0</v>
      </c>
      <c r="AQ806" s="188">
        <f t="shared" si="1905"/>
        <v>0</v>
      </c>
      <c r="AR806" s="96">
        <f t="shared" si="1906"/>
        <v>0</v>
      </c>
      <c r="AS806" s="96"/>
      <c r="AT806" s="176">
        <f t="shared" ref="AT806:AT824" si="1920">O806*AS806*$AT$2/1000</f>
        <v>0</v>
      </c>
      <c r="AU806" s="206"/>
      <c r="AV806" s="176">
        <f t="shared" ref="AV806:AV824" si="1921">O806*AU806*$AV$2/1000</f>
        <v>0</v>
      </c>
      <c r="AW806" s="206"/>
      <c r="AX806" s="205">
        <f t="shared" ref="AX806:AX824" si="1922">O806*AW806*$AX$2/1000</f>
        <v>0</v>
      </c>
      <c r="AY806" s="188">
        <f t="shared" si="1907"/>
        <v>0</v>
      </c>
      <c r="AZ806" s="96">
        <f t="shared" si="1908"/>
        <v>0</v>
      </c>
      <c r="BA806" s="96">
        <f t="shared" si="1909"/>
        <v>0</v>
      </c>
      <c r="BB806" s="96">
        <f t="shared" si="1910"/>
        <v>0</v>
      </c>
    </row>
    <row r="807" spans="1:54">
      <c r="A807" s="492">
        <v>505</v>
      </c>
      <c r="B807" s="13"/>
      <c r="C807" s="13"/>
      <c r="D807" s="13"/>
      <c r="E807" s="21" t="s">
        <v>1577</v>
      </c>
      <c r="F807" s="45"/>
      <c r="G807" s="45" t="s">
        <v>1056</v>
      </c>
      <c r="H807" s="265" t="s">
        <v>357</v>
      </c>
      <c r="I807" s="54">
        <v>10.7</v>
      </c>
      <c r="J807" s="162"/>
      <c r="K807" s="54">
        <v>10.7</v>
      </c>
      <c r="L807" s="162"/>
      <c r="M807" s="54"/>
      <c r="N807" s="162"/>
      <c r="O807" s="54"/>
      <c r="P807" s="162"/>
      <c r="Q807" s="96">
        <f t="shared" si="1897"/>
        <v>0</v>
      </c>
      <c r="R807" s="337">
        <f t="shared" si="1898"/>
        <v>0</v>
      </c>
      <c r="S807" s="96"/>
      <c r="T807" s="96">
        <f t="shared" si="1911"/>
        <v>0</v>
      </c>
      <c r="U807" s="96"/>
      <c r="V807" s="96">
        <f t="shared" si="1912"/>
        <v>0</v>
      </c>
      <c r="W807" s="96"/>
      <c r="X807" s="96">
        <f t="shared" si="1913"/>
        <v>0</v>
      </c>
      <c r="Y807" s="96">
        <f t="shared" si="1899"/>
        <v>0</v>
      </c>
      <c r="Z807" s="96">
        <f t="shared" si="1900"/>
        <v>0</v>
      </c>
      <c r="AA807" s="96"/>
      <c r="AB807" s="96">
        <f t="shared" si="1914"/>
        <v>0</v>
      </c>
      <c r="AC807" s="96"/>
      <c r="AD807" s="96">
        <f t="shared" si="1915"/>
        <v>0</v>
      </c>
      <c r="AE807" s="96"/>
      <c r="AF807" s="96">
        <f t="shared" si="1916"/>
        <v>0</v>
      </c>
      <c r="AG807" s="96">
        <f t="shared" si="1901"/>
        <v>0</v>
      </c>
      <c r="AH807" s="96">
        <f t="shared" si="1902"/>
        <v>0</v>
      </c>
      <c r="AI807" s="96">
        <f t="shared" si="1903"/>
        <v>0</v>
      </c>
      <c r="AJ807" s="96">
        <f t="shared" si="1904"/>
        <v>0</v>
      </c>
      <c r="AK807" s="96"/>
      <c r="AL807" s="96">
        <f t="shared" si="1917"/>
        <v>0</v>
      </c>
      <c r="AM807" s="96"/>
      <c r="AN807" s="96">
        <f t="shared" si="1918"/>
        <v>0</v>
      </c>
      <c r="AO807" s="96"/>
      <c r="AP807" s="96">
        <f t="shared" si="1919"/>
        <v>0</v>
      </c>
      <c r="AQ807" s="96">
        <f t="shared" si="1905"/>
        <v>0</v>
      </c>
      <c r="AR807" s="96">
        <f t="shared" si="1906"/>
        <v>0</v>
      </c>
      <c r="AS807" s="96"/>
      <c r="AT807" s="96">
        <f t="shared" si="1920"/>
        <v>0</v>
      </c>
      <c r="AU807" s="96"/>
      <c r="AV807" s="96">
        <f t="shared" si="1921"/>
        <v>0</v>
      </c>
      <c r="AW807" s="96"/>
      <c r="AX807" s="96">
        <f t="shared" si="1922"/>
        <v>0</v>
      </c>
      <c r="AY807" s="96">
        <f t="shared" si="1907"/>
        <v>0</v>
      </c>
      <c r="AZ807" s="96">
        <f t="shared" si="1908"/>
        <v>0</v>
      </c>
      <c r="BA807" s="96">
        <f t="shared" si="1909"/>
        <v>0</v>
      </c>
      <c r="BB807" s="96">
        <f t="shared" si="1910"/>
        <v>0</v>
      </c>
    </row>
    <row r="808" spans="1:54">
      <c r="A808" s="492">
        <v>505</v>
      </c>
      <c r="B808" s="13"/>
      <c r="C808" s="13"/>
      <c r="D808" s="13"/>
      <c r="E808" s="21" t="s">
        <v>1405</v>
      </c>
      <c r="F808" s="45"/>
      <c r="G808" s="45" t="s">
        <v>1056</v>
      </c>
      <c r="H808" s="265" t="s">
        <v>357</v>
      </c>
      <c r="I808" s="54">
        <v>6.52</v>
      </c>
      <c r="J808" s="162"/>
      <c r="K808" s="54">
        <v>6.52</v>
      </c>
      <c r="L808" s="162"/>
      <c r="M808" s="54"/>
      <c r="N808" s="162"/>
      <c r="O808" s="54"/>
      <c r="P808" s="162"/>
      <c r="Q808" s="96">
        <f t="shared" si="1897"/>
        <v>2.496</v>
      </c>
      <c r="R808" s="337">
        <f t="shared" si="1898"/>
        <v>23.4061281792</v>
      </c>
      <c r="S808" s="96"/>
      <c r="T808" s="96">
        <f t="shared" si="1911"/>
        <v>0</v>
      </c>
      <c r="U808" s="96">
        <v>2.496</v>
      </c>
      <c r="V808" s="96">
        <f t="shared" si="1912"/>
        <v>23.4061281792</v>
      </c>
      <c r="W808" s="96"/>
      <c r="X808" s="96">
        <f t="shared" si="1913"/>
        <v>0</v>
      </c>
      <c r="Y808" s="96">
        <f t="shared" si="1899"/>
        <v>2.496</v>
      </c>
      <c r="Z808" s="96">
        <f t="shared" si="1900"/>
        <v>23.4061281792</v>
      </c>
      <c r="AA808" s="96"/>
      <c r="AB808" s="96">
        <f t="shared" si="1914"/>
        <v>0</v>
      </c>
      <c r="AC808" s="96"/>
      <c r="AD808" s="96">
        <f t="shared" si="1915"/>
        <v>0</v>
      </c>
      <c r="AE808" s="96"/>
      <c r="AF808" s="96">
        <f t="shared" si="1916"/>
        <v>0</v>
      </c>
      <c r="AG808" s="96">
        <f t="shared" si="1901"/>
        <v>0</v>
      </c>
      <c r="AH808" s="96">
        <f t="shared" si="1902"/>
        <v>0</v>
      </c>
      <c r="AI808" s="96">
        <f t="shared" si="1903"/>
        <v>2.496</v>
      </c>
      <c r="AJ808" s="96">
        <f t="shared" si="1904"/>
        <v>23.4061281792</v>
      </c>
      <c r="AK808" s="96"/>
      <c r="AL808" s="96">
        <f t="shared" si="1917"/>
        <v>0</v>
      </c>
      <c r="AM808" s="96"/>
      <c r="AN808" s="96">
        <f t="shared" si="1918"/>
        <v>0</v>
      </c>
      <c r="AO808" s="96"/>
      <c r="AP808" s="96">
        <f t="shared" si="1919"/>
        <v>0</v>
      </c>
      <c r="AQ808" s="96">
        <f t="shared" si="1905"/>
        <v>0</v>
      </c>
      <c r="AR808" s="96">
        <f t="shared" si="1906"/>
        <v>0</v>
      </c>
      <c r="AS808" s="96"/>
      <c r="AT808" s="96">
        <f t="shared" si="1920"/>
        <v>0</v>
      </c>
      <c r="AU808" s="96"/>
      <c r="AV808" s="96">
        <f t="shared" si="1921"/>
        <v>0</v>
      </c>
      <c r="AW808" s="96"/>
      <c r="AX808" s="96">
        <f t="shared" si="1922"/>
        <v>0</v>
      </c>
      <c r="AY808" s="96">
        <f t="shared" si="1907"/>
        <v>0</v>
      </c>
      <c r="AZ808" s="96">
        <f t="shared" si="1908"/>
        <v>0</v>
      </c>
      <c r="BA808" s="96">
        <f t="shared" si="1909"/>
        <v>0</v>
      </c>
      <c r="BB808" s="96">
        <f t="shared" si="1910"/>
        <v>0</v>
      </c>
    </row>
    <row r="809" spans="1:54">
      <c r="A809" s="492">
        <v>505</v>
      </c>
      <c r="B809" s="13"/>
      <c r="C809" s="13"/>
      <c r="D809" s="13"/>
      <c r="E809" s="21" t="s">
        <v>1576</v>
      </c>
      <c r="F809" s="45"/>
      <c r="G809" s="45" t="s">
        <v>1056</v>
      </c>
      <c r="H809" s="265" t="s">
        <v>357</v>
      </c>
      <c r="I809" s="54">
        <v>5.42</v>
      </c>
      <c r="J809" s="162"/>
      <c r="K809" s="54">
        <v>5.42</v>
      </c>
      <c r="L809" s="162"/>
      <c r="M809" s="54"/>
      <c r="N809" s="162"/>
      <c r="O809" s="54"/>
      <c r="P809" s="162"/>
      <c r="Q809" s="96">
        <f t="shared" si="1897"/>
        <v>0</v>
      </c>
      <c r="R809" s="337">
        <f t="shared" si="1898"/>
        <v>0</v>
      </c>
      <c r="S809" s="96"/>
      <c r="T809" s="96">
        <f t="shared" si="1911"/>
        <v>0</v>
      </c>
      <c r="U809" s="96"/>
      <c r="V809" s="96">
        <f t="shared" si="1912"/>
        <v>0</v>
      </c>
      <c r="W809" s="96"/>
      <c r="X809" s="96">
        <f t="shared" si="1913"/>
        <v>0</v>
      </c>
      <c r="Y809" s="96">
        <f t="shared" si="1899"/>
        <v>0</v>
      </c>
      <c r="Z809" s="96">
        <f t="shared" si="1900"/>
        <v>0</v>
      </c>
      <c r="AA809" s="96"/>
      <c r="AB809" s="96">
        <f t="shared" si="1914"/>
        <v>0</v>
      </c>
      <c r="AC809" s="96"/>
      <c r="AD809" s="96">
        <f t="shared" si="1915"/>
        <v>0</v>
      </c>
      <c r="AE809" s="96"/>
      <c r="AF809" s="96">
        <f t="shared" si="1916"/>
        <v>0</v>
      </c>
      <c r="AG809" s="96">
        <f t="shared" si="1901"/>
        <v>0</v>
      </c>
      <c r="AH809" s="96">
        <f t="shared" si="1902"/>
        <v>0</v>
      </c>
      <c r="AI809" s="96">
        <f t="shared" si="1903"/>
        <v>0</v>
      </c>
      <c r="AJ809" s="96">
        <f t="shared" si="1904"/>
        <v>0</v>
      </c>
      <c r="AK809" s="96"/>
      <c r="AL809" s="96">
        <f t="shared" si="1917"/>
        <v>0</v>
      </c>
      <c r="AM809" s="96"/>
      <c r="AN809" s="96">
        <f t="shared" si="1918"/>
        <v>0</v>
      </c>
      <c r="AO809" s="96"/>
      <c r="AP809" s="96">
        <f t="shared" si="1919"/>
        <v>0</v>
      </c>
      <c r="AQ809" s="96">
        <f t="shared" si="1905"/>
        <v>0</v>
      </c>
      <c r="AR809" s="96">
        <f t="shared" si="1906"/>
        <v>0</v>
      </c>
      <c r="AS809" s="96"/>
      <c r="AT809" s="96">
        <f t="shared" si="1920"/>
        <v>0</v>
      </c>
      <c r="AU809" s="96"/>
      <c r="AV809" s="96">
        <f t="shared" si="1921"/>
        <v>0</v>
      </c>
      <c r="AW809" s="96"/>
      <c r="AX809" s="96">
        <f t="shared" si="1922"/>
        <v>0</v>
      </c>
      <c r="AY809" s="96">
        <f t="shared" si="1907"/>
        <v>0</v>
      </c>
      <c r="AZ809" s="96">
        <f t="shared" si="1908"/>
        <v>0</v>
      </c>
      <c r="BA809" s="96">
        <f t="shared" si="1909"/>
        <v>0</v>
      </c>
      <c r="BB809" s="96">
        <f t="shared" si="1910"/>
        <v>0</v>
      </c>
    </row>
    <row r="810" spans="1:54">
      <c r="A810" s="492">
        <v>505</v>
      </c>
      <c r="B810" s="13"/>
      <c r="C810" s="13"/>
      <c r="D810" s="13"/>
      <c r="E810" s="21" t="s">
        <v>1442</v>
      </c>
      <c r="F810" s="45"/>
      <c r="G810" s="45" t="s">
        <v>1056</v>
      </c>
      <c r="H810" s="265" t="s">
        <v>357</v>
      </c>
      <c r="I810" s="54">
        <v>4.76</v>
      </c>
      <c r="J810" s="162"/>
      <c r="K810" s="54">
        <v>4.76</v>
      </c>
      <c r="L810" s="162"/>
      <c r="M810" s="54"/>
      <c r="N810" s="162"/>
      <c r="O810" s="54"/>
      <c r="P810" s="162"/>
      <c r="Q810" s="96">
        <f t="shared" si="1897"/>
        <v>0</v>
      </c>
      <c r="R810" s="337">
        <f t="shared" si="1898"/>
        <v>0</v>
      </c>
      <c r="S810" s="96"/>
      <c r="T810" s="96">
        <f t="shared" si="1911"/>
        <v>0</v>
      </c>
      <c r="U810" s="96"/>
      <c r="V810" s="96">
        <f t="shared" si="1912"/>
        <v>0</v>
      </c>
      <c r="W810" s="96"/>
      <c r="X810" s="96">
        <f t="shared" si="1913"/>
        <v>0</v>
      </c>
      <c r="Y810" s="96">
        <f t="shared" si="1899"/>
        <v>0</v>
      </c>
      <c r="Z810" s="96">
        <f t="shared" si="1900"/>
        <v>0</v>
      </c>
      <c r="AA810" s="96"/>
      <c r="AB810" s="96">
        <f t="shared" si="1914"/>
        <v>0</v>
      </c>
      <c r="AC810" s="96"/>
      <c r="AD810" s="96">
        <f t="shared" si="1915"/>
        <v>0</v>
      </c>
      <c r="AE810" s="96"/>
      <c r="AF810" s="96">
        <f t="shared" si="1916"/>
        <v>0</v>
      </c>
      <c r="AG810" s="96">
        <f t="shared" si="1901"/>
        <v>0</v>
      </c>
      <c r="AH810" s="96">
        <f t="shared" si="1902"/>
        <v>0</v>
      </c>
      <c r="AI810" s="96">
        <f t="shared" si="1903"/>
        <v>0</v>
      </c>
      <c r="AJ810" s="96">
        <f t="shared" si="1904"/>
        <v>0</v>
      </c>
      <c r="AK810" s="96"/>
      <c r="AL810" s="96">
        <f t="shared" si="1917"/>
        <v>0</v>
      </c>
      <c r="AM810" s="96"/>
      <c r="AN810" s="96">
        <f t="shared" si="1918"/>
        <v>0</v>
      </c>
      <c r="AO810" s="96"/>
      <c r="AP810" s="96">
        <f t="shared" si="1919"/>
        <v>0</v>
      </c>
      <c r="AQ810" s="96">
        <f t="shared" si="1905"/>
        <v>0</v>
      </c>
      <c r="AR810" s="96">
        <f t="shared" si="1906"/>
        <v>0</v>
      </c>
      <c r="AS810" s="96"/>
      <c r="AT810" s="96">
        <f t="shared" si="1920"/>
        <v>0</v>
      </c>
      <c r="AU810" s="96"/>
      <c r="AV810" s="96">
        <f t="shared" si="1921"/>
        <v>0</v>
      </c>
      <c r="AW810" s="96"/>
      <c r="AX810" s="96">
        <f t="shared" si="1922"/>
        <v>0</v>
      </c>
      <c r="AY810" s="96">
        <f t="shared" si="1907"/>
        <v>0</v>
      </c>
      <c r="AZ810" s="96">
        <f t="shared" si="1908"/>
        <v>0</v>
      </c>
      <c r="BA810" s="96">
        <f t="shared" si="1909"/>
        <v>0</v>
      </c>
      <c r="BB810" s="96">
        <f t="shared" si="1910"/>
        <v>0</v>
      </c>
    </row>
    <row r="811" spans="1:54">
      <c r="A811" s="492">
        <v>507</v>
      </c>
      <c r="B811" s="13"/>
      <c r="C811" s="13"/>
      <c r="D811" s="13"/>
      <c r="E811" s="21" t="s">
        <v>1021</v>
      </c>
      <c r="F811" s="45"/>
      <c r="G811" s="45" t="s">
        <v>1056</v>
      </c>
      <c r="H811" s="265" t="s">
        <v>357</v>
      </c>
      <c r="I811" s="54">
        <v>4.76</v>
      </c>
      <c r="J811" s="162"/>
      <c r="K811" s="54">
        <v>4.76</v>
      </c>
      <c r="L811" s="162"/>
      <c r="M811" s="54"/>
      <c r="N811" s="162"/>
      <c r="O811" s="54"/>
      <c r="P811" s="162"/>
      <c r="Q811" s="96">
        <f t="shared" si="1897"/>
        <v>8.3040000000000003</v>
      </c>
      <c r="R811" s="337">
        <f t="shared" si="1898"/>
        <v>58.011483263999992</v>
      </c>
      <c r="S811" s="96">
        <v>2.3039999999999998</v>
      </c>
      <c r="T811" s="96">
        <f t="shared" si="1911"/>
        <v>15.832567295999999</v>
      </c>
      <c r="U811" s="96">
        <v>2.016</v>
      </c>
      <c r="V811" s="96">
        <f t="shared" si="1912"/>
        <v>13.801773081599999</v>
      </c>
      <c r="W811" s="96">
        <v>2.88</v>
      </c>
      <c r="X811" s="96">
        <f t="shared" si="1913"/>
        <v>20.595689855999996</v>
      </c>
      <c r="Y811" s="96">
        <f t="shared" si="1899"/>
        <v>7.2</v>
      </c>
      <c r="Z811" s="96">
        <f t="shared" si="1900"/>
        <v>50.23003023359999</v>
      </c>
      <c r="AA811" s="96">
        <v>1.1040000000000001</v>
      </c>
      <c r="AB811" s="96">
        <f t="shared" si="1914"/>
        <v>7.7814530303999998</v>
      </c>
      <c r="AC811" s="96"/>
      <c r="AD811" s="96">
        <f t="shared" si="1915"/>
        <v>0</v>
      </c>
      <c r="AE811" s="96"/>
      <c r="AF811" s="96">
        <f t="shared" si="1916"/>
        <v>0</v>
      </c>
      <c r="AG811" s="96">
        <f t="shared" si="1901"/>
        <v>1.1040000000000001</v>
      </c>
      <c r="AH811" s="96">
        <f t="shared" si="1902"/>
        <v>7.7814530303999998</v>
      </c>
      <c r="AI811" s="96">
        <f t="shared" si="1903"/>
        <v>8.3040000000000003</v>
      </c>
      <c r="AJ811" s="96">
        <f t="shared" si="1904"/>
        <v>58.011483263999992</v>
      </c>
      <c r="AK811" s="96"/>
      <c r="AL811" s="96">
        <f t="shared" si="1917"/>
        <v>0</v>
      </c>
      <c r="AM811" s="96"/>
      <c r="AN811" s="96">
        <f t="shared" si="1918"/>
        <v>0</v>
      </c>
      <c r="AO811" s="96"/>
      <c r="AP811" s="96">
        <f t="shared" si="1919"/>
        <v>0</v>
      </c>
      <c r="AQ811" s="96">
        <f t="shared" si="1905"/>
        <v>0</v>
      </c>
      <c r="AR811" s="96">
        <f t="shared" si="1906"/>
        <v>0</v>
      </c>
      <c r="AS811" s="96"/>
      <c r="AT811" s="96">
        <f t="shared" si="1920"/>
        <v>0</v>
      </c>
      <c r="AU811" s="96"/>
      <c r="AV811" s="96">
        <f t="shared" si="1921"/>
        <v>0</v>
      </c>
      <c r="AW811" s="96"/>
      <c r="AX811" s="96">
        <f t="shared" si="1922"/>
        <v>0</v>
      </c>
      <c r="AY811" s="96">
        <f t="shared" si="1907"/>
        <v>0</v>
      </c>
      <c r="AZ811" s="96">
        <f t="shared" si="1908"/>
        <v>0</v>
      </c>
      <c r="BA811" s="96">
        <f t="shared" si="1909"/>
        <v>0</v>
      </c>
      <c r="BB811" s="96">
        <f t="shared" si="1910"/>
        <v>0</v>
      </c>
    </row>
    <row r="812" spans="1:54">
      <c r="B812" s="13"/>
      <c r="C812" s="13"/>
      <c r="D812" s="13"/>
      <c r="E812" s="21" t="s">
        <v>1220</v>
      </c>
      <c r="F812" s="22"/>
      <c r="G812" s="45" t="s">
        <v>1056</v>
      </c>
      <c r="H812" s="265" t="s">
        <v>357</v>
      </c>
      <c r="I812" s="54">
        <v>4.76</v>
      </c>
      <c r="J812" s="101"/>
      <c r="K812" s="54">
        <v>4.76</v>
      </c>
      <c r="L812" s="101"/>
      <c r="M812" s="54"/>
      <c r="N812" s="101"/>
      <c r="O812" s="54"/>
      <c r="P812" s="101"/>
      <c r="Q812" s="96">
        <f t="shared" si="1897"/>
        <v>1.44</v>
      </c>
      <c r="R812" s="337">
        <f t="shared" si="1898"/>
        <v>10.149721344</v>
      </c>
      <c r="S812" s="96"/>
      <c r="T812" s="96">
        <f t="shared" si="1911"/>
        <v>0</v>
      </c>
      <c r="U812" s="96"/>
      <c r="V812" s="176">
        <f t="shared" si="1912"/>
        <v>0</v>
      </c>
      <c r="W812" s="206"/>
      <c r="X812" s="205">
        <f t="shared" si="1913"/>
        <v>0</v>
      </c>
      <c r="Y812" s="188">
        <f t="shared" si="1899"/>
        <v>0</v>
      </c>
      <c r="Z812" s="176">
        <f t="shared" si="1900"/>
        <v>0</v>
      </c>
      <c r="AA812" s="206">
        <v>1.44</v>
      </c>
      <c r="AB812" s="205">
        <f t="shared" si="1914"/>
        <v>10.149721344</v>
      </c>
      <c r="AC812" s="206"/>
      <c r="AD812" s="176">
        <f t="shared" si="1915"/>
        <v>0</v>
      </c>
      <c r="AE812" s="206"/>
      <c r="AF812" s="205">
        <f t="shared" si="1916"/>
        <v>0</v>
      </c>
      <c r="AG812" s="188">
        <f t="shared" si="1901"/>
        <v>1.44</v>
      </c>
      <c r="AH812" s="96">
        <f t="shared" si="1902"/>
        <v>10.149721344</v>
      </c>
      <c r="AI812" s="96">
        <f t="shared" si="1903"/>
        <v>1.44</v>
      </c>
      <c r="AJ812" s="176">
        <f t="shared" si="1904"/>
        <v>10.149721344</v>
      </c>
      <c r="AK812" s="206"/>
      <c r="AL812" s="176">
        <f t="shared" si="1917"/>
        <v>0</v>
      </c>
      <c r="AM812" s="243"/>
      <c r="AN812" s="176">
        <f t="shared" si="1918"/>
        <v>0</v>
      </c>
      <c r="AO812" s="206"/>
      <c r="AP812" s="205">
        <f t="shared" si="1919"/>
        <v>0</v>
      </c>
      <c r="AQ812" s="188">
        <f t="shared" si="1905"/>
        <v>0</v>
      </c>
      <c r="AR812" s="96">
        <f t="shared" si="1906"/>
        <v>0</v>
      </c>
      <c r="AS812" s="96"/>
      <c r="AT812" s="176">
        <f t="shared" si="1920"/>
        <v>0</v>
      </c>
      <c r="AU812" s="206"/>
      <c r="AV812" s="176">
        <f t="shared" si="1921"/>
        <v>0</v>
      </c>
      <c r="AW812" s="206"/>
      <c r="AX812" s="205">
        <f t="shared" si="1922"/>
        <v>0</v>
      </c>
      <c r="AY812" s="188">
        <f t="shared" si="1907"/>
        <v>0</v>
      </c>
      <c r="AZ812" s="96">
        <f t="shared" si="1908"/>
        <v>0</v>
      </c>
      <c r="BA812" s="96">
        <f t="shared" si="1909"/>
        <v>0</v>
      </c>
      <c r="BB812" s="96">
        <f t="shared" si="1910"/>
        <v>0</v>
      </c>
    </row>
    <row r="813" spans="1:54">
      <c r="A813" s="492">
        <v>508</v>
      </c>
      <c r="B813" s="13"/>
      <c r="C813" s="13"/>
      <c r="D813" s="13"/>
      <c r="E813" s="21" t="s">
        <v>1364</v>
      </c>
      <c r="F813" s="45"/>
      <c r="G813" s="45" t="s">
        <v>1056</v>
      </c>
      <c r="H813" s="265" t="s">
        <v>357</v>
      </c>
      <c r="I813" s="54">
        <v>4.76</v>
      </c>
      <c r="J813" s="162"/>
      <c r="K813" s="54">
        <v>4.76</v>
      </c>
      <c r="L813" s="162"/>
      <c r="M813" s="54"/>
      <c r="N813" s="162"/>
      <c r="O813" s="54"/>
      <c r="P813" s="162"/>
      <c r="Q813" s="96">
        <f t="shared" si="1897"/>
        <v>0</v>
      </c>
      <c r="R813" s="337">
        <f t="shared" si="1898"/>
        <v>0</v>
      </c>
      <c r="S813" s="96"/>
      <c r="T813" s="96">
        <f t="shared" si="1911"/>
        <v>0</v>
      </c>
      <c r="U813" s="96"/>
      <c r="V813" s="96">
        <f t="shared" si="1912"/>
        <v>0</v>
      </c>
      <c r="W813" s="96"/>
      <c r="X813" s="96">
        <f t="shared" si="1913"/>
        <v>0</v>
      </c>
      <c r="Y813" s="96">
        <f t="shared" si="1899"/>
        <v>0</v>
      </c>
      <c r="Z813" s="96">
        <f t="shared" si="1900"/>
        <v>0</v>
      </c>
      <c r="AA813" s="96"/>
      <c r="AB813" s="96">
        <f t="shared" si="1914"/>
        <v>0</v>
      </c>
      <c r="AC813" s="96"/>
      <c r="AD813" s="96">
        <f t="shared" si="1915"/>
        <v>0</v>
      </c>
      <c r="AE813" s="96"/>
      <c r="AF813" s="96">
        <f t="shared" si="1916"/>
        <v>0</v>
      </c>
      <c r="AG813" s="96">
        <f t="shared" si="1901"/>
        <v>0</v>
      </c>
      <c r="AH813" s="96">
        <f t="shared" si="1902"/>
        <v>0</v>
      </c>
      <c r="AI813" s="96">
        <f t="shared" si="1903"/>
        <v>0</v>
      </c>
      <c r="AJ813" s="96">
        <f t="shared" si="1904"/>
        <v>0</v>
      </c>
      <c r="AK813" s="96"/>
      <c r="AL813" s="96">
        <f t="shared" si="1917"/>
        <v>0</v>
      </c>
      <c r="AM813" s="96"/>
      <c r="AN813" s="96">
        <f t="shared" si="1918"/>
        <v>0</v>
      </c>
      <c r="AO813" s="96"/>
      <c r="AP813" s="96">
        <f t="shared" si="1919"/>
        <v>0</v>
      </c>
      <c r="AQ813" s="96">
        <f t="shared" si="1905"/>
        <v>0</v>
      </c>
      <c r="AR813" s="96">
        <f t="shared" si="1906"/>
        <v>0</v>
      </c>
      <c r="AS813" s="96"/>
      <c r="AT813" s="96">
        <f t="shared" si="1920"/>
        <v>0</v>
      </c>
      <c r="AU813" s="96"/>
      <c r="AV813" s="96">
        <f t="shared" si="1921"/>
        <v>0</v>
      </c>
      <c r="AW813" s="96"/>
      <c r="AX813" s="96">
        <f t="shared" si="1922"/>
        <v>0</v>
      </c>
      <c r="AY813" s="96">
        <f t="shared" si="1907"/>
        <v>0</v>
      </c>
      <c r="AZ813" s="96">
        <f t="shared" si="1908"/>
        <v>0</v>
      </c>
      <c r="BA813" s="96">
        <f t="shared" si="1909"/>
        <v>0</v>
      </c>
      <c r="BB813" s="96">
        <f t="shared" si="1910"/>
        <v>0</v>
      </c>
    </row>
    <row r="814" spans="1:54">
      <c r="A814" s="492">
        <v>508</v>
      </c>
      <c r="B814" s="13"/>
      <c r="C814" s="13"/>
      <c r="D814" s="13"/>
      <c r="E814" s="21" t="s">
        <v>1392</v>
      </c>
      <c r="F814" s="45"/>
      <c r="G814" s="45" t="s">
        <v>1056</v>
      </c>
      <c r="H814" s="265" t="s">
        <v>357</v>
      </c>
      <c r="I814" s="54">
        <v>4.76</v>
      </c>
      <c r="J814" s="162"/>
      <c r="K814" s="54">
        <v>4.76</v>
      </c>
      <c r="L814" s="162"/>
      <c r="M814" s="54"/>
      <c r="N814" s="162"/>
      <c r="O814" s="54"/>
      <c r="P814" s="162"/>
      <c r="Q814" s="96">
        <f t="shared" si="1897"/>
        <v>0</v>
      </c>
      <c r="R814" s="337">
        <f t="shared" si="1898"/>
        <v>0</v>
      </c>
      <c r="S814" s="96"/>
      <c r="T814" s="96">
        <f t="shared" si="1911"/>
        <v>0</v>
      </c>
      <c r="U814" s="96"/>
      <c r="V814" s="96">
        <f t="shared" si="1912"/>
        <v>0</v>
      </c>
      <c r="W814" s="96"/>
      <c r="X814" s="96">
        <f t="shared" si="1913"/>
        <v>0</v>
      </c>
      <c r="Y814" s="96">
        <f t="shared" si="1899"/>
        <v>0</v>
      </c>
      <c r="Z814" s="96">
        <f t="shared" si="1900"/>
        <v>0</v>
      </c>
      <c r="AA814" s="96"/>
      <c r="AB814" s="96">
        <f t="shared" si="1914"/>
        <v>0</v>
      </c>
      <c r="AC814" s="96"/>
      <c r="AD814" s="96">
        <f t="shared" si="1915"/>
        <v>0</v>
      </c>
      <c r="AE814" s="96"/>
      <c r="AF814" s="96">
        <f t="shared" si="1916"/>
        <v>0</v>
      </c>
      <c r="AG814" s="96">
        <f t="shared" si="1901"/>
        <v>0</v>
      </c>
      <c r="AH814" s="96">
        <f t="shared" si="1902"/>
        <v>0</v>
      </c>
      <c r="AI814" s="96">
        <f t="shared" si="1903"/>
        <v>0</v>
      </c>
      <c r="AJ814" s="96">
        <f t="shared" si="1904"/>
        <v>0</v>
      </c>
      <c r="AK814" s="96"/>
      <c r="AL814" s="96">
        <f t="shared" si="1917"/>
        <v>0</v>
      </c>
      <c r="AM814" s="96"/>
      <c r="AN814" s="96">
        <f t="shared" si="1918"/>
        <v>0</v>
      </c>
      <c r="AO814" s="96"/>
      <c r="AP814" s="96">
        <f t="shared" si="1919"/>
        <v>0</v>
      </c>
      <c r="AQ814" s="96">
        <f t="shared" si="1905"/>
        <v>0</v>
      </c>
      <c r="AR814" s="96">
        <f t="shared" si="1906"/>
        <v>0</v>
      </c>
      <c r="AS814" s="96"/>
      <c r="AT814" s="96">
        <f t="shared" si="1920"/>
        <v>0</v>
      </c>
      <c r="AU814" s="96"/>
      <c r="AV814" s="96">
        <f t="shared" si="1921"/>
        <v>0</v>
      </c>
      <c r="AW814" s="96"/>
      <c r="AX814" s="96">
        <f t="shared" si="1922"/>
        <v>0</v>
      </c>
      <c r="AY814" s="96">
        <f t="shared" si="1907"/>
        <v>0</v>
      </c>
      <c r="AZ814" s="96">
        <f t="shared" si="1908"/>
        <v>0</v>
      </c>
      <c r="BA814" s="96">
        <f t="shared" si="1909"/>
        <v>0</v>
      </c>
      <c r="BB814" s="96">
        <f t="shared" si="1910"/>
        <v>0</v>
      </c>
    </row>
    <row r="815" spans="1:54">
      <c r="A815" s="492">
        <v>509</v>
      </c>
      <c r="B815" s="13"/>
      <c r="C815" s="13"/>
      <c r="D815" s="13"/>
      <c r="E815" s="21" t="s">
        <v>819</v>
      </c>
      <c r="F815" s="45"/>
      <c r="G815" s="45" t="s">
        <v>1059</v>
      </c>
      <c r="H815" s="265" t="s">
        <v>357</v>
      </c>
      <c r="I815" s="54">
        <v>4.76</v>
      </c>
      <c r="J815" s="162"/>
      <c r="K815" s="54">
        <v>4.76</v>
      </c>
      <c r="L815" s="162"/>
      <c r="M815" s="54"/>
      <c r="N815" s="162"/>
      <c r="O815" s="54"/>
      <c r="P815" s="162"/>
      <c r="Q815" s="96">
        <f t="shared" si="1897"/>
        <v>0</v>
      </c>
      <c r="R815" s="337">
        <f t="shared" si="1898"/>
        <v>0</v>
      </c>
      <c r="S815" s="96"/>
      <c r="T815" s="96">
        <f t="shared" si="1911"/>
        <v>0</v>
      </c>
      <c r="U815" s="96"/>
      <c r="V815" s="96">
        <f t="shared" si="1912"/>
        <v>0</v>
      </c>
      <c r="W815" s="96"/>
      <c r="X815" s="96">
        <f t="shared" si="1913"/>
        <v>0</v>
      </c>
      <c r="Y815" s="96">
        <f t="shared" si="1899"/>
        <v>0</v>
      </c>
      <c r="Z815" s="96">
        <f t="shared" si="1900"/>
        <v>0</v>
      </c>
      <c r="AA815" s="96"/>
      <c r="AB815" s="96">
        <f t="shared" si="1914"/>
        <v>0</v>
      </c>
      <c r="AC815" s="96"/>
      <c r="AD815" s="96">
        <f t="shared" si="1915"/>
        <v>0</v>
      </c>
      <c r="AE815" s="96"/>
      <c r="AF815" s="96">
        <f t="shared" si="1916"/>
        <v>0</v>
      </c>
      <c r="AG815" s="96">
        <f t="shared" si="1901"/>
        <v>0</v>
      </c>
      <c r="AH815" s="96">
        <f t="shared" si="1902"/>
        <v>0</v>
      </c>
      <c r="AI815" s="96">
        <f t="shared" si="1903"/>
        <v>0</v>
      </c>
      <c r="AJ815" s="96">
        <f t="shared" si="1904"/>
        <v>0</v>
      </c>
      <c r="AK815" s="96"/>
      <c r="AL815" s="96">
        <f t="shared" si="1917"/>
        <v>0</v>
      </c>
      <c r="AM815" s="96"/>
      <c r="AN815" s="96">
        <f t="shared" si="1918"/>
        <v>0</v>
      </c>
      <c r="AO815" s="96"/>
      <c r="AP815" s="96">
        <f t="shared" si="1919"/>
        <v>0</v>
      </c>
      <c r="AQ815" s="96">
        <f t="shared" si="1905"/>
        <v>0</v>
      </c>
      <c r="AR815" s="96">
        <f t="shared" si="1906"/>
        <v>0</v>
      </c>
      <c r="AS815" s="96"/>
      <c r="AT815" s="96">
        <f t="shared" si="1920"/>
        <v>0</v>
      </c>
      <c r="AU815" s="96"/>
      <c r="AV815" s="96">
        <f t="shared" si="1921"/>
        <v>0</v>
      </c>
      <c r="AW815" s="96"/>
      <c r="AX815" s="96">
        <f t="shared" si="1922"/>
        <v>0</v>
      </c>
      <c r="AY815" s="96">
        <f t="shared" si="1907"/>
        <v>0</v>
      </c>
      <c r="AZ815" s="96">
        <f t="shared" si="1908"/>
        <v>0</v>
      </c>
      <c r="BA815" s="96">
        <f t="shared" si="1909"/>
        <v>0</v>
      </c>
      <c r="BB815" s="96">
        <f t="shared" si="1910"/>
        <v>0</v>
      </c>
    </row>
    <row r="816" spans="1:54">
      <c r="A816" s="492">
        <v>510</v>
      </c>
      <c r="B816" s="13"/>
      <c r="C816" s="13"/>
      <c r="D816" s="13"/>
      <c r="E816" s="21" t="s">
        <v>1404</v>
      </c>
      <c r="F816" s="45"/>
      <c r="G816" s="45" t="s">
        <v>1059</v>
      </c>
      <c r="H816" s="265" t="s">
        <v>357</v>
      </c>
      <c r="I816" s="54">
        <v>4.76</v>
      </c>
      <c r="J816" s="162"/>
      <c r="K816" s="54">
        <v>4.76</v>
      </c>
      <c r="L816" s="162"/>
      <c r="M816" s="54"/>
      <c r="N816" s="162"/>
      <c r="O816" s="54"/>
      <c r="P816" s="162"/>
      <c r="Q816" s="96">
        <f t="shared" si="1897"/>
        <v>0</v>
      </c>
      <c r="R816" s="337">
        <f t="shared" si="1898"/>
        <v>0</v>
      </c>
      <c r="S816" s="96"/>
      <c r="T816" s="96">
        <f t="shared" si="1911"/>
        <v>0</v>
      </c>
      <c r="U816" s="96"/>
      <c r="V816" s="96">
        <f t="shared" si="1912"/>
        <v>0</v>
      </c>
      <c r="W816" s="96"/>
      <c r="X816" s="96">
        <f t="shared" si="1913"/>
        <v>0</v>
      </c>
      <c r="Y816" s="96">
        <f t="shared" si="1899"/>
        <v>0</v>
      </c>
      <c r="Z816" s="96">
        <f t="shared" si="1900"/>
        <v>0</v>
      </c>
      <c r="AA816" s="96"/>
      <c r="AB816" s="96">
        <f t="shared" si="1914"/>
        <v>0</v>
      </c>
      <c r="AC816" s="96"/>
      <c r="AD816" s="96">
        <f t="shared" si="1915"/>
        <v>0</v>
      </c>
      <c r="AE816" s="96"/>
      <c r="AF816" s="96">
        <f t="shared" si="1916"/>
        <v>0</v>
      </c>
      <c r="AG816" s="96">
        <f t="shared" si="1901"/>
        <v>0</v>
      </c>
      <c r="AH816" s="96">
        <f t="shared" si="1902"/>
        <v>0</v>
      </c>
      <c r="AI816" s="96">
        <f t="shared" si="1903"/>
        <v>0</v>
      </c>
      <c r="AJ816" s="96">
        <f t="shared" si="1904"/>
        <v>0</v>
      </c>
      <c r="AK816" s="96"/>
      <c r="AL816" s="96">
        <f t="shared" si="1917"/>
        <v>0</v>
      </c>
      <c r="AM816" s="96"/>
      <c r="AN816" s="96">
        <f t="shared" si="1918"/>
        <v>0</v>
      </c>
      <c r="AO816" s="96"/>
      <c r="AP816" s="96">
        <f t="shared" si="1919"/>
        <v>0</v>
      </c>
      <c r="AQ816" s="96">
        <f t="shared" si="1905"/>
        <v>0</v>
      </c>
      <c r="AR816" s="96">
        <f t="shared" si="1906"/>
        <v>0</v>
      </c>
      <c r="AS816" s="96"/>
      <c r="AT816" s="96">
        <f t="shared" si="1920"/>
        <v>0</v>
      </c>
      <c r="AU816" s="96"/>
      <c r="AV816" s="96">
        <f t="shared" si="1921"/>
        <v>0</v>
      </c>
      <c r="AW816" s="96"/>
      <c r="AX816" s="96">
        <f t="shared" si="1922"/>
        <v>0</v>
      </c>
      <c r="AY816" s="96">
        <f t="shared" si="1907"/>
        <v>0</v>
      </c>
      <c r="AZ816" s="96">
        <f t="shared" si="1908"/>
        <v>0</v>
      </c>
      <c r="BA816" s="96">
        <f t="shared" si="1909"/>
        <v>0</v>
      </c>
      <c r="BB816" s="96">
        <f t="shared" si="1910"/>
        <v>0</v>
      </c>
    </row>
    <row r="817" spans="1:54">
      <c r="A817" s="492">
        <v>511</v>
      </c>
      <c r="B817" s="13"/>
      <c r="C817" s="13"/>
      <c r="D817" s="13"/>
      <c r="E817" s="21" t="s">
        <v>858</v>
      </c>
      <c r="F817" s="45"/>
      <c r="G817" s="45" t="s">
        <v>1059</v>
      </c>
      <c r="H817" s="265" t="s">
        <v>357</v>
      </c>
      <c r="I817" s="54">
        <v>4.76</v>
      </c>
      <c r="J817" s="162"/>
      <c r="K817" s="54">
        <v>4.76</v>
      </c>
      <c r="L817" s="162"/>
      <c r="M817" s="54"/>
      <c r="N817" s="162"/>
      <c r="O817" s="54"/>
      <c r="P817" s="162"/>
      <c r="Q817" s="96">
        <f t="shared" si="1897"/>
        <v>2.165</v>
      </c>
      <c r="R817" s="337">
        <f t="shared" si="1898"/>
        <v>15.15689791</v>
      </c>
      <c r="S817" s="96">
        <v>1.165</v>
      </c>
      <c r="T817" s="96">
        <f t="shared" si="1911"/>
        <v>8.00561671</v>
      </c>
      <c r="U817" s="96"/>
      <c r="V817" s="96">
        <f t="shared" si="1912"/>
        <v>0</v>
      </c>
      <c r="W817" s="96">
        <v>1</v>
      </c>
      <c r="X817" s="96">
        <f t="shared" si="1913"/>
        <v>7.1512811999999997</v>
      </c>
      <c r="Y817" s="96">
        <f t="shared" si="1899"/>
        <v>2.165</v>
      </c>
      <c r="Z817" s="96">
        <f t="shared" si="1900"/>
        <v>15.15689791</v>
      </c>
      <c r="AA817" s="96"/>
      <c r="AB817" s="96">
        <f t="shared" si="1914"/>
        <v>0</v>
      </c>
      <c r="AC817" s="96"/>
      <c r="AD817" s="96">
        <f t="shared" si="1915"/>
        <v>0</v>
      </c>
      <c r="AE817" s="96"/>
      <c r="AF817" s="96">
        <f t="shared" si="1916"/>
        <v>0</v>
      </c>
      <c r="AG817" s="96">
        <f t="shared" si="1901"/>
        <v>0</v>
      </c>
      <c r="AH817" s="96">
        <f t="shared" si="1902"/>
        <v>0</v>
      </c>
      <c r="AI817" s="96">
        <f t="shared" si="1903"/>
        <v>2.165</v>
      </c>
      <c r="AJ817" s="96">
        <f t="shared" si="1904"/>
        <v>15.15689791</v>
      </c>
      <c r="AK817" s="96"/>
      <c r="AL817" s="96">
        <f t="shared" si="1917"/>
        <v>0</v>
      </c>
      <c r="AM817" s="96"/>
      <c r="AN817" s="96">
        <f t="shared" si="1918"/>
        <v>0</v>
      </c>
      <c r="AO817" s="96"/>
      <c r="AP817" s="96">
        <f t="shared" si="1919"/>
        <v>0</v>
      </c>
      <c r="AQ817" s="96">
        <f t="shared" si="1905"/>
        <v>0</v>
      </c>
      <c r="AR817" s="96">
        <f t="shared" si="1906"/>
        <v>0</v>
      </c>
      <c r="AS817" s="96"/>
      <c r="AT817" s="96">
        <f t="shared" si="1920"/>
        <v>0</v>
      </c>
      <c r="AU817" s="96"/>
      <c r="AV817" s="96">
        <f t="shared" si="1921"/>
        <v>0</v>
      </c>
      <c r="AW817" s="96"/>
      <c r="AX817" s="96">
        <f t="shared" si="1922"/>
        <v>0</v>
      </c>
      <c r="AY817" s="96">
        <f t="shared" si="1907"/>
        <v>0</v>
      </c>
      <c r="AZ817" s="96">
        <f t="shared" si="1908"/>
        <v>0</v>
      </c>
      <c r="BA817" s="96">
        <f t="shared" si="1909"/>
        <v>0</v>
      </c>
      <c r="BB817" s="96">
        <f t="shared" si="1910"/>
        <v>0</v>
      </c>
    </row>
    <row r="818" spans="1:54">
      <c r="B818" s="13"/>
      <c r="C818" s="13"/>
      <c r="D818" s="13"/>
      <c r="E818" s="21" t="s">
        <v>1155</v>
      </c>
      <c r="F818" s="22"/>
      <c r="G818" s="22" t="s">
        <v>1154</v>
      </c>
      <c r="H818" s="265" t="s">
        <v>357</v>
      </c>
      <c r="I818" s="54">
        <v>4.76</v>
      </c>
      <c r="J818" s="101"/>
      <c r="K818" s="54">
        <v>4.76</v>
      </c>
      <c r="L818" s="101"/>
      <c r="M818" s="54"/>
      <c r="N818" s="101"/>
      <c r="O818" s="54"/>
      <c r="P818" s="101"/>
      <c r="Q818" s="96">
        <f t="shared" si="1897"/>
        <v>0</v>
      </c>
      <c r="R818" s="337">
        <f t="shared" si="1898"/>
        <v>0</v>
      </c>
      <c r="S818" s="96"/>
      <c r="T818" s="96">
        <f t="shared" si="1911"/>
        <v>0</v>
      </c>
      <c r="U818" s="96"/>
      <c r="V818" s="176">
        <f t="shared" si="1912"/>
        <v>0</v>
      </c>
      <c r="W818" s="206"/>
      <c r="X818" s="205">
        <f t="shared" si="1913"/>
        <v>0</v>
      </c>
      <c r="Y818" s="188">
        <f t="shared" si="1899"/>
        <v>0</v>
      </c>
      <c r="Z818" s="176">
        <f t="shared" si="1900"/>
        <v>0</v>
      </c>
      <c r="AA818" s="206"/>
      <c r="AB818" s="205">
        <f t="shared" si="1914"/>
        <v>0</v>
      </c>
      <c r="AC818" s="206"/>
      <c r="AD818" s="176">
        <f t="shared" si="1915"/>
        <v>0</v>
      </c>
      <c r="AE818" s="206"/>
      <c r="AF818" s="205">
        <f t="shared" si="1916"/>
        <v>0</v>
      </c>
      <c r="AG818" s="188">
        <f t="shared" si="1901"/>
        <v>0</v>
      </c>
      <c r="AH818" s="96">
        <f t="shared" si="1902"/>
        <v>0</v>
      </c>
      <c r="AI818" s="96">
        <f t="shared" si="1903"/>
        <v>0</v>
      </c>
      <c r="AJ818" s="176">
        <f t="shared" si="1904"/>
        <v>0</v>
      </c>
      <c r="AK818" s="206"/>
      <c r="AL818" s="176">
        <f t="shared" si="1917"/>
        <v>0</v>
      </c>
      <c r="AM818" s="243"/>
      <c r="AN818" s="176">
        <f t="shared" si="1918"/>
        <v>0</v>
      </c>
      <c r="AO818" s="206"/>
      <c r="AP818" s="205">
        <f t="shared" si="1919"/>
        <v>0</v>
      </c>
      <c r="AQ818" s="188">
        <f t="shared" si="1905"/>
        <v>0</v>
      </c>
      <c r="AR818" s="96">
        <f t="shared" si="1906"/>
        <v>0</v>
      </c>
      <c r="AS818" s="96"/>
      <c r="AT818" s="176">
        <f t="shared" si="1920"/>
        <v>0</v>
      </c>
      <c r="AU818" s="206"/>
      <c r="AV818" s="176">
        <f t="shared" si="1921"/>
        <v>0</v>
      </c>
      <c r="AW818" s="206"/>
      <c r="AX818" s="205">
        <f t="shared" si="1922"/>
        <v>0</v>
      </c>
      <c r="AY818" s="188">
        <f t="shared" si="1907"/>
        <v>0</v>
      </c>
      <c r="AZ818" s="96">
        <f t="shared" si="1908"/>
        <v>0</v>
      </c>
      <c r="BA818" s="96">
        <f t="shared" si="1909"/>
        <v>0</v>
      </c>
      <c r="BB818" s="96">
        <f t="shared" si="1910"/>
        <v>0</v>
      </c>
    </row>
    <row r="819" spans="1:54">
      <c r="B819" s="13"/>
      <c r="C819" s="13"/>
      <c r="D819" s="13"/>
      <c r="E819" s="21" t="s">
        <v>2144</v>
      </c>
      <c r="F819" s="22"/>
      <c r="G819" s="22" t="s">
        <v>1056</v>
      </c>
      <c r="H819" s="265" t="s">
        <v>357</v>
      </c>
      <c r="I819" s="54">
        <v>4.76</v>
      </c>
      <c r="J819" s="101"/>
      <c r="K819" s="54">
        <v>4.76</v>
      </c>
      <c r="L819" s="101"/>
      <c r="M819" s="54"/>
      <c r="N819" s="101"/>
      <c r="O819" s="54"/>
      <c r="P819" s="101"/>
      <c r="Q819" s="96">
        <f t="shared" si="1897"/>
        <v>2.7409999999999997</v>
      </c>
      <c r="R819" s="337">
        <f t="shared" si="1898"/>
        <v>19.056520341599999</v>
      </c>
      <c r="S819" s="96"/>
      <c r="T819" s="96">
        <f t="shared" si="1911"/>
        <v>0</v>
      </c>
      <c r="U819" s="96">
        <v>1.3009999999999999</v>
      </c>
      <c r="V819" s="176">
        <f t="shared" si="1912"/>
        <v>8.9067989975999993</v>
      </c>
      <c r="W819" s="206"/>
      <c r="X819" s="205">
        <f t="shared" si="1913"/>
        <v>0</v>
      </c>
      <c r="Y819" s="188">
        <f t="shared" si="1899"/>
        <v>1.3009999999999999</v>
      </c>
      <c r="Z819" s="176">
        <f t="shared" si="1900"/>
        <v>8.9067989975999993</v>
      </c>
      <c r="AA819" s="206">
        <v>1.44</v>
      </c>
      <c r="AB819" s="205">
        <f t="shared" si="1914"/>
        <v>10.149721344</v>
      </c>
      <c r="AC819" s="206"/>
      <c r="AD819" s="176">
        <f t="shared" si="1915"/>
        <v>0</v>
      </c>
      <c r="AE819" s="206"/>
      <c r="AF819" s="205">
        <f t="shared" si="1916"/>
        <v>0</v>
      </c>
      <c r="AG819" s="188">
        <f t="shared" si="1901"/>
        <v>1.44</v>
      </c>
      <c r="AH819" s="96">
        <f t="shared" si="1902"/>
        <v>10.149721344</v>
      </c>
      <c r="AI819" s="96">
        <f t="shared" si="1903"/>
        <v>2.7409999999999997</v>
      </c>
      <c r="AJ819" s="176">
        <f t="shared" si="1904"/>
        <v>19.056520341599999</v>
      </c>
      <c r="AK819" s="206"/>
      <c r="AL819" s="176">
        <f t="shared" si="1917"/>
        <v>0</v>
      </c>
      <c r="AM819" s="243"/>
      <c r="AN819" s="176">
        <f t="shared" si="1918"/>
        <v>0</v>
      </c>
      <c r="AO819" s="206"/>
      <c r="AP819" s="205">
        <f t="shared" si="1919"/>
        <v>0</v>
      </c>
      <c r="AQ819" s="188">
        <f t="shared" si="1905"/>
        <v>0</v>
      </c>
      <c r="AR819" s="96">
        <f t="shared" si="1906"/>
        <v>0</v>
      </c>
      <c r="AS819" s="96"/>
      <c r="AT819" s="176">
        <f t="shared" si="1920"/>
        <v>0</v>
      </c>
      <c r="AU819" s="206"/>
      <c r="AV819" s="176">
        <f t="shared" si="1921"/>
        <v>0</v>
      </c>
      <c r="AW819" s="206"/>
      <c r="AX819" s="205">
        <f t="shared" si="1922"/>
        <v>0</v>
      </c>
      <c r="AY819" s="188">
        <f t="shared" si="1907"/>
        <v>0</v>
      </c>
      <c r="AZ819" s="96">
        <f t="shared" si="1908"/>
        <v>0</v>
      </c>
      <c r="BA819" s="96">
        <f t="shared" si="1909"/>
        <v>0</v>
      </c>
      <c r="BB819" s="96">
        <f t="shared" si="1910"/>
        <v>0</v>
      </c>
    </row>
    <row r="820" spans="1:54">
      <c r="A820" s="492">
        <v>512</v>
      </c>
      <c r="B820" s="13"/>
      <c r="C820" s="13"/>
      <c r="D820" s="13"/>
      <c r="E820" s="21" t="s">
        <v>820</v>
      </c>
      <c r="F820" s="45"/>
      <c r="G820" s="45" t="s">
        <v>1059</v>
      </c>
      <c r="H820" s="265" t="s">
        <v>357</v>
      </c>
      <c r="I820" s="54">
        <v>4.66</v>
      </c>
      <c r="J820" s="162"/>
      <c r="K820" s="54">
        <v>4.66</v>
      </c>
      <c r="L820" s="162"/>
      <c r="M820" s="54"/>
      <c r="N820" s="162"/>
      <c r="O820" s="54"/>
      <c r="P820" s="162"/>
      <c r="Q820" s="96">
        <f t="shared" si="1897"/>
        <v>2.165</v>
      </c>
      <c r="R820" s="337">
        <f t="shared" si="1898"/>
        <v>14.838475684999999</v>
      </c>
      <c r="S820" s="96">
        <v>1.165</v>
      </c>
      <c r="T820" s="96">
        <f t="shared" si="1911"/>
        <v>7.8374314850000006</v>
      </c>
      <c r="U820" s="96"/>
      <c r="V820" s="96">
        <f t="shared" si="1912"/>
        <v>0</v>
      </c>
      <c r="W820" s="96">
        <v>1</v>
      </c>
      <c r="X820" s="96">
        <f t="shared" si="1913"/>
        <v>7.0010441999999991</v>
      </c>
      <c r="Y820" s="96">
        <f t="shared" si="1899"/>
        <v>2.165</v>
      </c>
      <c r="Z820" s="96">
        <f t="shared" si="1900"/>
        <v>14.838475684999999</v>
      </c>
      <c r="AA820" s="96"/>
      <c r="AB820" s="96">
        <f t="shared" si="1914"/>
        <v>0</v>
      </c>
      <c r="AC820" s="96"/>
      <c r="AD820" s="96">
        <f t="shared" si="1915"/>
        <v>0</v>
      </c>
      <c r="AE820" s="96"/>
      <c r="AF820" s="96">
        <f t="shared" si="1916"/>
        <v>0</v>
      </c>
      <c r="AG820" s="96">
        <f t="shared" si="1901"/>
        <v>0</v>
      </c>
      <c r="AH820" s="96">
        <f t="shared" si="1902"/>
        <v>0</v>
      </c>
      <c r="AI820" s="96">
        <f t="shared" si="1903"/>
        <v>2.165</v>
      </c>
      <c r="AJ820" s="96">
        <f t="shared" si="1904"/>
        <v>14.838475684999999</v>
      </c>
      <c r="AK820" s="96"/>
      <c r="AL820" s="96">
        <f t="shared" si="1917"/>
        <v>0</v>
      </c>
      <c r="AM820" s="96"/>
      <c r="AN820" s="96">
        <f t="shared" si="1918"/>
        <v>0</v>
      </c>
      <c r="AO820" s="96"/>
      <c r="AP820" s="96">
        <f t="shared" si="1919"/>
        <v>0</v>
      </c>
      <c r="AQ820" s="96">
        <f t="shared" si="1905"/>
        <v>0</v>
      </c>
      <c r="AR820" s="96">
        <f t="shared" si="1906"/>
        <v>0</v>
      </c>
      <c r="AS820" s="96"/>
      <c r="AT820" s="96">
        <f t="shared" si="1920"/>
        <v>0</v>
      </c>
      <c r="AU820" s="96"/>
      <c r="AV820" s="96">
        <f t="shared" si="1921"/>
        <v>0</v>
      </c>
      <c r="AW820" s="96"/>
      <c r="AX820" s="96">
        <f t="shared" si="1922"/>
        <v>0</v>
      </c>
      <c r="AY820" s="96">
        <f t="shared" si="1907"/>
        <v>0</v>
      </c>
      <c r="AZ820" s="96">
        <f t="shared" si="1908"/>
        <v>0</v>
      </c>
      <c r="BA820" s="96">
        <f t="shared" si="1909"/>
        <v>0</v>
      </c>
      <c r="BB820" s="96">
        <f t="shared" si="1910"/>
        <v>0</v>
      </c>
    </row>
    <row r="821" spans="1:54">
      <c r="A821" s="492">
        <v>513</v>
      </c>
      <c r="B821" s="13"/>
      <c r="C821" s="13"/>
      <c r="D821" s="13"/>
      <c r="E821" s="62" t="s">
        <v>821</v>
      </c>
      <c r="F821" s="419"/>
      <c r="G821" s="45" t="s">
        <v>1059</v>
      </c>
      <c r="H821" s="265" t="s">
        <v>357</v>
      </c>
      <c r="I821" s="66">
        <v>2.2599999999999998</v>
      </c>
      <c r="J821" s="165"/>
      <c r="K821" s="66">
        <v>2.2599999999999998</v>
      </c>
      <c r="L821" s="165"/>
      <c r="M821" s="66"/>
      <c r="N821" s="165"/>
      <c r="O821" s="66"/>
      <c r="P821" s="165"/>
      <c r="Q821" s="128">
        <f t="shared" si="1897"/>
        <v>2.165</v>
      </c>
      <c r="R821" s="345">
        <f t="shared" si="1898"/>
        <v>7.1963422849999992</v>
      </c>
      <c r="S821" s="128">
        <v>1.165</v>
      </c>
      <c r="T821" s="128">
        <f t="shared" si="1911"/>
        <v>3.8009860849999999</v>
      </c>
      <c r="U821" s="128"/>
      <c r="V821" s="128">
        <f t="shared" si="1912"/>
        <v>0</v>
      </c>
      <c r="W821" s="128">
        <v>1</v>
      </c>
      <c r="X821" s="128">
        <f t="shared" si="1913"/>
        <v>3.3953561999999993</v>
      </c>
      <c r="Y821" s="128">
        <f t="shared" si="1899"/>
        <v>2.165</v>
      </c>
      <c r="Z821" s="128">
        <f t="shared" si="1900"/>
        <v>7.1963422849999992</v>
      </c>
      <c r="AA821" s="128"/>
      <c r="AB821" s="128">
        <f t="shared" si="1914"/>
        <v>0</v>
      </c>
      <c r="AC821" s="128"/>
      <c r="AD821" s="128">
        <f t="shared" si="1915"/>
        <v>0</v>
      </c>
      <c r="AE821" s="128"/>
      <c r="AF821" s="128">
        <f t="shared" si="1916"/>
        <v>0</v>
      </c>
      <c r="AG821" s="128">
        <f t="shared" si="1901"/>
        <v>0</v>
      </c>
      <c r="AH821" s="128">
        <f t="shared" si="1902"/>
        <v>0</v>
      </c>
      <c r="AI821" s="128">
        <f t="shared" si="1903"/>
        <v>2.165</v>
      </c>
      <c r="AJ821" s="128">
        <f t="shared" si="1904"/>
        <v>7.1963422849999992</v>
      </c>
      <c r="AK821" s="128"/>
      <c r="AL821" s="128">
        <f t="shared" si="1917"/>
        <v>0</v>
      </c>
      <c r="AM821" s="128"/>
      <c r="AN821" s="128">
        <f t="shared" si="1918"/>
        <v>0</v>
      </c>
      <c r="AO821" s="128"/>
      <c r="AP821" s="128">
        <f t="shared" si="1919"/>
        <v>0</v>
      </c>
      <c r="AQ821" s="128">
        <f t="shared" si="1905"/>
        <v>0</v>
      </c>
      <c r="AR821" s="128">
        <f t="shared" si="1906"/>
        <v>0</v>
      </c>
      <c r="AS821" s="128"/>
      <c r="AT821" s="128">
        <f t="shared" si="1920"/>
        <v>0</v>
      </c>
      <c r="AU821" s="128"/>
      <c r="AV821" s="128">
        <f t="shared" si="1921"/>
        <v>0</v>
      </c>
      <c r="AW821" s="128"/>
      <c r="AX821" s="128">
        <f t="shared" si="1922"/>
        <v>0</v>
      </c>
      <c r="AY821" s="128">
        <f t="shared" si="1907"/>
        <v>0</v>
      </c>
      <c r="AZ821" s="128">
        <f t="shared" si="1908"/>
        <v>0</v>
      </c>
      <c r="BA821" s="128">
        <f t="shared" si="1909"/>
        <v>0</v>
      </c>
      <c r="BB821" s="128">
        <f t="shared" si="1910"/>
        <v>0</v>
      </c>
    </row>
    <row r="822" spans="1:54">
      <c r="A822" s="492">
        <v>503</v>
      </c>
      <c r="B822" s="13"/>
      <c r="C822" s="13"/>
      <c r="D822" s="13"/>
      <c r="E822" s="21" t="s">
        <v>1280</v>
      </c>
      <c r="F822" s="45"/>
      <c r="G822" s="424" t="s">
        <v>1056</v>
      </c>
      <c r="H822" s="284" t="s">
        <v>358</v>
      </c>
      <c r="I822" s="54">
        <v>5.76</v>
      </c>
      <c r="J822" s="162"/>
      <c r="K822" s="54">
        <v>5.76</v>
      </c>
      <c r="L822" s="162"/>
      <c r="M822" s="54"/>
      <c r="N822" s="162"/>
      <c r="O822" s="54"/>
      <c r="P822" s="162"/>
      <c r="Q822" s="96">
        <f t="shared" si="1897"/>
        <v>0</v>
      </c>
      <c r="R822" s="337">
        <f t="shared" si="1898"/>
        <v>0</v>
      </c>
      <c r="S822" s="96"/>
      <c r="T822" s="96">
        <f t="shared" si="1911"/>
        <v>0</v>
      </c>
      <c r="U822" s="96"/>
      <c r="V822" s="96">
        <f t="shared" si="1912"/>
        <v>0</v>
      </c>
      <c r="W822" s="96"/>
      <c r="X822" s="96">
        <f t="shared" si="1913"/>
        <v>0</v>
      </c>
      <c r="Y822" s="96">
        <f t="shared" si="1899"/>
        <v>0</v>
      </c>
      <c r="Z822" s="96">
        <f t="shared" si="1900"/>
        <v>0</v>
      </c>
      <c r="AA822" s="96"/>
      <c r="AB822" s="96">
        <f t="shared" si="1914"/>
        <v>0</v>
      </c>
      <c r="AC822" s="96"/>
      <c r="AD822" s="96">
        <f t="shared" si="1915"/>
        <v>0</v>
      </c>
      <c r="AE822" s="96"/>
      <c r="AF822" s="96">
        <f t="shared" si="1916"/>
        <v>0</v>
      </c>
      <c r="AG822" s="96">
        <f t="shared" si="1901"/>
        <v>0</v>
      </c>
      <c r="AH822" s="96">
        <f t="shared" si="1902"/>
        <v>0</v>
      </c>
      <c r="AI822" s="96">
        <f t="shared" si="1903"/>
        <v>0</v>
      </c>
      <c r="AJ822" s="96">
        <f t="shared" si="1904"/>
        <v>0</v>
      </c>
      <c r="AK822" s="96"/>
      <c r="AL822" s="96">
        <f t="shared" si="1917"/>
        <v>0</v>
      </c>
      <c r="AM822" s="96"/>
      <c r="AN822" s="96">
        <f t="shared" si="1918"/>
        <v>0</v>
      </c>
      <c r="AO822" s="96"/>
      <c r="AP822" s="96">
        <f t="shared" si="1919"/>
        <v>0</v>
      </c>
      <c r="AQ822" s="96">
        <f t="shared" si="1905"/>
        <v>0</v>
      </c>
      <c r="AR822" s="96">
        <f t="shared" si="1906"/>
        <v>0</v>
      </c>
      <c r="AS822" s="96"/>
      <c r="AT822" s="96">
        <f t="shared" si="1920"/>
        <v>0</v>
      </c>
      <c r="AU822" s="96"/>
      <c r="AV822" s="96">
        <f t="shared" si="1921"/>
        <v>0</v>
      </c>
      <c r="AW822" s="96"/>
      <c r="AX822" s="96">
        <f t="shared" si="1922"/>
        <v>0</v>
      </c>
      <c r="AY822" s="96">
        <f t="shared" si="1907"/>
        <v>0</v>
      </c>
      <c r="AZ822" s="96">
        <f t="shared" si="1908"/>
        <v>0</v>
      </c>
      <c r="BA822" s="96">
        <f t="shared" si="1909"/>
        <v>0</v>
      </c>
      <c r="BB822" s="96">
        <f t="shared" si="1910"/>
        <v>0</v>
      </c>
    </row>
    <row r="823" spans="1:54">
      <c r="A823" s="492">
        <v>503</v>
      </c>
      <c r="B823" s="13"/>
      <c r="C823" s="13"/>
      <c r="D823" s="13"/>
      <c r="E823" s="21" t="s">
        <v>1281</v>
      </c>
      <c r="F823" s="45"/>
      <c r="G823" s="45" t="s">
        <v>1056</v>
      </c>
      <c r="H823" s="265" t="s">
        <v>359</v>
      </c>
      <c r="I823" s="54">
        <v>5.76</v>
      </c>
      <c r="J823" s="162"/>
      <c r="K823" s="54">
        <v>5.76</v>
      </c>
      <c r="L823" s="162"/>
      <c r="M823" s="54"/>
      <c r="N823" s="162"/>
      <c r="O823" s="54"/>
      <c r="P823" s="162"/>
      <c r="Q823" s="96">
        <f t="shared" si="1897"/>
        <v>0</v>
      </c>
      <c r="R823" s="337">
        <f t="shared" si="1898"/>
        <v>0</v>
      </c>
      <c r="S823" s="96"/>
      <c r="T823" s="96">
        <f t="shared" si="1911"/>
        <v>0</v>
      </c>
      <c r="U823" s="96"/>
      <c r="V823" s="96">
        <f t="shared" si="1912"/>
        <v>0</v>
      </c>
      <c r="W823" s="96"/>
      <c r="X823" s="96">
        <f t="shared" si="1913"/>
        <v>0</v>
      </c>
      <c r="Y823" s="96">
        <f t="shared" si="1899"/>
        <v>0</v>
      </c>
      <c r="Z823" s="96">
        <f t="shared" si="1900"/>
        <v>0</v>
      </c>
      <c r="AA823" s="96"/>
      <c r="AB823" s="96">
        <f t="shared" si="1914"/>
        <v>0</v>
      </c>
      <c r="AC823" s="96"/>
      <c r="AD823" s="96">
        <f t="shared" si="1915"/>
        <v>0</v>
      </c>
      <c r="AE823" s="96"/>
      <c r="AF823" s="96">
        <f t="shared" si="1916"/>
        <v>0</v>
      </c>
      <c r="AG823" s="96">
        <f t="shared" si="1901"/>
        <v>0</v>
      </c>
      <c r="AH823" s="96">
        <f t="shared" si="1902"/>
        <v>0</v>
      </c>
      <c r="AI823" s="96">
        <f t="shared" si="1903"/>
        <v>0</v>
      </c>
      <c r="AJ823" s="96">
        <f t="shared" si="1904"/>
        <v>0</v>
      </c>
      <c r="AK823" s="96"/>
      <c r="AL823" s="96">
        <f t="shared" si="1917"/>
        <v>0</v>
      </c>
      <c r="AM823" s="96"/>
      <c r="AN823" s="96">
        <f t="shared" si="1918"/>
        <v>0</v>
      </c>
      <c r="AO823" s="96"/>
      <c r="AP823" s="96">
        <f t="shared" si="1919"/>
        <v>0</v>
      </c>
      <c r="AQ823" s="96">
        <f t="shared" si="1905"/>
        <v>0</v>
      </c>
      <c r="AR823" s="96">
        <f t="shared" si="1906"/>
        <v>0</v>
      </c>
      <c r="AS823" s="96"/>
      <c r="AT823" s="96">
        <f t="shared" si="1920"/>
        <v>0</v>
      </c>
      <c r="AU823" s="96"/>
      <c r="AV823" s="96">
        <f t="shared" si="1921"/>
        <v>0</v>
      </c>
      <c r="AW823" s="96"/>
      <c r="AX823" s="96">
        <f t="shared" si="1922"/>
        <v>0</v>
      </c>
      <c r="AY823" s="96">
        <f t="shared" si="1907"/>
        <v>0</v>
      </c>
      <c r="AZ823" s="96">
        <f t="shared" si="1908"/>
        <v>0</v>
      </c>
      <c r="BA823" s="96">
        <f t="shared" si="1909"/>
        <v>0</v>
      </c>
      <c r="BB823" s="96">
        <f t="shared" si="1910"/>
        <v>0</v>
      </c>
    </row>
    <row r="824" spans="1:54">
      <c r="A824" s="492">
        <v>503</v>
      </c>
      <c r="B824" s="13"/>
      <c r="C824" s="13"/>
      <c r="D824" s="13"/>
      <c r="E824" s="21" t="s">
        <v>1596</v>
      </c>
      <c r="F824" s="45"/>
      <c r="G824" s="45" t="s">
        <v>1056</v>
      </c>
      <c r="H824" s="265" t="s">
        <v>359</v>
      </c>
      <c r="I824" s="54">
        <v>4.71</v>
      </c>
      <c r="J824" s="162"/>
      <c r="K824" s="54">
        <v>4.71</v>
      </c>
      <c r="L824" s="162"/>
      <c r="M824" s="54"/>
      <c r="N824" s="162"/>
      <c r="O824" s="54"/>
      <c r="P824" s="162"/>
      <c r="Q824" s="96">
        <f t="shared" si="1897"/>
        <v>0</v>
      </c>
      <c r="R824" s="337">
        <f t="shared" si="1898"/>
        <v>0</v>
      </c>
      <c r="S824" s="96"/>
      <c r="T824" s="96">
        <f t="shared" si="1911"/>
        <v>0</v>
      </c>
      <c r="U824" s="96"/>
      <c r="V824" s="96">
        <f t="shared" si="1912"/>
        <v>0</v>
      </c>
      <c r="W824" s="96"/>
      <c r="X824" s="96">
        <f t="shared" si="1913"/>
        <v>0</v>
      </c>
      <c r="Y824" s="96">
        <f t="shared" si="1899"/>
        <v>0</v>
      </c>
      <c r="Z824" s="96">
        <f t="shared" si="1900"/>
        <v>0</v>
      </c>
      <c r="AA824" s="96"/>
      <c r="AB824" s="96">
        <f t="shared" si="1914"/>
        <v>0</v>
      </c>
      <c r="AC824" s="96"/>
      <c r="AD824" s="96">
        <f t="shared" si="1915"/>
        <v>0</v>
      </c>
      <c r="AE824" s="96"/>
      <c r="AF824" s="96">
        <f t="shared" si="1916"/>
        <v>0</v>
      </c>
      <c r="AG824" s="96">
        <f t="shared" si="1901"/>
        <v>0</v>
      </c>
      <c r="AH824" s="96">
        <f t="shared" si="1902"/>
        <v>0</v>
      </c>
      <c r="AI824" s="96">
        <f t="shared" si="1903"/>
        <v>0</v>
      </c>
      <c r="AJ824" s="96">
        <f t="shared" si="1904"/>
        <v>0</v>
      </c>
      <c r="AK824" s="96"/>
      <c r="AL824" s="96">
        <f t="shared" si="1917"/>
        <v>0</v>
      </c>
      <c r="AM824" s="96"/>
      <c r="AN824" s="96">
        <f t="shared" si="1918"/>
        <v>0</v>
      </c>
      <c r="AO824" s="96"/>
      <c r="AP824" s="96">
        <f t="shared" si="1919"/>
        <v>0</v>
      </c>
      <c r="AQ824" s="96">
        <f t="shared" si="1905"/>
        <v>0</v>
      </c>
      <c r="AR824" s="96">
        <f t="shared" si="1906"/>
        <v>0</v>
      </c>
      <c r="AS824" s="96"/>
      <c r="AT824" s="96">
        <f t="shared" si="1920"/>
        <v>0</v>
      </c>
      <c r="AU824" s="96"/>
      <c r="AV824" s="96">
        <f t="shared" si="1921"/>
        <v>0</v>
      </c>
      <c r="AW824" s="96"/>
      <c r="AX824" s="96">
        <f t="shared" si="1922"/>
        <v>0</v>
      </c>
      <c r="AY824" s="96">
        <f t="shared" si="1907"/>
        <v>0</v>
      </c>
      <c r="AZ824" s="96">
        <f t="shared" si="1908"/>
        <v>0</v>
      </c>
      <c r="BA824" s="96">
        <f t="shared" si="1909"/>
        <v>0</v>
      </c>
      <c r="BB824" s="96">
        <f t="shared" si="1910"/>
        <v>0</v>
      </c>
    </row>
    <row r="825" spans="1:54">
      <c r="A825" s="492">
        <v>514</v>
      </c>
      <c r="B825" s="13"/>
      <c r="C825" s="13"/>
      <c r="D825" s="13"/>
      <c r="E825" s="21" t="s">
        <v>1089</v>
      </c>
      <c r="F825" s="45"/>
      <c r="G825" s="419" t="s">
        <v>1059</v>
      </c>
      <c r="H825" s="281" t="s">
        <v>357</v>
      </c>
      <c r="I825" s="54"/>
      <c r="J825" s="162">
        <v>8348</v>
      </c>
      <c r="K825" s="54"/>
      <c r="L825" s="162">
        <v>8841</v>
      </c>
      <c r="M825" s="54"/>
      <c r="N825" s="162"/>
      <c r="O825" s="54"/>
      <c r="P825" s="162"/>
      <c r="Q825" s="96">
        <f t="shared" si="1897"/>
        <v>0.32200000000000001</v>
      </c>
      <c r="R825" s="337">
        <f t="shared" si="1898"/>
        <v>2.7674289999999999</v>
      </c>
      <c r="S825" s="96">
        <v>0.129</v>
      </c>
      <c r="T825" s="96">
        <f t="shared" ref="T825:T868" si="1923">J825*S825/1000</f>
        <v>1.076892</v>
      </c>
      <c r="U825" s="96"/>
      <c r="V825" s="96">
        <f t="shared" ref="V825:V868" si="1924">J825*U825/1000</f>
        <v>0</v>
      </c>
      <c r="W825" s="96">
        <v>3.2000000000000001E-2</v>
      </c>
      <c r="X825" s="96">
        <f t="shared" ref="X825:X868" si="1925">J825*W825/1000</f>
        <v>0.26713600000000004</v>
      </c>
      <c r="Y825" s="96">
        <f t="shared" si="1899"/>
        <v>0.161</v>
      </c>
      <c r="Z825" s="96">
        <f t="shared" si="1900"/>
        <v>1.344028</v>
      </c>
      <c r="AA825" s="96">
        <v>0.161</v>
      </c>
      <c r="AB825" s="96">
        <f t="shared" ref="AB825:AB868" si="1926">L825*AA825/1000</f>
        <v>1.4234010000000001</v>
      </c>
      <c r="AC825" s="96"/>
      <c r="AD825" s="96">
        <f t="shared" ref="AD825:AD868" si="1927">L825*AC825/1000</f>
        <v>0</v>
      </c>
      <c r="AE825" s="96"/>
      <c r="AF825" s="96">
        <f t="shared" ref="AF825:AF868" si="1928">L825*AE825/1000</f>
        <v>0</v>
      </c>
      <c r="AG825" s="96">
        <f t="shared" si="1901"/>
        <v>0.161</v>
      </c>
      <c r="AH825" s="96">
        <f t="shared" si="1902"/>
        <v>1.4234010000000001</v>
      </c>
      <c r="AI825" s="96">
        <f t="shared" si="1903"/>
        <v>0.32200000000000001</v>
      </c>
      <c r="AJ825" s="96">
        <f t="shared" si="1904"/>
        <v>2.7674289999999999</v>
      </c>
      <c r="AK825" s="96"/>
      <c r="AL825" s="96">
        <f t="shared" ref="AL825:AL868" si="1929">N825*AK825/1000</f>
        <v>0</v>
      </c>
      <c r="AM825" s="96"/>
      <c r="AN825" s="96">
        <f t="shared" ref="AN825:AN868" si="1930">N825*AM825/1000</f>
        <v>0</v>
      </c>
      <c r="AO825" s="96"/>
      <c r="AP825" s="96">
        <f t="shared" ref="AP825:AP868" si="1931">N825*AO825/1000</f>
        <v>0</v>
      </c>
      <c r="AQ825" s="96">
        <f t="shared" si="1905"/>
        <v>0</v>
      </c>
      <c r="AR825" s="96">
        <f t="shared" si="1906"/>
        <v>0</v>
      </c>
      <c r="AS825" s="96"/>
      <c r="AT825" s="96">
        <f t="shared" ref="AT825:AT868" si="1932">P825*AS825/1000</f>
        <v>0</v>
      </c>
      <c r="AU825" s="96"/>
      <c r="AV825" s="96">
        <f t="shared" ref="AV825:AV868" si="1933">P825*AU825/1000</f>
        <v>0</v>
      </c>
      <c r="AW825" s="96"/>
      <c r="AX825" s="96">
        <f t="shared" ref="AX825:AX868" si="1934">P825*AW825/1000</f>
        <v>0</v>
      </c>
      <c r="AY825" s="96">
        <f t="shared" si="1907"/>
        <v>0</v>
      </c>
      <c r="AZ825" s="96">
        <f t="shared" si="1908"/>
        <v>0</v>
      </c>
      <c r="BA825" s="96">
        <f t="shared" si="1909"/>
        <v>0</v>
      </c>
      <c r="BB825" s="96">
        <f t="shared" si="1910"/>
        <v>0</v>
      </c>
    </row>
    <row r="826" spans="1:54">
      <c r="A826" s="492">
        <v>516</v>
      </c>
      <c r="B826" s="13"/>
      <c r="C826" s="13"/>
      <c r="D826" s="13"/>
      <c r="E826" s="62" t="s">
        <v>1479</v>
      </c>
      <c r="F826" s="419"/>
      <c r="G826" s="419" t="s">
        <v>1059</v>
      </c>
      <c r="H826" s="281" t="s">
        <v>357</v>
      </c>
      <c r="I826" s="66"/>
      <c r="J826" s="165">
        <v>8351</v>
      </c>
      <c r="K826" s="66"/>
      <c r="L826" s="165">
        <v>8844</v>
      </c>
      <c r="M826" s="66"/>
      <c r="N826" s="165"/>
      <c r="O826" s="66"/>
      <c r="P826" s="165"/>
      <c r="Q826" s="128">
        <f t="shared" si="1897"/>
        <v>6.830000000000001</v>
      </c>
      <c r="R826" s="345">
        <f t="shared" si="1898"/>
        <v>58.076081000000002</v>
      </c>
      <c r="S826" s="128">
        <v>2.4710000000000001</v>
      </c>
      <c r="T826" s="128">
        <f t="shared" si="1923"/>
        <v>20.635321000000001</v>
      </c>
      <c r="U826" s="128">
        <v>0.56200000000000006</v>
      </c>
      <c r="V826" s="128">
        <f t="shared" si="1924"/>
        <v>4.6932620000000007</v>
      </c>
      <c r="W826" s="128">
        <v>1.69</v>
      </c>
      <c r="X826" s="128">
        <f t="shared" si="1925"/>
        <v>14.113189999999999</v>
      </c>
      <c r="Y826" s="128">
        <f t="shared" si="1899"/>
        <v>4.7230000000000008</v>
      </c>
      <c r="Z826" s="128">
        <f t="shared" si="1900"/>
        <v>39.441772999999998</v>
      </c>
      <c r="AA826" s="128">
        <v>2.1070000000000002</v>
      </c>
      <c r="AB826" s="128">
        <f t="shared" si="1926"/>
        <v>18.634308000000001</v>
      </c>
      <c r="AC826" s="128"/>
      <c r="AD826" s="128">
        <f t="shared" si="1927"/>
        <v>0</v>
      </c>
      <c r="AE826" s="128"/>
      <c r="AF826" s="128">
        <f t="shared" si="1928"/>
        <v>0</v>
      </c>
      <c r="AG826" s="128">
        <f t="shared" si="1901"/>
        <v>2.1070000000000002</v>
      </c>
      <c r="AH826" s="128">
        <f t="shared" si="1902"/>
        <v>18.634308000000001</v>
      </c>
      <c r="AI826" s="128">
        <f t="shared" si="1903"/>
        <v>6.830000000000001</v>
      </c>
      <c r="AJ826" s="128">
        <f t="shared" si="1904"/>
        <v>58.076081000000002</v>
      </c>
      <c r="AK826" s="128"/>
      <c r="AL826" s="128">
        <f t="shared" si="1929"/>
        <v>0</v>
      </c>
      <c r="AM826" s="128"/>
      <c r="AN826" s="128">
        <f t="shared" si="1930"/>
        <v>0</v>
      </c>
      <c r="AO826" s="128"/>
      <c r="AP826" s="128">
        <f t="shared" si="1931"/>
        <v>0</v>
      </c>
      <c r="AQ826" s="128">
        <f t="shared" si="1905"/>
        <v>0</v>
      </c>
      <c r="AR826" s="128">
        <f t="shared" si="1906"/>
        <v>0</v>
      </c>
      <c r="AS826" s="128"/>
      <c r="AT826" s="128">
        <f t="shared" si="1932"/>
        <v>0</v>
      </c>
      <c r="AU826" s="128"/>
      <c r="AV826" s="128">
        <f t="shared" si="1933"/>
        <v>0</v>
      </c>
      <c r="AW826" s="128"/>
      <c r="AX826" s="128">
        <f t="shared" si="1934"/>
        <v>0</v>
      </c>
      <c r="AY826" s="128">
        <f t="shared" si="1907"/>
        <v>0</v>
      </c>
      <c r="AZ826" s="128">
        <f t="shared" si="1908"/>
        <v>0</v>
      </c>
      <c r="BA826" s="128">
        <f t="shared" si="1909"/>
        <v>0</v>
      </c>
      <c r="BB826" s="128">
        <f t="shared" si="1910"/>
        <v>0</v>
      </c>
    </row>
    <row r="827" spans="1:54">
      <c r="A827" s="492">
        <v>515</v>
      </c>
      <c r="B827" s="13"/>
      <c r="C827" s="13"/>
      <c r="D827" s="13"/>
      <c r="E827" s="21" t="s">
        <v>1085</v>
      </c>
      <c r="F827" s="45"/>
      <c r="G827" s="45" t="s">
        <v>1086</v>
      </c>
      <c r="H827" s="265" t="s">
        <v>357</v>
      </c>
      <c r="I827" s="54"/>
      <c r="J827" s="162">
        <v>7872</v>
      </c>
      <c r="K827" s="54"/>
      <c r="L827" s="162">
        <v>7872</v>
      </c>
      <c r="M827" s="54"/>
      <c r="N827" s="162"/>
      <c r="O827" s="54"/>
      <c r="P827" s="162"/>
      <c r="Q827" s="96">
        <f t="shared" si="1897"/>
        <v>0</v>
      </c>
      <c r="R827" s="337">
        <f t="shared" si="1898"/>
        <v>0</v>
      </c>
      <c r="S827" s="96"/>
      <c r="T827" s="96">
        <f t="shared" si="1923"/>
        <v>0</v>
      </c>
      <c r="U827" s="96"/>
      <c r="V827" s="96">
        <f t="shared" si="1924"/>
        <v>0</v>
      </c>
      <c r="W827" s="96"/>
      <c r="X827" s="96">
        <f t="shared" si="1925"/>
        <v>0</v>
      </c>
      <c r="Y827" s="96">
        <f t="shared" si="1899"/>
        <v>0</v>
      </c>
      <c r="Z827" s="96">
        <f t="shared" si="1900"/>
        <v>0</v>
      </c>
      <c r="AA827" s="96"/>
      <c r="AB827" s="96">
        <f t="shared" si="1926"/>
        <v>0</v>
      </c>
      <c r="AC827" s="96"/>
      <c r="AD827" s="96">
        <f t="shared" si="1927"/>
        <v>0</v>
      </c>
      <c r="AE827" s="96"/>
      <c r="AF827" s="96">
        <f t="shared" si="1928"/>
        <v>0</v>
      </c>
      <c r="AG827" s="96">
        <f t="shared" si="1901"/>
        <v>0</v>
      </c>
      <c r="AH827" s="96">
        <f t="shared" si="1902"/>
        <v>0</v>
      </c>
      <c r="AI827" s="96">
        <f t="shared" si="1903"/>
        <v>0</v>
      </c>
      <c r="AJ827" s="96">
        <f t="shared" si="1904"/>
        <v>0</v>
      </c>
      <c r="AK827" s="96"/>
      <c r="AL827" s="96">
        <f t="shared" si="1929"/>
        <v>0</v>
      </c>
      <c r="AM827" s="96"/>
      <c r="AN827" s="96">
        <f t="shared" si="1930"/>
        <v>0</v>
      </c>
      <c r="AO827" s="96"/>
      <c r="AP827" s="96">
        <f t="shared" si="1931"/>
        <v>0</v>
      </c>
      <c r="AQ827" s="96">
        <f t="shared" si="1905"/>
        <v>0</v>
      </c>
      <c r="AR827" s="96">
        <f t="shared" si="1906"/>
        <v>0</v>
      </c>
      <c r="AS827" s="96"/>
      <c r="AT827" s="96">
        <f t="shared" si="1932"/>
        <v>0</v>
      </c>
      <c r="AU827" s="96"/>
      <c r="AV827" s="96">
        <f t="shared" si="1933"/>
        <v>0</v>
      </c>
      <c r="AW827" s="96"/>
      <c r="AX827" s="96">
        <f t="shared" si="1934"/>
        <v>0</v>
      </c>
      <c r="AY827" s="96">
        <f t="shared" si="1907"/>
        <v>0</v>
      </c>
      <c r="AZ827" s="96">
        <f t="shared" si="1908"/>
        <v>0</v>
      </c>
      <c r="BA827" s="96">
        <f t="shared" si="1909"/>
        <v>0</v>
      </c>
      <c r="BB827" s="96">
        <f t="shared" si="1910"/>
        <v>0</v>
      </c>
    </row>
    <row r="828" spans="1:54">
      <c r="A828" s="492">
        <v>516</v>
      </c>
      <c r="B828" s="13"/>
      <c r="C828" s="13"/>
      <c r="D828" s="13"/>
      <c r="E828" s="62" t="s">
        <v>1090</v>
      </c>
      <c r="F828" s="419"/>
      <c r="G828" s="419" t="s">
        <v>1059</v>
      </c>
      <c r="H828" s="281" t="s">
        <v>357</v>
      </c>
      <c r="I828" s="66"/>
      <c r="J828" s="165">
        <v>8389</v>
      </c>
      <c r="K828" s="66"/>
      <c r="L828" s="165">
        <v>8389</v>
      </c>
      <c r="M828" s="66"/>
      <c r="N828" s="165"/>
      <c r="O828" s="66"/>
      <c r="P828" s="165"/>
      <c r="Q828" s="128">
        <f t="shared" si="1897"/>
        <v>0</v>
      </c>
      <c r="R828" s="345">
        <f t="shared" si="1898"/>
        <v>0</v>
      </c>
      <c r="S828" s="128"/>
      <c r="T828" s="128">
        <f t="shared" si="1923"/>
        <v>0</v>
      </c>
      <c r="U828" s="128"/>
      <c r="V828" s="128">
        <f t="shared" si="1924"/>
        <v>0</v>
      </c>
      <c r="W828" s="128"/>
      <c r="X828" s="128">
        <f t="shared" si="1925"/>
        <v>0</v>
      </c>
      <c r="Y828" s="128">
        <f t="shared" si="1899"/>
        <v>0</v>
      </c>
      <c r="Z828" s="128">
        <f t="shared" si="1900"/>
        <v>0</v>
      </c>
      <c r="AA828" s="128"/>
      <c r="AB828" s="128">
        <f t="shared" si="1926"/>
        <v>0</v>
      </c>
      <c r="AC828" s="128"/>
      <c r="AD828" s="128">
        <f t="shared" si="1927"/>
        <v>0</v>
      </c>
      <c r="AE828" s="128"/>
      <c r="AF828" s="128">
        <f t="shared" si="1928"/>
        <v>0</v>
      </c>
      <c r="AG828" s="128">
        <f t="shared" si="1901"/>
        <v>0</v>
      </c>
      <c r="AH828" s="128">
        <f t="shared" si="1902"/>
        <v>0</v>
      </c>
      <c r="AI828" s="128">
        <f t="shared" si="1903"/>
        <v>0</v>
      </c>
      <c r="AJ828" s="128">
        <f t="shared" si="1904"/>
        <v>0</v>
      </c>
      <c r="AK828" s="128"/>
      <c r="AL828" s="128">
        <f t="shared" si="1929"/>
        <v>0</v>
      </c>
      <c r="AM828" s="128"/>
      <c r="AN828" s="128">
        <f t="shared" si="1930"/>
        <v>0</v>
      </c>
      <c r="AO828" s="128"/>
      <c r="AP828" s="128">
        <f t="shared" si="1931"/>
        <v>0</v>
      </c>
      <c r="AQ828" s="128">
        <f t="shared" si="1905"/>
        <v>0</v>
      </c>
      <c r="AR828" s="128">
        <f t="shared" si="1906"/>
        <v>0</v>
      </c>
      <c r="AS828" s="128"/>
      <c r="AT828" s="128">
        <f t="shared" si="1932"/>
        <v>0</v>
      </c>
      <c r="AU828" s="128"/>
      <c r="AV828" s="128">
        <f t="shared" si="1933"/>
        <v>0</v>
      </c>
      <c r="AW828" s="128"/>
      <c r="AX828" s="128">
        <f t="shared" si="1934"/>
        <v>0</v>
      </c>
      <c r="AY828" s="128">
        <f t="shared" si="1907"/>
        <v>0</v>
      </c>
      <c r="AZ828" s="128">
        <f t="shared" si="1908"/>
        <v>0</v>
      </c>
      <c r="BA828" s="128">
        <f t="shared" si="1909"/>
        <v>0</v>
      </c>
      <c r="BB828" s="128">
        <f t="shared" si="1910"/>
        <v>0</v>
      </c>
    </row>
    <row r="829" spans="1:54">
      <c r="A829" s="492">
        <v>517</v>
      </c>
      <c r="B829" s="13"/>
      <c r="C829" s="13"/>
      <c r="D829" s="13"/>
      <c r="E829" s="62" t="s">
        <v>1098</v>
      </c>
      <c r="F829" s="419"/>
      <c r="G829" s="419" t="s">
        <v>1059</v>
      </c>
      <c r="H829" s="281" t="s">
        <v>357</v>
      </c>
      <c r="I829" s="66"/>
      <c r="J829" s="165">
        <v>8529</v>
      </c>
      <c r="K829" s="66"/>
      <c r="L829" s="165">
        <v>9032</v>
      </c>
      <c r="M829" s="66"/>
      <c r="N829" s="165"/>
      <c r="O829" s="66"/>
      <c r="P829" s="165"/>
      <c r="Q829" s="128">
        <f t="shared" ref="Q829:Q868" si="1935">SUM(AI829+BA829)</f>
        <v>2.4E-2</v>
      </c>
      <c r="R829" s="345">
        <f t="shared" ref="R829:R868" si="1936">SUM(AJ829+BB829)</f>
        <v>0.20469599999999999</v>
      </c>
      <c r="S829" s="128">
        <v>2.4E-2</v>
      </c>
      <c r="T829" s="128">
        <f t="shared" si="1923"/>
        <v>0.20469599999999999</v>
      </c>
      <c r="U829" s="128"/>
      <c r="V829" s="128">
        <f t="shared" si="1924"/>
        <v>0</v>
      </c>
      <c r="W829" s="128"/>
      <c r="X829" s="128">
        <f t="shared" si="1925"/>
        <v>0</v>
      </c>
      <c r="Y829" s="128">
        <f t="shared" ref="Y829:Y868" si="1937">SUM(S829+U829+W829)</f>
        <v>2.4E-2</v>
      </c>
      <c r="Z829" s="128">
        <f t="shared" ref="Z829:Z868" si="1938">SUM(T829+V829+X829)</f>
        <v>0.20469599999999999</v>
      </c>
      <c r="AA829" s="128"/>
      <c r="AB829" s="128">
        <f t="shared" si="1926"/>
        <v>0</v>
      </c>
      <c r="AC829" s="128"/>
      <c r="AD829" s="128">
        <f t="shared" si="1927"/>
        <v>0</v>
      </c>
      <c r="AE829" s="128"/>
      <c r="AF829" s="128">
        <f t="shared" si="1928"/>
        <v>0</v>
      </c>
      <c r="AG829" s="128">
        <f t="shared" ref="AG829:AG868" si="1939">SUM(AA829+AC829+AE829)</f>
        <v>0</v>
      </c>
      <c r="AH829" s="128">
        <f t="shared" ref="AH829:AH868" si="1940">SUM(AB829+AD829+AF829)</f>
        <v>0</v>
      </c>
      <c r="AI829" s="128">
        <f t="shared" ref="AI829:AI868" si="1941">SUM(Y829+AG829)</f>
        <v>2.4E-2</v>
      </c>
      <c r="AJ829" s="128">
        <f t="shared" ref="AJ829:AJ868" si="1942">SUM(Z829,AH829)</f>
        <v>0.20469599999999999</v>
      </c>
      <c r="AK829" s="128"/>
      <c r="AL829" s="128">
        <f t="shared" si="1929"/>
        <v>0</v>
      </c>
      <c r="AM829" s="128"/>
      <c r="AN829" s="128">
        <f t="shared" si="1930"/>
        <v>0</v>
      </c>
      <c r="AO829" s="128"/>
      <c r="AP829" s="128">
        <f t="shared" si="1931"/>
        <v>0</v>
      </c>
      <c r="AQ829" s="128">
        <f t="shared" ref="AQ829:AQ868" si="1943">SUM(AK829+AM829+AO829)</f>
        <v>0</v>
      </c>
      <c r="AR829" s="128">
        <f t="shared" ref="AR829:AR868" si="1944">SUM(AL829+AN829+AP829)</f>
        <v>0</v>
      </c>
      <c r="AS829" s="128"/>
      <c r="AT829" s="128">
        <f t="shared" si="1932"/>
        <v>0</v>
      </c>
      <c r="AU829" s="128"/>
      <c r="AV829" s="128">
        <f t="shared" si="1933"/>
        <v>0</v>
      </c>
      <c r="AW829" s="128"/>
      <c r="AX829" s="128">
        <f t="shared" si="1934"/>
        <v>0</v>
      </c>
      <c r="AY829" s="128">
        <f t="shared" ref="AY829:AY868" si="1945">SUM(AS829+AU829+AW829)</f>
        <v>0</v>
      </c>
      <c r="AZ829" s="128">
        <f t="shared" ref="AZ829:AZ868" si="1946">SUM(AT829+AV829+AX829)</f>
        <v>0</v>
      </c>
      <c r="BA829" s="128">
        <f t="shared" ref="BA829:BA868" si="1947">SUM(AQ829+AY829)</f>
        <v>0</v>
      </c>
      <c r="BB829" s="128">
        <f t="shared" ref="BB829:BB868" si="1948">SUM(AR829,AZ829)</f>
        <v>0</v>
      </c>
    </row>
    <row r="830" spans="1:54">
      <c r="A830" s="492">
        <v>517</v>
      </c>
      <c r="B830" s="13"/>
      <c r="C830" s="13"/>
      <c r="D830" s="13"/>
      <c r="E830" s="62" t="s">
        <v>1470</v>
      </c>
      <c r="F830" s="419"/>
      <c r="G830" s="419" t="s">
        <v>1059</v>
      </c>
      <c r="H830" s="281" t="s">
        <v>357</v>
      </c>
      <c r="I830" s="66"/>
      <c r="J830" s="165">
        <v>8004</v>
      </c>
      <c r="K830" s="66"/>
      <c r="L830" s="165">
        <v>8004</v>
      </c>
      <c r="M830" s="66"/>
      <c r="N830" s="165"/>
      <c r="O830" s="66"/>
      <c r="P830" s="165"/>
      <c r="Q830" s="128">
        <f t="shared" si="1935"/>
        <v>0</v>
      </c>
      <c r="R830" s="345">
        <f t="shared" si="1936"/>
        <v>0</v>
      </c>
      <c r="S830" s="128"/>
      <c r="T830" s="128">
        <f t="shared" si="1923"/>
        <v>0</v>
      </c>
      <c r="U830" s="128"/>
      <c r="V830" s="128">
        <f t="shared" si="1924"/>
        <v>0</v>
      </c>
      <c r="W830" s="128"/>
      <c r="X830" s="128">
        <f t="shared" si="1925"/>
        <v>0</v>
      </c>
      <c r="Y830" s="128">
        <f t="shared" si="1937"/>
        <v>0</v>
      </c>
      <c r="Z830" s="128">
        <f t="shared" si="1938"/>
        <v>0</v>
      </c>
      <c r="AA830" s="128"/>
      <c r="AB830" s="128">
        <f t="shared" si="1926"/>
        <v>0</v>
      </c>
      <c r="AC830" s="128"/>
      <c r="AD830" s="128">
        <f t="shared" si="1927"/>
        <v>0</v>
      </c>
      <c r="AE830" s="128"/>
      <c r="AF830" s="128">
        <f t="shared" si="1928"/>
        <v>0</v>
      </c>
      <c r="AG830" s="128">
        <f t="shared" si="1939"/>
        <v>0</v>
      </c>
      <c r="AH830" s="128">
        <f t="shared" si="1940"/>
        <v>0</v>
      </c>
      <c r="AI830" s="128">
        <f t="shared" si="1941"/>
        <v>0</v>
      </c>
      <c r="AJ830" s="128">
        <f t="shared" si="1942"/>
        <v>0</v>
      </c>
      <c r="AK830" s="128"/>
      <c r="AL830" s="128">
        <f t="shared" si="1929"/>
        <v>0</v>
      </c>
      <c r="AM830" s="128"/>
      <c r="AN830" s="128">
        <f t="shared" si="1930"/>
        <v>0</v>
      </c>
      <c r="AO830" s="128"/>
      <c r="AP830" s="128">
        <f t="shared" si="1931"/>
        <v>0</v>
      </c>
      <c r="AQ830" s="128">
        <f t="shared" si="1943"/>
        <v>0</v>
      </c>
      <c r="AR830" s="128">
        <f t="shared" si="1944"/>
        <v>0</v>
      </c>
      <c r="AS830" s="128"/>
      <c r="AT830" s="128">
        <f t="shared" si="1932"/>
        <v>0</v>
      </c>
      <c r="AU830" s="128"/>
      <c r="AV830" s="128">
        <f t="shared" si="1933"/>
        <v>0</v>
      </c>
      <c r="AW830" s="128"/>
      <c r="AX830" s="128">
        <f t="shared" si="1934"/>
        <v>0</v>
      </c>
      <c r="AY830" s="128">
        <f t="shared" si="1945"/>
        <v>0</v>
      </c>
      <c r="AZ830" s="128">
        <f t="shared" si="1946"/>
        <v>0</v>
      </c>
      <c r="BA830" s="128">
        <f t="shared" si="1947"/>
        <v>0</v>
      </c>
      <c r="BB830" s="128">
        <f t="shared" si="1948"/>
        <v>0</v>
      </c>
    </row>
    <row r="831" spans="1:54">
      <c r="B831" s="13"/>
      <c r="C831" s="13"/>
      <c r="D831" s="13"/>
      <c r="E831" s="21" t="s">
        <v>1165</v>
      </c>
      <c r="F831" s="45"/>
      <c r="G831" s="45" t="s">
        <v>1059</v>
      </c>
      <c r="H831" s="265" t="s">
        <v>357</v>
      </c>
      <c r="I831" s="54"/>
      <c r="J831" s="162">
        <v>8389</v>
      </c>
      <c r="K831" s="54"/>
      <c r="L831" s="162">
        <v>8884</v>
      </c>
      <c r="M831" s="54"/>
      <c r="N831" s="162"/>
      <c r="O831" s="54"/>
      <c r="P831" s="162"/>
      <c r="Q831" s="96">
        <f t="shared" si="1935"/>
        <v>0.90200000000000002</v>
      </c>
      <c r="R831" s="337">
        <f t="shared" si="1936"/>
        <v>7.5668780000000009</v>
      </c>
      <c r="S831" s="96">
        <v>0.90200000000000002</v>
      </c>
      <c r="T831" s="96">
        <f t="shared" si="1923"/>
        <v>7.5668780000000009</v>
      </c>
      <c r="U831" s="96"/>
      <c r="V831" s="96">
        <f t="shared" si="1924"/>
        <v>0</v>
      </c>
      <c r="W831" s="96"/>
      <c r="X831" s="96">
        <f t="shared" si="1925"/>
        <v>0</v>
      </c>
      <c r="Y831" s="96">
        <f t="shared" si="1937"/>
        <v>0.90200000000000002</v>
      </c>
      <c r="Z831" s="96">
        <f t="shared" si="1938"/>
        <v>7.5668780000000009</v>
      </c>
      <c r="AA831" s="96"/>
      <c r="AB831" s="96">
        <f t="shared" si="1926"/>
        <v>0</v>
      </c>
      <c r="AC831" s="96"/>
      <c r="AD831" s="96">
        <f t="shared" si="1927"/>
        <v>0</v>
      </c>
      <c r="AE831" s="96"/>
      <c r="AF831" s="96">
        <f t="shared" si="1928"/>
        <v>0</v>
      </c>
      <c r="AG831" s="96">
        <f t="shared" si="1939"/>
        <v>0</v>
      </c>
      <c r="AH831" s="96">
        <f t="shared" si="1940"/>
        <v>0</v>
      </c>
      <c r="AI831" s="96">
        <f t="shared" si="1941"/>
        <v>0.90200000000000002</v>
      </c>
      <c r="AJ831" s="96">
        <f t="shared" si="1942"/>
        <v>7.5668780000000009</v>
      </c>
      <c r="AK831" s="96"/>
      <c r="AL831" s="96">
        <f t="shared" si="1929"/>
        <v>0</v>
      </c>
      <c r="AM831" s="96"/>
      <c r="AN831" s="96">
        <f t="shared" si="1930"/>
        <v>0</v>
      </c>
      <c r="AO831" s="96"/>
      <c r="AP831" s="96">
        <f t="shared" si="1931"/>
        <v>0</v>
      </c>
      <c r="AQ831" s="96">
        <f t="shared" si="1943"/>
        <v>0</v>
      </c>
      <c r="AR831" s="96">
        <f t="shared" si="1944"/>
        <v>0</v>
      </c>
      <c r="AS831" s="96"/>
      <c r="AT831" s="96">
        <f t="shared" si="1932"/>
        <v>0</v>
      </c>
      <c r="AU831" s="96"/>
      <c r="AV831" s="96">
        <f t="shared" si="1933"/>
        <v>0</v>
      </c>
      <c r="AW831" s="96"/>
      <c r="AX831" s="96">
        <f t="shared" si="1934"/>
        <v>0</v>
      </c>
      <c r="AY831" s="96">
        <f t="shared" si="1945"/>
        <v>0</v>
      </c>
      <c r="AZ831" s="96">
        <f t="shared" si="1946"/>
        <v>0</v>
      </c>
      <c r="BA831" s="96">
        <f t="shared" si="1947"/>
        <v>0</v>
      </c>
      <c r="BB831" s="96">
        <f t="shared" si="1948"/>
        <v>0</v>
      </c>
    </row>
    <row r="832" spans="1:54">
      <c r="A832" s="492">
        <v>518</v>
      </c>
      <c r="B832" s="13"/>
      <c r="C832" s="13"/>
      <c r="D832" s="13"/>
      <c r="E832" s="89" t="s">
        <v>1138</v>
      </c>
      <c r="F832" s="424"/>
      <c r="G832" s="424" t="s">
        <v>1059</v>
      </c>
      <c r="H832" s="284" t="s">
        <v>358</v>
      </c>
      <c r="I832" s="75"/>
      <c r="J832" s="167">
        <v>11755</v>
      </c>
      <c r="K832" s="75"/>
      <c r="L832" s="167">
        <v>11755</v>
      </c>
      <c r="M832" s="75"/>
      <c r="N832" s="167"/>
      <c r="O832" s="75"/>
      <c r="P832" s="167"/>
      <c r="Q832" s="130">
        <f t="shared" si="1935"/>
        <v>0</v>
      </c>
      <c r="R832" s="347">
        <f t="shared" si="1936"/>
        <v>0</v>
      </c>
      <c r="S832" s="130"/>
      <c r="T832" s="130">
        <f t="shared" si="1923"/>
        <v>0</v>
      </c>
      <c r="U832" s="130"/>
      <c r="V832" s="130">
        <f t="shared" si="1924"/>
        <v>0</v>
      </c>
      <c r="W832" s="130"/>
      <c r="X832" s="130">
        <f t="shared" si="1925"/>
        <v>0</v>
      </c>
      <c r="Y832" s="130">
        <f t="shared" si="1937"/>
        <v>0</v>
      </c>
      <c r="Z832" s="130">
        <f t="shared" si="1938"/>
        <v>0</v>
      </c>
      <c r="AA832" s="130"/>
      <c r="AB832" s="130">
        <f t="shared" si="1926"/>
        <v>0</v>
      </c>
      <c r="AC832" s="130"/>
      <c r="AD832" s="130">
        <f t="shared" si="1927"/>
        <v>0</v>
      </c>
      <c r="AE832" s="130"/>
      <c r="AF832" s="130">
        <f t="shared" si="1928"/>
        <v>0</v>
      </c>
      <c r="AG832" s="130">
        <f t="shared" si="1939"/>
        <v>0</v>
      </c>
      <c r="AH832" s="130">
        <f t="shared" si="1940"/>
        <v>0</v>
      </c>
      <c r="AI832" s="130">
        <f t="shared" si="1941"/>
        <v>0</v>
      </c>
      <c r="AJ832" s="130">
        <f t="shared" si="1942"/>
        <v>0</v>
      </c>
      <c r="AK832" s="130"/>
      <c r="AL832" s="130">
        <f t="shared" si="1929"/>
        <v>0</v>
      </c>
      <c r="AM832" s="130"/>
      <c r="AN832" s="130">
        <f t="shared" si="1930"/>
        <v>0</v>
      </c>
      <c r="AO832" s="130"/>
      <c r="AP832" s="130">
        <f t="shared" si="1931"/>
        <v>0</v>
      </c>
      <c r="AQ832" s="130">
        <f t="shared" si="1943"/>
        <v>0</v>
      </c>
      <c r="AR832" s="130">
        <f t="shared" si="1944"/>
        <v>0</v>
      </c>
      <c r="AS832" s="130"/>
      <c r="AT832" s="130">
        <f t="shared" si="1932"/>
        <v>0</v>
      </c>
      <c r="AU832" s="130"/>
      <c r="AV832" s="130">
        <f t="shared" si="1933"/>
        <v>0</v>
      </c>
      <c r="AW832" s="130"/>
      <c r="AX832" s="130">
        <f t="shared" si="1934"/>
        <v>0</v>
      </c>
      <c r="AY832" s="130">
        <f t="shared" si="1945"/>
        <v>0</v>
      </c>
      <c r="AZ832" s="130">
        <f t="shared" si="1946"/>
        <v>0</v>
      </c>
      <c r="BA832" s="130">
        <f t="shared" si="1947"/>
        <v>0</v>
      </c>
      <c r="BB832" s="130">
        <f t="shared" si="1948"/>
        <v>0</v>
      </c>
    </row>
    <row r="833" spans="1:54">
      <c r="A833" s="492">
        <v>519</v>
      </c>
      <c r="B833" s="13"/>
      <c r="C833" s="13"/>
      <c r="D833" s="13"/>
      <c r="E833" s="21" t="s">
        <v>790</v>
      </c>
      <c r="F833" s="45"/>
      <c r="G833" s="45" t="s">
        <v>1059</v>
      </c>
      <c r="H833" s="265" t="s">
        <v>358</v>
      </c>
      <c r="I833" s="54"/>
      <c r="J833" s="162">
        <v>11137</v>
      </c>
      <c r="K833" s="54"/>
      <c r="L833" s="162">
        <v>11137</v>
      </c>
      <c r="M833" s="54"/>
      <c r="N833" s="162"/>
      <c r="O833" s="54"/>
      <c r="P833" s="162"/>
      <c r="Q833" s="96">
        <f t="shared" si="1935"/>
        <v>0</v>
      </c>
      <c r="R833" s="337">
        <f t="shared" si="1936"/>
        <v>0</v>
      </c>
      <c r="S833" s="96"/>
      <c r="T833" s="96">
        <f t="shared" si="1923"/>
        <v>0</v>
      </c>
      <c r="U833" s="96"/>
      <c r="V833" s="96">
        <f t="shared" si="1924"/>
        <v>0</v>
      </c>
      <c r="W833" s="96"/>
      <c r="X833" s="96">
        <f t="shared" si="1925"/>
        <v>0</v>
      </c>
      <c r="Y833" s="96">
        <f t="shared" si="1937"/>
        <v>0</v>
      </c>
      <c r="Z833" s="96">
        <f t="shared" si="1938"/>
        <v>0</v>
      </c>
      <c r="AA833" s="96"/>
      <c r="AB833" s="96">
        <f t="shared" si="1926"/>
        <v>0</v>
      </c>
      <c r="AC833" s="96"/>
      <c r="AD833" s="96">
        <f t="shared" si="1927"/>
        <v>0</v>
      </c>
      <c r="AE833" s="96"/>
      <c r="AF833" s="96">
        <f t="shared" si="1928"/>
        <v>0</v>
      </c>
      <c r="AG833" s="96">
        <f t="shared" si="1939"/>
        <v>0</v>
      </c>
      <c r="AH833" s="96">
        <f t="shared" si="1940"/>
        <v>0</v>
      </c>
      <c r="AI833" s="96">
        <f t="shared" si="1941"/>
        <v>0</v>
      </c>
      <c r="AJ833" s="96">
        <f t="shared" si="1942"/>
        <v>0</v>
      </c>
      <c r="AK833" s="96"/>
      <c r="AL833" s="96">
        <f t="shared" si="1929"/>
        <v>0</v>
      </c>
      <c r="AM833" s="96"/>
      <c r="AN833" s="96">
        <f t="shared" si="1930"/>
        <v>0</v>
      </c>
      <c r="AO833" s="96"/>
      <c r="AP833" s="96">
        <f t="shared" si="1931"/>
        <v>0</v>
      </c>
      <c r="AQ833" s="96">
        <f t="shared" si="1943"/>
        <v>0</v>
      </c>
      <c r="AR833" s="96">
        <f t="shared" si="1944"/>
        <v>0</v>
      </c>
      <c r="AS833" s="96"/>
      <c r="AT833" s="96">
        <f t="shared" si="1932"/>
        <v>0</v>
      </c>
      <c r="AU833" s="96"/>
      <c r="AV833" s="96">
        <f t="shared" si="1933"/>
        <v>0</v>
      </c>
      <c r="AW833" s="96"/>
      <c r="AX833" s="96">
        <f t="shared" si="1934"/>
        <v>0</v>
      </c>
      <c r="AY833" s="96">
        <f t="shared" si="1945"/>
        <v>0</v>
      </c>
      <c r="AZ833" s="96">
        <f t="shared" si="1946"/>
        <v>0</v>
      </c>
      <c r="BA833" s="96">
        <f t="shared" si="1947"/>
        <v>0</v>
      </c>
      <c r="BB833" s="96">
        <f t="shared" si="1948"/>
        <v>0</v>
      </c>
    </row>
    <row r="834" spans="1:54">
      <c r="A834" s="492">
        <v>520</v>
      </c>
      <c r="B834" s="13"/>
      <c r="C834" s="13"/>
      <c r="D834" s="13"/>
      <c r="E834" s="62" t="s">
        <v>791</v>
      </c>
      <c r="F834" s="419"/>
      <c r="G834" s="419" t="s">
        <v>1059</v>
      </c>
      <c r="H834" s="281" t="s">
        <v>358</v>
      </c>
      <c r="I834" s="66"/>
      <c r="J834" s="165">
        <v>8250</v>
      </c>
      <c r="K834" s="66"/>
      <c r="L834" s="165">
        <v>8250</v>
      </c>
      <c r="M834" s="66"/>
      <c r="N834" s="165"/>
      <c r="O834" s="66"/>
      <c r="P834" s="165"/>
      <c r="Q834" s="128">
        <f t="shared" si="1935"/>
        <v>0</v>
      </c>
      <c r="R834" s="345">
        <f t="shared" si="1936"/>
        <v>0</v>
      </c>
      <c r="S834" s="128"/>
      <c r="T834" s="128">
        <f t="shared" si="1923"/>
        <v>0</v>
      </c>
      <c r="U834" s="128"/>
      <c r="V834" s="128">
        <f t="shared" si="1924"/>
        <v>0</v>
      </c>
      <c r="W834" s="128"/>
      <c r="X834" s="128">
        <f t="shared" si="1925"/>
        <v>0</v>
      </c>
      <c r="Y834" s="128">
        <f t="shared" si="1937"/>
        <v>0</v>
      </c>
      <c r="Z834" s="128">
        <f t="shared" si="1938"/>
        <v>0</v>
      </c>
      <c r="AA834" s="128"/>
      <c r="AB834" s="128">
        <f t="shared" si="1926"/>
        <v>0</v>
      </c>
      <c r="AC834" s="128"/>
      <c r="AD834" s="128">
        <f t="shared" si="1927"/>
        <v>0</v>
      </c>
      <c r="AE834" s="128"/>
      <c r="AF834" s="128">
        <f t="shared" si="1928"/>
        <v>0</v>
      </c>
      <c r="AG834" s="128">
        <f t="shared" si="1939"/>
        <v>0</v>
      </c>
      <c r="AH834" s="128">
        <f t="shared" si="1940"/>
        <v>0</v>
      </c>
      <c r="AI834" s="128">
        <f t="shared" si="1941"/>
        <v>0</v>
      </c>
      <c r="AJ834" s="128">
        <f t="shared" si="1942"/>
        <v>0</v>
      </c>
      <c r="AK834" s="128"/>
      <c r="AL834" s="128">
        <f t="shared" si="1929"/>
        <v>0</v>
      </c>
      <c r="AM834" s="128"/>
      <c r="AN834" s="128">
        <f t="shared" si="1930"/>
        <v>0</v>
      </c>
      <c r="AO834" s="128"/>
      <c r="AP834" s="128">
        <f t="shared" si="1931"/>
        <v>0</v>
      </c>
      <c r="AQ834" s="128">
        <f t="shared" si="1943"/>
        <v>0</v>
      </c>
      <c r="AR834" s="128">
        <f t="shared" si="1944"/>
        <v>0</v>
      </c>
      <c r="AS834" s="128"/>
      <c r="AT834" s="128">
        <f t="shared" si="1932"/>
        <v>0</v>
      </c>
      <c r="AU834" s="128"/>
      <c r="AV834" s="128">
        <f t="shared" si="1933"/>
        <v>0</v>
      </c>
      <c r="AW834" s="128"/>
      <c r="AX834" s="128">
        <f t="shared" si="1934"/>
        <v>0</v>
      </c>
      <c r="AY834" s="128">
        <f t="shared" si="1945"/>
        <v>0</v>
      </c>
      <c r="AZ834" s="128">
        <f t="shared" si="1946"/>
        <v>0</v>
      </c>
      <c r="BA834" s="128">
        <f t="shared" si="1947"/>
        <v>0</v>
      </c>
      <c r="BB834" s="128">
        <f t="shared" si="1948"/>
        <v>0</v>
      </c>
    </row>
    <row r="835" spans="1:54">
      <c r="B835" s="13"/>
      <c r="C835" s="13"/>
      <c r="D835" s="13"/>
      <c r="E835" s="21" t="s">
        <v>1278</v>
      </c>
      <c r="F835" s="45"/>
      <c r="G835" s="45" t="s">
        <v>1282</v>
      </c>
      <c r="H835" s="265" t="s">
        <v>358</v>
      </c>
      <c r="I835" s="54"/>
      <c r="J835" s="162">
        <v>10488</v>
      </c>
      <c r="K835" s="54"/>
      <c r="L835" s="162">
        <v>11107</v>
      </c>
      <c r="M835" s="54"/>
      <c r="N835" s="162"/>
      <c r="O835" s="54"/>
      <c r="P835" s="162"/>
      <c r="Q835" s="96">
        <f t="shared" si="1935"/>
        <v>2.4E-2</v>
      </c>
      <c r="R835" s="337">
        <f t="shared" si="1936"/>
        <v>0.25913999999999998</v>
      </c>
      <c r="S835" s="96"/>
      <c r="T835" s="96">
        <f t="shared" si="1923"/>
        <v>0</v>
      </c>
      <c r="U835" s="96"/>
      <c r="V835" s="96">
        <f t="shared" si="1924"/>
        <v>0</v>
      </c>
      <c r="W835" s="96">
        <v>1.2E-2</v>
      </c>
      <c r="X835" s="96">
        <f t="shared" si="1925"/>
        <v>0.125856</v>
      </c>
      <c r="Y835" s="96">
        <f t="shared" si="1937"/>
        <v>1.2E-2</v>
      </c>
      <c r="Z835" s="96">
        <f t="shared" si="1938"/>
        <v>0.125856</v>
      </c>
      <c r="AA835" s="96">
        <v>1.2E-2</v>
      </c>
      <c r="AB835" s="96">
        <f t="shared" si="1926"/>
        <v>0.13328399999999999</v>
      </c>
      <c r="AC835" s="96"/>
      <c r="AD835" s="96">
        <f t="shared" si="1927"/>
        <v>0</v>
      </c>
      <c r="AE835" s="96"/>
      <c r="AF835" s="96">
        <f t="shared" si="1928"/>
        <v>0</v>
      </c>
      <c r="AG835" s="96">
        <f t="shared" si="1939"/>
        <v>1.2E-2</v>
      </c>
      <c r="AH835" s="96">
        <f t="shared" si="1940"/>
        <v>0.13328399999999999</v>
      </c>
      <c r="AI835" s="96">
        <f t="shared" si="1941"/>
        <v>2.4E-2</v>
      </c>
      <c r="AJ835" s="96">
        <f t="shared" si="1942"/>
        <v>0.25913999999999998</v>
      </c>
      <c r="AK835" s="96"/>
      <c r="AL835" s="96">
        <f t="shared" si="1929"/>
        <v>0</v>
      </c>
      <c r="AM835" s="96"/>
      <c r="AN835" s="96">
        <f t="shared" si="1930"/>
        <v>0</v>
      </c>
      <c r="AO835" s="96"/>
      <c r="AP835" s="96">
        <f t="shared" si="1931"/>
        <v>0</v>
      </c>
      <c r="AQ835" s="96">
        <f t="shared" si="1943"/>
        <v>0</v>
      </c>
      <c r="AR835" s="96">
        <f t="shared" si="1944"/>
        <v>0</v>
      </c>
      <c r="AS835" s="96"/>
      <c r="AT835" s="96">
        <f t="shared" si="1932"/>
        <v>0</v>
      </c>
      <c r="AU835" s="96"/>
      <c r="AV835" s="96">
        <f t="shared" si="1933"/>
        <v>0</v>
      </c>
      <c r="AW835" s="96"/>
      <c r="AX835" s="96">
        <f t="shared" si="1934"/>
        <v>0</v>
      </c>
      <c r="AY835" s="96">
        <f t="shared" si="1945"/>
        <v>0</v>
      </c>
      <c r="AZ835" s="96">
        <f t="shared" si="1946"/>
        <v>0</v>
      </c>
      <c r="BA835" s="96">
        <f t="shared" si="1947"/>
        <v>0</v>
      </c>
      <c r="BB835" s="96">
        <f t="shared" si="1948"/>
        <v>0</v>
      </c>
    </row>
    <row r="836" spans="1:54">
      <c r="A836" s="492">
        <v>520</v>
      </c>
      <c r="B836" s="13"/>
      <c r="C836" s="13"/>
      <c r="D836" s="13"/>
      <c r="E836" s="21" t="s">
        <v>1367</v>
      </c>
      <c r="F836" s="45"/>
      <c r="G836" s="45" t="s">
        <v>1059</v>
      </c>
      <c r="H836" s="265" t="s">
        <v>358</v>
      </c>
      <c r="I836" s="54"/>
      <c r="J836" s="162">
        <v>11054</v>
      </c>
      <c r="K836" s="54"/>
      <c r="L836" s="162">
        <v>11706</v>
      </c>
      <c r="M836" s="54"/>
      <c r="N836" s="162"/>
      <c r="O836" s="54"/>
      <c r="P836" s="162"/>
      <c r="Q836" s="96">
        <f t="shared" si="1935"/>
        <v>0</v>
      </c>
      <c r="R836" s="337">
        <f t="shared" si="1936"/>
        <v>0</v>
      </c>
      <c r="S836" s="96"/>
      <c r="T836" s="96">
        <f t="shared" si="1923"/>
        <v>0</v>
      </c>
      <c r="U836" s="96"/>
      <c r="V836" s="96">
        <f t="shared" si="1924"/>
        <v>0</v>
      </c>
      <c r="W836" s="96"/>
      <c r="X836" s="96">
        <f t="shared" si="1925"/>
        <v>0</v>
      </c>
      <c r="Y836" s="96">
        <f t="shared" si="1937"/>
        <v>0</v>
      </c>
      <c r="Z836" s="96">
        <f t="shared" si="1938"/>
        <v>0</v>
      </c>
      <c r="AA836" s="96"/>
      <c r="AB836" s="96">
        <f t="shared" si="1926"/>
        <v>0</v>
      </c>
      <c r="AC836" s="96"/>
      <c r="AD836" s="96">
        <f t="shared" si="1927"/>
        <v>0</v>
      </c>
      <c r="AE836" s="96"/>
      <c r="AF836" s="96">
        <f t="shared" si="1928"/>
        <v>0</v>
      </c>
      <c r="AG836" s="96">
        <f t="shared" si="1939"/>
        <v>0</v>
      </c>
      <c r="AH836" s="96">
        <f t="shared" si="1940"/>
        <v>0</v>
      </c>
      <c r="AI836" s="96">
        <f t="shared" si="1941"/>
        <v>0</v>
      </c>
      <c r="AJ836" s="96">
        <f t="shared" si="1942"/>
        <v>0</v>
      </c>
      <c r="AK836" s="96"/>
      <c r="AL836" s="96">
        <f t="shared" si="1929"/>
        <v>0</v>
      </c>
      <c r="AM836" s="96"/>
      <c r="AN836" s="96">
        <f t="shared" si="1930"/>
        <v>0</v>
      </c>
      <c r="AO836" s="96"/>
      <c r="AP836" s="96">
        <f t="shared" si="1931"/>
        <v>0</v>
      </c>
      <c r="AQ836" s="96">
        <f t="shared" si="1943"/>
        <v>0</v>
      </c>
      <c r="AR836" s="96">
        <f t="shared" si="1944"/>
        <v>0</v>
      </c>
      <c r="AS836" s="96"/>
      <c r="AT836" s="96">
        <f t="shared" si="1932"/>
        <v>0</v>
      </c>
      <c r="AU836" s="96"/>
      <c r="AV836" s="96">
        <f t="shared" si="1933"/>
        <v>0</v>
      </c>
      <c r="AW836" s="96"/>
      <c r="AX836" s="96">
        <f t="shared" si="1934"/>
        <v>0</v>
      </c>
      <c r="AY836" s="96">
        <f t="shared" si="1945"/>
        <v>0</v>
      </c>
      <c r="AZ836" s="96">
        <f t="shared" si="1946"/>
        <v>0</v>
      </c>
      <c r="BA836" s="96">
        <f t="shared" si="1947"/>
        <v>0</v>
      </c>
      <c r="BB836" s="96">
        <f t="shared" si="1948"/>
        <v>0</v>
      </c>
    </row>
    <row r="837" spans="1:54">
      <c r="B837" s="13"/>
      <c r="C837" s="13"/>
      <c r="D837" s="13"/>
      <c r="E837" s="89" t="s">
        <v>1225</v>
      </c>
      <c r="F837" s="424"/>
      <c r="G837" s="424" t="s">
        <v>1056</v>
      </c>
      <c r="H837" s="284" t="s">
        <v>358</v>
      </c>
      <c r="I837" s="75"/>
      <c r="J837" s="167">
        <v>7754</v>
      </c>
      <c r="K837" s="75"/>
      <c r="L837" s="167">
        <v>8211</v>
      </c>
      <c r="M837" s="75"/>
      <c r="N837" s="167"/>
      <c r="O837" s="75"/>
      <c r="P837" s="167"/>
      <c r="Q837" s="130">
        <f t="shared" si="1935"/>
        <v>6.07</v>
      </c>
      <c r="R837" s="347">
        <f t="shared" si="1936"/>
        <v>47.470311000000002</v>
      </c>
      <c r="S837" s="130">
        <v>2.6190000000000002</v>
      </c>
      <c r="T837" s="130">
        <f t="shared" si="1923"/>
        <v>20.307726000000002</v>
      </c>
      <c r="U837" s="130">
        <v>0.501</v>
      </c>
      <c r="V837" s="130">
        <f t="shared" si="1924"/>
        <v>3.884754</v>
      </c>
      <c r="W837" s="130">
        <v>2.0670000000000002</v>
      </c>
      <c r="X837" s="130">
        <f t="shared" si="1925"/>
        <v>16.027518000000001</v>
      </c>
      <c r="Y837" s="130">
        <f t="shared" si="1937"/>
        <v>5.1870000000000003</v>
      </c>
      <c r="Z837" s="130">
        <f t="shared" si="1938"/>
        <v>40.219998000000004</v>
      </c>
      <c r="AA837" s="130">
        <v>0.88300000000000001</v>
      </c>
      <c r="AB837" s="130">
        <f t="shared" si="1926"/>
        <v>7.2503130000000002</v>
      </c>
      <c r="AC837" s="130"/>
      <c r="AD837" s="130">
        <f t="shared" si="1927"/>
        <v>0</v>
      </c>
      <c r="AE837" s="130"/>
      <c r="AF837" s="130">
        <f t="shared" si="1928"/>
        <v>0</v>
      </c>
      <c r="AG837" s="130">
        <f t="shared" si="1939"/>
        <v>0.88300000000000001</v>
      </c>
      <c r="AH837" s="130">
        <f t="shared" si="1940"/>
        <v>7.2503130000000002</v>
      </c>
      <c r="AI837" s="130">
        <f t="shared" si="1941"/>
        <v>6.07</v>
      </c>
      <c r="AJ837" s="130">
        <f t="shared" si="1942"/>
        <v>47.470311000000002</v>
      </c>
      <c r="AK837" s="130"/>
      <c r="AL837" s="130">
        <f t="shared" si="1929"/>
        <v>0</v>
      </c>
      <c r="AM837" s="130"/>
      <c r="AN837" s="130">
        <f t="shared" si="1930"/>
        <v>0</v>
      </c>
      <c r="AO837" s="130"/>
      <c r="AP837" s="130">
        <f t="shared" si="1931"/>
        <v>0</v>
      </c>
      <c r="AQ837" s="130">
        <f t="shared" si="1943"/>
        <v>0</v>
      </c>
      <c r="AR837" s="130">
        <f t="shared" si="1944"/>
        <v>0</v>
      </c>
      <c r="AS837" s="130"/>
      <c r="AT837" s="130">
        <f t="shared" si="1932"/>
        <v>0</v>
      </c>
      <c r="AU837" s="130"/>
      <c r="AV837" s="130">
        <f t="shared" si="1933"/>
        <v>0</v>
      </c>
      <c r="AW837" s="130"/>
      <c r="AX837" s="130">
        <f t="shared" si="1934"/>
        <v>0</v>
      </c>
      <c r="AY837" s="130">
        <f t="shared" si="1945"/>
        <v>0</v>
      </c>
      <c r="AZ837" s="130">
        <f t="shared" si="1946"/>
        <v>0</v>
      </c>
      <c r="BA837" s="130">
        <f t="shared" si="1947"/>
        <v>0</v>
      </c>
      <c r="BB837" s="130">
        <f t="shared" si="1948"/>
        <v>0</v>
      </c>
    </row>
    <row r="838" spans="1:54">
      <c r="A838" s="492">
        <v>520</v>
      </c>
      <c r="B838" s="13"/>
      <c r="C838" s="13"/>
      <c r="D838" s="13"/>
      <c r="E838" s="62" t="s">
        <v>1380</v>
      </c>
      <c r="F838" s="419"/>
      <c r="G838" s="419" t="s">
        <v>1059</v>
      </c>
      <c r="H838" s="281" t="s">
        <v>358</v>
      </c>
      <c r="I838" s="66"/>
      <c r="J838" s="165">
        <v>7433</v>
      </c>
      <c r="K838" s="66"/>
      <c r="L838" s="165">
        <v>7433</v>
      </c>
      <c r="M838" s="66"/>
      <c r="N838" s="165"/>
      <c r="O838" s="66"/>
      <c r="P838" s="165"/>
      <c r="Q838" s="128">
        <f t="shared" si="1935"/>
        <v>0</v>
      </c>
      <c r="R838" s="345">
        <f t="shared" si="1936"/>
        <v>0</v>
      </c>
      <c r="S838" s="128"/>
      <c r="T838" s="128">
        <f t="shared" si="1923"/>
        <v>0</v>
      </c>
      <c r="U838" s="128"/>
      <c r="V838" s="128">
        <f t="shared" si="1924"/>
        <v>0</v>
      </c>
      <c r="W838" s="128"/>
      <c r="X838" s="128">
        <f t="shared" si="1925"/>
        <v>0</v>
      </c>
      <c r="Y838" s="128">
        <f t="shared" si="1937"/>
        <v>0</v>
      </c>
      <c r="Z838" s="128">
        <f t="shared" si="1938"/>
        <v>0</v>
      </c>
      <c r="AA838" s="128"/>
      <c r="AB838" s="128">
        <f t="shared" si="1926"/>
        <v>0</v>
      </c>
      <c r="AC838" s="128"/>
      <c r="AD838" s="128">
        <f t="shared" si="1927"/>
        <v>0</v>
      </c>
      <c r="AE838" s="128"/>
      <c r="AF838" s="128">
        <f t="shared" si="1928"/>
        <v>0</v>
      </c>
      <c r="AG838" s="128">
        <f t="shared" si="1939"/>
        <v>0</v>
      </c>
      <c r="AH838" s="128">
        <f t="shared" si="1940"/>
        <v>0</v>
      </c>
      <c r="AI838" s="128">
        <f t="shared" si="1941"/>
        <v>0</v>
      </c>
      <c r="AJ838" s="128">
        <f t="shared" si="1942"/>
        <v>0</v>
      </c>
      <c r="AK838" s="128"/>
      <c r="AL838" s="128">
        <f t="shared" si="1929"/>
        <v>0</v>
      </c>
      <c r="AM838" s="128"/>
      <c r="AN838" s="128">
        <f t="shared" si="1930"/>
        <v>0</v>
      </c>
      <c r="AO838" s="128"/>
      <c r="AP838" s="128">
        <f t="shared" si="1931"/>
        <v>0</v>
      </c>
      <c r="AQ838" s="128">
        <f t="shared" si="1943"/>
        <v>0</v>
      </c>
      <c r="AR838" s="128">
        <f t="shared" si="1944"/>
        <v>0</v>
      </c>
      <c r="AS838" s="128"/>
      <c r="AT838" s="128">
        <f t="shared" si="1932"/>
        <v>0</v>
      </c>
      <c r="AU838" s="128"/>
      <c r="AV838" s="128">
        <f t="shared" si="1933"/>
        <v>0</v>
      </c>
      <c r="AW838" s="128"/>
      <c r="AX838" s="128">
        <f t="shared" si="1934"/>
        <v>0</v>
      </c>
      <c r="AY838" s="128">
        <f t="shared" si="1945"/>
        <v>0</v>
      </c>
      <c r="AZ838" s="128">
        <f t="shared" si="1946"/>
        <v>0</v>
      </c>
      <c r="BA838" s="128">
        <f t="shared" si="1947"/>
        <v>0</v>
      </c>
      <c r="BB838" s="128">
        <f t="shared" si="1948"/>
        <v>0</v>
      </c>
    </row>
    <row r="839" spans="1:54" ht="12" customHeight="1">
      <c r="A839" s="492"/>
      <c r="B839" s="13"/>
      <c r="C839" s="13"/>
      <c r="D839" s="13"/>
      <c r="E839" s="21" t="s">
        <v>1240</v>
      </c>
      <c r="F839" s="45"/>
      <c r="G839" s="45" t="s">
        <v>1056</v>
      </c>
      <c r="H839" s="265" t="s">
        <v>359</v>
      </c>
      <c r="I839" s="54"/>
      <c r="J839" s="162">
        <v>8862</v>
      </c>
      <c r="K839" s="54"/>
      <c r="L839" s="162">
        <v>9385</v>
      </c>
      <c r="M839" s="54"/>
      <c r="N839" s="162"/>
      <c r="O839" s="54"/>
      <c r="P839" s="162"/>
      <c r="Q839" s="96">
        <f t="shared" si="1935"/>
        <v>0</v>
      </c>
      <c r="R839" s="337">
        <f t="shared" si="1936"/>
        <v>0</v>
      </c>
      <c r="S839" s="96"/>
      <c r="T839" s="96">
        <f t="shared" si="1923"/>
        <v>0</v>
      </c>
      <c r="U839" s="96"/>
      <c r="V839" s="96">
        <f t="shared" si="1924"/>
        <v>0</v>
      </c>
      <c r="W839" s="96"/>
      <c r="X839" s="96">
        <f t="shared" si="1925"/>
        <v>0</v>
      </c>
      <c r="Y839" s="96">
        <f t="shared" si="1937"/>
        <v>0</v>
      </c>
      <c r="Z839" s="96">
        <f t="shared" si="1938"/>
        <v>0</v>
      </c>
      <c r="AA839" s="96"/>
      <c r="AB839" s="96">
        <f t="shared" si="1926"/>
        <v>0</v>
      </c>
      <c r="AC839" s="96"/>
      <c r="AD839" s="96">
        <f t="shared" si="1927"/>
        <v>0</v>
      </c>
      <c r="AE839" s="96"/>
      <c r="AF839" s="96">
        <f t="shared" si="1928"/>
        <v>0</v>
      </c>
      <c r="AG839" s="96">
        <f t="shared" si="1939"/>
        <v>0</v>
      </c>
      <c r="AH839" s="96">
        <f t="shared" si="1940"/>
        <v>0</v>
      </c>
      <c r="AI839" s="96">
        <f t="shared" si="1941"/>
        <v>0</v>
      </c>
      <c r="AJ839" s="96">
        <f t="shared" si="1942"/>
        <v>0</v>
      </c>
      <c r="AK839" s="96"/>
      <c r="AL839" s="96">
        <f t="shared" si="1929"/>
        <v>0</v>
      </c>
      <c r="AM839" s="96"/>
      <c r="AN839" s="96">
        <f t="shared" si="1930"/>
        <v>0</v>
      </c>
      <c r="AO839" s="96"/>
      <c r="AP839" s="96">
        <f t="shared" si="1931"/>
        <v>0</v>
      </c>
      <c r="AQ839" s="96">
        <f t="shared" si="1943"/>
        <v>0</v>
      </c>
      <c r="AR839" s="96">
        <f t="shared" si="1944"/>
        <v>0</v>
      </c>
      <c r="AS839" s="96"/>
      <c r="AT839" s="96">
        <f t="shared" si="1932"/>
        <v>0</v>
      </c>
      <c r="AU839" s="96"/>
      <c r="AV839" s="96">
        <f t="shared" si="1933"/>
        <v>0</v>
      </c>
      <c r="AW839" s="96"/>
      <c r="AX839" s="96">
        <f t="shared" si="1934"/>
        <v>0</v>
      </c>
      <c r="AY839" s="96">
        <f t="shared" si="1945"/>
        <v>0</v>
      </c>
      <c r="AZ839" s="96">
        <f t="shared" si="1946"/>
        <v>0</v>
      </c>
      <c r="BA839" s="96">
        <f t="shared" si="1947"/>
        <v>0</v>
      </c>
      <c r="BB839" s="96">
        <f t="shared" si="1948"/>
        <v>0</v>
      </c>
    </row>
    <row r="840" spans="1:54" ht="12" customHeight="1">
      <c r="A840" s="492"/>
      <c r="B840" s="13"/>
      <c r="C840" s="13"/>
      <c r="D840" s="13"/>
      <c r="E840" s="21" t="s">
        <v>1241</v>
      </c>
      <c r="F840" s="45"/>
      <c r="G840" s="45" t="s">
        <v>1056</v>
      </c>
      <c r="H840" s="265" t="s">
        <v>359</v>
      </c>
      <c r="I840" s="54"/>
      <c r="J840" s="162">
        <v>6999</v>
      </c>
      <c r="K840" s="54"/>
      <c r="L840" s="162">
        <v>6999</v>
      </c>
      <c r="M840" s="54"/>
      <c r="N840" s="162"/>
      <c r="O840" s="54"/>
      <c r="P840" s="162"/>
      <c r="Q840" s="96">
        <f t="shared" si="1935"/>
        <v>0</v>
      </c>
      <c r="R840" s="337">
        <f t="shared" si="1936"/>
        <v>0</v>
      </c>
      <c r="S840" s="96"/>
      <c r="T840" s="96">
        <f t="shared" si="1923"/>
        <v>0</v>
      </c>
      <c r="U840" s="96"/>
      <c r="V840" s="96">
        <f t="shared" si="1924"/>
        <v>0</v>
      </c>
      <c r="W840" s="96"/>
      <c r="X840" s="96">
        <f t="shared" si="1925"/>
        <v>0</v>
      </c>
      <c r="Y840" s="96">
        <f t="shared" si="1937"/>
        <v>0</v>
      </c>
      <c r="Z840" s="96">
        <f t="shared" si="1938"/>
        <v>0</v>
      </c>
      <c r="AA840" s="96"/>
      <c r="AB840" s="96">
        <f t="shared" si="1926"/>
        <v>0</v>
      </c>
      <c r="AC840" s="96"/>
      <c r="AD840" s="96">
        <f t="shared" si="1927"/>
        <v>0</v>
      </c>
      <c r="AE840" s="96"/>
      <c r="AF840" s="96">
        <f t="shared" si="1928"/>
        <v>0</v>
      </c>
      <c r="AG840" s="96">
        <f t="shared" si="1939"/>
        <v>0</v>
      </c>
      <c r="AH840" s="96">
        <f t="shared" si="1940"/>
        <v>0</v>
      </c>
      <c r="AI840" s="96">
        <f t="shared" si="1941"/>
        <v>0</v>
      </c>
      <c r="AJ840" s="96">
        <f t="shared" si="1942"/>
        <v>0</v>
      </c>
      <c r="AK840" s="96"/>
      <c r="AL840" s="96">
        <f t="shared" si="1929"/>
        <v>0</v>
      </c>
      <c r="AM840" s="96"/>
      <c r="AN840" s="96">
        <f t="shared" si="1930"/>
        <v>0</v>
      </c>
      <c r="AO840" s="96"/>
      <c r="AP840" s="96">
        <f t="shared" si="1931"/>
        <v>0</v>
      </c>
      <c r="AQ840" s="96">
        <f t="shared" si="1943"/>
        <v>0</v>
      </c>
      <c r="AR840" s="96">
        <f t="shared" si="1944"/>
        <v>0</v>
      </c>
      <c r="AS840" s="96"/>
      <c r="AT840" s="96">
        <f t="shared" si="1932"/>
        <v>0</v>
      </c>
      <c r="AU840" s="96"/>
      <c r="AV840" s="96">
        <f t="shared" si="1933"/>
        <v>0</v>
      </c>
      <c r="AW840" s="96"/>
      <c r="AX840" s="96">
        <f t="shared" si="1934"/>
        <v>0</v>
      </c>
      <c r="AY840" s="96">
        <f t="shared" si="1945"/>
        <v>0</v>
      </c>
      <c r="AZ840" s="96">
        <f t="shared" si="1946"/>
        <v>0</v>
      </c>
      <c r="BA840" s="96">
        <f t="shared" si="1947"/>
        <v>0</v>
      </c>
      <c r="BB840" s="96">
        <f t="shared" si="1948"/>
        <v>0</v>
      </c>
    </row>
    <row r="841" spans="1:54">
      <c r="B841" s="13"/>
      <c r="C841" s="13"/>
      <c r="D841" s="13"/>
      <c r="E841" s="62" t="s">
        <v>1226</v>
      </c>
      <c r="F841" s="419"/>
      <c r="G841" s="419" t="s">
        <v>1056</v>
      </c>
      <c r="H841" s="281" t="s">
        <v>358</v>
      </c>
      <c r="I841" s="66"/>
      <c r="J841" s="165">
        <v>7612</v>
      </c>
      <c r="K841" s="66"/>
      <c r="L841" s="165">
        <v>8061</v>
      </c>
      <c r="M841" s="66"/>
      <c r="N841" s="165"/>
      <c r="O841" s="66"/>
      <c r="P841" s="165"/>
      <c r="Q841" s="128">
        <f t="shared" si="1935"/>
        <v>3.6840000000000002</v>
      </c>
      <c r="R841" s="345">
        <f t="shared" si="1936"/>
        <v>28.898401999999997</v>
      </c>
      <c r="S841" s="128">
        <v>0.503</v>
      </c>
      <c r="T841" s="128">
        <f t="shared" si="1923"/>
        <v>3.8288360000000004</v>
      </c>
      <c r="U841" s="128">
        <v>0.36499999999999999</v>
      </c>
      <c r="V841" s="128">
        <f t="shared" si="1924"/>
        <v>2.7783800000000003</v>
      </c>
      <c r="W841" s="128">
        <v>0.91</v>
      </c>
      <c r="X841" s="128">
        <f t="shared" si="1925"/>
        <v>6.92692</v>
      </c>
      <c r="Y841" s="128">
        <f t="shared" si="1937"/>
        <v>1.778</v>
      </c>
      <c r="Z841" s="128">
        <f t="shared" si="1938"/>
        <v>13.534136</v>
      </c>
      <c r="AA841" s="128">
        <v>1.9059999999999999</v>
      </c>
      <c r="AB841" s="128">
        <f t="shared" si="1926"/>
        <v>15.364265999999999</v>
      </c>
      <c r="AC841" s="128"/>
      <c r="AD841" s="128">
        <f t="shared" si="1927"/>
        <v>0</v>
      </c>
      <c r="AE841" s="128"/>
      <c r="AF841" s="128">
        <f t="shared" si="1928"/>
        <v>0</v>
      </c>
      <c r="AG841" s="128">
        <f t="shared" si="1939"/>
        <v>1.9059999999999999</v>
      </c>
      <c r="AH841" s="128">
        <f t="shared" si="1940"/>
        <v>15.364265999999999</v>
      </c>
      <c r="AI841" s="128">
        <f t="shared" si="1941"/>
        <v>3.6840000000000002</v>
      </c>
      <c r="AJ841" s="128">
        <f t="shared" si="1942"/>
        <v>28.898401999999997</v>
      </c>
      <c r="AK841" s="128"/>
      <c r="AL841" s="128">
        <f t="shared" si="1929"/>
        <v>0</v>
      </c>
      <c r="AM841" s="128"/>
      <c r="AN841" s="128">
        <f t="shared" si="1930"/>
        <v>0</v>
      </c>
      <c r="AO841" s="128"/>
      <c r="AP841" s="128">
        <f t="shared" si="1931"/>
        <v>0</v>
      </c>
      <c r="AQ841" s="128">
        <f t="shared" si="1943"/>
        <v>0</v>
      </c>
      <c r="AR841" s="128">
        <f t="shared" si="1944"/>
        <v>0</v>
      </c>
      <c r="AS841" s="128"/>
      <c r="AT841" s="128">
        <f t="shared" si="1932"/>
        <v>0</v>
      </c>
      <c r="AU841" s="128"/>
      <c r="AV841" s="128">
        <f t="shared" si="1933"/>
        <v>0</v>
      </c>
      <c r="AW841" s="128"/>
      <c r="AX841" s="128">
        <f t="shared" si="1934"/>
        <v>0</v>
      </c>
      <c r="AY841" s="128">
        <f t="shared" si="1945"/>
        <v>0</v>
      </c>
      <c r="AZ841" s="128">
        <f t="shared" si="1946"/>
        <v>0</v>
      </c>
      <c r="BA841" s="128">
        <f t="shared" si="1947"/>
        <v>0</v>
      </c>
      <c r="BB841" s="128">
        <f t="shared" si="1948"/>
        <v>0</v>
      </c>
    </row>
    <row r="842" spans="1:54">
      <c r="B842" s="13"/>
      <c r="C842" s="13"/>
      <c r="D842" s="13"/>
      <c r="E842" s="485" t="s">
        <v>1327</v>
      </c>
      <c r="F842" s="486"/>
      <c r="G842" s="486" t="s">
        <v>1055</v>
      </c>
      <c r="H842" s="487" t="s">
        <v>358</v>
      </c>
      <c r="I842" s="488"/>
      <c r="J842" s="489">
        <v>5798</v>
      </c>
      <c r="K842" s="488"/>
      <c r="L842" s="489">
        <v>5798</v>
      </c>
      <c r="M842" s="488"/>
      <c r="N842" s="489"/>
      <c r="O842" s="488"/>
      <c r="P842" s="489"/>
      <c r="Q842" s="490">
        <f t="shared" si="1935"/>
        <v>0</v>
      </c>
      <c r="R842" s="491">
        <f t="shared" si="1936"/>
        <v>0</v>
      </c>
      <c r="S842" s="490"/>
      <c r="T842" s="490">
        <f t="shared" si="1923"/>
        <v>0</v>
      </c>
      <c r="U842" s="490"/>
      <c r="V842" s="490">
        <f t="shared" si="1924"/>
        <v>0</v>
      </c>
      <c r="W842" s="490"/>
      <c r="X842" s="490">
        <f t="shared" si="1925"/>
        <v>0</v>
      </c>
      <c r="Y842" s="490">
        <f t="shared" si="1937"/>
        <v>0</v>
      </c>
      <c r="Z842" s="490">
        <f t="shared" si="1938"/>
        <v>0</v>
      </c>
      <c r="AA842" s="490"/>
      <c r="AB842" s="490">
        <f t="shared" si="1926"/>
        <v>0</v>
      </c>
      <c r="AC842" s="490"/>
      <c r="AD842" s="490">
        <f t="shared" si="1927"/>
        <v>0</v>
      </c>
      <c r="AE842" s="490"/>
      <c r="AF842" s="490">
        <f t="shared" si="1928"/>
        <v>0</v>
      </c>
      <c r="AG842" s="490">
        <f t="shared" si="1939"/>
        <v>0</v>
      </c>
      <c r="AH842" s="490">
        <f t="shared" si="1940"/>
        <v>0</v>
      </c>
      <c r="AI842" s="490">
        <f t="shared" si="1941"/>
        <v>0</v>
      </c>
      <c r="AJ842" s="490">
        <f t="shared" si="1942"/>
        <v>0</v>
      </c>
      <c r="AK842" s="490"/>
      <c r="AL842" s="490">
        <f t="shared" si="1929"/>
        <v>0</v>
      </c>
      <c r="AM842" s="490"/>
      <c r="AN842" s="490">
        <f t="shared" si="1930"/>
        <v>0</v>
      </c>
      <c r="AO842" s="490"/>
      <c r="AP842" s="490">
        <f t="shared" si="1931"/>
        <v>0</v>
      </c>
      <c r="AQ842" s="490">
        <f t="shared" si="1943"/>
        <v>0</v>
      </c>
      <c r="AR842" s="490">
        <f t="shared" si="1944"/>
        <v>0</v>
      </c>
      <c r="AS842" s="490"/>
      <c r="AT842" s="490">
        <f t="shared" si="1932"/>
        <v>0</v>
      </c>
      <c r="AU842" s="490"/>
      <c r="AV842" s="490">
        <f t="shared" si="1933"/>
        <v>0</v>
      </c>
      <c r="AW842" s="490"/>
      <c r="AX842" s="490">
        <f t="shared" si="1934"/>
        <v>0</v>
      </c>
      <c r="AY842" s="490">
        <f t="shared" si="1945"/>
        <v>0</v>
      </c>
      <c r="AZ842" s="490">
        <f t="shared" si="1946"/>
        <v>0</v>
      </c>
      <c r="BA842" s="490">
        <f t="shared" si="1947"/>
        <v>0</v>
      </c>
      <c r="BB842" s="490">
        <f t="shared" si="1948"/>
        <v>0</v>
      </c>
    </row>
    <row r="843" spans="1:54">
      <c r="B843" s="13"/>
      <c r="C843" s="13"/>
      <c r="D843" s="13"/>
      <c r="E843" s="485" t="s">
        <v>2394</v>
      </c>
      <c r="F843" s="486"/>
      <c r="G843" s="486" t="s">
        <v>1055</v>
      </c>
      <c r="H843" s="487" t="s">
        <v>358</v>
      </c>
      <c r="I843" s="488"/>
      <c r="J843" s="489">
        <v>6726</v>
      </c>
      <c r="K843" s="488"/>
      <c r="L843" s="489">
        <v>6726</v>
      </c>
      <c r="M843" s="488"/>
      <c r="N843" s="489"/>
      <c r="O843" s="488"/>
      <c r="P843" s="489"/>
      <c r="Q843" s="490">
        <f>SUM(AI843+BA843)</f>
        <v>0</v>
      </c>
      <c r="R843" s="491">
        <f t="shared" ref="R843" si="1949">SUM(AJ843+BB843)</f>
        <v>0</v>
      </c>
      <c r="S843" s="490"/>
      <c r="T843" s="490">
        <f t="shared" ref="T843" si="1950">J843*S843/1000</f>
        <v>0</v>
      </c>
      <c r="U843" s="490"/>
      <c r="V843" s="490">
        <f t="shared" ref="V843" si="1951">J843*U843/1000</f>
        <v>0</v>
      </c>
      <c r="W843" s="490"/>
      <c r="X843" s="490">
        <f t="shared" ref="X843" si="1952">J843*W843/1000</f>
        <v>0</v>
      </c>
      <c r="Y843" s="490">
        <f>SUM(S843+U843+W843)</f>
        <v>0</v>
      </c>
      <c r="Z843" s="490">
        <f t="shared" ref="Z843" si="1953">SUM(T843+V843+X843)</f>
        <v>0</v>
      </c>
      <c r="AA843" s="490"/>
      <c r="AB843" s="490">
        <f t="shared" ref="AB843" si="1954">L843*AA843/1000</f>
        <v>0</v>
      </c>
      <c r="AC843" s="490"/>
      <c r="AD843" s="490">
        <f t="shared" ref="AD843" si="1955">L843*AC843/1000</f>
        <v>0</v>
      </c>
      <c r="AE843" s="490"/>
      <c r="AF843" s="490">
        <f t="shared" ref="AF843" si="1956">L843*AE843/1000</f>
        <v>0</v>
      </c>
      <c r="AG843" s="490">
        <f t="shared" ref="AG843" si="1957">SUM(AA843+AC843+AE843)</f>
        <v>0</v>
      </c>
      <c r="AH843" s="490">
        <f t="shared" ref="AH843" si="1958">SUM(AB843+AD843+AF843)</f>
        <v>0</v>
      </c>
      <c r="AI843" s="490">
        <f t="shared" ref="AI843" si="1959">SUM(Y843+AG843)</f>
        <v>0</v>
      </c>
      <c r="AJ843" s="490">
        <f t="shared" ref="AJ843" si="1960">SUM(Z843,AH843)</f>
        <v>0</v>
      </c>
      <c r="AK843" s="490"/>
      <c r="AL843" s="490">
        <f t="shared" ref="AL843" si="1961">N843*AK843/1000</f>
        <v>0</v>
      </c>
      <c r="AM843" s="490"/>
      <c r="AN843" s="490">
        <f t="shared" ref="AN843" si="1962">N843*AM843/1000</f>
        <v>0</v>
      </c>
      <c r="AO843" s="490"/>
      <c r="AP843" s="490">
        <f t="shared" ref="AP843" si="1963">N843*AO843/1000</f>
        <v>0</v>
      </c>
      <c r="AQ843" s="490">
        <f t="shared" ref="AQ843" si="1964">SUM(AK843+AM843+AO843)</f>
        <v>0</v>
      </c>
      <c r="AR843" s="490">
        <f t="shared" ref="AR843" si="1965">SUM(AL843+AN843+AP843)</f>
        <v>0</v>
      </c>
      <c r="AS843" s="490"/>
      <c r="AT843" s="490">
        <f t="shared" ref="AT843" si="1966">P843*AS843/1000</f>
        <v>0</v>
      </c>
      <c r="AU843" s="490"/>
      <c r="AV843" s="490">
        <f t="shared" ref="AV843" si="1967">P843*AU843/1000</f>
        <v>0</v>
      </c>
      <c r="AW843" s="490"/>
      <c r="AX843" s="490">
        <f t="shared" ref="AX843" si="1968">P843*AW843/1000</f>
        <v>0</v>
      </c>
      <c r="AY843" s="490">
        <f t="shared" ref="AY843" si="1969">SUM(AS843+AU843+AW843)</f>
        <v>0</v>
      </c>
      <c r="AZ843" s="490">
        <f t="shared" ref="AZ843" si="1970">SUM(AT843+AV843+AX843)</f>
        <v>0</v>
      </c>
      <c r="BA843" s="490">
        <f t="shared" ref="BA843" si="1971">SUM(AQ843+AY843)</f>
        <v>0</v>
      </c>
      <c r="BB843" s="490">
        <f t="shared" ref="BB843" si="1972">SUM(AR843,AZ843)</f>
        <v>0</v>
      </c>
    </row>
    <row r="844" spans="1:54">
      <c r="B844" s="13"/>
      <c r="C844" s="13"/>
      <c r="D844" s="13"/>
      <c r="E844" s="485" t="s">
        <v>1279</v>
      </c>
      <c r="F844" s="486"/>
      <c r="G844" s="486" t="s">
        <v>1055</v>
      </c>
      <c r="H844" s="487" t="s">
        <v>358</v>
      </c>
      <c r="I844" s="488"/>
      <c r="J844" s="489">
        <v>8420</v>
      </c>
      <c r="K844" s="488"/>
      <c r="L844" s="489">
        <v>8917</v>
      </c>
      <c r="M844" s="488"/>
      <c r="N844" s="489"/>
      <c r="O844" s="488"/>
      <c r="P844" s="489"/>
      <c r="Q844" s="490">
        <f t="shared" si="1935"/>
        <v>6.8000000000000005E-2</v>
      </c>
      <c r="R844" s="491">
        <f t="shared" si="1936"/>
        <v>0.57504500000000003</v>
      </c>
      <c r="S844" s="490">
        <v>2.4E-2</v>
      </c>
      <c r="T844" s="490">
        <f t="shared" si="1923"/>
        <v>0.20208000000000001</v>
      </c>
      <c r="U844" s="490">
        <v>2.4E-2</v>
      </c>
      <c r="V844" s="490">
        <f t="shared" si="1924"/>
        <v>0.20208000000000001</v>
      </c>
      <c r="W844" s="490">
        <v>1.4999999999999999E-2</v>
      </c>
      <c r="X844" s="490">
        <f t="shared" si="1925"/>
        <v>0.1263</v>
      </c>
      <c r="Y844" s="490">
        <f t="shared" si="1937"/>
        <v>6.3E-2</v>
      </c>
      <c r="Z844" s="490">
        <f t="shared" si="1938"/>
        <v>0.53046000000000004</v>
      </c>
      <c r="AA844" s="490">
        <v>5.0000000000000001E-3</v>
      </c>
      <c r="AB844" s="490">
        <f t="shared" si="1926"/>
        <v>4.4585E-2</v>
      </c>
      <c r="AC844" s="490"/>
      <c r="AD844" s="490">
        <f t="shared" si="1927"/>
        <v>0</v>
      </c>
      <c r="AE844" s="490"/>
      <c r="AF844" s="490">
        <f t="shared" si="1928"/>
        <v>0</v>
      </c>
      <c r="AG844" s="490">
        <f t="shared" si="1939"/>
        <v>5.0000000000000001E-3</v>
      </c>
      <c r="AH844" s="490">
        <f t="shared" si="1940"/>
        <v>4.4585E-2</v>
      </c>
      <c r="AI844" s="490">
        <f t="shared" si="1941"/>
        <v>6.8000000000000005E-2</v>
      </c>
      <c r="AJ844" s="490">
        <f t="shared" si="1942"/>
        <v>0.57504500000000003</v>
      </c>
      <c r="AK844" s="490"/>
      <c r="AL844" s="490">
        <f t="shared" si="1929"/>
        <v>0</v>
      </c>
      <c r="AM844" s="490"/>
      <c r="AN844" s="490">
        <f t="shared" si="1930"/>
        <v>0</v>
      </c>
      <c r="AO844" s="490"/>
      <c r="AP844" s="490">
        <f t="shared" si="1931"/>
        <v>0</v>
      </c>
      <c r="AQ844" s="490">
        <f t="shared" si="1943"/>
        <v>0</v>
      </c>
      <c r="AR844" s="490">
        <f t="shared" si="1944"/>
        <v>0</v>
      </c>
      <c r="AS844" s="490"/>
      <c r="AT844" s="490">
        <f t="shared" si="1932"/>
        <v>0</v>
      </c>
      <c r="AU844" s="490"/>
      <c r="AV844" s="490">
        <f t="shared" si="1933"/>
        <v>0</v>
      </c>
      <c r="AW844" s="490"/>
      <c r="AX844" s="490">
        <f t="shared" si="1934"/>
        <v>0</v>
      </c>
      <c r="AY844" s="490">
        <f t="shared" si="1945"/>
        <v>0</v>
      </c>
      <c r="AZ844" s="490">
        <f t="shared" si="1946"/>
        <v>0</v>
      </c>
      <c r="BA844" s="490">
        <f t="shared" si="1947"/>
        <v>0</v>
      </c>
      <c r="BB844" s="490">
        <f t="shared" si="1948"/>
        <v>0</v>
      </c>
    </row>
    <row r="845" spans="1:54">
      <c r="B845" s="13"/>
      <c r="C845" s="13"/>
      <c r="D845" s="13"/>
      <c r="E845" s="485" t="s">
        <v>2325</v>
      </c>
      <c r="F845" s="486"/>
      <c r="G845" s="486" t="s">
        <v>1055</v>
      </c>
      <c r="H845" s="487" t="s">
        <v>358</v>
      </c>
      <c r="I845" s="488"/>
      <c r="J845" s="489">
        <v>5543</v>
      </c>
      <c r="K845" s="488"/>
      <c r="L845" s="489">
        <v>5870</v>
      </c>
      <c r="M845" s="488"/>
      <c r="N845" s="489"/>
      <c r="O845" s="488"/>
      <c r="P845" s="489"/>
      <c r="Q845" s="490">
        <f>SUM(AI845+BA845)</f>
        <v>66.774000000000001</v>
      </c>
      <c r="R845" s="491">
        <f t="shared" ref="R845:R846" si="1973">SUM(AJ845+BB845)</f>
        <v>378.35691000000003</v>
      </c>
      <c r="S845" s="490">
        <v>13.16</v>
      </c>
      <c r="T845" s="490">
        <f t="shared" ref="T845:T846" si="1974">J845*S845/1000</f>
        <v>72.945880000000002</v>
      </c>
      <c r="U845" s="490">
        <v>12.888</v>
      </c>
      <c r="V845" s="490">
        <f t="shared" ref="V845:V846" si="1975">J845*U845/1000</f>
        <v>71.438183999999993</v>
      </c>
      <c r="W845" s="490">
        <v>15.561999999999999</v>
      </c>
      <c r="X845" s="490">
        <f t="shared" ref="X845:X846" si="1976">J845*W845/1000</f>
        <v>86.260165999999998</v>
      </c>
      <c r="Y845" s="490">
        <f>SUM(S845+U845+W845)</f>
        <v>41.61</v>
      </c>
      <c r="Z845" s="490">
        <f t="shared" ref="Z845:Z846" si="1977">SUM(T845+V845+X845)</f>
        <v>230.64422999999999</v>
      </c>
      <c r="AA845" s="490">
        <v>25.164000000000001</v>
      </c>
      <c r="AB845" s="490">
        <f t="shared" ref="AB845:AB846" si="1978">L845*AA845/1000</f>
        <v>147.71268000000003</v>
      </c>
      <c r="AC845" s="490"/>
      <c r="AD845" s="490">
        <f t="shared" ref="AD845:AD846" si="1979">L845*AC845/1000</f>
        <v>0</v>
      </c>
      <c r="AE845" s="490"/>
      <c r="AF845" s="490">
        <f t="shared" ref="AF845:AF846" si="1980">L845*AE845/1000</f>
        <v>0</v>
      </c>
      <c r="AG845" s="490">
        <f t="shared" ref="AG845:AG846" si="1981">SUM(AA845+AC845+AE845)</f>
        <v>25.164000000000001</v>
      </c>
      <c r="AH845" s="490">
        <f t="shared" ref="AH845:AH846" si="1982">SUM(AB845+AD845+AF845)</f>
        <v>147.71268000000003</v>
      </c>
      <c r="AI845" s="490">
        <f t="shared" ref="AI845:AI846" si="1983">SUM(Y845+AG845)</f>
        <v>66.774000000000001</v>
      </c>
      <c r="AJ845" s="490">
        <f t="shared" ref="AJ845:AJ846" si="1984">SUM(Z845,AH845)</f>
        <v>378.35691000000003</v>
      </c>
      <c r="AK845" s="490"/>
      <c r="AL845" s="490">
        <f t="shared" ref="AL845:AL846" si="1985">N845*AK845/1000</f>
        <v>0</v>
      </c>
      <c r="AM845" s="490"/>
      <c r="AN845" s="490">
        <f t="shared" ref="AN845:AN846" si="1986">N845*AM845/1000</f>
        <v>0</v>
      </c>
      <c r="AO845" s="490"/>
      <c r="AP845" s="490">
        <f t="shared" ref="AP845:AP846" si="1987">N845*AO845/1000</f>
        <v>0</v>
      </c>
      <c r="AQ845" s="490">
        <f t="shared" ref="AQ845:AQ846" si="1988">SUM(AK845+AM845+AO845)</f>
        <v>0</v>
      </c>
      <c r="AR845" s="490">
        <f t="shared" ref="AR845:AR846" si="1989">SUM(AL845+AN845+AP845)</f>
        <v>0</v>
      </c>
      <c r="AS845" s="490"/>
      <c r="AT845" s="490">
        <f t="shared" ref="AT845:AT846" si="1990">P845*AS845/1000</f>
        <v>0</v>
      </c>
      <c r="AU845" s="490"/>
      <c r="AV845" s="490">
        <f t="shared" ref="AV845:AV846" si="1991">P845*AU845/1000</f>
        <v>0</v>
      </c>
      <c r="AW845" s="490"/>
      <c r="AX845" s="490">
        <f t="shared" ref="AX845:AX846" si="1992">P845*AW845/1000</f>
        <v>0</v>
      </c>
      <c r="AY845" s="490">
        <f t="shared" ref="AY845:AY846" si="1993">SUM(AS845+AU845+AW845)</f>
        <v>0</v>
      </c>
      <c r="AZ845" s="490">
        <f t="shared" ref="AZ845:AZ846" si="1994">SUM(AT845+AV845+AX845)</f>
        <v>0</v>
      </c>
      <c r="BA845" s="490">
        <f t="shared" ref="BA845:BA846" si="1995">SUM(AQ845+AY845)</f>
        <v>0</v>
      </c>
      <c r="BB845" s="490">
        <f t="shared" ref="BB845:BB846" si="1996">SUM(AR845,AZ845)</f>
        <v>0</v>
      </c>
    </row>
    <row r="846" spans="1:54">
      <c r="A846" s="492">
        <v>521</v>
      </c>
      <c r="B846" s="13"/>
      <c r="C846" s="13"/>
      <c r="D846" s="13"/>
      <c r="E846" s="485" t="s">
        <v>2564</v>
      </c>
      <c r="F846" s="486"/>
      <c r="G846" s="486" t="s">
        <v>1059</v>
      </c>
      <c r="H846" s="487" t="s">
        <v>359</v>
      </c>
      <c r="I846" s="488"/>
      <c r="J846" s="489">
        <v>5674</v>
      </c>
      <c r="K846" s="488"/>
      <c r="L846" s="489">
        <v>5870</v>
      </c>
      <c r="M846" s="488"/>
      <c r="N846" s="489"/>
      <c r="O846" s="488"/>
      <c r="P846" s="489"/>
      <c r="Q846" s="490">
        <f t="shared" ref="Q846" si="1997">SUM(AI846+BA846)</f>
        <v>0.129</v>
      </c>
      <c r="R846" s="491">
        <f t="shared" si="1973"/>
        <v>0.73194599999999999</v>
      </c>
      <c r="S846" s="490"/>
      <c r="T846" s="490">
        <f t="shared" si="1974"/>
        <v>0</v>
      </c>
      <c r="U846" s="490"/>
      <c r="V846" s="490">
        <f t="shared" si="1975"/>
        <v>0</v>
      </c>
      <c r="W846" s="490">
        <v>0.129</v>
      </c>
      <c r="X846" s="490">
        <f t="shared" si="1976"/>
        <v>0.73194599999999999</v>
      </c>
      <c r="Y846" s="490">
        <f t="shared" ref="Y846" si="1998">SUM(S846+U846+W846)</f>
        <v>0.129</v>
      </c>
      <c r="Z846" s="490">
        <f t="shared" si="1977"/>
        <v>0.73194599999999999</v>
      </c>
      <c r="AA846" s="490"/>
      <c r="AB846" s="490">
        <f t="shared" si="1978"/>
        <v>0</v>
      </c>
      <c r="AC846" s="490"/>
      <c r="AD846" s="490">
        <f t="shared" si="1979"/>
        <v>0</v>
      </c>
      <c r="AE846" s="490"/>
      <c r="AF846" s="490">
        <f t="shared" si="1980"/>
        <v>0</v>
      </c>
      <c r="AG846" s="490">
        <f t="shared" si="1981"/>
        <v>0</v>
      </c>
      <c r="AH846" s="490">
        <f t="shared" si="1982"/>
        <v>0</v>
      </c>
      <c r="AI846" s="490">
        <f t="shared" si="1983"/>
        <v>0.129</v>
      </c>
      <c r="AJ846" s="490">
        <f t="shared" si="1984"/>
        <v>0.73194599999999999</v>
      </c>
      <c r="AK846" s="490"/>
      <c r="AL846" s="490">
        <f t="shared" si="1985"/>
        <v>0</v>
      </c>
      <c r="AM846" s="490"/>
      <c r="AN846" s="490">
        <f t="shared" si="1986"/>
        <v>0</v>
      </c>
      <c r="AO846" s="490"/>
      <c r="AP846" s="490">
        <f t="shared" si="1987"/>
        <v>0</v>
      </c>
      <c r="AQ846" s="490">
        <f t="shared" si="1988"/>
        <v>0</v>
      </c>
      <c r="AR846" s="490">
        <f t="shared" si="1989"/>
        <v>0</v>
      </c>
      <c r="AS846" s="490"/>
      <c r="AT846" s="490">
        <f t="shared" si="1990"/>
        <v>0</v>
      </c>
      <c r="AU846" s="490"/>
      <c r="AV846" s="490">
        <f t="shared" si="1991"/>
        <v>0</v>
      </c>
      <c r="AW846" s="490"/>
      <c r="AX846" s="490">
        <f t="shared" si="1992"/>
        <v>0</v>
      </c>
      <c r="AY846" s="490">
        <f t="shared" si="1993"/>
        <v>0</v>
      </c>
      <c r="AZ846" s="490">
        <f t="shared" si="1994"/>
        <v>0</v>
      </c>
      <c r="BA846" s="490">
        <f t="shared" si="1995"/>
        <v>0</v>
      </c>
      <c r="BB846" s="490">
        <f t="shared" si="1996"/>
        <v>0</v>
      </c>
    </row>
    <row r="847" spans="1:54">
      <c r="A847" s="492">
        <v>521</v>
      </c>
      <c r="B847" s="13"/>
      <c r="C847" s="13"/>
      <c r="D847" s="13"/>
      <c r="E847" s="13" t="s">
        <v>1139</v>
      </c>
      <c r="F847" s="23"/>
      <c r="G847" s="23" t="s">
        <v>1059</v>
      </c>
      <c r="H847" s="266" t="s">
        <v>359</v>
      </c>
      <c r="I847" s="73"/>
      <c r="J847" s="170">
        <v>14342</v>
      </c>
      <c r="K847" s="73"/>
      <c r="L847" s="170">
        <v>15188</v>
      </c>
      <c r="M847" s="73"/>
      <c r="N847" s="170"/>
      <c r="O847" s="73"/>
      <c r="P847" s="170"/>
      <c r="Q847" s="118">
        <f t="shared" si="1935"/>
        <v>0</v>
      </c>
      <c r="R847" s="344">
        <f t="shared" si="1936"/>
        <v>0</v>
      </c>
      <c r="S847" s="118"/>
      <c r="T847" s="118">
        <f t="shared" si="1923"/>
        <v>0</v>
      </c>
      <c r="U847" s="118"/>
      <c r="V847" s="118">
        <f t="shared" si="1924"/>
        <v>0</v>
      </c>
      <c r="W847" s="118"/>
      <c r="X847" s="118">
        <f t="shared" si="1925"/>
        <v>0</v>
      </c>
      <c r="Y847" s="118">
        <f t="shared" si="1937"/>
        <v>0</v>
      </c>
      <c r="Z847" s="118">
        <f t="shared" si="1938"/>
        <v>0</v>
      </c>
      <c r="AA847" s="118"/>
      <c r="AB847" s="118">
        <f t="shared" si="1926"/>
        <v>0</v>
      </c>
      <c r="AC847" s="118"/>
      <c r="AD847" s="118">
        <f t="shared" si="1927"/>
        <v>0</v>
      </c>
      <c r="AE847" s="118"/>
      <c r="AF847" s="118">
        <f t="shared" si="1928"/>
        <v>0</v>
      </c>
      <c r="AG847" s="118">
        <f t="shared" si="1939"/>
        <v>0</v>
      </c>
      <c r="AH847" s="118">
        <f t="shared" si="1940"/>
        <v>0</v>
      </c>
      <c r="AI847" s="118">
        <f t="shared" si="1941"/>
        <v>0</v>
      </c>
      <c r="AJ847" s="118">
        <f t="shared" si="1942"/>
        <v>0</v>
      </c>
      <c r="AK847" s="118"/>
      <c r="AL847" s="118">
        <f t="shared" si="1929"/>
        <v>0</v>
      </c>
      <c r="AM847" s="118"/>
      <c r="AN847" s="118">
        <f t="shared" si="1930"/>
        <v>0</v>
      </c>
      <c r="AO847" s="118"/>
      <c r="AP847" s="118">
        <f t="shared" si="1931"/>
        <v>0</v>
      </c>
      <c r="AQ847" s="118">
        <f t="shared" si="1943"/>
        <v>0</v>
      </c>
      <c r="AR847" s="118">
        <f t="shared" si="1944"/>
        <v>0</v>
      </c>
      <c r="AS847" s="118"/>
      <c r="AT847" s="118">
        <f t="shared" si="1932"/>
        <v>0</v>
      </c>
      <c r="AU847" s="118"/>
      <c r="AV847" s="118">
        <f t="shared" si="1933"/>
        <v>0</v>
      </c>
      <c r="AW847" s="118"/>
      <c r="AX847" s="118">
        <f t="shared" si="1934"/>
        <v>0</v>
      </c>
      <c r="AY847" s="118">
        <f t="shared" si="1945"/>
        <v>0</v>
      </c>
      <c r="AZ847" s="118">
        <f t="shared" si="1946"/>
        <v>0</v>
      </c>
      <c r="BA847" s="118">
        <f t="shared" si="1947"/>
        <v>0</v>
      </c>
      <c r="BB847" s="118">
        <f t="shared" si="1948"/>
        <v>0</v>
      </c>
    </row>
    <row r="848" spans="1:54">
      <c r="A848" s="492">
        <v>522</v>
      </c>
      <c r="B848" s="13"/>
      <c r="C848" s="13"/>
      <c r="D848" s="13"/>
      <c r="E848" s="485" t="s">
        <v>1099</v>
      </c>
      <c r="F848" s="486"/>
      <c r="G848" s="419" t="s">
        <v>1059</v>
      </c>
      <c r="H848" s="487" t="s">
        <v>359</v>
      </c>
      <c r="I848" s="488"/>
      <c r="J848" s="489">
        <v>15573</v>
      </c>
      <c r="K848" s="488"/>
      <c r="L848" s="489">
        <v>16446</v>
      </c>
      <c r="M848" s="488"/>
      <c r="N848" s="489"/>
      <c r="O848" s="488"/>
      <c r="P848" s="489"/>
      <c r="Q848" s="490">
        <f t="shared" si="1935"/>
        <v>6.5819999999999999</v>
      </c>
      <c r="R848" s="491">
        <f t="shared" si="1936"/>
        <v>103.82408099999999</v>
      </c>
      <c r="S848" s="490">
        <v>5.3999999999999999E-2</v>
      </c>
      <c r="T848" s="490">
        <f t="shared" si="1923"/>
        <v>0.84094199999999997</v>
      </c>
      <c r="U848" s="490">
        <v>2.67</v>
      </c>
      <c r="V848" s="490">
        <f t="shared" si="1924"/>
        <v>41.579909999999998</v>
      </c>
      <c r="W848" s="490">
        <v>2.343</v>
      </c>
      <c r="X848" s="490">
        <f t="shared" si="1925"/>
        <v>36.487538999999998</v>
      </c>
      <c r="Y848" s="490">
        <f t="shared" si="1937"/>
        <v>5.0670000000000002</v>
      </c>
      <c r="Z848" s="490">
        <f t="shared" si="1938"/>
        <v>78.908390999999995</v>
      </c>
      <c r="AA848" s="490">
        <v>1.5149999999999999</v>
      </c>
      <c r="AB848" s="490">
        <f t="shared" si="1926"/>
        <v>24.915689999999998</v>
      </c>
      <c r="AC848" s="490"/>
      <c r="AD848" s="490">
        <f t="shared" si="1927"/>
        <v>0</v>
      </c>
      <c r="AE848" s="490"/>
      <c r="AF848" s="490">
        <f t="shared" si="1928"/>
        <v>0</v>
      </c>
      <c r="AG848" s="490">
        <f t="shared" si="1939"/>
        <v>1.5149999999999999</v>
      </c>
      <c r="AH848" s="490">
        <f t="shared" si="1940"/>
        <v>24.915689999999998</v>
      </c>
      <c r="AI848" s="490">
        <f t="shared" si="1941"/>
        <v>6.5819999999999999</v>
      </c>
      <c r="AJ848" s="490">
        <f t="shared" si="1942"/>
        <v>103.82408099999999</v>
      </c>
      <c r="AK848" s="490"/>
      <c r="AL848" s="490">
        <f t="shared" si="1929"/>
        <v>0</v>
      </c>
      <c r="AM848" s="490"/>
      <c r="AN848" s="490">
        <f t="shared" si="1930"/>
        <v>0</v>
      </c>
      <c r="AO848" s="490"/>
      <c r="AP848" s="490">
        <f t="shared" si="1931"/>
        <v>0</v>
      </c>
      <c r="AQ848" s="490">
        <f t="shared" si="1943"/>
        <v>0</v>
      </c>
      <c r="AR848" s="490">
        <f t="shared" si="1944"/>
        <v>0</v>
      </c>
      <c r="AS848" s="490"/>
      <c r="AT848" s="490">
        <f t="shared" si="1932"/>
        <v>0</v>
      </c>
      <c r="AU848" s="490"/>
      <c r="AV848" s="490">
        <f t="shared" si="1933"/>
        <v>0</v>
      </c>
      <c r="AW848" s="490"/>
      <c r="AX848" s="490">
        <f t="shared" si="1934"/>
        <v>0</v>
      </c>
      <c r="AY848" s="490">
        <f t="shared" si="1945"/>
        <v>0</v>
      </c>
      <c r="AZ848" s="490">
        <f t="shared" si="1946"/>
        <v>0</v>
      </c>
      <c r="BA848" s="490">
        <f t="shared" si="1947"/>
        <v>0</v>
      </c>
      <c r="BB848" s="490">
        <f t="shared" si="1948"/>
        <v>0</v>
      </c>
    </row>
    <row r="849" spans="1:54">
      <c r="A849" s="492">
        <v>523</v>
      </c>
      <c r="B849" s="13"/>
      <c r="C849" s="13"/>
      <c r="D849" s="13"/>
      <c r="E849" s="485" t="s">
        <v>1100</v>
      </c>
      <c r="F849" s="486"/>
      <c r="G849" s="419" t="s">
        <v>1059</v>
      </c>
      <c r="H849" s="487" t="s">
        <v>359</v>
      </c>
      <c r="I849" s="488"/>
      <c r="J849" s="489">
        <v>9290</v>
      </c>
      <c r="K849" s="488"/>
      <c r="L849" s="489">
        <v>9838</v>
      </c>
      <c r="M849" s="488"/>
      <c r="N849" s="489"/>
      <c r="O849" s="488"/>
      <c r="P849" s="489"/>
      <c r="Q849" s="490">
        <f t="shared" si="1935"/>
        <v>5.0820000000000007</v>
      </c>
      <c r="R849" s="491">
        <f t="shared" si="1936"/>
        <v>47.987200000000001</v>
      </c>
      <c r="S849" s="490">
        <v>5.3999999999999999E-2</v>
      </c>
      <c r="T849" s="490">
        <f t="shared" si="1923"/>
        <v>0.50165999999999999</v>
      </c>
      <c r="U849" s="490">
        <v>1.87</v>
      </c>
      <c r="V849" s="490">
        <f t="shared" si="1924"/>
        <v>17.372299999999999</v>
      </c>
      <c r="W849" s="490">
        <v>1.7430000000000001</v>
      </c>
      <c r="X849" s="490">
        <f t="shared" si="1925"/>
        <v>16.19247</v>
      </c>
      <c r="Y849" s="490">
        <f t="shared" si="1937"/>
        <v>3.6670000000000003</v>
      </c>
      <c r="Z849" s="490">
        <f t="shared" si="1938"/>
        <v>34.066429999999997</v>
      </c>
      <c r="AA849" s="490">
        <v>1.415</v>
      </c>
      <c r="AB849" s="490">
        <f t="shared" si="1926"/>
        <v>13.920770000000001</v>
      </c>
      <c r="AC849" s="490"/>
      <c r="AD849" s="490">
        <f t="shared" si="1927"/>
        <v>0</v>
      </c>
      <c r="AE849" s="490"/>
      <c r="AF849" s="490">
        <f t="shared" si="1928"/>
        <v>0</v>
      </c>
      <c r="AG849" s="490">
        <f t="shared" si="1939"/>
        <v>1.415</v>
      </c>
      <c r="AH849" s="490">
        <f t="shared" si="1940"/>
        <v>13.920770000000001</v>
      </c>
      <c r="AI849" s="490">
        <f t="shared" si="1941"/>
        <v>5.0820000000000007</v>
      </c>
      <c r="AJ849" s="490">
        <f t="shared" si="1942"/>
        <v>47.987200000000001</v>
      </c>
      <c r="AK849" s="490"/>
      <c r="AL849" s="490">
        <f t="shared" si="1929"/>
        <v>0</v>
      </c>
      <c r="AM849" s="490"/>
      <c r="AN849" s="490">
        <f t="shared" si="1930"/>
        <v>0</v>
      </c>
      <c r="AO849" s="490"/>
      <c r="AP849" s="490">
        <f t="shared" si="1931"/>
        <v>0</v>
      </c>
      <c r="AQ849" s="490">
        <f t="shared" si="1943"/>
        <v>0</v>
      </c>
      <c r="AR849" s="490">
        <f t="shared" si="1944"/>
        <v>0</v>
      </c>
      <c r="AS849" s="490"/>
      <c r="AT849" s="490">
        <f t="shared" si="1932"/>
        <v>0</v>
      </c>
      <c r="AU849" s="490"/>
      <c r="AV849" s="490">
        <f t="shared" si="1933"/>
        <v>0</v>
      </c>
      <c r="AW849" s="490"/>
      <c r="AX849" s="490">
        <f t="shared" si="1934"/>
        <v>0</v>
      </c>
      <c r="AY849" s="490">
        <f t="shared" si="1945"/>
        <v>0</v>
      </c>
      <c r="AZ849" s="490">
        <f t="shared" si="1946"/>
        <v>0</v>
      </c>
      <c r="BA849" s="490">
        <f t="shared" si="1947"/>
        <v>0</v>
      </c>
      <c r="BB849" s="490">
        <f t="shared" si="1948"/>
        <v>0</v>
      </c>
    </row>
    <row r="850" spans="1:54">
      <c r="B850" s="13"/>
      <c r="C850" s="13"/>
      <c r="D850" s="13"/>
      <c r="E850" s="485" t="s">
        <v>2435</v>
      </c>
      <c r="F850" s="486"/>
      <c r="G850" s="486" t="s">
        <v>1055</v>
      </c>
      <c r="H850" s="487" t="s">
        <v>358</v>
      </c>
      <c r="I850" s="488"/>
      <c r="J850" s="489">
        <v>4613</v>
      </c>
      <c r="K850" s="488"/>
      <c r="L850" s="489">
        <v>4885</v>
      </c>
      <c r="M850" s="488"/>
      <c r="N850" s="489"/>
      <c r="O850" s="488"/>
      <c r="P850" s="489"/>
      <c r="Q850" s="490">
        <f>SUM(AI850+BA850)</f>
        <v>0.40500000000000003</v>
      </c>
      <c r="R850" s="491">
        <f t="shared" ref="R850" si="1999">SUM(AJ850+BB850)</f>
        <v>1.8682650000000001</v>
      </c>
      <c r="S850" s="490">
        <v>0.126</v>
      </c>
      <c r="T850" s="490">
        <f t="shared" ref="T850" si="2000">J850*S850/1000</f>
        <v>0.58123800000000003</v>
      </c>
      <c r="U850" s="490"/>
      <c r="V850" s="490">
        <f t="shared" ref="V850" si="2001">J850*U850/1000</f>
        <v>0</v>
      </c>
      <c r="W850" s="490">
        <v>0.27900000000000003</v>
      </c>
      <c r="X850" s="490">
        <f t="shared" ref="X850" si="2002">J850*W850/1000</f>
        <v>1.2870270000000001</v>
      </c>
      <c r="Y850" s="490">
        <f>SUM(S850+U850+W850)</f>
        <v>0.40500000000000003</v>
      </c>
      <c r="Z850" s="490">
        <f t="shared" ref="Z850" si="2003">SUM(T850+V850+X850)</f>
        <v>1.8682650000000001</v>
      </c>
      <c r="AA850" s="490"/>
      <c r="AB850" s="490">
        <f t="shared" ref="AB850" si="2004">L850*AA850/1000</f>
        <v>0</v>
      </c>
      <c r="AC850" s="490"/>
      <c r="AD850" s="490">
        <f t="shared" ref="AD850" si="2005">L850*AC850/1000</f>
        <v>0</v>
      </c>
      <c r="AE850" s="490"/>
      <c r="AF850" s="490">
        <f t="shared" ref="AF850" si="2006">L850*AE850/1000</f>
        <v>0</v>
      </c>
      <c r="AG850" s="490">
        <f t="shared" ref="AG850" si="2007">SUM(AA850+AC850+AE850)</f>
        <v>0</v>
      </c>
      <c r="AH850" s="490">
        <f t="shared" ref="AH850" si="2008">SUM(AB850+AD850+AF850)</f>
        <v>0</v>
      </c>
      <c r="AI850" s="490">
        <f t="shared" ref="AI850" si="2009">SUM(Y850+AG850)</f>
        <v>0.40500000000000003</v>
      </c>
      <c r="AJ850" s="490">
        <f t="shared" ref="AJ850" si="2010">SUM(Z850,AH850)</f>
        <v>1.8682650000000001</v>
      </c>
      <c r="AK850" s="490"/>
      <c r="AL850" s="490">
        <f t="shared" ref="AL850" si="2011">N850*AK850/1000</f>
        <v>0</v>
      </c>
      <c r="AM850" s="490"/>
      <c r="AN850" s="490">
        <f t="shared" ref="AN850" si="2012">N850*AM850/1000</f>
        <v>0</v>
      </c>
      <c r="AO850" s="490"/>
      <c r="AP850" s="490">
        <f t="shared" ref="AP850" si="2013">N850*AO850/1000</f>
        <v>0</v>
      </c>
      <c r="AQ850" s="490">
        <f t="shared" ref="AQ850" si="2014">SUM(AK850+AM850+AO850)</f>
        <v>0</v>
      </c>
      <c r="AR850" s="490">
        <f t="shared" ref="AR850" si="2015">SUM(AL850+AN850+AP850)</f>
        <v>0</v>
      </c>
      <c r="AS850" s="490"/>
      <c r="AT850" s="490">
        <f t="shared" ref="AT850" si="2016">P850*AS850/1000</f>
        <v>0</v>
      </c>
      <c r="AU850" s="490"/>
      <c r="AV850" s="490">
        <f t="shared" ref="AV850" si="2017">P850*AU850/1000</f>
        <v>0</v>
      </c>
      <c r="AW850" s="490"/>
      <c r="AX850" s="490">
        <f t="shared" ref="AX850" si="2018">P850*AW850/1000</f>
        <v>0</v>
      </c>
      <c r="AY850" s="490">
        <f t="shared" ref="AY850" si="2019">SUM(AS850+AU850+AW850)</f>
        <v>0</v>
      </c>
      <c r="AZ850" s="490">
        <f t="shared" ref="AZ850" si="2020">SUM(AT850+AV850+AX850)</f>
        <v>0</v>
      </c>
      <c r="BA850" s="490">
        <f t="shared" ref="BA850" si="2021">SUM(AQ850+AY850)</f>
        <v>0</v>
      </c>
      <c r="BB850" s="490">
        <f t="shared" ref="BB850" si="2022">SUM(AR850,AZ850)</f>
        <v>0</v>
      </c>
    </row>
    <row r="851" spans="1:54">
      <c r="A851" s="492">
        <v>524</v>
      </c>
      <c r="B851" s="13"/>
      <c r="C851" s="13"/>
      <c r="D851" s="13"/>
      <c r="E851" s="89" t="s">
        <v>597</v>
      </c>
      <c r="F851" s="424"/>
      <c r="G851" s="424" t="s">
        <v>1059</v>
      </c>
      <c r="H851" s="284" t="s">
        <v>359</v>
      </c>
      <c r="I851" s="75"/>
      <c r="J851" s="167">
        <v>11131</v>
      </c>
      <c r="K851" s="75"/>
      <c r="L851" s="167">
        <v>11131</v>
      </c>
      <c r="M851" s="75"/>
      <c r="N851" s="167"/>
      <c r="O851" s="75"/>
      <c r="P851" s="167"/>
      <c r="Q851" s="130">
        <f t="shared" si="1935"/>
        <v>0</v>
      </c>
      <c r="R851" s="347">
        <f t="shared" si="1936"/>
        <v>0</v>
      </c>
      <c r="S851" s="130"/>
      <c r="T851" s="130">
        <f t="shared" si="1923"/>
        <v>0</v>
      </c>
      <c r="U851" s="130"/>
      <c r="V851" s="130">
        <f t="shared" si="1924"/>
        <v>0</v>
      </c>
      <c r="W851" s="130"/>
      <c r="X851" s="130">
        <f t="shared" si="1925"/>
        <v>0</v>
      </c>
      <c r="Y851" s="130">
        <f t="shared" si="1937"/>
        <v>0</v>
      </c>
      <c r="Z851" s="130">
        <f t="shared" si="1938"/>
        <v>0</v>
      </c>
      <c r="AA851" s="130"/>
      <c r="AB851" s="130">
        <f t="shared" si="1926"/>
        <v>0</v>
      </c>
      <c r="AC851" s="130"/>
      <c r="AD851" s="130">
        <f t="shared" si="1927"/>
        <v>0</v>
      </c>
      <c r="AE851" s="130"/>
      <c r="AF851" s="130">
        <f t="shared" si="1928"/>
        <v>0</v>
      </c>
      <c r="AG851" s="130">
        <f t="shared" si="1939"/>
        <v>0</v>
      </c>
      <c r="AH851" s="130">
        <f t="shared" si="1940"/>
        <v>0</v>
      </c>
      <c r="AI851" s="130">
        <f t="shared" si="1941"/>
        <v>0</v>
      </c>
      <c r="AJ851" s="130">
        <f t="shared" si="1942"/>
        <v>0</v>
      </c>
      <c r="AK851" s="130"/>
      <c r="AL851" s="130">
        <f t="shared" si="1929"/>
        <v>0</v>
      </c>
      <c r="AM851" s="130"/>
      <c r="AN851" s="130">
        <f t="shared" si="1930"/>
        <v>0</v>
      </c>
      <c r="AO851" s="130"/>
      <c r="AP851" s="130">
        <f t="shared" si="1931"/>
        <v>0</v>
      </c>
      <c r="AQ851" s="130">
        <f t="shared" si="1943"/>
        <v>0</v>
      </c>
      <c r="AR851" s="130">
        <f t="shared" si="1944"/>
        <v>0</v>
      </c>
      <c r="AS851" s="130"/>
      <c r="AT851" s="130">
        <f t="shared" si="1932"/>
        <v>0</v>
      </c>
      <c r="AU851" s="130"/>
      <c r="AV851" s="130">
        <f t="shared" si="1933"/>
        <v>0</v>
      </c>
      <c r="AW851" s="130"/>
      <c r="AX851" s="130">
        <f t="shared" si="1934"/>
        <v>0</v>
      </c>
      <c r="AY851" s="130">
        <f t="shared" si="1945"/>
        <v>0</v>
      </c>
      <c r="AZ851" s="130">
        <f t="shared" si="1946"/>
        <v>0</v>
      </c>
      <c r="BA851" s="130">
        <f t="shared" si="1947"/>
        <v>0</v>
      </c>
      <c r="BB851" s="130">
        <f t="shared" si="1948"/>
        <v>0</v>
      </c>
    </row>
    <row r="852" spans="1:54">
      <c r="A852" s="492">
        <v>525</v>
      </c>
      <c r="B852" s="13"/>
      <c r="C852" s="13"/>
      <c r="D852" s="13"/>
      <c r="E852" s="21" t="s">
        <v>691</v>
      </c>
      <c r="F852" s="45"/>
      <c r="G852" s="45" t="s">
        <v>1059</v>
      </c>
      <c r="H852" s="265" t="s">
        <v>359</v>
      </c>
      <c r="I852" s="54"/>
      <c r="J852" s="162">
        <v>12587</v>
      </c>
      <c r="K852" s="54"/>
      <c r="L852" s="162">
        <v>13330</v>
      </c>
      <c r="M852" s="54"/>
      <c r="N852" s="162"/>
      <c r="O852" s="54"/>
      <c r="P852" s="162"/>
      <c r="Q852" s="96">
        <f t="shared" si="1935"/>
        <v>1.8149999999999999</v>
      </c>
      <c r="R852" s="337">
        <f t="shared" si="1936"/>
        <v>23.160437000000002</v>
      </c>
      <c r="S852" s="96"/>
      <c r="T852" s="96">
        <f t="shared" si="1923"/>
        <v>0</v>
      </c>
      <c r="U852" s="96">
        <v>0.216</v>
      </c>
      <c r="V852" s="96">
        <f t="shared" si="1924"/>
        <v>2.7187920000000001</v>
      </c>
      <c r="W852" s="96">
        <v>1.175</v>
      </c>
      <c r="X852" s="96">
        <f t="shared" si="1925"/>
        <v>14.789725000000001</v>
      </c>
      <c r="Y852" s="96">
        <f t="shared" si="1937"/>
        <v>1.391</v>
      </c>
      <c r="Z852" s="96">
        <f t="shared" si="1938"/>
        <v>17.508517000000001</v>
      </c>
      <c r="AA852" s="96">
        <v>0.42399999999999999</v>
      </c>
      <c r="AB852" s="96">
        <f t="shared" si="1926"/>
        <v>5.6519200000000005</v>
      </c>
      <c r="AC852" s="96"/>
      <c r="AD852" s="96">
        <f t="shared" si="1927"/>
        <v>0</v>
      </c>
      <c r="AE852" s="96"/>
      <c r="AF852" s="96">
        <f t="shared" si="1928"/>
        <v>0</v>
      </c>
      <c r="AG852" s="96">
        <f t="shared" si="1939"/>
        <v>0.42399999999999999</v>
      </c>
      <c r="AH852" s="96">
        <f t="shared" si="1940"/>
        <v>5.6519200000000005</v>
      </c>
      <c r="AI852" s="96">
        <f t="shared" si="1941"/>
        <v>1.8149999999999999</v>
      </c>
      <c r="AJ852" s="96">
        <f t="shared" si="1942"/>
        <v>23.160437000000002</v>
      </c>
      <c r="AK852" s="96"/>
      <c r="AL852" s="96">
        <f t="shared" si="1929"/>
        <v>0</v>
      </c>
      <c r="AM852" s="96"/>
      <c r="AN852" s="96">
        <f t="shared" si="1930"/>
        <v>0</v>
      </c>
      <c r="AO852" s="96"/>
      <c r="AP852" s="96">
        <f t="shared" si="1931"/>
        <v>0</v>
      </c>
      <c r="AQ852" s="96">
        <f t="shared" si="1943"/>
        <v>0</v>
      </c>
      <c r="AR852" s="96">
        <f t="shared" si="1944"/>
        <v>0</v>
      </c>
      <c r="AS852" s="96"/>
      <c r="AT852" s="96">
        <f t="shared" si="1932"/>
        <v>0</v>
      </c>
      <c r="AU852" s="96"/>
      <c r="AV852" s="96">
        <f t="shared" si="1933"/>
        <v>0</v>
      </c>
      <c r="AW852" s="96"/>
      <c r="AX852" s="96">
        <f t="shared" si="1934"/>
        <v>0</v>
      </c>
      <c r="AY852" s="96">
        <f t="shared" si="1945"/>
        <v>0</v>
      </c>
      <c r="AZ852" s="96">
        <f t="shared" si="1946"/>
        <v>0</v>
      </c>
      <c r="BA852" s="96">
        <f t="shared" si="1947"/>
        <v>0</v>
      </c>
      <c r="BB852" s="96">
        <f t="shared" si="1948"/>
        <v>0</v>
      </c>
    </row>
    <row r="853" spans="1:54">
      <c r="A853" s="492">
        <v>526</v>
      </c>
      <c r="B853" s="13"/>
      <c r="C853" s="13"/>
      <c r="D853" s="13"/>
      <c r="E853" s="21" t="s">
        <v>716</v>
      </c>
      <c r="F853" s="424"/>
      <c r="G853" s="424" t="s">
        <v>1059</v>
      </c>
      <c r="H853" s="284" t="s">
        <v>358</v>
      </c>
      <c r="I853" s="75"/>
      <c r="J853" s="167">
        <v>13594</v>
      </c>
      <c r="K853" s="75"/>
      <c r="L853" s="167">
        <v>14396</v>
      </c>
      <c r="M853" s="75"/>
      <c r="N853" s="167"/>
      <c r="O853" s="75"/>
      <c r="P853" s="167"/>
      <c r="Q853" s="130">
        <f t="shared" si="1935"/>
        <v>0.61</v>
      </c>
      <c r="R853" s="347">
        <f t="shared" si="1936"/>
        <v>8.53294</v>
      </c>
      <c r="S853" s="130">
        <v>0.31</v>
      </c>
      <c r="T853" s="130">
        <f t="shared" si="1923"/>
        <v>4.2141400000000004</v>
      </c>
      <c r="U853" s="130"/>
      <c r="V853" s="130">
        <f t="shared" si="1924"/>
        <v>0</v>
      </c>
      <c r="W853" s="130"/>
      <c r="X853" s="130">
        <f t="shared" si="1925"/>
        <v>0</v>
      </c>
      <c r="Y853" s="130">
        <f t="shared" si="1937"/>
        <v>0.31</v>
      </c>
      <c r="Z853" s="130">
        <f t="shared" si="1938"/>
        <v>4.2141400000000004</v>
      </c>
      <c r="AA853" s="130">
        <v>0.3</v>
      </c>
      <c r="AB853" s="130">
        <f t="shared" si="1926"/>
        <v>4.3188000000000004</v>
      </c>
      <c r="AC853" s="130"/>
      <c r="AD853" s="130">
        <f t="shared" si="1927"/>
        <v>0</v>
      </c>
      <c r="AE853" s="130"/>
      <c r="AF853" s="130">
        <f t="shared" si="1928"/>
        <v>0</v>
      </c>
      <c r="AG853" s="130">
        <f t="shared" si="1939"/>
        <v>0.3</v>
      </c>
      <c r="AH853" s="130">
        <f t="shared" si="1940"/>
        <v>4.3188000000000004</v>
      </c>
      <c r="AI853" s="130">
        <f t="shared" si="1941"/>
        <v>0.61</v>
      </c>
      <c r="AJ853" s="130">
        <f t="shared" si="1942"/>
        <v>8.53294</v>
      </c>
      <c r="AK853" s="130"/>
      <c r="AL853" s="130">
        <f t="shared" si="1929"/>
        <v>0</v>
      </c>
      <c r="AM853" s="130"/>
      <c r="AN853" s="130">
        <f t="shared" si="1930"/>
        <v>0</v>
      </c>
      <c r="AO853" s="130"/>
      <c r="AP853" s="130">
        <f t="shared" si="1931"/>
        <v>0</v>
      </c>
      <c r="AQ853" s="130">
        <f t="shared" si="1943"/>
        <v>0</v>
      </c>
      <c r="AR853" s="130">
        <f t="shared" si="1944"/>
        <v>0</v>
      </c>
      <c r="AS853" s="130"/>
      <c r="AT853" s="130">
        <f t="shared" si="1932"/>
        <v>0</v>
      </c>
      <c r="AU853" s="130"/>
      <c r="AV853" s="130">
        <f t="shared" si="1933"/>
        <v>0</v>
      </c>
      <c r="AW853" s="130"/>
      <c r="AX853" s="130">
        <f t="shared" si="1934"/>
        <v>0</v>
      </c>
      <c r="AY853" s="130">
        <f t="shared" si="1945"/>
        <v>0</v>
      </c>
      <c r="AZ853" s="130">
        <f t="shared" si="1946"/>
        <v>0</v>
      </c>
      <c r="BA853" s="130">
        <f t="shared" si="1947"/>
        <v>0</v>
      </c>
      <c r="BB853" s="130">
        <f t="shared" si="1948"/>
        <v>0</v>
      </c>
    </row>
    <row r="854" spans="1:54">
      <c r="A854" s="492">
        <v>527</v>
      </c>
      <c r="B854" s="13"/>
      <c r="C854" s="13"/>
      <c r="D854" s="13"/>
      <c r="E854" s="62" t="s">
        <v>1043</v>
      </c>
      <c r="F854" s="23"/>
      <c r="G854" s="419" t="s">
        <v>1056</v>
      </c>
      <c r="H854" s="266" t="s">
        <v>358</v>
      </c>
      <c r="I854" s="73"/>
      <c r="J854" s="170">
        <v>11872</v>
      </c>
      <c r="K854" s="73"/>
      <c r="L854" s="170">
        <v>12572</v>
      </c>
      <c r="M854" s="73"/>
      <c r="N854" s="170"/>
      <c r="O854" s="73"/>
      <c r="P854" s="170"/>
      <c r="Q854" s="118">
        <f t="shared" si="1935"/>
        <v>21.298999999999999</v>
      </c>
      <c r="R854" s="344">
        <f t="shared" si="1936"/>
        <v>256.00262800000002</v>
      </c>
      <c r="S854" s="118">
        <v>6.9029999999999996</v>
      </c>
      <c r="T854" s="118">
        <f t="shared" si="1923"/>
        <v>81.952415999999999</v>
      </c>
      <c r="U854" s="118">
        <v>5.0049999999999999</v>
      </c>
      <c r="V854" s="118">
        <f t="shared" si="1924"/>
        <v>59.419359999999998</v>
      </c>
      <c r="W854" s="118">
        <v>4.9039999999999999</v>
      </c>
      <c r="X854" s="118">
        <f t="shared" si="1925"/>
        <v>58.220288000000004</v>
      </c>
      <c r="Y854" s="118">
        <f t="shared" si="1937"/>
        <v>16.811999999999998</v>
      </c>
      <c r="Z854" s="118">
        <f t="shared" si="1938"/>
        <v>199.59206400000002</v>
      </c>
      <c r="AA854" s="118">
        <v>4.4870000000000001</v>
      </c>
      <c r="AB854" s="118">
        <f t="shared" si="1926"/>
        <v>56.410564000000001</v>
      </c>
      <c r="AC854" s="118"/>
      <c r="AD854" s="118">
        <f t="shared" si="1927"/>
        <v>0</v>
      </c>
      <c r="AE854" s="118"/>
      <c r="AF854" s="118">
        <f t="shared" si="1928"/>
        <v>0</v>
      </c>
      <c r="AG854" s="118">
        <f t="shared" si="1939"/>
        <v>4.4870000000000001</v>
      </c>
      <c r="AH854" s="118">
        <f t="shared" si="1940"/>
        <v>56.410564000000001</v>
      </c>
      <c r="AI854" s="118">
        <f t="shared" si="1941"/>
        <v>21.298999999999999</v>
      </c>
      <c r="AJ854" s="118">
        <f t="shared" si="1942"/>
        <v>256.00262800000002</v>
      </c>
      <c r="AK854" s="118"/>
      <c r="AL854" s="118">
        <f t="shared" si="1929"/>
        <v>0</v>
      </c>
      <c r="AM854" s="118"/>
      <c r="AN854" s="118">
        <f t="shared" si="1930"/>
        <v>0</v>
      </c>
      <c r="AO854" s="118"/>
      <c r="AP854" s="118">
        <f t="shared" si="1931"/>
        <v>0</v>
      </c>
      <c r="AQ854" s="118">
        <f t="shared" si="1943"/>
        <v>0</v>
      </c>
      <c r="AR854" s="118">
        <f t="shared" si="1944"/>
        <v>0</v>
      </c>
      <c r="AS854" s="118"/>
      <c r="AT854" s="118">
        <f t="shared" si="1932"/>
        <v>0</v>
      </c>
      <c r="AU854" s="118"/>
      <c r="AV854" s="118">
        <f t="shared" si="1933"/>
        <v>0</v>
      </c>
      <c r="AW854" s="118"/>
      <c r="AX854" s="118">
        <f t="shared" si="1934"/>
        <v>0</v>
      </c>
      <c r="AY854" s="118">
        <f t="shared" si="1945"/>
        <v>0</v>
      </c>
      <c r="AZ854" s="118">
        <f t="shared" si="1946"/>
        <v>0</v>
      </c>
      <c r="BA854" s="118">
        <f t="shared" si="1947"/>
        <v>0</v>
      </c>
      <c r="BB854" s="118">
        <f t="shared" si="1948"/>
        <v>0</v>
      </c>
    </row>
    <row r="855" spans="1:54">
      <c r="A855" s="492">
        <v>528</v>
      </c>
      <c r="B855" s="13"/>
      <c r="C855" s="13"/>
      <c r="D855" s="13"/>
      <c r="E855" s="21" t="s">
        <v>1072</v>
      </c>
      <c r="F855" s="45"/>
      <c r="G855" s="45" t="s">
        <v>1069</v>
      </c>
      <c r="H855" s="265" t="s">
        <v>1073</v>
      </c>
      <c r="I855" s="54"/>
      <c r="J855" s="162">
        <v>19178</v>
      </c>
      <c r="K855" s="54"/>
      <c r="L855" s="162">
        <v>20310</v>
      </c>
      <c r="M855" s="54"/>
      <c r="N855" s="162"/>
      <c r="O855" s="54"/>
      <c r="P855" s="162"/>
      <c r="Q855" s="96">
        <f t="shared" si="1935"/>
        <v>0.56000000000000005</v>
      </c>
      <c r="R855" s="337">
        <f t="shared" si="1936"/>
        <v>10.750999999999998</v>
      </c>
      <c r="S855" s="96">
        <v>0.26</v>
      </c>
      <c r="T855" s="96">
        <f t="shared" si="1923"/>
        <v>4.9862799999999998</v>
      </c>
      <c r="U855" s="96"/>
      <c r="V855" s="96">
        <f t="shared" si="1924"/>
        <v>0</v>
      </c>
      <c r="W855" s="96">
        <v>0.28999999999999998</v>
      </c>
      <c r="X855" s="96">
        <f t="shared" si="1925"/>
        <v>5.5616199999999996</v>
      </c>
      <c r="Y855" s="96">
        <f t="shared" si="1937"/>
        <v>0.55000000000000004</v>
      </c>
      <c r="Z855" s="96">
        <f t="shared" si="1938"/>
        <v>10.547899999999998</v>
      </c>
      <c r="AA855" s="96">
        <v>0.01</v>
      </c>
      <c r="AB855" s="96">
        <f t="shared" si="1926"/>
        <v>0.2031</v>
      </c>
      <c r="AC855" s="96"/>
      <c r="AD855" s="96">
        <f t="shared" si="1927"/>
        <v>0</v>
      </c>
      <c r="AE855" s="96"/>
      <c r="AF855" s="96">
        <f t="shared" si="1928"/>
        <v>0</v>
      </c>
      <c r="AG855" s="96">
        <f t="shared" si="1939"/>
        <v>0.01</v>
      </c>
      <c r="AH855" s="96">
        <f t="shared" si="1940"/>
        <v>0.2031</v>
      </c>
      <c r="AI855" s="96">
        <f t="shared" si="1941"/>
        <v>0.56000000000000005</v>
      </c>
      <c r="AJ855" s="96">
        <f t="shared" si="1942"/>
        <v>10.750999999999998</v>
      </c>
      <c r="AK855" s="96"/>
      <c r="AL855" s="96">
        <f t="shared" si="1929"/>
        <v>0</v>
      </c>
      <c r="AM855" s="96"/>
      <c r="AN855" s="96">
        <f t="shared" si="1930"/>
        <v>0</v>
      </c>
      <c r="AO855" s="96"/>
      <c r="AP855" s="96">
        <f t="shared" si="1931"/>
        <v>0</v>
      </c>
      <c r="AQ855" s="96">
        <f t="shared" si="1943"/>
        <v>0</v>
      </c>
      <c r="AR855" s="96">
        <f t="shared" si="1944"/>
        <v>0</v>
      </c>
      <c r="AS855" s="96"/>
      <c r="AT855" s="96">
        <f t="shared" si="1932"/>
        <v>0</v>
      </c>
      <c r="AU855" s="96"/>
      <c r="AV855" s="96">
        <f t="shared" si="1933"/>
        <v>0</v>
      </c>
      <c r="AW855" s="96"/>
      <c r="AX855" s="96">
        <f t="shared" si="1934"/>
        <v>0</v>
      </c>
      <c r="AY855" s="96">
        <f t="shared" si="1945"/>
        <v>0</v>
      </c>
      <c r="AZ855" s="96">
        <f t="shared" si="1946"/>
        <v>0</v>
      </c>
      <c r="BA855" s="96">
        <f t="shared" si="1947"/>
        <v>0</v>
      </c>
      <c r="BB855" s="96">
        <f t="shared" si="1948"/>
        <v>0</v>
      </c>
    </row>
    <row r="856" spans="1:54">
      <c r="B856" s="13"/>
      <c r="C856" s="13"/>
      <c r="D856" s="13"/>
      <c r="E856" s="485" t="s">
        <v>2059</v>
      </c>
      <c r="F856" s="486"/>
      <c r="G856" s="486" t="s">
        <v>1055</v>
      </c>
      <c r="H856" s="487" t="s">
        <v>358</v>
      </c>
      <c r="I856" s="488"/>
      <c r="J856" s="489">
        <v>17395</v>
      </c>
      <c r="K856" s="488"/>
      <c r="L856" s="489">
        <v>18421</v>
      </c>
      <c r="M856" s="488"/>
      <c r="N856" s="489"/>
      <c r="O856" s="488"/>
      <c r="P856" s="489"/>
      <c r="Q856" s="490">
        <f t="shared" si="1935"/>
        <v>3.8330000000000002</v>
      </c>
      <c r="R856" s="491">
        <f t="shared" si="1936"/>
        <v>67.362455000000011</v>
      </c>
      <c r="S856" s="490">
        <v>0.84799999999999998</v>
      </c>
      <c r="T856" s="490">
        <f t="shared" si="1923"/>
        <v>14.750959999999999</v>
      </c>
      <c r="U856" s="490">
        <v>0.97899999999999998</v>
      </c>
      <c r="V856" s="490">
        <f t="shared" si="1924"/>
        <v>17.029705</v>
      </c>
      <c r="W856" s="490">
        <v>1.3360000000000001</v>
      </c>
      <c r="X856" s="490">
        <f t="shared" si="1925"/>
        <v>23.239720000000002</v>
      </c>
      <c r="Y856" s="490">
        <f t="shared" si="1937"/>
        <v>3.1630000000000003</v>
      </c>
      <c r="Z856" s="490">
        <f t="shared" si="1938"/>
        <v>55.020385000000005</v>
      </c>
      <c r="AA856" s="490">
        <v>0.67</v>
      </c>
      <c r="AB856" s="490">
        <f t="shared" si="1926"/>
        <v>12.342070000000001</v>
      </c>
      <c r="AC856" s="490"/>
      <c r="AD856" s="490">
        <f t="shared" si="1927"/>
        <v>0</v>
      </c>
      <c r="AE856" s="490"/>
      <c r="AF856" s="490">
        <f t="shared" si="1928"/>
        <v>0</v>
      </c>
      <c r="AG856" s="490">
        <f t="shared" si="1939"/>
        <v>0.67</v>
      </c>
      <c r="AH856" s="490">
        <f t="shared" si="1940"/>
        <v>12.342070000000001</v>
      </c>
      <c r="AI856" s="490">
        <f t="shared" si="1941"/>
        <v>3.8330000000000002</v>
      </c>
      <c r="AJ856" s="490">
        <f t="shared" si="1942"/>
        <v>67.362455000000011</v>
      </c>
      <c r="AK856" s="490"/>
      <c r="AL856" s="490">
        <f t="shared" si="1929"/>
        <v>0</v>
      </c>
      <c r="AM856" s="490"/>
      <c r="AN856" s="490">
        <f t="shared" si="1930"/>
        <v>0</v>
      </c>
      <c r="AO856" s="490"/>
      <c r="AP856" s="490">
        <f t="shared" si="1931"/>
        <v>0</v>
      </c>
      <c r="AQ856" s="490">
        <f t="shared" si="1943"/>
        <v>0</v>
      </c>
      <c r="AR856" s="490">
        <f t="shared" si="1944"/>
        <v>0</v>
      </c>
      <c r="AS856" s="490"/>
      <c r="AT856" s="490">
        <f t="shared" si="1932"/>
        <v>0</v>
      </c>
      <c r="AU856" s="490"/>
      <c r="AV856" s="490">
        <f t="shared" si="1933"/>
        <v>0</v>
      </c>
      <c r="AW856" s="490"/>
      <c r="AX856" s="490">
        <f t="shared" si="1934"/>
        <v>0</v>
      </c>
      <c r="AY856" s="490">
        <f t="shared" si="1945"/>
        <v>0</v>
      </c>
      <c r="AZ856" s="490">
        <f t="shared" si="1946"/>
        <v>0</v>
      </c>
      <c r="BA856" s="490">
        <f t="shared" si="1947"/>
        <v>0</v>
      </c>
      <c r="BB856" s="490">
        <f t="shared" si="1948"/>
        <v>0</v>
      </c>
    </row>
    <row r="857" spans="1:54">
      <c r="A857" s="492">
        <v>529</v>
      </c>
      <c r="B857" s="13"/>
      <c r="C857" s="13"/>
      <c r="D857" s="13"/>
      <c r="E857" s="13" t="s">
        <v>1044</v>
      </c>
      <c r="F857" s="23"/>
      <c r="G857" s="23" t="s">
        <v>1056</v>
      </c>
      <c r="H857" s="266" t="s">
        <v>358</v>
      </c>
      <c r="I857" s="73"/>
      <c r="J857" s="170">
        <v>2894</v>
      </c>
      <c r="K857" s="73"/>
      <c r="L857" s="170">
        <v>3065</v>
      </c>
      <c r="M857" s="73"/>
      <c r="N857" s="170"/>
      <c r="O857" s="73"/>
      <c r="P857" s="170"/>
      <c r="Q857" s="118">
        <f t="shared" si="1935"/>
        <v>0</v>
      </c>
      <c r="R857" s="344">
        <f t="shared" si="1936"/>
        <v>0</v>
      </c>
      <c r="S857" s="118"/>
      <c r="T857" s="118">
        <f t="shared" si="1923"/>
        <v>0</v>
      </c>
      <c r="U857" s="118"/>
      <c r="V857" s="118">
        <f t="shared" si="1924"/>
        <v>0</v>
      </c>
      <c r="W857" s="118"/>
      <c r="X857" s="118">
        <f t="shared" si="1925"/>
        <v>0</v>
      </c>
      <c r="Y857" s="118">
        <f t="shared" si="1937"/>
        <v>0</v>
      </c>
      <c r="Z857" s="118">
        <f t="shared" si="1938"/>
        <v>0</v>
      </c>
      <c r="AA857" s="118"/>
      <c r="AB857" s="118">
        <f t="shared" si="1926"/>
        <v>0</v>
      </c>
      <c r="AC857" s="118"/>
      <c r="AD857" s="118">
        <f t="shared" si="1927"/>
        <v>0</v>
      </c>
      <c r="AE857" s="118"/>
      <c r="AF857" s="118">
        <f t="shared" si="1928"/>
        <v>0</v>
      </c>
      <c r="AG857" s="118">
        <f t="shared" si="1939"/>
        <v>0</v>
      </c>
      <c r="AH857" s="118">
        <f t="shared" si="1940"/>
        <v>0</v>
      </c>
      <c r="AI857" s="118">
        <f t="shared" si="1941"/>
        <v>0</v>
      </c>
      <c r="AJ857" s="118">
        <f t="shared" si="1942"/>
        <v>0</v>
      </c>
      <c r="AK857" s="118"/>
      <c r="AL857" s="118">
        <f t="shared" si="1929"/>
        <v>0</v>
      </c>
      <c r="AM857" s="118"/>
      <c r="AN857" s="118">
        <f t="shared" si="1930"/>
        <v>0</v>
      </c>
      <c r="AO857" s="118"/>
      <c r="AP857" s="118">
        <f t="shared" si="1931"/>
        <v>0</v>
      </c>
      <c r="AQ857" s="118">
        <f t="shared" si="1943"/>
        <v>0</v>
      </c>
      <c r="AR857" s="118">
        <f t="shared" si="1944"/>
        <v>0</v>
      </c>
      <c r="AS857" s="118"/>
      <c r="AT857" s="118">
        <f t="shared" si="1932"/>
        <v>0</v>
      </c>
      <c r="AU857" s="118"/>
      <c r="AV857" s="118">
        <f t="shared" si="1933"/>
        <v>0</v>
      </c>
      <c r="AW857" s="118"/>
      <c r="AX857" s="118">
        <f t="shared" si="1934"/>
        <v>0</v>
      </c>
      <c r="AY857" s="118">
        <f t="shared" si="1945"/>
        <v>0</v>
      </c>
      <c r="AZ857" s="118">
        <f t="shared" si="1946"/>
        <v>0</v>
      </c>
      <c r="BA857" s="118">
        <f t="shared" si="1947"/>
        <v>0</v>
      </c>
      <c r="BB857" s="118">
        <f t="shared" si="1948"/>
        <v>0</v>
      </c>
    </row>
    <row r="858" spans="1:54">
      <c r="B858" s="13"/>
      <c r="C858" s="13"/>
      <c r="D858" s="13"/>
      <c r="E858" s="21" t="s">
        <v>1491</v>
      </c>
      <c r="F858" s="45"/>
      <c r="G858" s="45" t="s">
        <v>1056</v>
      </c>
      <c r="H858" s="265" t="s">
        <v>358</v>
      </c>
      <c r="I858" s="54"/>
      <c r="J858" s="162">
        <v>2894</v>
      </c>
      <c r="K858" s="54"/>
      <c r="L858" s="162">
        <v>3065</v>
      </c>
      <c r="M858" s="54"/>
      <c r="N858" s="162"/>
      <c r="O858" s="54"/>
      <c r="P858" s="162"/>
      <c r="Q858" s="96">
        <f t="shared" si="1935"/>
        <v>28.41</v>
      </c>
      <c r="R858" s="337">
        <f t="shared" si="1936"/>
        <v>83.152199999999993</v>
      </c>
      <c r="S858" s="96">
        <v>5.46</v>
      </c>
      <c r="T858" s="96">
        <f t="shared" si="1923"/>
        <v>15.80124</v>
      </c>
      <c r="U858" s="96">
        <v>4.51</v>
      </c>
      <c r="V858" s="96">
        <f t="shared" si="1924"/>
        <v>13.051939999999998</v>
      </c>
      <c r="W858" s="96">
        <v>12.98</v>
      </c>
      <c r="X858" s="96">
        <f t="shared" si="1925"/>
        <v>37.564120000000003</v>
      </c>
      <c r="Y858" s="96">
        <f t="shared" si="1937"/>
        <v>22.95</v>
      </c>
      <c r="Z858" s="96">
        <f t="shared" si="1938"/>
        <v>66.417299999999997</v>
      </c>
      <c r="AA858" s="96">
        <v>5.46</v>
      </c>
      <c r="AB858" s="96">
        <f t="shared" si="1926"/>
        <v>16.734900000000003</v>
      </c>
      <c r="AC858" s="96"/>
      <c r="AD858" s="96">
        <f t="shared" si="1927"/>
        <v>0</v>
      </c>
      <c r="AE858" s="96"/>
      <c r="AF858" s="96">
        <f t="shared" si="1928"/>
        <v>0</v>
      </c>
      <c r="AG858" s="96">
        <f t="shared" si="1939"/>
        <v>5.46</v>
      </c>
      <c r="AH858" s="96">
        <f t="shared" si="1940"/>
        <v>16.734900000000003</v>
      </c>
      <c r="AI858" s="96">
        <f t="shared" si="1941"/>
        <v>28.41</v>
      </c>
      <c r="AJ858" s="96">
        <f t="shared" si="1942"/>
        <v>83.152199999999993</v>
      </c>
      <c r="AK858" s="96"/>
      <c r="AL858" s="96">
        <f t="shared" si="1929"/>
        <v>0</v>
      </c>
      <c r="AM858" s="96"/>
      <c r="AN858" s="96">
        <f t="shared" si="1930"/>
        <v>0</v>
      </c>
      <c r="AO858" s="96"/>
      <c r="AP858" s="96">
        <f t="shared" si="1931"/>
        <v>0</v>
      </c>
      <c r="AQ858" s="96">
        <f t="shared" si="1943"/>
        <v>0</v>
      </c>
      <c r="AR858" s="96">
        <f t="shared" si="1944"/>
        <v>0</v>
      </c>
      <c r="AS858" s="96"/>
      <c r="AT858" s="96">
        <f t="shared" si="1932"/>
        <v>0</v>
      </c>
      <c r="AU858" s="96"/>
      <c r="AV858" s="96">
        <f t="shared" si="1933"/>
        <v>0</v>
      </c>
      <c r="AW858" s="96"/>
      <c r="AX858" s="96">
        <f t="shared" si="1934"/>
        <v>0</v>
      </c>
      <c r="AY858" s="96">
        <f t="shared" si="1945"/>
        <v>0</v>
      </c>
      <c r="AZ858" s="96">
        <f t="shared" si="1946"/>
        <v>0</v>
      </c>
      <c r="BA858" s="96">
        <f t="shared" si="1947"/>
        <v>0</v>
      </c>
      <c r="BB858" s="96">
        <f t="shared" si="1948"/>
        <v>0</v>
      </c>
    </row>
    <row r="859" spans="1:54">
      <c r="B859" s="13"/>
      <c r="C859" s="13"/>
      <c r="D859" s="13"/>
      <c r="E859" s="21" t="s">
        <v>1140</v>
      </c>
      <c r="F859" s="45"/>
      <c r="G859" s="45" t="s">
        <v>1056</v>
      </c>
      <c r="H859" s="265" t="s">
        <v>358</v>
      </c>
      <c r="I859" s="54"/>
      <c r="J859" s="162">
        <v>25219</v>
      </c>
      <c r="K859" s="54"/>
      <c r="L859" s="162">
        <v>26707</v>
      </c>
      <c r="M859" s="54"/>
      <c r="N859" s="162"/>
      <c r="O859" s="54"/>
      <c r="P859" s="162"/>
      <c r="Q859" s="96">
        <f t="shared" si="1935"/>
        <v>2.9119999999999999</v>
      </c>
      <c r="R859" s="337">
        <f t="shared" si="1936"/>
        <v>73.437727999999993</v>
      </c>
      <c r="S859" s="96">
        <v>1.2E-2</v>
      </c>
      <c r="T859" s="96">
        <f t="shared" si="1923"/>
        <v>0.30262800000000001</v>
      </c>
      <c r="U859" s="96"/>
      <c r="V859" s="96">
        <f t="shared" si="1924"/>
        <v>0</v>
      </c>
      <c r="W859" s="96">
        <v>2.9</v>
      </c>
      <c r="X859" s="96">
        <f t="shared" si="1925"/>
        <v>73.135099999999994</v>
      </c>
      <c r="Y859" s="96">
        <f t="shared" si="1937"/>
        <v>2.9119999999999999</v>
      </c>
      <c r="Z859" s="96">
        <f t="shared" si="1938"/>
        <v>73.437727999999993</v>
      </c>
      <c r="AA859" s="96"/>
      <c r="AB859" s="96">
        <f t="shared" si="1926"/>
        <v>0</v>
      </c>
      <c r="AC859" s="96"/>
      <c r="AD859" s="96">
        <f t="shared" si="1927"/>
        <v>0</v>
      </c>
      <c r="AE859" s="96"/>
      <c r="AF859" s="96">
        <f t="shared" si="1928"/>
        <v>0</v>
      </c>
      <c r="AG859" s="96">
        <f t="shared" si="1939"/>
        <v>0</v>
      </c>
      <c r="AH859" s="96">
        <f t="shared" si="1940"/>
        <v>0</v>
      </c>
      <c r="AI859" s="96">
        <f t="shared" si="1941"/>
        <v>2.9119999999999999</v>
      </c>
      <c r="AJ859" s="96">
        <f t="shared" si="1942"/>
        <v>73.437727999999993</v>
      </c>
      <c r="AK859" s="96"/>
      <c r="AL859" s="96">
        <f t="shared" si="1929"/>
        <v>0</v>
      </c>
      <c r="AM859" s="96"/>
      <c r="AN859" s="96">
        <f t="shared" si="1930"/>
        <v>0</v>
      </c>
      <c r="AO859" s="96"/>
      <c r="AP859" s="96">
        <f t="shared" si="1931"/>
        <v>0</v>
      </c>
      <c r="AQ859" s="96">
        <f t="shared" si="1943"/>
        <v>0</v>
      </c>
      <c r="AR859" s="96">
        <f t="shared" si="1944"/>
        <v>0</v>
      </c>
      <c r="AS859" s="96"/>
      <c r="AT859" s="96">
        <f t="shared" si="1932"/>
        <v>0</v>
      </c>
      <c r="AU859" s="96"/>
      <c r="AV859" s="96">
        <f t="shared" si="1933"/>
        <v>0</v>
      </c>
      <c r="AW859" s="96"/>
      <c r="AX859" s="96">
        <f t="shared" si="1934"/>
        <v>0</v>
      </c>
      <c r="AY859" s="96">
        <f t="shared" si="1945"/>
        <v>0</v>
      </c>
      <c r="AZ859" s="96">
        <f t="shared" si="1946"/>
        <v>0</v>
      </c>
      <c r="BA859" s="96">
        <f t="shared" si="1947"/>
        <v>0</v>
      </c>
      <c r="BB859" s="96">
        <f t="shared" si="1948"/>
        <v>0</v>
      </c>
    </row>
    <row r="860" spans="1:54">
      <c r="B860" s="13"/>
      <c r="C860" s="13"/>
      <c r="D860" s="13"/>
      <c r="E860" s="21" t="s">
        <v>1141</v>
      </c>
      <c r="F860" s="45"/>
      <c r="G860" s="45" t="s">
        <v>1056</v>
      </c>
      <c r="H860" s="265" t="s">
        <v>358</v>
      </c>
      <c r="I860" s="54"/>
      <c r="J860" s="162">
        <v>12963</v>
      </c>
      <c r="K860" s="54"/>
      <c r="L860" s="162">
        <v>13728</v>
      </c>
      <c r="M860" s="54"/>
      <c r="N860" s="162"/>
      <c r="O860" s="54"/>
      <c r="P860" s="162"/>
      <c r="Q860" s="96">
        <f t="shared" si="1935"/>
        <v>2.9219999999999997</v>
      </c>
      <c r="R860" s="337">
        <f t="shared" si="1936"/>
        <v>37.885535999999995</v>
      </c>
      <c r="S860" s="96"/>
      <c r="T860" s="96">
        <f t="shared" si="1923"/>
        <v>0</v>
      </c>
      <c r="U860" s="96"/>
      <c r="V860" s="96">
        <f t="shared" si="1924"/>
        <v>0</v>
      </c>
      <c r="W860" s="96">
        <v>2.9119999999999999</v>
      </c>
      <c r="X860" s="96">
        <f t="shared" si="1925"/>
        <v>37.748255999999998</v>
      </c>
      <c r="Y860" s="96">
        <f t="shared" si="1937"/>
        <v>2.9119999999999999</v>
      </c>
      <c r="Z860" s="96">
        <f t="shared" si="1938"/>
        <v>37.748255999999998</v>
      </c>
      <c r="AA860" s="96">
        <v>0.01</v>
      </c>
      <c r="AB860" s="96">
        <f t="shared" si="1926"/>
        <v>0.13728000000000001</v>
      </c>
      <c r="AC860" s="96"/>
      <c r="AD860" s="96">
        <f t="shared" si="1927"/>
        <v>0</v>
      </c>
      <c r="AE860" s="96"/>
      <c r="AF860" s="96">
        <f t="shared" si="1928"/>
        <v>0</v>
      </c>
      <c r="AG860" s="96">
        <f t="shared" si="1939"/>
        <v>0.01</v>
      </c>
      <c r="AH860" s="96">
        <f t="shared" si="1940"/>
        <v>0.13728000000000001</v>
      </c>
      <c r="AI860" s="96">
        <f t="shared" si="1941"/>
        <v>2.9219999999999997</v>
      </c>
      <c r="AJ860" s="96">
        <f t="shared" si="1942"/>
        <v>37.885535999999995</v>
      </c>
      <c r="AK860" s="96"/>
      <c r="AL860" s="96">
        <f t="shared" si="1929"/>
        <v>0</v>
      </c>
      <c r="AM860" s="96"/>
      <c r="AN860" s="96">
        <f t="shared" si="1930"/>
        <v>0</v>
      </c>
      <c r="AO860" s="96"/>
      <c r="AP860" s="96">
        <f t="shared" si="1931"/>
        <v>0</v>
      </c>
      <c r="AQ860" s="96">
        <f t="shared" si="1943"/>
        <v>0</v>
      </c>
      <c r="AR860" s="96">
        <f t="shared" si="1944"/>
        <v>0</v>
      </c>
      <c r="AS860" s="96"/>
      <c r="AT860" s="96">
        <f t="shared" si="1932"/>
        <v>0</v>
      </c>
      <c r="AU860" s="96"/>
      <c r="AV860" s="96">
        <f t="shared" si="1933"/>
        <v>0</v>
      </c>
      <c r="AW860" s="96"/>
      <c r="AX860" s="96">
        <f t="shared" si="1934"/>
        <v>0</v>
      </c>
      <c r="AY860" s="96">
        <f t="shared" si="1945"/>
        <v>0</v>
      </c>
      <c r="AZ860" s="96">
        <f t="shared" si="1946"/>
        <v>0</v>
      </c>
      <c r="BA860" s="96">
        <f t="shared" si="1947"/>
        <v>0</v>
      </c>
      <c r="BB860" s="96">
        <f t="shared" si="1948"/>
        <v>0</v>
      </c>
    </row>
    <row r="861" spans="1:54">
      <c r="B861" s="13"/>
      <c r="C861" s="13"/>
      <c r="D861" s="13"/>
      <c r="E861" s="21" t="s">
        <v>1142</v>
      </c>
      <c r="F861" s="45"/>
      <c r="G861" s="45" t="s">
        <v>1056</v>
      </c>
      <c r="H861" s="265" t="s">
        <v>358</v>
      </c>
      <c r="I861" s="54"/>
      <c r="J861" s="162">
        <v>2180</v>
      </c>
      <c r="K861" s="54"/>
      <c r="L861" s="162">
        <v>2309</v>
      </c>
      <c r="M861" s="54"/>
      <c r="N861" s="162"/>
      <c r="O861" s="54"/>
      <c r="P861" s="162"/>
      <c r="Q861" s="96">
        <f t="shared" si="1935"/>
        <v>2.9</v>
      </c>
      <c r="R861" s="337">
        <f t="shared" si="1936"/>
        <v>6.3220000000000001</v>
      </c>
      <c r="S861" s="96"/>
      <c r="T861" s="96">
        <f t="shared" si="1923"/>
        <v>0</v>
      </c>
      <c r="U861" s="96"/>
      <c r="V861" s="96">
        <f t="shared" si="1924"/>
        <v>0</v>
      </c>
      <c r="W861" s="96">
        <v>2.9</v>
      </c>
      <c r="X861" s="96">
        <f t="shared" si="1925"/>
        <v>6.3220000000000001</v>
      </c>
      <c r="Y861" s="96">
        <f t="shared" si="1937"/>
        <v>2.9</v>
      </c>
      <c r="Z861" s="96">
        <f t="shared" si="1938"/>
        <v>6.3220000000000001</v>
      </c>
      <c r="AA861" s="96"/>
      <c r="AB861" s="96">
        <f t="shared" si="1926"/>
        <v>0</v>
      </c>
      <c r="AC861" s="96"/>
      <c r="AD861" s="96">
        <f t="shared" si="1927"/>
        <v>0</v>
      </c>
      <c r="AE861" s="96"/>
      <c r="AF861" s="96">
        <f t="shared" si="1928"/>
        <v>0</v>
      </c>
      <c r="AG861" s="96">
        <f t="shared" si="1939"/>
        <v>0</v>
      </c>
      <c r="AH861" s="96">
        <f t="shared" si="1940"/>
        <v>0</v>
      </c>
      <c r="AI861" s="96">
        <f t="shared" si="1941"/>
        <v>2.9</v>
      </c>
      <c r="AJ861" s="96">
        <f t="shared" si="1942"/>
        <v>6.3220000000000001</v>
      </c>
      <c r="AK861" s="96"/>
      <c r="AL861" s="96">
        <f t="shared" si="1929"/>
        <v>0</v>
      </c>
      <c r="AM861" s="96"/>
      <c r="AN861" s="96">
        <f t="shared" si="1930"/>
        <v>0</v>
      </c>
      <c r="AO861" s="96"/>
      <c r="AP861" s="96">
        <f t="shared" si="1931"/>
        <v>0</v>
      </c>
      <c r="AQ861" s="96">
        <f t="shared" si="1943"/>
        <v>0</v>
      </c>
      <c r="AR861" s="96">
        <f t="shared" si="1944"/>
        <v>0</v>
      </c>
      <c r="AS861" s="96"/>
      <c r="AT861" s="96">
        <f t="shared" si="1932"/>
        <v>0</v>
      </c>
      <c r="AU861" s="96"/>
      <c r="AV861" s="96">
        <f t="shared" si="1933"/>
        <v>0</v>
      </c>
      <c r="AW861" s="96"/>
      <c r="AX861" s="96">
        <f t="shared" si="1934"/>
        <v>0</v>
      </c>
      <c r="AY861" s="96">
        <f t="shared" si="1945"/>
        <v>0</v>
      </c>
      <c r="AZ861" s="96">
        <f t="shared" si="1946"/>
        <v>0</v>
      </c>
      <c r="BA861" s="96">
        <f t="shared" si="1947"/>
        <v>0</v>
      </c>
      <c r="BB861" s="96">
        <f t="shared" si="1948"/>
        <v>0</v>
      </c>
    </row>
    <row r="862" spans="1:54">
      <c r="A862" s="492">
        <v>521</v>
      </c>
      <c r="B862" s="13"/>
      <c r="C862" s="13"/>
      <c r="D862" s="13"/>
      <c r="E862" s="13" t="s">
        <v>2304</v>
      </c>
      <c r="F862" s="23"/>
      <c r="G862" s="23" t="s">
        <v>1059</v>
      </c>
      <c r="H862" s="266" t="s">
        <v>359</v>
      </c>
      <c r="I862" s="73"/>
      <c r="J862" s="170">
        <v>14526</v>
      </c>
      <c r="K862" s="73"/>
      <c r="L862" s="170">
        <v>15383</v>
      </c>
      <c r="M862" s="73"/>
      <c r="N862" s="170"/>
      <c r="O862" s="73"/>
      <c r="P862" s="170"/>
      <c r="Q862" s="118">
        <f t="shared" si="1935"/>
        <v>2.1160000000000001</v>
      </c>
      <c r="R862" s="344">
        <f t="shared" si="1936"/>
        <v>30.737016000000001</v>
      </c>
      <c r="S862" s="118">
        <v>1.4770000000000001</v>
      </c>
      <c r="T862" s="118">
        <f t="shared" si="1923"/>
        <v>21.454902000000001</v>
      </c>
      <c r="U862" s="118">
        <v>2.1999999999999999E-2</v>
      </c>
      <c r="V862" s="118">
        <f t="shared" si="1924"/>
        <v>0.31957200000000002</v>
      </c>
      <c r="W862" s="118">
        <v>0.61699999999999999</v>
      </c>
      <c r="X862" s="118">
        <f t="shared" si="1925"/>
        <v>8.9625419999999991</v>
      </c>
      <c r="Y862" s="118">
        <f t="shared" si="1937"/>
        <v>2.1160000000000001</v>
      </c>
      <c r="Z862" s="118">
        <f t="shared" si="1938"/>
        <v>30.737016000000001</v>
      </c>
      <c r="AA862" s="118"/>
      <c r="AB862" s="118">
        <f t="shared" si="1926"/>
        <v>0</v>
      </c>
      <c r="AC862" s="118"/>
      <c r="AD862" s="118">
        <f t="shared" si="1927"/>
        <v>0</v>
      </c>
      <c r="AE862" s="118"/>
      <c r="AF862" s="118">
        <f t="shared" si="1928"/>
        <v>0</v>
      </c>
      <c r="AG862" s="118">
        <f t="shared" si="1939"/>
        <v>0</v>
      </c>
      <c r="AH862" s="118">
        <f t="shared" si="1940"/>
        <v>0</v>
      </c>
      <c r="AI862" s="118">
        <f t="shared" si="1941"/>
        <v>2.1160000000000001</v>
      </c>
      <c r="AJ862" s="118">
        <f t="shared" si="1942"/>
        <v>30.737016000000001</v>
      </c>
      <c r="AK862" s="118"/>
      <c r="AL862" s="118">
        <f t="shared" si="1929"/>
        <v>0</v>
      </c>
      <c r="AM862" s="118"/>
      <c r="AN862" s="118">
        <f t="shared" si="1930"/>
        <v>0</v>
      </c>
      <c r="AO862" s="118"/>
      <c r="AP862" s="118">
        <f t="shared" si="1931"/>
        <v>0</v>
      </c>
      <c r="AQ862" s="118">
        <f t="shared" si="1943"/>
        <v>0</v>
      </c>
      <c r="AR862" s="118">
        <f t="shared" si="1944"/>
        <v>0</v>
      </c>
      <c r="AS862" s="118"/>
      <c r="AT862" s="118">
        <f t="shared" si="1932"/>
        <v>0</v>
      </c>
      <c r="AU862" s="118"/>
      <c r="AV862" s="118">
        <f t="shared" si="1933"/>
        <v>0</v>
      </c>
      <c r="AW862" s="118"/>
      <c r="AX862" s="118">
        <f t="shared" si="1934"/>
        <v>0</v>
      </c>
      <c r="AY862" s="118">
        <f t="shared" si="1945"/>
        <v>0</v>
      </c>
      <c r="AZ862" s="118">
        <f t="shared" si="1946"/>
        <v>0</v>
      </c>
      <c r="BA862" s="118">
        <f t="shared" si="1947"/>
        <v>0</v>
      </c>
      <c r="BB862" s="118">
        <f t="shared" si="1948"/>
        <v>0</v>
      </c>
    </row>
    <row r="863" spans="1:54">
      <c r="A863" s="492">
        <v>521</v>
      </c>
      <c r="B863" s="13"/>
      <c r="C863" s="13"/>
      <c r="D863" s="13"/>
      <c r="E863" s="21" t="s">
        <v>2305</v>
      </c>
      <c r="F863" s="45"/>
      <c r="G863" s="45" t="s">
        <v>1059</v>
      </c>
      <c r="H863" s="265" t="s">
        <v>359</v>
      </c>
      <c r="I863" s="54"/>
      <c r="J863" s="162">
        <v>21110</v>
      </c>
      <c r="K863" s="54"/>
      <c r="L863" s="162">
        <v>22355</v>
      </c>
      <c r="M863" s="54"/>
      <c r="N863" s="162"/>
      <c r="O863" s="54"/>
      <c r="P863" s="162"/>
      <c r="Q863" s="96">
        <f>SUM(AI863+BA863)</f>
        <v>2.2770000000000001</v>
      </c>
      <c r="R863" s="337">
        <f t="shared" ref="R863" si="2023">SUM(AJ863+BB863)</f>
        <v>48.06747</v>
      </c>
      <c r="S863" s="96">
        <v>1.651</v>
      </c>
      <c r="T863" s="96">
        <f t="shared" ref="T863" si="2024">J863*S863/1000</f>
        <v>34.852609999999999</v>
      </c>
      <c r="U863" s="96"/>
      <c r="V863" s="96">
        <f t="shared" ref="V863" si="2025">J863*U863/1000</f>
        <v>0</v>
      </c>
      <c r="W863" s="96">
        <v>0.626</v>
      </c>
      <c r="X863" s="96">
        <f t="shared" ref="X863" si="2026">J863*W863/1000</f>
        <v>13.21486</v>
      </c>
      <c r="Y863" s="96">
        <f>SUM(S863+U863+W863)</f>
        <v>2.2770000000000001</v>
      </c>
      <c r="Z863" s="96">
        <f t="shared" ref="Z863" si="2027">SUM(T863+V863+X863)</f>
        <v>48.06747</v>
      </c>
      <c r="AA863" s="96"/>
      <c r="AB863" s="96">
        <f t="shared" ref="AB863" si="2028">L863*AA863/1000</f>
        <v>0</v>
      </c>
      <c r="AC863" s="96"/>
      <c r="AD863" s="96">
        <f t="shared" ref="AD863" si="2029">L863*AC863/1000</f>
        <v>0</v>
      </c>
      <c r="AE863" s="96"/>
      <c r="AF863" s="96">
        <f t="shared" ref="AF863" si="2030">L863*AE863/1000</f>
        <v>0</v>
      </c>
      <c r="AG863" s="96">
        <f t="shared" ref="AG863" si="2031">SUM(AA863+AC863+AE863)</f>
        <v>0</v>
      </c>
      <c r="AH863" s="96">
        <f t="shared" ref="AH863" si="2032">SUM(AB863+AD863+AF863)</f>
        <v>0</v>
      </c>
      <c r="AI863" s="96">
        <f t="shared" ref="AI863" si="2033">SUM(Y863+AG863)</f>
        <v>2.2770000000000001</v>
      </c>
      <c r="AJ863" s="96">
        <f t="shared" ref="AJ863" si="2034">SUM(Z863,AH863)</f>
        <v>48.06747</v>
      </c>
      <c r="AK863" s="96"/>
      <c r="AL863" s="96">
        <f t="shared" ref="AL863" si="2035">N863*AK863/1000</f>
        <v>0</v>
      </c>
      <c r="AM863" s="96"/>
      <c r="AN863" s="96">
        <f t="shared" ref="AN863" si="2036">N863*AM863/1000</f>
        <v>0</v>
      </c>
      <c r="AO863" s="96"/>
      <c r="AP863" s="96">
        <f t="shared" ref="AP863" si="2037">N863*AO863/1000</f>
        <v>0</v>
      </c>
      <c r="AQ863" s="96">
        <f t="shared" ref="AQ863" si="2038">SUM(AK863+AM863+AO863)</f>
        <v>0</v>
      </c>
      <c r="AR863" s="96">
        <f t="shared" ref="AR863" si="2039">SUM(AL863+AN863+AP863)</f>
        <v>0</v>
      </c>
      <c r="AS863" s="96"/>
      <c r="AT863" s="96">
        <f t="shared" ref="AT863" si="2040">P863*AS863/1000</f>
        <v>0</v>
      </c>
      <c r="AU863" s="96"/>
      <c r="AV863" s="96">
        <f t="shared" ref="AV863" si="2041">P863*AU863/1000</f>
        <v>0</v>
      </c>
      <c r="AW863" s="96"/>
      <c r="AX863" s="96">
        <f t="shared" ref="AX863" si="2042">P863*AW863/1000</f>
        <v>0</v>
      </c>
      <c r="AY863" s="96">
        <f t="shared" ref="AY863" si="2043">SUM(AS863+AU863+AW863)</f>
        <v>0</v>
      </c>
      <c r="AZ863" s="96">
        <f t="shared" ref="AZ863" si="2044">SUM(AT863+AV863+AX863)</f>
        <v>0</v>
      </c>
      <c r="BA863" s="96">
        <f t="shared" ref="BA863" si="2045">SUM(AQ863+AY863)</f>
        <v>0</v>
      </c>
      <c r="BB863" s="96">
        <f t="shared" ref="BB863" si="2046">SUM(AR863,AZ863)</f>
        <v>0</v>
      </c>
    </row>
    <row r="864" spans="1:54">
      <c r="A864" s="492">
        <v>530</v>
      </c>
      <c r="B864" s="13"/>
      <c r="C864" s="13"/>
      <c r="D864" s="13"/>
      <c r="E864" s="13" t="s">
        <v>474</v>
      </c>
      <c r="F864" s="23"/>
      <c r="G864" s="23" t="s">
        <v>1059</v>
      </c>
      <c r="H864" s="266" t="s">
        <v>359</v>
      </c>
      <c r="I864" s="73"/>
      <c r="J864" s="170">
        <v>9491</v>
      </c>
      <c r="K864" s="73"/>
      <c r="L864" s="170">
        <v>9491</v>
      </c>
      <c r="M864" s="73"/>
      <c r="N864" s="170"/>
      <c r="O864" s="73"/>
      <c r="P864" s="170"/>
      <c r="Q864" s="118">
        <f t="shared" si="1935"/>
        <v>0</v>
      </c>
      <c r="R864" s="344">
        <f t="shared" si="1936"/>
        <v>0</v>
      </c>
      <c r="S864" s="118"/>
      <c r="T864" s="118">
        <f t="shared" si="1923"/>
        <v>0</v>
      </c>
      <c r="U864" s="118"/>
      <c r="V864" s="118">
        <f t="shared" si="1924"/>
        <v>0</v>
      </c>
      <c r="W864" s="118"/>
      <c r="X864" s="118">
        <f t="shared" si="1925"/>
        <v>0</v>
      </c>
      <c r="Y864" s="118">
        <f t="shared" si="1937"/>
        <v>0</v>
      </c>
      <c r="Z864" s="118">
        <f t="shared" si="1938"/>
        <v>0</v>
      </c>
      <c r="AA864" s="118"/>
      <c r="AB864" s="118">
        <f t="shared" si="1926"/>
        <v>0</v>
      </c>
      <c r="AC864" s="118"/>
      <c r="AD864" s="118">
        <f t="shared" si="1927"/>
        <v>0</v>
      </c>
      <c r="AE864" s="118"/>
      <c r="AF864" s="118">
        <f t="shared" si="1928"/>
        <v>0</v>
      </c>
      <c r="AG864" s="118">
        <f t="shared" si="1939"/>
        <v>0</v>
      </c>
      <c r="AH864" s="118">
        <f t="shared" si="1940"/>
        <v>0</v>
      </c>
      <c r="AI864" s="118">
        <f t="shared" si="1941"/>
        <v>0</v>
      </c>
      <c r="AJ864" s="118">
        <f t="shared" si="1942"/>
        <v>0</v>
      </c>
      <c r="AK864" s="118"/>
      <c r="AL864" s="118">
        <f t="shared" si="1929"/>
        <v>0</v>
      </c>
      <c r="AM864" s="118"/>
      <c r="AN864" s="118">
        <f t="shared" si="1930"/>
        <v>0</v>
      </c>
      <c r="AO864" s="118"/>
      <c r="AP864" s="118">
        <f t="shared" si="1931"/>
        <v>0</v>
      </c>
      <c r="AQ864" s="118">
        <f t="shared" si="1943"/>
        <v>0</v>
      </c>
      <c r="AR864" s="118">
        <f t="shared" si="1944"/>
        <v>0</v>
      </c>
      <c r="AS864" s="118"/>
      <c r="AT864" s="118">
        <f t="shared" si="1932"/>
        <v>0</v>
      </c>
      <c r="AU864" s="118"/>
      <c r="AV864" s="118">
        <f t="shared" si="1933"/>
        <v>0</v>
      </c>
      <c r="AW864" s="118"/>
      <c r="AX864" s="118">
        <f t="shared" si="1934"/>
        <v>0</v>
      </c>
      <c r="AY864" s="118">
        <f t="shared" si="1945"/>
        <v>0</v>
      </c>
      <c r="AZ864" s="118">
        <f t="shared" si="1946"/>
        <v>0</v>
      </c>
      <c r="BA864" s="118">
        <f t="shared" si="1947"/>
        <v>0</v>
      </c>
      <c r="BB864" s="118">
        <f t="shared" si="1948"/>
        <v>0</v>
      </c>
    </row>
    <row r="865" spans="1:54">
      <c r="B865" s="13"/>
      <c r="C865" s="13"/>
      <c r="D865" s="13"/>
      <c r="E865" s="21" t="s">
        <v>1222</v>
      </c>
      <c r="F865" s="45"/>
      <c r="G865" s="45" t="s">
        <v>1056</v>
      </c>
      <c r="H865" s="265" t="s">
        <v>358</v>
      </c>
      <c r="I865" s="54"/>
      <c r="J865" s="162">
        <v>16263</v>
      </c>
      <c r="K865" s="54"/>
      <c r="L865" s="162">
        <v>19041</v>
      </c>
      <c r="M865" s="54"/>
      <c r="N865" s="162"/>
      <c r="O865" s="54"/>
      <c r="P865" s="162"/>
      <c r="Q865" s="96">
        <f t="shared" si="1935"/>
        <v>1.2E-2</v>
      </c>
      <c r="R865" s="337">
        <f t="shared" si="1936"/>
        <v>0.195156</v>
      </c>
      <c r="S865" s="96">
        <v>1.2E-2</v>
      </c>
      <c r="T865" s="96">
        <f t="shared" si="1923"/>
        <v>0.195156</v>
      </c>
      <c r="U865" s="96"/>
      <c r="V865" s="96">
        <f t="shared" si="1924"/>
        <v>0</v>
      </c>
      <c r="W865" s="96"/>
      <c r="X865" s="96">
        <f t="shared" si="1925"/>
        <v>0</v>
      </c>
      <c r="Y865" s="96">
        <f t="shared" si="1937"/>
        <v>1.2E-2</v>
      </c>
      <c r="Z865" s="96">
        <f t="shared" si="1938"/>
        <v>0.195156</v>
      </c>
      <c r="AA865" s="96"/>
      <c r="AB865" s="96">
        <f t="shared" si="1926"/>
        <v>0</v>
      </c>
      <c r="AC865" s="96"/>
      <c r="AD865" s="96">
        <f t="shared" si="1927"/>
        <v>0</v>
      </c>
      <c r="AE865" s="96"/>
      <c r="AF865" s="96">
        <f t="shared" si="1928"/>
        <v>0</v>
      </c>
      <c r="AG865" s="96">
        <f t="shared" si="1939"/>
        <v>0</v>
      </c>
      <c r="AH865" s="96">
        <f t="shared" si="1940"/>
        <v>0</v>
      </c>
      <c r="AI865" s="96">
        <f t="shared" si="1941"/>
        <v>1.2E-2</v>
      </c>
      <c r="AJ865" s="96">
        <f t="shared" si="1942"/>
        <v>0.195156</v>
      </c>
      <c r="AK865" s="96"/>
      <c r="AL865" s="96">
        <f t="shared" si="1929"/>
        <v>0</v>
      </c>
      <c r="AM865" s="96"/>
      <c r="AN865" s="96">
        <f t="shared" si="1930"/>
        <v>0</v>
      </c>
      <c r="AO865" s="96"/>
      <c r="AP865" s="96">
        <f t="shared" si="1931"/>
        <v>0</v>
      </c>
      <c r="AQ865" s="96">
        <f t="shared" si="1943"/>
        <v>0</v>
      </c>
      <c r="AR865" s="96">
        <f t="shared" si="1944"/>
        <v>0</v>
      </c>
      <c r="AS865" s="96"/>
      <c r="AT865" s="96">
        <f t="shared" si="1932"/>
        <v>0</v>
      </c>
      <c r="AU865" s="96"/>
      <c r="AV865" s="96">
        <f t="shared" si="1933"/>
        <v>0</v>
      </c>
      <c r="AW865" s="96"/>
      <c r="AX865" s="96">
        <f t="shared" si="1934"/>
        <v>0</v>
      </c>
      <c r="AY865" s="96">
        <f t="shared" si="1945"/>
        <v>0</v>
      </c>
      <c r="AZ865" s="96">
        <f t="shared" si="1946"/>
        <v>0</v>
      </c>
      <c r="BA865" s="96">
        <f t="shared" si="1947"/>
        <v>0</v>
      </c>
      <c r="BB865" s="96">
        <f t="shared" si="1948"/>
        <v>0</v>
      </c>
    </row>
    <row r="866" spans="1:54">
      <c r="A866" s="492">
        <v>531</v>
      </c>
      <c r="B866" s="13"/>
      <c r="C866" s="13"/>
      <c r="D866" s="13"/>
      <c r="E866" s="89" t="s">
        <v>519</v>
      </c>
      <c r="F866" s="424"/>
      <c r="G866" s="424" t="s">
        <v>1059</v>
      </c>
      <c r="H866" s="284" t="s">
        <v>359</v>
      </c>
      <c r="I866" s="75"/>
      <c r="J866" s="167">
        <v>17980</v>
      </c>
      <c r="K866" s="75"/>
      <c r="L866" s="167">
        <v>19041</v>
      </c>
      <c r="M866" s="75"/>
      <c r="N866" s="167"/>
      <c r="O866" s="75"/>
      <c r="P866" s="167"/>
      <c r="Q866" s="130">
        <f t="shared" si="1935"/>
        <v>2.23</v>
      </c>
      <c r="R866" s="347">
        <f t="shared" si="1936"/>
        <v>40.095400000000005</v>
      </c>
      <c r="S866" s="130">
        <v>0.624</v>
      </c>
      <c r="T866" s="130">
        <f t="shared" si="1923"/>
        <v>11.219520000000001</v>
      </c>
      <c r="U866" s="130">
        <v>1.6060000000000001</v>
      </c>
      <c r="V866" s="130">
        <f t="shared" si="1924"/>
        <v>28.875880000000002</v>
      </c>
      <c r="W866" s="130"/>
      <c r="X866" s="130">
        <f t="shared" si="1925"/>
        <v>0</v>
      </c>
      <c r="Y866" s="130">
        <f t="shared" si="1937"/>
        <v>2.23</v>
      </c>
      <c r="Z866" s="130">
        <f t="shared" si="1938"/>
        <v>40.095400000000005</v>
      </c>
      <c r="AA866" s="130"/>
      <c r="AB866" s="130">
        <f t="shared" si="1926"/>
        <v>0</v>
      </c>
      <c r="AC866" s="130"/>
      <c r="AD866" s="130">
        <f t="shared" si="1927"/>
        <v>0</v>
      </c>
      <c r="AE866" s="130"/>
      <c r="AF866" s="130">
        <f t="shared" si="1928"/>
        <v>0</v>
      </c>
      <c r="AG866" s="130">
        <f t="shared" si="1939"/>
        <v>0</v>
      </c>
      <c r="AH866" s="130">
        <f t="shared" si="1940"/>
        <v>0</v>
      </c>
      <c r="AI866" s="130">
        <f t="shared" si="1941"/>
        <v>2.23</v>
      </c>
      <c r="AJ866" s="130">
        <f t="shared" si="1942"/>
        <v>40.095400000000005</v>
      </c>
      <c r="AK866" s="130"/>
      <c r="AL866" s="130">
        <f t="shared" si="1929"/>
        <v>0</v>
      </c>
      <c r="AM866" s="130"/>
      <c r="AN866" s="130">
        <f t="shared" si="1930"/>
        <v>0</v>
      </c>
      <c r="AO866" s="130"/>
      <c r="AP866" s="130">
        <f t="shared" si="1931"/>
        <v>0</v>
      </c>
      <c r="AQ866" s="130">
        <f t="shared" si="1943"/>
        <v>0</v>
      </c>
      <c r="AR866" s="130">
        <f t="shared" si="1944"/>
        <v>0</v>
      </c>
      <c r="AS866" s="130"/>
      <c r="AT866" s="130">
        <f t="shared" si="1932"/>
        <v>0</v>
      </c>
      <c r="AU866" s="130"/>
      <c r="AV866" s="130">
        <f t="shared" si="1933"/>
        <v>0</v>
      </c>
      <c r="AW866" s="130"/>
      <c r="AX866" s="130">
        <f t="shared" si="1934"/>
        <v>0</v>
      </c>
      <c r="AY866" s="130">
        <f t="shared" si="1945"/>
        <v>0</v>
      </c>
      <c r="AZ866" s="130">
        <f t="shared" si="1946"/>
        <v>0</v>
      </c>
      <c r="BA866" s="130">
        <f t="shared" si="1947"/>
        <v>0</v>
      </c>
      <c r="BB866" s="130">
        <f t="shared" si="1948"/>
        <v>0</v>
      </c>
    </row>
    <row r="867" spans="1:54">
      <c r="A867" s="492">
        <v>532</v>
      </c>
      <c r="B867" s="13"/>
      <c r="C867" s="13"/>
      <c r="D867" s="13"/>
      <c r="E867" s="21" t="s">
        <v>518</v>
      </c>
      <c r="F867" s="45"/>
      <c r="G867" s="45" t="s">
        <v>1059</v>
      </c>
      <c r="H867" s="265" t="s">
        <v>360</v>
      </c>
      <c r="I867" s="54"/>
      <c r="J867" s="162">
        <v>20367</v>
      </c>
      <c r="K867" s="54"/>
      <c r="L867" s="162">
        <v>21569</v>
      </c>
      <c r="M867" s="54"/>
      <c r="N867" s="162"/>
      <c r="O867" s="54"/>
      <c r="P867" s="162"/>
      <c r="Q867" s="96">
        <f t="shared" si="1935"/>
        <v>1.2840000000000003</v>
      </c>
      <c r="R867" s="337">
        <f t="shared" si="1936"/>
        <v>26.264215999999998</v>
      </c>
      <c r="S867" s="96">
        <v>0.49</v>
      </c>
      <c r="T867" s="96">
        <f t="shared" si="1923"/>
        <v>9.9798299999999998</v>
      </c>
      <c r="U867" s="96">
        <v>0.65400000000000003</v>
      </c>
      <c r="V867" s="96">
        <f t="shared" si="1924"/>
        <v>13.320017999999999</v>
      </c>
      <c r="W867" s="96">
        <v>4.5999999999999999E-2</v>
      </c>
      <c r="X867" s="96">
        <f t="shared" si="1925"/>
        <v>0.93688199999999999</v>
      </c>
      <c r="Y867" s="96">
        <f t="shared" si="1937"/>
        <v>1.1900000000000002</v>
      </c>
      <c r="Z867" s="96">
        <f t="shared" si="1938"/>
        <v>24.236729999999998</v>
      </c>
      <c r="AA867" s="96">
        <v>9.4E-2</v>
      </c>
      <c r="AB867" s="96">
        <f t="shared" si="1926"/>
        <v>2.0274860000000001</v>
      </c>
      <c r="AC867" s="96"/>
      <c r="AD867" s="96">
        <f t="shared" si="1927"/>
        <v>0</v>
      </c>
      <c r="AE867" s="96"/>
      <c r="AF867" s="96">
        <f t="shared" si="1928"/>
        <v>0</v>
      </c>
      <c r="AG867" s="96">
        <f t="shared" si="1939"/>
        <v>9.4E-2</v>
      </c>
      <c r="AH867" s="96">
        <f t="shared" si="1940"/>
        <v>2.0274860000000001</v>
      </c>
      <c r="AI867" s="96">
        <f t="shared" si="1941"/>
        <v>1.2840000000000003</v>
      </c>
      <c r="AJ867" s="96">
        <f t="shared" si="1942"/>
        <v>26.264215999999998</v>
      </c>
      <c r="AK867" s="96"/>
      <c r="AL867" s="96">
        <f t="shared" si="1929"/>
        <v>0</v>
      </c>
      <c r="AM867" s="96"/>
      <c r="AN867" s="96">
        <f t="shared" si="1930"/>
        <v>0</v>
      </c>
      <c r="AO867" s="96"/>
      <c r="AP867" s="121">
        <f t="shared" si="1931"/>
        <v>0</v>
      </c>
      <c r="AQ867" s="96">
        <f t="shared" si="1943"/>
        <v>0</v>
      </c>
      <c r="AR867" s="96">
        <f t="shared" si="1944"/>
        <v>0</v>
      </c>
      <c r="AS867" s="96"/>
      <c r="AT867" s="96">
        <f t="shared" si="1932"/>
        <v>0</v>
      </c>
      <c r="AU867" s="96"/>
      <c r="AV867" s="96">
        <f t="shared" si="1933"/>
        <v>0</v>
      </c>
      <c r="AW867" s="96"/>
      <c r="AX867" s="96">
        <f t="shared" si="1934"/>
        <v>0</v>
      </c>
      <c r="AY867" s="96">
        <f t="shared" si="1945"/>
        <v>0</v>
      </c>
      <c r="AZ867" s="96">
        <f t="shared" si="1946"/>
        <v>0</v>
      </c>
      <c r="BA867" s="96">
        <f t="shared" si="1947"/>
        <v>0</v>
      </c>
      <c r="BB867" s="96">
        <f t="shared" si="1948"/>
        <v>0</v>
      </c>
    </row>
    <row r="868" spans="1:54">
      <c r="A868" s="492">
        <v>533</v>
      </c>
      <c r="B868" s="13"/>
      <c r="C868" s="13"/>
      <c r="D868" s="13"/>
      <c r="E868" s="24" t="s">
        <v>834</v>
      </c>
      <c r="F868" s="366"/>
      <c r="G868" s="366" t="s">
        <v>1059</v>
      </c>
      <c r="H868" s="282" t="s">
        <v>360</v>
      </c>
      <c r="I868" s="79"/>
      <c r="J868" s="171">
        <v>20756</v>
      </c>
      <c r="K868" s="79"/>
      <c r="L868" s="171">
        <v>21981</v>
      </c>
      <c r="M868" s="79"/>
      <c r="N868" s="171"/>
      <c r="O868" s="79"/>
      <c r="P868" s="171"/>
      <c r="Q868" s="133">
        <f t="shared" si="1935"/>
        <v>0.378</v>
      </c>
      <c r="R868" s="342">
        <f t="shared" si="1936"/>
        <v>7.8886430000000001</v>
      </c>
      <c r="S868" s="133">
        <v>0.113</v>
      </c>
      <c r="T868" s="133">
        <f t="shared" si="1923"/>
        <v>2.3454280000000001</v>
      </c>
      <c r="U868" s="133">
        <v>0.1</v>
      </c>
      <c r="V868" s="133">
        <f t="shared" si="1924"/>
        <v>2.0756000000000001</v>
      </c>
      <c r="W868" s="133">
        <v>0.13</v>
      </c>
      <c r="X868" s="133">
        <f t="shared" si="1925"/>
        <v>2.69828</v>
      </c>
      <c r="Y868" s="133">
        <f t="shared" si="1937"/>
        <v>0.34300000000000003</v>
      </c>
      <c r="Z868" s="133">
        <f t="shared" si="1938"/>
        <v>7.1193080000000002</v>
      </c>
      <c r="AA868" s="133">
        <v>3.5000000000000003E-2</v>
      </c>
      <c r="AB868" s="133">
        <f t="shared" si="1926"/>
        <v>0.76933499999999999</v>
      </c>
      <c r="AC868" s="133"/>
      <c r="AD868" s="133">
        <f t="shared" si="1927"/>
        <v>0</v>
      </c>
      <c r="AE868" s="133"/>
      <c r="AF868" s="133">
        <f t="shared" si="1928"/>
        <v>0</v>
      </c>
      <c r="AG868" s="133">
        <f t="shared" si="1939"/>
        <v>3.5000000000000003E-2</v>
      </c>
      <c r="AH868" s="133">
        <f t="shared" si="1940"/>
        <v>0.76933499999999999</v>
      </c>
      <c r="AI868" s="133">
        <f t="shared" si="1941"/>
        <v>0.378</v>
      </c>
      <c r="AJ868" s="133">
        <f t="shared" si="1942"/>
        <v>7.8886430000000001</v>
      </c>
      <c r="AK868" s="133"/>
      <c r="AL868" s="133">
        <f t="shared" si="1929"/>
        <v>0</v>
      </c>
      <c r="AM868" s="133"/>
      <c r="AN868" s="133">
        <f t="shared" si="1930"/>
        <v>0</v>
      </c>
      <c r="AO868" s="133"/>
      <c r="AP868" s="130">
        <f t="shared" si="1931"/>
        <v>0</v>
      </c>
      <c r="AQ868" s="133">
        <f t="shared" si="1943"/>
        <v>0</v>
      </c>
      <c r="AR868" s="133">
        <f t="shared" si="1944"/>
        <v>0</v>
      </c>
      <c r="AS868" s="133"/>
      <c r="AT868" s="133">
        <f t="shared" si="1932"/>
        <v>0</v>
      </c>
      <c r="AU868" s="133"/>
      <c r="AV868" s="133">
        <f t="shared" si="1933"/>
        <v>0</v>
      </c>
      <c r="AW868" s="133"/>
      <c r="AX868" s="133">
        <f t="shared" si="1934"/>
        <v>0</v>
      </c>
      <c r="AY868" s="133">
        <f t="shared" si="1945"/>
        <v>0</v>
      </c>
      <c r="AZ868" s="133">
        <f t="shared" si="1946"/>
        <v>0</v>
      </c>
      <c r="BA868" s="133">
        <f t="shared" si="1947"/>
        <v>0</v>
      </c>
      <c r="BB868" s="133">
        <f t="shared" si="1948"/>
        <v>0</v>
      </c>
    </row>
    <row r="869" spans="1:54">
      <c r="A869" s="492">
        <v>534</v>
      </c>
      <c r="B869" s="13"/>
      <c r="C869" s="23"/>
      <c r="D869" s="70"/>
      <c r="E869" s="551" t="s">
        <v>330</v>
      </c>
      <c r="F869" s="234"/>
      <c r="G869" s="234"/>
      <c r="H869" s="266"/>
      <c r="I869" s="151"/>
      <c r="J869" s="170"/>
      <c r="K869" s="73"/>
      <c r="L869" s="170"/>
      <c r="M869" s="73"/>
      <c r="N869" s="170"/>
      <c r="O869" s="151"/>
      <c r="P869" s="170"/>
      <c r="Q869" s="122">
        <f t="shared" ref="Q869:BB869" si="2047">SUM(Q765:Q868)</f>
        <v>235.786</v>
      </c>
      <c r="R869" s="122">
        <f t="shared" si="2047"/>
        <v>1858.4558527018</v>
      </c>
      <c r="S869" s="122">
        <f t="shared" si="2047"/>
        <v>66.344999999999999</v>
      </c>
      <c r="T869" s="122">
        <f t="shared" si="2047"/>
        <v>519.19492458599996</v>
      </c>
      <c r="U869" s="122">
        <f t="shared" si="2047"/>
        <v>45.414999999999999</v>
      </c>
      <c r="V869" s="122">
        <f t="shared" si="2047"/>
        <v>379.36976107639998</v>
      </c>
      <c r="W869" s="122">
        <f t="shared" si="2047"/>
        <v>69.768000000000001</v>
      </c>
      <c r="X869" s="122">
        <f t="shared" si="2047"/>
        <v>561.55447672099979</v>
      </c>
      <c r="Y869" s="122">
        <f t="shared" si="2047"/>
        <v>181.52800000000005</v>
      </c>
      <c r="Z869" s="122">
        <f t="shared" si="2047"/>
        <v>1460.1191623834</v>
      </c>
      <c r="AA869" s="122">
        <f t="shared" si="2047"/>
        <v>54.257999999999996</v>
      </c>
      <c r="AB869" s="122">
        <f t="shared" si="2047"/>
        <v>398.33669031840003</v>
      </c>
      <c r="AC869" s="122">
        <f t="shared" si="2047"/>
        <v>0</v>
      </c>
      <c r="AD869" s="122">
        <f t="shared" si="2047"/>
        <v>0</v>
      </c>
      <c r="AE869" s="122">
        <f t="shared" si="2047"/>
        <v>0</v>
      </c>
      <c r="AF869" s="122">
        <f t="shared" si="2047"/>
        <v>0</v>
      </c>
      <c r="AG869" s="122">
        <f t="shared" si="2047"/>
        <v>54.257999999999996</v>
      </c>
      <c r="AH869" s="122">
        <f t="shared" si="2047"/>
        <v>398.33669031840003</v>
      </c>
      <c r="AI869" s="122">
        <f t="shared" si="2047"/>
        <v>235.786</v>
      </c>
      <c r="AJ869" s="122">
        <f t="shared" si="2047"/>
        <v>1858.4558527018</v>
      </c>
      <c r="AK869" s="122">
        <f t="shared" si="2047"/>
        <v>0</v>
      </c>
      <c r="AL869" s="122">
        <f t="shared" si="2047"/>
        <v>0</v>
      </c>
      <c r="AM869" s="122">
        <f t="shared" si="2047"/>
        <v>0</v>
      </c>
      <c r="AN869" s="122">
        <f t="shared" si="2047"/>
        <v>0</v>
      </c>
      <c r="AO869" s="122">
        <f t="shared" si="2047"/>
        <v>0</v>
      </c>
      <c r="AP869" s="122">
        <f t="shared" si="2047"/>
        <v>0</v>
      </c>
      <c r="AQ869" s="122">
        <f t="shared" si="2047"/>
        <v>0</v>
      </c>
      <c r="AR869" s="122">
        <f t="shared" si="2047"/>
        <v>0</v>
      </c>
      <c r="AS869" s="122">
        <f t="shared" si="2047"/>
        <v>0</v>
      </c>
      <c r="AT869" s="122">
        <f t="shared" si="2047"/>
        <v>0</v>
      </c>
      <c r="AU869" s="122">
        <f t="shared" si="2047"/>
        <v>0</v>
      </c>
      <c r="AV869" s="122">
        <f t="shared" si="2047"/>
        <v>0</v>
      </c>
      <c r="AW869" s="122">
        <f t="shared" si="2047"/>
        <v>0</v>
      </c>
      <c r="AX869" s="122">
        <f t="shared" si="2047"/>
        <v>0</v>
      </c>
      <c r="AY869" s="122">
        <f t="shared" si="2047"/>
        <v>0</v>
      </c>
      <c r="AZ869" s="122">
        <f t="shared" si="2047"/>
        <v>0</v>
      </c>
      <c r="BA869" s="122">
        <f t="shared" si="2047"/>
        <v>0</v>
      </c>
      <c r="BB869" s="122">
        <f t="shared" si="2047"/>
        <v>0</v>
      </c>
    </row>
    <row r="870" spans="1:54">
      <c r="A870" s="492">
        <v>535</v>
      </c>
      <c r="B870" s="13"/>
      <c r="C870" s="13"/>
      <c r="D870" s="52" t="s">
        <v>223</v>
      </c>
      <c r="E870" s="31" t="s">
        <v>1022</v>
      </c>
      <c r="F870" s="310"/>
      <c r="G870" s="310" t="s">
        <v>1059</v>
      </c>
      <c r="H870" s="271" t="s">
        <v>358</v>
      </c>
      <c r="I870" s="61"/>
      <c r="J870" s="163">
        <v>4310</v>
      </c>
      <c r="K870" s="61"/>
      <c r="L870" s="163">
        <v>4310</v>
      </c>
      <c r="M870" s="61"/>
      <c r="N870" s="163"/>
      <c r="O870" s="61"/>
      <c r="P870" s="163"/>
      <c r="Q870" s="121">
        <f t="shared" ref="Q870:R872" si="2048">SUM(AI870+BA870)</f>
        <v>0</v>
      </c>
      <c r="R870" s="341">
        <f t="shared" si="2048"/>
        <v>0</v>
      </c>
      <c r="S870" s="121"/>
      <c r="T870" s="121">
        <f>J870*S870/1000</f>
        <v>0</v>
      </c>
      <c r="U870" s="121"/>
      <c r="V870" s="121">
        <f>J870*U870/1000</f>
        <v>0</v>
      </c>
      <c r="W870" s="121"/>
      <c r="X870" s="121">
        <f>J870*W870/1000</f>
        <v>0</v>
      </c>
      <c r="Y870" s="121">
        <f t="shared" ref="Y870:Z872" si="2049">SUM(S870+U870+W870)</f>
        <v>0</v>
      </c>
      <c r="Z870" s="121">
        <f t="shared" si="2049"/>
        <v>0</v>
      </c>
      <c r="AA870" s="121"/>
      <c r="AB870" s="121">
        <f>L870*AA870/1000</f>
        <v>0</v>
      </c>
      <c r="AC870" s="121"/>
      <c r="AD870" s="121">
        <f>L870*AC870/1000</f>
        <v>0</v>
      </c>
      <c r="AE870" s="121"/>
      <c r="AF870" s="121">
        <f>L870*AE870/1000</f>
        <v>0</v>
      </c>
      <c r="AG870" s="121">
        <f t="shared" ref="AG870:AH872" si="2050">SUM(AA870+AC870+AE870)</f>
        <v>0</v>
      </c>
      <c r="AH870" s="121">
        <f t="shared" si="2050"/>
        <v>0</v>
      </c>
      <c r="AI870" s="121">
        <f>SUM(Y870+AG870)</f>
        <v>0</v>
      </c>
      <c r="AJ870" s="121">
        <f>SUM(Z870,AH870)</f>
        <v>0</v>
      </c>
      <c r="AK870" s="121"/>
      <c r="AL870" s="121">
        <f>N870*AK870/1000</f>
        <v>0</v>
      </c>
      <c r="AM870" s="121"/>
      <c r="AN870" s="121">
        <f>N870*AM870/1000</f>
        <v>0</v>
      </c>
      <c r="AO870" s="121"/>
      <c r="AP870" s="121">
        <f>N870*AO870/1000</f>
        <v>0</v>
      </c>
      <c r="AQ870" s="121">
        <f t="shared" ref="AQ870:AR872" si="2051">SUM(AK870+AM870+AO870)</f>
        <v>0</v>
      </c>
      <c r="AR870" s="121">
        <f t="shared" si="2051"/>
        <v>0</v>
      </c>
      <c r="AS870" s="121"/>
      <c r="AT870" s="121">
        <f>P870*AS870/1000</f>
        <v>0</v>
      </c>
      <c r="AU870" s="121"/>
      <c r="AV870" s="121">
        <f>P870*AU870/1000</f>
        <v>0</v>
      </c>
      <c r="AW870" s="121"/>
      <c r="AX870" s="121">
        <f>P870*AW870/1000</f>
        <v>0</v>
      </c>
      <c r="AY870" s="121">
        <f t="shared" ref="AY870:AZ872" si="2052">SUM(AS870+AU870+AW870)</f>
        <v>0</v>
      </c>
      <c r="AZ870" s="121">
        <f t="shared" si="2052"/>
        <v>0</v>
      </c>
      <c r="BA870" s="121">
        <f>SUM(AQ870+AY870)</f>
        <v>0</v>
      </c>
      <c r="BB870" s="121">
        <f>SUM(AR870,AZ870)</f>
        <v>0</v>
      </c>
    </row>
    <row r="871" spans="1:54">
      <c r="A871" s="492">
        <v>536</v>
      </c>
      <c r="B871" s="13"/>
      <c r="C871" s="13"/>
      <c r="D871" s="13"/>
      <c r="E871" s="21" t="s">
        <v>277</v>
      </c>
      <c r="F871" s="45"/>
      <c r="G871" s="45" t="s">
        <v>1059</v>
      </c>
      <c r="H871" s="265" t="s">
        <v>358</v>
      </c>
      <c r="I871" s="54"/>
      <c r="J871" s="162">
        <v>3824</v>
      </c>
      <c r="K871" s="54"/>
      <c r="L871" s="162">
        <v>3824</v>
      </c>
      <c r="M871" s="54"/>
      <c r="N871" s="162"/>
      <c r="O871" s="54"/>
      <c r="P871" s="162"/>
      <c r="Q871" s="96">
        <f t="shared" si="2048"/>
        <v>0</v>
      </c>
      <c r="R871" s="337">
        <f t="shared" si="2048"/>
        <v>0</v>
      </c>
      <c r="S871" s="96"/>
      <c r="T871" s="96">
        <f>J871*S871/1000</f>
        <v>0</v>
      </c>
      <c r="U871" s="96"/>
      <c r="V871" s="96">
        <f>J871*U871/1000</f>
        <v>0</v>
      </c>
      <c r="W871" s="96"/>
      <c r="X871" s="96">
        <f>J871*W871/1000</f>
        <v>0</v>
      </c>
      <c r="Y871" s="96">
        <f t="shared" si="2049"/>
        <v>0</v>
      </c>
      <c r="Z871" s="96">
        <f t="shared" si="2049"/>
        <v>0</v>
      </c>
      <c r="AA871" s="96"/>
      <c r="AB871" s="96">
        <f>L871*AA871/1000</f>
        <v>0</v>
      </c>
      <c r="AC871" s="96"/>
      <c r="AD871" s="96">
        <f>L871*AC871/1000</f>
        <v>0</v>
      </c>
      <c r="AE871" s="96"/>
      <c r="AF871" s="96">
        <f>L871*AE871/1000</f>
        <v>0</v>
      </c>
      <c r="AG871" s="96">
        <f t="shared" si="2050"/>
        <v>0</v>
      </c>
      <c r="AH871" s="96">
        <f t="shared" si="2050"/>
        <v>0</v>
      </c>
      <c r="AI871" s="96">
        <f>SUM(Y871+AG871)</f>
        <v>0</v>
      </c>
      <c r="AJ871" s="96">
        <f>SUM(Z871,AH871)</f>
        <v>0</v>
      </c>
      <c r="AK871" s="96"/>
      <c r="AL871" s="96">
        <f>N871*AK871/1000</f>
        <v>0</v>
      </c>
      <c r="AM871" s="96"/>
      <c r="AN871" s="96">
        <f>N871*AM871/1000</f>
        <v>0</v>
      </c>
      <c r="AO871" s="96"/>
      <c r="AP871" s="96">
        <f>N871*AO871/1000</f>
        <v>0</v>
      </c>
      <c r="AQ871" s="96">
        <f t="shared" si="2051"/>
        <v>0</v>
      </c>
      <c r="AR871" s="96">
        <f t="shared" si="2051"/>
        <v>0</v>
      </c>
      <c r="AS871" s="96"/>
      <c r="AT871" s="96">
        <f>P871*AS871/1000</f>
        <v>0</v>
      </c>
      <c r="AU871" s="96"/>
      <c r="AV871" s="96">
        <f>P871*AU871/1000</f>
        <v>0</v>
      </c>
      <c r="AW871" s="96"/>
      <c r="AX871" s="96">
        <f>P871*AW871/1000</f>
        <v>0</v>
      </c>
      <c r="AY871" s="96">
        <f t="shared" si="2052"/>
        <v>0</v>
      </c>
      <c r="AZ871" s="96">
        <f t="shared" si="2052"/>
        <v>0</v>
      </c>
      <c r="BA871" s="96">
        <f>SUM(AQ871+AY871)</f>
        <v>0</v>
      </c>
      <c r="BB871" s="96">
        <f>SUM(AR871,AZ871)</f>
        <v>0</v>
      </c>
    </row>
    <row r="872" spans="1:54">
      <c r="A872" s="492">
        <v>537</v>
      </c>
      <c r="B872" s="13"/>
      <c r="C872" s="13"/>
      <c r="D872" s="13"/>
      <c r="E872" s="50" t="s">
        <v>278</v>
      </c>
      <c r="F872" s="64"/>
      <c r="G872" s="64" t="s">
        <v>1059</v>
      </c>
      <c r="H872" s="272" t="s">
        <v>358</v>
      </c>
      <c r="I872" s="57"/>
      <c r="J872" s="166">
        <v>4810</v>
      </c>
      <c r="K872" s="57"/>
      <c r="L872" s="166">
        <v>4810</v>
      </c>
      <c r="M872" s="57"/>
      <c r="N872" s="166"/>
      <c r="O872" s="57"/>
      <c r="P872" s="166"/>
      <c r="Q872" s="94">
        <f t="shared" si="2048"/>
        <v>0</v>
      </c>
      <c r="R872" s="338">
        <f t="shared" si="2048"/>
        <v>0</v>
      </c>
      <c r="S872" s="94"/>
      <c r="T872" s="94">
        <f>J872*S872/1000</f>
        <v>0</v>
      </c>
      <c r="U872" s="94"/>
      <c r="V872" s="94">
        <f>J872*U872/1000</f>
        <v>0</v>
      </c>
      <c r="W872" s="94"/>
      <c r="X872" s="94">
        <f>J872*W872/1000</f>
        <v>0</v>
      </c>
      <c r="Y872" s="94">
        <f t="shared" si="2049"/>
        <v>0</v>
      </c>
      <c r="Z872" s="94">
        <f t="shared" si="2049"/>
        <v>0</v>
      </c>
      <c r="AA872" s="94"/>
      <c r="AB872" s="94">
        <f>L872*AA872/1000</f>
        <v>0</v>
      </c>
      <c r="AC872" s="94"/>
      <c r="AD872" s="94">
        <f>L872*AC872/1000</f>
        <v>0</v>
      </c>
      <c r="AE872" s="94"/>
      <c r="AF872" s="94">
        <f>L872*AE872/1000</f>
        <v>0</v>
      </c>
      <c r="AG872" s="94">
        <f t="shared" si="2050"/>
        <v>0</v>
      </c>
      <c r="AH872" s="94">
        <f t="shared" si="2050"/>
        <v>0</v>
      </c>
      <c r="AI872" s="94">
        <f>SUM(Y872+AG872)</f>
        <v>0</v>
      </c>
      <c r="AJ872" s="94">
        <f>SUM(Z872,AH872)</f>
        <v>0</v>
      </c>
      <c r="AK872" s="94"/>
      <c r="AL872" s="94">
        <f>N872*AK872/1000</f>
        <v>0</v>
      </c>
      <c r="AM872" s="94"/>
      <c r="AN872" s="94">
        <f>N872*AM872/1000</f>
        <v>0</v>
      </c>
      <c r="AO872" s="94"/>
      <c r="AP872" s="94">
        <f>N872*AO872/1000</f>
        <v>0</v>
      </c>
      <c r="AQ872" s="94">
        <f t="shared" si="2051"/>
        <v>0</v>
      </c>
      <c r="AR872" s="94">
        <f t="shared" si="2051"/>
        <v>0</v>
      </c>
      <c r="AS872" s="94"/>
      <c r="AT872" s="94">
        <f>P872*AS872/1000</f>
        <v>0</v>
      </c>
      <c r="AU872" s="94"/>
      <c r="AV872" s="94">
        <f>P872*AU872/1000</f>
        <v>0</v>
      </c>
      <c r="AW872" s="94"/>
      <c r="AX872" s="94">
        <f>P872*AW872/1000</f>
        <v>0</v>
      </c>
      <c r="AY872" s="94">
        <f t="shared" si="2052"/>
        <v>0</v>
      </c>
      <c r="AZ872" s="94">
        <f t="shared" si="2052"/>
        <v>0</v>
      </c>
      <c r="BA872" s="94">
        <f>SUM(AQ872+AY872)</f>
        <v>0</v>
      </c>
      <c r="BB872" s="94">
        <f>SUM(AR872,AZ872)</f>
        <v>0</v>
      </c>
    </row>
    <row r="873" spans="1:54">
      <c r="A873" s="492">
        <v>538</v>
      </c>
      <c r="B873" s="13"/>
      <c r="C873" s="23"/>
      <c r="D873" s="70"/>
      <c r="E873" s="324" t="s">
        <v>330</v>
      </c>
      <c r="F873" s="234"/>
      <c r="G873" s="234"/>
      <c r="H873" s="266"/>
      <c r="I873" s="151"/>
      <c r="J873" s="170"/>
      <c r="K873" s="73"/>
      <c r="L873" s="170"/>
      <c r="M873" s="73"/>
      <c r="N873" s="170"/>
      <c r="O873" s="151"/>
      <c r="P873" s="170"/>
      <c r="Q873" s="122">
        <f t="shared" ref="Q873:BB873" si="2053">SUM(Q870:Q872)</f>
        <v>0</v>
      </c>
      <c r="R873" s="122">
        <f t="shared" si="2053"/>
        <v>0</v>
      </c>
      <c r="S873" s="122">
        <f t="shared" si="2053"/>
        <v>0</v>
      </c>
      <c r="T873" s="122">
        <f t="shared" si="2053"/>
        <v>0</v>
      </c>
      <c r="U873" s="122">
        <f t="shared" si="2053"/>
        <v>0</v>
      </c>
      <c r="V873" s="122">
        <f t="shared" si="2053"/>
        <v>0</v>
      </c>
      <c r="W873" s="122">
        <f t="shared" si="2053"/>
        <v>0</v>
      </c>
      <c r="X873" s="122">
        <f t="shared" si="2053"/>
        <v>0</v>
      </c>
      <c r="Y873" s="122">
        <f t="shared" si="2053"/>
        <v>0</v>
      </c>
      <c r="Z873" s="122">
        <f t="shared" si="2053"/>
        <v>0</v>
      </c>
      <c r="AA873" s="122">
        <f t="shared" si="2053"/>
        <v>0</v>
      </c>
      <c r="AB873" s="122">
        <f t="shared" si="2053"/>
        <v>0</v>
      </c>
      <c r="AC873" s="122">
        <f t="shared" si="2053"/>
        <v>0</v>
      </c>
      <c r="AD873" s="122">
        <f t="shared" si="2053"/>
        <v>0</v>
      </c>
      <c r="AE873" s="122">
        <f t="shared" si="2053"/>
        <v>0</v>
      </c>
      <c r="AF873" s="122">
        <f t="shared" si="2053"/>
        <v>0</v>
      </c>
      <c r="AG873" s="122">
        <f t="shared" si="2053"/>
        <v>0</v>
      </c>
      <c r="AH873" s="122">
        <f t="shared" si="2053"/>
        <v>0</v>
      </c>
      <c r="AI873" s="122">
        <f t="shared" si="2053"/>
        <v>0</v>
      </c>
      <c r="AJ873" s="122">
        <f t="shared" si="2053"/>
        <v>0</v>
      </c>
      <c r="AK873" s="122">
        <f t="shared" si="2053"/>
        <v>0</v>
      </c>
      <c r="AL873" s="122">
        <f t="shared" si="2053"/>
        <v>0</v>
      </c>
      <c r="AM873" s="122">
        <f t="shared" si="2053"/>
        <v>0</v>
      </c>
      <c r="AN873" s="122">
        <f t="shared" si="2053"/>
        <v>0</v>
      </c>
      <c r="AO873" s="122">
        <f t="shared" si="2053"/>
        <v>0</v>
      </c>
      <c r="AP873" s="122">
        <f t="shared" si="2053"/>
        <v>0</v>
      </c>
      <c r="AQ873" s="122">
        <f t="shared" si="2053"/>
        <v>0</v>
      </c>
      <c r="AR873" s="122">
        <f t="shared" si="2053"/>
        <v>0</v>
      </c>
      <c r="AS873" s="122">
        <f t="shared" si="2053"/>
        <v>0</v>
      </c>
      <c r="AT873" s="122">
        <f t="shared" si="2053"/>
        <v>0</v>
      </c>
      <c r="AU873" s="122">
        <f t="shared" si="2053"/>
        <v>0</v>
      </c>
      <c r="AV873" s="122">
        <f t="shared" si="2053"/>
        <v>0</v>
      </c>
      <c r="AW873" s="122">
        <f t="shared" si="2053"/>
        <v>0</v>
      </c>
      <c r="AX873" s="122">
        <f t="shared" si="2053"/>
        <v>0</v>
      </c>
      <c r="AY873" s="122">
        <f t="shared" si="2053"/>
        <v>0</v>
      </c>
      <c r="AZ873" s="122">
        <f t="shared" si="2053"/>
        <v>0</v>
      </c>
      <c r="BA873" s="122">
        <f t="shared" si="2053"/>
        <v>0</v>
      </c>
      <c r="BB873" s="122">
        <f t="shared" si="2053"/>
        <v>0</v>
      </c>
    </row>
    <row r="874" spans="1:54" ht="12.75" customHeight="1">
      <c r="A874" s="492">
        <v>539</v>
      </c>
      <c r="B874" s="26"/>
      <c r="C874" s="27" t="s">
        <v>134</v>
      </c>
      <c r="D874" s="28"/>
      <c r="E874" s="550"/>
      <c r="F874" s="88"/>
      <c r="G874" s="88"/>
      <c r="H874" s="277"/>
      <c r="I874" s="74"/>
      <c r="J874" s="30"/>
      <c r="K874" s="74"/>
      <c r="L874" s="30"/>
      <c r="M874" s="74"/>
      <c r="N874" s="30"/>
      <c r="O874" s="74"/>
      <c r="P874" s="30"/>
      <c r="Q874" s="125">
        <f t="shared" ref="Q874:BB874" si="2054">Q873+Q869+Q764+Q737</f>
        <v>998.53599999999983</v>
      </c>
      <c r="R874" s="125">
        <f t="shared" si="2054"/>
        <v>12610.209029226604</v>
      </c>
      <c r="S874" s="125">
        <f t="shared" si="2054"/>
        <v>247.535</v>
      </c>
      <c r="T874" s="125">
        <f t="shared" si="2054"/>
        <v>3204.2430756179992</v>
      </c>
      <c r="U874" s="125">
        <f t="shared" si="2054"/>
        <v>213.25799999999998</v>
      </c>
      <c r="V874" s="125">
        <f t="shared" si="2054"/>
        <v>2632.5824889819996</v>
      </c>
      <c r="W874" s="125">
        <f t="shared" si="2054"/>
        <v>274.90699999999993</v>
      </c>
      <c r="X874" s="125">
        <f t="shared" si="2054"/>
        <v>3398.5175053082003</v>
      </c>
      <c r="Y874" s="125">
        <f t="shared" si="2054"/>
        <v>735.7</v>
      </c>
      <c r="Z874" s="125">
        <f t="shared" si="2054"/>
        <v>9235.3430699081982</v>
      </c>
      <c r="AA874" s="125">
        <f t="shared" si="2054"/>
        <v>262.83600000000001</v>
      </c>
      <c r="AB874" s="125">
        <f t="shared" si="2054"/>
        <v>3374.8659593184007</v>
      </c>
      <c r="AC874" s="125">
        <f t="shared" si="2054"/>
        <v>0</v>
      </c>
      <c r="AD874" s="125">
        <f t="shared" si="2054"/>
        <v>0</v>
      </c>
      <c r="AE874" s="125">
        <f t="shared" si="2054"/>
        <v>0</v>
      </c>
      <c r="AF874" s="125">
        <f t="shared" si="2054"/>
        <v>0</v>
      </c>
      <c r="AG874" s="125">
        <f t="shared" si="2054"/>
        <v>262.83600000000001</v>
      </c>
      <c r="AH874" s="125">
        <f t="shared" si="2054"/>
        <v>3374.8659593184007</v>
      </c>
      <c r="AI874" s="125">
        <f t="shared" si="2054"/>
        <v>998.53599999999983</v>
      </c>
      <c r="AJ874" s="125">
        <f t="shared" si="2054"/>
        <v>12610.209029226604</v>
      </c>
      <c r="AK874" s="125">
        <f t="shared" si="2054"/>
        <v>0</v>
      </c>
      <c r="AL874" s="125">
        <f t="shared" si="2054"/>
        <v>0</v>
      </c>
      <c r="AM874" s="125">
        <f t="shared" si="2054"/>
        <v>0</v>
      </c>
      <c r="AN874" s="125">
        <f t="shared" si="2054"/>
        <v>0</v>
      </c>
      <c r="AO874" s="125">
        <f t="shared" si="2054"/>
        <v>0</v>
      </c>
      <c r="AP874" s="125">
        <f t="shared" si="2054"/>
        <v>0</v>
      </c>
      <c r="AQ874" s="125">
        <f t="shared" si="2054"/>
        <v>0</v>
      </c>
      <c r="AR874" s="125">
        <f t="shared" si="2054"/>
        <v>0</v>
      </c>
      <c r="AS874" s="125">
        <f t="shared" si="2054"/>
        <v>0</v>
      </c>
      <c r="AT874" s="125">
        <f t="shared" si="2054"/>
        <v>0</v>
      </c>
      <c r="AU874" s="125">
        <f t="shared" si="2054"/>
        <v>0</v>
      </c>
      <c r="AV874" s="125">
        <f t="shared" si="2054"/>
        <v>0</v>
      </c>
      <c r="AW874" s="125">
        <f t="shared" si="2054"/>
        <v>0</v>
      </c>
      <c r="AX874" s="125">
        <f t="shared" si="2054"/>
        <v>0</v>
      </c>
      <c r="AY874" s="125">
        <f t="shared" si="2054"/>
        <v>0</v>
      </c>
      <c r="AZ874" s="125">
        <f t="shared" si="2054"/>
        <v>0</v>
      </c>
      <c r="BA874" s="125">
        <f t="shared" si="2054"/>
        <v>0</v>
      </c>
      <c r="BB874" s="125">
        <f t="shared" si="2054"/>
        <v>0</v>
      </c>
    </row>
    <row r="875" spans="1:54">
      <c r="A875" s="492">
        <v>540</v>
      </c>
      <c r="B875" s="13"/>
      <c r="C875" s="13" t="s">
        <v>135</v>
      </c>
      <c r="D875" s="13" t="s">
        <v>280</v>
      </c>
      <c r="E875" s="31" t="s">
        <v>1239</v>
      </c>
      <c r="F875" s="310"/>
      <c r="G875" s="310" t="s">
        <v>1060</v>
      </c>
      <c r="H875" s="271" t="s">
        <v>358</v>
      </c>
      <c r="I875" s="61"/>
      <c r="J875" s="163">
        <v>5559</v>
      </c>
      <c r="K875" s="61"/>
      <c r="L875" s="163">
        <v>5559</v>
      </c>
      <c r="M875" s="61"/>
      <c r="N875" s="163"/>
      <c r="O875" s="61"/>
      <c r="P875" s="163"/>
      <c r="Q875" s="121">
        <f t="shared" ref="Q875:Q888" si="2055">SUM(AI875+BA875)</f>
        <v>0</v>
      </c>
      <c r="R875" s="341">
        <f t="shared" ref="R875:R888" si="2056">SUM(AJ875+BB875)</f>
        <v>0</v>
      </c>
      <c r="S875" s="121"/>
      <c r="T875" s="121">
        <f t="shared" ref="T875:T888" si="2057">J875*S875/1000</f>
        <v>0</v>
      </c>
      <c r="U875" s="121"/>
      <c r="V875" s="121">
        <f t="shared" ref="V875:V888" si="2058">J875*U875/1000</f>
        <v>0</v>
      </c>
      <c r="W875" s="121"/>
      <c r="X875" s="121">
        <f t="shared" ref="X875:X888" si="2059">J875*W875/1000</f>
        <v>0</v>
      </c>
      <c r="Y875" s="121">
        <f t="shared" ref="Y875:Y888" si="2060">SUM(S875+U875+W875)</f>
        <v>0</v>
      </c>
      <c r="Z875" s="121">
        <f t="shared" ref="Z875:Z888" si="2061">SUM(T875+V875+X875)</f>
        <v>0</v>
      </c>
      <c r="AA875" s="121"/>
      <c r="AB875" s="121">
        <f t="shared" ref="AB875:AB888" si="2062">L875*AA875/1000</f>
        <v>0</v>
      </c>
      <c r="AC875" s="121"/>
      <c r="AD875" s="121">
        <f t="shared" ref="AD875:AD888" si="2063">L875*AC875/1000</f>
        <v>0</v>
      </c>
      <c r="AE875" s="121"/>
      <c r="AF875" s="121">
        <f t="shared" ref="AF875:AF888" si="2064">L875*AE875/1000</f>
        <v>0</v>
      </c>
      <c r="AG875" s="121">
        <f t="shared" ref="AG875:AG888" si="2065">SUM(AA875+AC875+AE875)</f>
        <v>0</v>
      </c>
      <c r="AH875" s="121">
        <f t="shared" ref="AH875:AH888" si="2066">SUM(AB875+AD875+AF875)</f>
        <v>0</v>
      </c>
      <c r="AI875" s="121">
        <f t="shared" ref="AI875:AI888" si="2067">SUM(Y875+AG875)</f>
        <v>0</v>
      </c>
      <c r="AJ875" s="121">
        <f t="shared" ref="AJ875:AJ888" si="2068">SUM(Z875,AH875)</f>
        <v>0</v>
      </c>
      <c r="AK875" s="121"/>
      <c r="AL875" s="121">
        <f t="shared" ref="AL875:AL888" si="2069">N875*AK875/1000</f>
        <v>0</v>
      </c>
      <c r="AM875" s="121"/>
      <c r="AN875" s="121">
        <f t="shared" ref="AN875:AN888" si="2070">N875*AM875/1000</f>
        <v>0</v>
      </c>
      <c r="AO875" s="121"/>
      <c r="AP875" s="121">
        <f t="shared" ref="AP875:AP888" si="2071">N875*AO875/1000</f>
        <v>0</v>
      </c>
      <c r="AQ875" s="121">
        <f t="shared" ref="AQ875:AQ888" si="2072">SUM(AK875+AM875+AO875)</f>
        <v>0</v>
      </c>
      <c r="AR875" s="121">
        <f t="shared" ref="AR875:AR888" si="2073">SUM(AL875+AN875+AP875)</f>
        <v>0</v>
      </c>
      <c r="AS875" s="121"/>
      <c r="AT875" s="121">
        <f t="shared" ref="AT875:AT888" si="2074">P875*AS875/1000</f>
        <v>0</v>
      </c>
      <c r="AU875" s="121"/>
      <c r="AV875" s="121">
        <f t="shared" ref="AV875:AV888" si="2075">P875*AU875/1000</f>
        <v>0</v>
      </c>
      <c r="AW875" s="121"/>
      <c r="AX875" s="121">
        <f t="shared" ref="AX875:AX888" si="2076">P875*AW875/1000</f>
        <v>0</v>
      </c>
      <c r="AY875" s="121">
        <f t="shared" ref="AY875:AY888" si="2077">SUM(AS875+AU875+AW875)</f>
        <v>0</v>
      </c>
      <c r="AZ875" s="121">
        <f t="shared" ref="AZ875:AZ888" si="2078">SUM(AT875+AV875+AX875)</f>
        <v>0</v>
      </c>
      <c r="BA875" s="121">
        <f t="shared" ref="BA875:BA888" si="2079">SUM(AQ875+AY875)</f>
        <v>0</v>
      </c>
      <c r="BB875" s="121">
        <f t="shared" ref="BB875:BB888" si="2080">SUM(AR875,AZ875)</f>
        <v>0</v>
      </c>
    </row>
    <row r="876" spans="1:54">
      <c r="A876" s="492">
        <v>541</v>
      </c>
      <c r="B876" s="13"/>
      <c r="C876" s="13"/>
      <c r="D876" s="13"/>
      <c r="E876" s="21" t="s">
        <v>1023</v>
      </c>
      <c r="F876" s="45"/>
      <c r="G876" s="45" t="s">
        <v>1060</v>
      </c>
      <c r="H876" s="265" t="s">
        <v>358</v>
      </c>
      <c r="I876" s="54"/>
      <c r="J876" s="162">
        <v>5887</v>
      </c>
      <c r="K876" s="54"/>
      <c r="L876" s="162">
        <v>6234</v>
      </c>
      <c r="M876" s="54"/>
      <c r="N876" s="162"/>
      <c r="O876" s="54"/>
      <c r="P876" s="162"/>
      <c r="Q876" s="96">
        <f t="shared" si="2055"/>
        <v>0.21800000000000003</v>
      </c>
      <c r="R876" s="337">
        <f t="shared" si="2056"/>
        <v>1.3007160000000002</v>
      </c>
      <c r="S876" s="96"/>
      <c r="T876" s="96">
        <f t="shared" si="2057"/>
        <v>0</v>
      </c>
      <c r="U876" s="96"/>
      <c r="V876" s="96">
        <f t="shared" si="2058"/>
        <v>0</v>
      </c>
      <c r="W876" s="96">
        <v>0.16800000000000001</v>
      </c>
      <c r="X876" s="96">
        <f t="shared" si="2059"/>
        <v>0.98901600000000012</v>
      </c>
      <c r="Y876" s="96">
        <f t="shared" si="2060"/>
        <v>0.16800000000000001</v>
      </c>
      <c r="Z876" s="96">
        <f t="shared" si="2061"/>
        <v>0.98901600000000012</v>
      </c>
      <c r="AA876" s="96">
        <v>0.05</v>
      </c>
      <c r="AB876" s="96">
        <f t="shared" si="2062"/>
        <v>0.31170000000000003</v>
      </c>
      <c r="AC876" s="96"/>
      <c r="AD876" s="96">
        <f t="shared" si="2063"/>
        <v>0</v>
      </c>
      <c r="AE876" s="96"/>
      <c r="AF876" s="96">
        <f t="shared" si="2064"/>
        <v>0</v>
      </c>
      <c r="AG876" s="96">
        <f t="shared" si="2065"/>
        <v>0.05</v>
      </c>
      <c r="AH876" s="96">
        <f t="shared" si="2066"/>
        <v>0.31170000000000003</v>
      </c>
      <c r="AI876" s="96">
        <f t="shared" si="2067"/>
        <v>0.21800000000000003</v>
      </c>
      <c r="AJ876" s="96">
        <f t="shared" si="2068"/>
        <v>1.3007160000000002</v>
      </c>
      <c r="AK876" s="96"/>
      <c r="AL876" s="96">
        <f t="shared" si="2069"/>
        <v>0</v>
      </c>
      <c r="AM876" s="96"/>
      <c r="AN876" s="96">
        <f t="shared" si="2070"/>
        <v>0</v>
      </c>
      <c r="AO876" s="96"/>
      <c r="AP876" s="96">
        <f t="shared" si="2071"/>
        <v>0</v>
      </c>
      <c r="AQ876" s="96">
        <f t="shared" si="2072"/>
        <v>0</v>
      </c>
      <c r="AR876" s="96">
        <f t="shared" si="2073"/>
        <v>0</v>
      </c>
      <c r="AS876" s="96"/>
      <c r="AT876" s="96">
        <f t="shared" si="2074"/>
        <v>0</v>
      </c>
      <c r="AU876" s="96"/>
      <c r="AV876" s="96">
        <f t="shared" si="2075"/>
        <v>0</v>
      </c>
      <c r="AW876" s="96"/>
      <c r="AX876" s="96">
        <f t="shared" si="2076"/>
        <v>0</v>
      </c>
      <c r="AY876" s="96">
        <f t="shared" si="2077"/>
        <v>0</v>
      </c>
      <c r="AZ876" s="96">
        <f t="shared" si="2078"/>
        <v>0</v>
      </c>
      <c r="BA876" s="96">
        <f t="shared" si="2079"/>
        <v>0</v>
      </c>
      <c r="BB876" s="96">
        <f t="shared" si="2080"/>
        <v>0</v>
      </c>
    </row>
    <row r="877" spans="1:54">
      <c r="A877" s="492">
        <v>542</v>
      </c>
      <c r="B877" s="13"/>
      <c r="C877" s="13"/>
      <c r="D877" s="13"/>
      <c r="E877" s="62" t="s">
        <v>1024</v>
      </c>
      <c r="F877" s="419"/>
      <c r="G877" s="419" t="s">
        <v>1060</v>
      </c>
      <c r="H877" s="281" t="s">
        <v>358</v>
      </c>
      <c r="I877" s="66"/>
      <c r="J877" s="165">
        <v>4850</v>
      </c>
      <c r="K877" s="66"/>
      <c r="L877" s="165">
        <v>4850</v>
      </c>
      <c r="M877" s="66"/>
      <c r="N877" s="165"/>
      <c r="O877" s="66"/>
      <c r="P877" s="165"/>
      <c r="Q877" s="128">
        <f t="shared" si="2055"/>
        <v>0</v>
      </c>
      <c r="R877" s="345">
        <f t="shared" si="2056"/>
        <v>0</v>
      </c>
      <c r="S877" s="128"/>
      <c r="T877" s="128">
        <f t="shared" si="2057"/>
        <v>0</v>
      </c>
      <c r="U877" s="128"/>
      <c r="V877" s="128">
        <f t="shared" si="2058"/>
        <v>0</v>
      </c>
      <c r="W877" s="128"/>
      <c r="X877" s="128">
        <f t="shared" si="2059"/>
        <v>0</v>
      </c>
      <c r="Y877" s="128">
        <f t="shared" si="2060"/>
        <v>0</v>
      </c>
      <c r="Z877" s="128">
        <f t="shared" si="2061"/>
        <v>0</v>
      </c>
      <c r="AA877" s="128"/>
      <c r="AB877" s="128">
        <f t="shared" si="2062"/>
        <v>0</v>
      </c>
      <c r="AC877" s="128"/>
      <c r="AD877" s="128">
        <f t="shared" si="2063"/>
        <v>0</v>
      </c>
      <c r="AE877" s="128"/>
      <c r="AF877" s="128">
        <f t="shared" si="2064"/>
        <v>0</v>
      </c>
      <c r="AG877" s="128">
        <f t="shared" si="2065"/>
        <v>0</v>
      </c>
      <c r="AH877" s="128">
        <f t="shared" si="2066"/>
        <v>0</v>
      </c>
      <c r="AI877" s="128">
        <f t="shared" si="2067"/>
        <v>0</v>
      </c>
      <c r="AJ877" s="128">
        <f t="shared" si="2068"/>
        <v>0</v>
      </c>
      <c r="AK877" s="128"/>
      <c r="AL877" s="128">
        <f t="shared" si="2069"/>
        <v>0</v>
      </c>
      <c r="AM877" s="128"/>
      <c r="AN877" s="128">
        <f t="shared" si="2070"/>
        <v>0</v>
      </c>
      <c r="AO877" s="128"/>
      <c r="AP877" s="128">
        <f t="shared" si="2071"/>
        <v>0</v>
      </c>
      <c r="AQ877" s="128">
        <f t="shared" si="2072"/>
        <v>0</v>
      </c>
      <c r="AR877" s="128">
        <f t="shared" si="2073"/>
        <v>0</v>
      </c>
      <c r="AS877" s="128"/>
      <c r="AT877" s="128">
        <f t="shared" si="2074"/>
        <v>0</v>
      </c>
      <c r="AU877" s="128"/>
      <c r="AV877" s="128">
        <f t="shared" si="2075"/>
        <v>0</v>
      </c>
      <c r="AW877" s="128"/>
      <c r="AX877" s="128">
        <f t="shared" si="2076"/>
        <v>0</v>
      </c>
      <c r="AY877" s="128">
        <f t="shared" si="2077"/>
        <v>0</v>
      </c>
      <c r="AZ877" s="128">
        <f t="shared" si="2078"/>
        <v>0</v>
      </c>
      <c r="BA877" s="128">
        <f t="shared" si="2079"/>
        <v>0</v>
      </c>
      <c r="BB877" s="128">
        <f t="shared" si="2080"/>
        <v>0</v>
      </c>
    </row>
    <row r="878" spans="1:54">
      <c r="A878" s="492">
        <v>543</v>
      </c>
      <c r="B878" s="13"/>
      <c r="C878" s="13"/>
      <c r="D878" s="13"/>
      <c r="E878" s="21" t="s">
        <v>1093</v>
      </c>
      <c r="F878" s="45"/>
      <c r="G878" s="45" t="s">
        <v>1060</v>
      </c>
      <c r="H878" s="265" t="s">
        <v>358</v>
      </c>
      <c r="I878" s="54"/>
      <c r="J878" s="162">
        <v>5935</v>
      </c>
      <c r="K878" s="54"/>
      <c r="L878" s="162">
        <v>6285</v>
      </c>
      <c r="M878" s="54"/>
      <c r="N878" s="162"/>
      <c r="O878" s="54"/>
      <c r="P878" s="162"/>
      <c r="Q878" s="96">
        <f t="shared" si="2055"/>
        <v>5.9039999999999999</v>
      </c>
      <c r="R878" s="337">
        <f t="shared" si="2056"/>
        <v>35.709440000000001</v>
      </c>
      <c r="S878" s="96">
        <v>2.234</v>
      </c>
      <c r="T878" s="96">
        <f t="shared" si="2057"/>
        <v>13.258789999999999</v>
      </c>
      <c r="U878" s="96">
        <v>1.758</v>
      </c>
      <c r="V878" s="96">
        <f t="shared" si="2058"/>
        <v>10.433729999999999</v>
      </c>
      <c r="W878" s="96"/>
      <c r="X878" s="96">
        <f t="shared" si="2059"/>
        <v>0</v>
      </c>
      <c r="Y878" s="96">
        <f t="shared" si="2060"/>
        <v>3.992</v>
      </c>
      <c r="Z878" s="96">
        <f t="shared" si="2061"/>
        <v>23.692519999999998</v>
      </c>
      <c r="AA878" s="96">
        <v>1.9119999999999999</v>
      </c>
      <c r="AB878" s="96">
        <f t="shared" si="2062"/>
        <v>12.016920000000001</v>
      </c>
      <c r="AC878" s="96"/>
      <c r="AD878" s="96">
        <f t="shared" si="2063"/>
        <v>0</v>
      </c>
      <c r="AE878" s="96"/>
      <c r="AF878" s="96">
        <f t="shared" si="2064"/>
        <v>0</v>
      </c>
      <c r="AG878" s="96">
        <f t="shared" si="2065"/>
        <v>1.9119999999999999</v>
      </c>
      <c r="AH878" s="96">
        <f t="shared" si="2066"/>
        <v>12.016920000000001</v>
      </c>
      <c r="AI878" s="96">
        <f t="shared" si="2067"/>
        <v>5.9039999999999999</v>
      </c>
      <c r="AJ878" s="96">
        <f t="shared" si="2068"/>
        <v>35.709440000000001</v>
      </c>
      <c r="AK878" s="96"/>
      <c r="AL878" s="96">
        <f t="shared" si="2069"/>
        <v>0</v>
      </c>
      <c r="AM878" s="96"/>
      <c r="AN878" s="96">
        <f t="shared" si="2070"/>
        <v>0</v>
      </c>
      <c r="AO878" s="96"/>
      <c r="AP878" s="96">
        <f t="shared" si="2071"/>
        <v>0</v>
      </c>
      <c r="AQ878" s="96">
        <f t="shared" si="2072"/>
        <v>0</v>
      </c>
      <c r="AR878" s="96">
        <f t="shared" si="2073"/>
        <v>0</v>
      </c>
      <c r="AS878" s="96"/>
      <c r="AT878" s="96">
        <f t="shared" si="2074"/>
        <v>0</v>
      </c>
      <c r="AU878" s="96"/>
      <c r="AV878" s="96">
        <f t="shared" si="2075"/>
        <v>0</v>
      </c>
      <c r="AW878" s="96"/>
      <c r="AX878" s="96">
        <f t="shared" si="2076"/>
        <v>0</v>
      </c>
      <c r="AY878" s="96">
        <f t="shared" si="2077"/>
        <v>0</v>
      </c>
      <c r="AZ878" s="96">
        <f t="shared" si="2078"/>
        <v>0</v>
      </c>
      <c r="BA878" s="96">
        <f t="shared" si="2079"/>
        <v>0</v>
      </c>
      <c r="BB878" s="96">
        <f t="shared" si="2080"/>
        <v>0</v>
      </c>
    </row>
    <row r="879" spans="1:54">
      <c r="A879" s="492">
        <v>542</v>
      </c>
      <c r="B879" s="13"/>
      <c r="C879" s="13"/>
      <c r="D879" s="13"/>
      <c r="E879" s="21" t="s">
        <v>1170</v>
      </c>
      <c r="F879" s="45"/>
      <c r="G879" s="45" t="s">
        <v>1060</v>
      </c>
      <c r="H879" s="265" t="s">
        <v>358</v>
      </c>
      <c r="I879" s="54"/>
      <c r="J879" s="162">
        <v>6006</v>
      </c>
      <c r="K879" s="54"/>
      <c r="L879" s="162">
        <v>6360</v>
      </c>
      <c r="M879" s="54"/>
      <c r="N879" s="162"/>
      <c r="O879" s="54"/>
      <c r="P879" s="162"/>
      <c r="Q879" s="96">
        <f t="shared" si="2055"/>
        <v>0.77200000000000002</v>
      </c>
      <c r="R879" s="337">
        <f t="shared" si="2056"/>
        <v>4.7676119999999997</v>
      </c>
      <c r="S879" s="96">
        <v>0.17599999999999999</v>
      </c>
      <c r="T879" s="96">
        <f t="shared" si="2057"/>
        <v>1.057056</v>
      </c>
      <c r="U879" s="96">
        <v>0.16600000000000001</v>
      </c>
      <c r="V879" s="96">
        <f t="shared" si="2058"/>
        <v>0.9969960000000001</v>
      </c>
      <c r="W879" s="96">
        <v>0.06</v>
      </c>
      <c r="X879" s="96">
        <f t="shared" si="2059"/>
        <v>0.36036000000000001</v>
      </c>
      <c r="Y879" s="96">
        <f t="shared" si="2060"/>
        <v>0.40199999999999997</v>
      </c>
      <c r="Z879" s="96">
        <f t="shared" si="2061"/>
        <v>2.414412</v>
      </c>
      <c r="AA879" s="96">
        <v>0.37</v>
      </c>
      <c r="AB879" s="96">
        <f t="shared" si="2062"/>
        <v>2.3531999999999997</v>
      </c>
      <c r="AC879" s="96"/>
      <c r="AD879" s="96">
        <f t="shared" si="2063"/>
        <v>0</v>
      </c>
      <c r="AE879" s="96"/>
      <c r="AF879" s="96">
        <f t="shared" si="2064"/>
        <v>0</v>
      </c>
      <c r="AG879" s="96">
        <f t="shared" si="2065"/>
        <v>0.37</v>
      </c>
      <c r="AH879" s="96">
        <f t="shared" si="2066"/>
        <v>2.3531999999999997</v>
      </c>
      <c r="AI879" s="96">
        <f t="shared" si="2067"/>
        <v>0.77200000000000002</v>
      </c>
      <c r="AJ879" s="96">
        <f t="shared" si="2068"/>
        <v>4.7676119999999997</v>
      </c>
      <c r="AK879" s="96"/>
      <c r="AL879" s="96">
        <f t="shared" si="2069"/>
        <v>0</v>
      </c>
      <c r="AM879" s="96"/>
      <c r="AN879" s="96">
        <f t="shared" si="2070"/>
        <v>0</v>
      </c>
      <c r="AO879" s="96"/>
      <c r="AP879" s="96">
        <f t="shared" si="2071"/>
        <v>0</v>
      </c>
      <c r="AQ879" s="96">
        <f t="shared" si="2072"/>
        <v>0</v>
      </c>
      <c r="AR879" s="96">
        <f t="shared" si="2073"/>
        <v>0</v>
      </c>
      <c r="AS879" s="96"/>
      <c r="AT879" s="96">
        <f t="shared" si="2074"/>
        <v>0</v>
      </c>
      <c r="AU879" s="96"/>
      <c r="AV879" s="96">
        <f t="shared" si="2075"/>
        <v>0</v>
      </c>
      <c r="AW879" s="96"/>
      <c r="AX879" s="96">
        <f t="shared" si="2076"/>
        <v>0</v>
      </c>
      <c r="AY879" s="96">
        <f t="shared" si="2077"/>
        <v>0</v>
      </c>
      <c r="AZ879" s="96">
        <f t="shared" si="2078"/>
        <v>0</v>
      </c>
      <c r="BA879" s="96">
        <f t="shared" si="2079"/>
        <v>0</v>
      </c>
      <c r="BB879" s="96">
        <f t="shared" si="2080"/>
        <v>0</v>
      </c>
    </row>
    <row r="880" spans="1:54">
      <c r="A880" s="492">
        <v>544</v>
      </c>
      <c r="B880" s="13"/>
      <c r="C880" s="13"/>
      <c r="D880" s="13"/>
      <c r="E880" s="13" t="s">
        <v>1025</v>
      </c>
      <c r="F880" s="23"/>
      <c r="G880" s="23" t="s">
        <v>1060</v>
      </c>
      <c r="H880" s="266" t="s">
        <v>358</v>
      </c>
      <c r="I880" s="73"/>
      <c r="J880" s="170">
        <v>1700</v>
      </c>
      <c r="K880" s="73"/>
      <c r="L880" s="170">
        <v>1800</v>
      </c>
      <c r="M880" s="73"/>
      <c r="N880" s="170"/>
      <c r="O880" s="73"/>
      <c r="P880" s="170"/>
      <c r="Q880" s="118">
        <f t="shared" si="2055"/>
        <v>0.216</v>
      </c>
      <c r="R880" s="344">
        <f t="shared" si="2056"/>
        <v>0.37080000000000002</v>
      </c>
      <c r="S880" s="118">
        <v>3.5999999999999997E-2</v>
      </c>
      <c r="T880" s="118">
        <f t="shared" si="2057"/>
        <v>6.1199999999999997E-2</v>
      </c>
      <c r="U880" s="118">
        <v>3.5999999999999997E-2</v>
      </c>
      <c r="V880" s="118">
        <f t="shared" si="2058"/>
        <v>6.1199999999999997E-2</v>
      </c>
      <c r="W880" s="118">
        <v>0.108</v>
      </c>
      <c r="X880" s="118">
        <f t="shared" si="2059"/>
        <v>0.18359999999999999</v>
      </c>
      <c r="Y880" s="118">
        <f t="shared" si="2060"/>
        <v>0.18</v>
      </c>
      <c r="Z880" s="118">
        <f t="shared" si="2061"/>
        <v>0.30599999999999999</v>
      </c>
      <c r="AA880" s="118">
        <v>3.5999999999999997E-2</v>
      </c>
      <c r="AB880" s="118">
        <f t="shared" si="2062"/>
        <v>6.4799999999999996E-2</v>
      </c>
      <c r="AC880" s="118"/>
      <c r="AD880" s="118">
        <f t="shared" si="2063"/>
        <v>0</v>
      </c>
      <c r="AE880" s="118"/>
      <c r="AF880" s="118">
        <f t="shared" si="2064"/>
        <v>0</v>
      </c>
      <c r="AG880" s="118">
        <f t="shared" si="2065"/>
        <v>3.5999999999999997E-2</v>
      </c>
      <c r="AH880" s="118">
        <f t="shared" si="2066"/>
        <v>6.4799999999999996E-2</v>
      </c>
      <c r="AI880" s="118">
        <f t="shared" si="2067"/>
        <v>0.216</v>
      </c>
      <c r="AJ880" s="118">
        <f t="shared" si="2068"/>
        <v>0.37080000000000002</v>
      </c>
      <c r="AK880" s="118"/>
      <c r="AL880" s="118">
        <f t="shared" si="2069"/>
        <v>0</v>
      </c>
      <c r="AM880" s="118"/>
      <c r="AN880" s="118">
        <f t="shared" si="2070"/>
        <v>0</v>
      </c>
      <c r="AO880" s="118"/>
      <c r="AP880" s="118">
        <f t="shared" si="2071"/>
        <v>0</v>
      </c>
      <c r="AQ880" s="118">
        <f t="shared" si="2072"/>
        <v>0</v>
      </c>
      <c r="AR880" s="118">
        <f t="shared" si="2073"/>
        <v>0</v>
      </c>
      <c r="AS880" s="118"/>
      <c r="AT880" s="118">
        <f t="shared" si="2074"/>
        <v>0</v>
      </c>
      <c r="AU880" s="118"/>
      <c r="AV880" s="118">
        <f t="shared" si="2075"/>
        <v>0</v>
      </c>
      <c r="AW880" s="118"/>
      <c r="AX880" s="118">
        <f t="shared" si="2076"/>
        <v>0</v>
      </c>
      <c r="AY880" s="118">
        <f t="shared" si="2077"/>
        <v>0</v>
      </c>
      <c r="AZ880" s="118">
        <f t="shared" si="2078"/>
        <v>0</v>
      </c>
      <c r="BA880" s="118">
        <f t="shared" si="2079"/>
        <v>0</v>
      </c>
      <c r="BB880" s="118">
        <f t="shared" si="2080"/>
        <v>0</v>
      </c>
    </row>
    <row r="881" spans="1:54">
      <c r="A881" s="492">
        <v>545</v>
      </c>
      <c r="B881" s="13"/>
      <c r="C881" s="13"/>
      <c r="D881" s="13"/>
      <c r="E881" s="485" t="s">
        <v>1106</v>
      </c>
      <c r="F881" s="486"/>
      <c r="G881" s="486" t="s">
        <v>1143</v>
      </c>
      <c r="H881" s="487" t="s">
        <v>358</v>
      </c>
      <c r="I881" s="488"/>
      <c r="J881" s="489">
        <v>6036</v>
      </c>
      <c r="K881" s="488"/>
      <c r="L881" s="489">
        <v>6392</v>
      </c>
      <c r="M881" s="488"/>
      <c r="N881" s="489"/>
      <c r="O881" s="488"/>
      <c r="P881" s="489"/>
      <c r="Q881" s="490">
        <f t="shared" si="2055"/>
        <v>2.794</v>
      </c>
      <c r="R881" s="491">
        <f t="shared" si="2056"/>
        <v>17.251912000000001</v>
      </c>
      <c r="S881" s="490">
        <v>7.5999999999999998E-2</v>
      </c>
      <c r="T881" s="490">
        <f t="shared" si="2057"/>
        <v>0.45873599999999998</v>
      </c>
      <c r="U881" s="490">
        <v>0.57599999999999996</v>
      </c>
      <c r="V881" s="490">
        <f t="shared" si="2058"/>
        <v>3.4767359999999998</v>
      </c>
      <c r="W881" s="490">
        <v>1.054</v>
      </c>
      <c r="X881" s="490">
        <f t="shared" si="2059"/>
        <v>6.3619440000000003</v>
      </c>
      <c r="Y881" s="490">
        <f t="shared" si="2060"/>
        <v>1.706</v>
      </c>
      <c r="Z881" s="490">
        <f t="shared" si="2061"/>
        <v>10.297416</v>
      </c>
      <c r="AA881" s="490">
        <v>1.0880000000000001</v>
      </c>
      <c r="AB881" s="490">
        <f t="shared" si="2062"/>
        <v>6.9544959999999998</v>
      </c>
      <c r="AC881" s="490"/>
      <c r="AD881" s="490">
        <f t="shared" si="2063"/>
        <v>0</v>
      </c>
      <c r="AE881" s="490"/>
      <c r="AF881" s="490">
        <f t="shared" si="2064"/>
        <v>0</v>
      </c>
      <c r="AG881" s="490">
        <f t="shared" si="2065"/>
        <v>1.0880000000000001</v>
      </c>
      <c r="AH881" s="490">
        <f t="shared" si="2066"/>
        <v>6.9544959999999998</v>
      </c>
      <c r="AI881" s="490">
        <f t="shared" si="2067"/>
        <v>2.794</v>
      </c>
      <c r="AJ881" s="490">
        <f t="shared" si="2068"/>
        <v>17.251912000000001</v>
      </c>
      <c r="AK881" s="490"/>
      <c r="AL881" s="490">
        <f t="shared" si="2069"/>
        <v>0</v>
      </c>
      <c r="AM881" s="490"/>
      <c r="AN881" s="490">
        <f t="shared" si="2070"/>
        <v>0</v>
      </c>
      <c r="AO881" s="490"/>
      <c r="AP881" s="490">
        <f t="shared" si="2071"/>
        <v>0</v>
      </c>
      <c r="AQ881" s="490">
        <f t="shared" si="2072"/>
        <v>0</v>
      </c>
      <c r="AR881" s="490">
        <f t="shared" si="2073"/>
        <v>0</v>
      </c>
      <c r="AS881" s="490"/>
      <c r="AT881" s="490">
        <f t="shared" si="2074"/>
        <v>0</v>
      </c>
      <c r="AU881" s="490"/>
      <c r="AV881" s="490">
        <f t="shared" si="2075"/>
        <v>0</v>
      </c>
      <c r="AW881" s="490"/>
      <c r="AX881" s="490">
        <f t="shared" si="2076"/>
        <v>0</v>
      </c>
      <c r="AY881" s="490">
        <f t="shared" si="2077"/>
        <v>0</v>
      </c>
      <c r="AZ881" s="490">
        <f t="shared" si="2078"/>
        <v>0</v>
      </c>
      <c r="BA881" s="490">
        <f t="shared" si="2079"/>
        <v>0</v>
      </c>
      <c r="BB881" s="490">
        <f t="shared" si="2080"/>
        <v>0</v>
      </c>
    </row>
    <row r="882" spans="1:54">
      <c r="A882" s="492">
        <v>546</v>
      </c>
      <c r="B882" s="13"/>
      <c r="C882" s="13"/>
      <c r="D882" s="13"/>
      <c r="E882" s="13" t="s">
        <v>225</v>
      </c>
      <c r="F882" s="23"/>
      <c r="G882" s="23" t="s">
        <v>1060</v>
      </c>
      <c r="H882" s="266" t="s">
        <v>358</v>
      </c>
      <c r="I882" s="73"/>
      <c r="J882" s="170">
        <v>6472</v>
      </c>
      <c r="K882" s="73"/>
      <c r="L882" s="170">
        <v>6854</v>
      </c>
      <c r="M882" s="73"/>
      <c r="N882" s="170"/>
      <c r="O882" s="73"/>
      <c r="P882" s="170"/>
      <c r="Q882" s="118">
        <f t="shared" si="2055"/>
        <v>5.7000000000000002E-2</v>
      </c>
      <c r="R882" s="344">
        <f t="shared" si="2056"/>
        <v>0.36890400000000001</v>
      </c>
      <c r="S882" s="118"/>
      <c r="T882" s="118">
        <f t="shared" si="2057"/>
        <v>0</v>
      </c>
      <c r="U882" s="118">
        <v>5.7000000000000002E-2</v>
      </c>
      <c r="V882" s="118">
        <f t="shared" si="2058"/>
        <v>0.36890400000000001</v>
      </c>
      <c r="W882" s="118"/>
      <c r="X882" s="118">
        <f t="shared" si="2059"/>
        <v>0</v>
      </c>
      <c r="Y882" s="118">
        <f t="shared" si="2060"/>
        <v>5.7000000000000002E-2</v>
      </c>
      <c r="Z882" s="118">
        <f t="shared" si="2061"/>
        <v>0.36890400000000001</v>
      </c>
      <c r="AA882" s="118"/>
      <c r="AB882" s="118">
        <f t="shared" si="2062"/>
        <v>0</v>
      </c>
      <c r="AC882" s="118"/>
      <c r="AD882" s="118">
        <f t="shared" si="2063"/>
        <v>0</v>
      </c>
      <c r="AE882" s="118"/>
      <c r="AF882" s="118">
        <f t="shared" si="2064"/>
        <v>0</v>
      </c>
      <c r="AG882" s="118">
        <f t="shared" si="2065"/>
        <v>0</v>
      </c>
      <c r="AH882" s="118">
        <f t="shared" si="2066"/>
        <v>0</v>
      </c>
      <c r="AI882" s="118">
        <f t="shared" si="2067"/>
        <v>5.7000000000000002E-2</v>
      </c>
      <c r="AJ882" s="118">
        <f t="shared" si="2068"/>
        <v>0.36890400000000001</v>
      </c>
      <c r="AK882" s="118"/>
      <c r="AL882" s="118">
        <f t="shared" si="2069"/>
        <v>0</v>
      </c>
      <c r="AM882" s="118"/>
      <c r="AN882" s="118">
        <f t="shared" si="2070"/>
        <v>0</v>
      </c>
      <c r="AO882" s="118"/>
      <c r="AP882" s="118">
        <f t="shared" si="2071"/>
        <v>0</v>
      </c>
      <c r="AQ882" s="118">
        <f t="shared" si="2072"/>
        <v>0</v>
      </c>
      <c r="AR882" s="118">
        <f t="shared" si="2073"/>
        <v>0</v>
      </c>
      <c r="AS882" s="118"/>
      <c r="AT882" s="118">
        <f t="shared" si="2074"/>
        <v>0</v>
      </c>
      <c r="AU882" s="118"/>
      <c r="AV882" s="118">
        <f t="shared" si="2075"/>
        <v>0</v>
      </c>
      <c r="AW882" s="118"/>
      <c r="AX882" s="118">
        <f t="shared" si="2076"/>
        <v>0</v>
      </c>
      <c r="AY882" s="118">
        <f t="shared" si="2077"/>
        <v>0</v>
      </c>
      <c r="AZ882" s="118">
        <f t="shared" si="2078"/>
        <v>0</v>
      </c>
      <c r="BA882" s="118">
        <f t="shared" si="2079"/>
        <v>0</v>
      </c>
      <c r="BB882" s="118">
        <f t="shared" si="2080"/>
        <v>0</v>
      </c>
    </row>
    <row r="883" spans="1:54">
      <c r="A883" s="492">
        <v>547</v>
      </c>
      <c r="B883" s="13"/>
      <c r="C883" s="13"/>
      <c r="D883" s="13"/>
      <c r="E883" s="485" t="s">
        <v>1026</v>
      </c>
      <c r="F883" s="486"/>
      <c r="G883" s="486" t="s">
        <v>1060</v>
      </c>
      <c r="H883" s="487" t="s">
        <v>358</v>
      </c>
      <c r="I883" s="488"/>
      <c r="J883" s="489">
        <v>5721</v>
      </c>
      <c r="K883" s="488"/>
      <c r="L883" s="489">
        <v>6059</v>
      </c>
      <c r="M883" s="488"/>
      <c r="N883" s="489"/>
      <c r="O883" s="488"/>
      <c r="P883" s="489"/>
      <c r="Q883" s="490">
        <f t="shared" si="2055"/>
        <v>21.984000000000002</v>
      </c>
      <c r="R883" s="491">
        <f t="shared" si="2056"/>
        <v>127.17384000000001</v>
      </c>
      <c r="S883" s="490">
        <v>10.08</v>
      </c>
      <c r="T883" s="490">
        <f t="shared" si="2057"/>
        <v>57.667679999999997</v>
      </c>
      <c r="U883" s="490">
        <v>0.72</v>
      </c>
      <c r="V883" s="490">
        <f t="shared" si="2058"/>
        <v>4.1191199999999997</v>
      </c>
      <c r="W883" s="490">
        <v>7.032</v>
      </c>
      <c r="X883" s="490">
        <f t="shared" si="2059"/>
        <v>40.230072</v>
      </c>
      <c r="Y883" s="490">
        <f t="shared" si="2060"/>
        <v>17.832000000000001</v>
      </c>
      <c r="Z883" s="490">
        <f t="shared" si="2061"/>
        <v>102.01687200000001</v>
      </c>
      <c r="AA883" s="490">
        <v>4.1520000000000001</v>
      </c>
      <c r="AB883" s="490">
        <f t="shared" si="2062"/>
        <v>25.156967999999999</v>
      </c>
      <c r="AC883" s="490"/>
      <c r="AD883" s="490">
        <f t="shared" si="2063"/>
        <v>0</v>
      </c>
      <c r="AE883" s="490"/>
      <c r="AF883" s="490">
        <f t="shared" si="2064"/>
        <v>0</v>
      </c>
      <c r="AG883" s="490">
        <f t="shared" si="2065"/>
        <v>4.1520000000000001</v>
      </c>
      <c r="AH883" s="490">
        <f t="shared" si="2066"/>
        <v>25.156967999999999</v>
      </c>
      <c r="AI883" s="490">
        <f t="shared" si="2067"/>
        <v>21.984000000000002</v>
      </c>
      <c r="AJ883" s="490">
        <f t="shared" si="2068"/>
        <v>127.17384000000001</v>
      </c>
      <c r="AK883" s="490"/>
      <c r="AL883" s="490">
        <f t="shared" si="2069"/>
        <v>0</v>
      </c>
      <c r="AM883" s="490"/>
      <c r="AN883" s="490">
        <f t="shared" si="2070"/>
        <v>0</v>
      </c>
      <c r="AO883" s="490"/>
      <c r="AP883" s="490">
        <f t="shared" si="2071"/>
        <v>0</v>
      </c>
      <c r="AQ883" s="490">
        <f t="shared" si="2072"/>
        <v>0</v>
      </c>
      <c r="AR883" s="490">
        <f t="shared" si="2073"/>
        <v>0</v>
      </c>
      <c r="AS883" s="490"/>
      <c r="AT883" s="490">
        <f t="shared" si="2074"/>
        <v>0</v>
      </c>
      <c r="AU883" s="490"/>
      <c r="AV883" s="490">
        <f t="shared" si="2075"/>
        <v>0</v>
      </c>
      <c r="AW883" s="490"/>
      <c r="AX883" s="490">
        <f t="shared" si="2076"/>
        <v>0</v>
      </c>
      <c r="AY883" s="490">
        <f t="shared" si="2077"/>
        <v>0</v>
      </c>
      <c r="AZ883" s="490">
        <f t="shared" si="2078"/>
        <v>0</v>
      </c>
      <c r="BA883" s="490">
        <f t="shared" si="2079"/>
        <v>0</v>
      </c>
      <c r="BB883" s="490">
        <f t="shared" si="2080"/>
        <v>0</v>
      </c>
    </row>
    <row r="884" spans="1:54">
      <c r="A884" s="492">
        <v>542</v>
      </c>
      <c r="B884" s="13"/>
      <c r="C884" s="13"/>
      <c r="D884" s="13"/>
      <c r="E884" s="485" t="s">
        <v>1171</v>
      </c>
      <c r="F884" s="486"/>
      <c r="G884" s="486" t="s">
        <v>1060</v>
      </c>
      <c r="H884" s="487" t="s">
        <v>358</v>
      </c>
      <c r="I884" s="488"/>
      <c r="J884" s="489">
        <v>6602</v>
      </c>
      <c r="K884" s="488"/>
      <c r="L884" s="489">
        <v>6992</v>
      </c>
      <c r="M884" s="488"/>
      <c r="N884" s="489"/>
      <c r="O884" s="488"/>
      <c r="P884" s="489"/>
      <c r="Q884" s="490">
        <f t="shared" si="2055"/>
        <v>0.81799999999999995</v>
      </c>
      <c r="R884" s="491">
        <f t="shared" si="2056"/>
        <v>5.4991060000000003</v>
      </c>
      <c r="S884" s="490">
        <v>0.26400000000000001</v>
      </c>
      <c r="T884" s="490">
        <f t="shared" si="2057"/>
        <v>1.742928</v>
      </c>
      <c r="U884" s="490"/>
      <c r="V884" s="490">
        <f t="shared" si="2058"/>
        <v>0</v>
      </c>
      <c r="W884" s="490">
        <v>0.30099999999999999</v>
      </c>
      <c r="X884" s="490">
        <f t="shared" si="2059"/>
        <v>1.9872019999999999</v>
      </c>
      <c r="Y884" s="490">
        <f t="shared" si="2060"/>
        <v>0.56499999999999995</v>
      </c>
      <c r="Z884" s="490">
        <f t="shared" si="2061"/>
        <v>3.7301299999999999</v>
      </c>
      <c r="AA884" s="490">
        <v>0.253</v>
      </c>
      <c r="AB884" s="490">
        <f t="shared" si="2062"/>
        <v>1.7689760000000001</v>
      </c>
      <c r="AC884" s="490"/>
      <c r="AD884" s="490">
        <f t="shared" si="2063"/>
        <v>0</v>
      </c>
      <c r="AE884" s="490"/>
      <c r="AF884" s="490">
        <f t="shared" si="2064"/>
        <v>0</v>
      </c>
      <c r="AG884" s="490">
        <f t="shared" si="2065"/>
        <v>0.253</v>
      </c>
      <c r="AH884" s="490">
        <f t="shared" si="2066"/>
        <v>1.7689760000000001</v>
      </c>
      <c r="AI884" s="490">
        <f t="shared" si="2067"/>
        <v>0.81799999999999995</v>
      </c>
      <c r="AJ884" s="490">
        <f t="shared" si="2068"/>
        <v>5.4991060000000003</v>
      </c>
      <c r="AK884" s="490"/>
      <c r="AL884" s="490">
        <f t="shared" si="2069"/>
        <v>0</v>
      </c>
      <c r="AM884" s="490"/>
      <c r="AN884" s="490">
        <f t="shared" si="2070"/>
        <v>0</v>
      </c>
      <c r="AO884" s="490"/>
      <c r="AP884" s="490">
        <f t="shared" si="2071"/>
        <v>0</v>
      </c>
      <c r="AQ884" s="490">
        <f t="shared" si="2072"/>
        <v>0</v>
      </c>
      <c r="AR884" s="490">
        <f t="shared" si="2073"/>
        <v>0</v>
      </c>
      <c r="AS884" s="490"/>
      <c r="AT884" s="490">
        <f t="shared" si="2074"/>
        <v>0</v>
      </c>
      <c r="AU884" s="490"/>
      <c r="AV884" s="490">
        <f t="shared" si="2075"/>
        <v>0</v>
      </c>
      <c r="AW884" s="490"/>
      <c r="AX884" s="490">
        <f t="shared" si="2076"/>
        <v>0</v>
      </c>
      <c r="AY884" s="490">
        <f t="shared" si="2077"/>
        <v>0</v>
      </c>
      <c r="AZ884" s="490">
        <f t="shared" si="2078"/>
        <v>0</v>
      </c>
      <c r="BA884" s="490">
        <f t="shared" si="2079"/>
        <v>0</v>
      </c>
      <c r="BB884" s="490">
        <f t="shared" si="2080"/>
        <v>0</v>
      </c>
    </row>
    <row r="885" spans="1:54">
      <c r="A885" s="492">
        <v>548</v>
      </c>
      <c r="B885" s="13"/>
      <c r="C885" s="13"/>
      <c r="D885" s="13"/>
      <c r="E885" s="13" t="s">
        <v>1027</v>
      </c>
      <c r="F885" s="23"/>
      <c r="G885" s="23" t="s">
        <v>1060</v>
      </c>
      <c r="H885" s="266" t="s">
        <v>358</v>
      </c>
      <c r="I885" s="73"/>
      <c r="J885" s="170">
        <v>5721</v>
      </c>
      <c r="K885" s="73"/>
      <c r="L885" s="170">
        <v>6059</v>
      </c>
      <c r="M885" s="73"/>
      <c r="N885" s="170"/>
      <c r="O885" s="73"/>
      <c r="P885" s="170"/>
      <c r="Q885" s="118">
        <f t="shared" si="2055"/>
        <v>13.012</v>
      </c>
      <c r="R885" s="344">
        <f t="shared" si="2056"/>
        <v>75.54758799999999</v>
      </c>
      <c r="S885" s="118">
        <v>3.24</v>
      </c>
      <c r="T885" s="118">
        <f t="shared" si="2057"/>
        <v>18.53604</v>
      </c>
      <c r="U885" s="118">
        <v>3.25</v>
      </c>
      <c r="V885" s="118">
        <f t="shared" si="2058"/>
        <v>18.593250000000001</v>
      </c>
      <c r="W885" s="118">
        <v>3.25</v>
      </c>
      <c r="X885" s="118">
        <f t="shared" si="2059"/>
        <v>18.593250000000001</v>
      </c>
      <c r="Y885" s="118">
        <f t="shared" si="2060"/>
        <v>9.74</v>
      </c>
      <c r="Z885" s="118">
        <f t="shared" si="2061"/>
        <v>55.722539999999995</v>
      </c>
      <c r="AA885" s="118">
        <v>3.2719999999999998</v>
      </c>
      <c r="AB885" s="118">
        <f t="shared" si="2062"/>
        <v>19.825047999999999</v>
      </c>
      <c r="AC885" s="118"/>
      <c r="AD885" s="118">
        <f t="shared" si="2063"/>
        <v>0</v>
      </c>
      <c r="AE885" s="118"/>
      <c r="AF885" s="118">
        <f t="shared" si="2064"/>
        <v>0</v>
      </c>
      <c r="AG885" s="118">
        <f t="shared" si="2065"/>
        <v>3.2719999999999998</v>
      </c>
      <c r="AH885" s="118">
        <f t="shared" si="2066"/>
        <v>19.825047999999999</v>
      </c>
      <c r="AI885" s="118">
        <f t="shared" si="2067"/>
        <v>13.012</v>
      </c>
      <c r="AJ885" s="118">
        <f t="shared" si="2068"/>
        <v>75.54758799999999</v>
      </c>
      <c r="AK885" s="118"/>
      <c r="AL885" s="118">
        <f t="shared" si="2069"/>
        <v>0</v>
      </c>
      <c r="AM885" s="118"/>
      <c r="AN885" s="118">
        <f t="shared" si="2070"/>
        <v>0</v>
      </c>
      <c r="AO885" s="118"/>
      <c r="AP885" s="118">
        <f t="shared" si="2071"/>
        <v>0</v>
      </c>
      <c r="AQ885" s="118">
        <f t="shared" si="2072"/>
        <v>0</v>
      </c>
      <c r="AR885" s="118">
        <f t="shared" si="2073"/>
        <v>0</v>
      </c>
      <c r="AS885" s="118"/>
      <c r="AT885" s="118">
        <f t="shared" si="2074"/>
        <v>0</v>
      </c>
      <c r="AU885" s="118"/>
      <c r="AV885" s="118">
        <f t="shared" si="2075"/>
        <v>0</v>
      </c>
      <c r="AW885" s="118"/>
      <c r="AX885" s="118">
        <f t="shared" si="2076"/>
        <v>0</v>
      </c>
      <c r="AY885" s="118">
        <f t="shared" si="2077"/>
        <v>0</v>
      </c>
      <c r="AZ885" s="118">
        <f t="shared" si="2078"/>
        <v>0</v>
      </c>
      <c r="BA885" s="118">
        <f t="shared" si="2079"/>
        <v>0</v>
      </c>
      <c r="BB885" s="118">
        <f t="shared" si="2080"/>
        <v>0</v>
      </c>
    </row>
    <row r="886" spans="1:54">
      <c r="A886" s="492">
        <v>549</v>
      </c>
      <c r="B886" s="13"/>
      <c r="C886" s="13"/>
      <c r="D886" s="13"/>
      <c r="E886" s="485" t="s">
        <v>1107</v>
      </c>
      <c r="F886" s="486"/>
      <c r="G886" s="486" t="s">
        <v>1055</v>
      </c>
      <c r="H886" s="487" t="s">
        <v>358</v>
      </c>
      <c r="I886" s="488"/>
      <c r="J886" s="489">
        <v>6148</v>
      </c>
      <c r="K886" s="488"/>
      <c r="L886" s="489">
        <v>6511</v>
      </c>
      <c r="M886" s="488"/>
      <c r="N886" s="489"/>
      <c r="O886" s="488"/>
      <c r="P886" s="489"/>
      <c r="Q886" s="490">
        <f t="shared" si="2055"/>
        <v>0.60799999999999998</v>
      </c>
      <c r="R886" s="491">
        <f t="shared" si="2056"/>
        <v>3.958688</v>
      </c>
      <c r="S886" s="490"/>
      <c r="T886" s="490">
        <f t="shared" si="2057"/>
        <v>0</v>
      </c>
      <c r="U886" s="490"/>
      <c r="V886" s="490">
        <f t="shared" si="2058"/>
        <v>0</v>
      </c>
      <c r="W886" s="490"/>
      <c r="X886" s="490">
        <f t="shared" si="2059"/>
        <v>0</v>
      </c>
      <c r="Y886" s="490">
        <f t="shared" si="2060"/>
        <v>0</v>
      </c>
      <c r="Z886" s="490">
        <f t="shared" si="2061"/>
        <v>0</v>
      </c>
      <c r="AA886" s="490">
        <v>0.60799999999999998</v>
      </c>
      <c r="AB886" s="490">
        <f t="shared" si="2062"/>
        <v>3.958688</v>
      </c>
      <c r="AC886" s="490"/>
      <c r="AD886" s="490">
        <f t="shared" si="2063"/>
        <v>0</v>
      </c>
      <c r="AE886" s="490"/>
      <c r="AF886" s="490">
        <f t="shared" si="2064"/>
        <v>0</v>
      </c>
      <c r="AG886" s="490">
        <f t="shared" si="2065"/>
        <v>0.60799999999999998</v>
      </c>
      <c r="AH886" s="490">
        <f t="shared" si="2066"/>
        <v>3.958688</v>
      </c>
      <c r="AI886" s="490">
        <f t="shared" si="2067"/>
        <v>0.60799999999999998</v>
      </c>
      <c r="AJ886" s="490">
        <f t="shared" si="2068"/>
        <v>3.958688</v>
      </c>
      <c r="AK886" s="490"/>
      <c r="AL886" s="490">
        <f t="shared" si="2069"/>
        <v>0</v>
      </c>
      <c r="AM886" s="490"/>
      <c r="AN886" s="490">
        <f t="shared" si="2070"/>
        <v>0</v>
      </c>
      <c r="AO886" s="490"/>
      <c r="AP886" s="490">
        <f t="shared" si="2071"/>
        <v>0</v>
      </c>
      <c r="AQ886" s="490">
        <f t="shared" si="2072"/>
        <v>0</v>
      </c>
      <c r="AR886" s="490">
        <f t="shared" si="2073"/>
        <v>0</v>
      </c>
      <c r="AS886" s="490"/>
      <c r="AT886" s="490">
        <f t="shared" si="2074"/>
        <v>0</v>
      </c>
      <c r="AU886" s="490"/>
      <c r="AV886" s="490">
        <f t="shared" si="2075"/>
        <v>0</v>
      </c>
      <c r="AW886" s="490"/>
      <c r="AX886" s="490">
        <f t="shared" si="2076"/>
        <v>0</v>
      </c>
      <c r="AY886" s="490">
        <f t="shared" si="2077"/>
        <v>0</v>
      </c>
      <c r="AZ886" s="490">
        <f t="shared" si="2078"/>
        <v>0</v>
      </c>
      <c r="BA886" s="490">
        <f t="shared" si="2079"/>
        <v>0</v>
      </c>
      <c r="BB886" s="490">
        <f t="shared" si="2080"/>
        <v>0</v>
      </c>
    </row>
    <row r="887" spans="1:54">
      <c r="A887" s="492">
        <v>550</v>
      </c>
      <c r="B887" s="13"/>
      <c r="C887" s="13"/>
      <c r="D887" s="13"/>
      <c r="E887" s="485" t="s">
        <v>1028</v>
      </c>
      <c r="F887" s="486"/>
      <c r="G887" s="486" t="s">
        <v>1060</v>
      </c>
      <c r="H887" s="487" t="s">
        <v>358</v>
      </c>
      <c r="I887" s="488"/>
      <c r="J887" s="489">
        <v>5136</v>
      </c>
      <c r="K887" s="488"/>
      <c r="L887" s="489">
        <v>5439</v>
      </c>
      <c r="M887" s="488"/>
      <c r="N887" s="489"/>
      <c r="O887" s="488"/>
      <c r="P887" s="489"/>
      <c r="Q887" s="490">
        <f t="shared" si="2055"/>
        <v>3.36</v>
      </c>
      <c r="R887" s="491">
        <f t="shared" si="2056"/>
        <v>17.256959999999999</v>
      </c>
      <c r="S887" s="490"/>
      <c r="T887" s="490">
        <f t="shared" si="2057"/>
        <v>0</v>
      </c>
      <c r="U887" s="490"/>
      <c r="V887" s="490">
        <f t="shared" si="2058"/>
        <v>0</v>
      </c>
      <c r="W887" s="490">
        <v>3.36</v>
      </c>
      <c r="X887" s="490">
        <f t="shared" si="2059"/>
        <v>17.256959999999999</v>
      </c>
      <c r="Y887" s="490">
        <f t="shared" si="2060"/>
        <v>3.36</v>
      </c>
      <c r="Z887" s="490">
        <f t="shared" si="2061"/>
        <v>17.256959999999999</v>
      </c>
      <c r="AA887" s="490"/>
      <c r="AB887" s="490">
        <f t="shared" si="2062"/>
        <v>0</v>
      </c>
      <c r="AC887" s="490"/>
      <c r="AD887" s="490">
        <f t="shared" si="2063"/>
        <v>0</v>
      </c>
      <c r="AE887" s="490"/>
      <c r="AF887" s="490">
        <f t="shared" si="2064"/>
        <v>0</v>
      </c>
      <c r="AG887" s="490">
        <f t="shared" si="2065"/>
        <v>0</v>
      </c>
      <c r="AH887" s="490">
        <f t="shared" si="2066"/>
        <v>0</v>
      </c>
      <c r="AI887" s="490">
        <f t="shared" si="2067"/>
        <v>3.36</v>
      </c>
      <c r="AJ887" s="490">
        <f t="shared" si="2068"/>
        <v>17.256959999999999</v>
      </c>
      <c r="AK887" s="490"/>
      <c r="AL887" s="490">
        <f t="shared" si="2069"/>
        <v>0</v>
      </c>
      <c r="AM887" s="490"/>
      <c r="AN887" s="490">
        <f t="shared" si="2070"/>
        <v>0</v>
      </c>
      <c r="AO887" s="490"/>
      <c r="AP887" s="490">
        <f t="shared" si="2071"/>
        <v>0</v>
      </c>
      <c r="AQ887" s="490">
        <f t="shared" si="2072"/>
        <v>0</v>
      </c>
      <c r="AR887" s="490">
        <f t="shared" si="2073"/>
        <v>0</v>
      </c>
      <c r="AS887" s="490"/>
      <c r="AT887" s="490">
        <f t="shared" si="2074"/>
        <v>0</v>
      </c>
      <c r="AU887" s="490"/>
      <c r="AV887" s="490">
        <f t="shared" si="2075"/>
        <v>0</v>
      </c>
      <c r="AW887" s="490"/>
      <c r="AX887" s="490">
        <f t="shared" si="2076"/>
        <v>0</v>
      </c>
      <c r="AY887" s="490">
        <f t="shared" si="2077"/>
        <v>0</v>
      </c>
      <c r="AZ887" s="490">
        <f t="shared" si="2078"/>
        <v>0</v>
      </c>
      <c r="BA887" s="490">
        <f t="shared" si="2079"/>
        <v>0</v>
      </c>
      <c r="BB887" s="490">
        <f t="shared" si="2080"/>
        <v>0</v>
      </c>
    </row>
    <row r="888" spans="1:54">
      <c r="A888" s="492">
        <v>551</v>
      </c>
      <c r="B888" s="13"/>
      <c r="C888" s="13"/>
      <c r="D888" s="24"/>
      <c r="E888" s="24" t="s">
        <v>1029</v>
      </c>
      <c r="F888" s="366"/>
      <c r="G888" s="366" t="s">
        <v>1060</v>
      </c>
      <c r="H888" s="282" t="s">
        <v>358</v>
      </c>
      <c r="I888" s="79"/>
      <c r="J888" s="171">
        <v>1477</v>
      </c>
      <c r="K888" s="79"/>
      <c r="L888" s="171">
        <v>1564</v>
      </c>
      <c r="M888" s="79"/>
      <c r="N888" s="171"/>
      <c r="O888" s="79"/>
      <c r="P888" s="171"/>
      <c r="Q888" s="133">
        <f t="shared" si="2055"/>
        <v>37.44</v>
      </c>
      <c r="R888" s="342">
        <f t="shared" si="2056"/>
        <v>55.599551999999996</v>
      </c>
      <c r="S888" s="133">
        <v>6.9119999999999999</v>
      </c>
      <c r="T888" s="133">
        <f t="shared" si="2057"/>
        <v>10.209023999999999</v>
      </c>
      <c r="U888" s="133">
        <v>3.556</v>
      </c>
      <c r="V888" s="133">
        <f t="shared" si="2058"/>
        <v>5.2522120000000001</v>
      </c>
      <c r="W888" s="133">
        <v>23.515999999999998</v>
      </c>
      <c r="X888" s="133">
        <f t="shared" si="2059"/>
        <v>34.733131999999998</v>
      </c>
      <c r="Y888" s="133">
        <f t="shared" si="2060"/>
        <v>33.983999999999995</v>
      </c>
      <c r="Z888" s="133">
        <f t="shared" si="2061"/>
        <v>50.194367999999997</v>
      </c>
      <c r="AA888" s="133">
        <v>3.456</v>
      </c>
      <c r="AB888" s="133">
        <f t="shared" si="2062"/>
        <v>5.4051840000000002</v>
      </c>
      <c r="AC888" s="133"/>
      <c r="AD888" s="133">
        <f t="shared" si="2063"/>
        <v>0</v>
      </c>
      <c r="AE888" s="133"/>
      <c r="AF888" s="133">
        <f t="shared" si="2064"/>
        <v>0</v>
      </c>
      <c r="AG888" s="133">
        <f t="shared" si="2065"/>
        <v>3.456</v>
      </c>
      <c r="AH888" s="133">
        <f t="shared" si="2066"/>
        <v>5.4051840000000002</v>
      </c>
      <c r="AI888" s="133">
        <f t="shared" si="2067"/>
        <v>37.44</v>
      </c>
      <c r="AJ888" s="133">
        <f t="shared" si="2068"/>
        <v>55.599551999999996</v>
      </c>
      <c r="AK888" s="133"/>
      <c r="AL888" s="133">
        <f t="shared" si="2069"/>
        <v>0</v>
      </c>
      <c r="AM888" s="133"/>
      <c r="AN888" s="133">
        <f t="shared" si="2070"/>
        <v>0</v>
      </c>
      <c r="AO888" s="133"/>
      <c r="AP888" s="133">
        <f t="shared" si="2071"/>
        <v>0</v>
      </c>
      <c r="AQ888" s="133">
        <f t="shared" si="2072"/>
        <v>0</v>
      </c>
      <c r="AR888" s="133">
        <f t="shared" si="2073"/>
        <v>0</v>
      </c>
      <c r="AS888" s="133"/>
      <c r="AT888" s="133">
        <f t="shared" si="2074"/>
        <v>0</v>
      </c>
      <c r="AU888" s="133"/>
      <c r="AV888" s="133">
        <f t="shared" si="2075"/>
        <v>0</v>
      </c>
      <c r="AW888" s="133"/>
      <c r="AX888" s="133">
        <f t="shared" si="2076"/>
        <v>0</v>
      </c>
      <c r="AY888" s="133">
        <f t="shared" si="2077"/>
        <v>0</v>
      </c>
      <c r="AZ888" s="133">
        <f t="shared" si="2078"/>
        <v>0</v>
      </c>
      <c r="BA888" s="133">
        <f t="shared" si="2079"/>
        <v>0</v>
      </c>
      <c r="BB888" s="133">
        <f t="shared" si="2080"/>
        <v>0</v>
      </c>
    </row>
    <row r="889" spans="1:54">
      <c r="A889" s="492">
        <v>552</v>
      </c>
      <c r="B889" s="26"/>
      <c r="C889" s="27" t="s">
        <v>134</v>
      </c>
      <c r="D889" s="28"/>
      <c r="E889" s="28"/>
      <c r="F889" s="91"/>
      <c r="G889" s="91"/>
      <c r="H889" s="269"/>
      <c r="I889" s="150"/>
      <c r="J889" s="117"/>
      <c r="K889" s="72"/>
      <c r="L889" s="173"/>
      <c r="M889" s="72"/>
      <c r="N889" s="173"/>
      <c r="O889" s="150"/>
      <c r="P889" s="117"/>
      <c r="Q889" s="120">
        <f t="shared" ref="Q889:BB889" si="2081">SUM(Q875:Q888)</f>
        <v>87.182999999999993</v>
      </c>
      <c r="R889" s="120">
        <f t="shared" si="2081"/>
        <v>344.80511799999999</v>
      </c>
      <c r="S889" s="120">
        <f t="shared" si="2081"/>
        <v>23.018000000000001</v>
      </c>
      <c r="T889" s="120">
        <f t="shared" si="2081"/>
        <v>102.991454</v>
      </c>
      <c r="U889" s="120">
        <f t="shared" si="2081"/>
        <v>10.119</v>
      </c>
      <c r="V889" s="120">
        <f t="shared" si="2081"/>
        <v>43.302148000000003</v>
      </c>
      <c r="W889" s="120">
        <f t="shared" si="2081"/>
        <v>38.848999999999997</v>
      </c>
      <c r="X889" s="120">
        <f t="shared" si="2081"/>
        <v>120.69553599999999</v>
      </c>
      <c r="Y889" s="120">
        <f t="shared" si="2081"/>
        <v>71.98599999999999</v>
      </c>
      <c r="Z889" s="120">
        <f t="shared" si="2081"/>
        <v>266.98913799999997</v>
      </c>
      <c r="AA889" s="120">
        <f t="shared" si="2081"/>
        <v>15.197000000000001</v>
      </c>
      <c r="AB889" s="120">
        <f t="shared" si="2081"/>
        <v>77.815979999999996</v>
      </c>
      <c r="AC889" s="120">
        <f t="shared" si="2081"/>
        <v>0</v>
      </c>
      <c r="AD889" s="120">
        <f t="shared" si="2081"/>
        <v>0</v>
      </c>
      <c r="AE889" s="120">
        <f t="shared" si="2081"/>
        <v>0</v>
      </c>
      <c r="AF889" s="120">
        <f t="shared" si="2081"/>
        <v>0</v>
      </c>
      <c r="AG889" s="120">
        <f t="shared" si="2081"/>
        <v>15.197000000000001</v>
      </c>
      <c r="AH889" s="120">
        <f t="shared" si="2081"/>
        <v>77.815979999999996</v>
      </c>
      <c r="AI889" s="120">
        <f t="shared" si="2081"/>
        <v>87.182999999999993</v>
      </c>
      <c r="AJ889" s="120">
        <f t="shared" si="2081"/>
        <v>344.80511799999999</v>
      </c>
      <c r="AK889" s="120">
        <f t="shared" si="2081"/>
        <v>0</v>
      </c>
      <c r="AL889" s="120">
        <f t="shared" si="2081"/>
        <v>0</v>
      </c>
      <c r="AM889" s="120">
        <f t="shared" si="2081"/>
        <v>0</v>
      </c>
      <c r="AN889" s="120">
        <f t="shared" si="2081"/>
        <v>0</v>
      </c>
      <c r="AO889" s="120">
        <f t="shared" si="2081"/>
        <v>0</v>
      </c>
      <c r="AP889" s="120">
        <f t="shared" si="2081"/>
        <v>0</v>
      </c>
      <c r="AQ889" s="120">
        <f t="shared" si="2081"/>
        <v>0</v>
      </c>
      <c r="AR889" s="120">
        <f t="shared" si="2081"/>
        <v>0</v>
      </c>
      <c r="AS889" s="120">
        <f t="shared" si="2081"/>
        <v>0</v>
      </c>
      <c r="AT889" s="120">
        <f t="shared" si="2081"/>
        <v>0</v>
      </c>
      <c r="AU889" s="120">
        <f t="shared" si="2081"/>
        <v>0</v>
      </c>
      <c r="AV889" s="120">
        <f t="shared" si="2081"/>
        <v>0</v>
      </c>
      <c r="AW889" s="120">
        <f t="shared" si="2081"/>
        <v>0</v>
      </c>
      <c r="AX889" s="120">
        <f t="shared" si="2081"/>
        <v>0</v>
      </c>
      <c r="AY889" s="120">
        <f t="shared" si="2081"/>
        <v>0</v>
      </c>
      <c r="AZ889" s="120">
        <f t="shared" si="2081"/>
        <v>0</v>
      </c>
      <c r="BA889" s="120">
        <f t="shared" si="2081"/>
        <v>0</v>
      </c>
      <c r="BB889" s="120">
        <f t="shared" si="2081"/>
        <v>0</v>
      </c>
    </row>
    <row r="890" spans="1:54" ht="12" customHeight="1">
      <c r="A890" s="492">
        <v>555</v>
      </c>
      <c r="B890" s="13"/>
      <c r="C890" s="13" t="s">
        <v>1636</v>
      </c>
      <c r="D890" s="13" t="s">
        <v>1637</v>
      </c>
      <c r="E890" s="31" t="s">
        <v>2154</v>
      </c>
      <c r="F890" s="22"/>
      <c r="G890" s="22" t="s">
        <v>1060</v>
      </c>
      <c r="H890" s="265" t="s">
        <v>862</v>
      </c>
      <c r="I890" s="54">
        <v>53.43</v>
      </c>
      <c r="J890" s="162"/>
      <c r="K890" s="54">
        <v>53.68</v>
      </c>
      <c r="L890" s="101"/>
      <c r="M890" s="54"/>
      <c r="N890" s="101"/>
      <c r="O890" s="54"/>
      <c r="P890" s="162"/>
      <c r="Q890" s="96">
        <f t="shared" ref="Q890" si="2082">SUM(AI890+BA890)</f>
        <v>34.44</v>
      </c>
      <c r="R890" s="337">
        <f t="shared" ref="R890" si="2083">SUM(AJ890+BB890)</f>
        <v>2686.0995848960001</v>
      </c>
      <c r="S890" s="96">
        <v>3.92</v>
      </c>
      <c r="T890" s="96">
        <f t="shared" ref="T890" si="2084">I890*S890*$T$2/1000</f>
        <v>302.36614043999998</v>
      </c>
      <c r="U890" s="96">
        <v>18.48</v>
      </c>
      <c r="V890" s="176">
        <f t="shared" ref="V890" si="2085">I890*U890*$V$2/1000</f>
        <v>1420.1183636640001</v>
      </c>
      <c r="W890" s="206">
        <v>8.4</v>
      </c>
      <c r="X890" s="205">
        <f t="shared" ref="X890" si="2086">I890*W890*$X$2/1000</f>
        <v>674.28168443999994</v>
      </c>
      <c r="Y890" s="188">
        <f t="shared" ref="Y890" si="2087">SUM(S890+U890+W890)</f>
        <v>30.799999999999997</v>
      </c>
      <c r="Z890" s="176">
        <f>SUM(T890+V890+X890)</f>
        <v>2396.7661885440002</v>
      </c>
      <c r="AA890" s="206">
        <v>3.64</v>
      </c>
      <c r="AB890" s="456">
        <f t="shared" ref="AB890" si="2088">K890*AA890*$AB$2/1000</f>
        <v>289.33339635200002</v>
      </c>
      <c r="AC890" s="206"/>
      <c r="AD890" s="176">
        <f t="shared" ref="AD890" si="2089">K890*AC890*$AD$2/1000</f>
        <v>0</v>
      </c>
      <c r="AE890" s="206"/>
      <c r="AF890" s="205">
        <f t="shared" ref="AF890" si="2090">K890*AE890*$AF$2/1000</f>
        <v>0</v>
      </c>
      <c r="AG890" s="188">
        <f t="shared" ref="AG890" si="2091">SUM(AA890+AC890+AE890)</f>
        <v>3.64</v>
      </c>
      <c r="AH890" s="176">
        <f>SUM(AB890+AD890+AF890)</f>
        <v>289.33339635200002</v>
      </c>
      <c r="AI890" s="96">
        <f t="shared" ref="AI890" si="2092">SUM(Y890+AG890)</f>
        <v>34.44</v>
      </c>
      <c r="AJ890" s="96">
        <f t="shared" ref="AJ890" si="2093">SUM(Z890,AH890)</f>
        <v>2686.0995848960001</v>
      </c>
      <c r="AK890" s="188"/>
      <c r="AL890" s="176">
        <f t="shared" ref="AL890" si="2094">M890*AK890*$AL$2/1000</f>
        <v>0</v>
      </c>
      <c r="AM890" s="243"/>
      <c r="AN890" s="176">
        <f t="shared" ref="AN890" si="2095">M890*AM890*$AN$2/1000</f>
        <v>0</v>
      </c>
      <c r="AO890" s="206"/>
      <c r="AP890" s="205">
        <f t="shared" ref="AP890" si="2096">M890*AO890*$AP$2/1000</f>
        <v>0</v>
      </c>
      <c r="AQ890" s="188">
        <f t="shared" ref="AQ890" si="2097">SUM(AK890+AM890+AO890)</f>
        <v>0</v>
      </c>
      <c r="AR890" s="96">
        <f>SUM(AL890+AN890+AP890)</f>
        <v>0</v>
      </c>
      <c r="AS890" s="96"/>
      <c r="AT890" s="176">
        <f t="shared" ref="AT890" si="2098">O890*AS890*$AT$2/1000</f>
        <v>0</v>
      </c>
      <c r="AU890" s="206"/>
      <c r="AV890" s="176">
        <f t="shared" ref="AV890" si="2099">O890*AU890*$AV$2/1000</f>
        <v>0</v>
      </c>
      <c r="AW890" s="206"/>
      <c r="AX890" s="205">
        <f t="shared" ref="AX890" si="2100">O890*AW890*$AX$2/1000</f>
        <v>0</v>
      </c>
      <c r="AY890" s="188">
        <f t="shared" ref="AY890" si="2101">SUM(AS890+AU890+AW890)</f>
        <v>0</v>
      </c>
      <c r="AZ890" s="96">
        <f>SUM(AT890+AV890+AX890)</f>
        <v>0</v>
      </c>
      <c r="BA890" s="96">
        <f t="shared" ref="BA890" si="2102">SUM(AQ890+AY890)</f>
        <v>0</v>
      </c>
      <c r="BB890" s="96">
        <f t="shared" ref="BB890" si="2103">SUM(AR890,AZ890)</f>
        <v>0</v>
      </c>
    </row>
    <row r="891" spans="1:54" ht="12" customHeight="1">
      <c r="A891" s="492">
        <v>555</v>
      </c>
      <c r="B891" s="13"/>
      <c r="C891" s="13"/>
      <c r="D891" s="13"/>
      <c r="E891" s="50" t="s">
        <v>2155</v>
      </c>
      <c r="F891" s="22"/>
      <c r="G891" s="22" t="s">
        <v>1060</v>
      </c>
      <c r="H891" s="265" t="s">
        <v>862</v>
      </c>
      <c r="I891" s="54">
        <v>53.43</v>
      </c>
      <c r="J891" s="162"/>
      <c r="K891" s="54">
        <v>53.68</v>
      </c>
      <c r="L891" s="101"/>
      <c r="M891" s="54"/>
      <c r="N891" s="101"/>
      <c r="O891" s="54"/>
      <c r="P891" s="162"/>
      <c r="Q891" s="96">
        <f t="shared" ref="Q891:Q894" si="2104">SUM(AI891+BA891)</f>
        <v>24.639999999999997</v>
      </c>
      <c r="R891" s="337">
        <f t="shared" ref="R891:R894" si="2105">SUM(AJ891+BB891)</f>
        <v>1901.4210164319998</v>
      </c>
      <c r="S891" s="96">
        <v>22.4</v>
      </c>
      <c r="T891" s="96">
        <f t="shared" ref="T891:T894" si="2106">I891*S891*$T$2/1000</f>
        <v>1727.8065167999998</v>
      </c>
      <c r="U891" s="96">
        <v>1.68</v>
      </c>
      <c r="V891" s="176">
        <f t="shared" ref="V891:V894" si="2107">I891*U891*$V$2/1000</f>
        <v>129.10166942399999</v>
      </c>
      <c r="W891" s="206"/>
      <c r="X891" s="205">
        <f t="shared" ref="X891:X894" si="2108">I891*W891*$X$2/1000</f>
        <v>0</v>
      </c>
      <c r="Y891" s="188">
        <f t="shared" ref="Y891:Y894" si="2109">SUM(S891+U891+W891)</f>
        <v>24.08</v>
      </c>
      <c r="Z891" s="176">
        <f t="shared" ref="Z891:Z892" si="2110">SUM(T891+V891+X891)</f>
        <v>1856.9081862239998</v>
      </c>
      <c r="AA891" s="206">
        <v>0.56000000000000005</v>
      </c>
      <c r="AB891" s="456">
        <f t="shared" ref="AB891:AB894" si="2111">K891*AA891*$AB$2/1000</f>
        <v>44.512830208000004</v>
      </c>
      <c r="AC891" s="206"/>
      <c r="AD891" s="176">
        <f t="shared" ref="AD891:AD894" si="2112">K891*AC891*$AD$2/1000</f>
        <v>0</v>
      </c>
      <c r="AE891" s="206"/>
      <c r="AF891" s="205">
        <f t="shared" ref="AF891:AF894" si="2113">K891*AE891*$AF$2/1000</f>
        <v>0</v>
      </c>
      <c r="AG891" s="188">
        <f t="shared" ref="AG891:AG894" si="2114">SUM(AA891+AC891+AE891)</f>
        <v>0.56000000000000005</v>
      </c>
      <c r="AH891" s="176">
        <f t="shared" ref="AH891:AH892" si="2115">SUM(AB891+AD891+AF891)</f>
        <v>44.512830208000004</v>
      </c>
      <c r="AI891" s="96">
        <f t="shared" ref="AI891:AI894" si="2116">SUM(Y891+AG891)</f>
        <v>24.639999999999997</v>
      </c>
      <c r="AJ891" s="96">
        <f t="shared" ref="AJ891:AJ894" si="2117">SUM(Z891,AH891)</f>
        <v>1901.4210164319998</v>
      </c>
      <c r="AK891" s="188"/>
      <c r="AL891" s="176">
        <f>M891*AK891*$AL$2/1000</f>
        <v>0</v>
      </c>
      <c r="AM891" s="243"/>
      <c r="AN891" s="176">
        <f t="shared" ref="AN891:AN894" si="2118">M891*AM891*$AN$2/1000</f>
        <v>0</v>
      </c>
      <c r="AO891" s="206"/>
      <c r="AP891" s="205">
        <f t="shared" ref="AP891:AP894" si="2119">M891*AO891*$AP$2/1000</f>
        <v>0</v>
      </c>
      <c r="AQ891" s="188">
        <f t="shared" ref="AQ891:AQ894" si="2120">SUM(AK891+AM891+AO891)</f>
        <v>0</v>
      </c>
      <c r="AR891" s="96">
        <f>SUM(AL891+AN891+AP891)</f>
        <v>0</v>
      </c>
      <c r="AS891" s="96"/>
      <c r="AT891" s="176">
        <f t="shared" ref="AT891:AT894" si="2121">O891*AS891*$AT$2/1000</f>
        <v>0</v>
      </c>
      <c r="AU891" s="206"/>
      <c r="AV891" s="176">
        <f t="shared" ref="AV891:AV894" si="2122">O891*AU891*$AV$2/1000</f>
        <v>0</v>
      </c>
      <c r="AW891" s="206"/>
      <c r="AX891" s="205">
        <f t="shared" ref="AX891:AX894" si="2123">O891*AW891*$AX$2/1000</f>
        <v>0</v>
      </c>
      <c r="AY891" s="188">
        <f t="shared" ref="AY891:AY894" si="2124">SUM(AS891+AU891+AW891)</f>
        <v>0</v>
      </c>
      <c r="AZ891" s="96">
        <f>SUM(AT891+AV891+AX891)</f>
        <v>0</v>
      </c>
      <c r="BA891" s="96">
        <f t="shared" ref="BA891:BA894" si="2125">SUM(AQ891+AY891)</f>
        <v>0</v>
      </c>
      <c r="BB891" s="96">
        <f t="shared" ref="BB891:BB894" si="2126">SUM(AR891,AZ891)</f>
        <v>0</v>
      </c>
    </row>
    <row r="892" spans="1:54" ht="12" customHeight="1">
      <c r="A892" s="492">
        <v>555</v>
      </c>
      <c r="B892" s="13"/>
      <c r="C892" s="13"/>
      <c r="D892" s="13"/>
      <c r="E892" s="50" t="s">
        <v>2568</v>
      </c>
      <c r="F892" s="22"/>
      <c r="G892" s="22" t="s">
        <v>1060</v>
      </c>
      <c r="H892" s="265" t="s">
        <v>862</v>
      </c>
      <c r="I892" s="54">
        <v>52.57</v>
      </c>
      <c r="J892" s="162"/>
      <c r="K892" s="54">
        <v>54.52</v>
      </c>
      <c r="L892" s="101"/>
      <c r="M892" s="54"/>
      <c r="N892" s="101"/>
      <c r="O892" s="54"/>
      <c r="P892" s="162"/>
      <c r="Q892" s="96">
        <f t="shared" si="2104"/>
        <v>2.2400000000000002</v>
      </c>
      <c r="R892" s="337">
        <f t="shared" si="2105"/>
        <v>176.91428361600001</v>
      </c>
      <c r="S892" s="96"/>
      <c r="T892" s="96">
        <f t="shared" si="2106"/>
        <v>0</v>
      </c>
      <c r="U892" s="96"/>
      <c r="V892" s="176">
        <f t="shared" si="2107"/>
        <v>0</v>
      </c>
      <c r="W892" s="206">
        <v>2.2400000000000002</v>
      </c>
      <c r="X892" s="205">
        <f t="shared" si="2108"/>
        <v>176.91428361600001</v>
      </c>
      <c r="Y892" s="188">
        <f t="shared" si="2109"/>
        <v>2.2400000000000002</v>
      </c>
      <c r="Z892" s="176">
        <f t="shared" si="2110"/>
        <v>176.91428361600001</v>
      </c>
      <c r="AA892" s="206"/>
      <c r="AB892" s="456">
        <f t="shared" si="2111"/>
        <v>0</v>
      </c>
      <c r="AC892" s="206"/>
      <c r="AD892" s="176">
        <f t="shared" si="2112"/>
        <v>0</v>
      </c>
      <c r="AE892" s="206"/>
      <c r="AF892" s="205">
        <f t="shared" si="2113"/>
        <v>0</v>
      </c>
      <c r="AG892" s="188">
        <f t="shared" si="2114"/>
        <v>0</v>
      </c>
      <c r="AH892" s="176">
        <f t="shared" si="2115"/>
        <v>0</v>
      </c>
      <c r="AI892" s="96">
        <f t="shared" si="2116"/>
        <v>2.2400000000000002</v>
      </c>
      <c r="AJ892" s="96">
        <f t="shared" si="2117"/>
        <v>176.91428361600001</v>
      </c>
      <c r="AK892" s="188"/>
      <c r="AL892" s="176">
        <f t="shared" ref="AL892" si="2127">M892*AK892*$AL$2/1000</f>
        <v>0</v>
      </c>
      <c r="AM892" s="243"/>
      <c r="AN892" s="176">
        <f t="shared" si="2118"/>
        <v>0</v>
      </c>
      <c r="AO892" s="206"/>
      <c r="AP892" s="205">
        <f t="shared" si="2119"/>
        <v>0</v>
      </c>
      <c r="AQ892" s="188">
        <f t="shared" si="2120"/>
        <v>0</v>
      </c>
      <c r="AR892" s="96">
        <f t="shared" ref="AR892" si="2128">SUM(AL892+AN892+AP892)</f>
        <v>0</v>
      </c>
      <c r="AS892" s="96"/>
      <c r="AT892" s="176">
        <f>O892*AS892*$AT$2/1000</f>
        <v>0</v>
      </c>
      <c r="AU892" s="206"/>
      <c r="AV892" s="176">
        <f t="shared" si="2122"/>
        <v>0</v>
      </c>
      <c r="AW892" s="206"/>
      <c r="AX892" s="205">
        <f t="shared" si="2123"/>
        <v>0</v>
      </c>
      <c r="AY892" s="188">
        <f t="shared" si="2124"/>
        <v>0</v>
      </c>
      <c r="AZ892" s="96">
        <f t="shared" ref="AZ892" si="2129">SUM(AT892+AV892+AX892)</f>
        <v>0</v>
      </c>
      <c r="BA892" s="96">
        <f t="shared" si="2125"/>
        <v>0</v>
      </c>
      <c r="BB892" s="96">
        <f t="shared" si="2126"/>
        <v>0</v>
      </c>
    </row>
    <row r="893" spans="1:54" ht="12" customHeight="1">
      <c r="A893" s="492">
        <v>555</v>
      </c>
      <c r="B893" s="13"/>
      <c r="C893" s="13"/>
      <c r="D893" s="13"/>
      <c r="E893" s="50" t="s">
        <v>2369</v>
      </c>
      <c r="F893" s="22"/>
      <c r="G893" s="22" t="s">
        <v>1060</v>
      </c>
      <c r="H893" s="265" t="s">
        <v>862</v>
      </c>
      <c r="I893" s="54">
        <v>72.819999999999993</v>
      </c>
      <c r="J893" s="162"/>
      <c r="K893" s="54">
        <v>70.19</v>
      </c>
      <c r="L893" s="101"/>
      <c r="M893" s="54"/>
      <c r="N893" s="101"/>
      <c r="O893" s="54"/>
      <c r="P893" s="162"/>
      <c r="Q893" s="96">
        <f t="shared" si="2104"/>
        <v>1.96</v>
      </c>
      <c r="R893" s="337">
        <f t="shared" si="2105"/>
        <v>205.05494900799999</v>
      </c>
      <c r="S893" s="96"/>
      <c r="T893" s="96">
        <f t="shared" si="2106"/>
        <v>0</v>
      </c>
      <c r="U893" s="96">
        <v>1.68</v>
      </c>
      <c r="V893" s="176">
        <f t="shared" si="2107"/>
        <v>175.95327657599998</v>
      </c>
      <c r="W893" s="206"/>
      <c r="X893" s="205">
        <f t="shared" si="2108"/>
        <v>0</v>
      </c>
      <c r="Y893" s="188">
        <f t="shared" si="2109"/>
        <v>1.68</v>
      </c>
      <c r="Z893" s="176">
        <f t="shared" ref="Z893" si="2130">SUM(T893+V893+X893)</f>
        <v>175.95327657599998</v>
      </c>
      <c r="AA893" s="206">
        <v>0.28000000000000003</v>
      </c>
      <c r="AB893" s="456">
        <f t="shared" si="2111"/>
        <v>29.101672432000004</v>
      </c>
      <c r="AC893" s="206"/>
      <c r="AD893" s="176">
        <f t="shared" si="2112"/>
        <v>0</v>
      </c>
      <c r="AE893" s="206"/>
      <c r="AF893" s="205">
        <f t="shared" si="2113"/>
        <v>0</v>
      </c>
      <c r="AG893" s="188">
        <f t="shared" si="2114"/>
        <v>0.28000000000000003</v>
      </c>
      <c r="AH893" s="176">
        <f t="shared" ref="AH893" si="2131">SUM(AB893+AD893+AF893)</f>
        <v>29.101672432000004</v>
      </c>
      <c r="AI893" s="96">
        <f t="shared" si="2116"/>
        <v>1.96</v>
      </c>
      <c r="AJ893" s="96">
        <f t="shared" si="2117"/>
        <v>205.05494900799999</v>
      </c>
      <c r="AK893" s="188"/>
      <c r="AL893" s="176">
        <f t="shared" ref="AL893" si="2132">M893*AK893*$AL$2/1000</f>
        <v>0</v>
      </c>
      <c r="AM893" s="243"/>
      <c r="AN893" s="176">
        <f t="shared" si="2118"/>
        <v>0</v>
      </c>
      <c r="AO893" s="206"/>
      <c r="AP893" s="205">
        <f t="shared" si="2119"/>
        <v>0</v>
      </c>
      <c r="AQ893" s="188">
        <f t="shared" si="2120"/>
        <v>0</v>
      </c>
      <c r="AR893" s="96">
        <f t="shared" ref="AR893" si="2133">SUM(AL893+AN893+AP893)</f>
        <v>0</v>
      </c>
      <c r="AS893" s="96"/>
      <c r="AT893" s="176">
        <f t="shared" si="2121"/>
        <v>0</v>
      </c>
      <c r="AU893" s="206"/>
      <c r="AV893" s="176">
        <f t="shared" si="2122"/>
        <v>0</v>
      </c>
      <c r="AW893" s="206"/>
      <c r="AX893" s="205">
        <f t="shared" si="2123"/>
        <v>0</v>
      </c>
      <c r="AY893" s="188">
        <f t="shared" si="2124"/>
        <v>0</v>
      </c>
      <c r="AZ893" s="96">
        <f>SUM(AT893+AV893+AX893)</f>
        <v>0</v>
      </c>
      <c r="BA893" s="96">
        <f t="shared" si="2125"/>
        <v>0</v>
      </c>
      <c r="BB893" s="96">
        <f t="shared" si="2126"/>
        <v>0</v>
      </c>
    </row>
    <row r="894" spans="1:54" ht="12" customHeight="1">
      <c r="A894" s="492">
        <v>555</v>
      </c>
      <c r="B894" s="13"/>
      <c r="C894" s="13"/>
      <c r="D894" s="13"/>
      <c r="E894" s="50" t="s">
        <v>2342</v>
      </c>
      <c r="F894" s="22"/>
      <c r="G894" s="22" t="s">
        <v>1060</v>
      </c>
      <c r="H894" s="265" t="s">
        <v>862</v>
      </c>
      <c r="I894" s="54">
        <v>59.42</v>
      </c>
      <c r="J894" s="162"/>
      <c r="K894" s="54">
        <v>57.22</v>
      </c>
      <c r="L894" s="101"/>
      <c r="M894" s="54"/>
      <c r="N894" s="101"/>
      <c r="O894" s="54"/>
      <c r="P894" s="162"/>
      <c r="Q894" s="96">
        <f t="shared" si="2104"/>
        <v>4.8959999999999999</v>
      </c>
      <c r="R894" s="337">
        <f t="shared" si="2105"/>
        <v>415.65381157119998</v>
      </c>
      <c r="S894" s="96"/>
      <c r="T894" s="96">
        <f t="shared" si="2106"/>
        <v>0</v>
      </c>
      <c r="U894" s="96">
        <v>1.1200000000000001</v>
      </c>
      <c r="V894" s="176">
        <f t="shared" si="2107"/>
        <v>95.716778304000016</v>
      </c>
      <c r="W894" s="206"/>
      <c r="X894" s="205">
        <f t="shared" si="2108"/>
        <v>0</v>
      </c>
      <c r="Y894" s="188">
        <f t="shared" si="2109"/>
        <v>1.1200000000000001</v>
      </c>
      <c r="Z894" s="176">
        <f t="shared" ref="Z894" si="2134">SUM(T894+V894+X894)</f>
        <v>95.716778304000016</v>
      </c>
      <c r="AA894" s="206">
        <v>3.7759999999999998</v>
      </c>
      <c r="AB894" s="456">
        <f t="shared" si="2111"/>
        <v>319.93703326719998</v>
      </c>
      <c r="AC894" s="206"/>
      <c r="AD894" s="176">
        <f t="shared" si="2112"/>
        <v>0</v>
      </c>
      <c r="AE894" s="206"/>
      <c r="AF894" s="205">
        <f t="shared" si="2113"/>
        <v>0</v>
      </c>
      <c r="AG894" s="188">
        <f t="shared" si="2114"/>
        <v>3.7759999999999998</v>
      </c>
      <c r="AH894" s="176">
        <f t="shared" ref="AH894" si="2135">SUM(AB894+AD894+AF894)</f>
        <v>319.93703326719998</v>
      </c>
      <c r="AI894" s="96">
        <f t="shared" si="2116"/>
        <v>4.8959999999999999</v>
      </c>
      <c r="AJ894" s="96">
        <f t="shared" si="2117"/>
        <v>415.65381157119998</v>
      </c>
      <c r="AK894" s="188"/>
      <c r="AL894" s="176">
        <f t="shared" ref="AL894:AL895" si="2136">M894*AK894*$AL$2/1000</f>
        <v>0</v>
      </c>
      <c r="AM894" s="243"/>
      <c r="AN894" s="176">
        <f t="shared" si="2118"/>
        <v>0</v>
      </c>
      <c r="AO894" s="206"/>
      <c r="AP894" s="205">
        <f t="shared" si="2119"/>
        <v>0</v>
      </c>
      <c r="AQ894" s="188">
        <f t="shared" si="2120"/>
        <v>0</v>
      </c>
      <c r="AR894" s="96">
        <f t="shared" ref="AR894:AR895" si="2137">SUM(AL894+AN894+AP894)</f>
        <v>0</v>
      </c>
      <c r="AS894" s="96"/>
      <c r="AT894" s="176">
        <f t="shared" si="2121"/>
        <v>0</v>
      </c>
      <c r="AU894" s="206"/>
      <c r="AV894" s="176">
        <f t="shared" si="2122"/>
        <v>0</v>
      </c>
      <c r="AW894" s="206"/>
      <c r="AX894" s="205">
        <f t="shared" si="2123"/>
        <v>0</v>
      </c>
      <c r="AY894" s="188">
        <f t="shared" si="2124"/>
        <v>0</v>
      </c>
      <c r="AZ894" s="96">
        <f>SUM(AT894+AV894+AX894)</f>
        <v>0</v>
      </c>
      <c r="BA894" s="96">
        <f t="shared" si="2125"/>
        <v>0</v>
      </c>
      <c r="BB894" s="96">
        <f t="shared" si="2126"/>
        <v>0</v>
      </c>
    </row>
    <row r="895" spans="1:54" ht="12" customHeight="1">
      <c r="A895" s="492">
        <v>555</v>
      </c>
      <c r="B895" s="13"/>
      <c r="C895" s="13"/>
      <c r="D895" s="13"/>
      <c r="E895" s="50" t="s">
        <v>2370</v>
      </c>
      <c r="F895" s="22"/>
      <c r="G895" s="22" t="s">
        <v>1060</v>
      </c>
      <c r="H895" s="265" t="s">
        <v>862</v>
      </c>
      <c r="I895" s="54">
        <v>59.42</v>
      </c>
      <c r="J895" s="162"/>
      <c r="K895" s="54">
        <v>57.22</v>
      </c>
      <c r="L895" s="101"/>
      <c r="M895" s="54"/>
      <c r="N895" s="101"/>
      <c r="O895" s="54"/>
      <c r="P895" s="162"/>
      <c r="Q895" s="96">
        <f t="shared" ref="Q895" si="2138">SUM(AI895+BA895)</f>
        <v>0.14399999999999999</v>
      </c>
      <c r="R895" s="337">
        <f t="shared" ref="R895" si="2139">SUM(AJ895+BB895)</f>
        <v>12.200988556799999</v>
      </c>
      <c r="S895" s="96"/>
      <c r="T895" s="96">
        <f t="shared" ref="T895" si="2140">I895*S895*$T$2/1000</f>
        <v>0</v>
      </c>
      <c r="U895" s="96"/>
      <c r="V895" s="176">
        <f t="shared" ref="V895" si="2141">I895*U895*$V$2/1000</f>
        <v>0</v>
      </c>
      <c r="W895" s="206"/>
      <c r="X895" s="205">
        <f t="shared" ref="X895" si="2142">I895*W895*$X$2/1000</f>
        <v>0</v>
      </c>
      <c r="Y895" s="188">
        <f t="shared" ref="Y895" si="2143">SUM(S895+U895+W895)</f>
        <v>0</v>
      </c>
      <c r="Z895" s="176">
        <f t="shared" ref="Z895" si="2144">SUM(T895+V895+X895)</f>
        <v>0</v>
      </c>
      <c r="AA895" s="206">
        <v>0.14399999999999999</v>
      </c>
      <c r="AB895" s="456">
        <f t="shared" ref="AB895" si="2145">K895*AA895*$AB$2/1000</f>
        <v>12.200988556799999</v>
      </c>
      <c r="AC895" s="206"/>
      <c r="AD895" s="176">
        <f t="shared" ref="AD895" si="2146">K895*AC895*$AD$2/1000</f>
        <v>0</v>
      </c>
      <c r="AE895" s="206"/>
      <c r="AF895" s="205">
        <f t="shared" ref="AF895" si="2147">K895*AE895*$AF$2/1000</f>
        <v>0</v>
      </c>
      <c r="AG895" s="188">
        <f t="shared" ref="AG895" si="2148">SUM(AA895+AC895+AE895)</f>
        <v>0.14399999999999999</v>
      </c>
      <c r="AH895" s="176">
        <f t="shared" ref="AH895" si="2149">SUM(AB895+AD895+AF895)</f>
        <v>12.200988556799999</v>
      </c>
      <c r="AI895" s="96">
        <f t="shared" ref="AI895" si="2150">SUM(Y895+AG895)</f>
        <v>0.14399999999999999</v>
      </c>
      <c r="AJ895" s="96">
        <f t="shared" ref="AJ895" si="2151">SUM(Z895,AH895)</f>
        <v>12.200988556799999</v>
      </c>
      <c r="AK895" s="188"/>
      <c r="AL895" s="176">
        <f t="shared" si="2136"/>
        <v>0</v>
      </c>
      <c r="AM895" s="243"/>
      <c r="AN895" s="176">
        <f t="shared" ref="AN895" si="2152">M895*AM895*$AN$2/1000</f>
        <v>0</v>
      </c>
      <c r="AO895" s="206"/>
      <c r="AP895" s="205">
        <f t="shared" ref="AP895" si="2153">M895*AO895*$AP$2/1000</f>
        <v>0</v>
      </c>
      <c r="AQ895" s="188">
        <f t="shared" ref="AQ895" si="2154">SUM(AK895+AM895+AO895)</f>
        <v>0</v>
      </c>
      <c r="AR895" s="96">
        <f t="shared" si="2137"/>
        <v>0</v>
      </c>
      <c r="AS895" s="96"/>
      <c r="AT895" s="176">
        <f>O895*AS895*$AT$2/1000</f>
        <v>0</v>
      </c>
      <c r="AU895" s="206"/>
      <c r="AV895" s="176">
        <f t="shared" ref="AV895" si="2155">O895*AU895*$AV$2/1000</f>
        <v>0</v>
      </c>
      <c r="AW895" s="206"/>
      <c r="AX895" s="205">
        <f t="shared" ref="AX895" si="2156">O895*AW895*$AX$2/1000</f>
        <v>0</v>
      </c>
      <c r="AY895" s="188">
        <f t="shared" ref="AY895" si="2157">SUM(AS895+AU895+AW895)</f>
        <v>0</v>
      </c>
      <c r="AZ895" s="96">
        <f t="shared" ref="AZ895" si="2158">SUM(AT895+AV895+AX895)</f>
        <v>0</v>
      </c>
      <c r="BA895" s="96">
        <f t="shared" ref="BA895" si="2159">SUM(AQ895+AY895)</f>
        <v>0</v>
      </c>
      <c r="BB895" s="96">
        <f t="shared" ref="BB895" si="2160">SUM(AR895,AZ895)</f>
        <v>0</v>
      </c>
    </row>
    <row r="896" spans="1:54" ht="12" customHeight="1">
      <c r="A896" s="492">
        <v>555</v>
      </c>
      <c r="B896" s="13"/>
      <c r="C896" s="13"/>
      <c r="D896" s="13" t="s">
        <v>1758</v>
      </c>
      <c r="E896" s="50" t="s">
        <v>1754</v>
      </c>
      <c r="F896" s="22"/>
      <c r="G896" s="22" t="s">
        <v>1060</v>
      </c>
      <c r="H896" s="265" t="s">
        <v>862</v>
      </c>
      <c r="I896" s="54">
        <v>79.98</v>
      </c>
      <c r="J896" s="162"/>
      <c r="K896" s="54">
        <v>79.17</v>
      </c>
      <c r="L896" s="101"/>
      <c r="M896" s="54"/>
      <c r="N896" s="101"/>
      <c r="O896" s="54"/>
      <c r="P896" s="162"/>
      <c r="Q896" s="96">
        <f t="shared" ref="Q896:R929" si="2161">SUM(AI896+BA896)</f>
        <v>1.8</v>
      </c>
      <c r="R896" s="337">
        <f t="shared" si="2161"/>
        <v>211.01718456</v>
      </c>
      <c r="S896" s="96"/>
      <c r="T896" s="96">
        <f t="shared" ref="T896:T929" si="2162">I896*S896*$T$2/1000</f>
        <v>0</v>
      </c>
      <c r="U896" s="96"/>
      <c r="V896" s="176">
        <f t="shared" ref="V896:V929" si="2163">I896*U896*$V$2/1000</f>
        <v>0</v>
      </c>
      <c r="W896" s="206"/>
      <c r="X896" s="205">
        <f t="shared" ref="X896:X929" si="2164">I896*W896*$X$2/1000</f>
        <v>0</v>
      </c>
      <c r="Y896" s="188">
        <f t="shared" ref="Y896:Z929" si="2165">SUM(S896+U896+W896)</f>
        <v>0</v>
      </c>
      <c r="Z896" s="176">
        <f t="shared" si="2165"/>
        <v>0</v>
      </c>
      <c r="AA896" s="206">
        <v>1.8</v>
      </c>
      <c r="AB896" s="456">
        <f t="shared" ref="AB896:AB929" si="2166">K896*AA896*$AB$2/1000</f>
        <v>211.01718456</v>
      </c>
      <c r="AC896" s="206"/>
      <c r="AD896" s="176">
        <f t="shared" ref="AD896:AD929" si="2167">K896*AC896*$AD$2/1000</f>
        <v>0</v>
      </c>
      <c r="AE896" s="206"/>
      <c r="AF896" s="205">
        <f t="shared" ref="AF896:AF929" si="2168">K896*AE896*$AF$2/1000</f>
        <v>0</v>
      </c>
      <c r="AG896" s="188">
        <f t="shared" ref="AG896:AH929" si="2169">SUM(AA896+AC896+AE896)</f>
        <v>1.8</v>
      </c>
      <c r="AH896" s="176">
        <f t="shared" si="2169"/>
        <v>211.01718456</v>
      </c>
      <c r="AI896" s="96">
        <f t="shared" ref="AI896:AI929" si="2170">SUM(Y896+AG896)</f>
        <v>1.8</v>
      </c>
      <c r="AJ896" s="96">
        <f t="shared" ref="AJ896:AJ929" si="2171">SUM(Z896,AH896)</f>
        <v>211.01718456</v>
      </c>
      <c r="AK896" s="188"/>
      <c r="AL896" s="176">
        <f t="shared" ref="AL896:AL929" si="2172">M896*AK896*$AL$2/1000</f>
        <v>0</v>
      </c>
      <c r="AM896" s="243"/>
      <c r="AN896" s="176">
        <f t="shared" ref="AN896:AN929" si="2173">M896*AM896*$AN$2/1000</f>
        <v>0</v>
      </c>
      <c r="AO896" s="206"/>
      <c r="AP896" s="205">
        <f t="shared" ref="AP896:AP929" si="2174">M896*AO896*$AP$2/1000</f>
        <v>0</v>
      </c>
      <c r="AQ896" s="188">
        <f t="shared" ref="AQ896:AR929" si="2175">SUM(AK896+AM896+AO896)</f>
        <v>0</v>
      </c>
      <c r="AR896" s="96">
        <f t="shared" si="2175"/>
        <v>0</v>
      </c>
      <c r="AS896" s="96"/>
      <c r="AT896" s="176">
        <f t="shared" ref="AT896:AT929" si="2176">O896*AS896*$AT$2/1000</f>
        <v>0</v>
      </c>
      <c r="AU896" s="206"/>
      <c r="AV896" s="176">
        <f t="shared" ref="AV896:AV929" si="2177">O896*AU896*$AV$2/1000</f>
        <v>0</v>
      </c>
      <c r="AW896" s="206"/>
      <c r="AX896" s="205">
        <f t="shared" ref="AX896:AX929" si="2178">O896*AW896*$AX$2/1000</f>
        <v>0</v>
      </c>
      <c r="AY896" s="188">
        <f t="shared" ref="AY896:AZ929" si="2179">SUM(AS896+AU896+AW896)</f>
        <v>0</v>
      </c>
      <c r="AZ896" s="96">
        <f t="shared" si="2179"/>
        <v>0</v>
      </c>
      <c r="BA896" s="96">
        <f t="shared" ref="BA896:BA929" si="2180">SUM(AQ896+AY896)</f>
        <v>0</v>
      </c>
      <c r="BB896" s="96">
        <f t="shared" ref="BB896:BB929" si="2181">SUM(AR896,AZ896)</f>
        <v>0</v>
      </c>
    </row>
    <row r="897" spans="1:54" ht="12" customHeight="1">
      <c r="A897" s="492">
        <v>555</v>
      </c>
      <c r="B897" s="13"/>
      <c r="C897" s="13"/>
      <c r="D897" s="13"/>
      <c r="E897" s="50" t="s">
        <v>1755</v>
      </c>
      <c r="F897" s="22"/>
      <c r="G897" s="22" t="s">
        <v>1060</v>
      </c>
      <c r="H897" s="265" t="s">
        <v>862</v>
      </c>
      <c r="I897" s="54">
        <v>79.98</v>
      </c>
      <c r="J897" s="162"/>
      <c r="K897" s="54">
        <v>79.17</v>
      </c>
      <c r="L897" s="101"/>
      <c r="M897" s="54"/>
      <c r="N897" s="101"/>
      <c r="O897" s="54"/>
      <c r="P897" s="162"/>
      <c r="Q897" s="96">
        <f t="shared" si="2161"/>
        <v>2.7</v>
      </c>
      <c r="R897" s="337">
        <f t="shared" si="2161"/>
        <v>320.47828443000003</v>
      </c>
      <c r="S897" s="96"/>
      <c r="T897" s="96">
        <f t="shared" si="2162"/>
        <v>0</v>
      </c>
      <c r="U897" s="96"/>
      <c r="V897" s="176">
        <f t="shared" si="2163"/>
        <v>0</v>
      </c>
      <c r="W897" s="206">
        <v>1.35</v>
      </c>
      <c r="X897" s="205">
        <f t="shared" si="2164"/>
        <v>162.21539601000001</v>
      </c>
      <c r="Y897" s="188">
        <f t="shared" si="2165"/>
        <v>1.35</v>
      </c>
      <c r="Z897" s="176">
        <f t="shared" si="2165"/>
        <v>162.21539601000001</v>
      </c>
      <c r="AA897" s="206">
        <v>1.35</v>
      </c>
      <c r="AB897" s="456">
        <f t="shared" si="2166"/>
        <v>158.26288842</v>
      </c>
      <c r="AC897" s="206"/>
      <c r="AD897" s="176">
        <f t="shared" si="2167"/>
        <v>0</v>
      </c>
      <c r="AE897" s="206"/>
      <c r="AF897" s="205">
        <f t="shared" si="2168"/>
        <v>0</v>
      </c>
      <c r="AG897" s="188">
        <f t="shared" si="2169"/>
        <v>1.35</v>
      </c>
      <c r="AH897" s="176">
        <f t="shared" si="2169"/>
        <v>158.26288842</v>
      </c>
      <c r="AI897" s="96">
        <f t="shared" si="2170"/>
        <v>2.7</v>
      </c>
      <c r="AJ897" s="96">
        <f t="shared" si="2171"/>
        <v>320.47828443000003</v>
      </c>
      <c r="AK897" s="188"/>
      <c r="AL897" s="176">
        <f t="shared" si="2172"/>
        <v>0</v>
      </c>
      <c r="AM897" s="243"/>
      <c r="AN897" s="176">
        <f t="shared" si="2173"/>
        <v>0</v>
      </c>
      <c r="AO897" s="206"/>
      <c r="AP897" s="205">
        <f t="shared" si="2174"/>
        <v>0</v>
      </c>
      <c r="AQ897" s="188">
        <f t="shared" si="2175"/>
        <v>0</v>
      </c>
      <c r="AR897" s="96">
        <f t="shared" si="2175"/>
        <v>0</v>
      </c>
      <c r="AS897" s="96"/>
      <c r="AT897" s="176">
        <f t="shared" si="2176"/>
        <v>0</v>
      </c>
      <c r="AU897" s="206"/>
      <c r="AV897" s="176">
        <f t="shared" si="2177"/>
        <v>0</v>
      </c>
      <c r="AW897" s="206"/>
      <c r="AX897" s="205">
        <f t="shared" si="2178"/>
        <v>0</v>
      </c>
      <c r="AY897" s="188">
        <f t="shared" si="2179"/>
        <v>0</v>
      </c>
      <c r="AZ897" s="96">
        <f t="shared" si="2179"/>
        <v>0</v>
      </c>
      <c r="BA897" s="96">
        <f t="shared" si="2180"/>
        <v>0</v>
      </c>
      <c r="BB897" s="96">
        <f t="shared" si="2181"/>
        <v>0</v>
      </c>
    </row>
    <row r="898" spans="1:54" ht="12" customHeight="1">
      <c r="A898" s="492">
        <v>555</v>
      </c>
      <c r="B898" s="13"/>
      <c r="C898" s="13"/>
      <c r="D898" s="13"/>
      <c r="E898" s="50" t="s">
        <v>2380</v>
      </c>
      <c r="F898" s="22"/>
      <c r="G898" s="22" t="s">
        <v>1060</v>
      </c>
      <c r="H898" s="265" t="s">
        <v>862</v>
      </c>
      <c r="I898" s="54">
        <v>81.91</v>
      </c>
      <c r="J898" s="162"/>
      <c r="K898" s="54">
        <v>81.31</v>
      </c>
      <c r="L898" s="101"/>
      <c r="M898" s="54"/>
      <c r="N898" s="101"/>
      <c r="O898" s="54"/>
      <c r="P898" s="162"/>
      <c r="Q898" s="96">
        <f t="shared" ref="Q898" si="2182">SUM(AI898+BA898)</f>
        <v>0.9</v>
      </c>
      <c r="R898" s="337">
        <f t="shared" ref="R898" si="2183">SUM(AJ898+BB898)</f>
        <v>108.36053604</v>
      </c>
      <c r="S898" s="96"/>
      <c r="T898" s="96">
        <f t="shared" ref="T898" si="2184">I898*S898*$T$2/1000</f>
        <v>0</v>
      </c>
      <c r="U898" s="96"/>
      <c r="V898" s="176">
        <f t="shared" ref="V898" si="2185">I898*U898*$V$2/1000</f>
        <v>0</v>
      </c>
      <c r="W898" s="206"/>
      <c r="X898" s="205">
        <f t="shared" ref="X898" si="2186">I898*W898*$X$2/1000</f>
        <v>0</v>
      </c>
      <c r="Y898" s="188">
        <f t="shared" ref="Y898" si="2187">SUM(S898+U898+W898)</f>
        <v>0</v>
      </c>
      <c r="Z898" s="176">
        <f>SUM(T898+V898+X898)</f>
        <v>0</v>
      </c>
      <c r="AA898" s="206">
        <v>0.9</v>
      </c>
      <c r="AB898" s="456">
        <f t="shared" ref="AB898" si="2188">K898*AA898*$AB$2/1000</f>
        <v>108.36053604</v>
      </c>
      <c r="AC898" s="206"/>
      <c r="AD898" s="176">
        <f t="shared" ref="AD898" si="2189">K898*AC898*$AD$2/1000</f>
        <v>0</v>
      </c>
      <c r="AE898" s="206"/>
      <c r="AF898" s="205">
        <f t="shared" ref="AF898" si="2190">K898*AE898*$AF$2/1000</f>
        <v>0</v>
      </c>
      <c r="AG898" s="188">
        <f t="shared" ref="AG898" si="2191">SUM(AA898+AC898+AE898)</f>
        <v>0.9</v>
      </c>
      <c r="AH898" s="176">
        <f>SUM(AB898+AD898+AF898)</f>
        <v>108.36053604</v>
      </c>
      <c r="AI898" s="96">
        <f t="shared" ref="AI898" si="2192">SUM(Y898+AG898)</f>
        <v>0.9</v>
      </c>
      <c r="AJ898" s="96">
        <f t="shared" ref="AJ898" si="2193">SUM(Z898,AH898)</f>
        <v>108.36053604</v>
      </c>
      <c r="AK898" s="188"/>
      <c r="AL898" s="176">
        <f t="shared" ref="AL898" si="2194">M898*AK898*$AL$2/1000</f>
        <v>0</v>
      </c>
      <c r="AM898" s="243"/>
      <c r="AN898" s="176">
        <f t="shared" ref="AN898" si="2195">M898*AM898*$AN$2/1000</f>
        <v>0</v>
      </c>
      <c r="AO898" s="206"/>
      <c r="AP898" s="205">
        <f t="shared" ref="AP898" si="2196">M898*AO898*$AP$2/1000</f>
        <v>0</v>
      </c>
      <c r="AQ898" s="188">
        <f t="shared" ref="AQ898" si="2197">SUM(AK898+AM898+AO898)</f>
        <v>0</v>
      </c>
      <c r="AR898" s="96">
        <f>SUM(AL898+AN898+AP898)</f>
        <v>0</v>
      </c>
      <c r="AS898" s="96"/>
      <c r="AT898" s="176">
        <f t="shared" ref="AT898" si="2198">O898*AS898*$AT$2/1000</f>
        <v>0</v>
      </c>
      <c r="AU898" s="206"/>
      <c r="AV898" s="176">
        <f t="shared" ref="AV898" si="2199">O898*AU898*$AV$2/1000</f>
        <v>0</v>
      </c>
      <c r="AW898" s="206"/>
      <c r="AX898" s="205">
        <f t="shared" ref="AX898" si="2200">O898*AW898*$AX$2/1000</f>
        <v>0</v>
      </c>
      <c r="AY898" s="188">
        <f t="shared" ref="AY898" si="2201">SUM(AS898+AU898+AW898)</f>
        <v>0</v>
      </c>
      <c r="AZ898" s="96">
        <f>SUM(AT898+AV898+AX898)</f>
        <v>0</v>
      </c>
      <c r="BA898" s="96">
        <f t="shared" ref="BA898" si="2202">SUM(AQ898+AY898)</f>
        <v>0</v>
      </c>
      <c r="BB898" s="96">
        <f t="shared" ref="BB898" si="2203">SUM(AR898,AZ898)</f>
        <v>0</v>
      </c>
    </row>
    <row r="899" spans="1:54" ht="12" customHeight="1">
      <c r="A899" s="492">
        <v>555</v>
      </c>
      <c r="B899" s="13"/>
      <c r="C899" s="13"/>
      <c r="D899" s="13"/>
      <c r="E899" s="50" t="s">
        <v>2381</v>
      </c>
      <c r="F899" s="22"/>
      <c r="G899" s="22" t="s">
        <v>1060</v>
      </c>
      <c r="H899" s="265" t="s">
        <v>862</v>
      </c>
      <c r="I899" s="54">
        <v>81.91</v>
      </c>
      <c r="J899" s="162"/>
      <c r="K899" s="54">
        <v>81.91</v>
      </c>
      <c r="L899" s="101"/>
      <c r="M899" s="54"/>
      <c r="N899" s="101"/>
      <c r="O899" s="54"/>
      <c r="P899" s="162"/>
      <c r="Q899" s="96">
        <f t="shared" si="2161"/>
        <v>0</v>
      </c>
      <c r="R899" s="337">
        <f t="shared" si="2161"/>
        <v>0</v>
      </c>
      <c r="S899" s="96"/>
      <c r="T899" s="96">
        <f t="shared" si="2162"/>
        <v>0</v>
      </c>
      <c r="U899" s="96"/>
      <c r="V899" s="176">
        <f t="shared" si="2163"/>
        <v>0</v>
      </c>
      <c r="W899" s="206"/>
      <c r="X899" s="205">
        <f t="shared" si="2164"/>
        <v>0</v>
      </c>
      <c r="Y899" s="188">
        <f t="shared" si="2165"/>
        <v>0</v>
      </c>
      <c r="Z899" s="176">
        <f t="shared" si="2165"/>
        <v>0</v>
      </c>
      <c r="AA899" s="206"/>
      <c r="AB899" s="456">
        <f t="shared" si="2166"/>
        <v>0</v>
      </c>
      <c r="AC899" s="206"/>
      <c r="AD899" s="176">
        <f t="shared" si="2167"/>
        <v>0</v>
      </c>
      <c r="AE899" s="206"/>
      <c r="AF899" s="205">
        <f t="shared" si="2168"/>
        <v>0</v>
      </c>
      <c r="AG899" s="188">
        <f t="shared" si="2169"/>
        <v>0</v>
      </c>
      <c r="AH899" s="176">
        <f t="shared" si="2169"/>
        <v>0</v>
      </c>
      <c r="AI899" s="96">
        <f t="shared" si="2170"/>
        <v>0</v>
      </c>
      <c r="AJ899" s="96">
        <f t="shared" si="2171"/>
        <v>0</v>
      </c>
      <c r="AK899" s="188"/>
      <c r="AL899" s="176">
        <f t="shared" si="2172"/>
        <v>0</v>
      </c>
      <c r="AM899" s="243"/>
      <c r="AN899" s="176">
        <f t="shared" si="2173"/>
        <v>0</v>
      </c>
      <c r="AO899" s="206"/>
      <c r="AP899" s="205">
        <f t="shared" si="2174"/>
        <v>0</v>
      </c>
      <c r="AQ899" s="188">
        <f t="shared" si="2175"/>
        <v>0</v>
      </c>
      <c r="AR899" s="96">
        <f t="shared" si="2175"/>
        <v>0</v>
      </c>
      <c r="AS899" s="96"/>
      <c r="AT899" s="176">
        <f t="shared" si="2176"/>
        <v>0</v>
      </c>
      <c r="AU899" s="206"/>
      <c r="AV899" s="176">
        <f t="shared" si="2177"/>
        <v>0</v>
      </c>
      <c r="AW899" s="206"/>
      <c r="AX899" s="205">
        <f t="shared" si="2178"/>
        <v>0</v>
      </c>
      <c r="AY899" s="188">
        <f t="shared" si="2179"/>
        <v>0</v>
      </c>
      <c r="AZ899" s="96">
        <f t="shared" si="2179"/>
        <v>0</v>
      </c>
      <c r="BA899" s="96">
        <f t="shared" si="2180"/>
        <v>0</v>
      </c>
      <c r="BB899" s="96">
        <f t="shared" si="2181"/>
        <v>0</v>
      </c>
    </row>
    <row r="900" spans="1:54" ht="12" customHeight="1">
      <c r="A900" s="492">
        <v>555</v>
      </c>
      <c r="B900" s="13"/>
      <c r="C900" s="13"/>
      <c r="D900" s="13"/>
      <c r="E900" s="50" t="s">
        <v>2382</v>
      </c>
      <c r="F900" s="22"/>
      <c r="G900" s="22" t="s">
        <v>1060</v>
      </c>
      <c r="H900" s="265" t="s">
        <v>862</v>
      </c>
      <c r="I900" s="54">
        <v>82.1</v>
      </c>
      <c r="J900" s="162"/>
      <c r="K900" s="54">
        <v>81.5</v>
      </c>
      <c r="L900" s="101"/>
      <c r="M900" s="54"/>
      <c r="N900" s="101"/>
      <c r="O900" s="54"/>
      <c r="P900" s="162"/>
      <c r="Q900" s="96">
        <f t="shared" si="2161"/>
        <v>0.36</v>
      </c>
      <c r="R900" s="337">
        <f t="shared" si="2161"/>
        <v>43.445498399999998</v>
      </c>
      <c r="S900" s="96"/>
      <c r="T900" s="96">
        <f t="shared" si="2162"/>
        <v>0</v>
      </c>
      <c r="U900" s="96"/>
      <c r="V900" s="176">
        <f t="shared" si="2163"/>
        <v>0</v>
      </c>
      <c r="W900" s="206"/>
      <c r="X900" s="205">
        <f t="shared" si="2164"/>
        <v>0</v>
      </c>
      <c r="Y900" s="188">
        <f t="shared" si="2165"/>
        <v>0</v>
      </c>
      <c r="Z900" s="176">
        <f t="shared" si="2165"/>
        <v>0</v>
      </c>
      <c r="AA900" s="206">
        <v>0.36</v>
      </c>
      <c r="AB900" s="456">
        <f t="shared" si="2166"/>
        <v>43.445498399999998</v>
      </c>
      <c r="AC900" s="206"/>
      <c r="AD900" s="176">
        <f t="shared" si="2167"/>
        <v>0</v>
      </c>
      <c r="AE900" s="206"/>
      <c r="AF900" s="205">
        <f t="shared" si="2168"/>
        <v>0</v>
      </c>
      <c r="AG900" s="188">
        <f t="shared" si="2169"/>
        <v>0.36</v>
      </c>
      <c r="AH900" s="176">
        <f t="shared" si="2169"/>
        <v>43.445498399999998</v>
      </c>
      <c r="AI900" s="96">
        <f t="shared" si="2170"/>
        <v>0.36</v>
      </c>
      <c r="AJ900" s="96">
        <f t="shared" si="2171"/>
        <v>43.445498399999998</v>
      </c>
      <c r="AK900" s="188"/>
      <c r="AL900" s="176">
        <f t="shared" si="2172"/>
        <v>0</v>
      </c>
      <c r="AM900" s="243"/>
      <c r="AN900" s="176">
        <f t="shared" si="2173"/>
        <v>0</v>
      </c>
      <c r="AO900" s="206"/>
      <c r="AP900" s="205">
        <f t="shared" si="2174"/>
        <v>0</v>
      </c>
      <c r="AQ900" s="188">
        <f t="shared" si="2175"/>
        <v>0</v>
      </c>
      <c r="AR900" s="96">
        <f t="shared" si="2175"/>
        <v>0</v>
      </c>
      <c r="AS900" s="96"/>
      <c r="AT900" s="176">
        <f t="shared" si="2176"/>
        <v>0</v>
      </c>
      <c r="AU900" s="206"/>
      <c r="AV900" s="176">
        <f t="shared" si="2177"/>
        <v>0</v>
      </c>
      <c r="AW900" s="206"/>
      <c r="AX900" s="205">
        <f t="shared" si="2178"/>
        <v>0</v>
      </c>
      <c r="AY900" s="188">
        <f t="shared" si="2179"/>
        <v>0</v>
      </c>
      <c r="AZ900" s="96">
        <f t="shared" si="2179"/>
        <v>0</v>
      </c>
      <c r="BA900" s="96">
        <f t="shared" si="2180"/>
        <v>0</v>
      </c>
      <c r="BB900" s="96">
        <f t="shared" si="2181"/>
        <v>0</v>
      </c>
    </row>
    <row r="901" spans="1:54" ht="12" customHeight="1">
      <c r="A901" s="492">
        <v>555</v>
      </c>
      <c r="B901" s="13"/>
      <c r="C901" s="13"/>
      <c r="D901" s="13"/>
      <c r="E901" s="50" t="s">
        <v>2383</v>
      </c>
      <c r="F901" s="22"/>
      <c r="G901" s="22" t="s">
        <v>1060</v>
      </c>
      <c r="H901" s="265" t="s">
        <v>862</v>
      </c>
      <c r="I901" s="54">
        <v>82.1</v>
      </c>
      <c r="J901" s="162"/>
      <c r="K901" s="54">
        <v>82.1</v>
      </c>
      <c r="L901" s="101"/>
      <c r="M901" s="54"/>
      <c r="N901" s="101"/>
      <c r="O901" s="54"/>
      <c r="P901" s="162"/>
      <c r="Q901" s="96">
        <f t="shared" ref="Q901" si="2204">SUM(AI901+BA901)</f>
        <v>0</v>
      </c>
      <c r="R901" s="337">
        <f t="shared" ref="R901" si="2205">SUM(AJ901+BB901)</f>
        <v>0</v>
      </c>
      <c r="S901" s="96"/>
      <c r="T901" s="96">
        <f t="shared" ref="T901" si="2206">I901*S901*$T$2/1000</f>
        <v>0</v>
      </c>
      <c r="U901" s="96"/>
      <c r="V901" s="176">
        <f t="shared" ref="V901" si="2207">I901*U901*$V$2/1000</f>
        <v>0</v>
      </c>
      <c r="W901" s="206"/>
      <c r="X901" s="205">
        <f t="shared" ref="X901" si="2208">I901*W901*$X$2/1000</f>
        <v>0</v>
      </c>
      <c r="Y901" s="188">
        <f t="shared" ref="Y901" si="2209">SUM(S901+U901+W901)</f>
        <v>0</v>
      </c>
      <c r="Z901" s="176">
        <f t="shared" ref="Z901" si="2210">SUM(T901+V901+X901)</f>
        <v>0</v>
      </c>
      <c r="AA901" s="206"/>
      <c r="AB901" s="456">
        <f t="shared" ref="AB901" si="2211">K901*AA901*$AB$2/1000</f>
        <v>0</v>
      </c>
      <c r="AC901" s="206"/>
      <c r="AD901" s="176">
        <f t="shared" ref="AD901" si="2212">K901*AC901*$AD$2/1000</f>
        <v>0</v>
      </c>
      <c r="AE901" s="206"/>
      <c r="AF901" s="205">
        <f t="shared" ref="AF901" si="2213">K901*AE901*$AF$2/1000</f>
        <v>0</v>
      </c>
      <c r="AG901" s="188">
        <f t="shared" ref="AG901" si="2214">SUM(AA901+AC901+AE901)</f>
        <v>0</v>
      </c>
      <c r="AH901" s="176">
        <f t="shared" ref="AH901" si="2215">SUM(AB901+AD901+AF901)</f>
        <v>0</v>
      </c>
      <c r="AI901" s="96">
        <f t="shared" ref="AI901" si="2216">SUM(Y901+AG901)</f>
        <v>0</v>
      </c>
      <c r="AJ901" s="96">
        <f t="shared" ref="AJ901" si="2217">SUM(Z901,AH901)</f>
        <v>0</v>
      </c>
      <c r="AK901" s="188"/>
      <c r="AL901" s="176">
        <f t="shared" ref="AL901" si="2218">M901*AK901*$AL$2/1000</f>
        <v>0</v>
      </c>
      <c r="AM901" s="243"/>
      <c r="AN901" s="176">
        <f t="shared" ref="AN901" si="2219">M901*AM901*$AN$2/1000</f>
        <v>0</v>
      </c>
      <c r="AO901" s="206"/>
      <c r="AP901" s="205">
        <f t="shared" ref="AP901" si="2220">M901*AO901*$AP$2/1000</f>
        <v>0</v>
      </c>
      <c r="AQ901" s="188">
        <f t="shared" ref="AQ901" si="2221">SUM(AK901+AM901+AO901)</f>
        <v>0</v>
      </c>
      <c r="AR901" s="96">
        <f t="shared" ref="AR901" si="2222">SUM(AL901+AN901+AP901)</f>
        <v>0</v>
      </c>
      <c r="AS901" s="96"/>
      <c r="AT901" s="176">
        <f t="shared" ref="AT901" si="2223">O901*AS901*$AT$2/1000</f>
        <v>0</v>
      </c>
      <c r="AU901" s="206"/>
      <c r="AV901" s="176">
        <f t="shared" ref="AV901" si="2224">O901*AU901*$AV$2/1000</f>
        <v>0</v>
      </c>
      <c r="AW901" s="206"/>
      <c r="AX901" s="205">
        <f t="shared" ref="AX901" si="2225">O901*AW901*$AX$2/1000</f>
        <v>0</v>
      </c>
      <c r="AY901" s="188">
        <f t="shared" ref="AY901" si="2226">SUM(AS901+AU901+AW901)</f>
        <v>0</v>
      </c>
      <c r="AZ901" s="96">
        <f t="shared" ref="AZ901" si="2227">SUM(AT901+AV901+AX901)</f>
        <v>0</v>
      </c>
      <c r="BA901" s="96">
        <f t="shared" ref="BA901" si="2228">SUM(AQ901+AY901)</f>
        <v>0</v>
      </c>
      <c r="BB901" s="96">
        <f t="shared" ref="BB901" si="2229">SUM(AR901,AZ901)</f>
        <v>0</v>
      </c>
    </row>
    <row r="902" spans="1:54" ht="12" customHeight="1">
      <c r="A902" s="492">
        <v>555</v>
      </c>
      <c r="B902" s="13"/>
      <c r="C902" s="13"/>
      <c r="D902" s="13"/>
      <c r="E902" s="50" t="s">
        <v>2384</v>
      </c>
      <c r="F902" s="22"/>
      <c r="G902" s="22" t="s">
        <v>1060</v>
      </c>
      <c r="H902" s="265" t="s">
        <v>862</v>
      </c>
      <c r="I902" s="54">
        <v>79.599999999999994</v>
      </c>
      <c r="J902" s="162"/>
      <c r="K902" s="54">
        <v>79.599999999999994</v>
      </c>
      <c r="L902" s="101"/>
      <c r="M902" s="54"/>
      <c r="N902" s="101"/>
      <c r="O902" s="54"/>
      <c r="P902" s="162"/>
      <c r="Q902" s="96">
        <f t="shared" ref="Q902" si="2230">SUM(AI902+BA902)</f>
        <v>0</v>
      </c>
      <c r="R902" s="337">
        <f t="shared" ref="R902" si="2231">SUM(AJ902+BB902)</f>
        <v>0</v>
      </c>
      <c r="S902" s="96"/>
      <c r="T902" s="96">
        <f t="shared" ref="T902" si="2232">I902*S902*$T$2/1000</f>
        <v>0</v>
      </c>
      <c r="U902" s="96"/>
      <c r="V902" s="176">
        <f t="shared" ref="V902" si="2233">I902*U902*$V$2/1000</f>
        <v>0</v>
      </c>
      <c r="W902" s="206"/>
      <c r="X902" s="205">
        <f t="shared" ref="X902" si="2234">I902*W902*$X$2/1000</f>
        <v>0</v>
      </c>
      <c r="Y902" s="188">
        <f t="shared" ref="Y902" si="2235">SUM(S902+U902+W902)</f>
        <v>0</v>
      </c>
      <c r="Z902" s="176">
        <f t="shared" ref="Z902" si="2236">SUM(T902+V902+X902)</f>
        <v>0</v>
      </c>
      <c r="AA902" s="206"/>
      <c r="AB902" s="456">
        <f t="shared" ref="AB902" si="2237">K902*AA902*$AB$2/1000</f>
        <v>0</v>
      </c>
      <c r="AC902" s="206"/>
      <c r="AD902" s="176">
        <f t="shared" ref="AD902" si="2238">K902*AC902*$AD$2/1000</f>
        <v>0</v>
      </c>
      <c r="AE902" s="206"/>
      <c r="AF902" s="205">
        <f t="shared" ref="AF902" si="2239">K902*AE902*$AF$2/1000</f>
        <v>0</v>
      </c>
      <c r="AG902" s="188">
        <f t="shared" ref="AG902" si="2240">SUM(AA902+AC902+AE902)</f>
        <v>0</v>
      </c>
      <c r="AH902" s="176">
        <f t="shared" ref="AH902" si="2241">SUM(AB902+AD902+AF902)</f>
        <v>0</v>
      </c>
      <c r="AI902" s="96">
        <f t="shared" ref="AI902" si="2242">SUM(Y902+AG902)</f>
        <v>0</v>
      </c>
      <c r="AJ902" s="96">
        <f t="shared" ref="AJ902" si="2243">SUM(Z902,AH902)</f>
        <v>0</v>
      </c>
      <c r="AK902" s="188"/>
      <c r="AL902" s="176">
        <f t="shared" ref="AL902" si="2244">M902*AK902*$AL$2/1000</f>
        <v>0</v>
      </c>
      <c r="AM902" s="243"/>
      <c r="AN902" s="176">
        <f t="shared" ref="AN902" si="2245">M902*AM902*$AN$2/1000</f>
        <v>0</v>
      </c>
      <c r="AO902" s="206"/>
      <c r="AP902" s="205">
        <f t="shared" ref="AP902" si="2246">M902*AO902*$AP$2/1000</f>
        <v>0</v>
      </c>
      <c r="AQ902" s="188">
        <f t="shared" ref="AQ902" si="2247">SUM(AK902+AM902+AO902)</f>
        <v>0</v>
      </c>
      <c r="AR902" s="96">
        <f t="shared" ref="AR902" si="2248">SUM(AL902+AN902+AP902)</f>
        <v>0</v>
      </c>
      <c r="AS902" s="96"/>
      <c r="AT902" s="176">
        <f t="shared" ref="AT902" si="2249">O902*AS902*$AT$2/1000</f>
        <v>0</v>
      </c>
      <c r="AU902" s="206"/>
      <c r="AV902" s="176">
        <f t="shared" ref="AV902" si="2250">O902*AU902*$AV$2/1000</f>
        <v>0</v>
      </c>
      <c r="AW902" s="206"/>
      <c r="AX902" s="205">
        <f t="shared" ref="AX902" si="2251">O902*AW902*$AX$2/1000</f>
        <v>0</v>
      </c>
      <c r="AY902" s="188">
        <f t="shared" ref="AY902" si="2252">SUM(AS902+AU902+AW902)</f>
        <v>0</v>
      </c>
      <c r="AZ902" s="96">
        <f t="shared" ref="AZ902" si="2253">SUM(AT902+AV902+AX902)</f>
        <v>0</v>
      </c>
      <c r="BA902" s="96">
        <f t="shared" ref="BA902" si="2254">SUM(AQ902+AY902)</f>
        <v>0</v>
      </c>
      <c r="BB902" s="96">
        <f t="shared" ref="BB902" si="2255">SUM(AR902,AZ902)</f>
        <v>0</v>
      </c>
    </row>
    <row r="903" spans="1:54" ht="12" customHeight="1">
      <c r="A903" s="492">
        <v>555</v>
      </c>
      <c r="B903" s="13"/>
      <c r="C903" s="13"/>
      <c r="D903" s="13"/>
      <c r="E903" s="50" t="s">
        <v>2385</v>
      </c>
      <c r="F903" s="22"/>
      <c r="G903" s="22" t="s">
        <v>1060</v>
      </c>
      <c r="H903" s="265" t="s">
        <v>862</v>
      </c>
      <c r="I903" s="54">
        <v>79.599999999999994</v>
      </c>
      <c r="J903" s="162"/>
      <c r="K903" s="54">
        <v>79.599999999999994</v>
      </c>
      <c r="L903" s="101"/>
      <c r="M903" s="54"/>
      <c r="N903" s="101"/>
      <c r="O903" s="54"/>
      <c r="P903" s="162"/>
      <c r="Q903" s="96">
        <f t="shared" si="2161"/>
        <v>0</v>
      </c>
      <c r="R903" s="337">
        <f t="shared" si="2161"/>
        <v>0</v>
      </c>
      <c r="S903" s="96"/>
      <c r="T903" s="96">
        <f t="shared" si="2162"/>
        <v>0</v>
      </c>
      <c r="U903" s="96"/>
      <c r="V903" s="176">
        <f t="shared" si="2163"/>
        <v>0</v>
      </c>
      <c r="W903" s="206"/>
      <c r="X903" s="205">
        <f t="shared" si="2164"/>
        <v>0</v>
      </c>
      <c r="Y903" s="188">
        <f t="shared" si="2165"/>
        <v>0</v>
      </c>
      <c r="Z903" s="176">
        <f>SUM(T903+V903+X903)</f>
        <v>0</v>
      </c>
      <c r="AA903" s="206"/>
      <c r="AB903" s="456">
        <f t="shared" si="2166"/>
        <v>0</v>
      </c>
      <c r="AC903" s="206"/>
      <c r="AD903" s="176">
        <f t="shared" si="2167"/>
        <v>0</v>
      </c>
      <c r="AE903" s="206"/>
      <c r="AF903" s="205">
        <f t="shared" si="2168"/>
        <v>0</v>
      </c>
      <c r="AG903" s="188">
        <f t="shared" si="2169"/>
        <v>0</v>
      </c>
      <c r="AH903" s="176">
        <f>SUM(AB903+AD903+AF903)</f>
        <v>0</v>
      </c>
      <c r="AI903" s="96">
        <f t="shared" si="2170"/>
        <v>0</v>
      </c>
      <c r="AJ903" s="96">
        <f t="shared" si="2171"/>
        <v>0</v>
      </c>
      <c r="AK903" s="188"/>
      <c r="AL903" s="176">
        <f t="shared" si="2172"/>
        <v>0</v>
      </c>
      <c r="AM903" s="243"/>
      <c r="AN903" s="176">
        <f t="shared" si="2173"/>
        <v>0</v>
      </c>
      <c r="AO903" s="206"/>
      <c r="AP903" s="205">
        <f t="shared" si="2174"/>
        <v>0</v>
      </c>
      <c r="AQ903" s="188">
        <f t="shared" si="2175"/>
        <v>0</v>
      </c>
      <c r="AR903" s="96">
        <f>SUM(AL903+AN903+AP903)</f>
        <v>0</v>
      </c>
      <c r="AS903" s="96"/>
      <c r="AT903" s="176">
        <f t="shared" si="2176"/>
        <v>0</v>
      </c>
      <c r="AU903" s="206"/>
      <c r="AV903" s="176">
        <f t="shared" si="2177"/>
        <v>0</v>
      </c>
      <c r="AW903" s="206"/>
      <c r="AX903" s="205">
        <f t="shared" si="2178"/>
        <v>0</v>
      </c>
      <c r="AY903" s="188">
        <f t="shared" si="2179"/>
        <v>0</v>
      </c>
      <c r="AZ903" s="96">
        <f>SUM(AT903+AV903+AX903)</f>
        <v>0</v>
      </c>
      <c r="BA903" s="96">
        <f t="shared" si="2180"/>
        <v>0</v>
      </c>
      <c r="BB903" s="96">
        <f t="shared" si="2181"/>
        <v>0</v>
      </c>
    </row>
    <row r="904" spans="1:54" ht="12" customHeight="1">
      <c r="A904" s="492">
        <v>555</v>
      </c>
      <c r="B904" s="13"/>
      <c r="C904" s="13"/>
      <c r="D904" s="13"/>
      <c r="E904" s="50" t="s">
        <v>2386</v>
      </c>
      <c r="F904" s="22"/>
      <c r="G904" s="22" t="s">
        <v>1060</v>
      </c>
      <c r="H904" s="265" t="s">
        <v>862</v>
      </c>
      <c r="I904" s="54">
        <v>80.17</v>
      </c>
      <c r="J904" s="162"/>
      <c r="K904" s="54">
        <v>80.17</v>
      </c>
      <c r="L904" s="101"/>
      <c r="M904" s="54"/>
      <c r="N904" s="101"/>
      <c r="O904" s="54"/>
      <c r="P904" s="162"/>
      <c r="Q904" s="96">
        <f t="shared" ref="Q904:Q909" si="2256">SUM(AI904+BA904)</f>
        <v>0</v>
      </c>
      <c r="R904" s="337">
        <f t="shared" ref="R904:R909" si="2257">SUM(AJ904+BB904)</f>
        <v>0</v>
      </c>
      <c r="S904" s="96"/>
      <c r="T904" s="96">
        <f t="shared" ref="T904:T909" si="2258">I904*S904*$T$2/1000</f>
        <v>0</v>
      </c>
      <c r="U904" s="96"/>
      <c r="V904" s="176">
        <f t="shared" ref="V904:V909" si="2259">I904*U904*$V$2/1000</f>
        <v>0</v>
      </c>
      <c r="W904" s="206"/>
      <c r="X904" s="205">
        <f t="shared" ref="X904:X909" si="2260">I904*W904*$X$2/1000</f>
        <v>0</v>
      </c>
      <c r="Y904" s="188">
        <f t="shared" ref="Y904:Y909" si="2261">SUM(S904+U904+W904)</f>
        <v>0</v>
      </c>
      <c r="Z904" s="176">
        <f t="shared" ref="Z904:Z909" si="2262">SUM(T904+V904+X904)</f>
        <v>0</v>
      </c>
      <c r="AA904" s="206"/>
      <c r="AB904" s="456">
        <f t="shared" ref="AB904:AB909" si="2263">K904*AA904*$AB$2/1000</f>
        <v>0</v>
      </c>
      <c r="AC904" s="206"/>
      <c r="AD904" s="176">
        <f t="shared" ref="AD904:AD909" si="2264">K904*AC904*$AD$2/1000</f>
        <v>0</v>
      </c>
      <c r="AE904" s="206"/>
      <c r="AF904" s="205">
        <f t="shared" ref="AF904:AF909" si="2265">K904*AE904*$AF$2/1000</f>
        <v>0</v>
      </c>
      <c r="AG904" s="188">
        <f t="shared" ref="AG904:AG909" si="2266">SUM(AA904+AC904+AE904)</f>
        <v>0</v>
      </c>
      <c r="AH904" s="176">
        <f t="shared" ref="AH904:AH909" si="2267">SUM(AB904+AD904+AF904)</f>
        <v>0</v>
      </c>
      <c r="AI904" s="96">
        <f t="shared" ref="AI904:AI909" si="2268">SUM(Y904+AG904)</f>
        <v>0</v>
      </c>
      <c r="AJ904" s="96">
        <f t="shared" ref="AJ904:AJ909" si="2269">SUM(Z904,AH904)</f>
        <v>0</v>
      </c>
      <c r="AK904" s="188"/>
      <c r="AL904" s="176">
        <f t="shared" ref="AL904:AL909" si="2270">M904*AK904*$AL$2/1000</f>
        <v>0</v>
      </c>
      <c r="AM904" s="243"/>
      <c r="AN904" s="176">
        <f t="shared" ref="AN904:AN909" si="2271">M904*AM904*$AN$2/1000</f>
        <v>0</v>
      </c>
      <c r="AO904" s="206"/>
      <c r="AP904" s="205">
        <f t="shared" ref="AP904:AP909" si="2272">M904*AO904*$AP$2/1000</f>
        <v>0</v>
      </c>
      <c r="AQ904" s="188">
        <f t="shared" ref="AQ904:AQ909" si="2273">SUM(AK904+AM904+AO904)</f>
        <v>0</v>
      </c>
      <c r="AR904" s="96">
        <f t="shared" ref="AR904:AR909" si="2274">SUM(AL904+AN904+AP904)</f>
        <v>0</v>
      </c>
      <c r="AS904" s="96"/>
      <c r="AT904" s="176">
        <f t="shared" ref="AT904:AT909" si="2275">O904*AS904*$AT$2/1000</f>
        <v>0</v>
      </c>
      <c r="AU904" s="206"/>
      <c r="AV904" s="176">
        <f t="shared" ref="AV904:AV909" si="2276">O904*AU904*$AV$2/1000</f>
        <v>0</v>
      </c>
      <c r="AW904" s="206"/>
      <c r="AX904" s="205">
        <f t="shared" ref="AX904:AX909" si="2277">O904*AW904*$AX$2/1000</f>
        <v>0</v>
      </c>
      <c r="AY904" s="188">
        <f t="shared" ref="AY904:AY909" si="2278">SUM(AS904+AU904+AW904)</f>
        <v>0</v>
      </c>
      <c r="AZ904" s="96">
        <f t="shared" ref="AZ904:AZ909" si="2279">SUM(AT904+AV904+AX904)</f>
        <v>0</v>
      </c>
      <c r="BA904" s="96">
        <f t="shared" ref="BA904:BA909" si="2280">SUM(AQ904+AY904)</f>
        <v>0</v>
      </c>
      <c r="BB904" s="96">
        <f t="shared" ref="BB904:BB909" si="2281">SUM(AR904,AZ904)</f>
        <v>0</v>
      </c>
    </row>
    <row r="905" spans="1:54" ht="12" customHeight="1">
      <c r="A905" s="492">
        <v>555</v>
      </c>
      <c r="B905" s="13"/>
      <c r="C905" s="13"/>
      <c r="D905" s="13"/>
      <c r="E905" s="50" t="s">
        <v>2387</v>
      </c>
      <c r="F905" s="22"/>
      <c r="G905" s="22" t="s">
        <v>1060</v>
      </c>
      <c r="H905" s="265" t="s">
        <v>862</v>
      </c>
      <c r="I905" s="54">
        <v>79.8</v>
      </c>
      <c r="J905" s="162"/>
      <c r="K905" s="54">
        <v>79.92</v>
      </c>
      <c r="L905" s="101"/>
      <c r="M905" s="54"/>
      <c r="N905" s="101"/>
      <c r="O905" s="54"/>
      <c r="P905" s="162"/>
      <c r="Q905" s="96">
        <f t="shared" ref="Q905" si="2282">SUM(AI905+BA905)</f>
        <v>1.62</v>
      </c>
      <c r="R905" s="337">
        <f t="shared" ref="R905" si="2283">SUM(AJ905+BB905)</f>
        <v>193.38511924800002</v>
      </c>
      <c r="S905" s="96"/>
      <c r="T905" s="96">
        <f t="shared" ref="T905" si="2284">I905*S905*$T$2/1000</f>
        <v>0</v>
      </c>
      <c r="U905" s="96"/>
      <c r="V905" s="176">
        <f t="shared" ref="V905" si="2285">I905*U905*$V$2/1000</f>
        <v>0</v>
      </c>
      <c r="W905" s="206">
        <v>1.08</v>
      </c>
      <c r="X905" s="205">
        <f t="shared" ref="X905" si="2286">I905*W905*$X$2/1000</f>
        <v>129.48025608</v>
      </c>
      <c r="Y905" s="188">
        <f t="shared" ref="Y905" si="2287">SUM(S905+U905+W905)</f>
        <v>1.08</v>
      </c>
      <c r="Z905" s="176">
        <f t="shared" ref="Z905" si="2288">SUM(T905+V905+X905)</f>
        <v>129.48025608</v>
      </c>
      <c r="AA905" s="206">
        <v>0.54</v>
      </c>
      <c r="AB905" s="456">
        <f t="shared" ref="AB905" si="2289">K905*AA905*$AB$2/1000</f>
        <v>63.904863168000006</v>
      </c>
      <c r="AC905" s="206"/>
      <c r="AD905" s="176">
        <f t="shared" ref="AD905" si="2290">K905*AC905*$AD$2/1000</f>
        <v>0</v>
      </c>
      <c r="AE905" s="206"/>
      <c r="AF905" s="205">
        <f t="shared" ref="AF905" si="2291">K905*AE905*$AF$2/1000</f>
        <v>0</v>
      </c>
      <c r="AG905" s="188">
        <f t="shared" ref="AG905" si="2292">SUM(AA905+AC905+AE905)</f>
        <v>0.54</v>
      </c>
      <c r="AH905" s="176">
        <f t="shared" ref="AH905" si="2293">SUM(AB905+AD905+AF905)</f>
        <v>63.904863168000006</v>
      </c>
      <c r="AI905" s="96">
        <f t="shared" ref="AI905" si="2294">SUM(Y905+AG905)</f>
        <v>1.62</v>
      </c>
      <c r="AJ905" s="96">
        <f t="shared" ref="AJ905" si="2295">SUM(Z905,AH905)</f>
        <v>193.38511924800002</v>
      </c>
      <c r="AK905" s="188"/>
      <c r="AL905" s="176">
        <f t="shared" ref="AL905" si="2296">M905*AK905*$AL$2/1000</f>
        <v>0</v>
      </c>
      <c r="AM905" s="243"/>
      <c r="AN905" s="176">
        <f t="shared" ref="AN905" si="2297">M905*AM905*$AN$2/1000</f>
        <v>0</v>
      </c>
      <c r="AO905" s="206"/>
      <c r="AP905" s="205">
        <f t="shared" ref="AP905" si="2298">M905*AO905*$AP$2/1000</f>
        <v>0</v>
      </c>
      <c r="AQ905" s="188">
        <f t="shared" ref="AQ905" si="2299">SUM(AK905+AM905+AO905)</f>
        <v>0</v>
      </c>
      <c r="AR905" s="96">
        <f t="shared" ref="AR905" si="2300">SUM(AL905+AN905+AP905)</f>
        <v>0</v>
      </c>
      <c r="AS905" s="96"/>
      <c r="AT905" s="176">
        <f t="shared" ref="AT905" si="2301">O905*AS905*$AT$2/1000</f>
        <v>0</v>
      </c>
      <c r="AU905" s="206"/>
      <c r="AV905" s="176">
        <f t="shared" ref="AV905" si="2302">O905*AU905*$AV$2/1000</f>
        <v>0</v>
      </c>
      <c r="AW905" s="206"/>
      <c r="AX905" s="205">
        <f t="shared" ref="AX905" si="2303">O905*AW905*$AX$2/1000</f>
        <v>0</v>
      </c>
      <c r="AY905" s="188">
        <f t="shared" ref="AY905" si="2304">SUM(AS905+AU905+AW905)</f>
        <v>0</v>
      </c>
      <c r="AZ905" s="96">
        <f t="shared" ref="AZ905" si="2305">SUM(AT905+AV905+AX905)</f>
        <v>0</v>
      </c>
      <c r="BA905" s="96">
        <f t="shared" ref="BA905" si="2306">SUM(AQ905+AY905)</f>
        <v>0</v>
      </c>
      <c r="BB905" s="96">
        <f t="shared" ref="BB905" si="2307">SUM(AR905,AZ905)</f>
        <v>0</v>
      </c>
    </row>
    <row r="906" spans="1:54" ht="12" customHeight="1">
      <c r="A906" s="492">
        <v>555</v>
      </c>
      <c r="B906" s="13"/>
      <c r="C906" s="13"/>
      <c r="D906" s="13"/>
      <c r="E906" s="50" t="s">
        <v>2567</v>
      </c>
      <c r="F906" s="22"/>
      <c r="G906" s="22" t="s">
        <v>1060</v>
      </c>
      <c r="H906" s="265" t="s">
        <v>862</v>
      </c>
      <c r="I906" s="54">
        <v>29.68</v>
      </c>
      <c r="J906" s="162"/>
      <c r="K906" s="54">
        <v>29.68</v>
      </c>
      <c r="L906" s="101"/>
      <c r="M906" s="54"/>
      <c r="N906" s="101"/>
      <c r="O906" s="54"/>
      <c r="P906" s="162"/>
      <c r="Q906" s="96">
        <f t="shared" si="2256"/>
        <v>0.35</v>
      </c>
      <c r="R906" s="337">
        <f t="shared" si="2257"/>
        <v>15.606619559999999</v>
      </c>
      <c r="S906" s="96"/>
      <c r="T906" s="96">
        <f t="shared" si="2258"/>
        <v>0</v>
      </c>
      <c r="U906" s="96"/>
      <c r="V906" s="176">
        <f t="shared" si="2259"/>
        <v>0</v>
      </c>
      <c r="W906" s="206">
        <v>0.35</v>
      </c>
      <c r="X906" s="205">
        <f t="shared" si="2260"/>
        <v>15.606619559999999</v>
      </c>
      <c r="Y906" s="188">
        <f t="shared" si="2261"/>
        <v>0.35</v>
      </c>
      <c r="Z906" s="176">
        <f t="shared" si="2262"/>
        <v>15.606619559999999</v>
      </c>
      <c r="AA906" s="206"/>
      <c r="AB906" s="456">
        <f t="shared" si="2263"/>
        <v>0</v>
      </c>
      <c r="AC906" s="206"/>
      <c r="AD906" s="176">
        <f t="shared" si="2264"/>
        <v>0</v>
      </c>
      <c r="AE906" s="206"/>
      <c r="AF906" s="205">
        <f t="shared" si="2265"/>
        <v>0</v>
      </c>
      <c r="AG906" s="188">
        <f t="shared" si="2266"/>
        <v>0</v>
      </c>
      <c r="AH906" s="176">
        <f t="shared" si="2267"/>
        <v>0</v>
      </c>
      <c r="AI906" s="96">
        <f t="shared" si="2268"/>
        <v>0.35</v>
      </c>
      <c r="AJ906" s="96">
        <f t="shared" si="2269"/>
        <v>15.606619559999999</v>
      </c>
      <c r="AK906" s="188"/>
      <c r="AL906" s="176">
        <f t="shared" si="2270"/>
        <v>0</v>
      </c>
      <c r="AM906" s="243"/>
      <c r="AN906" s="176">
        <f t="shared" si="2271"/>
        <v>0</v>
      </c>
      <c r="AO906" s="206"/>
      <c r="AP906" s="205">
        <f t="shared" si="2272"/>
        <v>0</v>
      </c>
      <c r="AQ906" s="188">
        <f t="shared" si="2273"/>
        <v>0</v>
      </c>
      <c r="AR906" s="96">
        <f t="shared" si="2274"/>
        <v>0</v>
      </c>
      <c r="AS906" s="96"/>
      <c r="AT906" s="176">
        <f t="shared" si="2275"/>
        <v>0</v>
      </c>
      <c r="AU906" s="206"/>
      <c r="AV906" s="176">
        <f t="shared" si="2276"/>
        <v>0</v>
      </c>
      <c r="AW906" s="206"/>
      <c r="AX906" s="205">
        <f t="shared" si="2277"/>
        <v>0</v>
      </c>
      <c r="AY906" s="188">
        <f t="shared" si="2278"/>
        <v>0</v>
      </c>
      <c r="AZ906" s="96">
        <f t="shared" si="2279"/>
        <v>0</v>
      </c>
      <c r="BA906" s="96">
        <f t="shared" si="2280"/>
        <v>0</v>
      </c>
      <c r="BB906" s="96">
        <f t="shared" si="2281"/>
        <v>0</v>
      </c>
    </row>
    <row r="907" spans="1:54" ht="12" customHeight="1">
      <c r="A907" s="492">
        <v>555</v>
      </c>
      <c r="B907" s="13"/>
      <c r="C907" s="13"/>
      <c r="D907" s="13"/>
      <c r="E907" s="50" t="s">
        <v>2388</v>
      </c>
      <c r="F907" s="22"/>
      <c r="G907" s="22" t="s">
        <v>1060</v>
      </c>
      <c r="H907" s="265" t="s">
        <v>862</v>
      </c>
      <c r="I907" s="54">
        <v>79.77</v>
      </c>
      <c r="J907" s="162"/>
      <c r="K907" s="54">
        <v>79.77</v>
      </c>
      <c r="L907" s="101"/>
      <c r="M907" s="54"/>
      <c r="N907" s="101"/>
      <c r="O907" s="54"/>
      <c r="P907" s="162"/>
      <c r="Q907" s="96">
        <f t="shared" si="2256"/>
        <v>1.1519999999999999</v>
      </c>
      <c r="R907" s="337">
        <f t="shared" si="2257"/>
        <v>138.06035124479996</v>
      </c>
      <c r="S907" s="96"/>
      <c r="T907" s="96">
        <f t="shared" si="2258"/>
        <v>0</v>
      </c>
      <c r="U907" s="96"/>
      <c r="V907" s="176">
        <f t="shared" si="2259"/>
        <v>0</v>
      </c>
      <c r="W907" s="206">
        <v>1.1519999999999999</v>
      </c>
      <c r="X907" s="205">
        <f t="shared" si="2260"/>
        <v>138.06035124479996</v>
      </c>
      <c r="Y907" s="188">
        <f t="shared" si="2261"/>
        <v>1.1519999999999999</v>
      </c>
      <c r="Z907" s="176">
        <f t="shared" si="2262"/>
        <v>138.06035124479996</v>
      </c>
      <c r="AA907" s="206"/>
      <c r="AB907" s="456">
        <f t="shared" si="2263"/>
        <v>0</v>
      </c>
      <c r="AC907" s="206"/>
      <c r="AD907" s="176">
        <f t="shared" si="2264"/>
        <v>0</v>
      </c>
      <c r="AE907" s="206"/>
      <c r="AF907" s="205">
        <f t="shared" si="2265"/>
        <v>0</v>
      </c>
      <c r="AG907" s="188">
        <f t="shared" si="2266"/>
        <v>0</v>
      </c>
      <c r="AH907" s="176">
        <f t="shared" si="2267"/>
        <v>0</v>
      </c>
      <c r="AI907" s="96">
        <f t="shared" si="2268"/>
        <v>1.1519999999999999</v>
      </c>
      <c r="AJ907" s="96">
        <f t="shared" si="2269"/>
        <v>138.06035124479996</v>
      </c>
      <c r="AK907" s="188"/>
      <c r="AL907" s="176">
        <f t="shared" si="2270"/>
        <v>0</v>
      </c>
      <c r="AM907" s="243"/>
      <c r="AN907" s="176">
        <f t="shared" si="2271"/>
        <v>0</v>
      </c>
      <c r="AO907" s="206"/>
      <c r="AP907" s="205">
        <f t="shared" si="2272"/>
        <v>0</v>
      </c>
      <c r="AQ907" s="188">
        <f t="shared" si="2273"/>
        <v>0</v>
      </c>
      <c r="AR907" s="96">
        <f t="shared" si="2274"/>
        <v>0</v>
      </c>
      <c r="AS907" s="96"/>
      <c r="AT907" s="176">
        <f t="shared" si="2275"/>
        <v>0</v>
      </c>
      <c r="AU907" s="206"/>
      <c r="AV907" s="176">
        <f t="shared" si="2276"/>
        <v>0</v>
      </c>
      <c r="AW907" s="206"/>
      <c r="AX907" s="205">
        <f t="shared" si="2277"/>
        <v>0</v>
      </c>
      <c r="AY907" s="188">
        <f t="shared" si="2278"/>
        <v>0</v>
      </c>
      <c r="AZ907" s="96">
        <f t="shared" si="2279"/>
        <v>0</v>
      </c>
      <c r="BA907" s="96">
        <f t="shared" si="2280"/>
        <v>0</v>
      </c>
      <c r="BB907" s="96">
        <f t="shared" si="2281"/>
        <v>0</v>
      </c>
    </row>
    <row r="908" spans="1:54" ht="12" customHeight="1">
      <c r="A908" s="492">
        <v>555</v>
      </c>
      <c r="B908" s="13"/>
      <c r="C908" s="13"/>
      <c r="D908" s="13"/>
      <c r="E908" s="50" t="s">
        <v>2389</v>
      </c>
      <c r="F908" s="22"/>
      <c r="G908" s="22" t="s">
        <v>1060</v>
      </c>
      <c r="H908" s="265" t="s">
        <v>862</v>
      </c>
      <c r="I908" s="54">
        <v>79.77</v>
      </c>
      <c r="J908" s="162"/>
      <c r="K908" s="54">
        <v>79.77</v>
      </c>
      <c r="L908" s="101"/>
      <c r="M908" s="54"/>
      <c r="N908" s="101"/>
      <c r="O908" s="54"/>
      <c r="P908" s="162"/>
      <c r="Q908" s="96">
        <f t="shared" si="2256"/>
        <v>1.728</v>
      </c>
      <c r="R908" s="337">
        <f t="shared" si="2257"/>
        <v>207.09052686719997</v>
      </c>
      <c r="S908" s="96"/>
      <c r="T908" s="96">
        <f t="shared" si="2258"/>
        <v>0</v>
      </c>
      <c r="U908" s="96"/>
      <c r="V908" s="176">
        <f t="shared" si="2259"/>
        <v>0</v>
      </c>
      <c r="W908" s="206">
        <v>1.728</v>
      </c>
      <c r="X908" s="205">
        <f t="shared" si="2260"/>
        <v>207.09052686719997</v>
      </c>
      <c r="Y908" s="188">
        <f t="shared" si="2261"/>
        <v>1.728</v>
      </c>
      <c r="Z908" s="176">
        <f t="shared" si="2262"/>
        <v>207.09052686719997</v>
      </c>
      <c r="AA908" s="206"/>
      <c r="AB908" s="456">
        <f t="shared" si="2263"/>
        <v>0</v>
      </c>
      <c r="AC908" s="206"/>
      <c r="AD908" s="176">
        <f t="shared" si="2264"/>
        <v>0</v>
      </c>
      <c r="AE908" s="206"/>
      <c r="AF908" s="205">
        <f t="shared" si="2265"/>
        <v>0</v>
      </c>
      <c r="AG908" s="188">
        <f t="shared" si="2266"/>
        <v>0</v>
      </c>
      <c r="AH908" s="176">
        <f t="shared" si="2267"/>
        <v>0</v>
      </c>
      <c r="AI908" s="96">
        <f t="shared" si="2268"/>
        <v>1.728</v>
      </c>
      <c r="AJ908" s="96">
        <f t="shared" si="2269"/>
        <v>207.09052686719997</v>
      </c>
      <c r="AK908" s="188"/>
      <c r="AL908" s="176">
        <f t="shared" si="2270"/>
        <v>0</v>
      </c>
      <c r="AM908" s="243"/>
      <c r="AN908" s="176">
        <f t="shared" si="2271"/>
        <v>0</v>
      </c>
      <c r="AO908" s="206"/>
      <c r="AP908" s="205">
        <f t="shared" si="2272"/>
        <v>0</v>
      </c>
      <c r="AQ908" s="188">
        <f t="shared" si="2273"/>
        <v>0</v>
      </c>
      <c r="AR908" s="96">
        <f t="shared" si="2274"/>
        <v>0</v>
      </c>
      <c r="AS908" s="96"/>
      <c r="AT908" s="176">
        <f t="shared" si="2275"/>
        <v>0</v>
      </c>
      <c r="AU908" s="206"/>
      <c r="AV908" s="176">
        <f t="shared" si="2276"/>
        <v>0</v>
      </c>
      <c r="AW908" s="206"/>
      <c r="AX908" s="205">
        <f t="shared" si="2277"/>
        <v>0</v>
      </c>
      <c r="AY908" s="188">
        <f t="shared" si="2278"/>
        <v>0</v>
      </c>
      <c r="AZ908" s="96">
        <f t="shared" si="2279"/>
        <v>0</v>
      </c>
      <c r="BA908" s="96">
        <f t="shared" si="2280"/>
        <v>0</v>
      </c>
      <c r="BB908" s="96">
        <f t="shared" si="2281"/>
        <v>0</v>
      </c>
    </row>
    <row r="909" spans="1:54" ht="12" customHeight="1">
      <c r="A909" s="492">
        <v>555</v>
      </c>
      <c r="B909" s="13"/>
      <c r="C909" s="13"/>
      <c r="D909" s="13"/>
      <c r="E909" s="50" t="s">
        <v>2390</v>
      </c>
      <c r="F909" s="22"/>
      <c r="G909" s="22" t="s">
        <v>1060</v>
      </c>
      <c r="H909" s="265" t="s">
        <v>862</v>
      </c>
      <c r="I909" s="54">
        <v>79.98</v>
      </c>
      <c r="J909" s="162"/>
      <c r="K909" s="54">
        <v>79.98</v>
      </c>
      <c r="L909" s="101"/>
      <c r="M909" s="54"/>
      <c r="N909" s="101"/>
      <c r="O909" s="54"/>
      <c r="P909" s="162"/>
      <c r="Q909" s="96">
        <f t="shared" si="2256"/>
        <v>0.12</v>
      </c>
      <c r="R909" s="337">
        <f t="shared" si="2257"/>
        <v>14.419146311999999</v>
      </c>
      <c r="S909" s="96"/>
      <c r="T909" s="96">
        <f t="shared" si="2258"/>
        <v>0</v>
      </c>
      <c r="U909" s="96"/>
      <c r="V909" s="176">
        <f t="shared" si="2259"/>
        <v>0</v>
      </c>
      <c r="W909" s="206">
        <v>0.12</v>
      </c>
      <c r="X909" s="205">
        <f t="shared" si="2260"/>
        <v>14.419146311999999</v>
      </c>
      <c r="Y909" s="188">
        <f t="shared" si="2261"/>
        <v>0.12</v>
      </c>
      <c r="Z909" s="176">
        <f t="shared" si="2262"/>
        <v>14.419146311999999</v>
      </c>
      <c r="AA909" s="206"/>
      <c r="AB909" s="456">
        <f t="shared" si="2263"/>
        <v>0</v>
      </c>
      <c r="AC909" s="206"/>
      <c r="AD909" s="176">
        <f t="shared" si="2264"/>
        <v>0</v>
      </c>
      <c r="AE909" s="206"/>
      <c r="AF909" s="205">
        <f t="shared" si="2265"/>
        <v>0</v>
      </c>
      <c r="AG909" s="188">
        <f t="shared" si="2266"/>
        <v>0</v>
      </c>
      <c r="AH909" s="176">
        <f t="shared" si="2267"/>
        <v>0</v>
      </c>
      <c r="AI909" s="96">
        <f t="shared" si="2268"/>
        <v>0.12</v>
      </c>
      <c r="AJ909" s="96">
        <f t="shared" si="2269"/>
        <v>14.419146311999999</v>
      </c>
      <c r="AK909" s="188"/>
      <c r="AL909" s="176">
        <f t="shared" si="2270"/>
        <v>0</v>
      </c>
      <c r="AM909" s="243"/>
      <c r="AN909" s="176">
        <f t="shared" si="2271"/>
        <v>0</v>
      </c>
      <c r="AO909" s="206"/>
      <c r="AP909" s="205">
        <f t="shared" si="2272"/>
        <v>0</v>
      </c>
      <c r="AQ909" s="188">
        <f t="shared" si="2273"/>
        <v>0</v>
      </c>
      <c r="AR909" s="96">
        <f t="shared" si="2274"/>
        <v>0</v>
      </c>
      <c r="AS909" s="96"/>
      <c r="AT909" s="176">
        <f t="shared" si="2275"/>
        <v>0</v>
      </c>
      <c r="AU909" s="206"/>
      <c r="AV909" s="176">
        <f t="shared" si="2276"/>
        <v>0</v>
      </c>
      <c r="AW909" s="206"/>
      <c r="AX909" s="205">
        <f t="shared" si="2277"/>
        <v>0</v>
      </c>
      <c r="AY909" s="188">
        <f t="shared" si="2278"/>
        <v>0</v>
      </c>
      <c r="AZ909" s="96">
        <f t="shared" si="2279"/>
        <v>0</v>
      </c>
      <c r="BA909" s="96">
        <f t="shared" si="2280"/>
        <v>0</v>
      </c>
      <c r="BB909" s="96">
        <f t="shared" si="2281"/>
        <v>0</v>
      </c>
    </row>
    <row r="910" spans="1:54" ht="12" customHeight="1">
      <c r="A910" s="492">
        <v>555</v>
      </c>
      <c r="B910" s="13"/>
      <c r="C910" s="13"/>
      <c r="D910" s="13"/>
      <c r="E910" s="50" t="s">
        <v>2391</v>
      </c>
      <c r="F910" s="22"/>
      <c r="G910" s="22" t="s">
        <v>1060</v>
      </c>
      <c r="H910" s="265" t="s">
        <v>862</v>
      </c>
      <c r="I910" s="54">
        <v>79.98</v>
      </c>
      <c r="J910" s="162"/>
      <c r="K910" s="54">
        <v>79.98</v>
      </c>
      <c r="L910" s="101"/>
      <c r="M910" s="54"/>
      <c r="N910" s="101"/>
      <c r="O910" s="54"/>
      <c r="P910" s="162"/>
      <c r="Q910" s="96">
        <f t="shared" ref="Q910" si="2308">SUM(AI910+BA910)</f>
        <v>0.12</v>
      </c>
      <c r="R910" s="337">
        <f t="shared" ref="R910" si="2309">SUM(AJ910+BB910)</f>
        <v>14.419146311999999</v>
      </c>
      <c r="S910" s="96"/>
      <c r="T910" s="96">
        <f t="shared" ref="T910" si="2310">I910*S910*$T$2/1000</f>
        <v>0</v>
      </c>
      <c r="U910" s="96"/>
      <c r="V910" s="176">
        <f t="shared" ref="V910" si="2311">I910*U910*$V$2/1000</f>
        <v>0</v>
      </c>
      <c r="W910" s="206">
        <v>0.12</v>
      </c>
      <c r="X910" s="205">
        <f t="shared" ref="X910" si="2312">I910*W910*$X$2/1000</f>
        <v>14.419146311999999</v>
      </c>
      <c r="Y910" s="188">
        <f t="shared" ref="Y910" si="2313">SUM(S910+U910+W910)</f>
        <v>0.12</v>
      </c>
      <c r="Z910" s="176">
        <f t="shared" ref="Z910" si="2314">SUM(T910+V910+X910)</f>
        <v>14.419146311999999</v>
      </c>
      <c r="AA910" s="206"/>
      <c r="AB910" s="456">
        <f t="shared" ref="AB910" si="2315">K910*AA910*$AB$2/1000</f>
        <v>0</v>
      </c>
      <c r="AC910" s="206"/>
      <c r="AD910" s="176">
        <f t="shared" ref="AD910" si="2316">K910*AC910*$AD$2/1000</f>
        <v>0</v>
      </c>
      <c r="AE910" s="206"/>
      <c r="AF910" s="205">
        <f t="shared" ref="AF910" si="2317">K910*AE910*$AF$2/1000</f>
        <v>0</v>
      </c>
      <c r="AG910" s="188">
        <f t="shared" ref="AG910" si="2318">SUM(AA910+AC910+AE910)</f>
        <v>0</v>
      </c>
      <c r="AH910" s="176">
        <f t="shared" ref="AH910" si="2319">SUM(AB910+AD910+AF910)</f>
        <v>0</v>
      </c>
      <c r="AI910" s="96">
        <f t="shared" ref="AI910" si="2320">SUM(Y910+AG910)</f>
        <v>0.12</v>
      </c>
      <c r="AJ910" s="96">
        <f t="shared" ref="AJ910" si="2321">SUM(Z910,AH910)</f>
        <v>14.419146311999999</v>
      </c>
      <c r="AK910" s="188"/>
      <c r="AL910" s="176">
        <f t="shared" ref="AL910" si="2322">M910*AK910*$AL$2/1000</f>
        <v>0</v>
      </c>
      <c r="AM910" s="243"/>
      <c r="AN910" s="176">
        <f t="shared" ref="AN910" si="2323">M910*AM910*$AN$2/1000</f>
        <v>0</v>
      </c>
      <c r="AO910" s="206"/>
      <c r="AP910" s="205">
        <f t="shared" ref="AP910" si="2324">M910*AO910*$AP$2/1000</f>
        <v>0</v>
      </c>
      <c r="AQ910" s="188">
        <f t="shared" ref="AQ910" si="2325">SUM(AK910+AM910+AO910)</f>
        <v>0</v>
      </c>
      <c r="AR910" s="96">
        <f t="shared" ref="AR910" si="2326">SUM(AL910+AN910+AP910)</f>
        <v>0</v>
      </c>
      <c r="AS910" s="96"/>
      <c r="AT910" s="176">
        <f t="shared" ref="AT910" si="2327">O910*AS910*$AT$2/1000</f>
        <v>0</v>
      </c>
      <c r="AU910" s="206"/>
      <c r="AV910" s="176">
        <f t="shared" ref="AV910" si="2328">O910*AU910*$AV$2/1000</f>
        <v>0</v>
      </c>
      <c r="AW910" s="206"/>
      <c r="AX910" s="205">
        <f t="shared" ref="AX910" si="2329">O910*AW910*$AX$2/1000</f>
        <v>0</v>
      </c>
      <c r="AY910" s="188">
        <f t="shared" ref="AY910" si="2330">SUM(AS910+AU910+AW910)</f>
        <v>0</v>
      </c>
      <c r="AZ910" s="96">
        <f t="shared" ref="AZ910" si="2331">SUM(AT910+AV910+AX910)</f>
        <v>0</v>
      </c>
      <c r="BA910" s="96">
        <f t="shared" ref="BA910" si="2332">SUM(AQ910+AY910)</f>
        <v>0</v>
      </c>
      <c r="BB910" s="96">
        <f t="shared" ref="BB910" si="2333">SUM(AR910,AZ910)</f>
        <v>0</v>
      </c>
    </row>
    <row r="911" spans="1:54" ht="12" customHeight="1">
      <c r="A911" s="492">
        <v>555</v>
      </c>
      <c r="B911" s="13"/>
      <c r="C911" s="13"/>
      <c r="D911" s="13" t="s">
        <v>1759</v>
      </c>
      <c r="E911" s="21" t="s">
        <v>2065</v>
      </c>
      <c r="F911" s="22"/>
      <c r="G911" s="22" t="s">
        <v>1060</v>
      </c>
      <c r="H911" s="265" t="s">
        <v>862</v>
      </c>
      <c r="I911" s="54">
        <v>113.58</v>
      </c>
      <c r="J911" s="162"/>
      <c r="K911" s="54">
        <v>112.41</v>
      </c>
      <c r="L911" s="162"/>
      <c r="M911" s="54"/>
      <c r="N911" s="162"/>
      <c r="O911" s="54"/>
      <c r="P911" s="162"/>
      <c r="Q911" s="96">
        <f>SUM(AI911+BA911)</f>
        <v>1.0680000000000001</v>
      </c>
      <c r="R911" s="337">
        <f>SUM(AJ911+BB911)</f>
        <v>178.22096828640002</v>
      </c>
      <c r="S911" s="96">
        <v>0.26400000000000001</v>
      </c>
      <c r="T911" s="96">
        <f>I911*S911*$T$2/1000</f>
        <v>43.288018488000006</v>
      </c>
      <c r="U911" s="96"/>
      <c r="V911" s="176">
        <f>I911*U911*$V$2/1000</f>
        <v>0</v>
      </c>
      <c r="W911" s="206">
        <v>0.26400000000000001</v>
      </c>
      <c r="X911" s="205">
        <f>I911*W911*$X$2/1000</f>
        <v>45.048744734400003</v>
      </c>
      <c r="Y911" s="188">
        <f>SUM(S911+U911+W911)</f>
        <v>0.52800000000000002</v>
      </c>
      <c r="Z911" s="176">
        <f>SUM(T911+V911+X911)</f>
        <v>88.336763222400009</v>
      </c>
      <c r="AA911" s="206">
        <v>0.54</v>
      </c>
      <c r="AB911" s="456">
        <f>K911*AA911*$AB$2/1000</f>
        <v>89.884205064</v>
      </c>
      <c r="AC911" s="206"/>
      <c r="AD911" s="176">
        <f>K911*AC911*$AD$2/1000</f>
        <v>0</v>
      </c>
      <c r="AE911" s="206"/>
      <c r="AF911" s="205">
        <f>K911*AE911*$AF$2/1000</f>
        <v>0</v>
      </c>
      <c r="AG911" s="188">
        <f>SUM(AA911+AC911+AE911)</f>
        <v>0.54</v>
      </c>
      <c r="AH911" s="176">
        <f>SUM(AB911+AD911+AF911)</f>
        <v>89.884205064</v>
      </c>
      <c r="AI911" s="96">
        <f>SUM(Y911+AG911)</f>
        <v>1.0680000000000001</v>
      </c>
      <c r="AJ911" s="96">
        <f>SUM(Z911,AH911)</f>
        <v>178.22096828640002</v>
      </c>
      <c r="AK911" s="188"/>
      <c r="AL911" s="176">
        <f>M911*AK911*$AL$2/1000</f>
        <v>0</v>
      </c>
      <c r="AM911" s="243"/>
      <c r="AN911" s="176">
        <f>M911*AM911*$AN$2/1000</f>
        <v>0</v>
      </c>
      <c r="AO911" s="206"/>
      <c r="AP911" s="205">
        <f>M911*AO911*$AP$2/1000</f>
        <v>0</v>
      </c>
      <c r="AQ911" s="188">
        <f>SUM(AK911+AM911+AO911)</f>
        <v>0</v>
      </c>
      <c r="AR911" s="96">
        <f>SUM(AL911+AN911+AP911)</f>
        <v>0</v>
      </c>
      <c r="AS911" s="96"/>
      <c r="AT911" s="176">
        <f>O911*AS911*$AT$2/1000</f>
        <v>0</v>
      </c>
      <c r="AU911" s="206"/>
      <c r="AV911" s="176">
        <f>O911*AU911*$AV$2/1000</f>
        <v>0</v>
      </c>
      <c r="AW911" s="206"/>
      <c r="AX911" s="205">
        <f>O911*AW911*$AX$2/1000</f>
        <v>0</v>
      </c>
      <c r="AY911" s="188">
        <f>SUM(AS911+AU911+AW911)</f>
        <v>0</v>
      </c>
      <c r="AZ911" s="96">
        <f>SUM(AT911+AV911+AX911)</f>
        <v>0</v>
      </c>
      <c r="BA911" s="96">
        <f>SUM(AQ911+AY911)</f>
        <v>0</v>
      </c>
      <c r="BB911" s="96">
        <f>SUM(AR911,AZ911)</f>
        <v>0</v>
      </c>
    </row>
    <row r="912" spans="1:54" ht="12" customHeight="1">
      <c r="A912" s="492">
        <v>555</v>
      </c>
      <c r="B912" s="13"/>
      <c r="C912" s="13"/>
      <c r="D912" s="13"/>
      <c r="E912" s="21" t="s">
        <v>2064</v>
      </c>
      <c r="F912" s="22"/>
      <c r="G912" s="22" t="s">
        <v>1060</v>
      </c>
      <c r="H912" s="265" t="s">
        <v>862</v>
      </c>
      <c r="I912" s="54">
        <v>113.58</v>
      </c>
      <c r="J912" s="162"/>
      <c r="K912" s="54">
        <v>112.41</v>
      </c>
      <c r="L912" s="162"/>
      <c r="M912" s="54"/>
      <c r="N912" s="162"/>
      <c r="O912" s="54"/>
      <c r="P912" s="162"/>
      <c r="Q912" s="96">
        <f t="shared" si="2161"/>
        <v>0.52800000000000002</v>
      </c>
      <c r="R912" s="337">
        <f t="shared" si="2161"/>
        <v>87.886778284800002</v>
      </c>
      <c r="S912" s="96"/>
      <c r="T912" s="96">
        <f t="shared" si="2162"/>
        <v>0</v>
      </c>
      <c r="U912" s="96"/>
      <c r="V912" s="176">
        <f t="shared" si="2163"/>
        <v>0</v>
      </c>
      <c r="W912" s="206"/>
      <c r="X912" s="205">
        <f t="shared" si="2164"/>
        <v>0</v>
      </c>
      <c r="Y912" s="188">
        <f t="shared" si="2165"/>
        <v>0</v>
      </c>
      <c r="Z912" s="176">
        <f t="shared" si="2165"/>
        <v>0</v>
      </c>
      <c r="AA912" s="206">
        <v>0.52800000000000002</v>
      </c>
      <c r="AB912" s="456">
        <f t="shared" si="2166"/>
        <v>87.886778284800002</v>
      </c>
      <c r="AC912" s="206"/>
      <c r="AD912" s="176">
        <f t="shared" si="2167"/>
        <v>0</v>
      </c>
      <c r="AE912" s="206"/>
      <c r="AF912" s="205">
        <f t="shared" si="2168"/>
        <v>0</v>
      </c>
      <c r="AG912" s="188">
        <f t="shared" si="2169"/>
        <v>0.52800000000000002</v>
      </c>
      <c r="AH912" s="176">
        <f t="shared" si="2169"/>
        <v>87.886778284800002</v>
      </c>
      <c r="AI912" s="96">
        <f t="shared" si="2170"/>
        <v>0.52800000000000002</v>
      </c>
      <c r="AJ912" s="96">
        <f t="shared" si="2171"/>
        <v>87.886778284800002</v>
      </c>
      <c r="AK912" s="188"/>
      <c r="AL912" s="176">
        <f t="shared" si="2172"/>
        <v>0</v>
      </c>
      <c r="AM912" s="243"/>
      <c r="AN912" s="176">
        <f t="shared" si="2173"/>
        <v>0</v>
      </c>
      <c r="AO912" s="206"/>
      <c r="AP912" s="205">
        <f t="shared" si="2174"/>
        <v>0</v>
      </c>
      <c r="AQ912" s="188">
        <f t="shared" si="2175"/>
        <v>0</v>
      </c>
      <c r="AR912" s="96">
        <f t="shared" si="2175"/>
        <v>0</v>
      </c>
      <c r="AS912" s="96"/>
      <c r="AT912" s="176">
        <f t="shared" si="2176"/>
        <v>0</v>
      </c>
      <c r="AU912" s="206"/>
      <c r="AV912" s="176">
        <f t="shared" si="2177"/>
        <v>0</v>
      </c>
      <c r="AW912" s="206"/>
      <c r="AX912" s="205">
        <f t="shared" si="2178"/>
        <v>0</v>
      </c>
      <c r="AY912" s="188">
        <f t="shared" si="2179"/>
        <v>0</v>
      </c>
      <c r="AZ912" s="96">
        <f t="shared" si="2179"/>
        <v>0</v>
      </c>
      <c r="BA912" s="96">
        <f t="shared" si="2180"/>
        <v>0</v>
      </c>
      <c r="BB912" s="96">
        <f t="shared" si="2181"/>
        <v>0</v>
      </c>
    </row>
    <row r="913" spans="1:54" ht="12" customHeight="1">
      <c r="A913" s="492">
        <v>555</v>
      </c>
      <c r="B913" s="13"/>
      <c r="C913" s="13"/>
      <c r="D913" s="13"/>
      <c r="E913" s="50" t="s">
        <v>2371</v>
      </c>
      <c r="F913" s="22"/>
      <c r="G913" s="22" t="s">
        <v>1060</v>
      </c>
      <c r="H913" s="265" t="s">
        <v>862</v>
      </c>
      <c r="I913" s="54">
        <v>117.64</v>
      </c>
      <c r="J913" s="162"/>
      <c r="K913" s="54">
        <v>116.99</v>
      </c>
      <c r="L913" s="101"/>
      <c r="M913" s="54"/>
      <c r="N913" s="101"/>
      <c r="O913" s="54"/>
      <c r="P913" s="162"/>
      <c r="Q913" s="96">
        <f t="shared" ref="Q913" si="2334">SUM(AI913+BA913)</f>
        <v>0.24</v>
      </c>
      <c r="R913" s="337">
        <f t="shared" ref="R913" si="2335">SUM(AJ913+BB913)</f>
        <v>41.576186975999995</v>
      </c>
      <c r="S913" s="96"/>
      <c r="T913" s="96">
        <f t="shared" ref="T913" si="2336">I913*S913*$T$2/1000</f>
        <v>0</v>
      </c>
      <c r="U913" s="96"/>
      <c r="V913" s="176">
        <f t="shared" ref="V913" si="2337">I913*U913*$V$2/1000</f>
        <v>0</v>
      </c>
      <c r="W913" s="206"/>
      <c r="X913" s="205">
        <f t="shared" ref="X913" si="2338">I913*W913*$X$2/1000</f>
        <v>0</v>
      </c>
      <c r="Y913" s="188">
        <f t="shared" ref="Y913" si="2339">SUM(S913+U913+W913)</f>
        <v>0</v>
      </c>
      <c r="Z913" s="176">
        <f>SUM(T913+V913+X913)</f>
        <v>0</v>
      </c>
      <c r="AA913" s="206">
        <v>0.24</v>
      </c>
      <c r="AB913" s="456">
        <f t="shared" ref="AB913" si="2340">K913*AA913*$AB$2/1000</f>
        <v>41.576186975999995</v>
      </c>
      <c r="AC913" s="206"/>
      <c r="AD913" s="176">
        <f t="shared" ref="AD913" si="2341">K913*AC913*$AD$2/1000</f>
        <v>0</v>
      </c>
      <c r="AE913" s="206"/>
      <c r="AF913" s="205">
        <f t="shared" ref="AF913" si="2342">K913*AE913*$AF$2/1000</f>
        <v>0</v>
      </c>
      <c r="AG913" s="188">
        <f t="shared" ref="AG913" si="2343">SUM(AA913+AC913+AE913)</f>
        <v>0.24</v>
      </c>
      <c r="AH913" s="176">
        <f>SUM(AB913+AD913+AF913)</f>
        <v>41.576186975999995</v>
      </c>
      <c r="AI913" s="96">
        <f t="shared" ref="AI913" si="2344">SUM(Y913+AG913)</f>
        <v>0.24</v>
      </c>
      <c r="AJ913" s="96">
        <f t="shared" ref="AJ913" si="2345">SUM(Z913,AH913)</f>
        <v>41.576186975999995</v>
      </c>
      <c r="AK913" s="188"/>
      <c r="AL913" s="176">
        <f t="shared" ref="AL913" si="2346">M913*AK913*$AL$2/1000</f>
        <v>0</v>
      </c>
      <c r="AM913" s="243"/>
      <c r="AN913" s="176">
        <f t="shared" ref="AN913" si="2347">M913*AM913*$AN$2/1000</f>
        <v>0</v>
      </c>
      <c r="AO913" s="206"/>
      <c r="AP913" s="205">
        <f t="shared" ref="AP913" si="2348">M913*AO913*$AP$2/1000</f>
        <v>0</v>
      </c>
      <c r="AQ913" s="188">
        <f t="shared" ref="AQ913" si="2349">SUM(AK913+AM913+AO913)</f>
        <v>0</v>
      </c>
      <c r="AR913" s="96">
        <f>SUM(AL913+AN913+AP913)</f>
        <v>0</v>
      </c>
      <c r="AS913" s="96"/>
      <c r="AT913" s="176">
        <f t="shared" ref="AT913" si="2350">O913*AS913*$AT$2/1000</f>
        <v>0</v>
      </c>
      <c r="AU913" s="206"/>
      <c r="AV913" s="176">
        <f t="shared" ref="AV913" si="2351">O913*AU913*$AV$2/1000</f>
        <v>0</v>
      </c>
      <c r="AW913" s="206"/>
      <c r="AX913" s="205">
        <f t="shared" ref="AX913" si="2352">O913*AW913*$AX$2/1000</f>
        <v>0</v>
      </c>
      <c r="AY913" s="188">
        <f t="shared" ref="AY913" si="2353">SUM(AS913+AU913+AW913)</f>
        <v>0</v>
      </c>
      <c r="AZ913" s="96">
        <f>SUM(AT913+AV913+AX913)</f>
        <v>0</v>
      </c>
      <c r="BA913" s="96">
        <f t="shared" ref="BA913" si="2354">SUM(AQ913+AY913)</f>
        <v>0</v>
      </c>
      <c r="BB913" s="96">
        <f t="shared" ref="BB913" si="2355">SUM(AR913,AZ913)</f>
        <v>0</v>
      </c>
    </row>
    <row r="914" spans="1:54" ht="12" customHeight="1">
      <c r="A914" s="492">
        <v>555</v>
      </c>
      <c r="B914" s="13"/>
      <c r="C914" s="13"/>
      <c r="D914" s="13"/>
      <c r="E914" s="50" t="s">
        <v>2372</v>
      </c>
      <c r="F914" s="22"/>
      <c r="G914" s="22" t="s">
        <v>1060</v>
      </c>
      <c r="H914" s="265" t="s">
        <v>862</v>
      </c>
      <c r="I914" s="54">
        <v>117.64</v>
      </c>
      <c r="J914" s="162"/>
      <c r="K914" s="54">
        <v>117.64</v>
      </c>
      <c r="L914" s="101"/>
      <c r="M914" s="54"/>
      <c r="N914" s="101"/>
      <c r="O914" s="54"/>
      <c r="P914" s="162"/>
      <c r="Q914" s="96">
        <f t="shared" si="2161"/>
        <v>0</v>
      </c>
      <c r="R914" s="337">
        <f t="shared" si="2161"/>
        <v>0</v>
      </c>
      <c r="S914" s="96"/>
      <c r="T914" s="96">
        <f t="shared" si="2162"/>
        <v>0</v>
      </c>
      <c r="U914" s="96"/>
      <c r="V914" s="176">
        <f t="shared" si="2163"/>
        <v>0</v>
      </c>
      <c r="W914" s="206"/>
      <c r="X914" s="205">
        <f t="shared" si="2164"/>
        <v>0</v>
      </c>
      <c r="Y914" s="188">
        <f t="shared" si="2165"/>
        <v>0</v>
      </c>
      <c r="Z914" s="176">
        <f t="shared" si="2165"/>
        <v>0</v>
      </c>
      <c r="AA914" s="206"/>
      <c r="AB914" s="456">
        <f t="shared" si="2166"/>
        <v>0</v>
      </c>
      <c r="AC914" s="206"/>
      <c r="AD914" s="176">
        <f t="shared" si="2167"/>
        <v>0</v>
      </c>
      <c r="AE914" s="206"/>
      <c r="AF914" s="205">
        <f t="shared" si="2168"/>
        <v>0</v>
      </c>
      <c r="AG914" s="188">
        <f t="shared" si="2169"/>
        <v>0</v>
      </c>
      <c r="AH914" s="176">
        <f t="shared" si="2169"/>
        <v>0</v>
      </c>
      <c r="AI914" s="96">
        <f t="shared" si="2170"/>
        <v>0</v>
      </c>
      <c r="AJ914" s="96">
        <f t="shared" si="2171"/>
        <v>0</v>
      </c>
      <c r="AK914" s="188"/>
      <c r="AL914" s="176">
        <f t="shared" si="2172"/>
        <v>0</v>
      </c>
      <c r="AM914" s="243"/>
      <c r="AN914" s="176">
        <f t="shared" si="2173"/>
        <v>0</v>
      </c>
      <c r="AO914" s="206"/>
      <c r="AP914" s="205">
        <f t="shared" si="2174"/>
        <v>0</v>
      </c>
      <c r="AQ914" s="188">
        <f t="shared" si="2175"/>
        <v>0</v>
      </c>
      <c r="AR914" s="96">
        <f t="shared" si="2175"/>
        <v>0</v>
      </c>
      <c r="AS914" s="96"/>
      <c r="AT914" s="176">
        <f t="shared" si="2176"/>
        <v>0</v>
      </c>
      <c r="AU914" s="206"/>
      <c r="AV914" s="176">
        <f t="shared" si="2177"/>
        <v>0</v>
      </c>
      <c r="AW914" s="206"/>
      <c r="AX914" s="205">
        <f t="shared" si="2178"/>
        <v>0</v>
      </c>
      <c r="AY914" s="188">
        <f t="shared" si="2179"/>
        <v>0</v>
      </c>
      <c r="AZ914" s="96">
        <f t="shared" si="2179"/>
        <v>0</v>
      </c>
      <c r="BA914" s="96">
        <f t="shared" si="2180"/>
        <v>0</v>
      </c>
      <c r="BB914" s="96">
        <f t="shared" si="2181"/>
        <v>0</v>
      </c>
    </row>
    <row r="915" spans="1:54" ht="12" customHeight="1">
      <c r="A915" s="492">
        <v>555</v>
      </c>
      <c r="B915" s="13"/>
      <c r="C915" s="13"/>
      <c r="D915" s="13"/>
      <c r="E915" s="50" t="s">
        <v>2373</v>
      </c>
      <c r="F915" s="22"/>
      <c r="G915" s="22" t="s">
        <v>1060</v>
      </c>
      <c r="H915" s="265" t="s">
        <v>862</v>
      </c>
      <c r="I915" s="54">
        <v>118.03</v>
      </c>
      <c r="J915" s="162"/>
      <c r="K915" s="54">
        <v>117.37</v>
      </c>
      <c r="L915" s="101"/>
      <c r="M915" s="54"/>
      <c r="N915" s="101"/>
      <c r="O915" s="54"/>
      <c r="P915" s="162"/>
      <c r="Q915" s="96">
        <f t="shared" ref="Q915" si="2356">SUM(AI915+BA915)</f>
        <v>0.16</v>
      </c>
      <c r="R915" s="337">
        <f t="shared" ref="R915" si="2357">SUM(AJ915+BB915)</f>
        <v>27.807488192000001</v>
      </c>
      <c r="S915" s="96"/>
      <c r="T915" s="96">
        <f t="shared" ref="T915" si="2358">I915*S915*$T$2/1000</f>
        <v>0</v>
      </c>
      <c r="U915" s="96"/>
      <c r="V915" s="176">
        <f t="shared" ref="V915" si="2359">I915*U915*$V$2/1000</f>
        <v>0</v>
      </c>
      <c r="W915" s="206"/>
      <c r="X915" s="205">
        <f t="shared" ref="X915" si="2360">I915*W915*$X$2/1000</f>
        <v>0</v>
      </c>
      <c r="Y915" s="188">
        <f t="shared" ref="Y915" si="2361">SUM(S915+U915+W915)</f>
        <v>0</v>
      </c>
      <c r="Z915" s="176">
        <f>SUM(T915+V915+X915)</f>
        <v>0</v>
      </c>
      <c r="AA915" s="206">
        <v>0.16</v>
      </c>
      <c r="AB915" s="456">
        <f t="shared" ref="AB915" si="2362">K915*AA915*$AB$2/1000</f>
        <v>27.807488192000001</v>
      </c>
      <c r="AC915" s="206"/>
      <c r="AD915" s="176">
        <f t="shared" ref="AD915" si="2363">K915*AC915*$AD$2/1000</f>
        <v>0</v>
      </c>
      <c r="AE915" s="206"/>
      <c r="AF915" s="205">
        <f t="shared" ref="AF915" si="2364">K915*AE915*$AF$2/1000</f>
        <v>0</v>
      </c>
      <c r="AG915" s="188">
        <f t="shared" ref="AG915" si="2365">SUM(AA915+AC915+AE915)</f>
        <v>0.16</v>
      </c>
      <c r="AH915" s="176">
        <f>SUM(AB915+AD915+AF915)</f>
        <v>27.807488192000001</v>
      </c>
      <c r="AI915" s="96">
        <f t="shared" ref="AI915" si="2366">SUM(Y915+AG915)</f>
        <v>0.16</v>
      </c>
      <c r="AJ915" s="96">
        <f t="shared" ref="AJ915" si="2367">SUM(Z915,AH915)</f>
        <v>27.807488192000001</v>
      </c>
      <c r="AK915" s="188"/>
      <c r="AL915" s="176">
        <f t="shared" ref="AL915" si="2368">M915*AK915*$AL$2/1000</f>
        <v>0</v>
      </c>
      <c r="AM915" s="243"/>
      <c r="AN915" s="176">
        <f t="shared" ref="AN915" si="2369">M915*AM915*$AN$2/1000</f>
        <v>0</v>
      </c>
      <c r="AO915" s="206"/>
      <c r="AP915" s="205">
        <f t="shared" ref="AP915" si="2370">M915*AO915*$AP$2/1000</f>
        <v>0</v>
      </c>
      <c r="AQ915" s="188">
        <f t="shared" ref="AQ915" si="2371">SUM(AK915+AM915+AO915)</f>
        <v>0</v>
      </c>
      <c r="AR915" s="96">
        <f>SUM(AL915+AN915+AP915)</f>
        <v>0</v>
      </c>
      <c r="AS915" s="96"/>
      <c r="AT915" s="176">
        <f t="shared" ref="AT915" si="2372">O915*AS915*$AT$2/1000</f>
        <v>0</v>
      </c>
      <c r="AU915" s="206"/>
      <c r="AV915" s="176">
        <f t="shared" ref="AV915" si="2373">O915*AU915*$AV$2/1000</f>
        <v>0</v>
      </c>
      <c r="AW915" s="206"/>
      <c r="AX915" s="205">
        <f t="shared" ref="AX915" si="2374">O915*AW915*$AX$2/1000</f>
        <v>0</v>
      </c>
      <c r="AY915" s="188">
        <f t="shared" ref="AY915" si="2375">SUM(AS915+AU915+AW915)</f>
        <v>0</v>
      </c>
      <c r="AZ915" s="96">
        <f>SUM(AT915+AV915+AX915)</f>
        <v>0</v>
      </c>
      <c r="BA915" s="96">
        <f t="shared" ref="BA915" si="2376">SUM(AQ915+AY915)</f>
        <v>0</v>
      </c>
      <c r="BB915" s="96">
        <f t="shared" ref="BB915" si="2377">SUM(AR915,AZ915)</f>
        <v>0</v>
      </c>
    </row>
    <row r="916" spans="1:54" ht="12" customHeight="1">
      <c r="A916" s="492">
        <v>555</v>
      </c>
      <c r="B916" s="13"/>
      <c r="C916" s="13"/>
      <c r="D916" s="13"/>
      <c r="E916" s="50" t="s">
        <v>2374</v>
      </c>
      <c r="F916" s="22"/>
      <c r="G916" s="22" t="s">
        <v>1060</v>
      </c>
      <c r="H916" s="265" t="s">
        <v>862</v>
      </c>
      <c r="I916" s="54">
        <v>118.03</v>
      </c>
      <c r="J916" s="162"/>
      <c r="K916" s="54">
        <v>118.03</v>
      </c>
      <c r="L916" s="101"/>
      <c r="M916" s="54"/>
      <c r="N916" s="101"/>
      <c r="O916" s="54"/>
      <c r="P916" s="162"/>
      <c r="Q916" s="96">
        <f t="shared" si="2161"/>
        <v>0</v>
      </c>
      <c r="R916" s="337">
        <f t="shared" si="2161"/>
        <v>0</v>
      </c>
      <c r="S916" s="96"/>
      <c r="T916" s="96">
        <f t="shared" si="2162"/>
        <v>0</v>
      </c>
      <c r="U916" s="96"/>
      <c r="V916" s="176">
        <f t="shared" si="2163"/>
        <v>0</v>
      </c>
      <c r="W916" s="206"/>
      <c r="X916" s="205">
        <f t="shared" si="2164"/>
        <v>0</v>
      </c>
      <c r="Y916" s="188">
        <f t="shared" si="2165"/>
        <v>0</v>
      </c>
      <c r="Z916" s="176">
        <f t="shared" si="2165"/>
        <v>0</v>
      </c>
      <c r="AA916" s="206"/>
      <c r="AB916" s="456">
        <f t="shared" si="2166"/>
        <v>0</v>
      </c>
      <c r="AC916" s="206"/>
      <c r="AD916" s="176">
        <f t="shared" si="2167"/>
        <v>0</v>
      </c>
      <c r="AE916" s="206"/>
      <c r="AF916" s="205">
        <f t="shared" si="2168"/>
        <v>0</v>
      </c>
      <c r="AG916" s="188">
        <f t="shared" si="2169"/>
        <v>0</v>
      </c>
      <c r="AH916" s="176">
        <f t="shared" si="2169"/>
        <v>0</v>
      </c>
      <c r="AI916" s="96">
        <f t="shared" si="2170"/>
        <v>0</v>
      </c>
      <c r="AJ916" s="96">
        <f t="shared" si="2171"/>
        <v>0</v>
      </c>
      <c r="AK916" s="188"/>
      <c r="AL916" s="176">
        <f t="shared" si="2172"/>
        <v>0</v>
      </c>
      <c r="AM916" s="243"/>
      <c r="AN916" s="176">
        <f t="shared" si="2173"/>
        <v>0</v>
      </c>
      <c r="AO916" s="206"/>
      <c r="AP916" s="205">
        <f t="shared" si="2174"/>
        <v>0</v>
      </c>
      <c r="AQ916" s="188">
        <f t="shared" si="2175"/>
        <v>0</v>
      </c>
      <c r="AR916" s="96">
        <f t="shared" si="2175"/>
        <v>0</v>
      </c>
      <c r="AS916" s="96"/>
      <c r="AT916" s="176">
        <f t="shared" si="2176"/>
        <v>0</v>
      </c>
      <c r="AU916" s="206"/>
      <c r="AV916" s="176">
        <f t="shared" si="2177"/>
        <v>0</v>
      </c>
      <c r="AW916" s="206"/>
      <c r="AX916" s="205">
        <f t="shared" si="2178"/>
        <v>0</v>
      </c>
      <c r="AY916" s="188">
        <f t="shared" si="2179"/>
        <v>0</v>
      </c>
      <c r="AZ916" s="96">
        <f t="shared" si="2179"/>
        <v>0</v>
      </c>
      <c r="BA916" s="96">
        <f t="shared" si="2180"/>
        <v>0</v>
      </c>
      <c r="BB916" s="96">
        <f t="shared" si="2181"/>
        <v>0</v>
      </c>
    </row>
    <row r="917" spans="1:54" ht="12" customHeight="1">
      <c r="A917" s="492">
        <v>555</v>
      </c>
      <c r="B917" s="13"/>
      <c r="C917" s="13"/>
      <c r="D917" s="13"/>
      <c r="E917" s="50" t="s">
        <v>2375</v>
      </c>
      <c r="F917" s="22"/>
      <c r="G917" s="22" t="s">
        <v>1060</v>
      </c>
      <c r="H917" s="265" t="s">
        <v>862</v>
      </c>
      <c r="I917" s="54">
        <v>117.27</v>
      </c>
      <c r="J917" s="162"/>
      <c r="K917" s="54">
        <v>117.27</v>
      </c>
      <c r="L917" s="101"/>
      <c r="M917" s="54"/>
      <c r="N917" s="101"/>
      <c r="O917" s="54"/>
      <c r="P917" s="162"/>
      <c r="Q917" s="96">
        <f t="shared" ref="Q917:Q920" si="2378">SUM(AI917+BA917)</f>
        <v>0</v>
      </c>
      <c r="R917" s="337">
        <f t="shared" ref="R917:R920" si="2379">SUM(AJ917+BB917)</f>
        <v>0</v>
      </c>
      <c r="S917" s="96"/>
      <c r="T917" s="96">
        <f t="shared" ref="T917:T920" si="2380">I917*S917*$T$2/1000</f>
        <v>0</v>
      </c>
      <c r="U917" s="96"/>
      <c r="V917" s="176">
        <f t="shared" ref="V917:V920" si="2381">I917*U917*$V$2/1000</f>
        <v>0</v>
      </c>
      <c r="W917" s="206"/>
      <c r="X917" s="205">
        <f t="shared" ref="X917:X920" si="2382">I917*W917*$X$2/1000</f>
        <v>0</v>
      </c>
      <c r="Y917" s="188">
        <f t="shared" ref="Y917:Y920" si="2383">SUM(S917+U917+W917)</f>
        <v>0</v>
      </c>
      <c r="Z917" s="176">
        <f t="shared" ref="Z917:Z920" si="2384">SUM(T917+V917+X917)</f>
        <v>0</v>
      </c>
      <c r="AA917" s="206"/>
      <c r="AB917" s="456">
        <f t="shared" ref="AB917:AB920" si="2385">K917*AA917*$AB$2/1000</f>
        <v>0</v>
      </c>
      <c r="AC917" s="206"/>
      <c r="AD917" s="176">
        <f t="shared" ref="AD917:AD920" si="2386">K917*AC917*$AD$2/1000</f>
        <v>0</v>
      </c>
      <c r="AE917" s="206"/>
      <c r="AF917" s="205">
        <f t="shared" ref="AF917:AF920" si="2387">K917*AE917*$AF$2/1000</f>
        <v>0</v>
      </c>
      <c r="AG917" s="188">
        <f t="shared" ref="AG917:AG920" si="2388">SUM(AA917+AC917+AE917)</f>
        <v>0</v>
      </c>
      <c r="AH917" s="176">
        <f t="shared" ref="AH917:AH920" si="2389">SUM(AB917+AD917+AF917)</f>
        <v>0</v>
      </c>
      <c r="AI917" s="96">
        <f t="shared" ref="AI917:AI920" si="2390">SUM(Y917+AG917)</f>
        <v>0</v>
      </c>
      <c r="AJ917" s="96">
        <f t="shared" ref="AJ917:AJ920" si="2391">SUM(Z917,AH917)</f>
        <v>0</v>
      </c>
      <c r="AK917" s="188"/>
      <c r="AL917" s="176">
        <f t="shared" ref="AL917:AL920" si="2392">M917*AK917*$AL$2/1000</f>
        <v>0</v>
      </c>
      <c r="AM917" s="243"/>
      <c r="AN917" s="176">
        <f t="shared" ref="AN917:AN920" si="2393">M917*AM917*$AN$2/1000</f>
        <v>0</v>
      </c>
      <c r="AO917" s="206"/>
      <c r="AP917" s="205">
        <f t="shared" ref="AP917:AP920" si="2394">M917*AO917*$AP$2/1000</f>
        <v>0</v>
      </c>
      <c r="AQ917" s="188">
        <f t="shared" ref="AQ917:AQ920" si="2395">SUM(AK917+AM917+AO917)</f>
        <v>0</v>
      </c>
      <c r="AR917" s="96">
        <f t="shared" ref="AR917:AR920" si="2396">SUM(AL917+AN917+AP917)</f>
        <v>0</v>
      </c>
      <c r="AS917" s="96"/>
      <c r="AT917" s="176">
        <f t="shared" ref="AT917:AT920" si="2397">O917*AS917*$AT$2/1000</f>
        <v>0</v>
      </c>
      <c r="AU917" s="206"/>
      <c r="AV917" s="176">
        <f t="shared" ref="AV917:AV920" si="2398">O917*AU917*$AV$2/1000</f>
        <v>0</v>
      </c>
      <c r="AW917" s="206"/>
      <c r="AX917" s="205">
        <f t="shared" ref="AX917:AX920" si="2399">O917*AW917*$AX$2/1000</f>
        <v>0</v>
      </c>
      <c r="AY917" s="188">
        <f t="shared" ref="AY917:AY920" si="2400">SUM(AS917+AU917+AW917)</f>
        <v>0</v>
      </c>
      <c r="AZ917" s="96">
        <f t="shared" ref="AZ917:AZ920" si="2401">SUM(AT917+AV917+AX917)</f>
        <v>0</v>
      </c>
      <c r="BA917" s="96">
        <f t="shared" ref="BA917:BA920" si="2402">SUM(AQ917+AY917)</f>
        <v>0</v>
      </c>
      <c r="BB917" s="96">
        <f t="shared" ref="BB917:BB920" si="2403">SUM(AR917,AZ917)</f>
        <v>0</v>
      </c>
    </row>
    <row r="918" spans="1:54" ht="12" customHeight="1">
      <c r="A918" s="492">
        <v>555</v>
      </c>
      <c r="B918" s="13"/>
      <c r="C918" s="13"/>
      <c r="D918" s="13"/>
      <c r="E918" s="50" t="s">
        <v>2376</v>
      </c>
      <c r="F918" s="22"/>
      <c r="G918" s="22" t="s">
        <v>1060</v>
      </c>
      <c r="H918" s="265" t="s">
        <v>862</v>
      </c>
      <c r="I918" s="54">
        <v>114.05</v>
      </c>
      <c r="J918" s="162"/>
      <c r="K918" s="54">
        <v>112.27</v>
      </c>
      <c r="L918" s="101"/>
      <c r="M918" s="54"/>
      <c r="N918" s="101"/>
      <c r="O918" s="54"/>
      <c r="P918" s="162"/>
      <c r="Q918" s="96">
        <f t="shared" si="2378"/>
        <v>2.4</v>
      </c>
      <c r="R918" s="337">
        <f t="shared" si="2379"/>
        <v>402.02898010399997</v>
      </c>
      <c r="S918" s="96">
        <v>0.28000000000000003</v>
      </c>
      <c r="T918" s="96">
        <f t="shared" si="2380"/>
        <v>46.101519100000004</v>
      </c>
      <c r="U918" s="96">
        <v>0.36</v>
      </c>
      <c r="V918" s="176">
        <f t="shared" si="2381"/>
        <v>59.052079079999999</v>
      </c>
      <c r="W918" s="206">
        <v>0.84</v>
      </c>
      <c r="X918" s="205">
        <f t="shared" si="2382"/>
        <v>143.93005073999998</v>
      </c>
      <c r="Y918" s="188">
        <f t="shared" si="2383"/>
        <v>1.48</v>
      </c>
      <c r="Z918" s="176">
        <f t="shared" si="2384"/>
        <v>249.08364891999997</v>
      </c>
      <c r="AA918" s="206">
        <v>0.92</v>
      </c>
      <c r="AB918" s="456">
        <f t="shared" si="2385"/>
        <v>152.94533118399997</v>
      </c>
      <c r="AC918" s="206"/>
      <c r="AD918" s="176">
        <f t="shared" si="2386"/>
        <v>0</v>
      </c>
      <c r="AE918" s="206"/>
      <c r="AF918" s="205">
        <f t="shared" si="2387"/>
        <v>0</v>
      </c>
      <c r="AG918" s="188">
        <f t="shared" si="2388"/>
        <v>0.92</v>
      </c>
      <c r="AH918" s="176">
        <f t="shared" si="2389"/>
        <v>152.94533118399997</v>
      </c>
      <c r="AI918" s="96">
        <f t="shared" si="2390"/>
        <v>2.4</v>
      </c>
      <c r="AJ918" s="96">
        <f t="shared" si="2391"/>
        <v>402.02898010399997</v>
      </c>
      <c r="AK918" s="188"/>
      <c r="AL918" s="176">
        <f t="shared" si="2392"/>
        <v>0</v>
      </c>
      <c r="AM918" s="243"/>
      <c r="AN918" s="176">
        <f t="shared" si="2393"/>
        <v>0</v>
      </c>
      <c r="AO918" s="206"/>
      <c r="AP918" s="205">
        <f t="shared" si="2394"/>
        <v>0</v>
      </c>
      <c r="AQ918" s="188">
        <f t="shared" si="2395"/>
        <v>0</v>
      </c>
      <c r="AR918" s="96">
        <f t="shared" si="2396"/>
        <v>0</v>
      </c>
      <c r="AS918" s="96"/>
      <c r="AT918" s="176">
        <f t="shared" si="2397"/>
        <v>0</v>
      </c>
      <c r="AU918" s="206"/>
      <c r="AV918" s="176">
        <f t="shared" si="2398"/>
        <v>0</v>
      </c>
      <c r="AW918" s="206"/>
      <c r="AX918" s="205">
        <f t="shared" si="2399"/>
        <v>0</v>
      </c>
      <c r="AY918" s="188">
        <f t="shared" si="2400"/>
        <v>0</v>
      </c>
      <c r="AZ918" s="96">
        <f t="shared" si="2401"/>
        <v>0</v>
      </c>
      <c r="BA918" s="96">
        <f t="shared" si="2402"/>
        <v>0</v>
      </c>
      <c r="BB918" s="96">
        <f t="shared" si="2403"/>
        <v>0</v>
      </c>
    </row>
    <row r="919" spans="1:54" ht="12" customHeight="1">
      <c r="A919" s="492">
        <v>555</v>
      </c>
      <c r="B919" s="13"/>
      <c r="C919" s="13"/>
      <c r="D919" s="13"/>
      <c r="E919" s="50" t="s">
        <v>2377</v>
      </c>
      <c r="F919" s="22"/>
      <c r="G919" s="22" t="s">
        <v>1060</v>
      </c>
      <c r="H919" s="265" t="s">
        <v>862</v>
      </c>
      <c r="I919" s="54">
        <v>114.05</v>
      </c>
      <c r="J919" s="162"/>
      <c r="K919" s="54">
        <v>112.27</v>
      </c>
      <c r="L919" s="101"/>
      <c r="M919" s="54"/>
      <c r="N919" s="101"/>
      <c r="O919" s="54"/>
      <c r="P919" s="162"/>
      <c r="Q919" s="96">
        <f t="shared" si="2378"/>
        <v>5.4399999999999995</v>
      </c>
      <c r="R919" s="337">
        <f t="shared" si="2379"/>
        <v>910.81331740400003</v>
      </c>
      <c r="S919" s="96">
        <v>0.28000000000000003</v>
      </c>
      <c r="T919" s="96">
        <f t="shared" si="2380"/>
        <v>46.101519100000004</v>
      </c>
      <c r="U919" s="96">
        <v>0.76</v>
      </c>
      <c r="V919" s="176">
        <f t="shared" si="2381"/>
        <v>124.66550027999999</v>
      </c>
      <c r="W919" s="206">
        <v>1.68</v>
      </c>
      <c r="X919" s="205">
        <f t="shared" si="2382"/>
        <v>287.86010147999997</v>
      </c>
      <c r="Y919" s="188">
        <f t="shared" si="2383"/>
        <v>2.7199999999999998</v>
      </c>
      <c r="Z919" s="176">
        <f t="shared" si="2384"/>
        <v>458.62712085999999</v>
      </c>
      <c r="AA919" s="206">
        <v>2.72</v>
      </c>
      <c r="AB919" s="456">
        <f t="shared" si="2385"/>
        <v>452.18619654400004</v>
      </c>
      <c r="AC919" s="206"/>
      <c r="AD919" s="176">
        <f t="shared" si="2386"/>
        <v>0</v>
      </c>
      <c r="AE919" s="206"/>
      <c r="AF919" s="205">
        <f t="shared" si="2387"/>
        <v>0</v>
      </c>
      <c r="AG919" s="188">
        <f t="shared" si="2388"/>
        <v>2.72</v>
      </c>
      <c r="AH919" s="176">
        <f t="shared" si="2389"/>
        <v>452.18619654400004</v>
      </c>
      <c r="AI919" s="96">
        <f t="shared" si="2390"/>
        <v>5.4399999999999995</v>
      </c>
      <c r="AJ919" s="96">
        <f t="shared" si="2391"/>
        <v>910.81331740400003</v>
      </c>
      <c r="AK919" s="188"/>
      <c r="AL919" s="176">
        <f t="shared" si="2392"/>
        <v>0</v>
      </c>
      <c r="AM919" s="243"/>
      <c r="AN919" s="176">
        <f t="shared" si="2393"/>
        <v>0</v>
      </c>
      <c r="AO919" s="206"/>
      <c r="AP919" s="205">
        <f t="shared" si="2394"/>
        <v>0</v>
      </c>
      <c r="AQ919" s="188">
        <f t="shared" si="2395"/>
        <v>0</v>
      </c>
      <c r="AR919" s="96">
        <f t="shared" si="2396"/>
        <v>0</v>
      </c>
      <c r="AS919" s="96"/>
      <c r="AT919" s="176">
        <f t="shared" si="2397"/>
        <v>0</v>
      </c>
      <c r="AU919" s="206"/>
      <c r="AV919" s="176">
        <f t="shared" si="2398"/>
        <v>0</v>
      </c>
      <c r="AW919" s="206"/>
      <c r="AX919" s="205">
        <f t="shared" si="2399"/>
        <v>0</v>
      </c>
      <c r="AY919" s="188">
        <f t="shared" si="2400"/>
        <v>0</v>
      </c>
      <c r="AZ919" s="96">
        <f t="shared" si="2401"/>
        <v>0</v>
      </c>
      <c r="BA919" s="96">
        <f t="shared" si="2402"/>
        <v>0</v>
      </c>
      <c r="BB919" s="96">
        <f t="shared" si="2403"/>
        <v>0</v>
      </c>
    </row>
    <row r="920" spans="1:54" ht="12" customHeight="1">
      <c r="A920" s="492">
        <v>555</v>
      </c>
      <c r="B920" s="13"/>
      <c r="C920" s="13"/>
      <c r="D920" s="13"/>
      <c r="E920" s="50" t="s">
        <v>2378</v>
      </c>
      <c r="F920" s="22"/>
      <c r="G920" s="22" t="s">
        <v>1060</v>
      </c>
      <c r="H920" s="265" t="s">
        <v>862</v>
      </c>
      <c r="I920" s="54">
        <v>113.58</v>
      </c>
      <c r="J920" s="162"/>
      <c r="K920" s="54">
        <v>113.58</v>
      </c>
      <c r="L920" s="101"/>
      <c r="M920" s="54"/>
      <c r="N920" s="101"/>
      <c r="O920" s="54"/>
      <c r="P920" s="162"/>
      <c r="Q920" s="96">
        <f t="shared" si="2378"/>
        <v>0.08</v>
      </c>
      <c r="R920" s="337">
        <f t="shared" si="2379"/>
        <v>13.651134767999999</v>
      </c>
      <c r="S920" s="96"/>
      <c r="T920" s="96">
        <f t="shared" si="2380"/>
        <v>0</v>
      </c>
      <c r="U920" s="96"/>
      <c r="V920" s="176">
        <f t="shared" si="2381"/>
        <v>0</v>
      </c>
      <c r="W920" s="206">
        <v>0.08</v>
      </c>
      <c r="X920" s="205">
        <f t="shared" si="2382"/>
        <v>13.651134767999999</v>
      </c>
      <c r="Y920" s="188">
        <f t="shared" si="2383"/>
        <v>0.08</v>
      </c>
      <c r="Z920" s="176">
        <f t="shared" si="2384"/>
        <v>13.651134767999999</v>
      </c>
      <c r="AA920" s="206"/>
      <c r="AB920" s="456">
        <f t="shared" si="2385"/>
        <v>0</v>
      </c>
      <c r="AC920" s="206"/>
      <c r="AD920" s="176">
        <f t="shared" si="2386"/>
        <v>0</v>
      </c>
      <c r="AE920" s="206"/>
      <c r="AF920" s="205">
        <f t="shared" si="2387"/>
        <v>0</v>
      </c>
      <c r="AG920" s="188">
        <f t="shared" si="2388"/>
        <v>0</v>
      </c>
      <c r="AH920" s="176">
        <f t="shared" si="2389"/>
        <v>0</v>
      </c>
      <c r="AI920" s="96">
        <f t="shared" si="2390"/>
        <v>0.08</v>
      </c>
      <c r="AJ920" s="96">
        <f t="shared" si="2391"/>
        <v>13.651134767999999</v>
      </c>
      <c r="AK920" s="188"/>
      <c r="AL920" s="176">
        <f t="shared" si="2392"/>
        <v>0</v>
      </c>
      <c r="AM920" s="243"/>
      <c r="AN920" s="176">
        <f t="shared" si="2393"/>
        <v>0</v>
      </c>
      <c r="AO920" s="206"/>
      <c r="AP920" s="205">
        <f t="shared" si="2394"/>
        <v>0</v>
      </c>
      <c r="AQ920" s="188">
        <f t="shared" si="2395"/>
        <v>0</v>
      </c>
      <c r="AR920" s="96">
        <f t="shared" si="2396"/>
        <v>0</v>
      </c>
      <c r="AS920" s="96"/>
      <c r="AT920" s="176">
        <f t="shared" si="2397"/>
        <v>0</v>
      </c>
      <c r="AU920" s="206"/>
      <c r="AV920" s="176">
        <f t="shared" si="2398"/>
        <v>0</v>
      </c>
      <c r="AW920" s="206"/>
      <c r="AX920" s="205">
        <f t="shared" si="2399"/>
        <v>0</v>
      </c>
      <c r="AY920" s="188">
        <f t="shared" si="2400"/>
        <v>0</v>
      </c>
      <c r="AZ920" s="96">
        <f t="shared" si="2401"/>
        <v>0</v>
      </c>
      <c r="BA920" s="96">
        <f t="shared" si="2402"/>
        <v>0</v>
      </c>
      <c r="BB920" s="96">
        <f t="shared" si="2403"/>
        <v>0</v>
      </c>
    </row>
    <row r="921" spans="1:54" ht="12" customHeight="1">
      <c r="A921" s="492">
        <v>555</v>
      </c>
      <c r="B921" s="13"/>
      <c r="C921" s="13"/>
      <c r="D921" s="13"/>
      <c r="E921" s="50" t="s">
        <v>2379</v>
      </c>
      <c r="F921" s="22"/>
      <c r="G921" s="22" t="s">
        <v>1060</v>
      </c>
      <c r="H921" s="265" t="s">
        <v>862</v>
      </c>
      <c r="I921" s="54">
        <v>113.58</v>
      </c>
      <c r="J921" s="162"/>
      <c r="K921" s="54">
        <v>113.58</v>
      </c>
      <c r="L921" s="101"/>
      <c r="M921" s="54"/>
      <c r="N921" s="101"/>
      <c r="O921" s="54"/>
      <c r="P921" s="162"/>
      <c r="Q921" s="96">
        <f t="shared" ref="Q921" si="2404">SUM(AI921+BA921)</f>
        <v>0.08</v>
      </c>
      <c r="R921" s="337">
        <f t="shared" ref="R921" si="2405">SUM(AJ921+BB921)</f>
        <v>13.651134767999999</v>
      </c>
      <c r="S921" s="96"/>
      <c r="T921" s="96">
        <f t="shared" ref="T921" si="2406">I921*S921*$T$2/1000</f>
        <v>0</v>
      </c>
      <c r="U921" s="96"/>
      <c r="V921" s="176">
        <f t="shared" ref="V921" si="2407">I921*U921*$V$2/1000</f>
        <v>0</v>
      </c>
      <c r="W921" s="206">
        <v>0.08</v>
      </c>
      <c r="X921" s="205">
        <f t="shared" ref="X921" si="2408">I921*W921*$X$2/1000</f>
        <v>13.651134767999999</v>
      </c>
      <c r="Y921" s="188">
        <f t="shared" ref="Y921" si="2409">SUM(S921+U921+W921)</f>
        <v>0.08</v>
      </c>
      <c r="Z921" s="176">
        <f t="shared" ref="Z921" si="2410">SUM(T921+V921+X921)</f>
        <v>13.651134767999999</v>
      </c>
      <c r="AA921" s="206"/>
      <c r="AB921" s="456">
        <f t="shared" ref="AB921" si="2411">K921*AA921*$AB$2/1000</f>
        <v>0</v>
      </c>
      <c r="AC921" s="206"/>
      <c r="AD921" s="176">
        <f t="shared" ref="AD921" si="2412">K921*AC921*$AD$2/1000</f>
        <v>0</v>
      </c>
      <c r="AE921" s="206"/>
      <c r="AF921" s="205">
        <f t="shared" ref="AF921" si="2413">K921*AE921*$AF$2/1000</f>
        <v>0</v>
      </c>
      <c r="AG921" s="188">
        <f t="shared" ref="AG921" si="2414">SUM(AA921+AC921+AE921)</f>
        <v>0</v>
      </c>
      <c r="AH921" s="176">
        <f t="shared" ref="AH921" si="2415">SUM(AB921+AD921+AF921)</f>
        <v>0</v>
      </c>
      <c r="AI921" s="96">
        <f t="shared" ref="AI921" si="2416">SUM(Y921+AG921)</f>
        <v>0.08</v>
      </c>
      <c r="AJ921" s="96">
        <f t="shared" ref="AJ921" si="2417">SUM(Z921,AH921)</f>
        <v>13.651134767999999</v>
      </c>
      <c r="AK921" s="188"/>
      <c r="AL921" s="176">
        <f t="shared" ref="AL921" si="2418">M921*AK921*$AL$2/1000</f>
        <v>0</v>
      </c>
      <c r="AM921" s="243"/>
      <c r="AN921" s="176">
        <f t="shared" ref="AN921" si="2419">M921*AM921*$AN$2/1000</f>
        <v>0</v>
      </c>
      <c r="AO921" s="206"/>
      <c r="AP921" s="205">
        <f t="shared" ref="AP921" si="2420">M921*AO921*$AP$2/1000</f>
        <v>0</v>
      </c>
      <c r="AQ921" s="188">
        <f t="shared" ref="AQ921" si="2421">SUM(AK921+AM921+AO921)</f>
        <v>0</v>
      </c>
      <c r="AR921" s="96">
        <f t="shared" ref="AR921" si="2422">SUM(AL921+AN921+AP921)</f>
        <v>0</v>
      </c>
      <c r="AS921" s="96"/>
      <c r="AT921" s="176">
        <f t="shared" ref="AT921" si="2423">O921*AS921*$AT$2/1000</f>
        <v>0</v>
      </c>
      <c r="AU921" s="206"/>
      <c r="AV921" s="176">
        <f t="shared" ref="AV921" si="2424">O921*AU921*$AV$2/1000</f>
        <v>0</v>
      </c>
      <c r="AW921" s="206"/>
      <c r="AX921" s="205">
        <f t="shared" ref="AX921" si="2425">O921*AW921*$AX$2/1000</f>
        <v>0</v>
      </c>
      <c r="AY921" s="188">
        <f t="shared" ref="AY921" si="2426">SUM(AS921+AU921+AW921)</f>
        <v>0</v>
      </c>
      <c r="AZ921" s="96">
        <f t="shared" ref="AZ921" si="2427">SUM(AT921+AV921+AX921)</f>
        <v>0</v>
      </c>
      <c r="BA921" s="96">
        <f t="shared" ref="BA921" si="2428">SUM(AQ921+AY921)</f>
        <v>0</v>
      </c>
      <c r="BB921" s="96">
        <f t="shared" ref="BB921" si="2429">SUM(AR921,AZ921)</f>
        <v>0</v>
      </c>
    </row>
    <row r="922" spans="1:54" ht="12" customHeight="1">
      <c r="A922" s="492">
        <v>555</v>
      </c>
      <c r="B922" s="13"/>
      <c r="C922" s="13"/>
      <c r="D922" s="13"/>
      <c r="E922" s="50" t="s">
        <v>1756</v>
      </c>
      <c r="F922" s="22"/>
      <c r="G922" s="22" t="s">
        <v>1060</v>
      </c>
      <c r="H922" s="265" t="s">
        <v>862</v>
      </c>
      <c r="I922" s="54">
        <v>123.25</v>
      </c>
      <c r="J922" s="162"/>
      <c r="K922" s="54">
        <v>123.25</v>
      </c>
      <c r="L922" s="101"/>
      <c r="M922" s="54"/>
      <c r="N922" s="101"/>
      <c r="O922" s="54"/>
      <c r="P922" s="162"/>
      <c r="Q922" s="96">
        <f t="shared" si="2161"/>
        <v>0</v>
      </c>
      <c r="R922" s="337">
        <f t="shared" si="2161"/>
        <v>0</v>
      </c>
      <c r="S922" s="96"/>
      <c r="T922" s="96">
        <f t="shared" si="2162"/>
        <v>0</v>
      </c>
      <c r="U922" s="96"/>
      <c r="V922" s="176">
        <f t="shared" si="2163"/>
        <v>0</v>
      </c>
      <c r="W922" s="206"/>
      <c r="X922" s="205">
        <f t="shared" si="2164"/>
        <v>0</v>
      </c>
      <c r="Y922" s="188">
        <f t="shared" si="2165"/>
        <v>0</v>
      </c>
      <c r="Z922" s="176">
        <f t="shared" si="2165"/>
        <v>0</v>
      </c>
      <c r="AA922" s="206"/>
      <c r="AB922" s="456">
        <f t="shared" si="2166"/>
        <v>0</v>
      </c>
      <c r="AC922" s="206"/>
      <c r="AD922" s="176">
        <f t="shared" si="2167"/>
        <v>0</v>
      </c>
      <c r="AE922" s="206"/>
      <c r="AF922" s="205">
        <f t="shared" si="2168"/>
        <v>0</v>
      </c>
      <c r="AG922" s="188">
        <f t="shared" si="2169"/>
        <v>0</v>
      </c>
      <c r="AH922" s="176">
        <f t="shared" si="2169"/>
        <v>0</v>
      </c>
      <c r="AI922" s="96">
        <f t="shared" si="2170"/>
        <v>0</v>
      </c>
      <c r="AJ922" s="96">
        <f t="shared" si="2171"/>
        <v>0</v>
      </c>
      <c r="AK922" s="188"/>
      <c r="AL922" s="176">
        <f t="shared" si="2172"/>
        <v>0</v>
      </c>
      <c r="AM922" s="243"/>
      <c r="AN922" s="176">
        <f t="shared" si="2173"/>
        <v>0</v>
      </c>
      <c r="AO922" s="206"/>
      <c r="AP922" s="205">
        <f t="shared" si="2174"/>
        <v>0</v>
      </c>
      <c r="AQ922" s="188">
        <f t="shared" si="2175"/>
        <v>0</v>
      </c>
      <c r="AR922" s="96">
        <f t="shared" si="2175"/>
        <v>0</v>
      </c>
      <c r="AS922" s="96"/>
      <c r="AT922" s="176">
        <f t="shared" si="2176"/>
        <v>0</v>
      </c>
      <c r="AU922" s="206"/>
      <c r="AV922" s="176">
        <f t="shared" si="2177"/>
        <v>0</v>
      </c>
      <c r="AW922" s="206"/>
      <c r="AX922" s="205">
        <f t="shared" si="2178"/>
        <v>0</v>
      </c>
      <c r="AY922" s="188">
        <f t="shared" si="2179"/>
        <v>0</v>
      </c>
      <c r="AZ922" s="96">
        <f t="shared" si="2179"/>
        <v>0</v>
      </c>
      <c r="BA922" s="96">
        <f t="shared" si="2180"/>
        <v>0</v>
      </c>
      <c r="BB922" s="96">
        <f t="shared" si="2181"/>
        <v>0</v>
      </c>
    </row>
    <row r="923" spans="1:54" ht="12" customHeight="1">
      <c r="A923" s="492">
        <v>555</v>
      </c>
      <c r="B923" s="13"/>
      <c r="C923" s="13"/>
      <c r="D923" s="13"/>
      <c r="E923" s="50" t="s">
        <v>1757</v>
      </c>
      <c r="F923" s="22"/>
      <c r="G923" s="22" t="s">
        <v>1060</v>
      </c>
      <c r="H923" s="265" t="s">
        <v>862</v>
      </c>
      <c r="I923" s="54">
        <v>123.25</v>
      </c>
      <c r="J923" s="162"/>
      <c r="K923" s="54">
        <v>123.25</v>
      </c>
      <c r="L923" s="101"/>
      <c r="M923" s="54"/>
      <c r="N923" s="101"/>
      <c r="O923" s="54"/>
      <c r="P923" s="162"/>
      <c r="Q923" s="96">
        <f t="shared" si="2161"/>
        <v>0</v>
      </c>
      <c r="R923" s="337">
        <f t="shared" si="2161"/>
        <v>0</v>
      </c>
      <c r="S923" s="96"/>
      <c r="T923" s="96">
        <f t="shared" si="2162"/>
        <v>0</v>
      </c>
      <c r="U923" s="96"/>
      <c r="V923" s="176">
        <f t="shared" si="2163"/>
        <v>0</v>
      </c>
      <c r="W923" s="206"/>
      <c r="X923" s="205">
        <f t="shared" si="2164"/>
        <v>0</v>
      </c>
      <c r="Y923" s="188">
        <f t="shared" si="2165"/>
        <v>0</v>
      </c>
      <c r="Z923" s="176">
        <f t="shared" si="2165"/>
        <v>0</v>
      </c>
      <c r="AA923" s="206"/>
      <c r="AB923" s="456">
        <f t="shared" si="2166"/>
        <v>0</v>
      </c>
      <c r="AC923" s="206"/>
      <c r="AD923" s="176">
        <f t="shared" si="2167"/>
        <v>0</v>
      </c>
      <c r="AE923" s="206"/>
      <c r="AF923" s="205">
        <f t="shared" si="2168"/>
        <v>0</v>
      </c>
      <c r="AG923" s="188">
        <f t="shared" si="2169"/>
        <v>0</v>
      </c>
      <c r="AH923" s="176">
        <f t="shared" si="2169"/>
        <v>0</v>
      </c>
      <c r="AI923" s="96">
        <f t="shared" si="2170"/>
        <v>0</v>
      </c>
      <c r="AJ923" s="96">
        <f t="shared" si="2171"/>
        <v>0</v>
      </c>
      <c r="AK923" s="188"/>
      <c r="AL923" s="176">
        <f t="shared" si="2172"/>
        <v>0</v>
      </c>
      <c r="AM923" s="243"/>
      <c r="AN923" s="176">
        <f t="shared" si="2173"/>
        <v>0</v>
      </c>
      <c r="AO923" s="206"/>
      <c r="AP923" s="205">
        <f t="shared" si="2174"/>
        <v>0</v>
      </c>
      <c r="AQ923" s="188">
        <f t="shared" si="2175"/>
        <v>0</v>
      </c>
      <c r="AR923" s="96">
        <f t="shared" si="2175"/>
        <v>0</v>
      </c>
      <c r="AS923" s="96"/>
      <c r="AT923" s="176">
        <f t="shared" si="2176"/>
        <v>0</v>
      </c>
      <c r="AU923" s="206"/>
      <c r="AV923" s="176">
        <f t="shared" si="2177"/>
        <v>0</v>
      </c>
      <c r="AW923" s="206"/>
      <c r="AX923" s="205">
        <f t="shared" si="2178"/>
        <v>0</v>
      </c>
      <c r="AY923" s="188">
        <f t="shared" si="2179"/>
        <v>0</v>
      </c>
      <c r="AZ923" s="96">
        <f t="shared" si="2179"/>
        <v>0</v>
      </c>
      <c r="BA923" s="96">
        <f t="shared" si="2180"/>
        <v>0</v>
      </c>
      <c r="BB923" s="96">
        <f t="shared" si="2181"/>
        <v>0</v>
      </c>
    </row>
    <row r="924" spans="1:54" ht="12" customHeight="1">
      <c r="A924" s="492">
        <v>555</v>
      </c>
      <c r="B924" s="13"/>
      <c r="C924" s="13"/>
      <c r="D924" s="13" t="s">
        <v>2413</v>
      </c>
      <c r="E924" s="50" t="s">
        <v>2273</v>
      </c>
      <c r="F924" s="22"/>
      <c r="G924" s="22" t="s">
        <v>1060</v>
      </c>
      <c r="H924" s="265" t="s">
        <v>862</v>
      </c>
      <c r="I924" s="54">
        <v>14.39</v>
      </c>
      <c r="J924" s="162"/>
      <c r="K924" s="54">
        <v>14.39</v>
      </c>
      <c r="L924" s="101"/>
      <c r="M924" s="54"/>
      <c r="N924" s="101"/>
      <c r="O924" s="54"/>
      <c r="P924" s="162"/>
      <c r="Q924" s="96">
        <f t="shared" ref="Q924:Q926" si="2430">SUM(AI924+BA924)</f>
        <v>0</v>
      </c>
      <c r="R924" s="337">
        <f t="shared" ref="R924:R926" si="2431">SUM(AJ924+BB924)</f>
        <v>0</v>
      </c>
      <c r="S924" s="96"/>
      <c r="T924" s="96">
        <f t="shared" ref="T924:T926" si="2432">I924*S924*$T$2/1000</f>
        <v>0</v>
      </c>
      <c r="U924" s="96"/>
      <c r="V924" s="176">
        <f t="shared" ref="V924:V926" si="2433">I924*U924*$V$2/1000</f>
        <v>0</v>
      </c>
      <c r="W924" s="206"/>
      <c r="X924" s="205">
        <f t="shared" ref="X924:X926" si="2434">I924*W924*$X$2/1000</f>
        <v>0</v>
      </c>
      <c r="Y924" s="188">
        <f t="shared" ref="Y924:Y926" si="2435">SUM(S924+U924+W924)</f>
        <v>0</v>
      </c>
      <c r="Z924" s="176">
        <f t="shared" ref="Z924:Z926" si="2436">SUM(T924+V924+X924)</f>
        <v>0</v>
      </c>
      <c r="AA924" s="206"/>
      <c r="AB924" s="456">
        <f t="shared" ref="AB924:AB926" si="2437">K924*AA924*$AB$2/1000</f>
        <v>0</v>
      </c>
      <c r="AC924" s="206"/>
      <c r="AD924" s="176">
        <f t="shared" ref="AD924:AD926" si="2438">K924*AC924*$AD$2/1000</f>
        <v>0</v>
      </c>
      <c r="AE924" s="206"/>
      <c r="AF924" s="205">
        <f t="shared" ref="AF924:AF926" si="2439">K924*AE924*$AF$2/1000</f>
        <v>0</v>
      </c>
      <c r="AG924" s="188">
        <f t="shared" ref="AG924:AG926" si="2440">SUM(AA924+AC924+AE924)</f>
        <v>0</v>
      </c>
      <c r="AH924" s="176">
        <f t="shared" ref="AH924:AH926" si="2441">SUM(AB924+AD924+AF924)</f>
        <v>0</v>
      </c>
      <c r="AI924" s="96">
        <f t="shared" ref="AI924:AI926" si="2442">SUM(Y924+AG924)</f>
        <v>0</v>
      </c>
      <c r="AJ924" s="96">
        <f t="shared" ref="AJ924:AJ926" si="2443">SUM(Z924,AH924)</f>
        <v>0</v>
      </c>
      <c r="AK924" s="188"/>
      <c r="AL924" s="176">
        <f t="shared" ref="AL924:AL926" si="2444">M924*AK924*$AL$2/1000</f>
        <v>0</v>
      </c>
      <c r="AM924" s="243"/>
      <c r="AN924" s="176">
        <f t="shared" ref="AN924:AN926" si="2445">M924*AM924*$AN$2/1000</f>
        <v>0</v>
      </c>
      <c r="AO924" s="206"/>
      <c r="AP924" s="205">
        <f t="shared" ref="AP924:AP926" si="2446">M924*AO924*$AP$2/1000</f>
        <v>0</v>
      </c>
      <c r="AQ924" s="188">
        <f t="shared" ref="AQ924:AQ926" si="2447">SUM(AK924+AM924+AO924)</f>
        <v>0</v>
      </c>
      <c r="AR924" s="96">
        <f t="shared" ref="AR924:AR926" si="2448">SUM(AL924+AN924+AP924)</f>
        <v>0</v>
      </c>
      <c r="AS924" s="96"/>
      <c r="AT924" s="176">
        <f t="shared" ref="AT924:AT926" si="2449">O924*AS924*$AT$2/1000</f>
        <v>0</v>
      </c>
      <c r="AU924" s="206"/>
      <c r="AV924" s="176">
        <f t="shared" ref="AV924:AV926" si="2450">O924*AU924*$AV$2/1000</f>
        <v>0</v>
      </c>
      <c r="AW924" s="206"/>
      <c r="AX924" s="205">
        <f t="shared" ref="AX924:AX926" si="2451">O924*AW924*$AX$2/1000</f>
        <v>0</v>
      </c>
      <c r="AY924" s="188">
        <f t="shared" ref="AY924:AY926" si="2452">SUM(AS924+AU924+AW924)</f>
        <v>0</v>
      </c>
      <c r="AZ924" s="96">
        <f t="shared" ref="AZ924:AZ926" si="2453">SUM(AT924+AV924+AX924)</f>
        <v>0</v>
      </c>
      <c r="BA924" s="96">
        <f t="shared" ref="BA924:BA926" si="2454">SUM(AQ924+AY924)</f>
        <v>0</v>
      </c>
      <c r="BB924" s="96">
        <f t="shared" ref="BB924:BB926" si="2455">SUM(AR924,AZ924)</f>
        <v>0</v>
      </c>
    </row>
    <row r="925" spans="1:54" ht="12" customHeight="1">
      <c r="A925" s="492">
        <v>555</v>
      </c>
      <c r="B925" s="13"/>
      <c r="C925" s="13"/>
      <c r="D925" s="13"/>
      <c r="E925" s="50" t="s">
        <v>2272</v>
      </c>
      <c r="F925" s="22"/>
      <c r="G925" s="22" t="s">
        <v>1060</v>
      </c>
      <c r="H925" s="265" t="s">
        <v>862</v>
      </c>
      <c r="I925" s="54">
        <v>15.4</v>
      </c>
      <c r="J925" s="162"/>
      <c r="K925" s="54">
        <v>15.4</v>
      </c>
      <c r="L925" s="101"/>
      <c r="M925" s="54"/>
      <c r="N925" s="101"/>
      <c r="O925" s="54"/>
      <c r="P925" s="162"/>
      <c r="Q925" s="96">
        <f t="shared" ref="Q925" si="2456">SUM(AI925+BA925)</f>
        <v>0</v>
      </c>
      <c r="R925" s="337">
        <f t="shared" ref="R925" si="2457">SUM(AJ925+BB925)</f>
        <v>0</v>
      </c>
      <c r="S925" s="96"/>
      <c r="T925" s="96">
        <f t="shared" ref="T925" si="2458">I925*S925*$T$2/1000</f>
        <v>0</v>
      </c>
      <c r="U925" s="96"/>
      <c r="V925" s="176">
        <f t="shared" ref="V925" si="2459">I925*U925*$V$2/1000</f>
        <v>0</v>
      </c>
      <c r="W925" s="206"/>
      <c r="X925" s="205">
        <f t="shared" ref="X925" si="2460">I925*W925*$X$2/1000</f>
        <v>0</v>
      </c>
      <c r="Y925" s="188">
        <f t="shared" ref="Y925" si="2461">SUM(S925+U925+W925)</f>
        <v>0</v>
      </c>
      <c r="Z925" s="176">
        <f t="shared" ref="Z925" si="2462">SUM(T925+V925+X925)</f>
        <v>0</v>
      </c>
      <c r="AA925" s="206"/>
      <c r="AB925" s="456">
        <f t="shared" ref="AB925" si="2463">K925*AA925*$AB$2/1000</f>
        <v>0</v>
      </c>
      <c r="AC925" s="206"/>
      <c r="AD925" s="176">
        <f t="shared" ref="AD925" si="2464">K925*AC925*$AD$2/1000</f>
        <v>0</v>
      </c>
      <c r="AE925" s="206"/>
      <c r="AF925" s="205">
        <f t="shared" ref="AF925" si="2465">K925*AE925*$AF$2/1000</f>
        <v>0</v>
      </c>
      <c r="AG925" s="188">
        <f t="shared" ref="AG925" si="2466">SUM(AA925+AC925+AE925)</f>
        <v>0</v>
      </c>
      <c r="AH925" s="176">
        <f t="shared" ref="AH925" si="2467">SUM(AB925+AD925+AF925)</f>
        <v>0</v>
      </c>
      <c r="AI925" s="96">
        <f t="shared" ref="AI925" si="2468">SUM(Y925+AG925)</f>
        <v>0</v>
      </c>
      <c r="AJ925" s="96">
        <f t="shared" ref="AJ925" si="2469">SUM(Z925,AH925)</f>
        <v>0</v>
      </c>
      <c r="AK925" s="188"/>
      <c r="AL925" s="176">
        <f t="shared" ref="AL925" si="2470">M925*AK925*$AL$2/1000</f>
        <v>0</v>
      </c>
      <c r="AM925" s="243"/>
      <c r="AN925" s="176">
        <f t="shared" ref="AN925" si="2471">M925*AM925*$AN$2/1000</f>
        <v>0</v>
      </c>
      <c r="AO925" s="206"/>
      <c r="AP925" s="205">
        <f t="shared" ref="AP925" si="2472">M925*AO925*$AP$2/1000</f>
        <v>0</v>
      </c>
      <c r="AQ925" s="188">
        <f t="shared" ref="AQ925" si="2473">SUM(AK925+AM925+AO925)</f>
        <v>0</v>
      </c>
      <c r="AR925" s="96">
        <f t="shared" ref="AR925" si="2474">SUM(AL925+AN925+AP925)</f>
        <v>0</v>
      </c>
      <c r="AS925" s="96"/>
      <c r="AT925" s="176">
        <f t="shared" ref="AT925" si="2475">O925*AS925*$AT$2/1000</f>
        <v>0</v>
      </c>
      <c r="AU925" s="206"/>
      <c r="AV925" s="176">
        <f t="shared" ref="AV925" si="2476">O925*AU925*$AV$2/1000</f>
        <v>0</v>
      </c>
      <c r="AW925" s="206"/>
      <c r="AX925" s="205">
        <f t="shared" ref="AX925" si="2477">O925*AW925*$AX$2/1000</f>
        <v>0</v>
      </c>
      <c r="AY925" s="188">
        <f t="shared" ref="AY925" si="2478">SUM(AS925+AU925+AW925)</f>
        <v>0</v>
      </c>
      <c r="AZ925" s="96">
        <f t="shared" ref="AZ925" si="2479">SUM(AT925+AV925+AX925)</f>
        <v>0</v>
      </c>
      <c r="BA925" s="96">
        <f t="shared" ref="BA925" si="2480">SUM(AQ925+AY925)</f>
        <v>0</v>
      </c>
      <c r="BB925" s="96">
        <f t="shared" ref="BB925" si="2481">SUM(AR925,AZ925)</f>
        <v>0</v>
      </c>
    </row>
    <row r="926" spans="1:54" ht="12" customHeight="1">
      <c r="A926" s="492">
        <v>555</v>
      </c>
      <c r="B926" s="13"/>
      <c r="C926" s="13"/>
      <c r="D926" s="13"/>
      <c r="E926" s="50" t="s">
        <v>2406</v>
      </c>
      <c r="F926" s="22"/>
      <c r="G926" s="22" t="s">
        <v>1060</v>
      </c>
      <c r="H926" s="265" t="s">
        <v>862</v>
      </c>
      <c r="I926" s="54">
        <v>16.670000000000002</v>
      </c>
      <c r="J926" s="162"/>
      <c r="K926" s="54">
        <v>16.670000000000002</v>
      </c>
      <c r="L926" s="101"/>
      <c r="M926" s="54"/>
      <c r="N926" s="101"/>
      <c r="O926" s="54"/>
      <c r="P926" s="162"/>
      <c r="Q926" s="96">
        <f t="shared" si="2430"/>
        <v>0</v>
      </c>
      <c r="R926" s="337">
        <f t="shared" si="2431"/>
        <v>0</v>
      </c>
      <c r="S926" s="96"/>
      <c r="T926" s="96">
        <f t="shared" si="2432"/>
        <v>0</v>
      </c>
      <c r="U926" s="96"/>
      <c r="V926" s="176">
        <f t="shared" si="2433"/>
        <v>0</v>
      </c>
      <c r="W926" s="206"/>
      <c r="X926" s="205">
        <f t="shared" si="2434"/>
        <v>0</v>
      </c>
      <c r="Y926" s="188">
        <f t="shared" si="2435"/>
        <v>0</v>
      </c>
      <c r="Z926" s="176">
        <f t="shared" si="2436"/>
        <v>0</v>
      </c>
      <c r="AA926" s="206"/>
      <c r="AB926" s="456">
        <f t="shared" si="2437"/>
        <v>0</v>
      </c>
      <c r="AC926" s="206"/>
      <c r="AD926" s="176">
        <f t="shared" si="2438"/>
        <v>0</v>
      </c>
      <c r="AE926" s="206"/>
      <c r="AF926" s="205">
        <f t="shared" si="2439"/>
        <v>0</v>
      </c>
      <c r="AG926" s="188">
        <f t="shared" si="2440"/>
        <v>0</v>
      </c>
      <c r="AH926" s="176">
        <f t="shared" si="2441"/>
        <v>0</v>
      </c>
      <c r="AI926" s="96">
        <f t="shared" si="2442"/>
        <v>0</v>
      </c>
      <c r="AJ926" s="96">
        <f t="shared" si="2443"/>
        <v>0</v>
      </c>
      <c r="AK926" s="188"/>
      <c r="AL926" s="176">
        <f t="shared" si="2444"/>
        <v>0</v>
      </c>
      <c r="AM926" s="243"/>
      <c r="AN926" s="176">
        <f t="shared" si="2445"/>
        <v>0</v>
      </c>
      <c r="AO926" s="206"/>
      <c r="AP926" s="205">
        <f t="shared" si="2446"/>
        <v>0</v>
      </c>
      <c r="AQ926" s="188">
        <f t="shared" si="2447"/>
        <v>0</v>
      </c>
      <c r="AR926" s="96">
        <f t="shared" si="2448"/>
        <v>0</v>
      </c>
      <c r="AS926" s="96"/>
      <c r="AT926" s="176">
        <f t="shared" si="2449"/>
        <v>0</v>
      </c>
      <c r="AU926" s="206"/>
      <c r="AV926" s="176">
        <f t="shared" si="2450"/>
        <v>0</v>
      </c>
      <c r="AW926" s="206"/>
      <c r="AX926" s="205">
        <f t="shared" si="2451"/>
        <v>0</v>
      </c>
      <c r="AY926" s="188">
        <f t="shared" si="2452"/>
        <v>0</v>
      </c>
      <c r="AZ926" s="96">
        <f t="shared" si="2453"/>
        <v>0</v>
      </c>
      <c r="BA926" s="96">
        <f t="shared" si="2454"/>
        <v>0</v>
      </c>
      <c r="BB926" s="96">
        <f t="shared" si="2455"/>
        <v>0</v>
      </c>
    </row>
    <row r="927" spans="1:54" ht="12" customHeight="1">
      <c r="A927" s="492">
        <v>555</v>
      </c>
      <c r="B927" s="13"/>
      <c r="C927" s="13"/>
      <c r="D927" s="13"/>
      <c r="E927" s="50" t="s">
        <v>2275</v>
      </c>
      <c r="F927" s="22"/>
      <c r="G927" s="22" t="s">
        <v>1060</v>
      </c>
      <c r="H927" s="265" t="s">
        <v>862</v>
      </c>
      <c r="I927" s="54">
        <v>19.510000000000002</v>
      </c>
      <c r="J927" s="162"/>
      <c r="K927" s="54">
        <v>19.510000000000002</v>
      </c>
      <c r="L927" s="101"/>
      <c r="M927" s="54"/>
      <c r="N927" s="101"/>
      <c r="O927" s="54"/>
      <c r="P927" s="162"/>
      <c r="Q927" s="96">
        <f t="shared" si="2161"/>
        <v>0</v>
      </c>
      <c r="R927" s="337">
        <f t="shared" si="2161"/>
        <v>0</v>
      </c>
      <c r="S927" s="96"/>
      <c r="T927" s="96">
        <f t="shared" si="2162"/>
        <v>0</v>
      </c>
      <c r="U927" s="96"/>
      <c r="V927" s="176">
        <f t="shared" si="2163"/>
        <v>0</v>
      </c>
      <c r="W927" s="206"/>
      <c r="X927" s="205">
        <f t="shared" si="2164"/>
        <v>0</v>
      </c>
      <c r="Y927" s="188">
        <f t="shared" si="2165"/>
        <v>0</v>
      </c>
      <c r="Z927" s="176">
        <f>SUM(T927+V927+X927)</f>
        <v>0</v>
      </c>
      <c r="AA927" s="206"/>
      <c r="AB927" s="456">
        <f t="shared" si="2166"/>
        <v>0</v>
      </c>
      <c r="AC927" s="206"/>
      <c r="AD927" s="176">
        <f t="shared" si="2167"/>
        <v>0</v>
      </c>
      <c r="AE927" s="206"/>
      <c r="AF927" s="205">
        <f t="shared" si="2168"/>
        <v>0</v>
      </c>
      <c r="AG927" s="188">
        <f t="shared" si="2169"/>
        <v>0</v>
      </c>
      <c r="AH927" s="176">
        <f>SUM(AB927+AD927+AF927)</f>
        <v>0</v>
      </c>
      <c r="AI927" s="96">
        <f t="shared" si="2170"/>
        <v>0</v>
      </c>
      <c r="AJ927" s="96">
        <f t="shared" si="2171"/>
        <v>0</v>
      </c>
      <c r="AK927" s="188"/>
      <c r="AL927" s="176">
        <f t="shared" si="2172"/>
        <v>0</v>
      </c>
      <c r="AM927" s="243"/>
      <c r="AN927" s="176">
        <f t="shared" si="2173"/>
        <v>0</v>
      </c>
      <c r="AO927" s="206"/>
      <c r="AP927" s="205">
        <f t="shared" si="2174"/>
        <v>0</v>
      </c>
      <c r="AQ927" s="188">
        <f t="shared" si="2175"/>
        <v>0</v>
      </c>
      <c r="AR927" s="96">
        <f>SUM(AL927+AN927+AP927)</f>
        <v>0</v>
      </c>
      <c r="AS927" s="96"/>
      <c r="AT927" s="176">
        <f t="shared" si="2176"/>
        <v>0</v>
      </c>
      <c r="AU927" s="206"/>
      <c r="AV927" s="176">
        <f t="shared" si="2177"/>
        <v>0</v>
      </c>
      <c r="AW927" s="206"/>
      <c r="AX927" s="205">
        <f t="shared" si="2178"/>
        <v>0</v>
      </c>
      <c r="AY927" s="188">
        <f t="shared" si="2179"/>
        <v>0</v>
      </c>
      <c r="AZ927" s="96">
        <f>SUM(AT927+AV927+AX927)</f>
        <v>0</v>
      </c>
      <c r="BA927" s="96">
        <f t="shared" si="2180"/>
        <v>0</v>
      </c>
      <c r="BB927" s="96">
        <f t="shared" si="2181"/>
        <v>0</v>
      </c>
    </row>
    <row r="928" spans="1:54" ht="12" customHeight="1">
      <c r="A928" s="492">
        <v>555</v>
      </c>
      <c r="B928" s="13"/>
      <c r="C928" s="13"/>
      <c r="D928" s="13"/>
      <c r="E928" s="50" t="s">
        <v>2274</v>
      </c>
      <c r="F928" s="22"/>
      <c r="G928" s="22" t="s">
        <v>1060</v>
      </c>
      <c r="H928" s="265" t="s">
        <v>862</v>
      </c>
      <c r="I928" s="54">
        <v>21.02</v>
      </c>
      <c r="J928" s="162"/>
      <c r="K928" s="54">
        <v>21.02</v>
      </c>
      <c r="L928" s="101"/>
      <c r="M928" s="54"/>
      <c r="N928" s="101"/>
      <c r="O928" s="54"/>
      <c r="P928" s="162"/>
      <c r="Q928" s="96">
        <f t="shared" ref="Q928" si="2482">SUM(AI928+BA928)</f>
        <v>0</v>
      </c>
      <c r="R928" s="337">
        <f t="shared" ref="R928" si="2483">SUM(AJ928+BB928)</f>
        <v>0</v>
      </c>
      <c r="S928" s="96"/>
      <c r="T928" s="96">
        <f t="shared" ref="T928" si="2484">I928*S928*$T$2/1000</f>
        <v>0</v>
      </c>
      <c r="U928" s="96"/>
      <c r="V928" s="176">
        <f t="shared" ref="V928" si="2485">I928*U928*$V$2/1000</f>
        <v>0</v>
      </c>
      <c r="W928" s="206"/>
      <c r="X928" s="205">
        <f t="shared" ref="X928" si="2486">I928*W928*$X$2/1000</f>
        <v>0</v>
      </c>
      <c r="Y928" s="188">
        <f t="shared" ref="Y928" si="2487">SUM(S928+U928+W928)</f>
        <v>0</v>
      </c>
      <c r="Z928" s="176">
        <f t="shared" ref="Z928" si="2488">SUM(T928+V928+X928)</f>
        <v>0</v>
      </c>
      <c r="AA928" s="206"/>
      <c r="AB928" s="456">
        <f t="shared" ref="AB928" si="2489">K928*AA928*$AB$2/1000</f>
        <v>0</v>
      </c>
      <c r="AC928" s="206"/>
      <c r="AD928" s="176">
        <f t="shared" ref="AD928" si="2490">K928*AC928*$AD$2/1000</f>
        <v>0</v>
      </c>
      <c r="AE928" s="206"/>
      <c r="AF928" s="205">
        <f t="shared" ref="AF928" si="2491">K928*AE928*$AF$2/1000</f>
        <v>0</v>
      </c>
      <c r="AG928" s="188">
        <f t="shared" ref="AG928" si="2492">SUM(AA928+AC928+AE928)</f>
        <v>0</v>
      </c>
      <c r="AH928" s="176">
        <f t="shared" ref="AH928" si="2493">SUM(AB928+AD928+AF928)</f>
        <v>0</v>
      </c>
      <c r="AI928" s="96">
        <f t="shared" ref="AI928" si="2494">SUM(Y928+AG928)</f>
        <v>0</v>
      </c>
      <c r="AJ928" s="96">
        <f t="shared" ref="AJ928" si="2495">SUM(Z928,AH928)</f>
        <v>0</v>
      </c>
      <c r="AK928" s="188"/>
      <c r="AL928" s="176">
        <f t="shared" ref="AL928" si="2496">M928*AK928*$AL$2/1000</f>
        <v>0</v>
      </c>
      <c r="AM928" s="243"/>
      <c r="AN928" s="176">
        <f t="shared" ref="AN928" si="2497">M928*AM928*$AN$2/1000</f>
        <v>0</v>
      </c>
      <c r="AO928" s="206"/>
      <c r="AP928" s="205">
        <f t="shared" ref="AP928" si="2498">M928*AO928*$AP$2/1000</f>
        <v>0</v>
      </c>
      <c r="AQ928" s="188">
        <f t="shared" ref="AQ928" si="2499">SUM(AK928+AM928+AO928)</f>
        <v>0</v>
      </c>
      <c r="AR928" s="96">
        <f t="shared" ref="AR928" si="2500">SUM(AL928+AN928+AP928)</f>
        <v>0</v>
      </c>
      <c r="AS928" s="96"/>
      <c r="AT928" s="176">
        <f t="shared" ref="AT928" si="2501">O928*AS928*$AT$2/1000</f>
        <v>0</v>
      </c>
      <c r="AU928" s="206"/>
      <c r="AV928" s="176">
        <f t="shared" ref="AV928" si="2502">O928*AU928*$AV$2/1000</f>
        <v>0</v>
      </c>
      <c r="AW928" s="206"/>
      <c r="AX928" s="205">
        <f t="shared" ref="AX928" si="2503">O928*AW928*$AX$2/1000</f>
        <v>0</v>
      </c>
      <c r="AY928" s="188">
        <f t="shared" ref="AY928" si="2504">SUM(AS928+AU928+AW928)</f>
        <v>0</v>
      </c>
      <c r="AZ928" s="96">
        <f t="shared" ref="AZ928" si="2505">SUM(AT928+AV928+AX928)</f>
        <v>0</v>
      </c>
      <c r="BA928" s="96">
        <f t="shared" ref="BA928" si="2506">SUM(AQ928+AY928)</f>
        <v>0</v>
      </c>
      <c r="BB928" s="96">
        <f t="shared" ref="BB928" si="2507">SUM(AR928,AZ928)</f>
        <v>0</v>
      </c>
    </row>
    <row r="929" spans="1:54" ht="12" customHeight="1">
      <c r="A929" s="492">
        <v>555</v>
      </c>
      <c r="B929" s="13"/>
      <c r="C929" s="13"/>
      <c r="D929" s="24"/>
      <c r="E929" s="50" t="s">
        <v>2407</v>
      </c>
      <c r="F929" s="22"/>
      <c r="G929" s="22" t="s">
        <v>1060</v>
      </c>
      <c r="H929" s="265" t="s">
        <v>862</v>
      </c>
      <c r="I929" s="54">
        <v>23.06</v>
      </c>
      <c r="J929" s="162"/>
      <c r="K929" s="54">
        <v>23.06</v>
      </c>
      <c r="L929" s="101"/>
      <c r="M929" s="54"/>
      <c r="N929" s="101"/>
      <c r="O929" s="54"/>
      <c r="P929" s="162"/>
      <c r="Q929" s="96">
        <f t="shared" si="2161"/>
        <v>0</v>
      </c>
      <c r="R929" s="337">
        <f t="shared" si="2161"/>
        <v>0</v>
      </c>
      <c r="S929" s="96"/>
      <c r="T929" s="96">
        <f t="shared" si="2162"/>
        <v>0</v>
      </c>
      <c r="U929" s="96"/>
      <c r="V929" s="176">
        <f t="shared" si="2163"/>
        <v>0</v>
      </c>
      <c r="W929" s="206"/>
      <c r="X929" s="205">
        <f t="shared" si="2164"/>
        <v>0</v>
      </c>
      <c r="Y929" s="188">
        <f t="shared" si="2165"/>
        <v>0</v>
      </c>
      <c r="Z929" s="176">
        <f t="shared" si="2165"/>
        <v>0</v>
      </c>
      <c r="AA929" s="206"/>
      <c r="AB929" s="456">
        <f t="shared" si="2166"/>
        <v>0</v>
      </c>
      <c r="AC929" s="206"/>
      <c r="AD929" s="176">
        <f t="shared" si="2167"/>
        <v>0</v>
      </c>
      <c r="AE929" s="206"/>
      <c r="AF929" s="205">
        <f t="shared" si="2168"/>
        <v>0</v>
      </c>
      <c r="AG929" s="188">
        <f t="shared" si="2169"/>
        <v>0</v>
      </c>
      <c r="AH929" s="176">
        <f t="shared" si="2169"/>
        <v>0</v>
      </c>
      <c r="AI929" s="96">
        <f t="shared" si="2170"/>
        <v>0</v>
      </c>
      <c r="AJ929" s="96">
        <f t="shared" si="2171"/>
        <v>0</v>
      </c>
      <c r="AK929" s="188"/>
      <c r="AL929" s="176">
        <f t="shared" si="2172"/>
        <v>0</v>
      </c>
      <c r="AM929" s="243"/>
      <c r="AN929" s="176">
        <f t="shared" si="2173"/>
        <v>0</v>
      </c>
      <c r="AO929" s="206"/>
      <c r="AP929" s="205">
        <f t="shared" si="2174"/>
        <v>0</v>
      </c>
      <c r="AQ929" s="188">
        <f t="shared" si="2175"/>
        <v>0</v>
      </c>
      <c r="AR929" s="96">
        <f t="shared" si="2175"/>
        <v>0</v>
      </c>
      <c r="AS929" s="96"/>
      <c r="AT929" s="176">
        <f t="shared" si="2176"/>
        <v>0</v>
      </c>
      <c r="AU929" s="206"/>
      <c r="AV929" s="176">
        <f t="shared" si="2177"/>
        <v>0</v>
      </c>
      <c r="AW929" s="206"/>
      <c r="AX929" s="205">
        <f t="shared" si="2178"/>
        <v>0</v>
      </c>
      <c r="AY929" s="188">
        <f t="shared" si="2179"/>
        <v>0</v>
      </c>
      <c r="AZ929" s="96">
        <f t="shared" si="2179"/>
        <v>0</v>
      </c>
      <c r="BA929" s="96">
        <f t="shared" si="2180"/>
        <v>0</v>
      </c>
      <c r="BB929" s="96">
        <f t="shared" si="2181"/>
        <v>0</v>
      </c>
    </row>
    <row r="930" spans="1:54">
      <c r="A930" s="492">
        <v>552</v>
      </c>
      <c r="B930" s="26"/>
      <c r="C930" s="27" t="s">
        <v>134</v>
      </c>
      <c r="D930" s="28"/>
      <c r="E930" s="28"/>
      <c r="F930" s="91"/>
      <c r="G930" s="91"/>
      <c r="H930" s="269"/>
      <c r="I930" s="150"/>
      <c r="J930" s="117"/>
      <c r="K930" s="72"/>
      <c r="L930" s="173"/>
      <c r="M930" s="72"/>
      <c r="N930" s="173"/>
      <c r="O930" s="150"/>
      <c r="P930" s="117"/>
      <c r="Q930" s="120">
        <f t="shared" ref="Q930:BB930" si="2508">SUM(Q890:Q929)</f>
        <v>89.166000000000011</v>
      </c>
      <c r="R930" s="120">
        <f t="shared" si="2508"/>
        <v>8339.2630358372007</v>
      </c>
      <c r="S930" s="120">
        <f t="shared" si="2508"/>
        <v>27.144000000000002</v>
      </c>
      <c r="T930" s="120">
        <f t="shared" si="2508"/>
        <v>2165.6637139280001</v>
      </c>
      <c r="U930" s="120">
        <f t="shared" si="2508"/>
        <v>24.080000000000002</v>
      </c>
      <c r="V930" s="120">
        <f t="shared" si="2508"/>
        <v>2004.6076673280002</v>
      </c>
      <c r="W930" s="120">
        <f t="shared" si="2508"/>
        <v>19.483999999999998</v>
      </c>
      <c r="X930" s="120">
        <f t="shared" si="2508"/>
        <v>2036.6285769324002</v>
      </c>
      <c r="Y930" s="120">
        <f t="shared" si="2508"/>
        <v>70.708000000000013</v>
      </c>
      <c r="Z930" s="120">
        <f t="shared" si="2508"/>
        <v>6206.8999581883982</v>
      </c>
      <c r="AA930" s="120">
        <f t="shared" si="2508"/>
        <v>18.458000000000002</v>
      </c>
      <c r="AB930" s="120">
        <f t="shared" si="2508"/>
        <v>2132.3630776487998</v>
      </c>
      <c r="AC930" s="120">
        <f t="shared" si="2508"/>
        <v>0</v>
      </c>
      <c r="AD930" s="120">
        <f t="shared" si="2508"/>
        <v>0</v>
      </c>
      <c r="AE930" s="120">
        <f t="shared" si="2508"/>
        <v>0</v>
      </c>
      <c r="AF930" s="120">
        <f t="shared" si="2508"/>
        <v>0</v>
      </c>
      <c r="AG930" s="120">
        <f t="shared" si="2508"/>
        <v>18.458000000000002</v>
      </c>
      <c r="AH930" s="120">
        <f t="shared" si="2508"/>
        <v>2132.3630776487998</v>
      </c>
      <c r="AI930" s="120">
        <f t="shared" si="2508"/>
        <v>89.166000000000011</v>
      </c>
      <c r="AJ930" s="120">
        <f t="shared" si="2508"/>
        <v>8339.2630358372007</v>
      </c>
      <c r="AK930" s="120">
        <f t="shared" si="2508"/>
        <v>0</v>
      </c>
      <c r="AL930" s="120">
        <f t="shared" si="2508"/>
        <v>0</v>
      </c>
      <c r="AM930" s="120">
        <f t="shared" si="2508"/>
        <v>0</v>
      </c>
      <c r="AN930" s="120">
        <f t="shared" si="2508"/>
        <v>0</v>
      </c>
      <c r="AO930" s="120">
        <f t="shared" si="2508"/>
        <v>0</v>
      </c>
      <c r="AP930" s="120">
        <f t="shared" si="2508"/>
        <v>0</v>
      </c>
      <c r="AQ930" s="120">
        <f t="shared" si="2508"/>
        <v>0</v>
      </c>
      <c r="AR930" s="120">
        <f t="shared" si="2508"/>
        <v>0</v>
      </c>
      <c r="AS930" s="120">
        <f t="shared" si="2508"/>
        <v>0</v>
      </c>
      <c r="AT930" s="120">
        <f t="shared" si="2508"/>
        <v>0</v>
      </c>
      <c r="AU930" s="120">
        <f t="shared" si="2508"/>
        <v>0</v>
      </c>
      <c r="AV930" s="120">
        <f t="shared" si="2508"/>
        <v>0</v>
      </c>
      <c r="AW930" s="120">
        <f t="shared" si="2508"/>
        <v>0</v>
      </c>
      <c r="AX930" s="120">
        <f t="shared" si="2508"/>
        <v>0</v>
      </c>
      <c r="AY930" s="120">
        <f t="shared" si="2508"/>
        <v>0</v>
      </c>
      <c r="AZ930" s="120">
        <f t="shared" si="2508"/>
        <v>0</v>
      </c>
      <c r="BA930" s="120">
        <f t="shared" si="2508"/>
        <v>0</v>
      </c>
      <c r="BB930" s="120">
        <f t="shared" si="2508"/>
        <v>0</v>
      </c>
    </row>
    <row r="931" spans="1:54">
      <c r="A931" s="492">
        <v>553</v>
      </c>
      <c r="B931" s="58" t="s">
        <v>153</v>
      </c>
      <c r="C931" s="59"/>
      <c r="D931" s="59"/>
      <c r="E931" s="59"/>
      <c r="F931" s="59"/>
      <c r="G931" s="59"/>
      <c r="H931" s="279"/>
      <c r="I931" s="145"/>
      <c r="J931" s="103"/>
      <c r="K931" s="60"/>
      <c r="L931" s="60"/>
      <c r="M931" s="60"/>
      <c r="N931" s="60"/>
      <c r="O931" s="145"/>
      <c r="P931" s="103"/>
      <c r="Q931" s="126">
        <f t="shared" ref="Q931:BB931" si="2509">SUM(Q889,Q874,Q930)</f>
        <v>1174.8849999999998</v>
      </c>
      <c r="R931" s="126">
        <f t="shared" si="2509"/>
        <v>21294.277183063805</v>
      </c>
      <c r="S931" s="126">
        <f t="shared" si="2509"/>
        <v>297.697</v>
      </c>
      <c r="T931" s="126">
        <f t="shared" si="2509"/>
        <v>5472.8982435459993</v>
      </c>
      <c r="U931" s="126">
        <f t="shared" si="2509"/>
        <v>247.45699999999999</v>
      </c>
      <c r="V931" s="126">
        <f t="shared" si="2509"/>
        <v>4680.4923043099998</v>
      </c>
      <c r="W931" s="126">
        <f t="shared" si="2509"/>
        <v>333.2399999999999</v>
      </c>
      <c r="X931" s="126">
        <f t="shared" si="2509"/>
        <v>5555.8416182406008</v>
      </c>
      <c r="Y931" s="126">
        <f t="shared" si="2509"/>
        <v>878.39400000000001</v>
      </c>
      <c r="Z931" s="126">
        <f t="shared" si="2509"/>
        <v>15709.232166096597</v>
      </c>
      <c r="AA931" s="126">
        <f t="shared" si="2509"/>
        <v>296.49100000000004</v>
      </c>
      <c r="AB931" s="126">
        <f t="shared" si="2509"/>
        <v>5585.0450169672004</v>
      </c>
      <c r="AC931" s="126">
        <f t="shared" si="2509"/>
        <v>0</v>
      </c>
      <c r="AD931" s="126">
        <f t="shared" si="2509"/>
        <v>0</v>
      </c>
      <c r="AE931" s="126">
        <f t="shared" si="2509"/>
        <v>0</v>
      </c>
      <c r="AF931" s="126">
        <f t="shared" si="2509"/>
        <v>0</v>
      </c>
      <c r="AG931" s="126">
        <f t="shared" si="2509"/>
        <v>296.49100000000004</v>
      </c>
      <c r="AH931" s="126">
        <f t="shared" si="2509"/>
        <v>5585.0450169672004</v>
      </c>
      <c r="AI931" s="126">
        <f t="shared" si="2509"/>
        <v>1174.8849999999998</v>
      </c>
      <c r="AJ931" s="126">
        <f t="shared" si="2509"/>
        <v>21294.277183063805</v>
      </c>
      <c r="AK931" s="126">
        <f t="shared" si="2509"/>
        <v>0</v>
      </c>
      <c r="AL931" s="126">
        <f t="shared" si="2509"/>
        <v>0</v>
      </c>
      <c r="AM931" s="126">
        <f t="shared" si="2509"/>
        <v>0</v>
      </c>
      <c r="AN931" s="126">
        <f t="shared" si="2509"/>
        <v>0</v>
      </c>
      <c r="AO931" s="126">
        <f t="shared" si="2509"/>
        <v>0</v>
      </c>
      <c r="AP931" s="126">
        <f t="shared" si="2509"/>
        <v>0</v>
      </c>
      <c r="AQ931" s="126">
        <f t="shared" si="2509"/>
        <v>0</v>
      </c>
      <c r="AR931" s="126">
        <f t="shared" si="2509"/>
        <v>0</v>
      </c>
      <c r="AS931" s="126">
        <f t="shared" si="2509"/>
        <v>0</v>
      </c>
      <c r="AT931" s="126">
        <f t="shared" si="2509"/>
        <v>0</v>
      </c>
      <c r="AU931" s="126">
        <f t="shared" si="2509"/>
        <v>0</v>
      </c>
      <c r="AV931" s="126">
        <f t="shared" si="2509"/>
        <v>0</v>
      </c>
      <c r="AW931" s="126">
        <f t="shared" si="2509"/>
        <v>0</v>
      </c>
      <c r="AX931" s="126">
        <f t="shared" si="2509"/>
        <v>0</v>
      </c>
      <c r="AY931" s="126">
        <f t="shared" si="2509"/>
        <v>0</v>
      </c>
      <c r="AZ931" s="126">
        <f t="shared" si="2509"/>
        <v>0</v>
      </c>
      <c r="BA931" s="126">
        <f t="shared" si="2509"/>
        <v>0</v>
      </c>
      <c r="BB931" s="126">
        <f t="shared" si="2509"/>
        <v>0</v>
      </c>
    </row>
    <row r="932" spans="1:54" ht="12" customHeight="1">
      <c r="A932" s="492">
        <v>554</v>
      </c>
      <c r="B932" s="13" t="s">
        <v>859</v>
      </c>
      <c r="C932" s="13" t="s">
        <v>860</v>
      </c>
      <c r="D932" s="13" t="s">
        <v>861</v>
      </c>
      <c r="E932" s="31" t="s">
        <v>1030</v>
      </c>
      <c r="F932" s="32"/>
      <c r="G932" s="32" t="s">
        <v>1061</v>
      </c>
      <c r="H932" s="271" t="s">
        <v>862</v>
      </c>
      <c r="I932" s="61">
        <v>18.13</v>
      </c>
      <c r="J932" s="163"/>
      <c r="K932" s="61">
        <v>18.13</v>
      </c>
      <c r="L932" s="163"/>
      <c r="M932" s="61"/>
      <c r="N932" s="163"/>
      <c r="O932" s="61"/>
      <c r="P932" s="163"/>
      <c r="Q932" s="121">
        <f t="shared" ref="Q932:Q949" si="2510">SUM(AI932+BA932)</f>
        <v>0</v>
      </c>
      <c r="R932" s="341">
        <f t="shared" ref="R932:R949" si="2511">SUM(AJ932+BB932)</f>
        <v>0</v>
      </c>
      <c r="S932" s="121"/>
      <c r="T932" s="121">
        <f t="shared" ref="T932:T937" si="2512">I932*S932*$T$2/1000</f>
        <v>0</v>
      </c>
      <c r="U932" s="121"/>
      <c r="V932" s="179">
        <f t="shared" ref="V932:V937" si="2513">I932*U932*$V$2/1000</f>
        <v>0</v>
      </c>
      <c r="W932" s="211"/>
      <c r="X932" s="212">
        <f t="shared" ref="X932:X937" si="2514">I932*W932*$X$2/1000</f>
        <v>0</v>
      </c>
      <c r="Y932" s="190">
        <f t="shared" ref="Y932:Y949" si="2515">SUM(S932+U932+W932)</f>
        <v>0</v>
      </c>
      <c r="Z932" s="179">
        <f t="shared" ref="Z932:Z949" si="2516">SUM(T932+V932+X932)</f>
        <v>0</v>
      </c>
      <c r="AA932" s="211"/>
      <c r="AB932" s="434">
        <f t="shared" ref="AB932:AB937" si="2517">K932*AA932*$AB$2/1000</f>
        <v>0</v>
      </c>
      <c r="AC932" s="211"/>
      <c r="AD932" s="179">
        <f t="shared" ref="AD932:AD937" si="2518">K932*AC932*$AD$2/1000</f>
        <v>0</v>
      </c>
      <c r="AE932" s="211"/>
      <c r="AF932" s="212">
        <f t="shared" ref="AF932:AF937" si="2519">K932*AE932*$AF$2/1000</f>
        <v>0</v>
      </c>
      <c r="AG932" s="190">
        <f t="shared" ref="AG932:AG949" si="2520">SUM(AA932+AC932+AE932)</f>
        <v>0</v>
      </c>
      <c r="AH932" s="179">
        <f t="shared" ref="AH932:AH949" si="2521">SUM(AB932+AD932+AF932)</f>
        <v>0</v>
      </c>
      <c r="AI932" s="121">
        <f t="shared" ref="AI932:AI949" si="2522">SUM(Y932+AG932)</f>
        <v>0</v>
      </c>
      <c r="AJ932" s="121">
        <f t="shared" ref="AJ932:AJ949" si="2523">SUM(Z932,AH932)</f>
        <v>0</v>
      </c>
      <c r="AK932" s="190"/>
      <c r="AL932" s="179">
        <f t="shared" ref="AL932:AL937" si="2524">M932*AK932*$AL$2/1000</f>
        <v>0</v>
      </c>
      <c r="AM932" s="246"/>
      <c r="AN932" s="179">
        <f t="shared" ref="AN932:AN937" si="2525">M932*AM932*$AN$2/1000</f>
        <v>0</v>
      </c>
      <c r="AO932" s="211"/>
      <c r="AP932" s="212">
        <f t="shared" ref="AP932:AP937" si="2526">M932*AO932*$AP$2/1000</f>
        <v>0</v>
      </c>
      <c r="AQ932" s="190">
        <f t="shared" ref="AQ932:AQ949" si="2527">SUM(AK932+AM932+AO932)</f>
        <v>0</v>
      </c>
      <c r="AR932" s="121">
        <f t="shared" ref="AR932:AR949" si="2528">SUM(AL932+AN932+AP932)</f>
        <v>0</v>
      </c>
      <c r="AS932" s="121"/>
      <c r="AT932" s="179">
        <f t="shared" ref="AT932:AT937" si="2529">O932*AS932*$AT$2/1000</f>
        <v>0</v>
      </c>
      <c r="AU932" s="211"/>
      <c r="AV932" s="179">
        <f t="shared" ref="AV932:AV937" si="2530">O932*AU932*$AV$2/1000</f>
        <v>0</v>
      </c>
      <c r="AW932" s="211"/>
      <c r="AX932" s="212">
        <f t="shared" ref="AX932:AX937" si="2531">O932*AW932*$AX$2/1000</f>
        <v>0</v>
      </c>
      <c r="AY932" s="190">
        <f t="shared" ref="AY932:AY949" si="2532">SUM(AS932+AU932+AW932)</f>
        <v>0</v>
      </c>
      <c r="AZ932" s="121">
        <f t="shared" ref="AZ932:AZ949" si="2533">SUM(AT932+AV932+AX932)</f>
        <v>0</v>
      </c>
      <c r="BA932" s="121">
        <f t="shared" ref="BA932:BA949" si="2534">SUM(AQ932+AY932)</f>
        <v>0</v>
      </c>
      <c r="BB932" s="121">
        <f t="shared" ref="BB932:BB949" si="2535">SUM(AR932,AZ932)</f>
        <v>0</v>
      </c>
    </row>
    <row r="933" spans="1:54" ht="12" customHeight="1">
      <c r="A933" s="492">
        <v>555</v>
      </c>
      <c r="B933" s="13"/>
      <c r="C933" s="13"/>
      <c r="D933" s="13"/>
      <c r="E933" s="21" t="s">
        <v>1031</v>
      </c>
      <c r="F933" s="22"/>
      <c r="G933" s="22" t="s">
        <v>1061</v>
      </c>
      <c r="H933" s="265" t="s">
        <v>862</v>
      </c>
      <c r="I933" s="54">
        <v>18.13</v>
      </c>
      <c r="J933" s="162"/>
      <c r="K933" s="54">
        <v>18.13</v>
      </c>
      <c r="L933" s="162"/>
      <c r="M933" s="54"/>
      <c r="N933" s="162"/>
      <c r="O933" s="54"/>
      <c r="P933" s="162"/>
      <c r="Q933" s="96">
        <f t="shared" si="2510"/>
        <v>0</v>
      </c>
      <c r="R933" s="337">
        <f t="shared" si="2511"/>
        <v>0</v>
      </c>
      <c r="S933" s="96"/>
      <c r="T933" s="96">
        <f t="shared" si="2512"/>
        <v>0</v>
      </c>
      <c r="U933" s="96"/>
      <c r="V933" s="176">
        <f t="shared" si="2513"/>
        <v>0</v>
      </c>
      <c r="W933" s="206"/>
      <c r="X933" s="205">
        <f t="shared" si="2514"/>
        <v>0</v>
      </c>
      <c r="Y933" s="188">
        <f t="shared" si="2515"/>
        <v>0</v>
      </c>
      <c r="Z933" s="176">
        <f t="shared" si="2516"/>
        <v>0</v>
      </c>
      <c r="AA933" s="206"/>
      <c r="AB933" s="456">
        <f t="shared" si="2517"/>
        <v>0</v>
      </c>
      <c r="AC933" s="206"/>
      <c r="AD933" s="176">
        <f t="shared" si="2518"/>
        <v>0</v>
      </c>
      <c r="AE933" s="206"/>
      <c r="AF933" s="205">
        <f t="shared" si="2519"/>
        <v>0</v>
      </c>
      <c r="AG933" s="188">
        <f t="shared" si="2520"/>
        <v>0</v>
      </c>
      <c r="AH933" s="176">
        <f t="shared" si="2521"/>
        <v>0</v>
      </c>
      <c r="AI933" s="96">
        <f t="shared" si="2522"/>
        <v>0</v>
      </c>
      <c r="AJ933" s="96">
        <f t="shared" si="2523"/>
        <v>0</v>
      </c>
      <c r="AK933" s="188"/>
      <c r="AL933" s="176">
        <f t="shared" si="2524"/>
        <v>0</v>
      </c>
      <c r="AM933" s="243"/>
      <c r="AN933" s="176">
        <f t="shared" si="2525"/>
        <v>0</v>
      </c>
      <c r="AO933" s="206"/>
      <c r="AP933" s="205">
        <f t="shared" si="2526"/>
        <v>0</v>
      </c>
      <c r="AQ933" s="188">
        <f t="shared" si="2527"/>
        <v>0</v>
      </c>
      <c r="AR933" s="96">
        <f t="shared" si="2528"/>
        <v>0</v>
      </c>
      <c r="AS933" s="96"/>
      <c r="AT933" s="176">
        <f t="shared" si="2529"/>
        <v>0</v>
      </c>
      <c r="AU933" s="206"/>
      <c r="AV933" s="176">
        <f t="shared" si="2530"/>
        <v>0</v>
      </c>
      <c r="AW933" s="206"/>
      <c r="AX933" s="205">
        <f t="shared" si="2531"/>
        <v>0</v>
      </c>
      <c r="AY933" s="188">
        <f t="shared" si="2532"/>
        <v>0</v>
      </c>
      <c r="AZ933" s="96">
        <f t="shared" si="2533"/>
        <v>0</v>
      </c>
      <c r="BA933" s="96">
        <f t="shared" si="2534"/>
        <v>0</v>
      </c>
      <c r="BB933" s="96">
        <f t="shared" si="2535"/>
        <v>0</v>
      </c>
    </row>
    <row r="934" spans="1:54" ht="12" customHeight="1">
      <c r="A934" s="492">
        <v>556</v>
      </c>
      <c r="B934" s="13"/>
      <c r="C934" s="13"/>
      <c r="D934" s="13"/>
      <c r="E934" s="21" t="s">
        <v>1032</v>
      </c>
      <c r="F934" s="22"/>
      <c r="G934" s="22" t="s">
        <v>1057</v>
      </c>
      <c r="H934" s="265" t="s">
        <v>862</v>
      </c>
      <c r="I934" s="54">
        <v>16.100000000000001</v>
      </c>
      <c r="J934" s="162"/>
      <c r="K934" s="54">
        <v>16.100000000000001</v>
      </c>
      <c r="L934" s="162"/>
      <c r="M934" s="54"/>
      <c r="N934" s="162"/>
      <c r="O934" s="54"/>
      <c r="P934" s="162"/>
      <c r="Q934" s="96">
        <f t="shared" si="2510"/>
        <v>0</v>
      </c>
      <c r="R934" s="337">
        <f t="shared" si="2511"/>
        <v>0</v>
      </c>
      <c r="S934" s="96"/>
      <c r="T934" s="96">
        <f t="shared" si="2512"/>
        <v>0</v>
      </c>
      <c r="U934" s="96"/>
      <c r="V934" s="176">
        <f t="shared" si="2513"/>
        <v>0</v>
      </c>
      <c r="W934" s="206"/>
      <c r="X934" s="205">
        <f t="shared" si="2514"/>
        <v>0</v>
      </c>
      <c r="Y934" s="188">
        <f t="shared" si="2515"/>
        <v>0</v>
      </c>
      <c r="Z934" s="176">
        <f t="shared" si="2516"/>
        <v>0</v>
      </c>
      <c r="AA934" s="206"/>
      <c r="AB934" s="456">
        <f t="shared" si="2517"/>
        <v>0</v>
      </c>
      <c r="AC934" s="206"/>
      <c r="AD934" s="176">
        <f t="shared" si="2518"/>
        <v>0</v>
      </c>
      <c r="AE934" s="206"/>
      <c r="AF934" s="205">
        <f t="shared" si="2519"/>
        <v>0</v>
      </c>
      <c r="AG934" s="188">
        <f t="shared" si="2520"/>
        <v>0</v>
      </c>
      <c r="AH934" s="176">
        <f t="shared" si="2521"/>
        <v>0</v>
      </c>
      <c r="AI934" s="96">
        <f t="shared" si="2522"/>
        <v>0</v>
      </c>
      <c r="AJ934" s="96">
        <f t="shared" si="2523"/>
        <v>0</v>
      </c>
      <c r="AK934" s="188"/>
      <c r="AL934" s="176">
        <f t="shared" si="2524"/>
        <v>0</v>
      </c>
      <c r="AM934" s="243"/>
      <c r="AN934" s="176">
        <f t="shared" si="2525"/>
        <v>0</v>
      </c>
      <c r="AO934" s="206"/>
      <c r="AP934" s="205">
        <f t="shared" si="2526"/>
        <v>0</v>
      </c>
      <c r="AQ934" s="188">
        <f t="shared" si="2527"/>
        <v>0</v>
      </c>
      <c r="AR934" s="96">
        <f t="shared" si="2528"/>
        <v>0</v>
      </c>
      <c r="AS934" s="96"/>
      <c r="AT934" s="176">
        <f t="shared" si="2529"/>
        <v>0</v>
      </c>
      <c r="AU934" s="206"/>
      <c r="AV934" s="176">
        <f t="shared" si="2530"/>
        <v>0</v>
      </c>
      <c r="AW934" s="206"/>
      <c r="AX934" s="205">
        <f t="shared" si="2531"/>
        <v>0</v>
      </c>
      <c r="AY934" s="188">
        <f t="shared" si="2532"/>
        <v>0</v>
      </c>
      <c r="AZ934" s="96">
        <f t="shared" si="2533"/>
        <v>0</v>
      </c>
      <c r="BA934" s="96">
        <f t="shared" si="2534"/>
        <v>0</v>
      </c>
      <c r="BB934" s="96">
        <f t="shared" si="2535"/>
        <v>0</v>
      </c>
    </row>
    <row r="935" spans="1:54" ht="12" customHeight="1">
      <c r="A935" s="492">
        <v>555</v>
      </c>
      <c r="B935" s="13"/>
      <c r="C935" s="13"/>
      <c r="D935" s="13"/>
      <c r="E935" s="21" t="s">
        <v>1426</v>
      </c>
      <c r="F935" s="22"/>
      <c r="G935" s="22" t="s">
        <v>1060</v>
      </c>
      <c r="H935" s="265" t="s">
        <v>862</v>
      </c>
      <c r="I935" s="54">
        <v>11.3004</v>
      </c>
      <c r="J935" s="162"/>
      <c r="K935" s="54">
        <v>11.3004</v>
      </c>
      <c r="L935" s="162"/>
      <c r="M935" s="54"/>
      <c r="N935" s="162"/>
      <c r="O935" s="54"/>
      <c r="P935" s="162"/>
      <c r="Q935" s="96">
        <f t="shared" si="2510"/>
        <v>0</v>
      </c>
      <c r="R935" s="337">
        <f t="shared" si="2511"/>
        <v>0</v>
      </c>
      <c r="S935" s="96"/>
      <c r="T935" s="96">
        <f t="shared" si="2512"/>
        <v>0</v>
      </c>
      <c r="U935" s="96"/>
      <c r="V935" s="176">
        <f t="shared" si="2513"/>
        <v>0</v>
      </c>
      <c r="W935" s="206"/>
      <c r="X935" s="205">
        <f t="shared" si="2514"/>
        <v>0</v>
      </c>
      <c r="Y935" s="188">
        <f t="shared" si="2515"/>
        <v>0</v>
      </c>
      <c r="Z935" s="176">
        <f t="shared" si="2516"/>
        <v>0</v>
      </c>
      <c r="AA935" s="206"/>
      <c r="AB935" s="456">
        <f t="shared" si="2517"/>
        <v>0</v>
      </c>
      <c r="AC935" s="206"/>
      <c r="AD935" s="176">
        <f t="shared" si="2518"/>
        <v>0</v>
      </c>
      <c r="AE935" s="206"/>
      <c r="AF935" s="205">
        <f t="shared" si="2519"/>
        <v>0</v>
      </c>
      <c r="AG935" s="188">
        <f t="shared" si="2520"/>
        <v>0</v>
      </c>
      <c r="AH935" s="176">
        <f t="shared" si="2521"/>
        <v>0</v>
      </c>
      <c r="AI935" s="96">
        <f t="shared" si="2522"/>
        <v>0</v>
      </c>
      <c r="AJ935" s="96">
        <f t="shared" si="2523"/>
        <v>0</v>
      </c>
      <c r="AK935" s="188"/>
      <c r="AL935" s="176">
        <f t="shared" si="2524"/>
        <v>0</v>
      </c>
      <c r="AM935" s="243"/>
      <c r="AN935" s="176">
        <f t="shared" si="2525"/>
        <v>0</v>
      </c>
      <c r="AO935" s="206"/>
      <c r="AP935" s="205">
        <f t="shared" si="2526"/>
        <v>0</v>
      </c>
      <c r="AQ935" s="188">
        <f t="shared" si="2527"/>
        <v>0</v>
      </c>
      <c r="AR935" s="96">
        <f t="shared" si="2528"/>
        <v>0</v>
      </c>
      <c r="AS935" s="96"/>
      <c r="AT935" s="176">
        <f t="shared" si="2529"/>
        <v>0</v>
      </c>
      <c r="AU935" s="206"/>
      <c r="AV935" s="176">
        <f t="shared" si="2530"/>
        <v>0</v>
      </c>
      <c r="AW935" s="206"/>
      <c r="AX935" s="205">
        <f t="shared" si="2531"/>
        <v>0</v>
      </c>
      <c r="AY935" s="188">
        <f t="shared" si="2532"/>
        <v>0</v>
      </c>
      <c r="AZ935" s="96">
        <f t="shared" si="2533"/>
        <v>0</v>
      </c>
      <c r="BA935" s="96">
        <f t="shared" si="2534"/>
        <v>0</v>
      </c>
      <c r="BB935" s="96">
        <f t="shared" si="2535"/>
        <v>0</v>
      </c>
    </row>
    <row r="936" spans="1:54" ht="12" customHeight="1">
      <c r="A936" s="492">
        <v>555</v>
      </c>
      <c r="B936" s="13"/>
      <c r="C936" s="13"/>
      <c r="D936" s="13"/>
      <c r="E936" s="21" t="s">
        <v>1467</v>
      </c>
      <c r="F936" s="22"/>
      <c r="G936" s="22" t="s">
        <v>1060</v>
      </c>
      <c r="H936" s="265" t="s">
        <v>862</v>
      </c>
      <c r="I936" s="54">
        <v>14.73</v>
      </c>
      <c r="J936" s="162"/>
      <c r="K936" s="54">
        <v>14.73</v>
      </c>
      <c r="L936" s="162"/>
      <c r="M936" s="54"/>
      <c r="N936" s="162"/>
      <c r="O936" s="54"/>
      <c r="P936" s="162"/>
      <c r="Q936" s="96">
        <f>SUM(AI936+BA936)</f>
        <v>0</v>
      </c>
      <c r="R936" s="337">
        <f>SUM(AJ936+BB936)</f>
        <v>0</v>
      </c>
      <c r="S936" s="96"/>
      <c r="T936" s="96">
        <f t="shared" si="2512"/>
        <v>0</v>
      </c>
      <c r="U936" s="96"/>
      <c r="V936" s="176">
        <f t="shared" si="2513"/>
        <v>0</v>
      </c>
      <c r="W936" s="206"/>
      <c r="X936" s="205">
        <f t="shared" si="2514"/>
        <v>0</v>
      </c>
      <c r="Y936" s="188">
        <f>SUM(S936+U936+W936)</f>
        <v>0</v>
      </c>
      <c r="Z936" s="176">
        <f t="shared" ref="Z936" si="2536">SUM(T936+V936+X936)</f>
        <v>0</v>
      </c>
      <c r="AA936" s="206"/>
      <c r="AB936" s="456">
        <f t="shared" si="2517"/>
        <v>0</v>
      </c>
      <c r="AC936" s="206"/>
      <c r="AD936" s="176">
        <f t="shared" si="2518"/>
        <v>0</v>
      </c>
      <c r="AE936" s="206"/>
      <c r="AF936" s="205">
        <f t="shared" si="2519"/>
        <v>0</v>
      </c>
      <c r="AG936" s="188">
        <f>SUM(AA936+AC936+AE936)</f>
        <v>0</v>
      </c>
      <c r="AH936" s="176">
        <f t="shared" ref="AH936" si="2537">SUM(AB936+AD936+AF936)</f>
        <v>0</v>
      </c>
      <c r="AI936" s="96">
        <f t="shared" ref="AI936" si="2538">SUM(Y936+AG936)</f>
        <v>0</v>
      </c>
      <c r="AJ936" s="96">
        <f t="shared" ref="AJ936" si="2539">SUM(Z936,AH936)</f>
        <v>0</v>
      </c>
      <c r="AK936" s="188"/>
      <c r="AL936" s="176">
        <f t="shared" si="2524"/>
        <v>0</v>
      </c>
      <c r="AM936" s="243"/>
      <c r="AN936" s="176">
        <f t="shared" si="2525"/>
        <v>0</v>
      </c>
      <c r="AO936" s="206"/>
      <c r="AP936" s="205">
        <f t="shared" si="2526"/>
        <v>0</v>
      </c>
      <c r="AQ936" s="188">
        <f>SUM(AK936+AM936+AO936)</f>
        <v>0</v>
      </c>
      <c r="AR936" s="96">
        <f t="shared" ref="AR936" si="2540">SUM(AL936+AN936+AP936)</f>
        <v>0</v>
      </c>
      <c r="AS936" s="96"/>
      <c r="AT936" s="176">
        <f t="shared" si="2529"/>
        <v>0</v>
      </c>
      <c r="AU936" s="206"/>
      <c r="AV936" s="176">
        <f t="shared" si="2530"/>
        <v>0</v>
      </c>
      <c r="AW936" s="206"/>
      <c r="AX936" s="205">
        <f t="shared" si="2531"/>
        <v>0</v>
      </c>
      <c r="AY936" s="188">
        <f>SUM(AS936+AU936+AW936)</f>
        <v>0</v>
      </c>
      <c r="AZ936" s="96">
        <f t="shared" ref="AZ936" si="2541">SUM(AT936+AV936+AX936)</f>
        <v>0</v>
      </c>
      <c r="BA936" s="96">
        <f t="shared" ref="BA936" si="2542">SUM(AQ936+AY936)</f>
        <v>0</v>
      </c>
      <c r="BB936" s="96">
        <f t="shared" ref="BB936" si="2543">SUM(AR936,AZ936)</f>
        <v>0</v>
      </c>
    </row>
    <row r="937" spans="1:54" ht="12" customHeight="1">
      <c r="A937" s="492">
        <v>555</v>
      </c>
      <c r="B937" s="13"/>
      <c r="C937" s="13"/>
      <c r="D937" s="13"/>
      <c r="E937" s="21" t="s">
        <v>2287</v>
      </c>
      <c r="F937" s="22"/>
      <c r="G937" s="22" t="s">
        <v>1060</v>
      </c>
      <c r="H937" s="265" t="s">
        <v>862</v>
      </c>
      <c r="I937" s="553">
        <v>2.6539999999999999</v>
      </c>
      <c r="J937" s="162"/>
      <c r="K937" s="553">
        <v>2.6539999999999999</v>
      </c>
      <c r="L937" s="162"/>
      <c r="M937" s="553"/>
      <c r="N937" s="162"/>
      <c r="O937" s="553"/>
      <c r="P937" s="162"/>
      <c r="Q937" s="96">
        <f t="shared" si="2510"/>
        <v>0</v>
      </c>
      <c r="R937" s="337">
        <f t="shared" si="2511"/>
        <v>0</v>
      </c>
      <c r="S937" s="96"/>
      <c r="T937" s="96">
        <f t="shared" si="2512"/>
        <v>0</v>
      </c>
      <c r="U937" s="96"/>
      <c r="V937" s="176">
        <f t="shared" si="2513"/>
        <v>0</v>
      </c>
      <c r="W937" s="206"/>
      <c r="X937" s="205">
        <f t="shared" si="2514"/>
        <v>0</v>
      </c>
      <c r="Y937" s="188">
        <f t="shared" si="2515"/>
        <v>0</v>
      </c>
      <c r="Z937" s="176">
        <f t="shared" si="2516"/>
        <v>0</v>
      </c>
      <c r="AA937" s="206"/>
      <c r="AB937" s="456">
        <f t="shared" si="2517"/>
        <v>0</v>
      </c>
      <c r="AC937" s="206"/>
      <c r="AD937" s="176">
        <f t="shared" si="2518"/>
        <v>0</v>
      </c>
      <c r="AE937" s="206"/>
      <c r="AF937" s="205">
        <f t="shared" si="2519"/>
        <v>0</v>
      </c>
      <c r="AG937" s="188">
        <f t="shared" si="2520"/>
        <v>0</v>
      </c>
      <c r="AH937" s="176">
        <f t="shared" si="2521"/>
        <v>0</v>
      </c>
      <c r="AI937" s="96">
        <f t="shared" si="2522"/>
        <v>0</v>
      </c>
      <c r="AJ937" s="96">
        <f t="shared" si="2523"/>
        <v>0</v>
      </c>
      <c r="AK937" s="188"/>
      <c r="AL937" s="176">
        <f t="shared" si="2524"/>
        <v>0</v>
      </c>
      <c r="AM937" s="243"/>
      <c r="AN937" s="176">
        <f t="shared" si="2525"/>
        <v>0</v>
      </c>
      <c r="AO937" s="206"/>
      <c r="AP937" s="205">
        <f t="shared" si="2526"/>
        <v>0</v>
      </c>
      <c r="AQ937" s="188">
        <f t="shared" si="2527"/>
        <v>0</v>
      </c>
      <c r="AR937" s="96">
        <f t="shared" si="2528"/>
        <v>0</v>
      </c>
      <c r="AS937" s="96"/>
      <c r="AT937" s="176">
        <f t="shared" si="2529"/>
        <v>0</v>
      </c>
      <c r="AU937" s="206"/>
      <c r="AV937" s="176">
        <f t="shared" si="2530"/>
        <v>0</v>
      </c>
      <c r="AW937" s="206"/>
      <c r="AX937" s="205">
        <f t="shared" si="2531"/>
        <v>0</v>
      </c>
      <c r="AY937" s="188">
        <f t="shared" si="2532"/>
        <v>0</v>
      </c>
      <c r="AZ937" s="96">
        <f t="shared" si="2533"/>
        <v>0</v>
      </c>
      <c r="BA937" s="96">
        <f t="shared" si="2534"/>
        <v>0</v>
      </c>
      <c r="BB937" s="96">
        <f t="shared" si="2535"/>
        <v>0</v>
      </c>
    </row>
    <row r="938" spans="1:54">
      <c r="B938" s="13"/>
      <c r="C938" s="13"/>
      <c r="D938" s="13"/>
      <c r="E938" s="21" t="s">
        <v>1270</v>
      </c>
      <c r="F938" s="45"/>
      <c r="G938" s="45" t="s">
        <v>1056</v>
      </c>
      <c r="H938" s="265" t="s">
        <v>361</v>
      </c>
      <c r="I938" s="54"/>
      <c r="J938" s="162">
        <v>3801</v>
      </c>
      <c r="K938" s="54"/>
      <c r="L938" s="162">
        <v>3801</v>
      </c>
      <c r="M938" s="54"/>
      <c r="N938" s="162"/>
      <c r="O938" s="54"/>
      <c r="P938" s="162"/>
      <c r="Q938" s="96">
        <f t="shared" si="2510"/>
        <v>0</v>
      </c>
      <c r="R938" s="337">
        <f t="shared" si="2511"/>
        <v>0</v>
      </c>
      <c r="S938" s="96"/>
      <c r="T938" s="96">
        <f t="shared" ref="T938:T949" si="2544">J938*S938/1000</f>
        <v>0</v>
      </c>
      <c r="U938" s="96"/>
      <c r="V938" s="96">
        <f t="shared" ref="V938:V949" si="2545">J938*U938/1000</f>
        <v>0</v>
      </c>
      <c r="W938" s="96"/>
      <c r="X938" s="96">
        <f t="shared" ref="X938:X949" si="2546">J938*W938/1000</f>
        <v>0</v>
      </c>
      <c r="Y938" s="96">
        <f t="shared" si="2515"/>
        <v>0</v>
      </c>
      <c r="Z938" s="96">
        <f t="shared" si="2516"/>
        <v>0</v>
      </c>
      <c r="AA938" s="96"/>
      <c r="AB938" s="96">
        <f t="shared" ref="AB938:AB949" si="2547">L938*AA938/1000</f>
        <v>0</v>
      </c>
      <c r="AC938" s="96"/>
      <c r="AD938" s="96">
        <f t="shared" ref="AD938:AD949" si="2548">L938*AC938/1000</f>
        <v>0</v>
      </c>
      <c r="AE938" s="96"/>
      <c r="AF938" s="96">
        <f t="shared" ref="AF938:AF949" si="2549">L938*AE938/1000</f>
        <v>0</v>
      </c>
      <c r="AG938" s="96">
        <f t="shared" si="2520"/>
        <v>0</v>
      </c>
      <c r="AH938" s="96">
        <f t="shared" si="2521"/>
        <v>0</v>
      </c>
      <c r="AI938" s="96">
        <f t="shared" si="2522"/>
        <v>0</v>
      </c>
      <c r="AJ938" s="96">
        <f t="shared" si="2523"/>
        <v>0</v>
      </c>
      <c r="AK938" s="96"/>
      <c r="AL938" s="96">
        <f t="shared" ref="AL938:AL949" si="2550">N938*AK938/1000</f>
        <v>0</v>
      </c>
      <c r="AM938" s="96"/>
      <c r="AN938" s="96">
        <f t="shared" ref="AN938:AN949" si="2551">N938*AM938/1000</f>
        <v>0</v>
      </c>
      <c r="AO938" s="96"/>
      <c r="AP938" s="96">
        <f t="shared" ref="AP938:AP949" si="2552">N938*AO938/1000</f>
        <v>0</v>
      </c>
      <c r="AQ938" s="96">
        <f t="shared" si="2527"/>
        <v>0</v>
      </c>
      <c r="AR938" s="96">
        <f t="shared" si="2528"/>
        <v>0</v>
      </c>
      <c r="AS938" s="96"/>
      <c r="AT938" s="96">
        <f t="shared" ref="AT938:AT949" si="2553">P938*AS938/1000</f>
        <v>0</v>
      </c>
      <c r="AU938" s="96"/>
      <c r="AV938" s="96">
        <f t="shared" ref="AV938:AV949" si="2554">P938*AU938/1000</f>
        <v>0</v>
      </c>
      <c r="AW938" s="96"/>
      <c r="AX938" s="96">
        <f t="shared" ref="AX938:AX949" si="2555">P938*AW938/1000</f>
        <v>0</v>
      </c>
      <c r="AY938" s="96">
        <f t="shared" si="2532"/>
        <v>0</v>
      </c>
      <c r="AZ938" s="96">
        <f t="shared" si="2533"/>
        <v>0</v>
      </c>
      <c r="BA938" s="96">
        <f t="shared" si="2534"/>
        <v>0</v>
      </c>
      <c r="BB938" s="96">
        <f t="shared" si="2535"/>
        <v>0</v>
      </c>
    </row>
    <row r="939" spans="1:54">
      <c r="B939" s="13"/>
      <c r="C939" s="13"/>
      <c r="D939" s="13"/>
      <c r="E939" s="21" t="s">
        <v>1689</v>
      </c>
      <c r="F939" s="45"/>
      <c r="G939" s="45" t="s">
        <v>1056</v>
      </c>
      <c r="H939" s="265" t="s">
        <v>361</v>
      </c>
      <c r="I939" s="54"/>
      <c r="J939" s="162">
        <v>3768</v>
      </c>
      <c r="K939" s="54"/>
      <c r="L939" s="162">
        <v>3768</v>
      </c>
      <c r="M939" s="54"/>
      <c r="N939" s="162"/>
      <c r="O939" s="54"/>
      <c r="P939" s="162"/>
      <c r="Q939" s="96">
        <f t="shared" si="2510"/>
        <v>0.36</v>
      </c>
      <c r="R939" s="337">
        <f t="shared" si="2511"/>
        <v>1.3564799999999999</v>
      </c>
      <c r="S939" s="96"/>
      <c r="T939" s="96">
        <f t="shared" si="2544"/>
        <v>0</v>
      </c>
      <c r="U939" s="96"/>
      <c r="V939" s="96">
        <f t="shared" si="2545"/>
        <v>0</v>
      </c>
      <c r="W939" s="96"/>
      <c r="X939" s="96">
        <f t="shared" si="2546"/>
        <v>0</v>
      </c>
      <c r="Y939" s="96">
        <f t="shared" si="2515"/>
        <v>0</v>
      </c>
      <c r="Z939" s="96">
        <f t="shared" si="2516"/>
        <v>0</v>
      </c>
      <c r="AA939" s="96">
        <v>0.36</v>
      </c>
      <c r="AB939" s="96">
        <f t="shared" si="2547"/>
        <v>1.3564799999999999</v>
      </c>
      <c r="AC939" s="96"/>
      <c r="AD939" s="96">
        <f t="shared" si="2548"/>
        <v>0</v>
      </c>
      <c r="AE939" s="96"/>
      <c r="AF939" s="96">
        <f t="shared" si="2549"/>
        <v>0</v>
      </c>
      <c r="AG939" s="96">
        <f t="shared" si="2520"/>
        <v>0.36</v>
      </c>
      <c r="AH939" s="96">
        <f t="shared" si="2521"/>
        <v>1.3564799999999999</v>
      </c>
      <c r="AI939" s="96">
        <f t="shared" si="2522"/>
        <v>0.36</v>
      </c>
      <c r="AJ939" s="96">
        <f t="shared" si="2523"/>
        <v>1.3564799999999999</v>
      </c>
      <c r="AK939" s="96"/>
      <c r="AL939" s="96">
        <f t="shared" si="2550"/>
        <v>0</v>
      </c>
      <c r="AM939" s="96"/>
      <c r="AN939" s="96">
        <f t="shared" si="2551"/>
        <v>0</v>
      </c>
      <c r="AO939" s="96"/>
      <c r="AP939" s="96">
        <f t="shared" si="2552"/>
        <v>0</v>
      </c>
      <c r="AQ939" s="96">
        <f t="shared" si="2527"/>
        <v>0</v>
      </c>
      <c r="AR939" s="96">
        <f t="shared" si="2528"/>
        <v>0</v>
      </c>
      <c r="AS939" s="96"/>
      <c r="AT939" s="96">
        <f t="shared" si="2553"/>
        <v>0</v>
      </c>
      <c r="AU939" s="96"/>
      <c r="AV939" s="96">
        <f t="shared" si="2554"/>
        <v>0</v>
      </c>
      <c r="AW939" s="96"/>
      <c r="AX939" s="96">
        <f t="shared" si="2555"/>
        <v>0</v>
      </c>
      <c r="AY939" s="96">
        <f t="shared" si="2532"/>
        <v>0</v>
      </c>
      <c r="AZ939" s="96">
        <f t="shared" si="2533"/>
        <v>0</v>
      </c>
      <c r="BA939" s="96">
        <f t="shared" si="2534"/>
        <v>0</v>
      </c>
      <c r="BB939" s="96">
        <f t="shared" si="2535"/>
        <v>0</v>
      </c>
    </row>
    <row r="940" spans="1:54">
      <c r="B940" s="13"/>
      <c r="C940" s="13"/>
      <c r="D940" s="13"/>
      <c r="E940" s="21" t="s">
        <v>2062</v>
      </c>
      <c r="F940" s="45"/>
      <c r="G940" s="45" t="s">
        <v>1056</v>
      </c>
      <c r="H940" s="265" t="s">
        <v>361</v>
      </c>
      <c r="I940" s="54"/>
      <c r="J940" s="162">
        <v>5419</v>
      </c>
      <c r="K940" s="54"/>
      <c r="L940" s="162">
        <v>5419</v>
      </c>
      <c r="M940" s="54"/>
      <c r="N940" s="162"/>
      <c r="O940" s="54"/>
      <c r="P940" s="162"/>
      <c r="Q940" s="96">
        <f t="shared" si="2510"/>
        <v>0</v>
      </c>
      <c r="R940" s="337">
        <f t="shared" si="2511"/>
        <v>0</v>
      </c>
      <c r="S940" s="96"/>
      <c r="T940" s="96">
        <f t="shared" si="2544"/>
        <v>0</v>
      </c>
      <c r="U940" s="96"/>
      <c r="V940" s="96">
        <f t="shared" si="2545"/>
        <v>0</v>
      </c>
      <c r="W940" s="96"/>
      <c r="X940" s="96">
        <f t="shared" si="2546"/>
        <v>0</v>
      </c>
      <c r="Y940" s="96">
        <f t="shared" si="2515"/>
        <v>0</v>
      </c>
      <c r="Z940" s="96">
        <f t="shared" si="2516"/>
        <v>0</v>
      </c>
      <c r="AA940" s="96"/>
      <c r="AB940" s="96">
        <f t="shared" si="2547"/>
        <v>0</v>
      </c>
      <c r="AC940" s="96"/>
      <c r="AD940" s="96">
        <f t="shared" si="2548"/>
        <v>0</v>
      </c>
      <c r="AE940" s="96"/>
      <c r="AF940" s="96">
        <f t="shared" si="2549"/>
        <v>0</v>
      </c>
      <c r="AG940" s="96">
        <f t="shared" si="2520"/>
        <v>0</v>
      </c>
      <c r="AH940" s="96">
        <f t="shared" si="2521"/>
        <v>0</v>
      </c>
      <c r="AI940" s="96">
        <f t="shared" si="2522"/>
        <v>0</v>
      </c>
      <c r="AJ940" s="96">
        <f t="shared" si="2523"/>
        <v>0</v>
      </c>
      <c r="AK940" s="96"/>
      <c r="AL940" s="96">
        <f t="shared" si="2550"/>
        <v>0</v>
      </c>
      <c r="AM940" s="96"/>
      <c r="AN940" s="96">
        <f t="shared" si="2551"/>
        <v>0</v>
      </c>
      <c r="AO940" s="96"/>
      <c r="AP940" s="96">
        <f t="shared" si="2552"/>
        <v>0</v>
      </c>
      <c r="AQ940" s="96">
        <f t="shared" si="2527"/>
        <v>0</v>
      </c>
      <c r="AR940" s="96">
        <f t="shared" si="2528"/>
        <v>0</v>
      </c>
      <c r="AS940" s="96"/>
      <c r="AT940" s="96">
        <f t="shared" si="2553"/>
        <v>0</v>
      </c>
      <c r="AU940" s="96"/>
      <c r="AV940" s="96">
        <f t="shared" si="2554"/>
        <v>0</v>
      </c>
      <c r="AW940" s="96"/>
      <c r="AX940" s="96">
        <f t="shared" si="2555"/>
        <v>0</v>
      </c>
      <c r="AY940" s="96">
        <f t="shared" si="2532"/>
        <v>0</v>
      </c>
      <c r="AZ940" s="96">
        <f t="shared" si="2533"/>
        <v>0</v>
      </c>
      <c r="BA940" s="96">
        <f t="shared" si="2534"/>
        <v>0</v>
      </c>
      <c r="BB940" s="96">
        <f t="shared" si="2535"/>
        <v>0</v>
      </c>
    </row>
    <row r="941" spans="1:54">
      <c r="B941" s="13"/>
      <c r="C941" s="13"/>
      <c r="D941" s="13"/>
      <c r="E941" s="21" t="s">
        <v>2063</v>
      </c>
      <c r="F941" s="45"/>
      <c r="G941" s="45" t="s">
        <v>1056</v>
      </c>
      <c r="H941" s="265" t="s">
        <v>361</v>
      </c>
      <c r="I941" s="54"/>
      <c r="J941" s="162">
        <v>5388</v>
      </c>
      <c r="K941" s="54"/>
      <c r="L941" s="162">
        <v>5388</v>
      </c>
      <c r="M941" s="54"/>
      <c r="N941" s="162"/>
      <c r="O941" s="54"/>
      <c r="P941" s="162"/>
      <c r="Q941" s="96">
        <f t="shared" si="2510"/>
        <v>0.216</v>
      </c>
      <c r="R941" s="337">
        <f t="shared" si="2511"/>
        <v>1.163808</v>
      </c>
      <c r="S941" s="96"/>
      <c r="T941" s="96">
        <f t="shared" si="2544"/>
        <v>0</v>
      </c>
      <c r="U941" s="96"/>
      <c r="V941" s="96">
        <f t="shared" si="2545"/>
        <v>0</v>
      </c>
      <c r="W941" s="96"/>
      <c r="X941" s="96">
        <f t="shared" si="2546"/>
        <v>0</v>
      </c>
      <c r="Y941" s="96">
        <f t="shared" si="2515"/>
        <v>0</v>
      </c>
      <c r="Z941" s="96">
        <f t="shared" si="2516"/>
        <v>0</v>
      </c>
      <c r="AA941" s="96">
        <v>0.216</v>
      </c>
      <c r="AB941" s="96">
        <f t="shared" si="2547"/>
        <v>1.163808</v>
      </c>
      <c r="AC941" s="96"/>
      <c r="AD941" s="96">
        <f t="shared" si="2548"/>
        <v>0</v>
      </c>
      <c r="AE941" s="96"/>
      <c r="AF941" s="96">
        <f t="shared" si="2549"/>
        <v>0</v>
      </c>
      <c r="AG941" s="96">
        <f t="shared" si="2520"/>
        <v>0.216</v>
      </c>
      <c r="AH941" s="96">
        <f t="shared" si="2521"/>
        <v>1.163808</v>
      </c>
      <c r="AI941" s="96">
        <f t="shared" si="2522"/>
        <v>0.216</v>
      </c>
      <c r="AJ941" s="96">
        <f t="shared" si="2523"/>
        <v>1.163808</v>
      </c>
      <c r="AK941" s="96"/>
      <c r="AL941" s="96">
        <f t="shared" si="2550"/>
        <v>0</v>
      </c>
      <c r="AM941" s="96"/>
      <c r="AN941" s="96">
        <f t="shared" si="2551"/>
        <v>0</v>
      </c>
      <c r="AO941" s="96"/>
      <c r="AP941" s="96">
        <f t="shared" si="2552"/>
        <v>0</v>
      </c>
      <c r="AQ941" s="96">
        <f t="shared" si="2527"/>
        <v>0</v>
      </c>
      <c r="AR941" s="96">
        <f t="shared" si="2528"/>
        <v>0</v>
      </c>
      <c r="AS941" s="96"/>
      <c r="AT941" s="96">
        <f t="shared" si="2553"/>
        <v>0</v>
      </c>
      <c r="AU941" s="96"/>
      <c r="AV941" s="96">
        <f t="shared" si="2554"/>
        <v>0</v>
      </c>
      <c r="AW941" s="96"/>
      <c r="AX941" s="96">
        <f t="shared" si="2555"/>
        <v>0</v>
      </c>
      <c r="AY941" s="96">
        <f t="shared" si="2532"/>
        <v>0</v>
      </c>
      <c r="AZ941" s="96">
        <f t="shared" si="2533"/>
        <v>0</v>
      </c>
      <c r="BA941" s="96">
        <f t="shared" si="2534"/>
        <v>0</v>
      </c>
      <c r="BB941" s="96">
        <f t="shared" si="2535"/>
        <v>0</v>
      </c>
    </row>
    <row r="942" spans="1:54">
      <c r="A942" s="492">
        <v>559</v>
      </c>
      <c r="B942" s="13"/>
      <c r="C942" s="13"/>
      <c r="D942" s="13"/>
      <c r="E942" s="62" t="s">
        <v>1076</v>
      </c>
      <c r="F942" s="419"/>
      <c r="G942" s="419" t="s">
        <v>1056</v>
      </c>
      <c r="H942" s="281" t="s">
        <v>1078</v>
      </c>
      <c r="I942" s="66"/>
      <c r="J942" s="165">
        <v>2769</v>
      </c>
      <c r="K942" s="66"/>
      <c r="L942" s="165">
        <v>2769</v>
      </c>
      <c r="M942" s="66"/>
      <c r="N942" s="165"/>
      <c r="O942" s="66"/>
      <c r="P942" s="165"/>
      <c r="Q942" s="128">
        <f t="shared" si="2510"/>
        <v>0</v>
      </c>
      <c r="R942" s="345">
        <f t="shared" si="2511"/>
        <v>0</v>
      </c>
      <c r="S942" s="128"/>
      <c r="T942" s="128">
        <f t="shared" si="2544"/>
        <v>0</v>
      </c>
      <c r="U942" s="128"/>
      <c r="V942" s="128">
        <f t="shared" si="2545"/>
        <v>0</v>
      </c>
      <c r="W942" s="128"/>
      <c r="X942" s="128">
        <f t="shared" si="2546"/>
        <v>0</v>
      </c>
      <c r="Y942" s="128">
        <f t="shared" si="2515"/>
        <v>0</v>
      </c>
      <c r="Z942" s="128">
        <f t="shared" si="2516"/>
        <v>0</v>
      </c>
      <c r="AA942" s="128"/>
      <c r="AB942" s="128">
        <f t="shared" si="2547"/>
        <v>0</v>
      </c>
      <c r="AC942" s="128"/>
      <c r="AD942" s="128">
        <f t="shared" si="2548"/>
        <v>0</v>
      </c>
      <c r="AE942" s="128"/>
      <c r="AF942" s="128">
        <f t="shared" si="2549"/>
        <v>0</v>
      </c>
      <c r="AG942" s="128">
        <f t="shared" si="2520"/>
        <v>0</v>
      </c>
      <c r="AH942" s="128">
        <f t="shared" si="2521"/>
        <v>0</v>
      </c>
      <c r="AI942" s="128">
        <f t="shared" si="2522"/>
        <v>0</v>
      </c>
      <c r="AJ942" s="128">
        <f t="shared" si="2523"/>
        <v>0</v>
      </c>
      <c r="AK942" s="128"/>
      <c r="AL942" s="128">
        <f t="shared" si="2550"/>
        <v>0</v>
      </c>
      <c r="AM942" s="128"/>
      <c r="AN942" s="128">
        <f t="shared" si="2551"/>
        <v>0</v>
      </c>
      <c r="AO942" s="128"/>
      <c r="AP942" s="128">
        <f t="shared" si="2552"/>
        <v>0</v>
      </c>
      <c r="AQ942" s="128">
        <f t="shared" si="2527"/>
        <v>0</v>
      </c>
      <c r="AR942" s="128">
        <f t="shared" si="2528"/>
        <v>0</v>
      </c>
      <c r="AS942" s="128"/>
      <c r="AT942" s="128">
        <f t="shared" si="2553"/>
        <v>0</v>
      </c>
      <c r="AU942" s="128"/>
      <c r="AV942" s="128">
        <f t="shared" si="2554"/>
        <v>0</v>
      </c>
      <c r="AW942" s="128"/>
      <c r="AX942" s="128">
        <f t="shared" si="2555"/>
        <v>0</v>
      </c>
      <c r="AY942" s="128">
        <f t="shared" si="2532"/>
        <v>0</v>
      </c>
      <c r="AZ942" s="128">
        <f t="shared" si="2533"/>
        <v>0</v>
      </c>
      <c r="BA942" s="128">
        <f t="shared" si="2534"/>
        <v>0</v>
      </c>
      <c r="BB942" s="128">
        <f t="shared" si="2535"/>
        <v>0</v>
      </c>
    </row>
    <row r="943" spans="1:54">
      <c r="B943" s="13"/>
      <c r="C943" s="13"/>
      <c r="D943" s="13"/>
      <c r="E943" s="21" t="s">
        <v>1233</v>
      </c>
      <c r="F943" s="45"/>
      <c r="G943" s="45" t="s">
        <v>1056</v>
      </c>
      <c r="H943" s="265" t="s">
        <v>1078</v>
      </c>
      <c r="I943" s="54"/>
      <c r="J943" s="162">
        <v>2769</v>
      </c>
      <c r="K943" s="54"/>
      <c r="L943" s="162">
        <v>2769</v>
      </c>
      <c r="M943" s="54"/>
      <c r="N943" s="162"/>
      <c r="O943" s="54"/>
      <c r="P943" s="162"/>
      <c r="Q943" s="96">
        <f t="shared" si="2510"/>
        <v>11</v>
      </c>
      <c r="R943" s="337">
        <f t="shared" si="2511"/>
        <v>30.459</v>
      </c>
      <c r="S943" s="96"/>
      <c r="T943" s="96">
        <f t="shared" si="2544"/>
        <v>0</v>
      </c>
      <c r="U943" s="96"/>
      <c r="V943" s="96">
        <f t="shared" si="2545"/>
        <v>0</v>
      </c>
      <c r="W943" s="96"/>
      <c r="X943" s="96">
        <f t="shared" si="2546"/>
        <v>0</v>
      </c>
      <c r="Y943" s="96">
        <f t="shared" si="2515"/>
        <v>0</v>
      </c>
      <c r="Z943" s="96">
        <f t="shared" si="2516"/>
        <v>0</v>
      </c>
      <c r="AA943" s="96">
        <v>11</v>
      </c>
      <c r="AB943" s="96">
        <f t="shared" si="2547"/>
        <v>30.459</v>
      </c>
      <c r="AC943" s="96"/>
      <c r="AD943" s="96">
        <f t="shared" si="2548"/>
        <v>0</v>
      </c>
      <c r="AE943" s="96"/>
      <c r="AF943" s="96">
        <f t="shared" si="2549"/>
        <v>0</v>
      </c>
      <c r="AG943" s="96">
        <f t="shared" si="2520"/>
        <v>11</v>
      </c>
      <c r="AH943" s="96">
        <f t="shared" si="2521"/>
        <v>30.459</v>
      </c>
      <c r="AI943" s="96">
        <f t="shared" si="2522"/>
        <v>11</v>
      </c>
      <c r="AJ943" s="96">
        <f t="shared" si="2523"/>
        <v>30.459</v>
      </c>
      <c r="AK943" s="96"/>
      <c r="AL943" s="96">
        <f t="shared" si="2550"/>
        <v>0</v>
      </c>
      <c r="AM943" s="96"/>
      <c r="AN943" s="96">
        <f t="shared" si="2551"/>
        <v>0</v>
      </c>
      <c r="AO943" s="96"/>
      <c r="AP943" s="96">
        <f t="shared" si="2552"/>
        <v>0</v>
      </c>
      <c r="AQ943" s="96">
        <f t="shared" si="2527"/>
        <v>0</v>
      </c>
      <c r="AR943" s="96">
        <f t="shared" si="2528"/>
        <v>0</v>
      </c>
      <c r="AS943" s="96"/>
      <c r="AT943" s="96">
        <f t="shared" si="2553"/>
        <v>0</v>
      </c>
      <c r="AU943" s="96"/>
      <c r="AV943" s="96">
        <f t="shared" si="2554"/>
        <v>0</v>
      </c>
      <c r="AW943" s="96"/>
      <c r="AX943" s="96">
        <f t="shared" si="2555"/>
        <v>0</v>
      </c>
      <c r="AY943" s="96">
        <f t="shared" si="2532"/>
        <v>0</v>
      </c>
      <c r="AZ943" s="96">
        <f t="shared" si="2533"/>
        <v>0</v>
      </c>
      <c r="BA943" s="96">
        <f t="shared" si="2534"/>
        <v>0</v>
      </c>
      <c r="BB943" s="96">
        <f t="shared" si="2535"/>
        <v>0</v>
      </c>
    </row>
    <row r="944" spans="1:54">
      <c r="B944" s="13"/>
      <c r="C944" s="13"/>
      <c r="D944" s="13"/>
      <c r="E944" s="21" t="s">
        <v>1379</v>
      </c>
      <c r="F944" s="45"/>
      <c r="G944" s="45" t="s">
        <v>1056</v>
      </c>
      <c r="H944" s="265" t="s">
        <v>361</v>
      </c>
      <c r="I944" s="54"/>
      <c r="J944" s="162">
        <v>2877</v>
      </c>
      <c r="K944" s="54"/>
      <c r="L944" s="162">
        <v>2877</v>
      </c>
      <c r="M944" s="54"/>
      <c r="N944" s="162"/>
      <c r="O944" s="54"/>
      <c r="P944" s="162"/>
      <c r="Q944" s="96">
        <f t="shared" si="2510"/>
        <v>3.6</v>
      </c>
      <c r="R944" s="337">
        <f t="shared" si="2511"/>
        <v>10.357200000000001</v>
      </c>
      <c r="S944" s="96"/>
      <c r="T944" s="96">
        <f t="shared" si="2544"/>
        <v>0</v>
      </c>
      <c r="U944" s="96"/>
      <c r="V944" s="96">
        <f t="shared" si="2545"/>
        <v>0</v>
      </c>
      <c r="W944" s="96"/>
      <c r="X944" s="96">
        <f t="shared" si="2546"/>
        <v>0</v>
      </c>
      <c r="Y944" s="96">
        <f t="shared" si="2515"/>
        <v>0</v>
      </c>
      <c r="Z944" s="96">
        <f t="shared" si="2516"/>
        <v>0</v>
      </c>
      <c r="AA944" s="96">
        <v>3.6</v>
      </c>
      <c r="AB944" s="96">
        <f t="shared" si="2547"/>
        <v>10.357200000000001</v>
      </c>
      <c r="AC944" s="96"/>
      <c r="AD944" s="96">
        <f t="shared" si="2548"/>
        <v>0</v>
      </c>
      <c r="AE944" s="96"/>
      <c r="AF944" s="96">
        <f t="shared" si="2549"/>
        <v>0</v>
      </c>
      <c r="AG944" s="96">
        <f t="shared" si="2520"/>
        <v>3.6</v>
      </c>
      <c r="AH944" s="96">
        <f t="shared" si="2521"/>
        <v>10.357200000000001</v>
      </c>
      <c r="AI944" s="96">
        <f t="shared" si="2522"/>
        <v>3.6</v>
      </c>
      <c r="AJ944" s="96">
        <f t="shared" si="2523"/>
        <v>10.357200000000001</v>
      </c>
      <c r="AK944" s="96"/>
      <c r="AL944" s="96">
        <f t="shared" si="2550"/>
        <v>0</v>
      </c>
      <c r="AM944" s="96"/>
      <c r="AN944" s="96">
        <f t="shared" si="2551"/>
        <v>0</v>
      </c>
      <c r="AO944" s="96"/>
      <c r="AP944" s="96">
        <f t="shared" si="2552"/>
        <v>0</v>
      </c>
      <c r="AQ944" s="96">
        <f t="shared" si="2527"/>
        <v>0</v>
      </c>
      <c r="AR944" s="96">
        <f t="shared" si="2528"/>
        <v>0</v>
      </c>
      <c r="AS944" s="96"/>
      <c r="AT944" s="96">
        <f t="shared" si="2553"/>
        <v>0</v>
      </c>
      <c r="AU944" s="96"/>
      <c r="AV944" s="96">
        <f t="shared" si="2554"/>
        <v>0</v>
      </c>
      <c r="AW944" s="96"/>
      <c r="AX944" s="96">
        <f t="shared" si="2555"/>
        <v>0</v>
      </c>
      <c r="AY944" s="96">
        <f t="shared" si="2532"/>
        <v>0</v>
      </c>
      <c r="AZ944" s="96">
        <f t="shared" si="2533"/>
        <v>0</v>
      </c>
      <c r="BA944" s="96">
        <f t="shared" si="2534"/>
        <v>0</v>
      </c>
      <c r="BB944" s="96">
        <f t="shared" si="2535"/>
        <v>0</v>
      </c>
    </row>
    <row r="945" spans="1:54">
      <c r="A945" s="492">
        <v>559</v>
      </c>
      <c r="B945" s="13"/>
      <c r="C945" s="13"/>
      <c r="D945" s="13"/>
      <c r="E945" s="21" t="s">
        <v>2288</v>
      </c>
      <c r="F945" s="45"/>
      <c r="G945" s="45" t="s">
        <v>1056</v>
      </c>
      <c r="H945" s="265" t="s">
        <v>361</v>
      </c>
      <c r="I945" s="54"/>
      <c r="J945" s="162">
        <v>5586</v>
      </c>
      <c r="K945" s="54"/>
      <c r="L945" s="162">
        <v>5586</v>
      </c>
      <c r="M945" s="54"/>
      <c r="N945" s="162"/>
      <c r="O945" s="54"/>
      <c r="P945" s="162"/>
      <c r="Q945" s="96">
        <f>SUM(AI945+BA945)</f>
        <v>0.6</v>
      </c>
      <c r="R945" s="337">
        <f>SUM(AJ945+BB945)</f>
        <v>3.3515999999999999</v>
      </c>
      <c r="S945" s="96"/>
      <c r="T945" s="96">
        <f t="shared" ref="T945" si="2556">J945*S945/1000</f>
        <v>0</v>
      </c>
      <c r="U945" s="96"/>
      <c r="V945" s="96">
        <f t="shared" ref="V945" si="2557">J945*U945/1000</f>
        <v>0</v>
      </c>
      <c r="W945" s="96"/>
      <c r="X945" s="96">
        <f t="shared" ref="X945" si="2558">J945*W945/1000</f>
        <v>0</v>
      </c>
      <c r="Y945" s="96">
        <f>SUM(S945+U945+W945)</f>
        <v>0</v>
      </c>
      <c r="Z945" s="96">
        <f t="shared" ref="Z945" si="2559">SUM(T945+V945+X945)</f>
        <v>0</v>
      </c>
      <c r="AA945" s="96">
        <v>0.6</v>
      </c>
      <c r="AB945" s="96">
        <f t="shared" ref="AB945" si="2560">L945*AA945/1000</f>
        <v>3.3515999999999999</v>
      </c>
      <c r="AC945" s="96"/>
      <c r="AD945" s="96">
        <f t="shared" ref="AD945" si="2561">L945*AC945/1000</f>
        <v>0</v>
      </c>
      <c r="AE945" s="96"/>
      <c r="AF945" s="96">
        <f t="shared" ref="AF945" si="2562">L945*AE945/1000</f>
        <v>0</v>
      </c>
      <c r="AG945" s="96">
        <f>SUM(AA945+AC945+AE945)</f>
        <v>0.6</v>
      </c>
      <c r="AH945" s="96">
        <f t="shared" ref="AH945" si="2563">SUM(AB945+AD945+AF945)</f>
        <v>3.3515999999999999</v>
      </c>
      <c r="AI945" s="96">
        <f t="shared" ref="AI945" si="2564">SUM(Y945+AG945)</f>
        <v>0.6</v>
      </c>
      <c r="AJ945" s="96">
        <f t="shared" ref="AJ945" si="2565">SUM(Z945,AH945)</f>
        <v>3.3515999999999999</v>
      </c>
      <c r="AK945" s="96"/>
      <c r="AL945" s="96">
        <f t="shared" ref="AL945" si="2566">N945*AK945/1000</f>
        <v>0</v>
      </c>
      <c r="AM945" s="96"/>
      <c r="AN945" s="96">
        <f t="shared" ref="AN945" si="2567">N945*AM945/1000</f>
        <v>0</v>
      </c>
      <c r="AO945" s="96"/>
      <c r="AP945" s="96">
        <f t="shared" ref="AP945" si="2568">N945*AO945/1000</f>
        <v>0</v>
      </c>
      <c r="AQ945" s="96">
        <f>SUM(AK945+AM945+AO945)</f>
        <v>0</v>
      </c>
      <c r="AR945" s="96">
        <f t="shared" ref="AR945" si="2569">SUM(AL945+AN945+AP945)</f>
        <v>0</v>
      </c>
      <c r="AS945" s="96"/>
      <c r="AT945" s="96">
        <f t="shared" ref="AT945" si="2570">P945*AS945/1000</f>
        <v>0</v>
      </c>
      <c r="AU945" s="96"/>
      <c r="AV945" s="96">
        <f t="shared" ref="AV945" si="2571">P945*AU945/1000</f>
        <v>0</v>
      </c>
      <c r="AW945" s="96"/>
      <c r="AX945" s="96">
        <f t="shared" ref="AX945" si="2572">P945*AW945/1000</f>
        <v>0</v>
      </c>
      <c r="AY945" s="96">
        <f>SUM(AS945+AU945+AW945)</f>
        <v>0</v>
      </c>
      <c r="AZ945" s="96">
        <f t="shared" ref="AZ945" si="2573">SUM(AT945+AV945+AX945)</f>
        <v>0</v>
      </c>
      <c r="BA945" s="96">
        <f t="shared" ref="BA945" si="2574">SUM(AQ945+AY945)</f>
        <v>0</v>
      </c>
      <c r="BB945" s="96">
        <f t="shared" ref="BB945" si="2575">SUM(AR945,AZ945)</f>
        <v>0</v>
      </c>
    </row>
    <row r="946" spans="1:54">
      <c r="B946" s="13"/>
      <c r="C946" s="13"/>
      <c r="D946" s="13"/>
      <c r="E946" s="89" t="s">
        <v>2206</v>
      </c>
      <c r="F946" s="424"/>
      <c r="G946" s="424" t="s">
        <v>1234</v>
      </c>
      <c r="H946" s="284" t="s">
        <v>1235</v>
      </c>
      <c r="I946" s="75"/>
      <c r="J946" s="167">
        <v>2769</v>
      </c>
      <c r="K946" s="75"/>
      <c r="L946" s="167">
        <v>2769</v>
      </c>
      <c r="M946" s="75"/>
      <c r="N946" s="167"/>
      <c r="O946" s="75"/>
      <c r="P946" s="167"/>
      <c r="Q946" s="130">
        <f t="shared" si="2510"/>
        <v>1.8</v>
      </c>
      <c r="R946" s="347">
        <f t="shared" si="2511"/>
        <v>4.9841999999999995</v>
      </c>
      <c r="S946" s="130">
        <v>1.08</v>
      </c>
      <c r="T946" s="130">
        <f t="shared" si="2544"/>
        <v>2.9905200000000001</v>
      </c>
      <c r="U946" s="130"/>
      <c r="V946" s="130">
        <f t="shared" si="2545"/>
        <v>0</v>
      </c>
      <c r="W946" s="130"/>
      <c r="X946" s="130">
        <f t="shared" si="2546"/>
        <v>0</v>
      </c>
      <c r="Y946" s="130">
        <f t="shared" si="2515"/>
        <v>1.08</v>
      </c>
      <c r="Z946" s="130">
        <f t="shared" si="2516"/>
        <v>2.9905200000000001</v>
      </c>
      <c r="AA946" s="130">
        <v>0.72</v>
      </c>
      <c r="AB946" s="130">
        <f t="shared" si="2547"/>
        <v>1.9936799999999999</v>
      </c>
      <c r="AC946" s="130"/>
      <c r="AD946" s="130">
        <f t="shared" si="2548"/>
        <v>0</v>
      </c>
      <c r="AE946" s="130"/>
      <c r="AF946" s="130">
        <f t="shared" si="2549"/>
        <v>0</v>
      </c>
      <c r="AG946" s="130">
        <f t="shared" si="2520"/>
        <v>0.72</v>
      </c>
      <c r="AH946" s="130">
        <f t="shared" si="2521"/>
        <v>1.9936799999999999</v>
      </c>
      <c r="AI946" s="130">
        <f t="shared" si="2522"/>
        <v>1.8</v>
      </c>
      <c r="AJ946" s="130">
        <f t="shared" si="2523"/>
        <v>4.9841999999999995</v>
      </c>
      <c r="AK946" s="130"/>
      <c r="AL946" s="130">
        <f t="shared" si="2550"/>
        <v>0</v>
      </c>
      <c r="AM946" s="130"/>
      <c r="AN946" s="130">
        <f t="shared" si="2551"/>
        <v>0</v>
      </c>
      <c r="AO946" s="130"/>
      <c r="AP946" s="130">
        <f t="shared" si="2552"/>
        <v>0</v>
      </c>
      <c r="AQ946" s="130">
        <f t="shared" si="2527"/>
        <v>0</v>
      </c>
      <c r="AR946" s="130">
        <f t="shared" si="2528"/>
        <v>0</v>
      </c>
      <c r="AS946" s="130"/>
      <c r="AT946" s="130">
        <f t="shared" si="2553"/>
        <v>0</v>
      </c>
      <c r="AU946" s="130"/>
      <c r="AV946" s="130">
        <f t="shared" si="2554"/>
        <v>0</v>
      </c>
      <c r="AW946" s="130"/>
      <c r="AX946" s="130">
        <f t="shared" si="2555"/>
        <v>0</v>
      </c>
      <c r="AY946" s="130">
        <f t="shared" si="2532"/>
        <v>0</v>
      </c>
      <c r="AZ946" s="130">
        <f t="shared" si="2533"/>
        <v>0</v>
      </c>
      <c r="BA946" s="130">
        <f t="shared" si="2534"/>
        <v>0</v>
      </c>
      <c r="BB946" s="130">
        <f t="shared" si="2535"/>
        <v>0</v>
      </c>
    </row>
    <row r="947" spans="1:54">
      <c r="A947" s="492">
        <v>559</v>
      </c>
      <c r="B947" s="13"/>
      <c r="C947" s="13"/>
      <c r="D947" s="13"/>
      <c r="E947" s="21" t="s">
        <v>1184</v>
      </c>
      <c r="F947" s="45"/>
      <c r="G947" s="45" t="s">
        <v>1056</v>
      </c>
      <c r="H947" s="265" t="s">
        <v>361</v>
      </c>
      <c r="I947" s="54"/>
      <c r="J947" s="162">
        <v>5131</v>
      </c>
      <c r="K947" s="54"/>
      <c r="L947" s="162">
        <v>5131</v>
      </c>
      <c r="M947" s="54"/>
      <c r="N947" s="162"/>
      <c r="O947" s="54"/>
      <c r="P947" s="162"/>
      <c r="Q947" s="96">
        <f>SUM(AI947+BA947)</f>
        <v>0</v>
      </c>
      <c r="R947" s="337">
        <f>SUM(AJ947+BB947)</f>
        <v>0</v>
      </c>
      <c r="S947" s="96"/>
      <c r="T947" s="96">
        <f t="shared" ref="T947" si="2576">J947*S947/1000</f>
        <v>0</v>
      </c>
      <c r="U947" s="96"/>
      <c r="V947" s="96">
        <f t="shared" ref="V947" si="2577">J947*U947/1000</f>
        <v>0</v>
      </c>
      <c r="W947" s="96"/>
      <c r="X947" s="96">
        <f t="shared" ref="X947" si="2578">J947*W947/1000</f>
        <v>0</v>
      </c>
      <c r="Y947" s="96">
        <f>SUM(S947+U947+W947)</f>
        <v>0</v>
      </c>
      <c r="Z947" s="96">
        <f t="shared" ref="Z947" si="2579">SUM(T947+V947+X947)</f>
        <v>0</v>
      </c>
      <c r="AA947" s="96"/>
      <c r="AB947" s="96">
        <f t="shared" ref="AB947" si="2580">L947*AA947/1000</f>
        <v>0</v>
      </c>
      <c r="AC947" s="96"/>
      <c r="AD947" s="96">
        <f t="shared" ref="AD947" si="2581">L947*AC947/1000</f>
        <v>0</v>
      </c>
      <c r="AE947" s="96"/>
      <c r="AF947" s="96">
        <f t="shared" ref="AF947" si="2582">L947*AE947/1000</f>
        <v>0</v>
      </c>
      <c r="AG947" s="96">
        <f>SUM(AA947+AC947+AE947)</f>
        <v>0</v>
      </c>
      <c r="AH947" s="96">
        <f t="shared" ref="AH947" si="2583">SUM(AB947+AD947+AF947)</f>
        <v>0</v>
      </c>
      <c r="AI947" s="96">
        <f t="shared" ref="AI947" si="2584">SUM(Y947+AG947)</f>
        <v>0</v>
      </c>
      <c r="AJ947" s="96">
        <f t="shared" ref="AJ947" si="2585">SUM(Z947,AH947)</f>
        <v>0</v>
      </c>
      <c r="AK947" s="96"/>
      <c r="AL947" s="96">
        <f t="shared" ref="AL947" si="2586">N947*AK947/1000</f>
        <v>0</v>
      </c>
      <c r="AM947" s="96"/>
      <c r="AN947" s="96">
        <f t="shared" ref="AN947" si="2587">N947*AM947/1000</f>
        <v>0</v>
      </c>
      <c r="AO947" s="96"/>
      <c r="AP947" s="96">
        <f t="shared" ref="AP947" si="2588">N947*AO947/1000</f>
        <v>0</v>
      </c>
      <c r="AQ947" s="96">
        <f>SUM(AK947+AM947+AO947)</f>
        <v>0</v>
      </c>
      <c r="AR947" s="96">
        <f t="shared" ref="AR947" si="2589">SUM(AL947+AN947+AP947)</f>
        <v>0</v>
      </c>
      <c r="AS947" s="96"/>
      <c r="AT947" s="96">
        <f t="shared" ref="AT947" si="2590">P947*AS947/1000</f>
        <v>0</v>
      </c>
      <c r="AU947" s="96"/>
      <c r="AV947" s="96">
        <f t="shared" ref="AV947" si="2591">P947*AU947/1000</f>
        <v>0</v>
      </c>
      <c r="AW947" s="96"/>
      <c r="AX947" s="96">
        <f t="shared" ref="AX947" si="2592">P947*AW947/1000</f>
        <v>0</v>
      </c>
      <c r="AY947" s="96">
        <f>SUM(AS947+AU947+AW947)</f>
        <v>0</v>
      </c>
      <c r="AZ947" s="96">
        <f t="shared" ref="AZ947" si="2593">SUM(AT947+AV947+AX947)</f>
        <v>0</v>
      </c>
      <c r="BA947" s="96">
        <f t="shared" ref="BA947" si="2594">SUM(AQ947+AY947)</f>
        <v>0</v>
      </c>
      <c r="BB947" s="96">
        <f t="shared" ref="BB947" si="2595">SUM(AR947,AZ947)</f>
        <v>0</v>
      </c>
    </row>
    <row r="948" spans="1:54">
      <c r="A948" s="492">
        <v>559</v>
      </c>
      <c r="B948" s="13"/>
      <c r="C948" s="13"/>
      <c r="D948" s="13"/>
      <c r="E948" s="21" t="s">
        <v>2338</v>
      </c>
      <c r="F948" s="45"/>
      <c r="G948" s="45" t="s">
        <v>1056</v>
      </c>
      <c r="H948" s="265" t="s">
        <v>1078</v>
      </c>
      <c r="I948" s="54"/>
      <c r="J948" s="162">
        <v>2670</v>
      </c>
      <c r="K948" s="54"/>
      <c r="L948" s="162">
        <v>2670</v>
      </c>
      <c r="M948" s="54"/>
      <c r="N948" s="162"/>
      <c r="O948" s="54"/>
      <c r="P948" s="162"/>
      <c r="Q948" s="96">
        <f t="shared" si="2510"/>
        <v>14.592000000000001</v>
      </c>
      <c r="R948" s="337">
        <f t="shared" si="2511"/>
        <v>38.960639999999998</v>
      </c>
      <c r="S948" s="96">
        <v>8.4480000000000004</v>
      </c>
      <c r="T948" s="96">
        <f t="shared" si="2544"/>
        <v>22.556159999999998</v>
      </c>
      <c r="U948" s="96"/>
      <c r="V948" s="96">
        <f t="shared" si="2545"/>
        <v>0</v>
      </c>
      <c r="W948" s="96"/>
      <c r="X948" s="96">
        <f t="shared" si="2546"/>
        <v>0</v>
      </c>
      <c r="Y948" s="96">
        <f t="shared" si="2515"/>
        <v>8.4480000000000004</v>
      </c>
      <c r="Z948" s="96">
        <f t="shared" si="2516"/>
        <v>22.556159999999998</v>
      </c>
      <c r="AA948" s="96">
        <v>6.1440000000000001</v>
      </c>
      <c r="AB948" s="96">
        <f t="shared" si="2547"/>
        <v>16.40448</v>
      </c>
      <c r="AC948" s="96"/>
      <c r="AD948" s="96">
        <f t="shared" si="2548"/>
        <v>0</v>
      </c>
      <c r="AE948" s="96"/>
      <c r="AF948" s="96">
        <f t="shared" si="2549"/>
        <v>0</v>
      </c>
      <c r="AG948" s="96">
        <f t="shared" si="2520"/>
        <v>6.1440000000000001</v>
      </c>
      <c r="AH948" s="96">
        <f t="shared" si="2521"/>
        <v>16.40448</v>
      </c>
      <c r="AI948" s="96">
        <f t="shared" si="2522"/>
        <v>14.592000000000001</v>
      </c>
      <c r="AJ948" s="96">
        <f t="shared" si="2523"/>
        <v>38.960639999999998</v>
      </c>
      <c r="AK948" s="96"/>
      <c r="AL948" s="96">
        <f t="shared" si="2550"/>
        <v>0</v>
      </c>
      <c r="AM948" s="96"/>
      <c r="AN948" s="96">
        <f t="shared" si="2551"/>
        <v>0</v>
      </c>
      <c r="AO948" s="96"/>
      <c r="AP948" s="96">
        <f t="shared" si="2552"/>
        <v>0</v>
      </c>
      <c r="AQ948" s="96">
        <f t="shared" si="2527"/>
        <v>0</v>
      </c>
      <c r="AR948" s="96">
        <f t="shared" si="2528"/>
        <v>0</v>
      </c>
      <c r="AS948" s="96"/>
      <c r="AT948" s="96">
        <f t="shared" si="2553"/>
        <v>0</v>
      </c>
      <c r="AU948" s="96"/>
      <c r="AV948" s="96">
        <f t="shared" si="2554"/>
        <v>0</v>
      </c>
      <c r="AW948" s="96"/>
      <c r="AX948" s="96">
        <f t="shared" si="2555"/>
        <v>0</v>
      </c>
      <c r="AY948" s="96">
        <f t="shared" si="2532"/>
        <v>0</v>
      </c>
      <c r="AZ948" s="96">
        <f t="shared" si="2533"/>
        <v>0</v>
      </c>
      <c r="BA948" s="96">
        <f t="shared" si="2534"/>
        <v>0</v>
      </c>
      <c r="BB948" s="96">
        <f t="shared" si="2535"/>
        <v>0</v>
      </c>
    </row>
    <row r="949" spans="1:54">
      <c r="A949" s="492">
        <v>559</v>
      </c>
      <c r="B949" s="24"/>
      <c r="C949" s="24"/>
      <c r="D949" s="24"/>
      <c r="E949" s="24" t="s">
        <v>1496</v>
      </c>
      <c r="F949" s="366"/>
      <c r="G949" s="366" t="s">
        <v>1077</v>
      </c>
      <c r="H949" s="282" t="s">
        <v>1078</v>
      </c>
      <c r="I949" s="79"/>
      <c r="J949" s="171">
        <v>2670</v>
      </c>
      <c r="K949" s="79"/>
      <c r="L949" s="171">
        <v>2670</v>
      </c>
      <c r="M949" s="79"/>
      <c r="N949" s="171"/>
      <c r="O949" s="79"/>
      <c r="P949" s="171"/>
      <c r="Q949" s="133">
        <f t="shared" si="2510"/>
        <v>0</v>
      </c>
      <c r="R949" s="342">
        <f t="shared" si="2511"/>
        <v>0</v>
      </c>
      <c r="S949" s="133"/>
      <c r="T949" s="133">
        <f t="shared" si="2544"/>
        <v>0</v>
      </c>
      <c r="U949" s="133"/>
      <c r="V949" s="133">
        <f t="shared" si="2545"/>
        <v>0</v>
      </c>
      <c r="W949" s="133"/>
      <c r="X949" s="133">
        <f t="shared" si="2546"/>
        <v>0</v>
      </c>
      <c r="Y949" s="133">
        <f t="shared" si="2515"/>
        <v>0</v>
      </c>
      <c r="Z949" s="133">
        <f t="shared" si="2516"/>
        <v>0</v>
      </c>
      <c r="AA949" s="133"/>
      <c r="AB949" s="133">
        <f t="shared" si="2547"/>
        <v>0</v>
      </c>
      <c r="AC949" s="133"/>
      <c r="AD949" s="133">
        <f t="shared" si="2548"/>
        <v>0</v>
      </c>
      <c r="AE949" s="133"/>
      <c r="AF949" s="133">
        <f t="shared" si="2549"/>
        <v>0</v>
      </c>
      <c r="AG949" s="133">
        <f t="shared" si="2520"/>
        <v>0</v>
      </c>
      <c r="AH949" s="133">
        <f t="shared" si="2521"/>
        <v>0</v>
      </c>
      <c r="AI949" s="133">
        <f t="shared" si="2522"/>
        <v>0</v>
      </c>
      <c r="AJ949" s="133">
        <f t="shared" si="2523"/>
        <v>0</v>
      </c>
      <c r="AK949" s="133"/>
      <c r="AL949" s="133">
        <f t="shared" si="2550"/>
        <v>0</v>
      </c>
      <c r="AM949" s="133"/>
      <c r="AN949" s="133">
        <f t="shared" si="2551"/>
        <v>0</v>
      </c>
      <c r="AO949" s="133"/>
      <c r="AP949" s="133">
        <f t="shared" si="2552"/>
        <v>0</v>
      </c>
      <c r="AQ949" s="133">
        <f t="shared" si="2527"/>
        <v>0</v>
      </c>
      <c r="AR949" s="133">
        <f t="shared" si="2528"/>
        <v>0</v>
      </c>
      <c r="AS949" s="133"/>
      <c r="AT949" s="133">
        <f t="shared" si="2553"/>
        <v>0</v>
      </c>
      <c r="AU949" s="133"/>
      <c r="AV949" s="133">
        <f t="shared" si="2554"/>
        <v>0</v>
      </c>
      <c r="AW949" s="133"/>
      <c r="AX949" s="133">
        <f t="shared" si="2555"/>
        <v>0</v>
      </c>
      <c r="AY949" s="133">
        <f t="shared" si="2532"/>
        <v>0</v>
      </c>
      <c r="AZ949" s="133">
        <f t="shared" si="2533"/>
        <v>0</v>
      </c>
      <c r="BA949" s="133">
        <f t="shared" si="2534"/>
        <v>0</v>
      </c>
      <c r="BB949" s="133">
        <f t="shared" si="2535"/>
        <v>0</v>
      </c>
    </row>
    <row r="950" spans="1:54">
      <c r="A950" s="492">
        <v>560</v>
      </c>
      <c r="B950" s="58" t="s">
        <v>863</v>
      </c>
      <c r="C950" s="59"/>
      <c r="D950" s="59"/>
      <c r="E950" s="59"/>
      <c r="F950" s="59"/>
      <c r="G950" s="59"/>
      <c r="H950" s="279"/>
      <c r="I950" s="77"/>
      <c r="J950" s="60"/>
      <c r="K950" s="77"/>
      <c r="L950" s="60"/>
      <c r="M950" s="77"/>
      <c r="N950" s="60"/>
      <c r="O950" s="77"/>
      <c r="P950" s="60"/>
      <c r="Q950" s="126">
        <f t="shared" ref="Q950:BB950" si="2596">SUM(Q932:Q949)</f>
        <v>32.167999999999999</v>
      </c>
      <c r="R950" s="126">
        <f t="shared" si="2596"/>
        <v>90.632927999999993</v>
      </c>
      <c r="S950" s="126">
        <f t="shared" si="2596"/>
        <v>9.5280000000000005</v>
      </c>
      <c r="T950" s="126">
        <f t="shared" si="2596"/>
        <v>25.546679999999999</v>
      </c>
      <c r="U950" s="126">
        <f t="shared" si="2596"/>
        <v>0</v>
      </c>
      <c r="V950" s="126">
        <f t="shared" si="2596"/>
        <v>0</v>
      </c>
      <c r="W950" s="126">
        <f t="shared" si="2596"/>
        <v>0</v>
      </c>
      <c r="X950" s="126">
        <f t="shared" si="2596"/>
        <v>0</v>
      </c>
      <c r="Y950" s="126">
        <f t="shared" si="2596"/>
        <v>9.5280000000000005</v>
      </c>
      <c r="Z950" s="126">
        <f t="shared" si="2596"/>
        <v>25.546679999999999</v>
      </c>
      <c r="AA950" s="126">
        <f t="shared" si="2596"/>
        <v>22.64</v>
      </c>
      <c r="AB950" s="126">
        <f t="shared" si="2596"/>
        <v>65.086247999999983</v>
      </c>
      <c r="AC950" s="126">
        <f t="shared" si="2596"/>
        <v>0</v>
      </c>
      <c r="AD950" s="126">
        <f t="shared" si="2596"/>
        <v>0</v>
      </c>
      <c r="AE950" s="126">
        <f t="shared" si="2596"/>
        <v>0</v>
      </c>
      <c r="AF950" s="126">
        <f t="shared" si="2596"/>
        <v>0</v>
      </c>
      <c r="AG950" s="126">
        <f t="shared" si="2596"/>
        <v>22.64</v>
      </c>
      <c r="AH950" s="126">
        <f t="shared" si="2596"/>
        <v>65.086247999999983</v>
      </c>
      <c r="AI950" s="126">
        <f t="shared" si="2596"/>
        <v>32.167999999999999</v>
      </c>
      <c r="AJ950" s="126">
        <f t="shared" si="2596"/>
        <v>90.632927999999993</v>
      </c>
      <c r="AK950" s="126">
        <f t="shared" si="2596"/>
        <v>0</v>
      </c>
      <c r="AL950" s="126">
        <f t="shared" si="2596"/>
        <v>0</v>
      </c>
      <c r="AM950" s="126">
        <f t="shared" si="2596"/>
        <v>0</v>
      </c>
      <c r="AN950" s="126">
        <f t="shared" si="2596"/>
        <v>0</v>
      </c>
      <c r="AO950" s="126">
        <f t="shared" si="2596"/>
        <v>0</v>
      </c>
      <c r="AP950" s="126">
        <f t="shared" si="2596"/>
        <v>0</v>
      </c>
      <c r="AQ950" s="126">
        <f t="shared" si="2596"/>
        <v>0</v>
      </c>
      <c r="AR950" s="126">
        <f t="shared" si="2596"/>
        <v>0</v>
      </c>
      <c r="AS950" s="126">
        <f t="shared" si="2596"/>
        <v>0</v>
      </c>
      <c r="AT950" s="126">
        <f t="shared" si="2596"/>
        <v>0</v>
      </c>
      <c r="AU950" s="126">
        <f t="shared" si="2596"/>
        <v>0</v>
      </c>
      <c r="AV950" s="126">
        <f t="shared" si="2596"/>
        <v>0</v>
      </c>
      <c r="AW950" s="126">
        <f t="shared" si="2596"/>
        <v>0</v>
      </c>
      <c r="AX950" s="126">
        <f t="shared" si="2596"/>
        <v>0</v>
      </c>
      <c r="AY950" s="126">
        <f t="shared" si="2596"/>
        <v>0</v>
      </c>
      <c r="AZ950" s="126">
        <f t="shared" si="2596"/>
        <v>0</v>
      </c>
      <c r="BA950" s="126">
        <f t="shared" si="2596"/>
        <v>0</v>
      </c>
      <c r="BB950" s="126">
        <f t="shared" si="2596"/>
        <v>0</v>
      </c>
    </row>
    <row r="951" spans="1:54">
      <c r="A951" s="492">
        <v>569</v>
      </c>
      <c r="B951" s="13" t="s">
        <v>226</v>
      </c>
      <c r="C951" s="23"/>
      <c r="D951" s="13"/>
      <c r="E951" s="21" t="s">
        <v>520</v>
      </c>
      <c r="F951" s="22"/>
      <c r="G951" s="424" t="s">
        <v>1059</v>
      </c>
      <c r="H951" s="284" t="s">
        <v>358</v>
      </c>
      <c r="I951" s="54">
        <v>5.96</v>
      </c>
      <c r="J951" s="101"/>
      <c r="K951" s="54">
        <v>5.96</v>
      </c>
      <c r="L951" s="101"/>
      <c r="M951" s="54"/>
      <c r="N951" s="101"/>
      <c r="O951" s="54"/>
      <c r="P951" s="101"/>
      <c r="Q951" s="96">
        <f t="shared" ref="Q951:Q971" si="2597">SUM(AI951+BA951)</f>
        <v>0</v>
      </c>
      <c r="R951" s="337">
        <f t="shared" ref="R951:R971" si="2598">SUM(AJ951+BB951)</f>
        <v>0</v>
      </c>
      <c r="S951" s="96"/>
      <c r="T951" s="96">
        <f t="shared" ref="T951:T957" si="2599">I951*S951*$T$2/1000</f>
        <v>0</v>
      </c>
      <c r="U951" s="96"/>
      <c r="V951" s="96">
        <f t="shared" ref="V951:V957" si="2600">I951*U951*$V$2/1000</f>
        <v>0</v>
      </c>
      <c r="W951" s="206"/>
      <c r="X951" s="96">
        <f t="shared" ref="X951:X957" si="2601">I951*W951*$X$2/1000</f>
        <v>0</v>
      </c>
      <c r="Y951" s="188">
        <f t="shared" ref="Y951:Y971" si="2602">SUM(S951+U951+W951)</f>
        <v>0</v>
      </c>
      <c r="Z951" s="176">
        <f t="shared" ref="Z951:Z971" si="2603">SUM(T951+V951+X951)</f>
        <v>0</v>
      </c>
      <c r="AA951" s="206"/>
      <c r="AB951" s="205">
        <f t="shared" ref="AB951:AB957" si="2604">K951*AA951*$AB$2/1000</f>
        <v>0</v>
      </c>
      <c r="AC951" s="206"/>
      <c r="AD951" s="205">
        <f t="shared" ref="AD951:AD957" si="2605">K951*AC951*$AD$2/1000</f>
        <v>0</v>
      </c>
      <c r="AE951" s="206"/>
      <c r="AF951" s="205">
        <f t="shared" ref="AF951:AF957" si="2606">K951*AE951*$AF$2/1000</f>
        <v>0</v>
      </c>
      <c r="AG951" s="188">
        <f t="shared" ref="AG951:AG971" si="2607">SUM(AA951+AC951+AE951)</f>
        <v>0</v>
      </c>
      <c r="AH951" s="96">
        <f t="shared" ref="AH951:AH971" si="2608">SUM(AB951+AD951+AF951)</f>
        <v>0</v>
      </c>
      <c r="AI951" s="96">
        <f t="shared" ref="AI951:AI971" si="2609">SUM(Y951+AG951)</f>
        <v>0</v>
      </c>
      <c r="AJ951" s="176">
        <f t="shared" ref="AJ951:AJ971" si="2610">SUM(Z951,AH951)</f>
        <v>0</v>
      </c>
      <c r="AK951" s="206"/>
      <c r="AL951" s="176">
        <f t="shared" ref="AL951:AL957" si="2611">M951*AK951*$AL$2/1000</f>
        <v>0</v>
      </c>
      <c r="AM951" s="243"/>
      <c r="AN951" s="176">
        <f t="shared" ref="AN951:AN957" si="2612">M951*AM951*$AN$2/1000</f>
        <v>0</v>
      </c>
      <c r="AO951" s="206"/>
      <c r="AP951" s="214">
        <f t="shared" ref="AP951:AP957" si="2613">M951*AO951*$AP$2/1000</f>
        <v>0</v>
      </c>
      <c r="AQ951" s="188">
        <f t="shared" ref="AQ951:AQ971" si="2614">SUM(AK951+AM951+AO951)</f>
        <v>0</v>
      </c>
      <c r="AR951" s="96">
        <f t="shared" ref="AR951:AR971" si="2615">SUM(AL951+AN951+AP951)</f>
        <v>0</v>
      </c>
      <c r="AS951" s="96"/>
      <c r="AT951" s="176">
        <f t="shared" ref="AT951:AT957" si="2616">O951*AS951*$AT$2/1000</f>
        <v>0</v>
      </c>
      <c r="AU951" s="206"/>
      <c r="AV951" s="176">
        <f t="shared" ref="AV951:AV957" si="2617">O951*AU951*$AV$2/1000</f>
        <v>0</v>
      </c>
      <c r="AW951" s="206"/>
      <c r="AX951" s="176">
        <f t="shared" ref="AX951:AX957" si="2618">O951*AW951*$AX$2/1000</f>
        <v>0</v>
      </c>
      <c r="AY951" s="243">
        <f t="shared" ref="AY951:AY971" si="2619">SUM(AS951+AU951+AW951)</f>
        <v>0</v>
      </c>
      <c r="AZ951" s="96">
        <f t="shared" ref="AZ951:AZ971" si="2620">SUM(AT951+AV951+AX951)</f>
        <v>0</v>
      </c>
      <c r="BA951" s="96">
        <f t="shared" ref="BA951:BA971" si="2621">SUM(AQ951+AY951)</f>
        <v>0</v>
      </c>
      <c r="BB951" s="96">
        <f t="shared" ref="BB951:BB971" si="2622">SUM(AR951,AZ951)</f>
        <v>0</v>
      </c>
    </row>
    <row r="952" spans="1:54">
      <c r="A952" s="492">
        <v>570</v>
      </c>
      <c r="B952" s="13"/>
      <c r="C952" s="13"/>
      <c r="D952" s="13"/>
      <c r="E952" s="62" t="s">
        <v>598</v>
      </c>
      <c r="F952" s="63"/>
      <c r="G952" s="424" t="s">
        <v>1059</v>
      </c>
      <c r="H952" s="284" t="s">
        <v>358</v>
      </c>
      <c r="I952" s="66">
        <v>4.8600000000000003</v>
      </c>
      <c r="J952" s="106"/>
      <c r="K952" s="66">
        <v>4.8600000000000003</v>
      </c>
      <c r="L952" s="106"/>
      <c r="M952" s="66"/>
      <c r="N952" s="106"/>
      <c r="O952" s="66"/>
      <c r="P952" s="106"/>
      <c r="Q952" s="128">
        <f t="shared" si="2597"/>
        <v>0</v>
      </c>
      <c r="R952" s="345">
        <f t="shared" si="2598"/>
        <v>0</v>
      </c>
      <c r="S952" s="128"/>
      <c r="T952" s="96">
        <f t="shared" si="2599"/>
        <v>0</v>
      </c>
      <c r="U952" s="128"/>
      <c r="V952" s="96">
        <f t="shared" si="2600"/>
        <v>0</v>
      </c>
      <c r="W952" s="220"/>
      <c r="X952" s="96">
        <f t="shared" si="2601"/>
        <v>0</v>
      </c>
      <c r="Y952" s="196">
        <f t="shared" si="2602"/>
        <v>0</v>
      </c>
      <c r="Z952" s="183">
        <f t="shared" si="2603"/>
        <v>0</v>
      </c>
      <c r="AA952" s="220"/>
      <c r="AB952" s="205">
        <f t="shared" si="2604"/>
        <v>0</v>
      </c>
      <c r="AC952" s="220"/>
      <c r="AD952" s="205">
        <f t="shared" si="2605"/>
        <v>0</v>
      </c>
      <c r="AE952" s="220"/>
      <c r="AF952" s="205">
        <f t="shared" si="2606"/>
        <v>0</v>
      </c>
      <c r="AG952" s="196">
        <f t="shared" si="2607"/>
        <v>0</v>
      </c>
      <c r="AH952" s="128">
        <f t="shared" si="2608"/>
        <v>0</v>
      </c>
      <c r="AI952" s="128">
        <f t="shared" si="2609"/>
        <v>0</v>
      </c>
      <c r="AJ952" s="183">
        <f t="shared" si="2610"/>
        <v>0</v>
      </c>
      <c r="AK952" s="220"/>
      <c r="AL952" s="176">
        <f t="shared" si="2611"/>
        <v>0</v>
      </c>
      <c r="AM952" s="251"/>
      <c r="AN952" s="176">
        <f t="shared" si="2612"/>
        <v>0</v>
      </c>
      <c r="AO952" s="220"/>
      <c r="AP952" s="214">
        <f t="shared" si="2613"/>
        <v>0</v>
      </c>
      <c r="AQ952" s="196">
        <f t="shared" si="2614"/>
        <v>0</v>
      </c>
      <c r="AR952" s="128">
        <f t="shared" si="2615"/>
        <v>0</v>
      </c>
      <c r="AS952" s="128"/>
      <c r="AT952" s="176">
        <f t="shared" si="2616"/>
        <v>0</v>
      </c>
      <c r="AU952" s="220"/>
      <c r="AV952" s="176">
        <f t="shared" si="2617"/>
        <v>0</v>
      </c>
      <c r="AW952" s="220"/>
      <c r="AX952" s="176">
        <f t="shared" si="2618"/>
        <v>0</v>
      </c>
      <c r="AY952" s="251">
        <f t="shared" si="2619"/>
        <v>0</v>
      </c>
      <c r="AZ952" s="128">
        <f t="shared" si="2620"/>
        <v>0</v>
      </c>
      <c r="BA952" s="128">
        <f t="shared" si="2621"/>
        <v>0</v>
      </c>
      <c r="BB952" s="128">
        <f t="shared" si="2622"/>
        <v>0</v>
      </c>
    </row>
    <row r="953" spans="1:54">
      <c r="A953" s="492">
        <v>571</v>
      </c>
      <c r="B953" s="13"/>
      <c r="C953" s="23"/>
      <c r="D953" s="13"/>
      <c r="E953" s="62" t="s">
        <v>599</v>
      </c>
      <c r="F953" s="63"/>
      <c r="G953" s="424" t="s">
        <v>1059</v>
      </c>
      <c r="H953" s="284" t="s">
        <v>358</v>
      </c>
      <c r="I953" s="66">
        <v>5.96</v>
      </c>
      <c r="J953" s="106"/>
      <c r="K953" s="66">
        <v>5.96</v>
      </c>
      <c r="L953" s="106"/>
      <c r="M953" s="66"/>
      <c r="N953" s="106"/>
      <c r="O953" s="66"/>
      <c r="P953" s="106"/>
      <c r="Q953" s="128">
        <f t="shared" si="2597"/>
        <v>0</v>
      </c>
      <c r="R953" s="345">
        <f t="shared" si="2598"/>
        <v>0</v>
      </c>
      <c r="S953" s="128"/>
      <c r="T953" s="96">
        <f t="shared" si="2599"/>
        <v>0</v>
      </c>
      <c r="U953" s="128"/>
      <c r="V953" s="96">
        <f t="shared" si="2600"/>
        <v>0</v>
      </c>
      <c r="W953" s="220"/>
      <c r="X953" s="96">
        <f t="shared" si="2601"/>
        <v>0</v>
      </c>
      <c r="Y953" s="196">
        <f t="shared" si="2602"/>
        <v>0</v>
      </c>
      <c r="Z953" s="183">
        <f t="shared" si="2603"/>
        <v>0</v>
      </c>
      <c r="AA953" s="220"/>
      <c r="AB953" s="205">
        <f t="shared" si="2604"/>
        <v>0</v>
      </c>
      <c r="AC953" s="220"/>
      <c r="AD953" s="205">
        <f t="shared" si="2605"/>
        <v>0</v>
      </c>
      <c r="AE953" s="220"/>
      <c r="AF953" s="205">
        <f t="shared" si="2606"/>
        <v>0</v>
      </c>
      <c r="AG953" s="196">
        <f t="shared" si="2607"/>
        <v>0</v>
      </c>
      <c r="AH953" s="128">
        <f t="shared" si="2608"/>
        <v>0</v>
      </c>
      <c r="AI953" s="128">
        <f t="shared" si="2609"/>
        <v>0</v>
      </c>
      <c r="AJ953" s="183">
        <f t="shared" si="2610"/>
        <v>0</v>
      </c>
      <c r="AK953" s="220"/>
      <c r="AL953" s="176">
        <f t="shared" si="2611"/>
        <v>0</v>
      </c>
      <c r="AM953" s="251"/>
      <c r="AN953" s="176">
        <f t="shared" si="2612"/>
        <v>0</v>
      </c>
      <c r="AO953" s="220"/>
      <c r="AP953" s="214">
        <f t="shared" si="2613"/>
        <v>0</v>
      </c>
      <c r="AQ953" s="196">
        <f t="shared" si="2614"/>
        <v>0</v>
      </c>
      <c r="AR953" s="128">
        <f t="shared" si="2615"/>
        <v>0</v>
      </c>
      <c r="AS953" s="128"/>
      <c r="AT953" s="176">
        <f t="shared" si="2616"/>
        <v>0</v>
      </c>
      <c r="AU953" s="220"/>
      <c r="AV953" s="176">
        <f t="shared" si="2617"/>
        <v>0</v>
      </c>
      <c r="AW953" s="220"/>
      <c r="AX953" s="176">
        <f t="shared" si="2618"/>
        <v>0</v>
      </c>
      <c r="AY953" s="251">
        <f t="shared" si="2619"/>
        <v>0</v>
      </c>
      <c r="AZ953" s="128">
        <f t="shared" si="2620"/>
        <v>0</v>
      </c>
      <c r="BA953" s="128">
        <f t="shared" si="2621"/>
        <v>0</v>
      </c>
      <c r="BB953" s="128">
        <f t="shared" si="2622"/>
        <v>0</v>
      </c>
    </row>
    <row r="954" spans="1:54">
      <c r="A954" s="492">
        <v>570</v>
      </c>
      <c r="B954" s="13"/>
      <c r="C954" s="13"/>
      <c r="D954" s="13"/>
      <c r="E954" s="62" t="s">
        <v>1536</v>
      </c>
      <c r="F954" s="63"/>
      <c r="G954" s="424" t="s">
        <v>1059</v>
      </c>
      <c r="H954" s="284" t="s">
        <v>358</v>
      </c>
      <c r="I954" s="66">
        <v>8.27</v>
      </c>
      <c r="J954" s="106"/>
      <c r="K954" s="66">
        <v>8.27</v>
      </c>
      <c r="L954" s="106"/>
      <c r="M954" s="66"/>
      <c r="N954" s="106"/>
      <c r="O954" s="66"/>
      <c r="P954" s="106"/>
      <c r="Q954" s="128">
        <f t="shared" si="2597"/>
        <v>0</v>
      </c>
      <c r="R954" s="345">
        <f t="shared" si="2598"/>
        <v>0</v>
      </c>
      <c r="S954" s="128"/>
      <c r="T954" s="96">
        <f t="shared" si="2599"/>
        <v>0</v>
      </c>
      <c r="U954" s="128"/>
      <c r="V954" s="96">
        <f t="shared" si="2600"/>
        <v>0</v>
      </c>
      <c r="W954" s="220"/>
      <c r="X954" s="96">
        <f t="shared" si="2601"/>
        <v>0</v>
      </c>
      <c r="Y954" s="196">
        <f t="shared" si="2602"/>
        <v>0</v>
      </c>
      <c r="Z954" s="183">
        <f t="shared" si="2603"/>
        <v>0</v>
      </c>
      <c r="AA954" s="220"/>
      <c r="AB954" s="205">
        <f t="shared" si="2604"/>
        <v>0</v>
      </c>
      <c r="AC954" s="220"/>
      <c r="AD954" s="205">
        <f t="shared" si="2605"/>
        <v>0</v>
      </c>
      <c r="AE954" s="220"/>
      <c r="AF954" s="205">
        <f t="shared" si="2606"/>
        <v>0</v>
      </c>
      <c r="AG954" s="196">
        <f t="shared" si="2607"/>
        <v>0</v>
      </c>
      <c r="AH954" s="128">
        <f t="shared" si="2608"/>
        <v>0</v>
      </c>
      <c r="AI954" s="128">
        <f t="shared" si="2609"/>
        <v>0</v>
      </c>
      <c r="AJ954" s="183">
        <f t="shared" si="2610"/>
        <v>0</v>
      </c>
      <c r="AK954" s="220"/>
      <c r="AL954" s="176">
        <f t="shared" si="2611"/>
        <v>0</v>
      </c>
      <c r="AM954" s="251"/>
      <c r="AN954" s="176">
        <f t="shared" si="2612"/>
        <v>0</v>
      </c>
      <c r="AO954" s="220"/>
      <c r="AP954" s="214">
        <f t="shared" si="2613"/>
        <v>0</v>
      </c>
      <c r="AQ954" s="196">
        <f t="shared" si="2614"/>
        <v>0</v>
      </c>
      <c r="AR954" s="128">
        <f t="shared" si="2615"/>
        <v>0</v>
      </c>
      <c r="AS954" s="128"/>
      <c r="AT954" s="176">
        <f t="shared" si="2616"/>
        <v>0</v>
      </c>
      <c r="AU954" s="220"/>
      <c r="AV954" s="176">
        <f t="shared" si="2617"/>
        <v>0</v>
      </c>
      <c r="AW954" s="220"/>
      <c r="AX954" s="176">
        <f t="shared" si="2618"/>
        <v>0</v>
      </c>
      <c r="AY954" s="251">
        <f t="shared" si="2619"/>
        <v>0</v>
      </c>
      <c r="AZ954" s="128">
        <f t="shared" si="2620"/>
        <v>0</v>
      </c>
      <c r="BA954" s="128">
        <f t="shared" si="2621"/>
        <v>0</v>
      </c>
      <c r="BB954" s="128">
        <f t="shared" si="2622"/>
        <v>0</v>
      </c>
    </row>
    <row r="955" spans="1:54">
      <c r="A955" s="492">
        <v>570</v>
      </c>
      <c r="B955" s="13"/>
      <c r="C955" s="13"/>
      <c r="D955" s="13"/>
      <c r="E955" s="62" t="s">
        <v>1537</v>
      </c>
      <c r="F955" s="63"/>
      <c r="G955" s="424" t="s">
        <v>1059</v>
      </c>
      <c r="H955" s="284" t="s">
        <v>358</v>
      </c>
      <c r="I955" s="66">
        <v>6.03</v>
      </c>
      <c r="J955" s="106"/>
      <c r="K955" s="66">
        <v>6.03</v>
      </c>
      <c r="L955" s="106"/>
      <c r="M955" s="66"/>
      <c r="N955" s="106"/>
      <c r="O955" s="66"/>
      <c r="P955" s="106"/>
      <c r="Q955" s="128">
        <f t="shared" si="2597"/>
        <v>0</v>
      </c>
      <c r="R955" s="345">
        <f t="shared" si="2598"/>
        <v>0</v>
      </c>
      <c r="S955" s="128"/>
      <c r="T955" s="96">
        <f t="shared" si="2599"/>
        <v>0</v>
      </c>
      <c r="U955" s="128"/>
      <c r="V955" s="96">
        <f t="shared" si="2600"/>
        <v>0</v>
      </c>
      <c r="W955" s="220"/>
      <c r="X955" s="96">
        <f t="shared" si="2601"/>
        <v>0</v>
      </c>
      <c r="Y955" s="196">
        <f t="shared" si="2602"/>
        <v>0</v>
      </c>
      <c r="Z955" s="183">
        <f t="shared" si="2603"/>
        <v>0</v>
      </c>
      <c r="AA955" s="220"/>
      <c r="AB955" s="205">
        <f t="shared" si="2604"/>
        <v>0</v>
      </c>
      <c r="AC955" s="220"/>
      <c r="AD955" s="205">
        <f t="shared" si="2605"/>
        <v>0</v>
      </c>
      <c r="AE955" s="220"/>
      <c r="AF955" s="205">
        <f t="shared" si="2606"/>
        <v>0</v>
      </c>
      <c r="AG955" s="196">
        <f t="shared" si="2607"/>
        <v>0</v>
      </c>
      <c r="AH955" s="128">
        <f t="shared" si="2608"/>
        <v>0</v>
      </c>
      <c r="AI955" s="128">
        <f t="shared" si="2609"/>
        <v>0</v>
      </c>
      <c r="AJ955" s="183">
        <f t="shared" si="2610"/>
        <v>0</v>
      </c>
      <c r="AK955" s="220"/>
      <c r="AL955" s="176">
        <f t="shared" si="2611"/>
        <v>0</v>
      </c>
      <c r="AM955" s="251"/>
      <c r="AN955" s="176">
        <f t="shared" si="2612"/>
        <v>0</v>
      </c>
      <c r="AO955" s="220"/>
      <c r="AP955" s="214">
        <f t="shared" si="2613"/>
        <v>0</v>
      </c>
      <c r="AQ955" s="196">
        <f t="shared" si="2614"/>
        <v>0</v>
      </c>
      <c r="AR955" s="128">
        <f t="shared" si="2615"/>
        <v>0</v>
      </c>
      <c r="AS955" s="128"/>
      <c r="AT955" s="176">
        <f t="shared" si="2616"/>
        <v>0</v>
      </c>
      <c r="AU955" s="220"/>
      <c r="AV955" s="176">
        <f t="shared" si="2617"/>
        <v>0</v>
      </c>
      <c r="AW955" s="220"/>
      <c r="AX955" s="176">
        <f t="shared" si="2618"/>
        <v>0</v>
      </c>
      <c r="AY955" s="251">
        <f t="shared" si="2619"/>
        <v>0</v>
      </c>
      <c r="AZ955" s="128">
        <f t="shared" si="2620"/>
        <v>0</v>
      </c>
      <c r="BA955" s="128">
        <f t="shared" si="2621"/>
        <v>0</v>
      </c>
      <c r="BB955" s="128">
        <f t="shared" si="2622"/>
        <v>0</v>
      </c>
    </row>
    <row r="956" spans="1:54" hidden="1">
      <c r="A956" s="492">
        <v>571</v>
      </c>
      <c r="B956" s="13"/>
      <c r="C956" s="23"/>
      <c r="D956" s="13"/>
      <c r="E956" s="62" t="s">
        <v>1538</v>
      </c>
      <c r="F956" s="63"/>
      <c r="G956" s="424" t="s">
        <v>1059</v>
      </c>
      <c r="H956" s="284" t="s">
        <v>358</v>
      </c>
      <c r="I956" s="66">
        <v>11.09</v>
      </c>
      <c r="J956" s="106"/>
      <c r="K956" s="66">
        <v>11.09</v>
      </c>
      <c r="L956" s="106"/>
      <c r="M956" s="66"/>
      <c r="N956" s="106"/>
      <c r="O956" s="66"/>
      <c r="P956" s="106"/>
      <c r="Q956" s="128">
        <f t="shared" si="2597"/>
        <v>0</v>
      </c>
      <c r="R956" s="345">
        <f t="shared" si="2598"/>
        <v>0</v>
      </c>
      <c r="S956" s="128"/>
      <c r="T956" s="96">
        <f t="shared" si="2599"/>
        <v>0</v>
      </c>
      <c r="U956" s="128"/>
      <c r="V956" s="96">
        <f t="shared" si="2600"/>
        <v>0</v>
      </c>
      <c r="W956" s="220"/>
      <c r="X956" s="96">
        <f t="shared" si="2601"/>
        <v>0</v>
      </c>
      <c r="Y956" s="196">
        <f t="shared" si="2602"/>
        <v>0</v>
      </c>
      <c r="Z956" s="183">
        <f t="shared" si="2603"/>
        <v>0</v>
      </c>
      <c r="AA956" s="220"/>
      <c r="AB956" s="205">
        <f t="shared" si="2604"/>
        <v>0</v>
      </c>
      <c r="AC956" s="220"/>
      <c r="AD956" s="205">
        <f t="shared" si="2605"/>
        <v>0</v>
      </c>
      <c r="AE956" s="220"/>
      <c r="AF956" s="205">
        <f t="shared" si="2606"/>
        <v>0</v>
      </c>
      <c r="AG956" s="196">
        <f t="shared" si="2607"/>
        <v>0</v>
      </c>
      <c r="AH956" s="128">
        <f t="shared" si="2608"/>
        <v>0</v>
      </c>
      <c r="AI956" s="128">
        <f t="shared" si="2609"/>
        <v>0</v>
      </c>
      <c r="AJ956" s="183">
        <f t="shared" si="2610"/>
        <v>0</v>
      </c>
      <c r="AK956" s="220"/>
      <c r="AL956" s="176">
        <f t="shared" si="2611"/>
        <v>0</v>
      </c>
      <c r="AM956" s="251"/>
      <c r="AN956" s="176">
        <f t="shared" si="2612"/>
        <v>0</v>
      </c>
      <c r="AO956" s="220"/>
      <c r="AP956" s="214">
        <f t="shared" si="2613"/>
        <v>0</v>
      </c>
      <c r="AQ956" s="196">
        <f t="shared" si="2614"/>
        <v>0</v>
      </c>
      <c r="AR956" s="128">
        <f t="shared" si="2615"/>
        <v>0</v>
      </c>
      <c r="AS956" s="128"/>
      <c r="AT956" s="176">
        <f t="shared" si="2616"/>
        <v>0</v>
      </c>
      <c r="AU956" s="220"/>
      <c r="AV956" s="176">
        <f t="shared" si="2617"/>
        <v>0</v>
      </c>
      <c r="AW956" s="220"/>
      <c r="AX956" s="176">
        <f t="shared" si="2618"/>
        <v>0</v>
      </c>
      <c r="AY956" s="251">
        <f t="shared" si="2619"/>
        <v>0</v>
      </c>
      <c r="AZ956" s="128">
        <f t="shared" si="2620"/>
        <v>0</v>
      </c>
      <c r="BA956" s="128">
        <f t="shared" si="2621"/>
        <v>0</v>
      </c>
      <c r="BB956" s="128">
        <f t="shared" si="2622"/>
        <v>0</v>
      </c>
    </row>
    <row r="957" spans="1:54" hidden="1">
      <c r="A957" s="492">
        <v>572</v>
      </c>
      <c r="B957" s="13"/>
      <c r="C957" s="13"/>
      <c r="D957" s="13"/>
      <c r="E957" s="62" t="s">
        <v>1560</v>
      </c>
      <c r="F957" s="63"/>
      <c r="G957" s="424" t="s">
        <v>1059</v>
      </c>
      <c r="H957" s="284" t="s">
        <v>358</v>
      </c>
      <c r="I957" s="66">
        <v>11.67</v>
      </c>
      <c r="J957" s="106"/>
      <c r="K957" s="66">
        <v>11.67</v>
      </c>
      <c r="L957" s="106"/>
      <c r="M957" s="66"/>
      <c r="N957" s="106"/>
      <c r="O957" s="66"/>
      <c r="P957" s="106"/>
      <c r="Q957" s="128">
        <f t="shared" si="2597"/>
        <v>0</v>
      </c>
      <c r="R957" s="345">
        <f t="shared" si="2598"/>
        <v>0</v>
      </c>
      <c r="S957" s="128"/>
      <c r="T957" s="96">
        <f t="shared" si="2599"/>
        <v>0</v>
      </c>
      <c r="U957" s="128"/>
      <c r="V957" s="96">
        <f t="shared" si="2600"/>
        <v>0</v>
      </c>
      <c r="W957" s="220"/>
      <c r="X957" s="96">
        <f t="shared" si="2601"/>
        <v>0</v>
      </c>
      <c r="Y957" s="196">
        <f t="shared" si="2602"/>
        <v>0</v>
      </c>
      <c r="Z957" s="183">
        <f t="shared" si="2603"/>
        <v>0</v>
      </c>
      <c r="AA957" s="220"/>
      <c r="AB957" s="205">
        <f t="shared" si="2604"/>
        <v>0</v>
      </c>
      <c r="AC957" s="220"/>
      <c r="AD957" s="205">
        <f t="shared" si="2605"/>
        <v>0</v>
      </c>
      <c r="AE957" s="220"/>
      <c r="AF957" s="205">
        <f t="shared" si="2606"/>
        <v>0</v>
      </c>
      <c r="AG957" s="196">
        <f t="shared" si="2607"/>
        <v>0</v>
      </c>
      <c r="AH957" s="128">
        <f t="shared" si="2608"/>
        <v>0</v>
      </c>
      <c r="AI957" s="128">
        <f t="shared" si="2609"/>
        <v>0</v>
      </c>
      <c r="AJ957" s="183">
        <f t="shared" si="2610"/>
        <v>0</v>
      </c>
      <c r="AK957" s="220"/>
      <c r="AL957" s="176">
        <f t="shared" si="2611"/>
        <v>0</v>
      </c>
      <c r="AM957" s="251"/>
      <c r="AN957" s="176">
        <f t="shared" si="2612"/>
        <v>0</v>
      </c>
      <c r="AO957" s="220"/>
      <c r="AP957" s="214">
        <f t="shared" si="2613"/>
        <v>0</v>
      </c>
      <c r="AQ957" s="196">
        <f t="shared" si="2614"/>
        <v>0</v>
      </c>
      <c r="AR957" s="128">
        <f t="shared" si="2615"/>
        <v>0</v>
      </c>
      <c r="AS957" s="128"/>
      <c r="AT957" s="176">
        <f t="shared" si="2616"/>
        <v>0</v>
      </c>
      <c r="AU957" s="220"/>
      <c r="AV957" s="176">
        <f t="shared" si="2617"/>
        <v>0</v>
      </c>
      <c r="AW957" s="220"/>
      <c r="AX957" s="176">
        <f t="shared" si="2618"/>
        <v>0</v>
      </c>
      <c r="AY957" s="251">
        <f t="shared" si="2619"/>
        <v>0</v>
      </c>
      <c r="AZ957" s="128">
        <f t="shared" si="2620"/>
        <v>0</v>
      </c>
      <c r="BA957" s="128">
        <f t="shared" si="2621"/>
        <v>0</v>
      </c>
      <c r="BB957" s="128">
        <f t="shared" si="2622"/>
        <v>0</v>
      </c>
    </row>
    <row r="958" spans="1:54" hidden="1">
      <c r="A958" s="492">
        <v>573</v>
      </c>
      <c r="B958" s="13"/>
      <c r="C958" s="13"/>
      <c r="D958" s="13"/>
      <c r="E958" s="62" t="s">
        <v>600</v>
      </c>
      <c r="F958" s="419"/>
      <c r="G958" s="424" t="s">
        <v>1059</v>
      </c>
      <c r="H958" s="284" t="s">
        <v>358</v>
      </c>
      <c r="I958" s="147"/>
      <c r="J958" s="165">
        <v>4830</v>
      </c>
      <c r="K958" s="147"/>
      <c r="L958" s="165"/>
      <c r="M958" s="147"/>
      <c r="N958" s="165"/>
      <c r="O958" s="147"/>
      <c r="P958" s="165"/>
      <c r="Q958" s="128">
        <f t="shared" si="2597"/>
        <v>0</v>
      </c>
      <c r="R958" s="345">
        <f t="shared" si="2598"/>
        <v>0</v>
      </c>
      <c r="S958" s="128"/>
      <c r="T958" s="128">
        <f t="shared" ref="T958:T963" si="2623">J958*S958/1000</f>
        <v>0</v>
      </c>
      <c r="U958" s="128"/>
      <c r="V958" s="183">
        <f t="shared" ref="V958:V963" si="2624">J958*U958/1000</f>
        <v>0</v>
      </c>
      <c r="W958" s="220"/>
      <c r="X958" s="221">
        <f t="shared" ref="X958:X963" si="2625">J958*W958/1000</f>
        <v>0</v>
      </c>
      <c r="Y958" s="196">
        <f t="shared" si="2602"/>
        <v>0</v>
      </c>
      <c r="Z958" s="183">
        <f t="shared" si="2603"/>
        <v>0</v>
      </c>
      <c r="AA958" s="220"/>
      <c r="AB958" s="221">
        <f t="shared" ref="AB958:AB963" si="2626">L958*AA958/1000</f>
        <v>0</v>
      </c>
      <c r="AC958" s="220"/>
      <c r="AD958" s="183">
        <f t="shared" ref="AD958:AD963" si="2627">L958*AC958/1000</f>
        <v>0</v>
      </c>
      <c r="AE958" s="220"/>
      <c r="AF958" s="205">
        <f t="shared" ref="AF958:AF963" si="2628">L958*AE958/1000</f>
        <v>0</v>
      </c>
      <c r="AG958" s="196">
        <f t="shared" si="2607"/>
        <v>0</v>
      </c>
      <c r="AH958" s="128">
        <f t="shared" si="2608"/>
        <v>0</v>
      </c>
      <c r="AI958" s="128">
        <f t="shared" si="2609"/>
        <v>0</v>
      </c>
      <c r="AJ958" s="183">
        <f t="shared" si="2610"/>
        <v>0</v>
      </c>
      <c r="AK958" s="220"/>
      <c r="AL958" s="183">
        <f t="shared" ref="AL958:AL963" si="2629">N958*AK958/1000</f>
        <v>0</v>
      </c>
      <c r="AM958" s="251"/>
      <c r="AN958" s="183">
        <f t="shared" ref="AN958:AN963" si="2630">N958*AM958/1000</f>
        <v>0</v>
      </c>
      <c r="AO958" s="220"/>
      <c r="AP958" s="221">
        <f t="shared" ref="AP958:AP963" si="2631">N958*AO958/1000</f>
        <v>0</v>
      </c>
      <c r="AQ958" s="196">
        <f t="shared" si="2614"/>
        <v>0</v>
      </c>
      <c r="AR958" s="128">
        <f t="shared" si="2615"/>
        <v>0</v>
      </c>
      <c r="AS958" s="128"/>
      <c r="AT958" s="183">
        <f t="shared" ref="AT958:AT963" si="2632">P958*AS958/1000</f>
        <v>0</v>
      </c>
      <c r="AU958" s="220"/>
      <c r="AV958" s="183">
        <f t="shared" ref="AV958:AV963" si="2633">P958*AU958/1000</f>
        <v>0</v>
      </c>
      <c r="AW958" s="220"/>
      <c r="AX958" s="183">
        <f t="shared" ref="AX958:AX963" si="2634">P958*AW958/1000</f>
        <v>0</v>
      </c>
      <c r="AY958" s="251">
        <f t="shared" si="2619"/>
        <v>0</v>
      </c>
      <c r="AZ958" s="128">
        <f t="shared" si="2620"/>
        <v>0</v>
      </c>
      <c r="BA958" s="128">
        <f t="shared" si="2621"/>
        <v>0</v>
      </c>
      <c r="BB958" s="128">
        <f t="shared" si="2622"/>
        <v>0</v>
      </c>
    </row>
    <row r="959" spans="1:54" hidden="1">
      <c r="A959" s="492">
        <v>574</v>
      </c>
      <c r="B959" s="13"/>
      <c r="C959" s="13"/>
      <c r="D959" s="13"/>
      <c r="E959" s="62" t="s">
        <v>412</v>
      </c>
      <c r="F959" s="419"/>
      <c r="G959" s="424" t="s">
        <v>1059</v>
      </c>
      <c r="H959" s="284" t="s">
        <v>358</v>
      </c>
      <c r="I959" s="147"/>
      <c r="J959" s="165">
        <v>4830</v>
      </c>
      <c r="K959" s="147"/>
      <c r="L959" s="165"/>
      <c r="M959" s="147"/>
      <c r="N959" s="165"/>
      <c r="O959" s="147"/>
      <c r="P959" s="165"/>
      <c r="Q959" s="128">
        <f t="shared" si="2597"/>
        <v>0</v>
      </c>
      <c r="R959" s="345">
        <f t="shared" si="2598"/>
        <v>0</v>
      </c>
      <c r="S959" s="128"/>
      <c r="T959" s="128">
        <f t="shared" si="2623"/>
        <v>0</v>
      </c>
      <c r="U959" s="128"/>
      <c r="V959" s="183">
        <f t="shared" si="2624"/>
        <v>0</v>
      </c>
      <c r="W959" s="220"/>
      <c r="X959" s="221">
        <f t="shared" si="2625"/>
        <v>0</v>
      </c>
      <c r="Y959" s="196">
        <f t="shared" si="2602"/>
        <v>0</v>
      </c>
      <c r="Z959" s="183">
        <f t="shared" si="2603"/>
        <v>0</v>
      </c>
      <c r="AA959" s="220"/>
      <c r="AB959" s="221">
        <f t="shared" si="2626"/>
        <v>0</v>
      </c>
      <c r="AC959" s="220"/>
      <c r="AD959" s="183">
        <f t="shared" si="2627"/>
        <v>0</v>
      </c>
      <c r="AE959" s="220"/>
      <c r="AF959" s="205">
        <f t="shared" si="2628"/>
        <v>0</v>
      </c>
      <c r="AG959" s="196">
        <f t="shared" si="2607"/>
        <v>0</v>
      </c>
      <c r="AH959" s="128">
        <f t="shared" si="2608"/>
        <v>0</v>
      </c>
      <c r="AI959" s="128">
        <f t="shared" si="2609"/>
        <v>0</v>
      </c>
      <c r="AJ959" s="183">
        <f t="shared" si="2610"/>
        <v>0</v>
      </c>
      <c r="AK959" s="220"/>
      <c r="AL959" s="183">
        <f t="shared" si="2629"/>
        <v>0</v>
      </c>
      <c r="AM959" s="251"/>
      <c r="AN959" s="183">
        <f t="shared" si="2630"/>
        <v>0</v>
      </c>
      <c r="AO959" s="220"/>
      <c r="AP959" s="221">
        <f t="shared" si="2631"/>
        <v>0</v>
      </c>
      <c r="AQ959" s="196">
        <f t="shared" si="2614"/>
        <v>0</v>
      </c>
      <c r="AR959" s="128">
        <f t="shared" si="2615"/>
        <v>0</v>
      </c>
      <c r="AS959" s="128"/>
      <c r="AT959" s="183">
        <f t="shared" si="2632"/>
        <v>0</v>
      </c>
      <c r="AU959" s="220"/>
      <c r="AV959" s="183">
        <f t="shared" si="2633"/>
        <v>0</v>
      </c>
      <c r="AW959" s="220"/>
      <c r="AX959" s="183">
        <f t="shared" si="2634"/>
        <v>0</v>
      </c>
      <c r="AY959" s="251">
        <f t="shared" si="2619"/>
        <v>0</v>
      </c>
      <c r="AZ959" s="128">
        <f t="shared" si="2620"/>
        <v>0</v>
      </c>
      <c r="BA959" s="128">
        <f t="shared" si="2621"/>
        <v>0</v>
      </c>
      <c r="BB959" s="128">
        <f t="shared" si="2622"/>
        <v>0</v>
      </c>
    </row>
    <row r="960" spans="1:54" hidden="1">
      <c r="A960" s="492">
        <v>575</v>
      </c>
      <c r="B960" s="13"/>
      <c r="C960" s="13"/>
      <c r="D960" s="13"/>
      <c r="E960" s="21" t="s">
        <v>227</v>
      </c>
      <c r="F960" s="45"/>
      <c r="G960" s="424" t="s">
        <v>1059</v>
      </c>
      <c r="H960" s="284" t="s">
        <v>358</v>
      </c>
      <c r="I960" s="142"/>
      <c r="J960" s="162">
        <v>5190</v>
      </c>
      <c r="K960" s="142"/>
      <c r="L960" s="162"/>
      <c r="M960" s="142"/>
      <c r="N960" s="162"/>
      <c r="O960" s="142"/>
      <c r="P960" s="162"/>
      <c r="Q960" s="96">
        <f t="shared" si="2597"/>
        <v>0</v>
      </c>
      <c r="R960" s="337">
        <f t="shared" si="2598"/>
        <v>0</v>
      </c>
      <c r="S960" s="96"/>
      <c r="T960" s="96">
        <f t="shared" si="2623"/>
        <v>0</v>
      </c>
      <c r="U960" s="96"/>
      <c r="V960" s="176">
        <f t="shared" si="2624"/>
        <v>0</v>
      </c>
      <c r="W960" s="206"/>
      <c r="X960" s="205">
        <f t="shared" si="2625"/>
        <v>0</v>
      </c>
      <c r="Y960" s="188">
        <f t="shared" si="2602"/>
        <v>0</v>
      </c>
      <c r="Z960" s="176">
        <f t="shared" si="2603"/>
        <v>0</v>
      </c>
      <c r="AA960" s="206"/>
      <c r="AB960" s="205">
        <f t="shared" si="2626"/>
        <v>0</v>
      </c>
      <c r="AC960" s="206"/>
      <c r="AD960" s="176">
        <f t="shared" si="2627"/>
        <v>0</v>
      </c>
      <c r="AE960" s="206"/>
      <c r="AF960" s="205">
        <f t="shared" si="2628"/>
        <v>0</v>
      </c>
      <c r="AG960" s="188">
        <f t="shared" si="2607"/>
        <v>0</v>
      </c>
      <c r="AH960" s="96">
        <f t="shared" si="2608"/>
        <v>0</v>
      </c>
      <c r="AI960" s="96">
        <f t="shared" si="2609"/>
        <v>0</v>
      </c>
      <c r="AJ960" s="176">
        <f t="shared" si="2610"/>
        <v>0</v>
      </c>
      <c r="AK960" s="206"/>
      <c r="AL960" s="176">
        <f t="shared" si="2629"/>
        <v>0</v>
      </c>
      <c r="AM960" s="243"/>
      <c r="AN960" s="176">
        <f t="shared" si="2630"/>
        <v>0</v>
      </c>
      <c r="AO960" s="206"/>
      <c r="AP960" s="205">
        <f t="shared" si="2631"/>
        <v>0</v>
      </c>
      <c r="AQ960" s="188">
        <f t="shared" si="2614"/>
        <v>0</v>
      </c>
      <c r="AR960" s="96">
        <f t="shared" si="2615"/>
        <v>0</v>
      </c>
      <c r="AS960" s="96"/>
      <c r="AT960" s="176">
        <f t="shared" si="2632"/>
        <v>0</v>
      </c>
      <c r="AU960" s="206"/>
      <c r="AV960" s="176">
        <f t="shared" si="2633"/>
        <v>0</v>
      </c>
      <c r="AW960" s="206"/>
      <c r="AX960" s="176">
        <f t="shared" si="2634"/>
        <v>0</v>
      </c>
      <c r="AY960" s="243">
        <f t="shared" si="2619"/>
        <v>0</v>
      </c>
      <c r="AZ960" s="96">
        <f t="shared" si="2620"/>
        <v>0</v>
      </c>
      <c r="BA960" s="96">
        <f t="shared" si="2621"/>
        <v>0</v>
      </c>
      <c r="BB960" s="96">
        <f t="shared" si="2622"/>
        <v>0</v>
      </c>
    </row>
    <row r="961" spans="1:54" hidden="1">
      <c r="A961" s="492">
        <v>576</v>
      </c>
      <c r="B961" s="13"/>
      <c r="C961" s="13"/>
      <c r="D961" s="13"/>
      <c r="E961" s="21" t="s">
        <v>411</v>
      </c>
      <c r="F961" s="45"/>
      <c r="G961" s="424" t="s">
        <v>1059</v>
      </c>
      <c r="H961" s="284" t="s">
        <v>358</v>
      </c>
      <c r="I961" s="142"/>
      <c r="J961" s="162">
        <v>5190</v>
      </c>
      <c r="K961" s="142"/>
      <c r="L961" s="162"/>
      <c r="M961" s="142"/>
      <c r="N961" s="162"/>
      <c r="O961" s="142"/>
      <c r="P961" s="162"/>
      <c r="Q961" s="96">
        <f t="shared" si="2597"/>
        <v>0</v>
      </c>
      <c r="R961" s="337">
        <f t="shared" si="2598"/>
        <v>0</v>
      </c>
      <c r="S961" s="96"/>
      <c r="T961" s="96">
        <f t="shared" si="2623"/>
        <v>0</v>
      </c>
      <c r="U961" s="96"/>
      <c r="V961" s="176">
        <f t="shared" si="2624"/>
        <v>0</v>
      </c>
      <c r="W961" s="206"/>
      <c r="X961" s="205">
        <f t="shared" si="2625"/>
        <v>0</v>
      </c>
      <c r="Y961" s="188">
        <f t="shared" si="2602"/>
        <v>0</v>
      </c>
      <c r="Z961" s="176">
        <f t="shared" si="2603"/>
        <v>0</v>
      </c>
      <c r="AA961" s="206"/>
      <c r="AB961" s="205">
        <f t="shared" si="2626"/>
        <v>0</v>
      </c>
      <c r="AC961" s="206"/>
      <c r="AD961" s="176">
        <f t="shared" si="2627"/>
        <v>0</v>
      </c>
      <c r="AE961" s="206"/>
      <c r="AF961" s="208">
        <f t="shared" si="2628"/>
        <v>0</v>
      </c>
      <c r="AG961" s="188">
        <f t="shared" si="2607"/>
        <v>0</v>
      </c>
      <c r="AH961" s="96">
        <f t="shared" si="2608"/>
        <v>0</v>
      </c>
      <c r="AI961" s="96">
        <f t="shared" si="2609"/>
        <v>0</v>
      </c>
      <c r="AJ961" s="176">
        <f t="shared" si="2610"/>
        <v>0</v>
      </c>
      <c r="AK961" s="206"/>
      <c r="AL961" s="176">
        <f t="shared" si="2629"/>
        <v>0</v>
      </c>
      <c r="AM961" s="243"/>
      <c r="AN961" s="176">
        <f t="shared" si="2630"/>
        <v>0</v>
      </c>
      <c r="AO961" s="206"/>
      <c r="AP961" s="205">
        <f t="shared" si="2631"/>
        <v>0</v>
      </c>
      <c r="AQ961" s="188">
        <f t="shared" si="2614"/>
        <v>0</v>
      </c>
      <c r="AR961" s="96">
        <f t="shared" si="2615"/>
        <v>0</v>
      </c>
      <c r="AS961" s="96"/>
      <c r="AT961" s="176">
        <f t="shared" si="2632"/>
        <v>0</v>
      </c>
      <c r="AU961" s="206"/>
      <c r="AV961" s="176">
        <f t="shared" si="2633"/>
        <v>0</v>
      </c>
      <c r="AW961" s="206"/>
      <c r="AX961" s="176">
        <f t="shared" si="2634"/>
        <v>0</v>
      </c>
      <c r="AY961" s="243">
        <f t="shared" si="2619"/>
        <v>0</v>
      </c>
      <c r="AZ961" s="96">
        <f t="shared" si="2620"/>
        <v>0</v>
      </c>
      <c r="BA961" s="96">
        <f t="shared" si="2621"/>
        <v>0</v>
      </c>
      <c r="BB961" s="96">
        <f t="shared" si="2622"/>
        <v>0</v>
      </c>
    </row>
    <row r="962" spans="1:54" hidden="1">
      <c r="A962" s="492">
        <v>575</v>
      </c>
      <c r="B962" s="13"/>
      <c r="C962" s="13"/>
      <c r="D962" s="13"/>
      <c r="E962" s="21" t="s">
        <v>1355</v>
      </c>
      <c r="F962" s="45"/>
      <c r="G962" s="424" t="s">
        <v>1059</v>
      </c>
      <c r="H962" s="284" t="s">
        <v>358</v>
      </c>
      <c r="I962" s="142"/>
      <c r="J962" s="162">
        <v>18360</v>
      </c>
      <c r="K962" s="142"/>
      <c r="L962" s="162"/>
      <c r="M962" s="142"/>
      <c r="N962" s="162"/>
      <c r="O962" s="142"/>
      <c r="P962" s="162"/>
      <c r="Q962" s="96">
        <f t="shared" si="2597"/>
        <v>0</v>
      </c>
      <c r="R962" s="337">
        <f t="shared" si="2598"/>
        <v>0</v>
      </c>
      <c r="S962" s="96"/>
      <c r="T962" s="96">
        <f t="shared" si="2623"/>
        <v>0</v>
      </c>
      <c r="U962" s="96"/>
      <c r="V962" s="176">
        <f t="shared" si="2624"/>
        <v>0</v>
      </c>
      <c r="W962" s="206"/>
      <c r="X962" s="205">
        <f t="shared" si="2625"/>
        <v>0</v>
      </c>
      <c r="Y962" s="188">
        <f t="shared" si="2602"/>
        <v>0</v>
      </c>
      <c r="Z962" s="176">
        <f t="shared" si="2603"/>
        <v>0</v>
      </c>
      <c r="AA962" s="206"/>
      <c r="AB962" s="205">
        <f t="shared" si="2626"/>
        <v>0</v>
      </c>
      <c r="AC962" s="206"/>
      <c r="AD962" s="176">
        <f t="shared" si="2627"/>
        <v>0</v>
      </c>
      <c r="AE962" s="206"/>
      <c r="AF962" s="205">
        <f t="shared" si="2628"/>
        <v>0</v>
      </c>
      <c r="AG962" s="188">
        <f t="shared" si="2607"/>
        <v>0</v>
      </c>
      <c r="AH962" s="96">
        <f t="shared" si="2608"/>
        <v>0</v>
      </c>
      <c r="AI962" s="96">
        <f t="shared" si="2609"/>
        <v>0</v>
      </c>
      <c r="AJ962" s="176">
        <f t="shared" si="2610"/>
        <v>0</v>
      </c>
      <c r="AK962" s="206"/>
      <c r="AL962" s="176">
        <f t="shared" si="2629"/>
        <v>0</v>
      </c>
      <c r="AM962" s="243"/>
      <c r="AN962" s="176">
        <f t="shared" si="2630"/>
        <v>0</v>
      </c>
      <c r="AO962" s="206"/>
      <c r="AP962" s="205">
        <f t="shared" si="2631"/>
        <v>0</v>
      </c>
      <c r="AQ962" s="188">
        <f t="shared" si="2614"/>
        <v>0</v>
      </c>
      <c r="AR962" s="96">
        <f t="shared" si="2615"/>
        <v>0</v>
      </c>
      <c r="AS962" s="96"/>
      <c r="AT962" s="176">
        <f t="shared" si="2632"/>
        <v>0</v>
      </c>
      <c r="AU962" s="206"/>
      <c r="AV962" s="176">
        <f t="shared" si="2633"/>
        <v>0</v>
      </c>
      <c r="AW962" s="206"/>
      <c r="AX962" s="176">
        <f t="shared" si="2634"/>
        <v>0</v>
      </c>
      <c r="AY962" s="243">
        <f t="shared" si="2619"/>
        <v>0</v>
      </c>
      <c r="AZ962" s="96">
        <f t="shared" si="2620"/>
        <v>0</v>
      </c>
      <c r="BA962" s="96">
        <f t="shared" si="2621"/>
        <v>0</v>
      </c>
      <c r="BB962" s="96">
        <f t="shared" si="2622"/>
        <v>0</v>
      </c>
    </row>
    <row r="963" spans="1:54" hidden="1">
      <c r="A963" s="492">
        <v>576</v>
      </c>
      <c r="B963" s="13"/>
      <c r="C963" s="13"/>
      <c r="D963" s="13"/>
      <c r="E963" s="21" t="s">
        <v>1356</v>
      </c>
      <c r="F963" s="45"/>
      <c r="G963" s="424" t="s">
        <v>1059</v>
      </c>
      <c r="H963" s="284" t="s">
        <v>358</v>
      </c>
      <c r="I963" s="142"/>
      <c r="J963" s="162">
        <v>18360</v>
      </c>
      <c r="K963" s="142"/>
      <c r="L963" s="162"/>
      <c r="M963" s="142"/>
      <c r="N963" s="162"/>
      <c r="O963" s="142"/>
      <c r="P963" s="162"/>
      <c r="Q963" s="96">
        <f t="shared" si="2597"/>
        <v>0</v>
      </c>
      <c r="R963" s="337">
        <f t="shared" si="2598"/>
        <v>0</v>
      </c>
      <c r="S963" s="96"/>
      <c r="T963" s="96">
        <f t="shared" si="2623"/>
        <v>0</v>
      </c>
      <c r="U963" s="96"/>
      <c r="V963" s="176">
        <f t="shared" si="2624"/>
        <v>0</v>
      </c>
      <c r="W963" s="206"/>
      <c r="X963" s="205">
        <f t="shared" si="2625"/>
        <v>0</v>
      </c>
      <c r="Y963" s="188">
        <f t="shared" si="2602"/>
        <v>0</v>
      </c>
      <c r="Z963" s="176">
        <f t="shared" si="2603"/>
        <v>0</v>
      </c>
      <c r="AA963" s="206"/>
      <c r="AB963" s="205">
        <f t="shared" si="2626"/>
        <v>0</v>
      </c>
      <c r="AC963" s="206"/>
      <c r="AD963" s="176">
        <f t="shared" si="2627"/>
        <v>0</v>
      </c>
      <c r="AE963" s="206"/>
      <c r="AF963" s="208">
        <f t="shared" si="2628"/>
        <v>0</v>
      </c>
      <c r="AG963" s="188">
        <f t="shared" si="2607"/>
        <v>0</v>
      </c>
      <c r="AH963" s="96">
        <f t="shared" si="2608"/>
        <v>0</v>
      </c>
      <c r="AI963" s="96">
        <f t="shared" si="2609"/>
        <v>0</v>
      </c>
      <c r="AJ963" s="176">
        <f t="shared" si="2610"/>
        <v>0</v>
      </c>
      <c r="AK963" s="206"/>
      <c r="AL963" s="176">
        <f t="shared" si="2629"/>
        <v>0</v>
      </c>
      <c r="AM963" s="243"/>
      <c r="AN963" s="176">
        <f t="shared" si="2630"/>
        <v>0</v>
      </c>
      <c r="AO963" s="206"/>
      <c r="AP963" s="205">
        <f t="shared" si="2631"/>
        <v>0</v>
      </c>
      <c r="AQ963" s="188">
        <f t="shared" si="2614"/>
        <v>0</v>
      </c>
      <c r="AR963" s="96">
        <f t="shared" si="2615"/>
        <v>0</v>
      </c>
      <c r="AS963" s="96"/>
      <c r="AT963" s="176">
        <f t="shared" si="2632"/>
        <v>0</v>
      </c>
      <c r="AU963" s="206"/>
      <c r="AV963" s="176">
        <f t="shared" si="2633"/>
        <v>0</v>
      </c>
      <c r="AW963" s="206"/>
      <c r="AX963" s="176">
        <f t="shared" si="2634"/>
        <v>0</v>
      </c>
      <c r="AY963" s="243">
        <f t="shared" si="2619"/>
        <v>0</v>
      </c>
      <c r="AZ963" s="96">
        <f t="shared" si="2620"/>
        <v>0</v>
      </c>
      <c r="BA963" s="96">
        <f t="shared" si="2621"/>
        <v>0</v>
      </c>
      <c r="BB963" s="96">
        <f t="shared" si="2622"/>
        <v>0</v>
      </c>
    </row>
    <row r="964" spans="1:54">
      <c r="B964" s="13"/>
      <c r="C964" s="13"/>
      <c r="D964" s="13"/>
      <c r="E964" s="21" t="s">
        <v>2445</v>
      </c>
      <c r="F964" s="22"/>
      <c r="G964" s="45" t="s">
        <v>1056</v>
      </c>
      <c r="H964" s="284" t="s">
        <v>358</v>
      </c>
      <c r="I964" s="54">
        <v>5.84</v>
      </c>
      <c r="J964" s="101"/>
      <c r="K964" s="54">
        <v>5.84</v>
      </c>
      <c r="L964" s="101"/>
      <c r="M964" s="54"/>
      <c r="N964" s="101"/>
      <c r="O964" s="54"/>
      <c r="P964" s="101"/>
      <c r="Q964" s="96">
        <f>SUM(AI964+BA964)</f>
        <v>1.3089999999999999</v>
      </c>
      <c r="R964" s="337">
        <f t="shared" ref="R964" si="2635">SUM(AJ964+BB964)</f>
        <v>10.998295924000001</v>
      </c>
      <c r="S964" s="96">
        <v>0.109</v>
      </c>
      <c r="T964" s="96">
        <f t="shared" ref="T964" si="2636">I964*S964*$T$2/1000</f>
        <v>0.91896984400000004</v>
      </c>
      <c r="U964" s="96">
        <v>1.2</v>
      </c>
      <c r="V964" s="176">
        <f t="shared" ref="V964" si="2637">I964*U964*$V$2/1000</f>
        <v>10.079326080000001</v>
      </c>
      <c r="W964" s="206"/>
      <c r="X964" s="205">
        <f t="shared" ref="X964" si="2638">I964*W964*$X$2/1000</f>
        <v>0</v>
      </c>
      <c r="Y964" s="188">
        <f t="shared" ref="Y964" si="2639">SUM(S964+U964+W964)</f>
        <v>1.3089999999999999</v>
      </c>
      <c r="Z964" s="176">
        <f t="shared" ref="Z964" si="2640">SUM(T964+V964+X964)</f>
        <v>10.998295924000001</v>
      </c>
      <c r="AA964" s="206"/>
      <c r="AB964" s="205">
        <f t="shared" ref="AB964" si="2641">K964*AA964*$AB$2/1000</f>
        <v>0</v>
      </c>
      <c r="AC964" s="206"/>
      <c r="AD964" s="176">
        <f t="shared" ref="AD964" si="2642">K964*AC964*$AD$2/1000</f>
        <v>0</v>
      </c>
      <c r="AE964" s="206"/>
      <c r="AF964" s="205">
        <f t="shared" ref="AF964" si="2643">K964*AE964*$AF$2/1000</f>
        <v>0</v>
      </c>
      <c r="AG964" s="188">
        <f t="shared" ref="AG964" si="2644">SUM(AA964+AC964+AE964)</f>
        <v>0</v>
      </c>
      <c r="AH964" s="96">
        <f t="shared" ref="AH964" si="2645">SUM(AB964+AD964+AF964)</f>
        <v>0</v>
      </c>
      <c r="AI964" s="96">
        <f t="shared" ref="AI964" si="2646">SUM(Y964+AG964)</f>
        <v>1.3089999999999999</v>
      </c>
      <c r="AJ964" s="176">
        <f t="shared" ref="AJ964" si="2647">SUM(Z964,AH964)</f>
        <v>10.998295924000001</v>
      </c>
      <c r="AK964" s="206"/>
      <c r="AL964" s="176">
        <f t="shared" ref="AL964" si="2648">M964*AK964*$AL$2/1000</f>
        <v>0</v>
      </c>
      <c r="AM964" s="243"/>
      <c r="AN964" s="176">
        <f t="shared" ref="AN964" si="2649">M964*AM964*$AN$2/1000</f>
        <v>0</v>
      </c>
      <c r="AO964" s="206"/>
      <c r="AP964" s="205">
        <f t="shared" ref="AP964" si="2650">M964*AO964*$AP$2/1000</f>
        <v>0</v>
      </c>
      <c r="AQ964" s="188">
        <f t="shared" ref="AQ964" si="2651">SUM(AK964+AM964+AO964)</f>
        <v>0</v>
      </c>
      <c r="AR964" s="96">
        <f t="shared" ref="AR964" si="2652">SUM(AL964+AN964+AP964)</f>
        <v>0</v>
      </c>
      <c r="AS964" s="96"/>
      <c r="AT964" s="176">
        <f t="shared" ref="AT964" si="2653">O964*AS964*$AT$2/1000</f>
        <v>0</v>
      </c>
      <c r="AU964" s="206"/>
      <c r="AV964" s="176">
        <f t="shared" ref="AV964" si="2654">O964*AU964*$AV$2/1000</f>
        <v>0</v>
      </c>
      <c r="AW964" s="206"/>
      <c r="AX964" s="176">
        <f t="shared" ref="AX964" si="2655">O964*AW964*$AX$2/1000</f>
        <v>0</v>
      </c>
      <c r="AY964" s="243">
        <f t="shared" ref="AY964" si="2656">SUM(AS964+AU964+AW964)</f>
        <v>0</v>
      </c>
      <c r="AZ964" s="96">
        <f t="shared" ref="AZ964" si="2657">SUM(AT964+AV964+AX964)</f>
        <v>0</v>
      </c>
      <c r="BA964" s="96">
        <f t="shared" ref="BA964" si="2658">SUM(AQ964+AY964)</f>
        <v>0</v>
      </c>
      <c r="BB964" s="96">
        <f t="shared" ref="BB964" si="2659">SUM(AR964,AZ964)</f>
        <v>0</v>
      </c>
    </row>
    <row r="965" spans="1:54">
      <c r="B965" s="13"/>
      <c r="C965" s="13"/>
      <c r="D965" s="13"/>
      <c r="E965" s="21" t="s">
        <v>1152</v>
      </c>
      <c r="F965" s="22"/>
      <c r="G965" s="45" t="s">
        <v>1056</v>
      </c>
      <c r="H965" s="284" t="s">
        <v>358</v>
      </c>
      <c r="I965" s="54">
        <v>8.27</v>
      </c>
      <c r="J965" s="101"/>
      <c r="K965" s="54">
        <v>8.27</v>
      </c>
      <c r="L965" s="101"/>
      <c r="M965" s="54"/>
      <c r="N965" s="101"/>
      <c r="O965" s="54"/>
      <c r="P965" s="101"/>
      <c r="Q965" s="96">
        <f t="shared" si="2597"/>
        <v>0</v>
      </c>
      <c r="R965" s="337">
        <f t="shared" si="2598"/>
        <v>0</v>
      </c>
      <c r="S965" s="96"/>
      <c r="T965" s="96">
        <f t="shared" ref="T965:T971" si="2660">I965*S965*$T$2/1000</f>
        <v>0</v>
      </c>
      <c r="U965" s="96"/>
      <c r="V965" s="176">
        <f t="shared" ref="V965:V971" si="2661">I965*U965*$V$2/1000</f>
        <v>0</v>
      </c>
      <c r="W965" s="206"/>
      <c r="X965" s="205">
        <f t="shared" ref="X965:X971" si="2662">I965*W965*$X$2/1000</f>
        <v>0</v>
      </c>
      <c r="Y965" s="188">
        <f t="shared" si="2602"/>
        <v>0</v>
      </c>
      <c r="Z965" s="176">
        <f t="shared" si="2603"/>
        <v>0</v>
      </c>
      <c r="AA965" s="206"/>
      <c r="AB965" s="205">
        <f t="shared" ref="AB965:AB971" si="2663">K965*AA965*$AB$2/1000</f>
        <v>0</v>
      </c>
      <c r="AC965" s="206"/>
      <c r="AD965" s="176">
        <f t="shared" ref="AD965:AD971" si="2664">K965*AC965*$AD$2/1000</f>
        <v>0</v>
      </c>
      <c r="AE965" s="206"/>
      <c r="AF965" s="205">
        <f t="shared" ref="AF965:AF971" si="2665">K965*AE965*$AF$2/1000</f>
        <v>0</v>
      </c>
      <c r="AG965" s="188">
        <f t="shared" si="2607"/>
        <v>0</v>
      </c>
      <c r="AH965" s="96">
        <f t="shared" si="2608"/>
        <v>0</v>
      </c>
      <c r="AI965" s="96">
        <f t="shared" si="2609"/>
        <v>0</v>
      </c>
      <c r="AJ965" s="176">
        <f t="shared" si="2610"/>
        <v>0</v>
      </c>
      <c r="AK965" s="206"/>
      <c r="AL965" s="176">
        <f t="shared" ref="AL965:AL971" si="2666">M965*AK965*$AL$2/1000</f>
        <v>0</v>
      </c>
      <c r="AM965" s="243"/>
      <c r="AN965" s="176">
        <f t="shared" ref="AN965:AN971" si="2667">M965*AM965*$AN$2/1000</f>
        <v>0</v>
      </c>
      <c r="AO965" s="206"/>
      <c r="AP965" s="205">
        <f t="shared" ref="AP965:AP971" si="2668">M965*AO965*$AP$2/1000</f>
        <v>0</v>
      </c>
      <c r="AQ965" s="188">
        <f t="shared" si="2614"/>
        <v>0</v>
      </c>
      <c r="AR965" s="96">
        <f t="shared" si="2615"/>
        <v>0</v>
      </c>
      <c r="AS965" s="96"/>
      <c r="AT965" s="176">
        <f t="shared" ref="AT965:AT971" si="2669">O965*AS965*$AT$2/1000</f>
        <v>0</v>
      </c>
      <c r="AU965" s="206"/>
      <c r="AV965" s="176">
        <f t="shared" ref="AV965:AV971" si="2670">O965*AU965*$AV$2/1000</f>
        <v>0</v>
      </c>
      <c r="AW965" s="206"/>
      <c r="AX965" s="176">
        <f t="shared" ref="AX965:AX971" si="2671">O965*AW965*$AX$2/1000</f>
        <v>0</v>
      </c>
      <c r="AY965" s="243">
        <f t="shared" si="2619"/>
        <v>0</v>
      </c>
      <c r="AZ965" s="96">
        <f t="shared" si="2620"/>
        <v>0</v>
      </c>
      <c r="BA965" s="96">
        <f t="shared" si="2621"/>
        <v>0</v>
      </c>
      <c r="BB965" s="96">
        <f t="shared" si="2622"/>
        <v>0</v>
      </c>
    </row>
    <row r="966" spans="1:54">
      <c r="A966" s="492">
        <v>578</v>
      </c>
      <c r="B966" s="13"/>
      <c r="C966" s="13"/>
      <c r="D966" s="13"/>
      <c r="E966" s="21" t="s">
        <v>785</v>
      </c>
      <c r="F966" s="22"/>
      <c r="G966" s="424" t="s">
        <v>1059</v>
      </c>
      <c r="H966" s="265" t="s">
        <v>359</v>
      </c>
      <c r="I966" s="54">
        <v>5.38</v>
      </c>
      <c r="J966" s="101"/>
      <c r="K966" s="54">
        <v>5.38</v>
      </c>
      <c r="L966" s="101"/>
      <c r="M966" s="54"/>
      <c r="N966" s="101"/>
      <c r="O966" s="54"/>
      <c r="P966" s="101"/>
      <c r="Q966" s="96">
        <f t="shared" si="2597"/>
        <v>0</v>
      </c>
      <c r="R966" s="337">
        <f t="shared" si="2598"/>
        <v>0</v>
      </c>
      <c r="S966" s="96"/>
      <c r="T966" s="96">
        <f t="shared" si="2660"/>
        <v>0</v>
      </c>
      <c r="U966" s="96"/>
      <c r="V966" s="176">
        <f t="shared" si="2661"/>
        <v>0</v>
      </c>
      <c r="W966" s="206"/>
      <c r="X966" s="205">
        <f t="shared" si="2662"/>
        <v>0</v>
      </c>
      <c r="Y966" s="188">
        <f t="shared" si="2602"/>
        <v>0</v>
      </c>
      <c r="Z966" s="176">
        <f t="shared" si="2603"/>
        <v>0</v>
      </c>
      <c r="AA966" s="206"/>
      <c r="AB966" s="205">
        <f t="shared" si="2663"/>
        <v>0</v>
      </c>
      <c r="AC966" s="206"/>
      <c r="AD966" s="176">
        <f t="shared" si="2664"/>
        <v>0</v>
      </c>
      <c r="AE966" s="206"/>
      <c r="AF966" s="205">
        <f t="shared" si="2665"/>
        <v>0</v>
      </c>
      <c r="AG966" s="188">
        <f t="shared" si="2607"/>
        <v>0</v>
      </c>
      <c r="AH966" s="96">
        <f t="shared" si="2608"/>
        <v>0</v>
      </c>
      <c r="AI966" s="96">
        <f t="shared" si="2609"/>
        <v>0</v>
      </c>
      <c r="AJ966" s="176">
        <f t="shared" si="2610"/>
        <v>0</v>
      </c>
      <c r="AK966" s="206"/>
      <c r="AL966" s="176">
        <f t="shared" si="2666"/>
        <v>0</v>
      </c>
      <c r="AM966" s="243"/>
      <c r="AN966" s="176">
        <f t="shared" si="2667"/>
        <v>0</v>
      </c>
      <c r="AO966" s="206"/>
      <c r="AP966" s="205">
        <f t="shared" si="2668"/>
        <v>0</v>
      </c>
      <c r="AQ966" s="188">
        <f t="shared" si="2614"/>
        <v>0</v>
      </c>
      <c r="AR966" s="96">
        <f t="shared" si="2615"/>
        <v>0</v>
      </c>
      <c r="AS966" s="96"/>
      <c r="AT966" s="176">
        <f t="shared" si="2669"/>
        <v>0</v>
      </c>
      <c r="AU966" s="206"/>
      <c r="AV966" s="176">
        <f t="shared" si="2670"/>
        <v>0</v>
      </c>
      <c r="AW966" s="206"/>
      <c r="AX966" s="205">
        <f t="shared" si="2671"/>
        <v>0</v>
      </c>
      <c r="AY966" s="188">
        <f t="shared" si="2619"/>
        <v>0</v>
      </c>
      <c r="AZ966" s="96">
        <f t="shared" si="2620"/>
        <v>0</v>
      </c>
      <c r="BA966" s="96">
        <f t="shared" si="2621"/>
        <v>0</v>
      </c>
      <c r="BB966" s="96">
        <f t="shared" si="2622"/>
        <v>0</v>
      </c>
    </row>
    <row r="967" spans="1:54">
      <c r="A967" s="492">
        <v>578</v>
      </c>
      <c r="B967" s="13"/>
      <c r="C967" s="13"/>
      <c r="D967" s="13"/>
      <c r="E967" s="21" t="s">
        <v>1559</v>
      </c>
      <c r="F967" s="22"/>
      <c r="G967" s="424" t="s">
        <v>1059</v>
      </c>
      <c r="H967" s="265" t="s">
        <v>359</v>
      </c>
      <c r="I967" s="54">
        <v>5.38</v>
      </c>
      <c r="J967" s="101"/>
      <c r="K967" s="54">
        <v>5.38</v>
      </c>
      <c r="L967" s="101"/>
      <c r="M967" s="54"/>
      <c r="N967" s="101"/>
      <c r="O967" s="54"/>
      <c r="P967" s="101"/>
      <c r="Q967" s="96">
        <f t="shared" si="2597"/>
        <v>0</v>
      </c>
      <c r="R967" s="337">
        <f t="shared" si="2598"/>
        <v>0</v>
      </c>
      <c r="S967" s="96"/>
      <c r="T967" s="96">
        <f t="shared" si="2660"/>
        <v>0</v>
      </c>
      <c r="U967" s="96"/>
      <c r="V967" s="176">
        <f t="shared" si="2661"/>
        <v>0</v>
      </c>
      <c r="W967" s="206"/>
      <c r="X967" s="205">
        <f t="shared" si="2662"/>
        <v>0</v>
      </c>
      <c r="Y967" s="188">
        <f t="shared" si="2602"/>
        <v>0</v>
      </c>
      <c r="Z967" s="176">
        <f t="shared" si="2603"/>
        <v>0</v>
      </c>
      <c r="AA967" s="206"/>
      <c r="AB967" s="205">
        <f t="shared" si="2663"/>
        <v>0</v>
      </c>
      <c r="AC967" s="206"/>
      <c r="AD967" s="176">
        <f t="shared" si="2664"/>
        <v>0</v>
      </c>
      <c r="AE967" s="206"/>
      <c r="AF967" s="205">
        <f t="shared" si="2665"/>
        <v>0</v>
      </c>
      <c r="AG967" s="188">
        <f t="shared" si="2607"/>
        <v>0</v>
      </c>
      <c r="AH967" s="96">
        <f t="shared" si="2608"/>
        <v>0</v>
      </c>
      <c r="AI967" s="96">
        <f t="shared" si="2609"/>
        <v>0</v>
      </c>
      <c r="AJ967" s="176">
        <f t="shared" si="2610"/>
        <v>0</v>
      </c>
      <c r="AK967" s="206"/>
      <c r="AL967" s="176">
        <f t="shared" si="2666"/>
        <v>0</v>
      </c>
      <c r="AM967" s="243"/>
      <c r="AN967" s="176">
        <f t="shared" si="2667"/>
        <v>0</v>
      </c>
      <c r="AO967" s="206"/>
      <c r="AP967" s="205">
        <f t="shared" si="2668"/>
        <v>0</v>
      </c>
      <c r="AQ967" s="188">
        <f t="shared" si="2614"/>
        <v>0</v>
      </c>
      <c r="AR967" s="96">
        <f t="shared" si="2615"/>
        <v>0</v>
      </c>
      <c r="AS967" s="96"/>
      <c r="AT967" s="176">
        <f t="shared" si="2669"/>
        <v>0</v>
      </c>
      <c r="AU967" s="206"/>
      <c r="AV967" s="176">
        <f t="shared" si="2670"/>
        <v>0</v>
      </c>
      <c r="AW967" s="206"/>
      <c r="AX967" s="205">
        <f t="shared" si="2671"/>
        <v>0</v>
      </c>
      <c r="AY967" s="188">
        <f t="shared" si="2619"/>
        <v>0</v>
      </c>
      <c r="AZ967" s="96">
        <f t="shared" si="2620"/>
        <v>0</v>
      </c>
      <c r="BA967" s="96">
        <f t="shared" si="2621"/>
        <v>0</v>
      </c>
      <c r="BB967" s="96">
        <f t="shared" si="2622"/>
        <v>0</v>
      </c>
    </row>
    <row r="968" spans="1:54">
      <c r="A968" s="492">
        <v>579</v>
      </c>
      <c r="B968" s="13"/>
      <c r="C968" s="23"/>
      <c r="D968" s="13"/>
      <c r="E968" s="21" t="s">
        <v>601</v>
      </c>
      <c r="F968" s="22"/>
      <c r="G968" s="424" t="s">
        <v>1059</v>
      </c>
      <c r="H968" s="265" t="s">
        <v>360</v>
      </c>
      <c r="I968" s="54">
        <v>5.76</v>
      </c>
      <c r="J968" s="101"/>
      <c r="K968" s="54">
        <v>5.76</v>
      </c>
      <c r="L968" s="101"/>
      <c r="M968" s="54"/>
      <c r="N968" s="101"/>
      <c r="O968" s="54"/>
      <c r="P968" s="101"/>
      <c r="Q968" s="96">
        <f t="shared" si="2597"/>
        <v>0</v>
      </c>
      <c r="R968" s="337">
        <f t="shared" si="2598"/>
        <v>0</v>
      </c>
      <c r="S968" s="96"/>
      <c r="T968" s="96">
        <f t="shared" si="2660"/>
        <v>0</v>
      </c>
      <c r="U968" s="96"/>
      <c r="V968" s="176">
        <f t="shared" si="2661"/>
        <v>0</v>
      </c>
      <c r="W968" s="206"/>
      <c r="X968" s="205">
        <f t="shared" si="2662"/>
        <v>0</v>
      </c>
      <c r="Y968" s="188">
        <f t="shared" si="2602"/>
        <v>0</v>
      </c>
      <c r="Z968" s="176">
        <f t="shared" si="2603"/>
        <v>0</v>
      </c>
      <c r="AA968" s="206"/>
      <c r="AB968" s="205">
        <f t="shared" si="2663"/>
        <v>0</v>
      </c>
      <c r="AC968" s="206"/>
      <c r="AD968" s="176">
        <f t="shared" si="2664"/>
        <v>0</v>
      </c>
      <c r="AE968" s="206"/>
      <c r="AF968" s="205">
        <f t="shared" si="2665"/>
        <v>0</v>
      </c>
      <c r="AG968" s="188">
        <f t="shared" si="2607"/>
        <v>0</v>
      </c>
      <c r="AH968" s="96">
        <f t="shared" si="2608"/>
        <v>0</v>
      </c>
      <c r="AI968" s="96">
        <f t="shared" si="2609"/>
        <v>0</v>
      </c>
      <c r="AJ968" s="176">
        <f t="shared" si="2610"/>
        <v>0</v>
      </c>
      <c r="AK968" s="206"/>
      <c r="AL968" s="176">
        <f t="shared" si="2666"/>
        <v>0</v>
      </c>
      <c r="AM968" s="243"/>
      <c r="AN968" s="176">
        <f t="shared" si="2667"/>
        <v>0</v>
      </c>
      <c r="AO968" s="206"/>
      <c r="AP968" s="205">
        <f t="shared" si="2668"/>
        <v>0</v>
      </c>
      <c r="AQ968" s="188">
        <f t="shared" si="2614"/>
        <v>0</v>
      </c>
      <c r="AR968" s="96">
        <f t="shared" si="2615"/>
        <v>0</v>
      </c>
      <c r="AS968" s="96"/>
      <c r="AT968" s="176">
        <f t="shared" si="2669"/>
        <v>0</v>
      </c>
      <c r="AU968" s="206"/>
      <c r="AV968" s="176">
        <f t="shared" si="2670"/>
        <v>0</v>
      </c>
      <c r="AW968" s="206"/>
      <c r="AX968" s="205">
        <f t="shared" si="2671"/>
        <v>0</v>
      </c>
      <c r="AY968" s="188">
        <f t="shared" si="2619"/>
        <v>0</v>
      </c>
      <c r="AZ968" s="96">
        <f t="shared" si="2620"/>
        <v>0</v>
      </c>
      <c r="BA968" s="96">
        <f t="shared" si="2621"/>
        <v>0</v>
      </c>
      <c r="BB968" s="96">
        <f t="shared" si="2622"/>
        <v>0</v>
      </c>
    </row>
    <row r="969" spans="1:54">
      <c r="A969" s="492">
        <v>580</v>
      </c>
      <c r="B969" s="13"/>
      <c r="C969" s="23"/>
      <c r="D969" s="13"/>
      <c r="E969" s="516" t="s">
        <v>228</v>
      </c>
      <c r="F969" s="517"/>
      <c r="G969" s="518" t="s">
        <v>1059</v>
      </c>
      <c r="H969" s="519" t="s">
        <v>359</v>
      </c>
      <c r="I969" s="498">
        <v>5.76</v>
      </c>
      <c r="J969" s="520"/>
      <c r="K969" s="498">
        <v>5.76</v>
      </c>
      <c r="L969" s="520"/>
      <c r="M969" s="498"/>
      <c r="N969" s="520"/>
      <c r="O969" s="498"/>
      <c r="P969" s="520"/>
      <c r="Q969" s="521">
        <f t="shared" si="2597"/>
        <v>0</v>
      </c>
      <c r="R969" s="522">
        <f t="shared" si="2598"/>
        <v>0</v>
      </c>
      <c r="S969" s="521"/>
      <c r="T969" s="521">
        <f t="shared" si="2660"/>
        <v>0</v>
      </c>
      <c r="U969" s="521"/>
      <c r="V969" s="523">
        <f t="shared" si="2661"/>
        <v>0</v>
      </c>
      <c r="W969" s="524"/>
      <c r="X969" s="525">
        <f t="shared" si="2662"/>
        <v>0</v>
      </c>
      <c r="Y969" s="526">
        <f t="shared" si="2602"/>
        <v>0</v>
      </c>
      <c r="Z969" s="523">
        <f t="shared" si="2603"/>
        <v>0</v>
      </c>
      <c r="AA969" s="524"/>
      <c r="AB969" s="525">
        <f t="shared" si="2663"/>
        <v>0</v>
      </c>
      <c r="AC969" s="524"/>
      <c r="AD969" s="523">
        <f t="shared" si="2664"/>
        <v>0</v>
      </c>
      <c r="AE969" s="524"/>
      <c r="AF969" s="525">
        <f t="shared" si="2665"/>
        <v>0</v>
      </c>
      <c r="AG969" s="526">
        <f t="shared" si="2607"/>
        <v>0</v>
      </c>
      <c r="AH969" s="521">
        <f t="shared" si="2608"/>
        <v>0</v>
      </c>
      <c r="AI969" s="521">
        <f t="shared" si="2609"/>
        <v>0</v>
      </c>
      <c r="AJ969" s="523">
        <f t="shared" si="2610"/>
        <v>0</v>
      </c>
      <c r="AK969" s="524"/>
      <c r="AL969" s="523">
        <f t="shared" si="2666"/>
        <v>0</v>
      </c>
      <c r="AM969" s="527"/>
      <c r="AN969" s="523">
        <f t="shared" si="2667"/>
        <v>0</v>
      </c>
      <c r="AO969" s="524"/>
      <c r="AP969" s="525">
        <f t="shared" si="2668"/>
        <v>0</v>
      </c>
      <c r="AQ969" s="526">
        <f t="shared" si="2614"/>
        <v>0</v>
      </c>
      <c r="AR969" s="521">
        <f t="shared" si="2615"/>
        <v>0</v>
      </c>
      <c r="AS969" s="521"/>
      <c r="AT969" s="523">
        <f t="shared" si="2669"/>
        <v>0</v>
      </c>
      <c r="AU969" s="524"/>
      <c r="AV969" s="523">
        <f t="shared" si="2670"/>
        <v>0</v>
      </c>
      <c r="AW969" s="524"/>
      <c r="AX969" s="525">
        <f t="shared" si="2671"/>
        <v>0</v>
      </c>
      <c r="AY969" s="526">
        <f t="shared" si="2619"/>
        <v>0</v>
      </c>
      <c r="AZ969" s="521">
        <f t="shared" si="2620"/>
        <v>0</v>
      </c>
      <c r="BA969" s="521">
        <f t="shared" si="2621"/>
        <v>0</v>
      </c>
      <c r="BB969" s="521">
        <f t="shared" si="2622"/>
        <v>0</v>
      </c>
    </row>
    <row r="970" spans="1:54">
      <c r="A970" s="492">
        <v>578</v>
      </c>
      <c r="B970" s="13"/>
      <c r="C970" s="13"/>
      <c r="D970" s="13"/>
      <c r="E970" s="89" t="s">
        <v>1497</v>
      </c>
      <c r="F970" s="90"/>
      <c r="G970" s="424" t="s">
        <v>1059</v>
      </c>
      <c r="H970" s="284" t="s">
        <v>359</v>
      </c>
      <c r="I970" s="75">
        <v>5.77</v>
      </c>
      <c r="J970" s="111"/>
      <c r="K970" s="75">
        <v>5.77</v>
      </c>
      <c r="L970" s="111"/>
      <c r="M970" s="75"/>
      <c r="N970" s="111"/>
      <c r="O970" s="75"/>
      <c r="P970" s="111"/>
      <c r="Q970" s="130">
        <f t="shared" si="2597"/>
        <v>0</v>
      </c>
      <c r="R970" s="347">
        <f t="shared" si="2598"/>
        <v>0</v>
      </c>
      <c r="S970" s="130"/>
      <c r="T970" s="130">
        <f t="shared" si="2660"/>
        <v>0</v>
      </c>
      <c r="U970" s="130"/>
      <c r="V970" s="184">
        <f t="shared" si="2661"/>
        <v>0</v>
      </c>
      <c r="W970" s="222"/>
      <c r="X970" s="223">
        <f t="shared" si="2662"/>
        <v>0</v>
      </c>
      <c r="Y970" s="197">
        <f t="shared" si="2602"/>
        <v>0</v>
      </c>
      <c r="Z970" s="184">
        <f t="shared" si="2603"/>
        <v>0</v>
      </c>
      <c r="AA970" s="222"/>
      <c r="AB970" s="223">
        <f t="shared" si="2663"/>
        <v>0</v>
      </c>
      <c r="AC970" s="222"/>
      <c r="AD970" s="184">
        <f t="shared" si="2664"/>
        <v>0</v>
      </c>
      <c r="AE970" s="222"/>
      <c r="AF970" s="223">
        <f t="shared" si="2665"/>
        <v>0</v>
      </c>
      <c r="AG970" s="197">
        <f t="shared" si="2607"/>
        <v>0</v>
      </c>
      <c r="AH970" s="130">
        <f t="shared" si="2608"/>
        <v>0</v>
      </c>
      <c r="AI970" s="130">
        <f t="shared" si="2609"/>
        <v>0</v>
      </c>
      <c r="AJ970" s="184">
        <f t="shared" si="2610"/>
        <v>0</v>
      </c>
      <c r="AK970" s="222"/>
      <c r="AL970" s="184">
        <f t="shared" si="2666"/>
        <v>0</v>
      </c>
      <c r="AM970" s="252"/>
      <c r="AN970" s="184">
        <f t="shared" si="2667"/>
        <v>0</v>
      </c>
      <c r="AO970" s="222"/>
      <c r="AP970" s="223">
        <f t="shared" si="2668"/>
        <v>0</v>
      </c>
      <c r="AQ970" s="197">
        <f t="shared" si="2614"/>
        <v>0</v>
      </c>
      <c r="AR970" s="130">
        <f t="shared" si="2615"/>
        <v>0</v>
      </c>
      <c r="AS970" s="130"/>
      <c r="AT970" s="184">
        <f t="shared" si="2669"/>
        <v>0</v>
      </c>
      <c r="AU970" s="222"/>
      <c r="AV970" s="184">
        <f t="shared" si="2670"/>
        <v>0</v>
      </c>
      <c r="AW970" s="222"/>
      <c r="AX970" s="223">
        <f t="shared" si="2671"/>
        <v>0</v>
      </c>
      <c r="AY970" s="197">
        <f t="shared" si="2619"/>
        <v>0</v>
      </c>
      <c r="AZ970" s="130">
        <f t="shared" si="2620"/>
        <v>0</v>
      </c>
      <c r="BA970" s="130">
        <f t="shared" si="2621"/>
        <v>0</v>
      </c>
      <c r="BB970" s="130">
        <f t="shared" si="2622"/>
        <v>0</v>
      </c>
    </row>
    <row r="971" spans="1:54">
      <c r="A971" s="492">
        <v>578</v>
      </c>
      <c r="B971" s="13"/>
      <c r="C971" s="13"/>
      <c r="D971" s="13"/>
      <c r="E971" s="50" t="s">
        <v>1498</v>
      </c>
      <c r="F971" s="22"/>
      <c r="G971" s="424" t="s">
        <v>1059</v>
      </c>
      <c r="H971" s="265" t="s">
        <v>359</v>
      </c>
      <c r="I971" s="54">
        <v>5.77</v>
      </c>
      <c r="J971" s="101"/>
      <c r="K971" s="54">
        <v>5.77</v>
      </c>
      <c r="L971" s="101"/>
      <c r="M971" s="54"/>
      <c r="N971" s="101"/>
      <c r="O971" s="54"/>
      <c r="P971" s="101"/>
      <c r="Q971" s="96">
        <f t="shared" si="2597"/>
        <v>0</v>
      </c>
      <c r="R971" s="337">
        <f t="shared" si="2598"/>
        <v>0</v>
      </c>
      <c r="S971" s="96"/>
      <c r="T971" s="96">
        <f t="shared" si="2660"/>
        <v>0</v>
      </c>
      <c r="U971" s="96"/>
      <c r="V971" s="176">
        <f t="shared" si="2661"/>
        <v>0</v>
      </c>
      <c r="W971" s="206"/>
      <c r="X971" s="205">
        <f t="shared" si="2662"/>
        <v>0</v>
      </c>
      <c r="Y971" s="188">
        <f t="shared" si="2602"/>
        <v>0</v>
      </c>
      <c r="Z971" s="176">
        <f t="shared" si="2603"/>
        <v>0</v>
      </c>
      <c r="AA971" s="206"/>
      <c r="AB971" s="205">
        <f t="shared" si="2663"/>
        <v>0</v>
      </c>
      <c r="AC971" s="206"/>
      <c r="AD971" s="176">
        <f t="shared" si="2664"/>
        <v>0</v>
      </c>
      <c r="AE971" s="206"/>
      <c r="AF971" s="205">
        <f t="shared" si="2665"/>
        <v>0</v>
      </c>
      <c r="AG971" s="188">
        <f t="shared" si="2607"/>
        <v>0</v>
      </c>
      <c r="AH971" s="96">
        <f t="shared" si="2608"/>
        <v>0</v>
      </c>
      <c r="AI971" s="96">
        <f t="shared" si="2609"/>
        <v>0</v>
      </c>
      <c r="AJ971" s="176">
        <f t="shared" si="2610"/>
        <v>0</v>
      </c>
      <c r="AK971" s="206"/>
      <c r="AL971" s="176">
        <f t="shared" si="2666"/>
        <v>0</v>
      </c>
      <c r="AM971" s="243"/>
      <c r="AN971" s="176">
        <f t="shared" si="2667"/>
        <v>0</v>
      </c>
      <c r="AO971" s="206"/>
      <c r="AP971" s="205">
        <f t="shared" si="2668"/>
        <v>0</v>
      </c>
      <c r="AQ971" s="188">
        <f t="shared" si="2614"/>
        <v>0</v>
      </c>
      <c r="AR971" s="96">
        <f t="shared" si="2615"/>
        <v>0</v>
      </c>
      <c r="AS971" s="96"/>
      <c r="AT971" s="176">
        <f t="shared" si="2669"/>
        <v>0</v>
      </c>
      <c r="AU971" s="206"/>
      <c r="AV971" s="176">
        <f t="shared" si="2670"/>
        <v>0</v>
      </c>
      <c r="AW971" s="206"/>
      <c r="AX971" s="205">
        <f t="shared" si="2671"/>
        <v>0</v>
      </c>
      <c r="AY971" s="188">
        <f t="shared" si="2619"/>
        <v>0</v>
      </c>
      <c r="AZ971" s="96">
        <f t="shared" si="2620"/>
        <v>0</v>
      </c>
      <c r="BA971" s="96">
        <f t="shared" si="2621"/>
        <v>0</v>
      </c>
      <c r="BB971" s="96">
        <f t="shared" si="2622"/>
        <v>0</v>
      </c>
    </row>
    <row r="972" spans="1:54">
      <c r="A972" s="492">
        <v>581</v>
      </c>
      <c r="B972" s="13"/>
      <c r="C972" s="23"/>
      <c r="D972" s="70"/>
      <c r="E972" s="324" t="s">
        <v>330</v>
      </c>
      <c r="F972" s="55"/>
      <c r="G972" s="55"/>
      <c r="H972" s="278"/>
      <c r="I972" s="143"/>
      <c r="J972" s="172"/>
      <c r="K972" s="56"/>
      <c r="L972" s="172"/>
      <c r="M972" s="56"/>
      <c r="N972" s="172"/>
      <c r="O972" s="143"/>
      <c r="P972" s="172"/>
      <c r="Q972" s="125">
        <f>SUM(Q951:Q971)</f>
        <v>1.3089999999999999</v>
      </c>
      <c r="R972" s="125">
        <f>SUM(R952:R971)</f>
        <v>10.998295924000001</v>
      </c>
      <c r="S972" s="125">
        <f t="shared" ref="S972:BB972" si="2672">SUM(S951:S971)</f>
        <v>0.109</v>
      </c>
      <c r="T972" s="125">
        <f t="shared" si="2672"/>
        <v>0.91896984400000004</v>
      </c>
      <c r="U972" s="125">
        <f t="shared" si="2672"/>
        <v>1.2</v>
      </c>
      <c r="V972" s="125">
        <f t="shared" si="2672"/>
        <v>10.079326080000001</v>
      </c>
      <c r="W972" s="125">
        <f t="shared" si="2672"/>
        <v>0</v>
      </c>
      <c r="X972" s="125">
        <f t="shared" si="2672"/>
        <v>0</v>
      </c>
      <c r="Y972" s="125">
        <f t="shared" si="2672"/>
        <v>1.3089999999999999</v>
      </c>
      <c r="Z972" s="125">
        <f t="shared" si="2672"/>
        <v>10.998295924000001</v>
      </c>
      <c r="AA972" s="125">
        <f t="shared" si="2672"/>
        <v>0</v>
      </c>
      <c r="AB972" s="125">
        <f t="shared" si="2672"/>
        <v>0</v>
      </c>
      <c r="AC972" s="125">
        <f t="shared" si="2672"/>
        <v>0</v>
      </c>
      <c r="AD972" s="125">
        <f t="shared" si="2672"/>
        <v>0</v>
      </c>
      <c r="AE972" s="125">
        <f t="shared" si="2672"/>
        <v>0</v>
      </c>
      <c r="AF972" s="125">
        <f t="shared" si="2672"/>
        <v>0</v>
      </c>
      <c r="AG972" s="125">
        <f t="shared" si="2672"/>
        <v>0</v>
      </c>
      <c r="AH972" s="125">
        <f t="shared" si="2672"/>
        <v>0</v>
      </c>
      <c r="AI972" s="125">
        <f t="shared" si="2672"/>
        <v>1.3089999999999999</v>
      </c>
      <c r="AJ972" s="125">
        <f t="shared" si="2672"/>
        <v>10.998295924000001</v>
      </c>
      <c r="AK972" s="125">
        <f t="shared" si="2672"/>
        <v>0</v>
      </c>
      <c r="AL972" s="125">
        <f t="shared" si="2672"/>
        <v>0</v>
      </c>
      <c r="AM972" s="125">
        <f t="shared" si="2672"/>
        <v>0</v>
      </c>
      <c r="AN972" s="125">
        <f t="shared" si="2672"/>
        <v>0</v>
      </c>
      <c r="AO972" s="125">
        <f t="shared" si="2672"/>
        <v>0</v>
      </c>
      <c r="AP972" s="125">
        <f t="shared" si="2672"/>
        <v>0</v>
      </c>
      <c r="AQ972" s="125">
        <f t="shared" si="2672"/>
        <v>0</v>
      </c>
      <c r="AR972" s="125">
        <f t="shared" si="2672"/>
        <v>0</v>
      </c>
      <c r="AS972" s="125">
        <f t="shared" si="2672"/>
        <v>0</v>
      </c>
      <c r="AT972" s="125">
        <f t="shared" si="2672"/>
        <v>0</v>
      </c>
      <c r="AU972" s="125">
        <f t="shared" si="2672"/>
        <v>0</v>
      </c>
      <c r="AV972" s="125">
        <f t="shared" si="2672"/>
        <v>0</v>
      </c>
      <c r="AW972" s="125">
        <f t="shared" si="2672"/>
        <v>0</v>
      </c>
      <c r="AX972" s="125">
        <f t="shared" si="2672"/>
        <v>0</v>
      </c>
      <c r="AY972" s="125">
        <f t="shared" si="2672"/>
        <v>0</v>
      </c>
      <c r="AZ972" s="125">
        <f t="shared" si="2672"/>
        <v>0</v>
      </c>
      <c r="BA972" s="125">
        <f t="shared" si="2672"/>
        <v>0</v>
      </c>
      <c r="BB972" s="125">
        <f t="shared" si="2672"/>
        <v>0</v>
      </c>
    </row>
    <row r="973" spans="1:54" hidden="1">
      <c r="A973" s="492">
        <v>582</v>
      </c>
      <c r="B973" s="13"/>
      <c r="C973" s="23"/>
      <c r="D973" s="13" t="s">
        <v>575</v>
      </c>
      <c r="E973" s="21" t="s">
        <v>786</v>
      </c>
      <c r="F973" s="22" t="s">
        <v>229</v>
      </c>
      <c r="G973" s="22" t="s">
        <v>1059</v>
      </c>
      <c r="H973" s="265" t="s">
        <v>358</v>
      </c>
      <c r="I973" s="61"/>
      <c r="J973" s="101">
        <v>4730</v>
      </c>
      <c r="K973" s="54"/>
      <c r="L973" s="101"/>
      <c r="M973" s="54"/>
      <c r="N973" s="101"/>
      <c r="O973" s="61"/>
      <c r="P973" s="101"/>
      <c r="Q973" s="96">
        <f t="shared" ref="Q973:Q991" si="2673">SUM(AI973+BA973)</f>
        <v>0</v>
      </c>
      <c r="R973" s="337">
        <f t="shared" ref="R973:R991" si="2674">SUM(AJ973+BB973)</f>
        <v>0</v>
      </c>
      <c r="S973" s="96"/>
      <c r="T973" s="96">
        <f t="shared" ref="T973:T991" si="2675">J973*S973/1000</f>
        <v>0</v>
      </c>
      <c r="U973" s="96"/>
      <c r="V973" s="176">
        <f t="shared" ref="V973:V991" si="2676">J973*U973/1000</f>
        <v>0</v>
      </c>
      <c r="W973" s="206"/>
      <c r="X973" s="205">
        <f t="shared" ref="X973:X991" si="2677">J973*W973/1000</f>
        <v>0</v>
      </c>
      <c r="Y973" s="188">
        <f t="shared" ref="Y973:Y991" si="2678">SUM(S973+U973+W973)</f>
        <v>0</v>
      </c>
      <c r="Z973" s="176">
        <f t="shared" ref="Z973:Z991" si="2679">SUM(T973+V973+X973)</f>
        <v>0</v>
      </c>
      <c r="AA973" s="206"/>
      <c r="AB973" s="205">
        <f t="shared" ref="AB973:AB991" si="2680">L973*AA973/1000</f>
        <v>0</v>
      </c>
      <c r="AC973" s="206"/>
      <c r="AD973" s="176">
        <f t="shared" ref="AD973:AD991" si="2681">L973*AC973/1000</f>
        <v>0</v>
      </c>
      <c r="AE973" s="206"/>
      <c r="AF973" s="212">
        <f t="shared" ref="AF973:AF991" si="2682">L973*AE973/1000</f>
        <v>0</v>
      </c>
      <c r="AG973" s="188">
        <f t="shared" ref="AG973:AG991" si="2683">SUM(AA973+AC973+AE973)</f>
        <v>0</v>
      </c>
      <c r="AH973" s="96">
        <f t="shared" ref="AH973:AH991" si="2684">SUM(AB973+AD973+AF973)</f>
        <v>0</v>
      </c>
      <c r="AI973" s="96">
        <f t="shared" ref="AI973:AI991" si="2685">SUM(Y973+AG973)</f>
        <v>0</v>
      </c>
      <c r="AJ973" s="176">
        <f t="shared" ref="AJ973:AJ991" si="2686">SUM(Z973,AH973)</f>
        <v>0</v>
      </c>
      <c r="AK973" s="206"/>
      <c r="AL973" s="176">
        <f t="shared" ref="AL973:AL991" si="2687">N973*AK973/1000</f>
        <v>0</v>
      </c>
      <c r="AM973" s="243"/>
      <c r="AN973" s="176">
        <f t="shared" ref="AN973:AN991" si="2688">N973*AM973/1000</f>
        <v>0</v>
      </c>
      <c r="AO973" s="206"/>
      <c r="AP973" s="205">
        <f t="shared" ref="AP973:AP991" si="2689">N973*AO973/1000</f>
        <v>0</v>
      </c>
      <c r="AQ973" s="188">
        <f t="shared" ref="AQ973:AQ991" si="2690">SUM(AK973+AM973+AO973)</f>
        <v>0</v>
      </c>
      <c r="AR973" s="96">
        <f t="shared" ref="AR973:AR991" si="2691">SUM(AL973+AN973+AP973)</f>
        <v>0</v>
      </c>
      <c r="AS973" s="96"/>
      <c r="AT973" s="176">
        <f t="shared" ref="AT973:AT991" si="2692">P973*AS973/1000</f>
        <v>0</v>
      </c>
      <c r="AU973" s="206"/>
      <c r="AV973" s="176">
        <f t="shared" ref="AV973:AV991" si="2693">P973*AU973/1000</f>
        <v>0</v>
      </c>
      <c r="AW973" s="206"/>
      <c r="AX973" s="205">
        <f t="shared" ref="AX973:AX991" si="2694">P973*AW973/1000</f>
        <v>0</v>
      </c>
      <c r="AY973" s="188">
        <f t="shared" ref="AY973:AY991" si="2695">SUM(AS973+AU973+AW973)</f>
        <v>0</v>
      </c>
      <c r="AZ973" s="96">
        <f t="shared" ref="AZ973:AZ991" si="2696">SUM(AT973+AV973+AX973)</f>
        <v>0</v>
      </c>
      <c r="BA973" s="96">
        <f t="shared" ref="BA973:BA991" si="2697">SUM(AQ973+AY973)</f>
        <v>0</v>
      </c>
      <c r="BB973" s="96">
        <f t="shared" ref="BB973:BB991" si="2698">SUM(AR973,AZ973)</f>
        <v>0</v>
      </c>
    </row>
    <row r="974" spans="1:54" hidden="1">
      <c r="A974" s="492">
        <v>583</v>
      </c>
      <c r="B974" s="13"/>
      <c r="C974" s="23"/>
      <c r="D974" s="13"/>
      <c r="E974" s="21" t="s">
        <v>231</v>
      </c>
      <c r="F974" s="22" t="s">
        <v>229</v>
      </c>
      <c r="G974" s="22" t="s">
        <v>1059</v>
      </c>
      <c r="H974" s="265" t="s">
        <v>358</v>
      </c>
      <c r="I974" s="54"/>
      <c r="J974" s="101">
        <v>4730</v>
      </c>
      <c r="K974" s="54"/>
      <c r="L974" s="101"/>
      <c r="M974" s="54"/>
      <c r="N974" s="101"/>
      <c r="O974" s="54"/>
      <c r="P974" s="101"/>
      <c r="Q974" s="96">
        <f t="shared" si="2673"/>
        <v>0</v>
      </c>
      <c r="R974" s="337">
        <f t="shared" si="2674"/>
        <v>0</v>
      </c>
      <c r="S974" s="96"/>
      <c r="T974" s="96">
        <f t="shared" si="2675"/>
        <v>0</v>
      </c>
      <c r="U974" s="96"/>
      <c r="V974" s="176">
        <f t="shared" si="2676"/>
        <v>0</v>
      </c>
      <c r="W974" s="206"/>
      <c r="X974" s="205">
        <f t="shared" si="2677"/>
        <v>0</v>
      </c>
      <c r="Y974" s="188">
        <f t="shared" si="2678"/>
        <v>0</v>
      </c>
      <c r="Z974" s="176">
        <f t="shared" si="2679"/>
        <v>0</v>
      </c>
      <c r="AA974" s="206"/>
      <c r="AB974" s="205">
        <f t="shared" si="2680"/>
        <v>0</v>
      </c>
      <c r="AC974" s="206"/>
      <c r="AD974" s="176">
        <f t="shared" si="2681"/>
        <v>0</v>
      </c>
      <c r="AE974" s="206"/>
      <c r="AF974" s="205">
        <f t="shared" si="2682"/>
        <v>0</v>
      </c>
      <c r="AG974" s="188">
        <f t="shared" si="2683"/>
        <v>0</v>
      </c>
      <c r="AH974" s="96">
        <f t="shared" si="2684"/>
        <v>0</v>
      </c>
      <c r="AI974" s="96">
        <f t="shared" si="2685"/>
        <v>0</v>
      </c>
      <c r="AJ974" s="176">
        <f t="shared" si="2686"/>
        <v>0</v>
      </c>
      <c r="AK974" s="206"/>
      <c r="AL974" s="176">
        <f t="shared" si="2687"/>
        <v>0</v>
      </c>
      <c r="AM974" s="243"/>
      <c r="AN974" s="176">
        <f t="shared" si="2688"/>
        <v>0</v>
      </c>
      <c r="AO974" s="206"/>
      <c r="AP974" s="205">
        <f t="shared" si="2689"/>
        <v>0</v>
      </c>
      <c r="AQ974" s="188">
        <f t="shared" si="2690"/>
        <v>0</v>
      </c>
      <c r="AR974" s="96">
        <f t="shared" si="2691"/>
        <v>0</v>
      </c>
      <c r="AS974" s="96"/>
      <c r="AT974" s="176">
        <f t="shared" si="2692"/>
        <v>0</v>
      </c>
      <c r="AU974" s="206"/>
      <c r="AV974" s="176">
        <f t="shared" si="2693"/>
        <v>0</v>
      </c>
      <c r="AW974" s="206"/>
      <c r="AX974" s="205">
        <f t="shared" si="2694"/>
        <v>0</v>
      </c>
      <c r="AY974" s="188">
        <f t="shared" si="2695"/>
        <v>0</v>
      </c>
      <c r="AZ974" s="96">
        <f t="shared" si="2696"/>
        <v>0</v>
      </c>
      <c r="BA974" s="96">
        <f t="shared" si="2697"/>
        <v>0</v>
      </c>
      <c r="BB974" s="96">
        <f t="shared" si="2698"/>
        <v>0</v>
      </c>
    </row>
    <row r="975" spans="1:54" hidden="1">
      <c r="A975" s="492">
        <v>584</v>
      </c>
      <c r="B975" s="13"/>
      <c r="C975" s="23"/>
      <c r="D975" s="13"/>
      <c r="E975" s="21" t="s">
        <v>232</v>
      </c>
      <c r="F975" s="22" t="s">
        <v>229</v>
      </c>
      <c r="G975" s="22" t="s">
        <v>1059</v>
      </c>
      <c r="H975" s="265" t="s">
        <v>359</v>
      </c>
      <c r="I975" s="54"/>
      <c r="J975" s="101">
        <v>4730</v>
      </c>
      <c r="K975" s="54"/>
      <c r="L975" s="101"/>
      <c r="M975" s="54"/>
      <c r="N975" s="101"/>
      <c r="O975" s="54"/>
      <c r="P975" s="101"/>
      <c r="Q975" s="96">
        <f t="shared" si="2673"/>
        <v>0</v>
      </c>
      <c r="R975" s="337">
        <f t="shared" si="2674"/>
        <v>0</v>
      </c>
      <c r="S975" s="96"/>
      <c r="T975" s="96">
        <f t="shared" si="2675"/>
        <v>0</v>
      </c>
      <c r="U975" s="96"/>
      <c r="V975" s="176">
        <f t="shared" si="2676"/>
        <v>0</v>
      </c>
      <c r="W975" s="206"/>
      <c r="X975" s="205">
        <f t="shared" si="2677"/>
        <v>0</v>
      </c>
      <c r="Y975" s="188">
        <f t="shared" si="2678"/>
        <v>0</v>
      </c>
      <c r="Z975" s="176">
        <f t="shared" si="2679"/>
        <v>0</v>
      </c>
      <c r="AA975" s="206"/>
      <c r="AB975" s="205">
        <f t="shared" si="2680"/>
        <v>0</v>
      </c>
      <c r="AC975" s="206"/>
      <c r="AD975" s="176">
        <f t="shared" si="2681"/>
        <v>0</v>
      </c>
      <c r="AE975" s="206"/>
      <c r="AF975" s="205">
        <f t="shared" si="2682"/>
        <v>0</v>
      </c>
      <c r="AG975" s="188">
        <f t="shared" si="2683"/>
        <v>0</v>
      </c>
      <c r="AH975" s="96">
        <f t="shared" si="2684"/>
        <v>0</v>
      </c>
      <c r="AI975" s="96">
        <f t="shared" si="2685"/>
        <v>0</v>
      </c>
      <c r="AJ975" s="176">
        <f t="shared" si="2686"/>
        <v>0</v>
      </c>
      <c r="AK975" s="206"/>
      <c r="AL975" s="176">
        <f t="shared" si="2687"/>
        <v>0</v>
      </c>
      <c r="AM975" s="243"/>
      <c r="AN975" s="176">
        <f t="shared" si="2688"/>
        <v>0</v>
      </c>
      <c r="AO975" s="206"/>
      <c r="AP975" s="205">
        <f t="shared" si="2689"/>
        <v>0</v>
      </c>
      <c r="AQ975" s="188">
        <f t="shared" si="2690"/>
        <v>0</v>
      </c>
      <c r="AR975" s="96">
        <f t="shared" si="2691"/>
        <v>0</v>
      </c>
      <c r="AS975" s="96"/>
      <c r="AT975" s="176">
        <f t="shared" si="2692"/>
        <v>0</v>
      </c>
      <c r="AU975" s="206"/>
      <c r="AV975" s="176">
        <f t="shared" si="2693"/>
        <v>0</v>
      </c>
      <c r="AW975" s="206"/>
      <c r="AX975" s="205">
        <f t="shared" si="2694"/>
        <v>0</v>
      </c>
      <c r="AY975" s="188">
        <f t="shared" si="2695"/>
        <v>0</v>
      </c>
      <c r="AZ975" s="96">
        <f t="shared" si="2696"/>
        <v>0</v>
      </c>
      <c r="BA975" s="96">
        <f t="shared" si="2697"/>
        <v>0</v>
      </c>
      <c r="BB975" s="96">
        <f t="shared" si="2698"/>
        <v>0</v>
      </c>
    </row>
    <row r="976" spans="1:54" hidden="1">
      <c r="A976" s="492">
        <v>585</v>
      </c>
      <c r="B976" s="13"/>
      <c r="C976" s="23"/>
      <c r="D976" s="13"/>
      <c r="E976" s="21" t="s">
        <v>233</v>
      </c>
      <c r="F976" s="22" t="s">
        <v>229</v>
      </c>
      <c r="G976" s="22" t="s">
        <v>1059</v>
      </c>
      <c r="H976" s="265" t="s">
        <v>359</v>
      </c>
      <c r="I976" s="54"/>
      <c r="J976" s="101">
        <v>4730</v>
      </c>
      <c r="K976" s="54"/>
      <c r="L976" s="101"/>
      <c r="M976" s="54"/>
      <c r="N976" s="101"/>
      <c r="O976" s="54"/>
      <c r="P976" s="101"/>
      <c r="Q976" s="96">
        <f t="shared" si="2673"/>
        <v>0</v>
      </c>
      <c r="R976" s="337">
        <f t="shared" si="2674"/>
        <v>0</v>
      </c>
      <c r="S976" s="96"/>
      <c r="T976" s="96">
        <f t="shared" si="2675"/>
        <v>0</v>
      </c>
      <c r="U976" s="96"/>
      <c r="V976" s="176">
        <f t="shared" si="2676"/>
        <v>0</v>
      </c>
      <c r="W976" s="206"/>
      <c r="X976" s="205">
        <f t="shared" si="2677"/>
        <v>0</v>
      </c>
      <c r="Y976" s="188">
        <f t="shared" si="2678"/>
        <v>0</v>
      </c>
      <c r="Z976" s="176">
        <f t="shared" si="2679"/>
        <v>0</v>
      </c>
      <c r="AA976" s="206"/>
      <c r="AB976" s="205">
        <f t="shared" si="2680"/>
        <v>0</v>
      </c>
      <c r="AC976" s="206"/>
      <c r="AD976" s="176">
        <f t="shared" si="2681"/>
        <v>0</v>
      </c>
      <c r="AE976" s="206"/>
      <c r="AF976" s="205">
        <f t="shared" si="2682"/>
        <v>0</v>
      </c>
      <c r="AG976" s="188">
        <f t="shared" si="2683"/>
        <v>0</v>
      </c>
      <c r="AH976" s="96">
        <f t="shared" si="2684"/>
        <v>0</v>
      </c>
      <c r="AI976" s="96">
        <f t="shared" si="2685"/>
        <v>0</v>
      </c>
      <c r="AJ976" s="176">
        <f t="shared" si="2686"/>
        <v>0</v>
      </c>
      <c r="AK976" s="206"/>
      <c r="AL976" s="176">
        <f t="shared" si="2687"/>
        <v>0</v>
      </c>
      <c r="AM976" s="243"/>
      <c r="AN976" s="176">
        <f t="shared" si="2688"/>
        <v>0</v>
      </c>
      <c r="AO976" s="206"/>
      <c r="AP976" s="205">
        <f t="shared" si="2689"/>
        <v>0</v>
      </c>
      <c r="AQ976" s="188">
        <f t="shared" si="2690"/>
        <v>0</v>
      </c>
      <c r="AR976" s="96">
        <f t="shared" si="2691"/>
        <v>0</v>
      </c>
      <c r="AS976" s="96"/>
      <c r="AT976" s="176">
        <f t="shared" si="2692"/>
        <v>0</v>
      </c>
      <c r="AU976" s="206"/>
      <c r="AV976" s="176">
        <f t="shared" si="2693"/>
        <v>0</v>
      </c>
      <c r="AW976" s="206"/>
      <c r="AX976" s="205">
        <f t="shared" si="2694"/>
        <v>0</v>
      </c>
      <c r="AY976" s="188">
        <f t="shared" si="2695"/>
        <v>0</v>
      </c>
      <c r="AZ976" s="96">
        <f t="shared" si="2696"/>
        <v>0</v>
      </c>
      <c r="BA976" s="96">
        <f t="shared" si="2697"/>
        <v>0</v>
      </c>
      <c r="BB976" s="96">
        <f t="shared" si="2698"/>
        <v>0</v>
      </c>
    </row>
    <row r="977" spans="1:54" hidden="1">
      <c r="A977" s="492">
        <v>586</v>
      </c>
      <c r="B977" s="13"/>
      <c r="C977" s="23"/>
      <c r="D977" s="13"/>
      <c r="E977" s="89" t="s">
        <v>324</v>
      </c>
      <c r="F977" s="90" t="s">
        <v>229</v>
      </c>
      <c r="G977" s="90" t="s">
        <v>1059</v>
      </c>
      <c r="H977" s="284" t="s">
        <v>359</v>
      </c>
      <c r="I977" s="75"/>
      <c r="J977" s="101">
        <v>4730</v>
      </c>
      <c r="K977" s="75"/>
      <c r="L977" s="101"/>
      <c r="M977" s="75"/>
      <c r="N977" s="101"/>
      <c r="O977" s="75"/>
      <c r="P977" s="101"/>
      <c r="Q977" s="130">
        <f t="shared" si="2673"/>
        <v>0</v>
      </c>
      <c r="R977" s="347">
        <f t="shared" si="2674"/>
        <v>0</v>
      </c>
      <c r="S977" s="130"/>
      <c r="T977" s="130">
        <f t="shared" si="2675"/>
        <v>0</v>
      </c>
      <c r="U977" s="130"/>
      <c r="V977" s="184">
        <f t="shared" si="2676"/>
        <v>0</v>
      </c>
      <c r="W977" s="222"/>
      <c r="X977" s="223">
        <f t="shared" si="2677"/>
        <v>0</v>
      </c>
      <c r="Y977" s="197">
        <f t="shared" si="2678"/>
        <v>0</v>
      </c>
      <c r="Z977" s="184">
        <f t="shared" si="2679"/>
        <v>0</v>
      </c>
      <c r="AA977" s="222"/>
      <c r="AB977" s="223">
        <f t="shared" si="2680"/>
        <v>0</v>
      </c>
      <c r="AC977" s="222"/>
      <c r="AD977" s="184">
        <f t="shared" si="2681"/>
        <v>0</v>
      </c>
      <c r="AE977" s="222"/>
      <c r="AF977" s="205">
        <f t="shared" si="2682"/>
        <v>0</v>
      </c>
      <c r="AG977" s="197">
        <f t="shared" si="2683"/>
        <v>0</v>
      </c>
      <c r="AH977" s="130">
        <f t="shared" si="2684"/>
        <v>0</v>
      </c>
      <c r="AI977" s="130">
        <f t="shared" si="2685"/>
        <v>0</v>
      </c>
      <c r="AJ977" s="184">
        <f t="shared" si="2686"/>
        <v>0</v>
      </c>
      <c r="AK977" s="222"/>
      <c r="AL977" s="184">
        <f t="shared" si="2687"/>
        <v>0</v>
      </c>
      <c r="AM977" s="252"/>
      <c r="AN977" s="184">
        <f t="shared" si="2688"/>
        <v>0</v>
      </c>
      <c r="AO977" s="222"/>
      <c r="AP977" s="223">
        <f t="shared" si="2689"/>
        <v>0</v>
      </c>
      <c r="AQ977" s="197">
        <f t="shared" si="2690"/>
        <v>0</v>
      </c>
      <c r="AR977" s="130">
        <f t="shared" si="2691"/>
        <v>0</v>
      </c>
      <c r="AS977" s="130"/>
      <c r="AT977" s="184">
        <f t="shared" si="2692"/>
        <v>0</v>
      </c>
      <c r="AU977" s="222"/>
      <c r="AV977" s="184">
        <f t="shared" si="2693"/>
        <v>0</v>
      </c>
      <c r="AW977" s="222"/>
      <c r="AX977" s="223">
        <f t="shared" si="2694"/>
        <v>0</v>
      </c>
      <c r="AY977" s="197">
        <f t="shared" si="2695"/>
        <v>0</v>
      </c>
      <c r="AZ977" s="130">
        <f t="shared" si="2696"/>
        <v>0</v>
      </c>
      <c r="BA977" s="130">
        <f t="shared" si="2697"/>
        <v>0</v>
      </c>
      <c r="BB977" s="130">
        <f t="shared" si="2698"/>
        <v>0</v>
      </c>
    </row>
    <row r="978" spans="1:54" ht="12.75" hidden="1" customHeight="1">
      <c r="A978" s="492">
        <v>587</v>
      </c>
      <c r="B978" s="13"/>
      <c r="C978" s="23"/>
      <c r="D978" s="13"/>
      <c r="E978" s="89" t="s">
        <v>325</v>
      </c>
      <c r="F978" s="90" t="s">
        <v>229</v>
      </c>
      <c r="G978" s="90" t="s">
        <v>1059</v>
      </c>
      <c r="H978" s="284" t="s">
        <v>359</v>
      </c>
      <c r="I978" s="75"/>
      <c r="J978" s="101">
        <v>4730</v>
      </c>
      <c r="K978" s="75"/>
      <c r="L978" s="101"/>
      <c r="M978" s="75"/>
      <c r="N978" s="101"/>
      <c r="O978" s="75"/>
      <c r="P978" s="101"/>
      <c r="Q978" s="130">
        <f t="shared" si="2673"/>
        <v>0</v>
      </c>
      <c r="R978" s="347">
        <f t="shared" si="2674"/>
        <v>0</v>
      </c>
      <c r="S978" s="130"/>
      <c r="T978" s="130">
        <f t="shared" si="2675"/>
        <v>0</v>
      </c>
      <c r="U978" s="130"/>
      <c r="V978" s="184">
        <f t="shared" si="2676"/>
        <v>0</v>
      </c>
      <c r="W978" s="222"/>
      <c r="X978" s="223">
        <f t="shared" si="2677"/>
        <v>0</v>
      </c>
      <c r="Y978" s="197">
        <f t="shared" si="2678"/>
        <v>0</v>
      </c>
      <c r="Z978" s="184">
        <f t="shared" si="2679"/>
        <v>0</v>
      </c>
      <c r="AA978" s="222"/>
      <c r="AB978" s="223">
        <f t="shared" si="2680"/>
        <v>0</v>
      </c>
      <c r="AC978" s="222"/>
      <c r="AD978" s="184">
        <f t="shared" si="2681"/>
        <v>0</v>
      </c>
      <c r="AE978" s="222"/>
      <c r="AF978" s="205">
        <f t="shared" si="2682"/>
        <v>0</v>
      </c>
      <c r="AG978" s="197">
        <f t="shared" si="2683"/>
        <v>0</v>
      </c>
      <c r="AH978" s="130">
        <f t="shared" si="2684"/>
        <v>0</v>
      </c>
      <c r="AI978" s="130">
        <f t="shared" si="2685"/>
        <v>0</v>
      </c>
      <c r="AJ978" s="184">
        <f t="shared" si="2686"/>
        <v>0</v>
      </c>
      <c r="AK978" s="222"/>
      <c r="AL978" s="184">
        <f t="shared" si="2687"/>
        <v>0</v>
      </c>
      <c r="AM978" s="252"/>
      <c r="AN978" s="184">
        <f t="shared" si="2688"/>
        <v>0</v>
      </c>
      <c r="AO978" s="222"/>
      <c r="AP978" s="223">
        <f t="shared" si="2689"/>
        <v>0</v>
      </c>
      <c r="AQ978" s="197">
        <f t="shared" si="2690"/>
        <v>0</v>
      </c>
      <c r="AR978" s="130">
        <f t="shared" si="2691"/>
        <v>0</v>
      </c>
      <c r="AS978" s="130"/>
      <c r="AT978" s="184">
        <f t="shared" si="2692"/>
        <v>0</v>
      </c>
      <c r="AU978" s="222"/>
      <c r="AV978" s="184">
        <f t="shared" si="2693"/>
        <v>0</v>
      </c>
      <c r="AW978" s="222"/>
      <c r="AX978" s="223">
        <f t="shared" si="2694"/>
        <v>0</v>
      </c>
      <c r="AY978" s="197">
        <f t="shared" si="2695"/>
        <v>0</v>
      </c>
      <c r="AZ978" s="130">
        <f t="shared" si="2696"/>
        <v>0</v>
      </c>
      <c r="BA978" s="130">
        <f t="shared" si="2697"/>
        <v>0</v>
      </c>
      <c r="BB978" s="130">
        <f t="shared" si="2698"/>
        <v>0</v>
      </c>
    </row>
    <row r="979" spans="1:54" hidden="1">
      <c r="A979" s="492">
        <v>588</v>
      </c>
      <c r="B979" s="13"/>
      <c r="C979" s="23"/>
      <c r="D979" s="13"/>
      <c r="E979" s="21" t="s">
        <v>417</v>
      </c>
      <c r="F979" s="22" t="s">
        <v>229</v>
      </c>
      <c r="G979" s="22" t="s">
        <v>1059</v>
      </c>
      <c r="H979" s="265" t="s">
        <v>358</v>
      </c>
      <c r="I979" s="54"/>
      <c r="J979" s="101">
        <v>4250</v>
      </c>
      <c r="K979" s="54"/>
      <c r="L979" s="101"/>
      <c r="M979" s="54"/>
      <c r="N979" s="101"/>
      <c r="O979" s="54"/>
      <c r="P979" s="101"/>
      <c r="Q979" s="96">
        <f t="shared" si="2673"/>
        <v>0</v>
      </c>
      <c r="R979" s="337">
        <f t="shared" si="2674"/>
        <v>0</v>
      </c>
      <c r="S979" s="96"/>
      <c r="T979" s="96">
        <f t="shared" si="2675"/>
        <v>0</v>
      </c>
      <c r="U979" s="96"/>
      <c r="V979" s="176">
        <f t="shared" si="2676"/>
        <v>0</v>
      </c>
      <c r="W979" s="96"/>
      <c r="X979" s="205">
        <f t="shared" si="2677"/>
        <v>0</v>
      </c>
      <c r="Y979" s="188">
        <f t="shared" si="2678"/>
        <v>0</v>
      </c>
      <c r="Z979" s="176">
        <f t="shared" si="2679"/>
        <v>0</v>
      </c>
      <c r="AA979" s="96"/>
      <c r="AB979" s="205">
        <f t="shared" si="2680"/>
        <v>0</v>
      </c>
      <c r="AC979" s="96"/>
      <c r="AD979" s="176">
        <f t="shared" si="2681"/>
        <v>0</v>
      </c>
      <c r="AE979" s="96"/>
      <c r="AF979" s="205">
        <f t="shared" si="2682"/>
        <v>0</v>
      </c>
      <c r="AG979" s="188">
        <f t="shared" si="2683"/>
        <v>0</v>
      </c>
      <c r="AH979" s="96">
        <f t="shared" si="2684"/>
        <v>0</v>
      </c>
      <c r="AI979" s="96">
        <f t="shared" si="2685"/>
        <v>0</v>
      </c>
      <c r="AJ979" s="176">
        <f t="shared" si="2686"/>
        <v>0</v>
      </c>
      <c r="AK979" s="96"/>
      <c r="AL979" s="176">
        <f t="shared" si="2687"/>
        <v>0</v>
      </c>
      <c r="AM979" s="96"/>
      <c r="AN979" s="176">
        <f t="shared" si="2688"/>
        <v>0</v>
      </c>
      <c r="AO979" s="206"/>
      <c r="AP979" s="205">
        <f t="shared" si="2689"/>
        <v>0</v>
      </c>
      <c r="AQ979" s="188">
        <f t="shared" si="2690"/>
        <v>0</v>
      </c>
      <c r="AR979" s="96">
        <f t="shared" si="2691"/>
        <v>0</v>
      </c>
      <c r="AS979" s="96"/>
      <c r="AT979" s="176">
        <f t="shared" si="2692"/>
        <v>0</v>
      </c>
      <c r="AU979" s="206"/>
      <c r="AV979" s="176">
        <f t="shared" si="2693"/>
        <v>0</v>
      </c>
      <c r="AW979" s="206"/>
      <c r="AX979" s="205">
        <f t="shared" si="2694"/>
        <v>0</v>
      </c>
      <c r="AY979" s="188">
        <f t="shared" si="2695"/>
        <v>0</v>
      </c>
      <c r="AZ979" s="96">
        <f t="shared" si="2696"/>
        <v>0</v>
      </c>
      <c r="BA979" s="96">
        <f t="shared" si="2697"/>
        <v>0</v>
      </c>
      <c r="BB979" s="96">
        <f t="shared" si="2698"/>
        <v>0</v>
      </c>
    </row>
    <row r="980" spans="1:54" hidden="1">
      <c r="A980" s="492">
        <v>589</v>
      </c>
      <c r="B980" s="13"/>
      <c r="C980" s="23"/>
      <c r="D980" s="13"/>
      <c r="E980" s="21" t="s">
        <v>418</v>
      </c>
      <c r="F980" s="22" t="s">
        <v>229</v>
      </c>
      <c r="G980" s="22" t="s">
        <v>1059</v>
      </c>
      <c r="H980" s="265" t="s">
        <v>358</v>
      </c>
      <c r="I980" s="54"/>
      <c r="J980" s="101">
        <v>4320</v>
      </c>
      <c r="K980" s="54"/>
      <c r="L980" s="101"/>
      <c r="M980" s="54"/>
      <c r="N980" s="101"/>
      <c r="O980" s="54"/>
      <c r="P980" s="101"/>
      <c r="Q980" s="96">
        <f t="shared" si="2673"/>
        <v>0</v>
      </c>
      <c r="R980" s="337">
        <f t="shared" si="2674"/>
        <v>0</v>
      </c>
      <c r="S980" s="96"/>
      <c r="T980" s="96">
        <f t="shared" si="2675"/>
        <v>0</v>
      </c>
      <c r="U980" s="96"/>
      <c r="V980" s="176">
        <f t="shared" si="2676"/>
        <v>0</v>
      </c>
      <c r="W980" s="96"/>
      <c r="X980" s="205">
        <f t="shared" si="2677"/>
        <v>0</v>
      </c>
      <c r="Y980" s="188">
        <f t="shared" si="2678"/>
        <v>0</v>
      </c>
      <c r="Z980" s="176">
        <f t="shared" si="2679"/>
        <v>0</v>
      </c>
      <c r="AA980" s="96"/>
      <c r="AB980" s="205">
        <f t="shared" si="2680"/>
        <v>0</v>
      </c>
      <c r="AC980" s="96"/>
      <c r="AD980" s="176">
        <f t="shared" si="2681"/>
        <v>0</v>
      </c>
      <c r="AE980" s="96"/>
      <c r="AF980" s="205">
        <f t="shared" si="2682"/>
        <v>0</v>
      </c>
      <c r="AG980" s="188">
        <f t="shared" si="2683"/>
        <v>0</v>
      </c>
      <c r="AH980" s="96">
        <f t="shared" si="2684"/>
        <v>0</v>
      </c>
      <c r="AI980" s="96">
        <f t="shared" si="2685"/>
        <v>0</v>
      </c>
      <c r="AJ980" s="176">
        <f t="shared" si="2686"/>
        <v>0</v>
      </c>
      <c r="AK980" s="96"/>
      <c r="AL980" s="176">
        <f t="shared" si="2687"/>
        <v>0</v>
      </c>
      <c r="AM980" s="96"/>
      <c r="AN980" s="176">
        <f t="shared" si="2688"/>
        <v>0</v>
      </c>
      <c r="AO980" s="206"/>
      <c r="AP980" s="205">
        <f t="shared" si="2689"/>
        <v>0</v>
      </c>
      <c r="AQ980" s="188">
        <f t="shared" si="2690"/>
        <v>0</v>
      </c>
      <c r="AR980" s="96">
        <f t="shared" si="2691"/>
        <v>0</v>
      </c>
      <c r="AS980" s="96"/>
      <c r="AT980" s="176">
        <f t="shared" si="2692"/>
        <v>0</v>
      </c>
      <c r="AU980" s="206"/>
      <c r="AV980" s="176">
        <f t="shared" si="2693"/>
        <v>0</v>
      </c>
      <c r="AW980" s="206"/>
      <c r="AX980" s="205">
        <f t="shared" si="2694"/>
        <v>0</v>
      </c>
      <c r="AY980" s="188">
        <f t="shared" si="2695"/>
        <v>0</v>
      </c>
      <c r="AZ980" s="96">
        <f t="shared" si="2696"/>
        <v>0</v>
      </c>
      <c r="BA980" s="96">
        <f t="shared" si="2697"/>
        <v>0</v>
      </c>
      <c r="BB980" s="96">
        <f t="shared" si="2698"/>
        <v>0</v>
      </c>
    </row>
    <row r="981" spans="1:54" hidden="1">
      <c r="A981" s="492">
        <v>590</v>
      </c>
      <c r="B981" s="13"/>
      <c r="C981" s="23"/>
      <c r="D981" s="13"/>
      <c r="E981" s="21" t="s">
        <v>419</v>
      </c>
      <c r="F981" s="22" t="s">
        <v>229</v>
      </c>
      <c r="G981" s="22" t="s">
        <v>1059</v>
      </c>
      <c r="H981" s="265" t="s">
        <v>359</v>
      </c>
      <c r="I981" s="54"/>
      <c r="J981" s="101">
        <v>4250</v>
      </c>
      <c r="K981" s="54"/>
      <c r="L981" s="101"/>
      <c r="M981" s="54"/>
      <c r="N981" s="101"/>
      <c r="O981" s="54"/>
      <c r="P981" s="101"/>
      <c r="Q981" s="96">
        <f t="shared" si="2673"/>
        <v>0</v>
      </c>
      <c r="R981" s="337">
        <f t="shared" si="2674"/>
        <v>0</v>
      </c>
      <c r="S981" s="96"/>
      <c r="T981" s="96">
        <f t="shared" si="2675"/>
        <v>0</v>
      </c>
      <c r="U981" s="96"/>
      <c r="V981" s="176">
        <f t="shared" si="2676"/>
        <v>0</v>
      </c>
      <c r="W981" s="96"/>
      <c r="X981" s="205">
        <f t="shared" si="2677"/>
        <v>0</v>
      </c>
      <c r="Y981" s="188">
        <f t="shared" si="2678"/>
        <v>0</v>
      </c>
      <c r="Z981" s="176">
        <f t="shared" si="2679"/>
        <v>0</v>
      </c>
      <c r="AA981" s="96"/>
      <c r="AB981" s="205">
        <f t="shared" si="2680"/>
        <v>0</v>
      </c>
      <c r="AC981" s="96"/>
      <c r="AD981" s="176">
        <f t="shared" si="2681"/>
        <v>0</v>
      </c>
      <c r="AE981" s="96"/>
      <c r="AF981" s="205">
        <f t="shared" si="2682"/>
        <v>0</v>
      </c>
      <c r="AG981" s="188">
        <f t="shared" si="2683"/>
        <v>0</v>
      </c>
      <c r="AH981" s="96">
        <f t="shared" si="2684"/>
        <v>0</v>
      </c>
      <c r="AI981" s="96">
        <f t="shared" si="2685"/>
        <v>0</v>
      </c>
      <c r="AJ981" s="176">
        <f t="shared" si="2686"/>
        <v>0</v>
      </c>
      <c r="AK981" s="96"/>
      <c r="AL981" s="176">
        <f t="shared" si="2687"/>
        <v>0</v>
      </c>
      <c r="AM981" s="96"/>
      <c r="AN981" s="176">
        <f t="shared" si="2688"/>
        <v>0</v>
      </c>
      <c r="AO981" s="206"/>
      <c r="AP981" s="205">
        <f t="shared" si="2689"/>
        <v>0</v>
      </c>
      <c r="AQ981" s="188">
        <f t="shared" si="2690"/>
        <v>0</v>
      </c>
      <c r="AR981" s="96">
        <f t="shared" si="2691"/>
        <v>0</v>
      </c>
      <c r="AS981" s="96"/>
      <c r="AT981" s="176">
        <f t="shared" si="2692"/>
        <v>0</v>
      </c>
      <c r="AU981" s="206"/>
      <c r="AV981" s="176">
        <f t="shared" si="2693"/>
        <v>0</v>
      </c>
      <c r="AW981" s="206"/>
      <c r="AX981" s="205">
        <f t="shared" si="2694"/>
        <v>0</v>
      </c>
      <c r="AY981" s="188">
        <f t="shared" si="2695"/>
        <v>0</v>
      </c>
      <c r="AZ981" s="96">
        <f t="shared" si="2696"/>
        <v>0</v>
      </c>
      <c r="BA981" s="96">
        <f t="shared" si="2697"/>
        <v>0</v>
      </c>
      <c r="BB981" s="96">
        <f t="shared" si="2698"/>
        <v>0</v>
      </c>
    </row>
    <row r="982" spans="1:54" ht="12.75" hidden="1" customHeight="1">
      <c r="A982" s="492">
        <v>591</v>
      </c>
      <c r="B982" s="13"/>
      <c r="C982" s="23"/>
      <c r="D982" s="13"/>
      <c r="E982" s="21" t="s">
        <v>420</v>
      </c>
      <c r="F982" s="22" t="s">
        <v>229</v>
      </c>
      <c r="G982" s="22" t="s">
        <v>1059</v>
      </c>
      <c r="H982" s="265" t="s">
        <v>359</v>
      </c>
      <c r="I982" s="54"/>
      <c r="J982" s="101">
        <v>4320</v>
      </c>
      <c r="K982" s="54"/>
      <c r="L982" s="101"/>
      <c r="M982" s="54"/>
      <c r="N982" s="101"/>
      <c r="O982" s="54"/>
      <c r="P982" s="101"/>
      <c r="Q982" s="96">
        <f t="shared" si="2673"/>
        <v>0</v>
      </c>
      <c r="R982" s="337">
        <f t="shared" si="2674"/>
        <v>0</v>
      </c>
      <c r="S982" s="96"/>
      <c r="T982" s="96">
        <f t="shared" si="2675"/>
        <v>0</v>
      </c>
      <c r="U982" s="96"/>
      <c r="V982" s="176">
        <f t="shared" si="2676"/>
        <v>0</v>
      </c>
      <c r="W982" s="96"/>
      <c r="X982" s="205">
        <f t="shared" si="2677"/>
        <v>0</v>
      </c>
      <c r="Y982" s="188">
        <f t="shared" si="2678"/>
        <v>0</v>
      </c>
      <c r="Z982" s="176">
        <f t="shared" si="2679"/>
        <v>0</v>
      </c>
      <c r="AA982" s="96"/>
      <c r="AB982" s="205">
        <f t="shared" si="2680"/>
        <v>0</v>
      </c>
      <c r="AC982" s="96"/>
      <c r="AD982" s="176">
        <f t="shared" si="2681"/>
        <v>0</v>
      </c>
      <c r="AE982" s="96"/>
      <c r="AF982" s="205">
        <f t="shared" si="2682"/>
        <v>0</v>
      </c>
      <c r="AG982" s="188">
        <f t="shared" si="2683"/>
        <v>0</v>
      </c>
      <c r="AH982" s="96">
        <f t="shared" si="2684"/>
        <v>0</v>
      </c>
      <c r="AI982" s="96">
        <f t="shared" si="2685"/>
        <v>0</v>
      </c>
      <c r="AJ982" s="176">
        <f t="shared" si="2686"/>
        <v>0</v>
      </c>
      <c r="AK982" s="96"/>
      <c r="AL982" s="176">
        <f t="shared" si="2687"/>
        <v>0</v>
      </c>
      <c r="AM982" s="96"/>
      <c r="AN982" s="176">
        <f t="shared" si="2688"/>
        <v>0</v>
      </c>
      <c r="AO982" s="206"/>
      <c r="AP982" s="205">
        <f t="shared" si="2689"/>
        <v>0</v>
      </c>
      <c r="AQ982" s="188">
        <f t="shared" si="2690"/>
        <v>0</v>
      </c>
      <c r="AR982" s="96">
        <f t="shared" si="2691"/>
        <v>0</v>
      </c>
      <c r="AS982" s="96"/>
      <c r="AT982" s="176">
        <f t="shared" si="2692"/>
        <v>0</v>
      </c>
      <c r="AU982" s="206"/>
      <c r="AV982" s="176">
        <f t="shared" si="2693"/>
        <v>0</v>
      </c>
      <c r="AW982" s="206"/>
      <c r="AX982" s="205">
        <f t="shared" si="2694"/>
        <v>0</v>
      </c>
      <c r="AY982" s="188">
        <f t="shared" si="2695"/>
        <v>0</v>
      </c>
      <c r="AZ982" s="96">
        <f t="shared" si="2696"/>
        <v>0</v>
      </c>
      <c r="BA982" s="96">
        <f t="shared" si="2697"/>
        <v>0</v>
      </c>
      <c r="BB982" s="96">
        <f t="shared" si="2698"/>
        <v>0</v>
      </c>
    </row>
    <row r="983" spans="1:54" ht="12" hidden="1" customHeight="1">
      <c r="A983" s="492">
        <v>592</v>
      </c>
      <c r="B983" s="13"/>
      <c r="C983" s="23"/>
      <c r="D983" s="13"/>
      <c r="E983" s="89" t="s">
        <v>421</v>
      </c>
      <c r="F983" s="90" t="s">
        <v>229</v>
      </c>
      <c r="G983" s="90" t="s">
        <v>1059</v>
      </c>
      <c r="H983" s="284" t="s">
        <v>359</v>
      </c>
      <c r="I983" s="75"/>
      <c r="J983" s="111">
        <v>4320</v>
      </c>
      <c r="K983" s="75"/>
      <c r="L983" s="111"/>
      <c r="M983" s="75"/>
      <c r="N983" s="111"/>
      <c r="O983" s="75"/>
      <c r="P983" s="111"/>
      <c r="Q983" s="130">
        <f t="shared" si="2673"/>
        <v>0</v>
      </c>
      <c r="R983" s="347">
        <f t="shared" si="2674"/>
        <v>0</v>
      </c>
      <c r="S983" s="130"/>
      <c r="T983" s="130">
        <f t="shared" si="2675"/>
        <v>0</v>
      </c>
      <c r="U983" s="130"/>
      <c r="V983" s="184">
        <f t="shared" si="2676"/>
        <v>0</v>
      </c>
      <c r="W983" s="130"/>
      <c r="X983" s="223">
        <f t="shared" si="2677"/>
        <v>0</v>
      </c>
      <c r="Y983" s="197">
        <f t="shared" si="2678"/>
        <v>0</v>
      </c>
      <c r="Z983" s="184">
        <f t="shared" si="2679"/>
        <v>0</v>
      </c>
      <c r="AA983" s="130"/>
      <c r="AB983" s="223">
        <f t="shared" si="2680"/>
        <v>0</v>
      </c>
      <c r="AC983" s="130"/>
      <c r="AD983" s="184">
        <f t="shared" si="2681"/>
        <v>0</v>
      </c>
      <c r="AE983" s="130"/>
      <c r="AF983" s="205">
        <f t="shared" si="2682"/>
        <v>0</v>
      </c>
      <c r="AG983" s="197">
        <f t="shared" si="2683"/>
        <v>0</v>
      </c>
      <c r="AH983" s="130">
        <f t="shared" si="2684"/>
        <v>0</v>
      </c>
      <c r="AI983" s="130">
        <f t="shared" si="2685"/>
        <v>0</v>
      </c>
      <c r="AJ983" s="184">
        <f t="shared" si="2686"/>
        <v>0</v>
      </c>
      <c r="AK983" s="130"/>
      <c r="AL983" s="184">
        <f t="shared" si="2687"/>
        <v>0</v>
      </c>
      <c r="AM983" s="130"/>
      <c r="AN983" s="184">
        <f t="shared" si="2688"/>
        <v>0</v>
      </c>
      <c r="AO983" s="222"/>
      <c r="AP983" s="223">
        <f t="shared" si="2689"/>
        <v>0</v>
      </c>
      <c r="AQ983" s="197">
        <f t="shared" si="2690"/>
        <v>0</v>
      </c>
      <c r="AR983" s="130">
        <f t="shared" si="2691"/>
        <v>0</v>
      </c>
      <c r="AS983" s="130"/>
      <c r="AT983" s="184">
        <f t="shared" si="2692"/>
        <v>0</v>
      </c>
      <c r="AU983" s="222"/>
      <c r="AV983" s="184">
        <f t="shared" si="2693"/>
        <v>0</v>
      </c>
      <c r="AW983" s="222"/>
      <c r="AX983" s="223">
        <f t="shared" si="2694"/>
        <v>0</v>
      </c>
      <c r="AY983" s="197">
        <f t="shared" si="2695"/>
        <v>0</v>
      </c>
      <c r="AZ983" s="130">
        <f t="shared" si="2696"/>
        <v>0</v>
      </c>
      <c r="BA983" s="130">
        <f t="shared" si="2697"/>
        <v>0</v>
      </c>
      <c r="BB983" s="130">
        <f t="shared" si="2698"/>
        <v>0</v>
      </c>
    </row>
    <row r="984" spans="1:54" hidden="1">
      <c r="A984" s="492">
        <v>593</v>
      </c>
      <c r="B984" s="13"/>
      <c r="C984" s="23"/>
      <c r="D984" s="13"/>
      <c r="E984" s="89" t="s">
        <v>422</v>
      </c>
      <c r="F984" s="90" t="s">
        <v>229</v>
      </c>
      <c r="G984" s="90" t="s">
        <v>1059</v>
      </c>
      <c r="H984" s="284" t="s">
        <v>359</v>
      </c>
      <c r="I984" s="75"/>
      <c r="J984" s="111">
        <v>4320</v>
      </c>
      <c r="K984" s="75"/>
      <c r="L984" s="111"/>
      <c r="M984" s="75"/>
      <c r="N984" s="111"/>
      <c r="O984" s="75"/>
      <c r="P984" s="111"/>
      <c r="Q984" s="130">
        <f t="shared" si="2673"/>
        <v>0</v>
      </c>
      <c r="R984" s="347">
        <f t="shared" si="2674"/>
        <v>0</v>
      </c>
      <c r="S984" s="130"/>
      <c r="T984" s="130">
        <f t="shared" si="2675"/>
        <v>0</v>
      </c>
      <c r="U984" s="130"/>
      <c r="V984" s="184">
        <f t="shared" si="2676"/>
        <v>0</v>
      </c>
      <c r="W984" s="130"/>
      <c r="X984" s="223">
        <f t="shared" si="2677"/>
        <v>0</v>
      </c>
      <c r="Y984" s="197">
        <f t="shared" si="2678"/>
        <v>0</v>
      </c>
      <c r="Z984" s="184">
        <f t="shared" si="2679"/>
        <v>0</v>
      </c>
      <c r="AA984" s="130"/>
      <c r="AB984" s="223">
        <f t="shared" si="2680"/>
        <v>0</v>
      </c>
      <c r="AC984" s="130"/>
      <c r="AD984" s="184">
        <f t="shared" si="2681"/>
        <v>0</v>
      </c>
      <c r="AE984" s="130"/>
      <c r="AF984" s="205">
        <f t="shared" si="2682"/>
        <v>0</v>
      </c>
      <c r="AG984" s="197">
        <f t="shared" si="2683"/>
        <v>0</v>
      </c>
      <c r="AH984" s="130">
        <f t="shared" si="2684"/>
        <v>0</v>
      </c>
      <c r="AI984" s="130">
        <f t="shared" si="2685"/>
        <v>0</v>
      </c>
      <c r="AJ984" s="184">
        <f t="shared" si="2686"/>
        <v>0</v>
      </c>
      <c r="AK984" s="130"/>
      <c r="AL984" s="184">
        <f t="shared" si="2687"/>
        <v>0</v>
      </c>
      <c r="AM984" s="130"/>
      <c r="AN984" s="184">
        <f t="shared" si="2688"/>
        <v>0</v>
      </c>
      <c r="AO984" s="222"/>
      <c r="AP984" s="223">
        <f t="shared" si="2689"/>
        <v>0</v>
      </c>
      <c r="AQ984" s="197">
        <f t="shared" si="2690"/>
        <v>0</v>
      </c>
      <c r="AR984" s="130">
        <f t="shared" si="2691"/>
        <v>0</v>
      </c>
      <c r="AS984" s="130"/>
      <c r="AT984" s="184">
        <f t="shared" si="2692"/>
        <v>0</v>
      </c>
      <c r="AU984" s="222"/>
      <c r="AV984" s="184">
        <f t="shared" si="2693"/>
        <v>0</v>
      </c>
      <c r="AW984" s="222"/>
      <c r="AX984" s="223">
        <f t="shared" si="2694"/>
        <v>0</v>
      </c>
      <c r="AY984" s="197">
        <f t="shared" si="2695"/>
        <v>0</v>
      </c>
      <c r="AZ984" s="130">
        <f t="shared" si="2696"/>
        <v>0</v>
      </c>
      <c r="BA984" s="130">
        <f t="shared" si="2697"/>
        <v>0</v>
      </c>
      <c r="BB984" s="130">
        <f t="shared" si="2698"/>
        <v>0</v>
      </c>
    </row>
    <row r="985" spans="1:54" hidden="1">
      <c r="A985" s="492">
        <v>594</v>
      </c>
      <c r="B985" s="13"/>
      <c r="C985" s="23"/>
      <c r="D985" s="13"/>
      <c r="E985" s="21" t="s">
        <v>423</v>
      </c>
      <c r="F985" s="22" t="s">
        <v>229</v>
      </c>
      <c r="G985" s="22" t="s">
        <v>1059</v>
      </c>
      <c r="H985" s="265" t="s">
        <v>359</v>
      </c>
      <c r="I985" s="54"/>
      <c r="J985" s="101">
        <v>3990</v>
      </c>
      <c r="K985" s="54"/>
      <c r="L985" s="101"/>
      <c r="M985" s="54"/>
      <c r="N985" s="101"/>
      <c r="O985" s="54"/>
      <c r="P985" s="101"/>
      <c r="Q985" s="96">
        <f t="shared" si="2673"/>
        <v>0</v>
      </c>
      <c r="R985" s="337">
        <f t="shared" si="2674"/>
        <v>0</v>
      </c>
      <c r="S985" s="96"/>
      <c r="T985" s="96">
        <f t="shared" si="2675"/>
        <v>0</v>
      </c>
      <c r="U985" s="96"/>
      <c r="V985" s="176">
        <f t="shared" si="2676"/>
        <v>0</v>
      </c>
      <c r="W985" s="96"/>
      <c r="X985" s="205">
        <f t="shared" si="2677"/>
        <v>0</v>
      </c>
      <c r="Y985" s="188">
        <f t="shared" si="2678"/>
        <v>0</v>
      </c>
      <c r="Z985" s="176">
        <f t="shared" si="2679"/>
        <v>0</v>
      </c>
      <c r="AA985" s="96"/>
      <c r="AB985" s="205">
        <f t="shared" si="2680"/>
        <v>0</v>
      </c>
      <c r="AC985" s="96"/>
      <c r="AD985" s="176">
        <f t="shared" si="2681"/>
        <v>0</v>
      </c>
      <c r="AE985" s="96"/>
      <c r="AF985" s="205">
        <f t="shared" si="2682"/>
        <v>0</v>
      </c>
      <c r="AG985" s="188">
        <f t="shared" si="2683"/>
        <v>0</v>
      </c>
      <c r="AH985" s="96">
        <f t="shared" si="2684"/>
        <v>0</v>
      </c>
      <c r="AI985" s="96">
        <f t="shared" si="2685"/>
        <v>0</v>
      </c>
      <c r="AJ985" s="176">
        <f t="shared" si="2686"/>
        <v>0</v>
      </c>
      <c r="AK985" s="96"/>
      <c r="AL985" s="176">
        <f t="shared" si="2687"/>
        <v>0</v>
      </c>
      <c r="AM985" s="96"/>
      <c r="AN985" s="176">
        <f t="shared" si="2688"/>
        <v>0</v>
      </c>
      <c r="AO985" s="206"/>
      <c r="AP985" s="205">
        <f t="shared" si="2689"/>
        <v>0</v>
      </c>
      <c r="AQ985" s="188">
        <f t="shared" si="2690"/>
        <v>0</v>
      </c>
      <c r="AR985" s="96">
        <f t="shared" si="2691"/>
        <v>0</v>
      </c>
      <c r="AS985" s="96"/>
      <c r="AT985" s="176">
        <f t="shared" si="2692"/>
        <v>0</v>
      </c>
      <c r="AU985" s="206"/>
      <c r="AV985" s="176">
        <f t="shared" si="2693"/>
        <v>0</v>
      </c>
      <c r="AW985" s="206"/>
      <c r="AX985" s="205">
        <f t="shared" si="2694"/>
        <v>0</v>
      </c>
      <c r="AY985" s="188">
        <f t="shared" si="2695"/>
        <v>0</v>
      </c>
      <c r="AZ985" s="96">
        <f t="shared" si="2696"/>
        <v>0</v>
      </c>
      <c r="BA985" s="96">
        <f t="shared" si="2697"/>
        <v>0</v>
      </c>
      <c r="BB985" s="96">
        <f t="shared" si="2698"/>
        <v>0</v>
      </c>
    </row>
    <row r="986" spans="1:54" ht="12.75" hidden="1" customHeight="1">
      <c r="A986" s="492">
        <v>595</v>
      </c>
      <c r="B986" s="13"/>
      <c r="C986" s="23"/>
      <c r="D986" s="13"/>
      <c r="E986" s="89" t="s">
        <v>787</v>
      </c>
      <c r="F986" s="90" t="s">
        <v>229</v>
      </c>
      <c r="G986" s="90" t="s">
        <v>1059</v>
      </c>
      <c r="H986" s="284" t="s">
        <v>359</v>
      </c>
      <c r="I986" s="75"/>
      <c r="J986" s="111">
        <v>4090</v>
      </c>
      <c r="K986" s="75"/>
      <c r="L986" s="111"/>
      <c r="M986" s="75"/>
      <c r="N986" s="111"/>
      <c r="O986" s="75"/>
      <c r="P986" s="111"/>
      <c r="Q986" s="130">
        <f t="shared" si="2673"/>
        <v>0</v>
      </c>
      <c r="R986" s="347">
        <f t="shared" si="2674"/>
        <v>0</v>
      </c>
      <c r="S986" s="130"/>
      <c r="T986" s="130">
        <f t="shared" si="2675"/>
        <v>0</v>
      </c>
      <c r="U986" s="130"/>
      <c r="V986" s="184">
        <f t="shared" si="2676"/>
        <v>0</v>
      </c>
      <c r="W986" s="222"/>
      <c r="X986" s="223">
        <f t="shared" si="2677"/>
        <v>0</v>
      </c>
      <c r="Y986" s="197">
        <f t="shared" si="2678"/>
        <v>0</v>
      </c>
      <c r="Z986" s="184">
        <f t="shared" si="2679"/>
        <v>0</v>
      </c>
      <c r="AA986" s="222"/>
      <c r="AB986" s="223">
        <f t="shared" si="2680"/>
        <v>0</v>
      </c>
      <c r="AC986" s="222"/>
      <c r="AD986" s="184">
        <f t="shared" si="2681"/>
        <v>0</v>
      </c>
      <c r="AE986" s="222"/>
      <c r="AF986" s="223">
        <f t="shared" si="2682"/>
        <v>0</v>
      </c>
      <c r="AG986" s="197">
        <f t="shared" si="2683"/>
        <v>0</v>
      </c>
      <c r="AH986" s="130">
        <f t="shared" si="2684"/>
        <v>0</v>
      </c>
      <c r="AI986" s="130">
        <f t="shared" si="2685"/>
        <v>0</v>
      </c>
      <c r="AJ986" s="184">
        <f t="shared" si="2686"/>
        <v>0</v>
      </c>
      <c r="AK986" s="222"/>
      <c r="AL986" s="184">
        <f t="shared" si="2687"/>
        <v>0</v>
      </c>
      <c r="AM986" s="252"/>
      <c r="AN986" s="184">
        <f t="shared" si="2688"/>
        <v>0</v>
      </c>
      <c r="AO986" s="222"/>
      <c r="AP986" s="223">
        <f t="shared" si="2689"/>
        <v>0</v>
      </c>
      <c r="AQ986" s="197">
        <f t="shared" si="2690"/>
        <v>0</v>
      </c>
      <c r="AR986" s="130">
        <f t="shared" si="2691"/>
        <v>0</v>
      </c>
      <c r="AS986" s="130"/>
      <c r="AT986" s="184">
        <f t="shared" si="2692"/>
        <v>0</v>
      </c>
      <c r="AU986" s="222"/>
      <c r="AV986" s="184">
        <f t="shared" si="2693"/>
        <v>0</v>
      </c>
      <c r="AW986" s="222"/>
      <c r="AX986" s="223">
        <f t="shared" si="2694"/>
        <v>0</v>
      </c>
      <c r="AY986" s="197">
        <f t="shared" si="2695"/>
        <v>0</v>
      </c>
      <c r="AZ986" s="130">
        <f t="shared" si="2696"/>
        <v>0</v>
      </c>
      <c r="BA986" s="130">
        <f t="shared" si="2697"/>
        <v>0</v>
      </c>
      <c r="BB986" s="130">
        <f t="shared" si="2698"/>
        <v>0</v>
      </c>
    </row>
    <row r="987" spans="1:54" ht="12.75" hidden="1" customHeight="1">
      <c r="A987" s="492">
        <v>596</v>
      </c>
      <c r="B987" s="13"/>
      <c r="C987" s="23"/>
      <c r="D987" s="13"/>
      <c r="E987" s="89" t="s">
        <v>810</v>
      </c>
      <c r="F987" s="90" t="s">
        <v>229</v>
      </c>
      <c r="G987" s="90" t="s">
        <v>1059</v>
      </c>
      <c r="H987" s="284" t="s">
        <v>359</v>
      </c>
      <c r="I987" s="75"/>
      <c r="J987" s="101">
        <v>4090</v>
      </c>
      <c r="K987" s="75"/>
      <c r="L987" s="101"/>
      <c r="M987" s="75"/>
      <c r="N987" s="101"/>
      <c r="O987" s="75"/>
      <c r="P987" s="101"/>
      <c r="Q987" s="130">
        <f t="shared" si="2673"/>
        <v>0</v>
      </c>
      <c r="R987" s="347">
        <f t="shared" si="2674"/>
        <v>0</v>
      </c>
      <c r="S987" s="130"/>
      <c r="T987" s="130">
        <f t="shared" si="2675"/>
        <v>0</v>
      </c>
      <c r="U987" s="130"/>
      <c r="V987" s="184">
        <f t="shared" si="2676"/>
        <v>0</v>
      </c>
      <c r="W987" s="222"/>
      <c r="X987" s="223">
        <f t="shared" si="2677"/>
        <v>0</v>
      </c>
      <c r="Y987" s="197">
        <f t="shared" si="2678"/>
        <v>0</v>
      </c>
      <c r="Z987" s="184">
        <f t="shared" si="2679"/>
        <v>0</v>
      </c>
      <c r="AA987" s="222"/>
      <c r="AB987" s="223">
        <f t="shared" si="2680"/>
        <v>0</v>
      </c>
      <c r="AC987" s="222"/>
      <c r="AD987" s="184">
        <f t="shared" si="2681"/>
        <v>0</v>
      </c>
      <c r="AE987" s="222"/>
      <c r="AF987" s="205">
        <f t="shared" si="2682"/>
        <v>0</v>
      </c>
      <c r="AG987" s="197">
        <f t="shared" si="2683"/>
        <v>0</v>
      </c>
      <c r="AH987" s="130">
        <f t="shared" si="2684"/>
        <v>0</v>
      </c>
      <c r="AI987" s="130">
        <f t="shared" si="2685"/>
        <v>0</v>
      </c>
      <c r="AJ987" s="184">
        <f t="shared" si="2686"/>
        <v>0</v>
      </c>
      <c r="AK987" s="222"/>
      <c r="AL987" s="184">
        <f t="shared" si="2687"/>
        <v>0</v>
      </c>
      <c r="AM987" s="252"/>
      <c r="AN987" s="184">
        <f t="shared" si="2688"/>
        <v>0</v>
      </c>
      <c r="AO987" s="222"/>
      <c r="AP987" s="223">
        <f t="shared" si="2689"/>
        <v>0</v>
      </c>
      <c r="AQ987" s="197">
        <f t="shared" si="2690"/>
        <v>0</v>
      </c>
      <c r="AR987" s="130">
        <f t="shared" si="2691"/>
        <v>0</v>
      </c>
      <c r="AS987" s="130"/>
      <c r="AT987" s="184">
        <f t="shared" si="2692"/>
        <v>0</v>
      </c>
      <c r="AU987" s="222"/>
      <c r="AV987" s="184">
        <f t="shared" si="2693"/>
        <v>0</v>
      </c>
      <c r="AW987" s="222"/>
      <c r="AX987" s="223">
        <f t="shared" si="2694"/>
        <v>0</v>
      </c>
      <c r="AY987" s="197">
        <f t="shared" si="2695"/>
        <v>0</v>
      </c>
      <c r="AZ987" s="130">
        <f t="shared" si="2696"/>
        <v>0</v>
      </c>
      <c r="BA987" s="130">
        <f t="shared" si="2697"/>
        <v>0</v>
      </c>
      <c r="BB987" s="130">
        <f t="shared" si="2698"/>
        <v>0</v>
      </c>
    </row>
    <row r="988" spans="1:54" ht="12.75" hidden="1" customHeight="1">
      <c r="A988" s="492">
        <v>597</v>
      </c>
      <c r="B988" s="13"/>
      <c r="C988" s="23"/>
      <c r="D988" s="13"/>
      <c r="E988" s="89" t="s">
        <v>788</v>
      </c>
      <c r="F988" s="90" t="s">
        <v>229</v>
      </c>
      <c r="G988" s="90" t="s">
        <v>1059</v>
      </c>
      <c r="H988" s="284" t="s">
        <v>359</v>
      </c>
      <c r="I988" s="75"/>
      <c r="J988" s="101">
        <v>4090</v>
      </c>
      <c r="K988" s="75"/>
      <c r="L988" s="101"/>
      <c r="M988" s="75"/>
      <c r="N988" s="101"/>
      <c r="O988" s="75"/>
      <c r="P988" s="101"/>
      <c r="Q988" s="130">
        <f t="shared" si="2673"/>
        <v>0</v>
      </c>
      <c r="R988" s="347">
        <f t="shared" si="2674"/>
        <v>0</v>
      </c>
      <c r="S988" s="130"/>
      <c r="T988" s="130">
        <f t="shared" si="2675"/>
        <v>0</v>
      </c>
      <c r="U988" s="130"/>
      <c r="V988" s="184">
        <f t="shared" si="2676"/>
        <v>0</v>
      </c>
      <c r="W988" s="222"/>
      <c r="X988" s="223">
        <f t="shared" si="2677"/>
        <v>0</v>
      </c>
      <c r="Y988" s="197">
        <f t="shared" si="2678"/>
        <v>0</v>
      </c>
      <c r="Z988" s="184">
        <f t="shared" si="2679"/>
        <v>0</v>
      </c>
      <c r="AA988" s="222"/>
      <c r="AB988" s="223">
        <f t="shared" si="2680"/>
        <v>0</v>
      </c>
      <c r="AC988" s="222"/>
      <c r="AD988" s="184">
        <f t="shared" si="2681"/>
        <v>0</v>
      </c>
      <c r="AE988" s="222"/>
      <c r="AF988" s="205">
        <f t="shared" si="2682"/>
        <v>0</v>
      </c>
      <c r="AG988" s="197">
        <f t="shared" si="2683"/>
        <v>0</v>
      </c>
      <c r="AH988" s="130">
        <f t="shared" si="2684"/>
        <v>0</v>
      </c>
      <c r="AI988" s="130">
        <f t="shared" si="2685"/>
        <v>0</v>
      </c>
      <c r="AJ988" s="184">
        <f t="shared" si="2686"/>
        <v>0</v>
      </c>
      <c r="AK988" s="222"/>
      <c r="AL988" s="184">
        <f t="shared" si="2687"/>
        <v>0</v>
      </c>
      <c r="AM988" s="252"/>
      <c r="AN988" s="184">
        <f t="shared" si="2688"/>
        <v>0</v>
      </c>
      <c r="AO988" s="222"/>
      <c r="AP988" s="223">
        <f t="shared" si="2689"/>
        <v>0</v>
      </c>
      <c r="AQ988" s="197">
        <f t="shared" si="2690"/>
        <v>0</v>
      </c>
      <c r="AR988" s="130">
        <f t="shared" si="2691"/>
        <v>0</v>
      </c>
      <c r="AS988" s="130"/>
      <c r="AT988" s="184">
        <f t="shared" si="2692"/>
        <v>0</v>
      </c>
      <c r="AU988" s="222"/>
      <c r="AV988" s="184">
        <f t="shared" si="2693"/>
        <v>0</v>
      </c>
      <c r="AW988" s="222"/>
      <c r="AX988" s="223">
        <f t="shared" si="2694"/>
        <v>0</v>
      </c>
      <c r="AY988" s="197">
        <f t="shared" si="2695"/>
        <v>0</v>
      </c>
      <c r="AZ988" s="130">
        <f t="shared" si="2696"/>
        <v>0</v>
      </c>
      <c r="BA988" s="130">
        <f t="shared" si="2697"/>
        <v>0</v>
      </c>
      <c r="BB988" s="130">
        <f t="shared" si="2698"/>
        <v>0</v>
      </c>
    </row>
    <row r="989" spans="1:54" ht="12.75" hidden="1" customHeight="1">
      <c r="A989" s="492">
        <v>598</v>
      </c>
      <c r="B989" s="13"/>
      <c r="C989" s="23"/>
      <c r="D989" s="13"/>
      <c r="E989" s="89" t="s">
        <v>811</v>
      </c>
      <c r="F989" s="90" t="s">
        <v>229</v>
      </c>
      <c r="G989" s="90" t="s">
        <v>1059</v>
      </c>
      <c r="H989" s="284" t="s">
        <v>359</v>
      </c>
      <c r="I989" s="75"/>
      <c r="J989" s="101">
        <v>4090</v>
      </c>
      <c r="K989" s="75"/>
      <c r="L989" s="101"/>
      <c r="M989" s="75"/>
      <c r="N989" s="101"/>
      <c r="O989" s="75"/>
      <c r="P989" s="101"/>
      <c r="Q989" s="130">
        <f t="shared" si="2673"/>
        <v>0</v>
      </c>
      <c r="R989" s="347">
        <f t="shared" si="2674"/>
        <v>0</v>
      </c>
      <c r="S989" s="130"/>
      <c r="T989" s="130">
        <f t="shared" si="2675"/>
        <v>0</v>
      </c>
      <c r="U989" s="130"/>
      <c r="V989" s="184">
        <f t="shared" si="2676"/>
        <v>0</v>
      </c>
      <c r="W989" s="222"/>
      <c r="X989" s="223">
        <f t="shared" si="2677"/>
        <v>0</v>
      </c>
      <c r="Y989" s="197">
        <f t="shared" si="2678"/>
        <v>0</v>
      </c>
      <c r="Z989" s="184">
        <f t="shared" si="2679"/>
        <v>0</v>
      </c>
      <c r="AA989" s="222"/>
      <c r="AB989" s="223">
        <f t="shared" si="2680"/>
        <v>0</v>
      </c>
      <c r="AC989" s="222"/>
      <c r="AD989" s="184">
        <f t="shared" si="2681"/>
        <v>0</v>
      </c>
      <c r="AE989" s="222"/>
      <c r="AF989" s="205">
        <f t="shared" si="2682"/>
        <v>0</v>
      </c>
      <c r="AG989" s="197">
        <f t="shared" si="2683"/>
        <v>0</v>
      </c>
      <c r="AH989" s="130">
        <f t="shared" si="2684"/>
        <v>0</v>
      </c>
      <c r="AI989" s="130">
        <f t="shared" si="2685"/>
        <v>0</v>
      </c>
      <c r="AJ989" s="184">
        <f t="shared" si="2686"/>
        <v>0</v>
      </c>
      <c r="AK989" s="222"/>
      <c r="AL989" s="184">
        <f t="shared" si="2687"/>
        <v>0</v>
      </c>
      <c r="AM989" s="252"/>
      <c r="AN989" s="184">
        <f t="shared" si="2688"/>
        <v>0</v>
      </c>
      <c r="AO989" s="222"/>
      <c r="AP989" s="223">
        <f t="shared" si="2689"/>
        <v>0</v>
      </c>
      <c r="AQ989" s="197">
        <f t="shared" si="2690"/>
        <v>0</v>
      </c>
      <c r="AR989" s="130">
        <f t="shared" si="2691"/>
        <v>0</v>
      </c>
      <c r="AS989" s="130"/>
      <c r="AT989" s="184">
        <f t="shared" si="2692"/>
        <v>0</v>
      </c>
      <c r="AU989" s="222"/>
      <c r="AV989" s="184">
        <f t="shared" si="2693"/>
        <v>0</v>
      </c>
      <c r="AW989" s="222"/>
      <c r="AX989" s="223">
        <f t="shared" si="2694"/>
        <v>0</v>
      </c>
      <c r="AY989" s="197">
        <f t="shared" si="2695"/>
        <v>0</v>
      </c>
      <c r="AZ989" s="130">
        <f t="shared" si="2696"/>
        <v>0</v>
      </c>
      <c r="BA989" s="130">
        <f t="shared" si="2697"/>
        <v>0</v>
      </c>
      <c r="BB989" s="130">
        <f t="shared" si="2698"/>
        <v>0</v>
      </c>
    </row>
    <row r="990" spans="1:54" ht="12.75" hidden="1" customHeight="1">
      <c r="A990" s="492">
        <v>599</v>
      </c>
      <c r="B990" s="13"/>
      <c r="C990" s="23"/>
      <c r="D990" s="13"/>
      <c r="E990" s="50" t="s">
        <v>789</v>
      </c>
      <c r="F990" s="90" t="s">
        <v>229</v>
      </c>
      <c r="G990" s="90" t="s">
        <v>1059</v>
      </c>
      <c r="H990" s="284" t="s">
        <v>359</v>
      </c>
      <c r="I990" s="75"/>
      <c r="J990" s="101">
        <v>4090</v>
      </c>
      <c r="K990" s="75"/>
      <c r="L990" s="101"/>
      <c r="M990" s="75"/>
      <c r="N990" s="101"/>
      <c r="O990" s="75"/>
      <c r="P990" s="101"/>
      <c r="Q990" s="130">
        <f t="shared" si="2673"/>
        <v>0</v>
      </c>
      <c r="R990" s="347">
        <f t="shared" si="2674"/>
        <v>0</v>
      </c>
      <c r="S990" s="130"/>
      <c r="T990" s="130">
        <f t="shared" si="2675"/>
        <v>0</v>
      </c>
      <c r="U990" s="130"/>
      <c r="V990" s="184">
        <f t="shared" si="2676"/>
        <v>0</v>
      </c>
      <c r="W990" s="222"/>
      <c r="X990" s="223">
        <f t="shared" si="2677"/>
        <v>0</v>
      </c>
      <c r="Y990" s="197">
        <f t="shared" si="2678"/>
        <v>0</v>
      </c>
      <c r="Z990" s="184">
        <f t="shared" si="2679"/>
        <v>0</v>
      </c>
      <c r="AA990" s="222"/>
      <c r="AB990" s="223">
        <f t="shared" si="2680"/>
        <v>0</v>
      </c>
      <c r="AC990" s="222"/>
      <c r="AD990" s="184">
        <f t="shared" si="2681"/>
        <v>0</v>
      </c>
      <c r="AE990" s="222"/>
      <c r="AF990" s="205">
        <f t="shared" si="2682"/>
        <v>0</v>
      </c>
      <c r="AG990" s="197">
        <f t="shared" si="2683"/>
        <v>0</v>
      </c>
      <c r="AH990" s="130">
        <f t="shared" si="2684"/>
        <v>0</v>
      </c>
      <c r="AI990" s="130">
        <f t="shared" si="2685"/>
        <v>0</v>
      </c>
      <c r="AJ990" s="184">
        <f t="shared" si="2686"/>
        <v>0</v>
      </c>
      <c r="AK990" s="222"/>
      <c r="AL990" s="184">
        <f t="shared" si="2687"/>
        <v>0</v>
      </c>
      <c r="AM990" s="252"/>
      <c r="AN990" s="184">
        <f t="shared" si="2688"/>
        <v>0</v>
      </c>
      <c r="AO990" s="222"/>
      <c r="AP990" s="223">
        <f t="shared" si="2689"/>
        <v>0</v>
      </c>
      <c r="AQ990" s="197">
        <f t="shared" si="2690"/>
        <v>0</v>
      </c>
      <c r="AR990" s="130">
        <f t="shared" si="2691"/>
        <v>0</v>
      </c>
      <c r="AS990" s="130"/>
      <c r="AT990" s="184">
        <f t="shared" si="2692"/>
        <v>0</v>
      </c>
      <c r="AU990" s="222"/>
      <c r="AV990" s="184">
        <f t="shared" si="2693"/>
        <v>0</v>
      </c>
      <c r="AW990" s="222"/>
      <c r="AX990" s="223">
        <f t="shared" si="2694"/>
        <v>0</v>
      </c>
      <c r="AY990" s="197">
        <f t="shared" si="2695"/>
        <v>0</v>
      </c>
      <c r="AZ990" s="130">
        <f t="shared" si="2696"/>
        <v>0</v>
      </c>
      <c r="BA990" s="130">
        <f t="shared" si="2697"/>
        <v>0</v>
      </c>
      <c r="BB990" s="130">
        <f t="shared" si="2698"/>
        <v>0</v>
      </c>
    </row>
    <row r="991" spans="1:54" ht="12.75" hidden="1" customHeight="1">
      <c r="A991" s="492">
        <v>600</v>
      </c>
      <c r="B991" s="13"/>
      <c r="C991" s="23"/>
      <c r="D991" s="13"/>
      <c r="E991" s="50" t="s">
        <v>793</v>
      </c>
      <c r="F991" s="90" t="s">
        <v>229</v>
      </c>
      <c r="G991" s="90" t="s">
        <v>1059</v>
      </c>
      <c r="H991" s="284" t="s">
        <v>359</v>
      </c>
      <c r="I991" s="79"/>
      <c r="J991" s="101">
        <v>4090</v>
      </c>
      <c r="K991" s="75"/>
      <c r="L991" s="101"/>
      <c r="M991" s="75"/>
      <c r="N991" s="101"/>
      <c r="O991" s="79"/>
      <c r="P991" s="101"/>
      <c r="Q991" s="130">
        <f t="shared" si="2673"/>
        <v>0</v>
      </c>
      <c r="R991" s="347">
        <f t="shared" si="2674"/>
        <v>0</v>
      </c>
      <c r="S991" s="130"/>
      <c r="T991" s="130">
        <f t="shared" si="2675"/>
        <v>0</v>
      </c>
      <c r="U991" s="130"/>
      <c r="V991" s="184">
        <f t="shared" si="2676"/>
        <v>0</v>
      </c>
      <c r="W991" s="222"/>
      <c r="X991" s="223">
        <f t="shared" si="2677"/>
        <v>0</v>
      </c>
      <c r="Y991" s="197">
        <f t="shared" si="2678"/>
        <v>0</v>
      </c>
      <c r="Z991" s="184">
        <f t="shared" si="2679"/>
        <v>0</v>
      </c>
      <c r="AA991" s="222"/>
      <c r="AB991" s="223">
        <f t="shared" si="2680"/>
        <v>0</v>
      </c>
      <c r="AC991" s="222"/>
      <c r="AD991" s="184">
        <f t="shared" si="2681"/>
        <v>0</v>
      </c>
      <c r="AE991" s="222"/>
      <c r="AF991" s="208">
        <f t="shared" si="2682"/>
        <v>0</v>
      </c>
      <c r="AG991" s="197">
        <f t="shared" si="2683"/>
        <v>0</v>
      </c>
      <c r="AH991" s="130">
        <f t="shared" si="2684"/>
        <v>0</v>
      </c>
      <c r="AI991" s="130">
        <f t="shared" si="2685"/>
        <v>0</v>
      </c>
      <c r="AJ991" s="184">
        <f t="shared" si="2686"/>
        <v>0</v>
      </c>
      <c r="AK991" s="222"/>
      <c r="AL991" s="184">
        <f t="shared" si="2687"/>
        <v>0</v>
      </c>
      <c r="AM991" s="252"/>
      <c r="AN991" s="184">
        <f t="shared" si="2688"/>
        <v>0</v>
      </c>
      <c r="AO991" s="222"/>
      <c r="AP991" s="223">
        <f t="shared" si="2689"/>
        <v>0</v>
      </c>
      <c r="AQ991" s="197">
        <f t="shared" si="2690"/>
        <v>0</v>
      </c>
      <c r="AR991" s="130">
        <f t="shared" si="2691"/>
        <v>0</v>
      </c>
      <c r="AS991" s="130"/>
      <c r="AT991" s="184">
        <f t="shared" si="2692"/>
        <v>0</v>
      </c>
      <c r="AU991" s="222"/>
      <c r="AV991" s="184">
        <f t="shared" si="2693"/>
        <v>0</v>
      </c>
      <c r="AW991" s="222"/>
      <c r="AX991" s="223">
        <f t="shared" si="2694"/>
        <v>0</v>
      </c>
      <c r="AY991" s="197">
        <f t="shared" si="2695"/>
        <v>0</v>
      </c>
      <c r="AZ991" s="130">
        <f t="shared" si="2696"/>
        <v>0</v>
      </c>
      <c r="BA991" s="130">
        <f t="shared" si="2697"/>
        <v>0</v>
      </c>
      <c r="BB991" s="130">
        <f t="shared" si="2698"/>
        <v>0</v>
      </c>
    </row>
    <row r="992" spans="1:54" hidden="1">
      <c r="A992" s="492">
        <v>601</v>
      </c>
      <c r="B992" s="13"/>
      <c r="C992" s="23"/>
      <c r="D992" s="70"/>
      <c r="E992" s="324" t="s">
        <v>330</v>
      </c>
      <c r="F992" s="55"/>
      <c r="G992" s="55"/>
      <c r="H992" s="278"/>
      <c r="I992" s="143"/>
      <c r="J992" s="172"/>
      <c r="K992" s="56"/>
      <c r="L992" s="172"/>
      <c r="M992" s="56"/>
      <c r="N992" s="172"/>
      <c r="O992" s="143"/>
      <c r="P992" s="172"/>
      <c r="Q992" s="125">
        <f t="shared" ref="Q992:BB992" si="2699">SUM(Q973:Q991)</f>
        <v>0</v>
      </c>
      <c r="R992" s="125">
        <f t="shared" si="2699"/>
        <v>0</v>
      </c>
      <c r="S992" s="125">
        <f t="shared" si="2699"/>
        <v>0</v>
      </c>
      <c r="T992" s="125">
        <f t="shared" si="2699"/>
        <v>0</v>
      </c>
      <c r="U992" s="125">
        <f t="shared" si="2699"/>
        <v>0</v>
      </c>
      <c r="V992" s="125">
        <f t="shared" si="2699"/>
        <v>0</v>
      </c>
      <c r="W992" s="125">
        <f t="shared" si="2699"/>
        <v>0</v>
      </c>
      <c r="X992" s="125">
        <f t="shared" si="2699"/>
        <v>0</v>
      </c>
      <c r="Y992" s="125">
        <f t="shared" si="2699"/>
        <v>0</v>
      </c>
      <c r="Z992" s="125">
        <f t="shared" si="2699"/>
        <v>0</v>
      </c>
      <c r="AA992" s="125">
        <f t="shared" si="2699"/>
        <v>0</v>
      </c>
      <c r="AB992" s="125">
        <f t="shared" si="2699"/>
        <v>0</v>
      </c>
      <c r="AC992" s="125">
        <f t="shared" si="2699"/>
        <v>0</v>
      </c>
      <c r="AD992" s="125">
        <f t="shared" si="2699"/>
        <v>0</v>
      </c>
      <c r="AE992" s="125">
        <f t="shared" si="2699"/>
        <v>0</v>
      </c>
      <c r="AF992" s="125">
        <f t="shared" si="2699"/>
        <v>0</v>
      </c>
      <c r="AG992" s="125">
        <f t="shared" si="2699"/>
        <v>0</v>
      </c>
      <c r="AH992" s="125">
        <f t="shared" si="2699"/>
        <v>0</v>
      </c>
      <c r="AI992" s="125">
        <f t="shared" si="2699"/>
        <v>0</v>
      </c>
      <c r="AJ992" s="125">
        <f t="shared" si="2699"/>
        <v>0</v>
      </c>
      <c r="AK992" s="125">
        <f t="shared" si="2699"/>
        <v>0</v>
      </c>
      <c r="AL992" s="125">
        <f t="shared" si="2699"/>
        <v>0</v>
      </c>
      <c r="AM992" s="125">
        <f t="shared" si="2699"/>
        <v>0</v>
      </c>
      <c r="AN992" s="125">
        <f t="shared" si="2699"/>
        <v>0</v>
      </c>
      <c r="AO992" s="125">
        <f t="shared" si="2699"/>
        <v>0</v>
      </c>
      <c r="AP992" s="125">
        <f t="shared" si="2699"/>
        <v>0</v>
      </c>
      <c r="AQ992" s="125">
        <f t="shared" si="2699"/>
        <v>0</v>
      </c>
      <c r="AR992" s="125">
        <f t="shared" si="2699"/>
        <v>0</v>
      </c>
      <c r="AS992" s="125">
        <f t="shared" si="2699"/>
        <v>0</v>
      </c>
      <c r="AT992" s="125">
        <f t="shared" si="2699"/>
        <v>0</v>
      </c>
      <c r="AU992" s="125">
        <f t="shared" si="2699"/>
        <v>0</v>
      </c>
      <c r="AV992" s="125">
        <f t="shared" si="2699"/>
        <v>0</v>
      </c>
      <c r="AW992" s="125">
        <f t="shared" si="2699"/>
        <v>0</v>
      </c>
      <c r="AX992" s="125">
        <f t="shared" si="2699"/>
        <v>0</v>
      </c>
      <c r="AY992" s="125">
        <f t="shared" si="2699"/>
        <v>0</v>
      </c>
      <c r="AZ992" s="125">
        <f t="shared" si="2699"/>
        <v>0</v>
      </c>
      <c r="BA992" s="125">
        <f t="shared" si="2699"/>
        <v>0</v>
      </c>
      <c r="BB992" s="125">
        <f t="shared" si="2699"/>
        <v>0</v>
      </c>
    </row>
    <row r="993" spans="1:54">
      <c r="A993" s="492">
        <v>602</v>
      </c>
      <c r="B993" s="13"/>
      <c r="C993" s="13"/>
      <c r="D993" s="13" t="s">
        <v>534</v>
      </c>
      <c r="E993" s="13" t="s">
        <v>549</v>
      </c>
      <c r="F993" s="234" t="s">
        <v>534</v>
      </c>
      <c r="G993" s="424" t="s">
        <v>1059</v>
      </c>
      <c r="H993" s="266" t="s">
        <v>358</v>
      </c>
      <c r="I993" s="153"/>
      <c r="J993" s="163">
        <v>10090</v>
      </c>
      <c r="K993" s="75"/>
      <c r="L993" s="163">
        <v>10090</v>
      </c>
      <c r="M993" s="75"/>
      <c r="N993" s="163"/>
      <c r="O993" s="153"/>
      <c r="P993" s="163"/>
      <c r="Q993" s="118">
        <f t="shared" ref="Q993:Q1001" si="2700">SUM(AI993+BA993)</f>
        <v>0</v>
      </c>
      <c r="R993" s="343">
        <f t="shared" ref="R993:R1001" si="2701">SUM(AJ993+BB993)</f>
        <v>0</v>
      </c>
      <c r="S993" s="127"/>
      <c r="T993" s="127">
        <f t="shared" ref="T993:T1001" si="2702">J993*S993/1000</f>
        <v>0</v>
      </c>
      <c r="U993" s="127"/>
      <c r="V993" s="182">
        <f t="shared" ref="V993:V1001" si="2703">J993*U993/1000</f>
        <v>0</v>
      </c>
      <c r="W993" s="218"/>
      <c r="X993" s="219">
        <f t="shared" ref="X993:X1001" si="2704">J993*W993/1000</f>
        <v>0</v>
      </c>
      <c r="Y993" s="195">
        <f t="shared" ref="Y993:Y1001" si="2705">SUM(S993+U993+W993)</f>
        <v>0</v>
      </c>
      <c r="Z993" s="182">
        <f t="shared" ref="Z993:Z1001" si="2706">SUM(T993+V993+X993)</f>
        <v>0</v>
      </c>
      <c r="AA993" s="218"/>
      <c r="AB993" s="219">
        <f t="shared" ref="AB993:AB1001" si="2707">L993*AA993/1000</f>
        <v>0</v>
      </c>
      <c r="AC993" s="218"/>
      <c r="AD993" s="182">
        <f t="shared" ref="AD993:AD1001" si="2708">L993*AC993/1000</f>
        <v>0</v>
      </c>
      <c r="AE993" s="218"/>
      <c r="AF993" s="212">
        <f t="shared" ref="AF993:AF1001" si="2709">L993*AE993/1000</f>
        <v>0</v>
      </c>
      <c r="AG993" s="195">
        <f t="shared" ref="AG993:AG1001" si="2710">SUM(AA993+AC993+AE993)</f>
        <v>0</v>
      </c>
      <c r="AH993" s="127">
        <f t="shared" ref="AH993:AH1001" si="2711">SUM(AB993+AD993+AF993)</f>
        <v>0</v>
      </c>
      <c r="AI993" s="127">
        <f t="shared" ref="AI993:AI1001" si="2712">SUM(Y993+AG993)</f>
        <v>0</v>
      </c>
      <c r="AJ993" s="182">
        <f t="shared" ref="AJ993:AJ1001" si="2713">SUM(Z993,AH993)</f>
        <v>0</v>
      </c>
      <c r="AK993" s="218"/>
      <c r="AL993" s="182">
        <f t="shared" ref="AL993:AL1001" si="2714">N993*AK993/1000</f>
        <v>0</v>
      </c>
      <c r="AM993" s="250"/>
      <c r="AN993" s="182">
        <f t="shared" ref="AN993:AN1001" si="2715">N993*AM993/1000</f>
        <v>0</v>
      </c>
      <c r="AO993" s="218"/>
      <c r="AP993" s="219">
        <f t="shared" ref="AP993:AP1001" si="2716">N993*AO993/1000</f>
        <v>0</v>
      </c>
      <c r="AQ993" s="195">
        <f t="shared" ref="AQ993:AQ1001" si="2717">SUM(AK993+AM993+AO993)</f>
        <v>0</v>
      </c>
      <c r="AR993" s="127">
        <f t="shared" ref="AR993:AR1001" si="2718">SUM(AL993+AN993+AP993)</f>
        <v>0</v>
      </c>
      <c r="AS993" s="127"/>
      <c r="AT993" s="182">
        <f t="shared" ref="AT993:AT1001" si="2719">P993*AS993/1000</f>
        <v>0</v>
      </c>
      <c r="AU993" s="218"/>
      <c r="AV993" s="182">
        <f t="shared" ref="AV993:AV1001" si="2720">P993*AU993/1000</f>
        <v>0</v>
      </c>
      <c r="AW993" s="218"/>
      <c r="AX993" s="219">
        <f t="shared" ref="AX993:AX1001" si="2721">P993*AW993/1000</f>
        <v>0</v>
      </c>
      <c r="AY993" s="195">
        <f t="shared" ref="AY993:AY1001" si="2722">SUM(AS993+AU993+AW993)</f>
        <v>0</v>
      </c>
      <c r="AZ993" s="127">
        <f t="shared" ref="AZ993:AZ1001" si="2723">SUM(AT993+AV993+AX993)</f>
        <v>0</v>
      </c>
      <c r="BA993" s="127">
        <f t="shared" ref="BA993:BA1001" si="2724">SUM(AQ993+AY993)</f>
        <v>0</v>
      </c>
      <c r="BB993" s="127">
        <f t="shared" ref="BB993:BB1001" si="2725">SUM(AR993,AZ993)</f>
        <v>0</v>
      </c>
    </row>
    <row r="994" spans="1:54">
      <c r="A994" s="492">
        <v>603</v>
      </c>
      <c r="B994" s="13"/>
      <c r="C994" s="13"/>
      <c r="D994" s="13"/>
      <c r="E994" s="21" t="s">
        <v>314</v>
      </c>
      <c r="F994" s="230" t="s">
        <v>534</v>
      </c>
      <c r="G994" s="424" t="s">
        <v>1059</v>
      </c>
      <c r="H994" s="265" t="s">
        <v>358</v>
      </c>
      <c r="I994" s="142"/>
      <c r="J994" s="162">
        <v>10090</v>
      </c>
      <c r="K994" s="54"/>
      <c r="L994" s="162">
        <v>10090</v>
      </c>
      <c r="M994" s="54"/>
      <c r="N994" s="162"/>
      <c r="O994" s="142"/>
      <c r="P994" s="162"/>
      <c r="Q994" s="96">
        <f t="shared" si="2700"/>
        <v>0</v>
      </c>
      <c r="R994" s="337">
        <f t="shared" si="2701"/>
        <v>0</v>
      </c>
      <c r="S994" s="96"/>
      <c r="T994" s="96">
        <f t="shared" si="2702"/>
        <v>0</v>
      </c>
      <c r="U994" s="96"/>
      <c r="V994" s="176">
        <f t="shared" si="2703"/>
        <v>0</v>
      </c>
      <c r="W994" s="206"/>
      <c r="X994" s="205">
        <f t="shared" si="2704"/>
        <v>0</v>
      </c>
      <c r="Y994" s="188">
        <f t="shared" si="2705"/>
        <v>0</v>
      </c>
      <c r="Z994" s="176">
        <f t="shared" si="2706"/>
        <v>0</v>
      </c>
      <c r="AA994" s="206"/>
      <c r="AB994" s="205">
        <f t="shared" si="2707"/>
        <v>0</v>
      </c>
      <c r="AC994" s="206"/>
      <c r="AD994" s="176">
        <f t="shared" si="2708"/>
        <v>0</v>
      </c>
      <c r="AE994" s="206"/>
      <c r="AF994" s="205">
        <f t="shared" si="2709"/>
        <v>0</v>
      </c>
      <c r="AG994" s="188">
        <f t="shared" si="2710"/>
        <v>0</v>
      </c>
      <c r="AH994" s="96">
        <f t="shared" si="2711"/>
        <v>0</v>
      </c>
      <c r="AI994" s="96">
        <f t="shared" si="2712"/>
        <v>0</v>
      </c>
      <c r="AJ994" s="176">
        <f t="shared" si="2713"/>
        <v>0</v>
      </c>
      <c r="AK994" s="206"/>
      <c r="AL994" s="176">
        <f t="shared" si="2714"/>
        <v>0</v>
      </c>
      <c r="AM994" s="243"/>
      <c r="AN994" s="176">
        <f t="shared" si="2715"/>
        <v>0</v>
      </c>
      <c r="AO994" s="206"/>
      <c r="AP994" s="205">
        <f t="shared" si="2716"/>
        <v>0</v>
      </c>
      <c r="AQ994" s="188">
        <f t="shared" si="2717"/>
        <v>0</v>
      </c>
      <c r="AR994" s="96">
        <f t="shared" si="2718"/>
        <v>0</v>
      </c>
      <c r="AS994" s="96"/>
      <c r="AT994" s="176">
        <f t="shared" si="2719"/>
        <v>0</v>
      </c>
      <c r="AU994" s="206"/>
      <c r="AV994" s="176">
        <f t="shared" si="2720"/>
        <v>0</v>
      </c>
      <c r="AW994" s="206"/>
      <c r="AX994" s="205">
        <f t="shared" si="2721"/>
        <v>0</v>
      </c>
      <c r="AY994" s="188">
        <f t="shared" si="2722"/>
        <v>0</v>
      </c>
      <c r="AZ994" s="96">
        <f t="shared" si="2723"/>
        <v>0</v>
      </c>
      <c r="BA994" s="96">
        <f t="shared" si="2724"/>
        <v>0</v>
      </c>
      <c r="BB994" s="96">
        <f t="shared" si="2725"/>
        <v>0</v>
      </c>
    </row>
    <row r="995" spans="1:54">
      <c r="A995" s="492">
        <v>604</v>
      </c>
      <c r="B995" s="13"/>
      <c r="C995" s="13"/>
      <c r="D995" s="13"/>
      <c r="E995" s="21" t="s">
        <v>323</v>
      </c>
      <c r="F995" s="230" t="s">
        <v>534</v>
      </c>
      <c r="G995" s="424" t="s">
        <v>1059</v>
      </c>
      <c r="H995" s="265" t="s">
        <v>358</v>
      </c>
      <c r="I995" s="142"/>
      <c r="J995" s="162">
        <v>10090</v>
      </c>
      <c r="K995" s="54"/>
      <c r="L995" s="162">
        <v>10090</v>
      </c>
      <c r="M995" s="54"/>
      <c r="N995" s="162"/>
      <c r="O995" s="142"/>
      <c r="P995" s="162"/>
      <c r="Q995" s="96">
        <f t="shared" si="2700"/>
        <v>0</v>
      </c>
      <c r="R995" s="337">
        <f t="shared" si="2701"/>
        <v>0</v>
      </c>
      <c r="S995" s="96"/>
      <c r="T995" s="96">
        <f t="shared" si="2702"/>
        <v>0</v>
      </c>
      <c r="U995" s="96"/>
      <c r="V995" s="176">
        <f t="shared" si="2703"/>
        <v>0</v>
      </c>
      <c r="W995" s="206"/>
      <c r="X995" s="205">
        <f t="shared" si="2704"/>
        <v>0</v>
      </c>
      <c r="Y995" s="188">
        <f t="shared" si="2705"/>
        <v>0</v>
      </c>
      <c r="Z995" s="176">
        <f t="shared" si="2706"/>
        <v>0</v>
      </c>
      <c r="AA995" s="206"/>
      <c r="AB995" s="205">
        <f t="shared" si="2707"/>
        <v>0</v>
      </c>
      <c r="AC995" s="206"/>
      <c r="AD995" s="176">
        <f t="shared" si="2708"/>
        <v>0</v>
      </c>
      <c r="AE995" s="206"/>
      <c r="AF995" s="205">
        <f t="shared" si="2709"/>
        <v>0</v>
      </c>
      <c r="AG995" s="188">
        <f t="shared" si="2710"/>
        <v>0</v>
      </c>
      <c r="AH995" s="96">
        <f t="shared" si="2711"/>
        <v>0</v>
      </c>
      <c r="AI995" s="96">
        <f t="shared" si="2712"/>
        <v>0</v>
      </c>
      <c r="AJ995" s="176">
        <f t="shared" si="2713"/>
        <v>0</v>
      </c>
      <c r="AK995" s="206"/>
      <c r="AL995" s="176">
        <f t="shared" si="2714"/>
        <v>0</v>
      </c>
      <c r="AM995" s="243"/>
      <c r="AN995" s="176">
        <f t="shared" si="2715"/>
        <v>0</v>
      </c>
      <c r="AO995" s="206"/>
      <c r="AP995" s="205">
        <f t="shared" si="2716"/>
        <v>0</v>
      </c>
      <c r="AQ995" s="188">
        <f t="shared" si="2717"/>
        <v>0</v>
      </c>
      <c r="AR995" s="96">
        <f t="shared" si="2718"/>
        <v>0</v>
      </c>
      <c r="AS995" s="96"/>
      <c r="AT995" s="176">
        <f t="shared" si="2719"/>
        <v>0</v>
      </c>
      <c r="AU995" s="206"/>
      <c r="AV995" s="176">
        <f t="shared" si="2720"/>
        <v>0</v>
      </c>
      <c r="AW995" s="206"/>
      <c r="AX995" s="205">
        <f t="shared" si="2721"/>
        <v>0</v>
      </c>
      <c r="AY995" s="188">
        <f t="shared" si="2722"/>
        <v>0</v>
      </c>
      <c r="AZ995" s="96">
        <f t="shared" si="2723"/>
        <v>0</v>
      </c>
      <c r="BA995" s="96">
        <f t="shared" si="2724"/>
        <v>0</v>
      </c>
      <c r="BB995" s="96">
        <f t="shared" si="2725"/>
        <v>0</v>
      </c>
    </row>
    <row r="996" spans="1:54">
      <c r="A996" s="492">
        <v>605</v>
      </c>
      <c r="B996" s="13"/>
      <c r="C996" s="13"/>
      <c r="D996" s="13"/>
      <c r="E996" s="21" t="s">
        <v>550</v>
      </c>
      <c r="F996" s="230" t="s">
        <v>230</v>
      </c>
      <c r="G996" s="424" t="s">
        <v>1059</v>
      </c>
      <c r="H996" s="265" t="s">
        <v>358</v>
      </c>
      <c r="I996" s="142"/>
      <c r="J996" s="162">
        <v>5550</v>
      </c>
      <c r="K996" s="54"/>
      <c r="L996" s="162">
        <v>5550</v>
      </c>
      <c r="M996" s="54"/>
      <c r="N996" s="162"/>
      <c r="O996" s="142"/>
      <c r="P996" s="162"/>
      <c r="Q996" s="96">
        <f t="shared" si="2700"/>
        <v>0</v>
      </c>
      <c r="R996" s="337">
        <f t="shared" si="2701"/>
        <v>0</v>
      </c>
      <c r="S996" s="96"/>
      <c r="T996" s="96">
        <f t="shared" si="2702"/>
        <v>0</v>
      </c>
      <c r="U996" s="96"/>
      <c r="V996" s="176">
        <f t="shared" si="2703"/>
        <v>0</v>
      </c>
      <c r="W996" s="206"/>
      <c r="X996" s="205">
        <f t="shared" si="2704"/>
        <v>0</v>
      </c>
      <c r="Y996" s="188">
        <f t="shared" si="2705"/>
        <v>0</v>
      </c>
      <c r="Z996" s="176">
        <f t="shared" si="2706"/>
        <v>0</v>
      </c>
      <c r="AA996" s="206"/>
      <c r="AB996" s="205">
        <f t="shared" si="2707"/>
        <v>0</v>
      </c>
      <c r="AC996" s="206"/>
      <c r="AD996" s="176">
        <f t="shared" si="2708"/>
        <v>0</v>
      </c>
      <c r="AE996" s="206"/>
      <c r="AF996" s="205">
        <f t="shared" si="2709"/>
        <v>0</v>
      </c>
      <c r="AG996" s="188">
        <f t="shared" si="2710"/>
        <v>0</v>
      </c>
      <c r="AH996" s="96">
        <f t="shared" si="2711"/>
        <v>0</v>
      </c>
      <c r="AI996" s="96">
        <f t="shared" si="2712"/>
        <v>0</v>
      </c>
      <c r="AJ996" s="176">
        <f t="shared" si="2713"/>
        <v>0</v>
      </c>
      <c r="AK996" s="206"/>
      <c r="AL996" s="176">
        <f t="shared" si="2714"/>
        <v>0</v>
      </c>
      <c r="AM996" s="243"/>
      <c r="AN996" s="176">
        <f t="shared" si="2715"/>
        <v>0</v>
      </c>
      <c r="AO996" s="206"/>
      <c r="AP996" s="205">
        <f t="shared" si="2716"/>
        <v>0</v>
      </c>
      <c r="AQ996" s="188">
        <f t="shared" si="2717"/>
        <v>0</v>
      </c>
      <c r="AR996" s="96">
        <f t="shared" si="2718"/>
        <v>0</v>
      </c>
      <c r="AS996" s="96"/>
      <c r="AT996" s="176">
        <f t="shared" si="2719"/>
        <v>0</v>
      </c>
      <c r="AU996" s="206"/>
      <c r="AV996" s="176">
        <f t="shared" si="2720"/>
        <v>0</v>
      </c>
      <c r="AW996" s="206"/>
      <c r="AX996" s="205">
        <f t="shared" si="2721"/>
        <v>0</v>
      </c>
      <c r="AY996" s="188">
        <f t="shared" si="2722"/>
        <v>0</v>
      </c>
      <c r="AZ996" s="96">
        <f t="shared" si="2723"/>
        <v>0</v>
      </c>
      <c r="BA996" s="96">
        <f t="shared" si="2724"/>
        <v>0</v>
      </c>
      <c r="BB996" s="96">
        <f t="shared" si="2725"/>
        <v>0</v>
      </c>
    </row>
    <row r="997" spans="1:54">
      <c r="A997" s="492">
        <v>606</v>
      </c>
      <c r="B997" s="13"/>
      <c r="C997" s="23"/>
      <c r="D997" s="13"/>
      <c r="E997" s="21" t="s">
        <v>557</v>
      </c>
      <c r="F997" s="22" t="s">
        <v>229</v>
      </c>
      <c r="G997" s="22" t="s">
        <v>1059</v>
      </c>
      <c r="H997" s="265" t="s">
        <v>358</v>
      </c>
      <c r="I997" s="142"/>
      <c r="J997" s="162">
        <v>5660</v>
      </c>
      <c r="K997" s="54"/>
      <c r="L997" s="162">
        <v>5660</v>
      </c>
      <c r="M997" s="54"/>
      <c r="N997" s="162"/>
      <c r="O997" s="142"/>
      <c r="P997" s="162"/>
      <c r="Q997" s="96">
        <f t="shared" si="2700"/>
        <v>0</v>
      </c>
      <c r="R997" s="337">
        <f t="shared" si="2701"/>
        <v>0</v>
      </c>
      <c r="S997" s="96"/>
      <c r="T997" s="96">
        <f t="shared" si="2702"/>
        <v>0</v>
      </c>
      <c r="U997" s="96"/>
      <c r="V997" s="176">
        <f t="shared" si="2703"/>
        <v>0</v>
      </c>
      <c r="W997" s="206"/>
      <c r="X997" s="205">
        <f t="shared" si="2704"/>
        <v>0</v>
      </c>
      <c r="Y997" s="188">
        <f t="shared" si="2705"/>
        <v>0</v>
      </c>
      <c r="Z997" s="176">
        <f t="shared" si="2706"/>
        <v>0</v>
      </c>
      <c r="AA997" s="206"/>
      <c r="AB997" s="205">
        <f t="shared" si="2707"/>
        <v>0</v>
      </c>
      <c r="AC997" s="206"/>
      <c r="AD997" s="176">
        <f t="shared" si="2708"/>
        <v>0</v>
      </c>
      <c r="AE997" s="206"/>
      <c r="AF997" s="205">
        <f t="shared" si="2709"/>
        <v>0</v>
      </c>
      <c r="AG997" s="188">
        <f t="shared" si="2710"/>
        <v>0</v>
      </c>
      <c r="AH997" s="96">
        <f t="shared" si="2711"/>
        <v>0</v>
      </c>
      <c r="AI997" s="96">
        <f t="shared" si="2712"/>
        <v>0</v>
      </c>
      <c r="AJ997" s="176">
        <f t="shared" si="2713"/>
        <v>0</v>
      </c>
      <c r="AK997" s="206"/>
      <c r="AL997" s="176">
        <f t="shared" si="2714"/>
        <v>0</v>
      </c>
      <c r="AM997" s="243"/>
      <c r="AN997" s="176">
        <f t="shared" si="2715"/>
        <v>0</v>
      </c>
      <c r="AO997" s="206"/>
      <c r="AP997" s="205">
        <f t="shared" si="2716"/>
        <v>0</v>
      </c>
      <c r="AQ997" s="188">
        <f t="shared" si="2717"/>
        <v>0</v>
      </c>
      <c r="AR997" s="96">
        <f t="shared" si="2718"/>
        <v>0</v>
      </c>
      <c r="AS997" s="96"/>
      <c r="AT997" s="176">
        <f t="shared" si="2719"/>
        <v>0</v>
      </c>
      <c r="AU997" s="206"/>
      <c r="AV997" s="176">
        <f t="shared" si="2720"/>
        <v>0</v>
      </c>
      <c r="AW997" s="206"/>
      <c r="AX997" s="205">
        <f t="shared" si="2721"/>
        <v>0</v>
      </c>
      <c r="AY997" s="188">
        <f t="shared" si="2722"/>
        <v>0</v>
      </c>
      <c r="AZ997" s="96">
        <f t="shared" si="2723"/>
        <v>0</v>
      </c>
      <c r="BA997" s="96">
        <f t="shared" si="2724"/>
        <v>0</v>
      </c>
      <c r="BB997" s="96">
        <f t="shared" si="2725"/>
        <v>0</v>
      </c>
    </row>
    <row r="998" spans="1:54">
      <c r="A998" s="492">
        <v>607</v>
      </c>
      <c r="B998" s="13"/>
      <c r="C998" s="23"/>
      <c r="D998" s="13"/>
      <c r="E998" s="21" t="s">
        <v>705</v>
      </c>
      <c r="F998" s="37" t="s">
        <v>534</v>
      </c>
      <c r="G998" s="63" t="s">
        <v>1059</v>
      </c>
      <c r="H998" s="265" t="s">
        <v>358</v>
      </c>
      <c r="I998" s="142"/>
      <c r="J998" s="162">
        <v>5660</v>
      </c>
      <c r="K998" s="54"/>
      <c r="L998" s="162">
        <v>5660</v>
      </c>
      <c r="M998" s="54"/>
      <c r="N998" s="162"/>
      <c r="O998" s="142"/>
      <c r="P998" s="162"/>
      <c r="Q998" s="96">
        <f t="shared" si="2700"/>
        <v>0</v>
      </c>
      <c r="R998" s="337">
        <f t="shared" si="2701"/>
        <v>0</v>
      </c>
      <c r="S998" s="96"/>
      <c r="T998" s="96">
        <f t="shared" si="2702"/>
        <v>0</v>
      </c>
      <c r="U998" s="96"/>
      <c r="V998" s="176">
        <f t="shared" si="2703"/>
        <v>0</v>
      </c>
      <c r="W998" s="206"/>
      <c r="X998" s="205">
        <f t="shared" si="2704"/>
        <v>0</v>
      </c>
      <c r="Y998" s="188">
        <f t="shared" si="2705"/>
        <v>0</v>
      </c>
      <c r="Z998" s="176">
        <f t="shared" si="2706"/>
        <v>0</v>
      </c>
      <c r="AA998" s="206"/>
      <c r="AB998" s="205">
        <f t="shared" si="2707"/>
        <v>0</v>
      </c>
      <c r="AC998" s="206"/>
      <c r="AD998" s="176">
        <f t="shared" si="2708"/>
        <v>0</v>
      </c>
      <c r="AE998" s="206"/>
      <c r="AF998" s="430">
        <f t="shared" si="2709"/>
        <v>0</v>
      </c>
      <c r="AG998" s="188">
        <f t="shared" si="2710"/>
        <v>0</v>
      </c>
      <c r="AH998" s="96">
        <f t="shared" si="2711"/>
        <v>0</v>
      </c>
      <c r="AI998" s="96">
        <f t="shared" si="2712"/>
        <v>0</v>
      </c>
      <c r="AJ998" s="176">
        <f t="shared" si="2713"/>
        <v>0</v>
      </c>
      <c r="AK998" s="206"/>
      <c r="AL998" s="176">
        <f t="shared" si="2714"/>
        <v>0</v>
      </c>
      <c r="AM998" s="243"/>
      <c r="AN998" s="176">
        <f t="shared" si="2715"/>
        <v>0</v>
      </c>
      <c r="AO998" s="206"/>
      <c r="AP998" s="205">
        <f t="shared" si="2716"/>
        <v>0</v>
      </c>
      <c r="AQ998" s="188">
        <f t="shared" si="2717"/>
        <v>0</v>
      </c>
      <c r="AR998" s="96">
        <f t="shared" si="2718"/>
        <v>0</v>
      </c>
      <c r="AS998" s="96"/>
      <c r="AT998" s="176">
        <f t="shared" si="2719"/>
        <v>0</v>
      </c>
      <c r="AU998" s="206"/>
      <c r="AV998" s="176">
        <f t="shared" si="2720"/>
        <v>0</v>
      </c>
      <c r="AW998" s="206"/>
      <c r="AX998" s="205">
        <f t="shared" si="2721"/>
        <v>0</v>
      </c>
      <c r="AY998" s="188">
        <f t="shared" si="2722"/>
        <v>0</v>
      </c>
      <c r="AZ998" s="96">
        <f t="shared" si="2723"/>
        <v>0</v>
      </c>
      <c r="BA998" s="96">
        <f t="shared" si="2724"/>
        <v>0</v>
      </c>
      <c r="BB998" s="96">
        <f t="shared" si="2725"/>
        <v>0</v>
      </c>
    </row>
    <row r="999" spans="1:54">
      <c r="A999" s="492">
        <v>608</v>
      </c>
      <c r="B999" s="13"/>
      <c r="C999" s="23"/>
      <c r="D999" s="13"/>
      <c r="E999" s="21" t="s">
        <v>602</v>
      </c>
      <c r="F999" s="22" t="s">
        <v>534</v>
      </c>
      <c r="G999" s="22" t="s">
        <v>1059</v>
      </c>
      <c r="H999" s="265" t="s">
        <v>359</v>
      </c>
      <c r="I999" s="54"/>
      <c r="J999" s="101">
        <v>7920</v>
      </c>
      <c r="K999" s="54"/>
      <c r="L999" s="101">
        <v>7920</v>
      </c>
      <c r="M999" s="54"/>
      <c r="N999" s="101"/>
      <c r="O999" s="54"/>
      <c r="P999" s="101"/>
      <c r="Q999" s="96">
        <f t="shared" si="2700"/>
        <v>0</v>
      </c>
      <c r="R999" s="337">
        <f t="shared" si="2701"/>
        <v>0</v>
      </c>
      <c r="S999" s="96"/>
      <c r="T999" s="96">
        <f t="shared" si="2702"/>
        <v>0</v>
      </c>
      <c r="U999" s="96"/>
      <c r="V999" s="176">
        <f t="shared" si="2703"/>
        <v>0</v>
      </c>
      <c r="W999" s="96"/>
      <c r="X999" s="205">
        <f t="shared" si="2704"/>
        <v>0</v>
      </c>
      <c r="Y999" s="188">
        <f t="shared" si="2705"/>
        <v>0</v>
      </c>
      <c r="Z999" s="176">
        <f t="shared" si="2706"/>
        <v>0</v>
      </c>
      <c r="AA999" s="96"/>
      <c r="AB999" s="205">
        <f t="shared" si="2707"/>
        <v>0</v>
      </c>
      <c r="AC999" s="96"/>
      <c r="AD999" s="176">
        <f t="shared" si="2708"/>
        <v>0</v>
      </c>
      <c r="AE999" s="96"/>
      <c r="AF999" s="223">
        <f t="shared" si="2709"/>
        <v>0</v>
      </c>
      <c r="AG999" s="188">
        <f t="shared" si="2710"/>
        <v>0</v>
      </c>
      <c r="AH999" s="96">
        <f t="shared" si="2711"/>
        <v>0</v>
      </c>
      <c r="AI999" s="96">
        <f t="shared" si="2712"/>
        <v>0</v>
      </c>
      <c r="AJ999" s="176">
        <f t="shared" si="2713"/>
        <v>0</v>
      </c>
      <c r="AK999" s="96"/>
      <c r="AL999" s="176">
        <f t="shared" si="2714"/>
        <v>0</v>
      </c>
      <c r="AM999" s="96"/>
      <c r="AN999" s="176">
        <f t="shared" si="2715"/>
        <v>0</v>
      </c>
      <c r="AO999" s="206"/>
      <c r="AP999" s="205">
        <f t="shared" si="2716"/>
        <v>0</v>
      </c>
      <c r="AQ999" s="188">
        <f t="shared" si="2717"/>
        <v>0</v>
      </c>
      <c r="AR999" s="96">
        <f t="shared" si="2718"/>
        <v>0</v>
      </c>
      <c r="AS999" s="96"/>
      <c r="AT999" s="176">
        <f t="shared" si="2719"/>
        <v>0</v>
      </c>
      <c r="AU999" s="206"/>
      <c r="AV999" s="176">
        <f t="shared" si="2720"/>
        <v>0</v>
      </c>
      <c r="AW999" s="206"/>
      <c r="AX999" s="205">
        <f t="shared" si="2721"/>
        <v>0</v>
      </c>
      <c r="AY999" s="188">
        <f t="shared" si="2722"/>
        <v>0</v>
      </c>
      <c r="AZ999" s="96">
        <f t="shared" si="2723"/>
        <v>0</v>
      </c>
      <c r="BA999" s="96">
        <f t="shared" si="2724"/>
        <v>0</v>
      </c>
      <c r="BB999" s="96">
        <f t="shared" si="2725"/>
        <v>0</v>
      </c>
    </row>
    <row r="1000" spans="1:54">
      <c r="A1000" s="492">
        <v>609</v>
      </c>
      <c r="B1000" s="13"/>
      <c r="C1000" s="23"/>
      <c r="D1000" s="13"/>
      <c r="E1000" s="21" t="s">
        <v>532</v>
      </c>
      <c r="F1000" s="22" t="s">
        <v>534</v>
      </c>
      <c r="G1000" s="22" t="s">
        <v>1059</v>
      </c>
      <c r="H1000" s="265" t="s">
        <v>359</v>
      </c>
      <c r="I1000" s="54"/>
      <c r="J1000" s="101">
        <v>7920</v>
      </c>
      <c r="K1000" s="54"/>
      <c r="L1000" s="101">
        <v>7920</v>
      </c>
      <c r="M1000" s="54"/>
      <c r="N1000" s="101"/>
      <c r="O1000" s="54"/>
      <c r="P1000" s="101"/>
      <c r="Q1000" s="96">
        <f t="shared" si="2700"/>
        <v>0</v>
      </c>
      <c r="R1000" s="337">
        <f t="shared" si="2701"/>
        <v>0</v>
      </c>
      <c r="S1000" s="96"/>
      <c r="T1000" s="96">
        <f t="shared" si="2702"/>
        <v>0</v>
      </c>
      <c r="U1000" s="96"/>
      <c r="V1000" s="176">
        <f t="shared" si="2703"/>
        <v>0</v>
      </c>
      <c r="W1000" s="96"/>
      <c r="X1000" s="205">
        <f t="shared" si="2704"/>
        <v>0</v>
      </c>
      <c r="Y1000" s="188">
        <f t="shared" si="2705"/>
        <v>0</v>
      </c>
      <c r="Z1000" s="176">
        <f t="shared" si="2706"/>
        <v>0</v>
      </c>
      <c r="AA1000" s="96"/>
      <c r="AB1000" s="205">
        <f t="shared" si="2707"/>
        <v>0</v>
      </c>
      <c r="AC1000" s="96"/>
      <c r="AD1000" s="176">
        <f t="shared" si="2708"/>
        <v>0</v>
      </c>
      <c r="AE1000" s="96"/>
      <c r="AF1000" s="205">
        <f t="shared" si="2709"/>
        <v>0</v>
      </c>
      <c r="AG1000" s="188">
        <f t="shared" si="2710"/>
        <v>0</v>
      </c>
      <c r="AH1000" s="96">
        <f t="shared" si="2711"/>
        <v>0</v>
      </c>
      <c r="AI1000" s="96">
        <f t="shared" si="2712"/>
        <v>0</v>
      </c>
      <c r="AJ1000" s="176">
        <f t="shared" si="2713"/>
        <v>0</v>
      </c>
      <c r="AK1000" s="96"/>
      <c r="AL1000" s="176">
        <f t="shared" si="2714"/>
        <v>0</v>
      </c>
      <c r="AM1000" s="96"/>
      <c r="AN1000" s="176">
        <f t="shared" si="2715"/>
        <v>0</v>
      </c>
      <c r="AO1000" s="206"/>
      <c r="AP1000" s="205">
        <f t="shared" si="2716"/>
        <v>0</v>
      </c>
      <c r="AQ1000" s="188">
        <f t="shared" si="2717"/>
        <v>0</v>
      </c>
      <c r="AR1000" s="96">
        <f t="shared" si="2718"/>
        <v>0</v>
      </c>
      <c r="AS1000" s="96"/>
      <c r="AT1000" s="176">
        <f t="shared" si="2719"/>
        <v>0</v>
      </c>
      <c r="AU1000" s="206"/>
      <c r="AV1000" s="176">
        <f t="shared" si="2720"/>
        <v>0</v>
      </c>
      <c r="AW1000" s="206"/>
      <c r="AX1000" s="205">
        <f t="shared" si="2721"/>
        <v>0</v>
      </c>
      <c r="AY1000" s="188">
        <f t="shared" si="2722"/>
        <v>0</v>
      </c>
      <c r="AZ1000" s="96">
        <f t="shared" si="2723"/>
        <v>0</v>
      </c>
      <c r="BA1000" s="96">
        <f t="shared" si="2724"/>
        <v>0</v>
      </c>
      <c r="BB1000" s="96">
        <f t="shared" si="2725"/>
        <v>0</v>
      </c>
    </row>
    <row r="1001" spans="1:54">
      <c r="A1001" s="492">
        <v>610</v>
      </c>
      <c r="B1001" s="13"/>
      <c r="C1001" s="23"/>
      <c r="D1001" s="13"/>
      <c r="E1001" s="24" t="s">
        <v>533</v>
      </c>
      <c r="F1001" s="83" t="s">
        <v>534</v>
      </c>
      <c r="G1001" s="83" t="s">
        <v>1059</v>
      </c>
      <c r="H1001" s="282" t="s">
        <v>359</v>
      </c>
      <c r="I1001" s="79"/>
      <c r="J1001" s="115">
        <v>7920</v>
      </c>
      <c r="K1001" s="79"/>
      <c r="L1001" s="115">
        <v>7920</v>
      </c>
      <c r="M1001" s="79"/>
      <c r="N1001" s="115"/>
      <c r="O1001" s="79"/>
      <c r="P1001" s="115"/>
      <c r="Q1001" s="133">
        <f t="shared" si="2700"/>
        <v>0</v>
      </c>
      <c r="R1001" s="342">
        <f t="shared" si="2701"/>
        <v>0</v>
      </c>
      <c r="S1001" s="133"/>
      <c r="T1001" s="133">
        <f t="shared" si="2702"/>
        <v>0</v>
      </c>
      <c r="U1001" s="133"/>
      <c r="V1001" s="186">
        <f t="shared" si="2703"/>
        <v>0</v>
      </c>
      <c r="W1001" s="133"/>
      <c r="X1001" s="369">
        <f t="shared" si="2704"/>
        <v>0</v>
      </c>
      <c r="Y1001" s="199">
        <f t="shared" si="2705"/>
        <v>0</v>
      </c>
      <c r="Z1001" s="186">
        <f t="shared" si="2706"/>
        <v>0</v>
      </c>
      <c r="AA1001" s="133"/>
      <c r="AB1001" s="369">
        <f t="shared" si="2707"/>
        <v>0</v>
      </c>
      <c r="AC1001" s="133"/>
      <c r="AD1001" s="186">
        <f t="shared" si="2708"/>
        <v>0</v>
      </c>
      <c r="AE1001" s="133"/>
      <c r="AF1001" s="214">
        <f t="shared" si="2709"/>
        <v>0</v>
      </c>
      <c r="AG1001" s="199">
        <f t="shared" si="2710"/>
        <v>0</v>
      </c>
      <c r="AH1001" s="133">
        <f t="shared" si="2711"/>
        <v>0</v>
      </c>
      <c r="AI1001" s="133">
        <f t="shared" si="2712"/>
        <v>0</v>
      </c>
      <c r="AJ1001" s="186">
        <f t="shared" si="2713"/>
        <v>0</v>
      </c>
      <c r="AK1001" s="133"/>
      <c r="AL1001" s="186">
        <f t="shared" si="2714"/>
        <v>0</v>
      </c>
      <c r="AM1001" s="133"/>
      <c r="AN1001" s="186">
        <f t="shared" si="2715"/>
        <v>0</v>
      </c>
      <c r="AO1001" s="368"/>
      <c r="AP1001" s="369">
        <f t="shared" si="2716"/>
        <v>0</v>
      </c>
      <c r="AQ1001" s="199">
        <f t="shared" si="2717"/>
        <v>0</v>
      </c>
      <c r="AR1001" s="133">
        <f t="shared" si="2718"/>
        <v>0</v>
      </c>
      <c r="AS1001" s="133"/>
      <c r="AT1001" s="186">
        <f t="shared" si="2719"/>
        <v>0</v>
      </c>
      <c r="AU1001" s="368"/>
      <c r="AV1001" s="186">
        <f t="shared" si="2720"/>
        <v>0</v>
      </c>
      <c r="AW1001" s="368"/>
      <c r="AX1001" s="369">
        <f t="shared" si="2721"/>
        <v>0</v>
      </c>
      <c r="AY1001" s="199">
        <f t="shared" si="2722"/>
        <v>0</v>
      </c>
      <c r="AZ1001" s="133">
        <f t="shared" si="2723"/>
        <v>0</v>
      </c>
      <c r="BA1001" s="133">
        <f t="shared" si="2724"/>
        <v>0</v>
      </c>
      <c r="BB1001" s="133">
        <f t="shared" si="2725"/>
        <v>0</v>
      </c>
    </row>
    <row r="1002" spans="1:54">
      <c r="A1002" s="492">
        <v>611</v>
      </c>
      <c r="B1002" s="13"/>
      <c r="C1002" s="234"/>
      <c r="D1002" s="406"/>
      <c r="E1002" s="551" t="s">
        <v>330</v>
      </c>
      <c r="F1002" s="234"/>
      <c r="G1002" s="234"/>
      <c r="H1002" s="266"/>
      <c r="I1002" s="151"/>
      <c r="J1002" s="114"/>
      <c r="K1002" s="73"/>
      <c r="L1002" s="170"/>
      <c r="M1002" s="73"/>
      <c r="N1002" s="170"/>
      <c r="O1002" s="151"/>
      <c r="P1002" s="114"/>
      <c r="Q1002" s="122">
        <f t="shared" ref="Q1002:BB1002" si="2726">SUM(Q993:Q1001)</f>
        <v>0</v>
      </c>
      <c r="R1002" s="122">
        <f t="shared" si="2726"/>
        <v>0</v>
      </c>
      <c r="S1002" s="122">
        <f t="shared" si="2726"/>
        <v>0</v>
      </c>
      <c r="T1002" s="122">
        <f t="shared" si="2726"/>
        <v>0</v>
      </c>
      <c r="U1002" s="122">
        <f t="shared" si="2726"/>
        <v>0</v>
      </c>
      <c r="V1002" s="122">
        <f t="shared" si="2726"/>
        <v>0</v>
      </c>
      <c r="W1002" s="122">
        <f t="shared" si="2726"/>
        <v>0</v>
      </c>
      <c r="X1002" s="122">
        <f t="shared" si="2726"/>
        <v>0</v>
      </c>
      <c r="Y1002" s="122">
        <f t="shared" si="2726"/>
        <v>0</v>
      </c>
      <c r="Z1002" s="122">
        <f t="shared" si="2726"/>
        <v>0</v>
      </c>
      <c r="AA1002" s="122">
        <f t="shared" si="2726"/>
        <v>0</v>
      </c>
      <c r="AB1002" s="122">
        <f t="shared" si="2726"/>
        <v>0</v>
      </c>
      <c r="AC1002" s="122">
        <f t="shared" si="2726"/>
        <v>0</v>
      </c>
      <c r="AD1002" s="122">
        <f t="shared" si="2726"/>
        <v>0</v>
      </c>
      <c r="AE1002" s="122">
        <f t="shared" si="2726"/>
        <v>0</v>
      </c>
      <c r="AF1002" s="122">
        <f t="shared" si="2726"/>
        <v>0</v>
      </c>
      <c r="AG1002" s="122">
        <f t="shared" si="2726"/>
        <v>0</v>
      </c>
      <c r="AH1002" s="122">
        <f t="shared" si="2726"/>
        <v>0</v>
      </c>
      <c r="AI1002" s="122">
        <f t="shared" si="2726"/>
        <v>0</v>
      </c>
      <c r="AJ1002" s="122">
        <f t="shared" si="2726"/>
        <v>0</v>
      </c>
      <c r="AK1002" s="122">
        <f t="shared" si="2726"/>
        <v>0</v>
      </c>
      <c r="AL1002" s="122">
        <f t="shared" si="2726"/>
        <v>0</v>
      </c>
      <c r="AM1002" s="122">
        <f t="shared" si="2726"/>
        <v>0</v>
      </c>
      <c r="AN1002" s="122">
        <f t="shared" si="2726"/>
        <v>0</v>
      </c>
      <c r="AO1002" s="122">
        <f t="shared" si="2726"/>
        <v>0</v>
      </c>
      <c r="AP1002" s="122">
        <f t="shared" si="2726"/>
        <v>0</v>
      </c>
      <c r="AQ1002" s="122">
        <f t="shared" si="2726"/>
        <v>0</v>
      </c>
      <c r="AR1002" s="122">
        <f t="shared" si="2726"/>
        <v>0</v>
      </c>
      <c r="AS1002" s="122">
        <f t="shared" si="2726"/>
        <v>0</v>
      </c>
      <c r="AT1002" s="122">
        <f t="shared" si="2726"/>
        <v>0</v>
      </c>
      <c r="AU1002" s="122">
        <f t="shared" si="2726"/>
        <v>0</v>
      </c>
      <c r="AV1002" s="122">
        <f t="shared" si="2726"/>
        <v>0</v>
      </c>
      <c r="AW1002" s="122">
        <f t="shared" si="2726"/>
        <v>0</v>
      </c>
      <c r="AX1002" s="122">
        <f t="shared" si="2726"/>
        <v>0</v>
      </c>
      <c r="AY1002" s="122">
        <f t="shared" si="2726"/>
        <v>0</v>
      </c>
      <c r="AZ1002" s="122">
        <f t="shared" si="2726"/>
        <v>0</v>
      </c>
      <c r="BA1002" s="122">
        <f t="shared" si="2726"/>
        <v>0</v>
      </c>
      <c r="BB1002" s="122">
        <f t="shared" si="2726"/>
        <v>0</v>
      </c>
    </row>
    <row r="1003" spans="1:54">
      <c r="A1003" s="492">
        <v>612</v>
      </c>
      <c r="B1003" s="13"/>
      <c r="C1003" s="234"/>
      <c r="D1003" s="52" t="s">
        <v>334</v>
      </c>
      <c r="E1003" s="52" t="s">
        <v>603</v>
      </c>
      <c r="F1003" s="407"/>
      <c r="G1003" s="407" t="s">
        <v>1059</v>
      </c>
      <c r="H1003" s="280" t="s">
        <v>359</v>
      </c>
      <c r="I1003" s="53">
        <v>25.35</v>
      </c>
      <c r="J1003" s="113"/>
      <c r="K1003" s="53">
        <v>25.35</v>
      </c>
      <c r="L1003" s="169"/>
      <c r="M1003" s="53"/>
      <c r="N1003" s="169"/>
      <c r="O1003" s="53"/>
      <c r="P1003" s="113"/>
      <c r="Q1003" s="127">
        <f t="shared" ref="Q1003:Q1022" si="2727">SUM(AI1003+BA1003)</f>
        <v>0</v>
      </c>
      <c r="R1003" s="343">
        <f t="shared" ref="R1003:R1022" si="2728">SUM(AJ1003+BB1003)</f>
        <v>0</v>
      </c>
      <c r="S1003" s="127"/>
      <c r="T1003" s="127">
        <f t="shared" ref="T1003:T1022" si="2729">I1003*S1003*$T$2/1000</f>
        <v>0</v>
      </c>
      <c r="U1003" s="127"/>
      <c r="V1003" s="182">
        <f t="shared" ref="V1003:V1022" si="2730">I1003*U1003*$V$2/1000</f>
        <v>0</v>
      </c>
      <c r="W1003" s="218"/>
      <c r="X1003" s="219">
        <f t="shared" ref="X1003:X1022" si="2731">I1003*W1003*$X$2/1000</f>
        <v>0</v>
      </c>
      <c r="Y1003" s="195">
        <f t="shared" ref="Y1003:Y1022" si="2732">SUM(S1003+U1003+W1003)</f>
        <v>0</v>
      </c>
      <c r="Z1003" s="182">
        <f t="shared" ref="Z1003:Z1022" si="2733">SUM(T1003+V1003+X1003)</f>
        <v>0</v>
      </c>
      <c r="AA1003" s="218"/>
      <c r="AB1003" s="219">
        <f t="shared" ref="AB1003:AB1022" si="2734">K1003*AA1003*$AB$2/1000</f>
        <v>0</v>
      </c>
      <c r="AC1003" s="218"/>
      <c r="AD1003" s="182">
        <f t="shared" ref="AD1003:AD1022" si="2735">K1003*AC1003*$AD$2/1000</f>
        <v>0</v>
      </c>
      <c r="AE1003" s="218"/>
      <c r="AF1003" s="212">
        <f t="shared" ref="AF1003:AF1022" si="2736">K1003*AE1003*$AF$2/1000</f>
        <v>0</v>
      </c>
      <c r="AG1003" s="195">
        <f t="shared" ref="AG1003:AG1022" si="2737">SUM(AA1003+AC1003+AE1003)</f>
        <v>0</v>
      </c>
      <c r="AH1003" s="127">
        <f t="shared" ref="AH1003:AH1022" si="2738">SUM(AB1003+AD1003+AF1003)</f>
        <v>0</v>
      </c>
      <c r="AI1003" s="127">
        <f t="shared" ref="AI1003:AI1022" si="2739">SUM(Y1003+AG1003)</f>
        <v>0</v>
      </c>
      <c r="AJ1003" s="182">
        <f t="shared" ref="AJ1003:AJ1022" si="2740">SUM(Z1003,AH1003)</f>
        <v>0</v>
      </c>
      <c r="AK1003" s="218"/>
      <c r="AL1003" s="182">
        <f t="shared" ref="AL1003:AL1022" si="2741">M1003*AK1003*$AL$2/1000</f>
        <v>0</v>
      </c>
      <c r="AM1003" s="250"/>
      <c r="AN1003" s="182">
        <f t="shared" ref="AN1003:AN1022" si="2742">M1003*AM1003*$AN$2/1000</f>
        <v>0</v>
      </c>
      <c r="AO1003" s="218"/>
      <c r="AP1003" s="219">
        <f t="shared" ref="AP1003:AP1022" si="2743">M1003*AO1003*$AP$2/1000</f>
        <v>0</v>
      </c>
      <c r="AQ1003" s="195">
        <f t="shared" ref="AQ1003:AQ1022" si="2744">SUM(AK1003+AM1003+AO1003)</f>
        <v>0</v>
      </c>
      <c r="AR1003" s="127">
        <f t="shared" ref="AR1003:AR1022" si="2745">SUM(AL1003+AN1003+AP1003)</f>
        <v>0</v>
      </c>
      <c r="AS1003" s="127"/>
      <c r="AT1003" s="182">
        <f t="shared" ref="AT1003:AT1022" si="2746">O1003*AS1003*$AT$2/1000</f>
        <v>0</v>
      </c>
      <c r="AU1003" s="218"/>
      <c r="AV1003" s="182">
        <f t="shared" ref="AV1003:AV1022" si="2747">O1003*AU1003*$AV$2/1000</f>
        <v>0</v>
      </c>
      <c r="AW1003" s="218"/>
      <c r="AX1003" s="219">
        <f t="shared" ref="AX1003:AX1022" si="2748">O1003*AW1003*$AX$2/1000</f>
        <v>0</v>
      </c>
      <c r="AY1003" s="195">
        <f t="shared" ref="AY1003:AY1022" si="2749">SUM(AS1003+AU1003+AW1003)</f>
        <v>0</v>
      </c>
      <c r="AZ1003" s="127">
        <f t="shared" ref="AZ1003:AZ1022" si="2750">SUM(AT1003+AV1003+AX1003)</f>
        <v>0</v>
      </c>
      <c r="BA1003" s="127">
        <f t="shared" ref="BA1003:BA1022" si="2751">SUM(AQ1003+AY1003)</f>
        <v>0</v>
      </c>
      <c r="BB1003" s="127">
        <f t="shared" ref="BB1003:BB1022" si="2752">SUM(AR1003,AZ1003)</f>
        <v>0</v>
      </c>
    </row>
    <row r="1004" spans="1:54">
      <c r="A1004" s="492">
        <v>613</v>
      </c>
      <c r="B1004" s="13"/>
      <c r="C1004" s="234"/>
      <c r="D1004" s="13"/>
      <c r="E1004" s="258" t="s">
        <v>335</v>
      </c>
      <c r="F1004" s="259"/>
      <c r="G1004" s="259" t="s">
        <v>1059</v>
      </c>
      <c r="H1004" s="274" t="s">
        <v>359</v>
      </c>
      <c r="I1004" s="262">
        <v>26.85</v>
      </c>
      <c r="J1004" s="263"/>
      <c r="K1004" s="262">
        <v>26.85</v>
      </c>
      <c r="L1004" s="263"/>
      <c r="M1004" s="262"/>
      <c r="N1004" s="263"/>
      <c r="O1004" s="262"/>
      <c r="P1004" s="263"/>
      <c r="Q1004" s="128">
        <f t="shared" si="2727"/>
        <v>0</v>
      </c>
      <c r="R1004" s="345">
        <f t="shared" si="2728"/>
        <v>0</v>
      </c>
      <c r="S1004" s="128"/>
      <c r="T1004" s="128">
        <f t="shared" si="2729"/>
        <v>0</v>
      </c>
      <c r="U1004" s="128"/>
      <c r="V1004" s="183">
        <f t="shared" si="2730"/>
        <v>0</v>
      </c>
      <c r="W1004" s="220"/>
      <c r="X1004" s="221">
        <f t="shared" si="2731"/>
        <v>0</v>
      </c>
      <c r="Y1004" s="196">
        <f t="shared" si="2732"/>
        <v>0</v>
      </c>
      <c r="Z1004" s="183">
        <f t="shared" si="2733"/>
        <v>0</v>
      </c>
      <c r="AA1004" s="220"/>
      <c r="AB1004" s="221">
        <f t="shared" si="2734"/>
        <v>0</v>
      </c>
      <c r="AC1004" s="220"/>
      <c r="AD1004" s="183">
        <f t="shared" si="2735"/>
        <v>0</v>
      </c>
      <c r="AE1004" s="220"/>
      <c r="AF1004" s="205">
        <f t="shared" si="2736"/>
        <v>0</v>
      </c>
      <c r="AG1004" s="196">
        <f t="shared" si="2737"/>
        <v>0</v>
      </c>
      <c r="AH1004" s="128">
        <f t="shared" si="2738"/>
        <v>0</v>
      </c>
      <c r="AI1004" s="128">
        <f t="shared" si="2739"/>
        <v>0</v>
      </c>
      <c r="AJ1004" s="183">
        <f t="shared" si="2740"/>
        <v>0</v>
      </c>
      <c r="AK1004" s="220"/>
      <c r="AL1004" s="183">
        <f t="shared" si="2741"/>
        <v>0</v>
      </c>
      <c r="AM1004" s="251"/>
      <c r="AN1004" s="183">
        <f t="shared" si="2742"/>
        <v>0</v>
      </c>
      <c r="AO1004" s="220"/>
      <c r="AP1004" s="221">
        <f t="shared" si="2743"/>
        <v>0</v>
      </c>
      <c r="AQ1004" s="196">
        <f t="shared" si="2744"/>
        <v>0</v>
      </c>
      <c r="AR1004" s="128">
        <f t="shared" si="2745"/>
        <v>0</v>
      </c>
      <c r="AS1004" s="128"/>
      <c r="AT1004" s="183">
        <f t="shared" si="2746"/>
        <v>0</v>
      </c>
      <c r="AU1004" s="220"/>
      <c r="AV1004" s="183">
        <f t="shared" si="2747"/>
        <v>0</v>
      </c>
      <c r="AW1004" s="220"/>
      <c r="AX1004" s="221">
        <f t="shared" si="2748"/>
        <v>0</v>
      </c>
      <c r="AY1004" s="196">
        <f t="shared" si="2749"/>
        <v>0</v>
      </c>
      <c r="AZ1004" s="128">
        <f t="shared" si="2750"/>
        <v>0</v>
      </c>
      <c r="BA1004" s="128">
        <f t="shared" si="2751"/>
        <v>0</v>
      </c>
      <c r="BB1004" s="128">
        <f t="shared" si="2752"/>
        <v>0</v>
      </c>
    </row>
    <row r="1005" spans="1:54">
      <c r="A1005" s="492">
        <v>614</v>
      </c>
      <c r="B1005" s="13"/>
      <c r="C1005" s="234"/>
      <c r="D1005" s="13"/>
      <c r="E1005" s="258" t="s">
        <v>336</v>
      </c>
      <c r="F1005" s="259"/>
      <c r="G1005" s="259" t="s">
        <v>1059</v>
      </c>
      <c r="H1005" s="274" t="s">
        <v>360</v>
      </c>
      <c r="I1005" s="262">
        <v>26.85</v>
      </c>
      <c r="J1005" s="263"/>
      <c r="K1005" s="262">
        <v>26.85</v>
      </c>
      <c r="L1005" s="263"/>
      <c r="M1005" s="262"/>
      <c r="N1005" s="263"/>
      <c r="O1005" s="262"/>
      <c r="P1005" s="263"/>
      <c r="Q1005" s="128">
        <f t="shared" si="2727"/>
        <v>0</v>
      </c>
      <c r="R1005" s="345">
        <f t="shared" si="2728"/>
        <v>0</v>
      </c>
      <c r="S1005" s="128"/>
      <c r="T1005" s="128">
        <f t="shared" si="2729"/>
        <v>0</v>
      </c>
      <c r="U1005" s="128"/>
      <c r="V1005" s="183">
        <f t="shared" si="2730"/>
        <v>0</v>
      </c>
      <c r="W1005" s="220"/>
      <c r="X1005" s="221">
        <f t="shared" si="2731"/>
        <v>0</v>
      </c>
      <c r="Y1005" s="196">
        <f t="shared" si="2732"/>
        <v>0</v>
      </c>
      <c r="Z1005" s="183">
        <f t="shared" si="2733"/>
        <v>0</v>
      </c>
      <c r="AA1005" s="220"/>
      <c r="AB1005" s="221">
        <f t="shared" si="2734"/>
        <v>0</v>
      </c>
      <c r="AC1005" s="220"/>
      <c r="AD1005" s="183">
        <f t="shared" si="2735"/>
        <v>0</v>
      </c>
      <c r="AE1005" s="220"/>
      <c r="AF1005" s="205">
        <f t="shared" si="2736"/>
        <v>0</v>
      </c>
      <c r="AG1005" s="196">
        <f t="shared" si="2737"/>
        <v>0</v>
      </c>
      <c r="AH1005" s="128">
        <f t="shared" si="2738"/>
        <v>0</v>
      </c>
      <c r="AI1005" s="128">
        <f t="shared" si="2739"/>
        <v>0</v>
      </c>
      <c r="AJ1005" s="183">
        <f t="shared" si="2740"/>
        <v>0</v>
      </c>
      <c r="AK1005" s="220"/>
      <c r="AL1005" s="183">
        <f t="shared" si="2741"/>
        <v>0</v>
      </c>
      <c r="AM1005" s="251"/>
      <c r="AN1005" s="183">
        <f t="shared" si="2742"/>
        <v>0</v>
      </c>
      <c r="AO1005" s="220"/>
      <c r="AP1005" s="221">
        <f t="shared" si="2743"/>
        <v>0</v>
      </c>
      <c r="AQ1005" s="196">
        <f t="shared" si="2744"/>
        <v>0</v>
      </c>
      <c r="AR1005" s="128">
        <f t="shared" si="2745"/>
        <v>0</v>
      </c>
      <c r="AS1005" s="128"/>
      <c r="AT1005" s="183">
        <f t="shared" si="2746"/>
        <v>0</v>
      </c>
      <c r="AU1005" s="220"/>
      <c r="AV1005" s="183">
        <f t="shared" si="2747"/>
        <v>0</v>
      </c>
      <c r="AW1005" s="220"/>
      <c r="AX1005" s="221">
        <f t="shared" si="2748"/>
        <v>0</v>
      </c>
      <c r="AY1005" s="196">
        <f t="shared" si="2749"/>
        <v>0</v>
      </c>
      <c r="AZ1005" s="128">
        <f t="shared" si="2750"/>
        <v>0</v>
      </c>
      <c r="BA1005" s="128">
        <f t="shared" si="2751"/>
        <v>0</v>
      </c>
      <c r="BB1005" s="128">
        <f t="shared" si="2752"/>
        <v>0</v>
      </c>
    </row>
    <row r="1006" spans="1:54">
      <c r="A1006" s="492">
        <v>615</v>
      </c>
      <c r="B1006" s="13"/>
      <c r="C1006" s="234"/>
      <c r="D1006" s="13"/>
      <c r="E1006" s="89" t="s">
        <v>337</v>
      </c>
      <c r="F1006" s="424"/>
      <c r="G1006" s="424" t="s">
        <v>1059</v>
      </c>
      <c r="H1006" s="284" t="s">
        <v>358</v>
      </c>
      <c r="I1006" s="75">
        <v>29.17</v>
      </c>
      <c r="J1006" s="111"/>
      <c r="K1006" s="75">
        <v>29.17</v>
      </c>
      <c r="L1006" s="167"/>
      <c r="M1006" s="75"/>
      <c r="N1006" s="167"/>
      <c r="O1006" s="75"/>
      <c r="P1006" s="111"/>
      <c r="Q1006" s="96">
        <f t="shared" si="2727"/>
        <v>0</v>
      </c>
      <c r="R1006" s="337">
        <f t="shared" si="2728"/>
        <v>0</v>
      </c>
      <c r="S1006" s="96"/>
      <c r="T1006" s="96">
        <f t="shared" si="2729"/>
        <v>0</v>
      </c>
      <c r="U1006" s="96"/>
      <c r="V1006" s="176">
        <f t="shared" si="2730"/>
        <v>0</v>
      </c>
      <c r="W1006" s="206"/>
      <c r="X1006" s="205">
        <f t="shared" si="2731"/>
        <v>0</v>
      </c>
      <c r="Y1006" s="188">
        <f t="shared" si="2732"/>
        <v>0</v>
      </c>
      <c r="Z1006" s="176">
        <f t="shared" si="2733"/>
        <v>0</v>
      </c>
      <c r="AA1006" s="206"/>
      <c r="AB1006" s="205">
        <f t="shared" si="2734"/>
        <v>0</v>
      </c>
      <c r="AC1006" s="206"/>
      <c r="AD1006" s="176">
        <f t="shared" si="2735"/>
        <v>0</v>
      </c>
      <c r="AE1006" s="206"/>
      <c r="AF1006" s="223">
        <f t="shared" si="2736"/>
        <v>0</v>
      </c>
      <c r="AG1006" s="188">
        <f t="shared" si="2737"/>
        <v>0</v>
      </c>
      <c r="AH1006" s="96">
        <f t="shared" si="2738"/>
        <v>0</v>
      </c>
      <c r="AI1006" s="96">
        <f t="shared" si="2739"/>
        <v>0</v>
      </c>
      <c r="AJ1006" s="176">
        <f t="shared" si="2740"/>
        <v>0</v>
      </c>
      <c r="AK1006" s="206"/>
      <c r="AL1006" s="176">
        <f t="shared" si="2741"/>
        <v>0</v>
      </c>
      <c r="AM1006" s="243"/>
      <c r="AN1006" s="176">
        <f t="shared" si="2742"/>
        <v>0</v>
      </c>
      <c r="AO1006" s="206"/>
      <c r="AP1006" s="205">
        <f t="shared" si="2743"/>
        <v>0</v>
      </c>
      <c r="AQ1006" s="188">
        <f t="shared" si="2744"/>
        <v>0</v>
      </c>
      <c r="AR1006" s="96">
        <f t="shared" si="2745"/>
        <v>0</v>
      </c>
      <c r="AS1006" s="96"/>
      <c r="AT1006" s="176">
        <f t="shared" si="2746"/>
        <v>0</v>
      </c>
      <c r="AU1006" s="206"/>
      <c r="AV1006" s="176">
        <f t="shared" si="2747"/>
        <v>0</v>
      </c>
      <c r="AW1006" s="206"/>
      <c r="AX1006" s="205">
        <f t="shared" si="2748"/>
        <v>0</v>
      </c>
      <c r="AY1006" s="188">
        <f t="shared" si="2749"/>
        <v>0</v>
      </c>
      <c r="AZ1006" s="96">
        <f t="shared" si="2750"/>
        <v>0</v>
      </c>
      <c r="BA1006" s="96">
        <f t="shared" si="2751"/>
        <v>0</v>
      </c>
      <c r="BB1006" s="96">
        <f t="shared" si="2752"/>
        <v>0</v>
      </c>
    </row>
    <row r="1007" spans="1:54">
      <c r="A1007" s="492">
        <v>616</v>
      </c>
      <c r="B1007" s="13"/>
      <c r="C1007" s="23"/>
      <c r="D1007" s="13" t="s">
        <v>929</v>
      </c>
      <c r="E1007" s="21" t="s">
        <v>970</v>
      </c>
      <c r="F1007" s="22"/>
      <c r="G1007" s="90" t="s">
        <v>1059</v>
      </c>
      <c r="H1007" s="284" t="s">
        <v>358</v>
      </c>
      <c r="I1007" s="54">
        <v>3.78</v>
      </c>
      <c r="J1007" s="101"/>
      <c r="K1007" s="54">
        <v>3.78</v>
      </c>
      <c r="L1007" s="162"/>
      <c r="M1007" s="54"/>
      <c r="N1007" s="162"/>
      <c r="O1007" s="54"/>
      <c r="P1007" s="101"/>
      <c r="Q1007" s="96">
        <f t="shared" si="2727"/>
        <v>0</v>
      </c>
      <c r="R1007" s="337">
        <f t="shared" si="2728"/>
        <v>0</v>
      </c>
      <c r="S1007" s="96"/>
      <c r="T1007" s="96">
        <f t="shared" si="2729"/>
        <v>0</v>
      </c>
      <c r="U1007" s="96"/>
      <c r="V1007" s="96">
        <f t="shared" si="2730"/>
        <v>0</v>
      </c>
      <c r="W1007" s="206"/>
      <c r="X1007" s="96">
        <f t="shared" si="2731"/>
        <v>0</v>
      </c>
      <c r="Y1007" s="188">
        <f t="shared" si="2732"/>
        <v>0</v>
      </c>
      <c r="Z1007" s="176">
        <f t="shared" si="2733"/>
        <v>0</v>
      </c>
      <c r="AA1007" s="206"/>
      <c r="AB1007" s="205">
        <f t="shared" si="2734"/>
        <v>0</v>
      </c>
      <c r="AC1007" s="206"/>
      <c r="AD1007" s="205">
        <f t="shared" si="2735"/>
        <v>0</v>
      </c>
      <c r="AE1007" s="206"/>
      <c r="AF1007" s="205">
        <f t="shared" si="2736"/>
        <v>0</v>
      </c>
      <c r="AG1007" s="188">
        <f t="shared" si="2737"/>
        <v>0</v>
      </c>
      <c r="AH1007" s="96">
        <f t="shared" si="2738"/>
        <v>0</v>
      </c>
      <c r="AI1007" s="96">
        <f t="shared" si="2739"/>
        <v>0</v>
      </c>
      <c r="AJ1007" s="176">
        <f t="shared" si="2740"/>
        <v>0</v>
      </c>
      <c r="AK1007" s="206"/>
      <c r="AL1007" s="176">
        <f t="shared" si="2741"/>
        <v>0</v>
      </c>
      <c r="AM1007" s="243"/>
      <c r="AN1007" s="176">
        <f t="shared" si="2742"/>
        <v>0</v>
      </c>
      <c r="AO1007" s="206"/>
      <c r="AP1007" s="205">
        <f t="shared" si="2743"/>
        <v>0</v>
      </c>
      <c r="AQ1007" s="188">
        <f t="shared" si="2744"/>
        <v>0</v>
      </c>
      <c r="AR1007" s="96">
        <f t="shared" si="2745"/>
        <v>0</v>
      </c>
      <c r="AS1007" s="96"/>
      <c r="AT1007" s="176">
        <f t="shared" si="2746"/>
        <v>0</v>
      </c>
      <c r="AU1007" s="206"/>
      <c r="AV1007" s="176">
        <f t="shared" si="2747"/>
        <v>0</v>
      </c>
      <c r="AW1007" s="206"/>
      <c r="AX1007" s="439">
        <f t="shared" si="2748"/>
        <v>0</v>
      </c>
      <c r="AY1007" s="188">
        <f t="shared" si="2749"/>
        <v>0</v>
      </c>
      <c r="AZ1007" s="96">
        <f t="shared" si="2750"/>
        <v>0</v>
      </c>
      <c r="BA1007" s="96">
        <f t="shared" si="2751"/>
        <v>0</v>
      </c>
      <c r="BB1007" s="96">
        <f t="shared" si="2752"/>
        <v>0</v>
      </c>
    </row>
    <row r="1008" spans="1:54">
      <c r="A1008" s="492">
        <v>617</v>
      </c>
      <c r="B1008" s="13"/>
      <c r="C1008" s="23"/>
      <c r="D1008" s="13"/>
      <c r="E1008" s="13" t="s">
        <v>930</v>
      </c>
      <c r="F1008" s="90"/>
      <c r="G1008" s="90" t="s">
        <v>1059</v>
      </c>
      <c r="H1008" s="284" t="s">
        <v>358</v>
      </c>
      <c r="I1008" s="54">
        <v>3.78</v>
      </c>
      <c r="J1008" s="111"/>
      <c r="K1008" s="54">
        <v>3.78</v>
      </c>
      <c r="L1008" s="167"/>
      <c r="M1008" s="54"/>
      <c r="N1008" s="167"/>
      <c r="O1008" s="54"/>
      <c r="P1008" s="111"/>
      <c r="Q1008" s="130">
        <f t="shared" si="2727"/>
        <v>0</v>
      </c>
      <c r="R1008" s="347">
        <f t="shared" si="2728"/>
        <v>0</v>
      </c>
      <c r="S1008" s="130"/>
      <c r="T1008" s="130">
        <f t="shared" si="2729"/>
        <v>0</v>
      </c>
      <c r="U1008" s="130"/>
      <c r="V1008" s="130">
        <f t="shared" si="2730"/>
        <v>0</v>
      </c>
      <c r="W1008" s="222"/>
      <c r="X1008" s="130">
        <f t="shared" si="2731"/>
        <v>0</v>
      </c>
      <c r="Y1008" s="197">
        <f t="shared" si="2732"/>
        <v>0</v>
      </c>
      <c r="Z1008" s="184">
        <f t="shared" si="2733"/>
        <v>0</v>
      </c>
      <c r="AA1008" s="222"/>
      <c r="AB1008" s="223">
        <f t="shared" si="2734"/>
        <v>0</v>
      </c>
      <c r="AC1008" s="222"/>
      <c r="AD1008" s="223">
        <f t="shared" si="2735"/>
        <v>0</v>
      </c>
      <c r="AE1008" s="222"/>
      <c r="AF1008" s="223">
        <f t="shared" si="2736"/>
        <v>0</v>
      </c>
      <c r="AG1008" s="197">
        <f t="shared" si="2737"/>
        <v>0</v>
      </c>
      <c r="AH1008" s="130">
        <f t="shared" si="2738"/>
        <v>0</v>
      </c>
      <c r="AI1008" s="130">
        <f t="shared" si="2739"/>
        <v>0</v>
      </c>
      <c r="AJ1008" s="184">
        <f t="shared" si="2740"/>
        <v>0</v>
      </c>
      <c r="AK1008" s="222"/>
      <c r="AL1008" s="184">
        <f t="shared" si="2741"/>
        <v>0</v>
      </c>
      <c r="AM1008" s="252"/>
      <c r="AN1008" s="184">
        <f t="shared" si="2742"/>
        <v>0</v>
      </c>
      <c r="AO1008" s="222"/>
      <c r="AP1008" s="369">
        <f t="shared" si="2743"/>
        <v>0</v>
      </c>
      <c r="AQ1008" s="197">
        <f t="shared" si="2744"/>
        <v>0</v>
      </c>
      <c r="AR1008" s="130">
        <f t="shared" si="2745"/>
        <v>0</v>
      </c>
      <c r="AS1008" s="130"/>
      <c r="AT1008" s="184">
        <f t="shared" si="2746"/>
        <v>0</v>
      </c>
      <c r="AU1008" s="222"/>
      <c r="AV1008" s="184">
        <f t="shared" si="2747"/>
        <v>0</v>
      </c>
      <c r="AW1008" s="222"/>
      <c r="AX1008" s="439">
        <f t="shared" si="2748"/>
        <v>0</v>
      </c>
      <c r="AY1008" s="197">
        <f t="shared" si="2749"/>
        <v>0</v>
      </c>
      <c r="AZ1008" s="130">
        <f t="shared" si="2750"/>
        <v>0</v>
      </c>
      <c r="BA1008" s="130">
        <f t="shared" si="2751"/>
        <v>0</v>
      </c>
      <c r="BB1008" s="130">
        <f t="shared" si="2752"/>
        <v>0</v>
      </c>
    </row>
    <row r="1009" spans="1:54">
      <c r="A1009" s="492">
        <v>618</v>
      </c>
      <c r="B1009" s="13"/>
      <c r="C1009" s="23"/>
      <c r="D1009" s="13"/>
      <c r="E1009" s="62" t="s">
        <v>971</v>
      </c>
      <c r="F1009" s="22"/>
      <c r="G1009" s="90" t="s">
        <v>1059</v>
      </c>
      <c r="H1009" s="284" t="s">
        <v>358</v>
      </c>
      <c r="I1009" s="54">
        <v>3.78</v>
      </c>
      <c r="J1009" s="101"/>
      <c r="K1009" s="54">
        <v>3.78</v>
      </c>
      <c r="L1009" s="162"/>
      <c r="M1009" s="54"/>
      <c r="N1009" s="162"/>
      <c r="O1009" s="54"/>
      <c r="P1009" s="101"/>
      <c r="Q1009" s="96">
        <f t="shared" si="2727"/>
        <v>0</v>
      </c>
      <c r="R1009" s="337">
        <f t="shared" si="2728"/>
        <v>0</v>
      </c>
      <c r="S1009" s="96"/>
      <c r="T1009" s="96">
        <f t="shared" si="2729"/>
        <v>0</v>
      </c>
      <c r="U1009" s="96"/>
      <c r="V1009" s="96">
        <f t="shared" si="2730"/>
        <v>0</v>
      </c>
      <c r="W1009" s="206"/>
      <c r="X1009" s="96">
        <f t="shared" si="2731"/>
        <v>0</v>
      </c>
      <c r="Y1009" s="188">
        <f t="shared" si="2732"/>
        <v>0</v>
      </c>
      <c r="Z1009" s="176">
        <f t="shared" si="2733"/>
        <v>0</v>
      </c>
      <c r="AA1009" s="206"/>
      <c r="AB1009" s="205">
        <f t="shared" si="2734"/>
        <v>0</v>
      </c>
      <c r="AC1009" s="206"/>
      <c r="AD1009" s="205">
        <f t="shared" si="2735"/>
        <v>0</v>
      </c>
      <c r="AE1009" s="206"/>
      <c r="AF1009" s="205">
        <f t="shared" si="2736"/>
        <v>0</v>
      </c>
      <c r="AG1009" s="188">
        <f t="shared" si="2737"/>
        <v>0</v>
      </c>
      <c r="AH1009" s="96">
        <f t="shared" si="2738"/>
        <v>0</v>
      </c>
      <c r="AI1009" s="96">
        <f t="shared" si="2739"/>
        <v>0</v>
      </c>
      <c r="AJ1009" s="176">
        <f t="shared" si="2740"/>
        <v>0</v>
      </c>
      <c r="AK1009" s="206"/>
      <c r="AL1009" s="176">
        <f t="shared" si="2741"/>
        <v>0</v>
      </c>
      <c r="AM1009" s="243"/>
      <c r="AN1009" s="176">
        <f t="shared" si="2742"/>
        <v>0</v>
      </c>
      <c r="AO1009" s="206"/>
      <c r="AP1009" s="205">
        <f t="shared" si="2743"/>
        <v>0</v>
      </c>
      <c r="AQ1009" s="188">
        <f t="shared" si="2744"/>
        <v>0</v>
      </c>
      <c r="AR1009" s="96">
        <f t="shared" si="2745"/>
        <v>0</v>
      </c>
      <c r="AS1009" s="96"/>
      <c r="AT1009" s="176">
        <f t="shared" si="2746"/>
        <v>0</v>
      </c>
      <c r="AU1009" s="206"/>
      <c r="AV1009" s="176">
        <f t="shared" si="2747"/>
        <v>0</v>
      </c>
      <c r="AW1009" s="206"/>
      <c r="AX1009" s="439">
        <f t="shared" si="2748"/>
        <v>0</v>
      </c>
      <c r="AY1009" s="188">
        <f t="shared" si="2749"/>
        <v>0</v>
      </c>
      <c r="AZ1009" s="96">
        <f t="shared" si="2750"/>
        <v>0</v>
      </c>
      <c r="BA1009" s="96">
        <f t="shared" si="2751"/>
        <v>0</v>
      </c>
      <c r="BB1009" s="96">
        <f t="shared" si="2752"/>
        <v>0</v>
      </c>
    </row>
    <row r="1010" spans="1:54">
      <c r="A1010" s="492">
        <v>619</v>
      </c>
      <c r="B1010" s="13"/>
      <c r="C1010" s="13"/>
      <c r="D1010" s="13"/>
      <c r="E1010" s="354" t="s">
        <v>931</v>
      </c>
      <c r="F1010" s="63"/>
      <c r="G1010" s="90" t="s">
        <v>1059</v>
      </c>
      <c r="H1010" s="284" t="s">
        <v>358</v>
      </c>
      <c r="I1010" s="54">
        <v>3.78</v>
      </c>
      <c r="J1010" s="106"/>
      <c r="K1010" s="54">
        <v>3.78</v>
      </c>
      <c r="L1010" s="165"/>
      <c r="M1010" s="54"/>
      <c r="N1010" s="165"/>
      <c r="O1010" s="54"/>
      <c r="P1010" s="106"/>
      <c r="Q1010" s="128">
        <f t="shared" si="2727"/>
        <v>0</v>
      </c>
      <c r="R1010" s="345">
        <f t="shared" si="2728"/>
        <v>0</v>
      </c>
      <c r="S1010" s="128"/>
      <c r="T1010" s="96">
        <f t="shared" si="2729"/>
        <v>0</v>
      </c>
      <c r="U1010" s="128"/>
      <c r="V1010" s="96">
        <f t="shared" si="2730"/>
        <v>0</v>
      </c>
      <c r="W1010" s="220"/>
      <c r="X1010" s="96">
        <f t="shared" si="2731"/>
        <v>0</v>
      </c>
      <c r="Y1010" s="196">
        <f t="shared" si="2732"/>
        <v>0</v>
      </c>
      <c r="Z1010" s="183">
        <f t="shared" si="2733"/>
        <v>0</v>
      </c>
      <c r="AA1010" s="220"/>
      <c r="AB1010" s="205">
        <f t="shared" si="2734"/>
        <v>0</v>
      </c>
      <c r="AC1010" s="220"/>
      <c r="AD1010" s="205">
        <f t="shared" si="2735"/>
        <v>0</v>
      </c>
      <c r="AE1010" s="220"/>
      <c r="AF1010" s="205">
        <f t="shared" si="2736"/>
        <v>0</v>
      </c>
      <c r="AG1010" s="196">
        <f t="shared" si="2737"/>
        <v>0</v>
      </c>
      <c r="AH1010" s="128">
        <f t="shared" si="2738"/>
        <v>0</v>
      </c>
      <c r="AI1010" s="128">
        <f t="shared" si="2739"/>
        <v>0</v>
      </c>
      <c r="AJ1010" s="183">
        <f t="shared" si="2740"/>
        <v>0</v>
      </c>
      <c r="AK1010" s="220"/>
      <c r="AL1010" s="176">
        <f t="shared" si="2741"/>
        <v>0</v>
      </c>
      <c r="AM1010" s="251"/>
      <c r="AN1010" s="176">
        <f t="shared" si="2742"/>
        <v>0</v>
      </c>
      <c r="AO1010" s="220"/>
      <c r="AP1010" s="214">
        <f t="shared" si="2743"/>
        <v>0</v>
      </c>
      <c r="AQ1010" s="196">
        <f t="shared" si="2744"/>
        <v>0</v>
      </c>
      <c r="AR1010" s="128">
        <f t="shared" si="2745"/>
        <v>0</v>
      </c>
      <c r="AS1010" s="128"/>
      <c r="AT1010" s="176">
        <f t="shared" si="2746"/>
        <v>0</v>
      </c>
      <c r="AU1010" s="220"/>
      <c r="AV1010" s="176">
        <f t="shared" si="2747"/>
        <v>0</v>
      </c>
      <c r="AW1010" s="220"/>
      <c r="AX1010" s="439">
        <f t="shared" si="2748"/>
        <v>0</v>
      </c>
      <c r="AY1010" s="196">
        <f t="shared" si="2749"/>
        <v>0</v>
      </c>
      <c r="AZ1010" s="128">
        <f t="shared" si="2750"/>
        <v>0</v>
      </c>
      <c r="BA1010" s="128">
        <f t="shared" si="2751"/>
        <v>0</v>
      </c>
      <c r="BB1010" s="128">
        <f t="shared" si="2752"/>
        <v>0</v>
      </c>
    </row>
    <row r="1011" spans="1:54">
      <c r="A1011" s="492">
        <v>620</v>
      </c>
      <c r="B1011" s="13"/>
      <c r="C1011" s="13"/>
      <c r="D1011" s="13"/>
      <c r="E1011" s="89" t="s">
        <v>932</v>
      </c>
      <c r="F1011" s="63"/>
      <c r="G1011" s="90" t="s">
        <v>1059</v>
      </c>
      <c r="H1011" s="284" t="s">
        <v>358</v>
      </c>
      <c r="I1011" s="54">
        <v>3.78</v>
      </c>
      <c r="J1011" s="106"/>
      <c r="K1011" s="54">
        <v>3.78</v>
      </c>
      <c r="L1011" s="165"/>
      <c r="M1011" s="54"/>
      <c r="N1011" s="165"/>
      <c r="O1011" s="54"/>
      <c r="P1011" s="106"/>
      <c r="Q1011" s="128">
        <f t="shared" si="2727"/>
        <v>0</v>
      </c>
      <c r="R1011" s="345">
        <f t="shared" si="2728"/>
        <v>0</v>
      </c>
      <c r="S1011" s="128"/>
      <c r="T1011" s="96">
        <f t="shared" si="2729"/>
        <v>0</v>
      </c>
      <c r="U1011" s="128"/>
      <c r="V1011" s="96">
        <f t="shared" si="2730"/>
        <v>0</v>
      </c>
      <c r="W1011" s="220"/>
      <c r="X1011" s="96">
        <f t="shared" si="2731"/>
        <v>0</v>
      </c>
      <c r="Y1011" s="196">
        <f t="shared" si="2732"/>
        <v>0</v>
      </c>
      <c r="Z1011" s="183">
        <f t="shared" si="2733"/>
        <v>0</v>
      </c>
      <c r="AA1011" s="220"/>
      <c r="AB1011" s="205">
        <f t="shared" si="2734"/>
        <v>0</v>
      </c>
      <c r="AC1011" s="220"/>
      <c r="AD1011" s="205">
        <f t="shared" si="2735"/>
        <v>0</v>
      </c>
      <c r="AE1011" s="220"/>
      <c r="AF1011" s="205">
        <f t="shared" si="2736"/>
        <v>0</v>
      </c>
      <c r="AG1011" s="196">
        <f t="shared" si="2737"/>
        <v>0</v>
      </c>
      <c r="AH1011" s="128">
        <f t="shared" si="2738"/>
        <v>0</v>
      </c>
      <c r="AI1011" s="128">
        <f t="shared" si="2739"/>
        <v>0</v>
      </c>
      <c r="AJ1011" s="183">
        <f t="shared" si="2740"/>
        <v>0</v>
      </c>
      <c r="AK1011" s="220"/>
      <c r="AL1011" s="176">
        <f t="shared" si="2741"/>
        <v>0</v>
      </c>
      <c r="AM1011" s="251"/>
      <c r="AN1011" s="176">
        <f t="shared" si="2742"/>
        <v>0</v>
      </c>
      <c r="AO1011" s="220"/>
      <c r="AP1011" s="214">
        <f t="shared" si="2743"/>
        <v>0</v>
      </c>
      <c r="AQ1011" s="196">
        <f t="shared" si="2744"/>
        <v>0</v>
      </c>
      <c r="AR1011" s="128">
        <f t="shared" si="2745"/>
        <v>0</v>
      </c>
      <c r="AS1011" s="128"/>
      <c r="AT1011" s="176">
        <f t="shared" si="2746"/>
        <v>0</v>
      </c>
      <c r="AU1011" s="220"/>
      <c r="AV1011" s="176">
        <f t="shared" si="2747"/>
        <v>0</v>
      </c>
      <c r="AW1011" s="220"/>
      <c r="AX1011" s="439">
        <f t="shared" si="2748"/>
        <v>0</v>
      </c>
      <c r="AY1011" s="196">
        <f t="shared" si="2749"/>
        <v>0</v>
      </c>
      <c r="AZ1011" s="128">
        <f t="shared" si="2750"/>
        <v>0</v>
      </c>
      <c r="BA1011" s="128">
        <f t="shared" si="2751"/>
        <v>0</v>
      </c>
      <c r="BB1011" s="128">
        <f t="shared" si="2752"/>
        <v>0</v>
      </c>
    </row>
    <row r="1012" spans="1:54">
      <c r="A1012" s="492">
        <v>621</v>
      </c>
      <c r="B1012" s="13"/>
      <c r="C1012" s="23"/>
      <c r="D1012" s="13"/>
      <c r="E1012" s="21" t="s">
        <v>933</v>
      </c>
      <c r="F1012" s="22"/>
      <c r="G1012" s="22" t="s">
        <v>1059</v>
      </c>
      <c r="H1012" s="265" t="s">
        <v>358</v>
      </c>
      <c r="I1012" s="54">
        <v>3.78</v>
      </c>
      <c r="J1012" s="162"/>
      <c r="K1012" s="54">
        <v>3.78</v>
      </c>
      <c r="L1012" s="162"/>
      <c r="M1012" s="54"/>
      <c r="N1012" s="162"/>
      <c r="O1012" s="54"/>
      <c r="P1012" s="162"/>
      <c r="Q1012" s="128">
        <f t="shared" si="2727"/>
        <v>0</v>
      </c>
      <c r="R1012" s="345">
        <f t="shared" si="2728"/>
        <v>0</v>
      </c>
      <c r="S1012" s="128"/>
      <c r="T1012" s="128">
        <f t="shared" si="2729"/>
        <v>0</v>
      </c>
      <c r="U1012" s="128"/>
      <c r="V1012" s="128">
        <f t="shared" si="2730"/>
        <v>0</v>
      </c>
      <c r="W1012" s="220"/>
      <c r="X1012" s="128">
        <f t="shared" si="2731"/>
        <v>0</v>
      </c>
      <c r="Y1012" s="196">
        <f t="shared" si="2732"/>
        <v>0</v>
      </c>
      <c r="Z1012" s="183">
        <f t="shared" si="2733"/>
        <v>0</v>
      </c>
      <c r="AA1012" s="220"/>
      <c r="AB1012" s="221">
        <f t="shared" si="2734"/>
        <v>0</v>
      </c>
      <c r="AC1012" s="220"/>
      <c r="AD1012" s="221">
        <f t="shared" si="2735"/>
        <v>0</v>
      </c>
      <c r="AE1012" s="220"/>
      <c r="AF1012" s="221">
        <f t="shared" si="2736"/>
        <v>0</v>
      </c>
      <c r="AG1012" s="196">
        <f t="shared" si="2737"/>
        <v>0</v>
      </c>
      <c r="AH1012" s="128">
        <f t="shared" si="2738"/>
        <v>0</v>
      </c>
      <c r="AI1012" s="128">
        <f t="shared" si="2739"/>
        <v>0</v>
      </c>
      <c r="AJ1012" s="183">
        <f t="shared" si="2740"/>
        <v>0</v>
      </c>
      <c r="AK1012" s="220"/>
      <c r="AL1012" s="183">
        <f t="shared" si="2741"/>
        <v>0</v>
      </c>
      <c r="AM1012" s="251"/>
      <c r="AN1012" s="183">
        <f t="shared" si="2742"/>
        <v>0</v>
      </c>
      <c r="AO1012" s="220"/>
      <c r="AP1012" s="221">
        <f t="shared" si="2743"/>
        <v>0</v>
      </c>
      <c r="AQ1012" s="196">
        <f t="shared" si="2744"/>
        <v>0</v>
      </c>
      <c r="AR1012" s="128">
        <f t="shared" si="2745"/>
        <v>0</v>
      </c>
      <c r="AS1012" s="128"/>
      <c r="AT1012" s="183">
        <f t="shared" si="2746"/>
        <v>0</v>
      </c>
      <c r="AU1012" s="220"/>
      <c r="AV1012" s="183">
        <f t="shared" si="2747"/>
        <v>0</v>
      </c>
      <c r="AW1012" s="220"/>
      <c r="AX1012" s="465">
        <f t="shared" si="2748"/>
        <v>0</v>
      </c>
      <c r="AY1012" s="196">
        <f t="shared" si="2749"/>
        <v>0</v>
      </c>
      <c r="AZ1012" s="128">
        <f t="shared" si="2750"/>
        <v>0</v>
      </c>
      <c r="BA1012" s="128">
        <f t="shared" si="2751"/>
        <v>0</v>
      </c>
      <c r="BB1012" s="128">
        <f t="shared" si="2752"/>
        <v>0</v>
      </c>
    </row>
    <row r="1013" spans="1:54">
      <c r="A1013" s="492">
        <v>621</v>
      </c>
      <c r="B1013" s="13"/>
      <c r="C1013" s="23"/>
      <c r="D1013" s="13"/>
      <c r="E1013" s="21" t="s">
        <v>1520</v>
      </c>
      <c r="F1013" s="22"/>
      <c r="G1013" s="22" t="s">
        <v>1059</v>
      </c>
      <c r="H1013" s="265" t="s">
        <v>358</v>
      </c>
      <c r="I1013" s="54">
        <v>4.1100000000000003</v>
      </c>
      <c r="J1013" s="162"/>
      <c r="K1013" s="54">
        <v>4.1100000000000003</v>
      </c>
      <c r="L1013" s="162"/>
      <c r="M1013" s="54"/>
      <c r="N1013" s="162"/>
      <c r="O1013" s="54"/>
      <c r="P1013" s="162"/>
      <c r="Q1013" s="128">
        <f t="shared" si="2727"/>
        <v>7.87</v>
      </c>
      <c r="R1013" s="345">
        <f t="shared" si="2728"/>
        <v>47.343087945000001</v>
      </c>
      <c r="S1013" s="128">
        <v>1.47</v>
      </c>
      <c r="T1013" s="128">
        <f t="shared" si="2729"/>
        <v>8.7221002050000003</v>
      </c>
      <c r="U1013" s="128">
        <v>2.9</v>
      </c>
      <c r="V1013" s="128">
        <f t="shared" si="2730"/>
        <v>17.14262094</v>
      </c>
      <c r="W1013" s="220">
        <v>2</v>
      </c>
      <c r="X1013" s="128">
        <f t="shared" si="2731"/>
        <v>12.3494814</v>
      </c>
      <c r="Y1013" s="196">
        <f t="shared" si="2732"/>
        <v>6.37</v>
      </c>
      <c r="Z1013" s="183">
        <f t="shared" si="2733"/>
        <v>38.214202544999999</v>
      </c>
      <c r="AA1013" s="220">
        <v>1.5</v>
      </c>
      <c r="AB1013" s="221">
        <f t="shared" si="2734"/>
        <v>9.1288854000000015</v>
      </c>
      <c r="AC1013" s="220"/>
      <c r="AD1013" s="221">
        <f t="shared" si="2735"/>
        <v>0</v>
      </c>
      <c r="AE1013" s="220"/>
      <c r="AF1013" s="221">
        <f t="shared" si="2736"/>
        <v>0</v>
      </c>
      <c r="AG1013" s="196">
        <f t="shared" si="2737"/>
        <v>1.5</v>
      </c>
      <c r="AH1013" s="128">
        <f t="shared" si="2738"/>
        <v>9.1288854000000015</v>
      </c>
      <c r="AI1013" s="128">
        <f t="shared" si="2739"/>
        <v>7.87</v>
      </c>
      <c r="AJ1013" s="183">
        <f t="shared" si="2740"/>
        <v>47.343087945000001</v>
      </c>
      <c r="AK1013" s="220"/>
      <c r="AL1013" s="183">
        <f t="shared" si="2741"/>
        <v>0</v>
      </c>
      <c r="AM1013" s="251"/>
      <c r="AN1013" s="183">
        <f t="shared" si="2742"/>
        <v>0</v>
      </c>
      <c r="AO1013" s="220"/>
      <c r="AP1013" s="221">
        <f t="shared" si="2743"/>
        <v>0</v>
      </c>
      <c r="AQ1013" s="196">
        <f t="shared" si="2744"/>
        <v>0</v>
      </c>
      <c r="AR1013" s="128">
        <f t="shared" si="2745"/>
        <v>0</v>
      </c>
      <c r="AS1013" s="128"/>
      <c r="AT1013" s="183">
        <f t="shared" si="2746"/>
        <v>0</v>
      </c>
      <c r="AU1013" s="220"/>
      <c r="AV1013" s="183">
        <f t="shared" si="2747"/>
        <v>0</v>
      </c>
      <c r="AW1013" s="220"/>
      <c r="AX1013" s="465">
        <f t="shared" si="2748"/>
        <v>0</v>
      </c>
      <c r="AY1013" s="196">
        <f t="shared" si="2749"/>
        <v>0</v>
      </c>
      <c r="AZ1013" s="128">
        <f t="shared" si="2750"/>
        <v>0</v>
      </c>
      <c r="BA1013" s="128">
        <f t="shared" si="2751"/>
        <v>0</v>
      </c>
      <c r="BB1013" s="128">
        <f t="shared" si="2752"/>
        <v>0</v>
      </c>
    </row>
    <row r="1014" spans="1:54">
      <c r="A1014" s="492">
        <v>621</v>
      </c>
      <c r="B1014" s="13"/>
      <c r="C1014" s="23"/>
      <c r="D1014" s="13"/>
      <c r="E1014" s="21" t="s">
        <v>1555</v>
      </c>
      <c r="F1014" s="22"/>
      <c r="G1014" s="22" t="s">
        <v>1059</v>
      </c>
      <c r="H1014" s="265" t="s">
        <v>358</v>
      </c>
      <c r="I1014" s="54">
        <v>4.21</v>
      </c>
      <c r="J1014" s="162"/>
      <c r="K1014" s="54">
        <v>4.21</v>
      </c>
      <c r="L1014" s="162"/>
      <c r="M1014" s="54"/>
      <c r="N1014" s="162"/>
      <c r="O1014" s="54"/>
      <c r="P1014" s="162"/>
      <c r="Q1014" s="128">
        <f t="shared" si="2727"/>
        <v>0</v>
      </c>
      <c r="R1014" s="345">
        <f t="shared" si="2728"/>
        <v>0</v>
      </c>
      <c r="S1014" s="128"/>
      <c r="T1014" s="128">
        <f t="shared" si="2729"/>
        <v>0</v>
      </c>
      <c r="U1014" s="128"/>
      <c r="V1014" s="128">
        <f t="shared" si="2730"/>
        <v>0</v>
      </c>
      <c r="W1014" s="220"/>
      <c r="X1014" s="128">
        <f t="shared" si="2731"/>
        <v>0</v>
      </c>
      <c r="Y1014" s="196">
        <f t="shared" si="2732"/>
        <v>0</v>
      </c>
      <c r="Z1014" s="183">
        <f t="shared" si="2733"/>
        <v>0</v>
      </c>
      <c r="AA1014" s="220"/>
      <c r="AB1014" s="221">
        <f t="shared" si="2734"/>
        <v>0</v>
      </c>
      <c r="AC1014" s="220"/>
      <c r="AD1014" s="221">
        <f t="shared" si="2735"/>
        <v>0</v>
      </c>
      <c r="AE1014" s="220"/>
      <c r="AF1014" s="221">
        <f t="shared" si="2736"/>
        <v>0</v>
      </c>
      <c r="AG1014" s="196">
        <f t="shared" si="2737"/>
        <v>0</v>
      </c>
      <c r="AH1014" s="128">
        <f t="shared" si="2738"/>
        <v>0</v>
      </c>
      <c r="AI1014" s="128">
        <f t="shared" si="2739"/>
        <v>0</v>
      </c>
      <c r="AJ1014" s="183">
        <f t="shared" si="2740"/>
        <v>0</v>
      </c>
      <c r="AK1014" s="220"/>
      <c r="AL1014" s="183">
        <f t="shared" si="2741"/>
        <v>0</v>
      </c>
      <c r="AM1014" s="251"/>
      <c r="AN1014" s="183">
        <f t="shared" si="2742"/>
        <v>0</v>
      </c>
      <c r="AO1014" s="220"/>
      <c r="AP1014" s="221">
        <f t="shared" si="2743"/>
        <v>0</v>
      </c>
      <c r="AQ1014" s="196">
        <f t="shared" si="2744"/>
        <v>0</v>
      </c>
      <c r="AR1014" s="128">
        <f t="shared" si="2745"/>
        <v>0</v>
      </c>
      <c r="AS1014" s="128"/>
      <c r="AT1014" s="183">
        <f t="shared" si="2746"/>
        <v>0</v>
      </c>
      <c r="AU1014" s="220"/>
      <c r="AV1014" s="183">
        <f t="shared" si="2747"/>
        <v>0</v>
      </c>
      <c r="AW1014" s="220"/>
      <c r="AX1014" s="465">
        <f t="shared" si="2748"/>
        <v>0</v>
      </c>
      <c r="AY1014" s="196">
        <f t="shared" si="2749"/>
        <v>0</v>
      </c>
      <c r="AZ1014" s="128">
        <f t="shared" si="2750"/>
        <v>0</v>
      </c>
      <c r="BA1014" s="128">
        <f t="shared" si="2751"/>
        <v>0</v>
      </c>
      <c r="BB1014" s="128">
        <f t="shared" si="2752"/>
        <v>0</v>
      </c>
    </row>
    <row r="1015" spans="1:54">
      <c r="A1015" s="492">
        <v>614</v>
      </c>
      <c r="B1015" s="13"/>
      <c r="C1015" s="234"/>
      <c r="D1015" s="13" t="s">
        <v>1429</v>
      </c>
      <c r="E1015" s="497" t="s">
        <v>1427</v>
      </c>
      <c r="F1015" s="501"/>
      <c r="G1015" s="501" t="s">
        <v>1059</v>
      </c>
      <c r="H1015" s="502" t="s">
        <v>360</v>
      </c>
      <c r="I1015" s="503">
        <v>4.1900000000000004</v>
      </c>
      <c r="J1015" s="504"/>
      <c r="K1015" s="503">
        <v>4.1900000000000004</v>
      </c>
      <c r="L1015" s="504"/>
      <c r="M1015" s="503"/>
      <c r="N1015" s="504"/>
      <c r="O1015" s="503"/>
      <c r="P1015" s="504"/>
      <c r="Q1015" s="128">
        <f t="shared" si="2727"/>
        <v>0</v>
      </c>
      <c r="R1015" s="345">
        <f t="shared" si="2728"/>
        <v>0</v>
      </c>
      <c r="S1015" s="128"/>
      <c r="T1015" s="128">
        <f t="shared" si="2729"/>
        <v>0</v>
      </c>
      <c r="U1015" s="128"/>
      <c r="V1015" s="183">
        <f t="shared" si="2730"/>
        <v>0</v>
      </c>
      <c r="W1015" s="220"/>
      <c r="X1015" s="221">
        <f t="shared" si="2731"/>
        <v>0</v>
      </c>
      <c r="Y1015" s="196">
        <f t="shared" si="2732"/>
        <v>0</v>
      </c>
      <c r="Z1015" s="183">
        <f t="shared" si="2733"/>
        <v>0</v>
      </c>
      <c r="AA1015" s="220"/>
      <c r="AB1015" s="221">
        <f t="shared" si="2734"/>
        <v>0</v>
      </c>
      <c r="AC1015" s="220"/>
      <c r="AD1015" s="183">
        <f t="shared" si="2735"/>
        <v>0</v>
      </c>
      <c r="AE1015" s="220"/>
      <c r="AF1015" s="205">
        <f t="shared" si="2736"/>
        <v>0</v>
      </c>
      <c r="AG1015" s="196">
        <f t="shared" si="2737"/>
        <v>0</v>
      </c>
      <c r="AH1015" s="128">
        <f t="shared" si="2738"/>
        <v>0</v>
      </c>
      <c r="AI1015" s="128">
        <f t="shared" si="2739"/>
        <v>0</v>
      </c>
      <c r="AJ1015" s="183">
        <f t="shared" si="2740"/>
        <v>0</v>
      </c>
      <c r="AK1015" s="220"/>
      <c r="AL1015" s="183">
        <f t="shared" si="2741"/>
        <v>0</v>
      </c>
      <c r="AM1015" s="251"/>
      <c r="AN1015" s="183">
        <f t="shared" si="2742"/>
        <v>0</v>
      </c>
      <c r="AO1015" s="220"/>
      <c r="AP1015" s="221">
        <f t="shared" si="2743"/>
        <v>0</v>
      </c>
      <c r="AQ1015" s="196">
        <f t="shared" si="2744"/>
        <v>0</v>
      </c>
      <c r="AR1015" s="128">
        <f t="shared" si="2745"/>
        <v>0</v>
      </c>
      <c r="AS1015" s="128"/>
      <c r="AT1015" s="183">
        <f t="shared" si="2746"/>
        <v>0</v>
      </c>
      <c r="AU1015" s="220"/>
      <c r="AV1015" s="183">
        <f t="shared" si="2747"/>
        <v>0</v>
      </c>
      <c r="AW1015" s="220"/>
      <c r="AX1015" s="221">
        <f t="shared" si="2748"/>
        <v>0</v>
      </c>
      <c r="AY1015" s="196">
        <f t="shared" si="2749"/>
        <v>0</v>
      </c>
      <c r="AZ1015" s="128">
        <f t="shared" si="2750"/>
        <v>0</v>
      </c>
      <c r="BA1015" s="128">
        <f t="shared" si="2751"/>
        <v>0</v>
      </c>
      <c r="BB1015" s="128">
        <f t="shared" si="2752"/>
        <v>0</v>
      </c>
    </row>
    <row r="1016" spans="1:54">
      <c r="A1016" s="492">
        <v>615</v>
      </c>
      <c r="B1016" s="13"/>
      <c r="C1016" s="234"/>
      <c r="D1016" s="13" t="s">
        <v>1429</v>
      </c>
      <c r="E1016" s="89" t="s">
        <v>1428</v>
      </c>
      <c r="F1016" s="424"/>
      <c r="G1016" s="424" t="s">
        <v>1059</v>
      </c>
      <c r="H1016" s="284" t="s">
        <v>358</v>
      </c>
      <c r="I1016" s="75">
        <v>5.74</v>
      </c>
      <c r="J1016" s="111"/>
      <c r="K1016" s="75">
        <v>5.74</v>
      </c>
      <c r="L1016" s="167"/>
      <c r="M1016" s="75"/>
      <c r="N1016" s="167"/>
      <c r="O1016" s="75"/>
      <c r="P1016" s="111"/>
      <c r="Q1016" s="96">
        <f t="shared" si="2727"/>
        <v>0</v>
      </c>
      <c r="R1016" s="337">
        <f t="shared" si="2728"/>
        <v>0</v>
      </c>
      <c r="S1016" s="96"/>
      <c r="T1016" s="96">
        <f t="shared" si="2729"/>
        <v>0</v>
      </c>
      <c r="U1016" s="96"/>
      <c r="V1016" s="176">
        <f t="shared" si="2730"/>
        <v>0</v>
      </c>
      <c r="W1016" s="206"/>
      <c r="X1016" s="205">
        <f t="shared" si="2731"/>
        <v>0</v>
      </c>
      <c r="Y1016" s="188">
        <f t="shared" si="2732"/>
        <v>0</v>
      </c>
      <c r="Z1016" s="176">
        <f t="shared" si="2733"/>
        <v>0</v>
      </c>
      <c r="AA1016" s="206"/>
      <c r="AB1016" s="205">
        <f t="shared" si="2734"/>
        <v>0</v>
      </c>
      <c r="AC1016" s="206"/>
      <c r="AD1016" s="176">
        <f t="shared" si="2735"/>
        <v>0</v>
      </c>
      <c r="AE1016" s="206"/>
      <c r="AF1016" s="223">
        <f t="shared" si="2736"/>
        <v>0</v>
      </c>
      <c r="AG1016" s="188">
        <f t="shared" si="2737"/>
        <v>0</v>
      </c>
      <c r="AH1016" s="96">
        <f t="shared" si="2738"/>
        <v>0</v>
      </c>
      <c r="AI1016" s="96">
        <f t="shared" si="2739"/>
        <v>0</v>
      </c>
      <c r="AJ1016" s="176">
        <f t="shared" si="2740"/>
        <v>0</v>
      </c>
      <c r="AK1016" s="206"/>
      <c r="AL1016" s="176">
        <f t="shared" si="2741"/>
        <v>0</v>
      </c>
      <c r="AM1016" s="243"/>
      <c r="AN1016" s="176">
        <f t="shared" si="2742"/>
        <v>0</v>
      </c>
      <c r="AO1016" s="206"/>
      <c r="AP1016" s="205">
        <f t="shared" si="2743"/>
        <v>0</v>
      </c>
      <c r="AQ1016" s="188">
        <f t="shared" si="2744"/>
        <v>0</v>
      </c>
      <c r="AR1016" s="96">
        <f t="shared" si="2745"/>
        <v>0</v>
      </c>
      <c r="AS1016" s="96"/>
      <c r="AT1016" s="176">
        <f t="shared" si="2746"/>
        <v>0</v>
      </c>
      <c r="AU1016" s="206"/>
      <c r="AV1016" s="176">
        <f t="shared" si="2747"/>
        <v>0</v>
      </c>
      <c r="AW1016" s="206"/>
      <c r="AX1016" s="205">
        <f t="shared" si="2748"/>
        <v>0</v>
      </c>
      <c r="AY1016" s="188">
        <f t="shared" si="2749"/>
        <v>0</v>
      </c>
      <c r="AZ1016" s="96">
        <f t="shared" si="2750"/>
        <v>0</v>
      </c>
      <c r="BA1016" s="96">
        <f t="shared" si="2751"/>
        <v>0</v>
      </c>
      <c r="BB1016" s="96">
        <f t="shared" si="2752"/>
        <v>0</v>
      </c>
    </row>
    <row r="1017" spans="1:54">
      <c r="A1017" s="492">
        <v>620</v>
      </c>
      <c r="B1017" s="13"/>
      <c r="C1017" s="13"/>
      <c r="D1017" s="13" t="s">
        <v>929</v>
      </c>
      <c r="E1017" s="89" t="s">
        <v>1522</v>
      </c>
      <c r="F1017" s="63"/>
      <c r="G1017" s="90" t="s">
        <v>1059</v>
      </c>
      <c r="H1017" s="284" t="s">
        <v>358</v>
      </c>
      <c r="I1017" s="54">
        <v>4.07</v>
      </c>
      <c r="J1017" s="106"/>
      <c r="K1017" s="54">
        <v>4.07</v>
      </c>
      <c r="L1017" s="165"/>
      <c r="M1017" s="54"/>
      <c r="N1017" s="165"/>
      <c r="O1017" s="54"/>
      <c r="P1017" s="106"/>
      <c r="Q1017" s="128">
        <f t="shared" si="2727"/>
        <v>3.2</v>
      </c>
      <c r="R1017" s="345">
        <f t="shared" si="2728"/>
        <v>19.019150700000001</v>
      </c>
      <c r="S1017" s="128">
        <v>1.2</v>
      </c>
      <c r="T1017" s="96">
        <f t="shared" si="2729"/>
        <v>7.0507866000000012</v>
      </c>
      <c r="U1017" s="128">
        <v>1</v>
      </c>
      <c r="V1017" s="96">
        <f t="shared" si="2730"/>
        <v>5.8537182000000003</v>
      </c>
      <c r="W1017" s="220">
        <v>1</v>
      </c>
      <c r="X1017" s="96">
        <f t="shared" si="2731"/>
        <v>6.1146458999999993</v>
      </c>
      <c r="Y1017" s="196">
        <f t="shared" si="2732"/>
        <v>3.2</v>
      </c>
      <c r="Z1017" s="183">
        <f t="shared" si="2733"/>
        <v>19.019150700000001</v>
      </c>
      <c r="AA1017" s="220"/>
      <c r="AB1017" s="205">
        <f t="shared" si="2734"/>
        <v>0</v>
      </c>
      <c r="AC1017" s="220"/>
      <c r="AD1017" s="205">
        <f t="shared" si="2735"/>
        <v>0</v>
      </c>
      <c r="AE1017" s="220"/>
      <c r="AF1017" s="205">
        <f t="shared" si="2736"/>
        <v>0</v>
      </c>
      <c r="AG1017" s="196">
        <f t="shared" si="2737"/>
        <v>0</v>
      </c>
      <c r="AH1017" s="128">
        <f t="shared" si="2738"/>
        <v>0</v>
      </c>
      <c r="AI1017" s="128">
        <f t="shared" si="2739"/>
        <v>3.2</v>
      </c>
      <c r="AJ1017" s="183">
        <f t="shared" si="2740"/>
        <v>19.019150700000001</v>
      </c>
      <c r="AK1017" s="220"/>
      <c r="AL1017" s="176">
        <f t="shared" si="2741"/>
        <v>0</v>
      </c>
      <c r="AM1017" s="251"/>
      <c r="AN1017" s="176">
        <f t="shared" si="2742"/>
        <v>0</v>
      </c>
      <c r="AO1017" s="220"/>
      <c r="AP1017" s="214">
        <f t="shared" si="2743"/>
        <v>0</v>
      </c>
      <c r="AQ1017" s="196">
        <f t="shared" si="2744"/>
        <v>0</v>
      </c>
      <c r="AR1017" s="128">
        <f t="shared" si="2745"/>
        <v>0</v>
      </c>
      <c r="AS1017" s="128"/>
      <c r="AT1017" s="176">
        <f t="shared" si="2746"/>
        <v>0</v>
      </c>
      <c r="AU1017" s="220"/>
      <c r="AV1017" s="176">
        <f t="shared" si="2747"/>
        <v>0</v>
      </c>
      <c r="AW1017" s="220"/>
      <c r="AX1017" s="439">
        <f t="shared" si="2748"/>
        <v>0</v>
      </c>
      <c r="AY1017" s="196">
        <f t="shared" si="2749"/>
        <v>0</v>
      </c>
      <c r="AZ1017" s="128">
        <f t="shared" si="2750"/>
        <v>0</v>
      </c>
      <c r="BA1017" s="128">
        <f t="shared" si="2751"/>
        <v>0</v>
      </c>
      <c r="BB1017" s="128">
        <f t="shared" si="2752"/>
        <v>0</v>
      </c>
    </row>
    <row r="1018" spans="1:54">
      <c r="A1018" s="492">
        <v>621</v>
      </c>
      <c r="B1018" s="13"/>
      <c r="C1018" s="23"/>
      <c r="D1018" s="13"/>
      <c r="E1018" s="21" t="s">
        <v>1556</v>
      </c>
      <c r="F1018" s="22"/>
      <c r="G1018" s="22" t="s">
        <v>1059</v>
      </c>
      <c r="H1018" s="265" t="s">
        <v>358</v>
      </c>
      <c r="I1018" s="54">
        <v>4.17</v>
      </c>
      <c r="J1018" s="162"/>
      <c r="K1018" s="54">
        <v>4.17</v>
      </c>
      <c r="L1018" s="162"/>
      <c r="M1018" s="54"/>
      <c r="N1018" s="162"/>
      <c r="O1018" s="54"/>
      <c r="P1018" s="162"/>
      <c r="Q1018" s="128">
        <f t="shared" si="2727"/>
        <v>0</v>
      </c>
      <c r="R1018" s="345">
        <f t="shared" si="2728"/>
        <v>0</v>
      </c>
      <c r="S1018" s="128"/>
      <c r="T1018" s="128">
        <f t="shared" si="2729"/>
        <v>0</v>
      </c>
      <c r="U1018" s="128"/>
      <c r="V1018" s="128">
        <f t="shared" si="2730"/>
        <v>0</v>
      </c>
      <c r="W1018" s="220"/>
      <c r="X1018" s="128">
        <f t="shared" si="2731"/>
        <v>0</v>
      </c>
      <c r="Y1018" s="196">
        <f t="shared" si="2732"/>
        <v>0</v>
      </c>
      <c r="Z1018" s="183">
        <f t="shared" si="2733"/>
        <v>0</v>
      </c>
      <c r="AA1018" s="220"/>
      <c r="AB1018" s="221">
        <f t="shared" si="2734"/>
        <v>0</v>
      </c>
      <c r="AC1018" s="220"/>
      <c r="AD1018" s="221">
        <f t="shared" si="2735"/>
        <v>0</v>
      </c>
      <c r="AE1018" s="220"/>
      <c r="AF1018" s="221">
        <f t="shared" si="2736"/>
        <v>0</v>
      </c>
      <c r="AG1018" s="196">
        <f t="shared" si="2737"/>
        <v>0</v>
      </c>
      <c r="AH1018" s="128">
        <f t="shared" si="2738"/>
        <v>0</v>
      </c>
      <c r="AI1018" s="128">
        <f t="shared" si="2739"/>
        <v>0</v>
      </c>
      <c r="AJ1018" s="183">
        <f t="shared" si="2740"/>
        <v>0</v>
      </c>
      <c r="AK1018" s="220"/>
      <c r="AL1018" s="183">
        <f t="shared" si="2741"/>
        <v>0</v>
      </c>
      <c r="AM1018" s="251"/>
      <c r="AN1018" s="183">
        <f t="shared" si="2742"/>
        <v>0</v>
      </c>
      <c r="AO1018" s="220"/>
      <c r="AP1018" s="221">
        <f t="shared" si="2743"/>
        <v>0</v>
      </c>
      <c r="AQ1018" s="196">
        <f t="shared" si="2744"/>
        <v>0</v>
      </c>
      <c r="AR1018" s="128">
        <f t="shared" si="2745"/>
        <v>0</v>
      </c>
      <c r="AS1018" s="128"/>
      <c r="AT1018" s="183">
        <f t="shared" si="2746"/>
        <v>0</v>
      </c>
      <c r="AU1018" s="220"/>
      <c r="AV1018" s="183">
        <f t="shared" si="2747"/>
        <v>0</v>
      </c>
      <c r="AW1018" s="220"/>
      <c r="AX1018" s="465">
        <f t="shared" si="2748"/>
        <v>0</v>
      </c>
      <c r="AY1018" s="196">
        <f t="shared" si="2749"/>
        <v>0</v>
      </c>
      <c r="AZ1018" s="128">
        <f t="shared" si="2750"/>
        <v>0</v>
      </c>
      <c r="BA1018" s="128">
        <f t="shared" si="2751"/>
        <v>0</v>
      </c>
      <c r="BB1018" s="128">
        <f t="shared" si="2752"/>
        <v>0</v>
      </c>
    </row>
    <row r="1019" spans="1:54">
      <c r="A1019" s="492">
        <v>621</v>
      </c>
      <c r="B1019" s="13"/>
      <c r="C1019" s="23"/>
      <c r="D1019" s="13"/>
      <c r="E1019" s="21" t="s">
        <v>1523</v>
      </c>
      <c r="F1019" s="22"/>
      <c r="G1019" s="22" t="s">
        <v>1059</v>
      </c>
      <c r="H1019" s="265" t="s">
        <v>358</v>
      </c>
      <c r="I1019" s="54">
        <v>4.07</v>
      </c>
      <c r="J1019" s="162"/>
      <c r="K1019" s="54">
        <v>4.07</v>
      </c>
      <c r="L1019" s="162"/>
      <c r="M1019" s="54"/>
      <c r="N1019" s="162"/>
      <c r="O1019" s="54"/>
      <c r="P1019" s="162"/>
      <c r="Q1019" s="128">
        <f t="shared" si="2727"/>
        <v>6.5</v>
      </c>
      <c r="R1019" s="345">
        <f t="shared" si="2728"/>
        <v>38.374442700000003</v>
      </c>
      <c r="S1019" s="128">
        <v>3</v>
      </c>
      <c r="T1019" s="128">
        <f t="shared" si="2729"/>
        <v>17.626966500000002</v>
      </c>
      <c r="U1019" s="128">
        <v>2</v>
      </c>
      <c r="V1019" s="128">
        <f t="shared" si="2730"/>
        <v>11.707436400000001</v>
      </c>
      <c r="W1019" s="220"/>
      <c r="X1019" s="128">
        <f t="shared" si="2731"/>
        <v>0</v>
      </c>
      <c r="Y1019" s="196">
        <f t="shared" si="2732"/>
        <v>5</v>
      </c>
      <c r="Z1019" s="183">
        <f t="shared" si="2733"/>
        <v>29.334402900000001</v>
      </c>
      <c r="AA1019" s="220">
        <v>1.5</v>
      </c>
      <c r="AB1019" s="221">
        <f t="shared" si="2734"/>
        <v>9.0400398000000006</v>
      </c>
      <c r="AC1019" s="220"/>
      <c r="AD1019" s="221">
        <f t="shared" si="2735"/>
        <v>0</v>
      </c>
      <c r="AE1019" s="220"/>
      <c r="AF1019" s="221">
        <f t="shared" si="2736"/>
        <v>0</v>
      </c>
      <c r="AG1019" s="196">
        <f t="shared" si="2737"/>
        <v>1.5</v>
      </c>
      <c r="AH1019" s="128">
        <f t="shared" si="2738"/>
        <v>9.0400398000000006</v>
      </c>
      <c r="AI1019" s="128">
        <f t="shared" si="2739"/>
        <v>6.5</v>
      </c>
      <c r="AJ1019" s="183">
        <f t="shared" si="2740"/>
        <v>38.374442700000003</v>
      </c>
      <c r="AK1019" s="220"/>
      <c r="AL1019" s="183">
        <f t="shared" si="2741"/>
        <v>0</v>
      </c>
      <c r="AM1019" s="251"/>
      <c r="AN1019" s="183">
        <f t="shared" si="2742"/>
        <v>0</v>
      </c>
      <c r="AO1019" s="220"/>
      <c r="AP1019" s="221">
        <f t="shared" si="2743"/>
        <v>0</v>
      </c>
      <c r="AQ1019" s="196">
        <f t="shared" si="2744"/>
        <v>0</v>
      </c>
      <c r="AR1019" s="128">
        <f t="shared" si="2745"/>
        <v>0</v>
      </c>
      <c r="AS1019" s="128"/>
      <c r="AT1019" s="183">
        <f t="shared" si="2746"/>
        <v>0</v>
      </c>
      <c r="AU1019" s="220"/>
      <c r="AV1019" s="183">
        <f t="shared" si="2747"/>
        <v>0</v>
      </c>
      <c r="AW1019" s="220"/>
      <c r="AX1019" s="465">
        <f t="shared" si="2748"/>
        <v>0</v>
      </c>
      <c r="AY1019" s="196">
        <f t="shared" si="2749"/>
        <v>0</v>
      </c>
      <c r="AZ1019" s="128">
        <f t="shared" si="2750"/>
        <v>0</v>
      </c>
      <c r="BA1019" s="128">
        <f t="shared" si="2751"/>
        <v>0</v>
      </c>
      <c r="BB1019" s="128">
        <f t="shared" si="2752"/>
        <v>0</v>
      </c>
    </row>
    <row r="1020" spans="1:54">
      <c r="A1020" s="492">
        <v>621</v>
      </c>
      <c r="B1020" s="13"/>
      <c r="C1020" s="23"/>
      <c r="D1020" s="13"/>
      <c r="E1020" s="21" t="s">
        <v>1557</v>
      </c>
      <c r="F1020" s="22"/>
      <c r="G1020" s="22" t="s">
        <v>1059</v>
      </c>
      <c r="H1020" s="265" t="s">
        <v>358</v>
      </c>
      <c r="I1020" s="54">
        <v>4.17</v>
      </c>
      <c r="J1020" s="162"/>
      <c r="K1020" s="54">
        <v>4.17</v>
      </c>
      <c r="L1020" s="162"/>
      <c r="M1020" s="54"/>
      <c r="N1020" s="162"/>
      <c r="O1020" s="54"/>
      <c r="P1020" s="162"/>
      <c r="Q1020" s="128">
        <f t="shared" si="2727"/>
        <v>0</v>
      </c>
      <c r="R1020" s="345">
        <f t="shared" si="2728"/>
        <v>0</v>
      </c>
      <c r="S1020" s="128"/>
      <c r="T1020" s="128">
        <f t="shared" si="2729"/>
        <v>0</v>
      </c>
      <c r="U1020" s="128"/>
      <c r="V1020" s="128">
        <f t="shared" si="2730"/>
        <v>0</v>
      </c>
      <c r="W1020" s="220"/>
      <c r="X1020" s="128">
        <f t="shared" si="2731"/>
        <v>0</v>
      </c>
      <c r="Y1020" s="196">
        <f t="shared" si="2732"/>
        <v>0</v>
      </c>
      <c r="Z1020" s="183">
        <f t="shared" si="2733"/>
        <v>0</v>
      </c>
      <c r="AA1020" s="220"/>
      <c r="AB1020" s="221">
        <f t="shared" si="2734"/>
        <v>0</v>
      </c>
      <c r="AC1020" s="220"/>
      <c r="AD1020" s="221">
        <f t="shared" si="2735"/>
        <v>0</v>
      </c>
      <c r="AE1020" s="220"/>
      <c r="AF1020" s="221">
        <f t="shared" si="2736"/>
        <v>0</v>
      </c>
      <c r="AG1020" s="196">
        <f t="shared" si="2737"/>
        <v>0</v>
      </c>
      <c r="AH1020" s="128">
        <f t="shared" si="2738"/>
        <v>0</v>
      </c>
      <c r="AI1020" s="128">
        <f t="shared" si="2739"/>
        <v>0</v>
      </c>
      <c r="AJ1020" s="183">
        <f t="shared" si="2740"/>
        <v>0</v>
      </c>
      <c r="AK1020" s="220"/>
      <c r="AL1020" s="183">
        <f t="shared" si="2741"/>
        <v>0</v>
      </c>
      <c r="AM1020" s="251"/>
      <c r="AN1020" s="183">
        <f t="shared" si="2742"/>
        <v>0</v>
      </c>
      <c r="AO1020" s="220"/>
      <c r="AP1020" s="221">
        <f t="shared" si="2743"/>
        <v>0</v>
      </c>
      <c r="AQ1020" s="196">
        <f t="shared" si="2744"/>
        <v>0</v>
      </c>
      <c r="AR1020" s="128">
        <f t="shared" si="2745"/>
        <v>0</v>
      </c>
      <c r="AS1020" s="128"/>
      <c r="AT1020" s="183">
        <f t="shared" si="2746"/>
        <v>0</v>
      </c>
      <c r="AU1020" s="220"/>
      <c r="AV1020" s="183">
        <f t="shared" si="2747"/>
        <v>0</v>
      </c>
      <c r="AW1020" s="220"/>
      <c r="AX1020" s="465">
        <f t="shared" si="2748"/>
        <v>0</v>
      </c>
      <c r="AY1020" s="196">
        <f t="shared" si="2749"/>
        <v>0</v>
      </c>
      <c r="AZ1020" s="128">
        <f t="shared" si="2750"/>
        <v>0</v>
      </c>
      <c r="BA1020" s="128">
        <f t="shared" si="2751"/>
        <v>0</v>
      </c>
      <c r="BB1020" s="128">
        <f t="shared" si="2752"/>
        <v>0</v>
      </c>
    </row>
    <row r="1021" spans="1:54">
      <c r="A1021" s="492">
        <v>621</v>
      </c>
      <c r="B1021" s="13"/>
      <c r="C1021" s="23"/>
      <c r="D1021" s="13"/>
      <c r="E1021" s="21" t="s">
        <v>1521</v>
      </c>
      <c r="F1021" s="22"/>
      <c r="G1021" s="22" t="s">
        <v>1059</v>
      </c>
      <c r="H1021" s="265" t="s">
        <v>358</v>
      </c>
      <c r="I1021" s="54">
        <v>4.07</v>
      </c>
      <c r="J1021" s="162"/>
      <c r="K1021" s="54">
        <v>4.07</v>
      </c>
      <c r="L1021" s="162"/>
      <c r="M1021" s="54"/>
      <c r="N1021" s="162"/>
      <c r="O1021" s="54"/>
      <c r="P1021" s="162"/>
      <c r="Q1021" s="128">
        <f t="shared" si="2727"/>
        <v>3.5</v>
      </c>
      <c r="R1021" s="345">
        <f t="shared" si="2728"/>
        <v>20.754916160000001</v>
      </c>
      <c r="S1021" s="128">
        <v>0.7</v>
      </c>
      <c r="T1021" s="128">
        <f t="shared" si="2729"/>
        <v>4.1129588500000009</v>
      </c>
      <c r="U1021" s="128">
        <v>1.6</v>
      </c>
      <c r="V1021" s="128">
        <f t="shared" si="2730"/>
        <v>9.3659491200000016</v>
      </c>
      <c r="W1021" s="220">
        <v>0.5</v>
      </c>
      <c r="X1021" s="128">
        <f t="shared" si="2731"/>
        <v>3.0573229499999997</v>
      </c>
      <c r="Y1021" s="196">
        <f t="shared" si="2732"/>
        <v>2.8</v>
      </c>
      <c r="Z1021" s="183">
        <f t="shared" si="2733"/>
        <v>16.536230920000001</v>
      </c>
      <c r="AA1021" s="220">
        <v>0.7</v>
      </c>
      <c r="AB1021" s="221">
        <f t="shared" si="2734"/>
        <v>4.218685240000001</v>
      </c>
      <c r="AC1021" s="220"/>
      <c r="AD1021" s="221">
        <f t="shared" si="2735"/>
        <v>0</v>
      </c>
      <c r="AE1021" s="220"/>
      <c r="AF1021" s="221">
        <f t="shared" si="2736"/>
        <v>0</v>
      </c>
      <c r="AG1021" s="196">
        <f t="shared" si="2737"/>
        <v>0.7</v>
      </c>
      <c r="AH1021" s="128">
        <f t="shared" si="2738"/>
        <v>4.218685240000001</v>
      </c>
      <c r="AI1021" s="128">
        <f t="shared" si="2739"/>
        <v>3.5</v>
      </c>
      <c r="AJ1021" s="183">
        <f t="shared" si="2740"/>
        <v>20.754916160000001</v>
      </c>
      <c r="AK1021" s="220"/>
      <c r="AL1021" s="183">
        <f t="shared" si="2741"/>
        <v>0</v>
      </c>
      <c r="AM1021" s="251"/>
      <c r="AN1021" s="183">
        <f t="shared" si="2742"/>
        <v>0</v>
      </c>
      <c r="AO1021" s="220"/>
      <c r="AP1021" s="221">
        <f t="shared" si="2743"/>
        <v>0</v>
      </c>
      <c r="AQ1021" s="196">
        <f t="shared" si="2744"/>
        <v>0</v>
      </c>
      <c r="AR1021" s="128">
        <f t="shared" si="2745"/>
        <v>0</v>
      </c>
      <c r="AS1021" s="128"/>
      <c r="AT1021" s="183">
        <f t="shared" si="2746"/>
        <v>0</v>
      </c>
      <c r="AU1021" s="220"/>
      <c r="AV1021" s="183">
        <f t="shared" si="2747"/>
        <v>0</v>
      </c>
      <c r="AW1021" s="220"/>
      <c r="AX1021" s="465">
        <f t="shared" si="2748"/>
        <v>0</v>
      </c>
      <c r="AY1021" s="196">
        <f t="shared" si="2749"/>
        <v>0</v>
      </c>
      <c r="AZ1021" s="128">
        <f t="shared" si="2750"/>
        <v>0</v>
      </c>
      <c r="BA1021" s="128">
        <f t="shared" si="2751"/>
        <v>0</v>
      </c>
      <c r="BB1021" s="128">
        <f t="shared" si="2752"/>
        <v>0</v>
      </c>
    </row>
    <row r="1022" spans="1:54">
      <c r="A1022" s="492">
        <v>621</v>
      </c>
      <c r="B1022" s="13"/>
      <c r="C1022" s="23"/>
      <c r="D1022" s="13"/>
      <c r="E1022" s="21" t="s">
        <v>1558</v>
      </c>
      <c r="F1022" s="22"/>
      <c r="G1022" s="22" t="s">
        <v>1059</v>
      </c>
      <c r="H1022" s="265" t="s">
        <v>358</v>
      </c>
      <c r="I1022" s="54">
        <v>4.17</v>
      </c>
      <c r="J1022" s="162"/>
      <c r="K1022" s="54">
        <v>4.17</v>
      </c>
      <c r="L1022" s="162"/>
      <c r="M1022" s="54"/>
      <c r="N1022" s="162"/>
      <c r="O1022" s="54"/>
      <c r="P1022" s="162"/>
      <c r="Q1022" s="128">
        <f t="shared" si="2727"/>
        <v>0</v>
      </c>
      <c r="R1022" s="345">
        <f t="shared" si="2728"/>
        <v>0</v>
      </c>
      <c r="S1022" s="128"/>
      <c r="T1022" s="128">
        <f t="shared" si="2729"/>
        <v>0</v>
      </c>
      <c r="U1022" s="128"/>
      <c r="V1022" s="128">
        <f t="shared" si="2730"/>
        <v>0</v>
      </c>
      <c r="W1022" s="220"/>
      <c r="X1022" s="128">
        <f t="shared" si="2731"/>
        <v>0</v>
      </c>
      <c r="Y1022" s="196">
        <f t="shared" si="2732"/>
        <v>0</v>
      </c>
      <c r="Z1022" s="183">
        <f t="shared" si="2733"/>
        <v>0</v>
      </c>
      <c r="AA1022" s="220"/>
      <c r="AB1022" s="221">
        <f t="shared" si="2734"/>
        <v>0</v>
      </c>
      <c r="AC1022" s="220"/>
      <c r="AD1022" s="221">
        <f t="shared" si="2735"/>
        <v>0</v>
      </c>
      <c r="AE1022" s="220"/>
      <c r="AF1022" s="221">
        <f t="shared" si="2736"/>
        <v>0</v>
      </c>
      <c r="AG1022" s="196">
        <f t="shared" si="2737"/>
        <v>0</v>
      </c>
      <c r="AH1022" s="128">
        <f t="shared" si="2738"/>
        <v>0</v>
      </c>
      <c r="AI1022" s="128">
        <f t="shared" si="2739"/>
        <v>0</v>
      </c>
      <c r="AJ1022" s="183">
        <f t="shared" si="2740"/>
        <v>0</v>
      </c>
      <c r="AK1022" s="220"/>
      <c r="AL1022" s="183">
        <f t="shared" si="2741"/>
        <v>0</v>
      </c>
      <c r="AM1022" s="251"/>
      <c r="AN1022" s="183">
        <f t="shared" si="2742"/>
        <v>0</v>
      </c>
      <c r="AO1022" s="220"/>
      <c r="AP1022" s="221">
        <f t="shared" si="2743"/>
        <v>0</v>
      </c>
      <c r="AQ1022" s="196">
        <f t="shared" si="2744"/>
        <v>0</v>
      </c>
      <c r="AR1022" s="128">
        <f t="shared" si="2745"/>
        <v>0</v>
      </c>
      <c r="AS1022" s="128"/>
      <c r="AT1022" s="183">
        <f t="shared" si="2746"/>
        <v>0</v>
      </c>
      <c r="AU1022" s="220"/>
      <c r="AV1022" s="183">
        <f t="shared" si="2747"/>
        <v>0</v>
      </c>
      <c r="AW1022" s="220"/>
      <c r="AX1022" s="465">
        <f t="shared" si="2748"/>
        <v>0</v>
      </c>
      <c r="AY1022" s="196">
        <f t="shared" si="2749"/>
        <v>0</v>
      </c>
      <c r="AZ1022" s="128">
        <f t="shared" si="2750"/>
        <v>0</v>
      </c>
      <c r="BA1022" s="128">
        <f t="shared" si="2751"/>
        <v>0</v>
      </c>
      <c r="BB1022" s="128">
        <f t="shared" si="2752"/>
        <v>0</v>
      </c>
    </row>
    <row r="1023" spans="1:54">
      <c r="A1023" s="492">
        <v>622</v>
      </c>
      <c r="B1023" s="13"/>
      <c r="C1023" s="234"/>
      <c r="D1023" s="70"/>
      <c r="E1023" s="466" t="s">
        <v>330</v>
      </c>
      <c r="F1023" s="467"/>
      <c r="G1023" s="467"/>
      <c r="H1023" s="278"/>
      <c r="I1023" s="143"/>
      <c r="J1023" s="116"/>
      <c r="K1023" s="56"/>
      <c r="L1023" s="172"/>
      <c r="M1023" s="56"/>
      <c r="N1023" s="172"/>
      <c r="O1023" s="143"/>
      <c r="P1023" s="116"/>
      <c r="Q1023" s="125">
        <f t="shared" ref="Q1023:BB1023" si="2753">SUM(Q1003:Q1022)</f>
        <v>21.07</v>
      </c>
      <c r="R1023" s="125">
        <f t="shared" si="2753"/>
        <v>125.49159750500002</v>
      </c>
      <c r="S1023" s="125">
        <f t="shared" si="2753"/>
        <v>6.37</v>
      </c>
      <c r="T1023" s="125">
        <f t="shared" si="2753"/>
        <v>37.512812155000006</v>
      </c>
      <c r="U1023" s="125">
        <f t="shared" si="2753"/>
        <v>7.5</v>
      </c>
      <c r="V1023" s="125">
        <f t="shared" si="2753"/>
        <v>44.069724660000006</v>
      </c>
      <c r="W1023" s="125">
        <f t="shared" si="2753"/>
        <v>3.5</v>
      </c>
      <c r="X1023" s="125">
        <f t="shared" si="2753"/>
        <v>21.521450250000001</v>
      </c>
      <c r="Y1023" s="125">
        <f t="shared" si="2753"/>
        <v>17.37</v>
      </c>
      <c r="Z1023" s="125">
        <f t="shared" si="2753"/>
        <v>103.10398706500001</v>
      </c>
      <c r="AA1023" s="125">
        <f t="shared" si="2753"/>
        <v>3.7</v>
      </c>
      <c r="AB1023" s="125">
        <f t="shared" si="2753"/>
        <v>22.387610440000003</v>
      </c>
      <c r="AC1023" s="125">
        <f t="shared" si="2753"/>
        <v>0</v>
      </c>
      <c r="AD1023" s="125">
        <f t="shared" si="2753"/>
        <v>0</v>
      </c>
      <c r="AE1023" s="125">
        <f t="shared" si="2753"/>
        <v>0</v>
      </c>
      <c r="AF1023" s="125">
        <f t="shared" si="2753"/>
        <v>0</v>
      </c>
      <c r="AG1023" s="125">
        <f t="shared" si="2753"/>
        <v>3.7</v>
      </c>
      <c r="AH1023" s="125">
        <f t="shared" si="2753"/>
        <v>22.387610440000003</v>
      </c>
      <c r="AI1023" s="125">
        <f t="shared" si="2753"/>
        <v>21.07</v>
      </c>
      <c r="AJ1023" s="125">
        <f t="shared" si="2753"/>
        <v>125.49159750500002</v>
      </c>
      <c r="AK1023" s="125">
        <f t="shared" si="2753"/>
        <v>0</v>
      </c>
      <c r="AL1023" s="125">
        <f t="shared" si="2753"/>
        <v>0</v>
      </c>
      <c r="AM1023" s="125">
        <f t="shared" si="2753"/>
        <v>0</v>
      </c>
      <c r="AN1023" s="125">
        <f t="shared" si="2753"/>
        <v>0</v>
      </c>
      <c r="AO1023" s="125">
        <f t="shared" si="2753"/>
        <v>0</v>
      </c>
      <c r="AP1023" s="125">
        <f t="shared" si="2753"/>
        <v>0</v>
      </c>
      <c r="AQ1023" s="125">
        <f t="shared" si="2753"/>
        <v>0</v>
      </c>
      <c r="AR1023" s="125">
        <f t="shared" si="2753"/>
        <v>0</v>
      </c>
      <c r="AS1023" s="125">
        <f t="shared" si="2753"/>
        <v>0</v>
      </c>
      <c r="AT1023" s="125">
        <f t="shared" si="2753"/>
        <v>0</v>
      </c>
      <c r="AU1023" s="125">
        <f t="shared" si="2753"/>
        <v>0</v>
      </c>
      <c r="AV1023" s="125">
        <f t="shared" si="2753"/>
        <v>0</v>
      </c>
      <c r="AW1023" s="125">
        <f t="shared" si="2753"/>
        <v>0</v>
      </c>
      <c r="AX1023" s="125">
        <f t="shared" si="2753"/>
        <v>0</v>
      </c>
      <c r="AY1023" s="125">
        <f t="shared" si="2753"/>
        <v>0</v>
      </c>
      <c r="AZ1023" s="125">
        <f t="shared" si="2753"/>
        <v>0</v>
      </c>
      <c r="BA1023" s="125">
        <f t="shared" si="2753"/>
        <v>0</v>
      </c>
      <c r="BB1023" s="125">
        <f t="shared" si="2753"/>
        <v>0</v>
      </c>
    </row>
    <row r="1024" spans="1:54">
      <c r="A1024" s="492">
        <v>623</v>
      </c>
      <c r="B1024" s="26"/>
      <c r="C1024" s="27" t="s">
        <v>134</v>
      </c>
      <c r="D1024" s="28"/>
      <c r="E1024" s="550"/>
      <c r="F1024" s="550"/>
      <c r="G1024" s="550"/>
      <c r="H1024" s="273"/>
      <c r="I1024" s="332"/>
      <c r="J1024" s="331"/>
      <c r="K1024" s="329"/>
      <c r="L1024" s="330"/>
      <c r="M1024" s="329"/>
      <c r="N1024" s="330"/>
      <c r="O1024" s="332"/>
      <c r="P1024" s="331"/>
      <c r="Q1024" s="122">
        <f t="shared" ref="Q1024:BB1024" si="2754">SUM(Q1023,Q1002,Q992,Q972)</f>
        <v>22.379000000000001</v>
      </c>
      <c r="R1024" s="122">
        <f t="shared" si="2754"/>
        <v>136.48989342900001</v>
      </c>
      <c r="S1024" s="122">
        <f t="shared" si="2754"/>
        <v>6.4790000000000001</v>
      </c>
      <c r="T1024" s="122">
        <f t="shared" si="2754"/>
        <v>38.431781999000009</v>
      </c>
      <c r="U1024" s="122">
        <f t="shared" si="2754"/>
        <v>8.6999999999999993</v>
      </c>
      <c r="V1024" s="122">
        <f t="shared" si="2754"/>
        <v>54.149050740000007</v>
      </c>
      <c r="W1024" s="122">
        <f t="shared" si="2754"/>
        <v>3.5</v>
      </c>
      <c r="X1024" s="122">
        <f t="shared" si="2754"/>
        <v>21.521450250000001</v>
      </c>
      <c r="Y1024" s="122">
        <f t="shared" si="2754"/>
        <v>18.679000000000002</v>
      </c>
      <c r="Z1024" s="122">
        <f t="shared" si="2754"/>
        <v>114.10228298900002</v>
      </c>
      <c r="AA1024" s="122">
        <f t="shared" si="2754"/>
        <v>3.7</v>
      </c>
      <c r="AB1024" s="122">
        <f t="shared" si="2754"/>
        <v>22.387610440000003</v>
      </c>
      <c r="AC1024" s="122">
        <f t="shared" si="2754"/>
        <v>0</v>
      </c>
      <c r="AD1024" s="122">
        <f t="shared" si="2754"/>
        <v>0</v>
      </c>
      <c r="AE1024" s="122">
        <f t="shared" si="2754"/>
        <v>0</v>
      </c>
      <c r="AF1024" s="122">
        <f t="shared" si="2754"/>
        <v>0</v>
      </c>
      <c r="AG1024" s="122">
        <f t="shared" si="2754"/>
        <v>3.7</v>
      </c>
      <c r="AH1024" s="122">
        <f t="shared" si="2754"/>
        <v>22.387610440000003</v>
      </c>
      <c r="AI1024" s="122">
        <f t="shared" si="2754"/>
        <v>22.379000000000001</v>
      </c>
      <c r="AJ1024" s="122">
        <f t="shared" si="2754"/>
        <v>136.48989342900001</v>
      </c>
      <c r="AK1024" s="122">
        <f t="shared" si="2754"/>
        <v>0</v>
      </c>
      <c r="AL1024" s="122">
        <f t="shared" si="2754"/>
        <v>0</v>
      </c>
      <c r="AM1024" s="122">
        <f t="shared" si="2754"/>
        <v>0</v>
      </c>
      <c r="AN1024" s="122">
        <f t="shared" si="2754"/>
        <v>0</v>
      </c>
      <c r="AO1024" s="122">
        <f t="shared" si="2754"/>
        <v>0</v>
      </c>
      <c r="AP1024" s="122">
        <f t="shared" si="2754"/>
        <v>0</v>
      </c>
      <c r="AQ1024" s="122">
        <f t="shared" si="2754"/>
        <v>0</v>
      </c>
      <c r="AR1024" s="122">
        <f t="shared" si="2754"/>
        <v>0</v>
      </c>
      <c r="AS1024" s="122">
        <f t="shared" si="2754"/>
        <v>0</v>
      </c>
      <c r="AT1024" s="122">
        <f t="shared" si="2754"/>
        <v>0</v>
      </c>
      <c r="AU1024" s="122">
        <f t="shared" si="2754"/>
        <v>0</v>
      </c>
      <c r="AV1024" s="122">
        <f t="shared" si="2754"/>
        <v>0</v>
      </c>
      <c r="AW1024" s="122">
        <f t="shared" si="2754"/>
        <v>0</v>
      </c>
      <c r="AX1024" s="122">
        <f t="shared" si="2754"/>
        <v>0</v>
      </c>
      <c r="AY1024" s="122">
        <f t="shared" si="2754"/>
        <v>0</v>
      </c>
      <c r="AZ1024" s="122">
        <f t="shared" si="2754"/>
        <v>0</v>
      </c>
      <c r="BA1024" s="122">
        <f t="shared" si="2754"/>
        <v>0</v>
      </c>
      <c r="BB1024" s="122">
        <f t="shared" si="2754"/>
        <v>0</v>
      </c>
    </row>
    <row r="1025" spans="1:54">
      <c r="A1025" s="492">
        <v>624</v>
      </c>
      <c r="B1025" s="13"/>
      <c r="C1025" s="13" t="s">
        <v>499</v>
      </c>
      <c r="D1025" s="13" t="s">
        <v>492</v>
      </c>
      <c r="E1025" s="48" t="s">
        <v>604</v>
      </c>
      <c r="F1025" s="310" t="s">
        <v>235</v>
      </c>
      <c r="G1025" s="310" t="s">
        <v>1059</v>
      </c>
      <c r="H1025" s="271" t="s">
        <v>428</v>
      </c>
      <c r="I1025" s="61">
        <v>13.07</v>
      </c>
      <c r="J1025" s="163"/>
      <c r="K1025" s="61">
        <v>13.07</v>
      </c>
      <c r="L1025" s="163"/>
      <c r="M1025" s="61"/>
      <c r="N1025" s="163"/>
      <c r="O1025" s="61"/>
      <c r="P1025" s="163"/>
      <c r="Q1025" s="121">
        <f t="shared" ref="Q1025:Q1108" si="2755">SUM(AI1025+BA1025)</f>
        <v>0</v>
      </c>
      <c r="R1025" s="341">
        <f t="shared" ref="R1025:R1108" si="2756">SUM(AJ1025+BB1025)</f>
        <v>0</v>
      </c>
      <c r="S1025" s="121"/>
      <c r="T1025" s="121">
        <f t="shared" ref="T1025:T1108" si="2757">I1025*S1025*$T$2/1000</f>
        <v>0</v>
      </c>
      <c r="U1025" s="121"/>
      <c r="V1025" s="121">
        <f t="shared" ref="V1025:V1108" si="2758">I1025*U1025*$V$2/1000</f>
        <v>0</v>
      </c>
      <c r="W1025" s="121"/>
      <c r="X1025" s="121">
        <f t="shared" ref="X1025:X1108" si="2759">I1025*W1025*$X$2/1000</f>
        <v>0</v>
      </c>
      <c r="Y1025" s="121">
        <f t="shared" ref="Y1025:Y1108" si="2760">SUM(S1025+U1025+W1025)</f>
        <v>0</v>
      </c>
      <c r="Z1025" s="121">
        <f t="shared" ref="Z1025:Z1108" si="2761">SUM(T1025+V1025+X1025)</f>
        <v>0</v>
      </c>
      <c r="AA1025" s="121"/>
      <c r="AB1025" s="121">
        <f t="shared" ref="AB1025:AB1108" si="2762">K1025*AA1025*$AB$2/1000</f>
        <v>0</v>
      </c>
      <c r="AC1025" s="121"/>
      <c r="AD1025" s="121">
        <f t="shared" ref="AD1025:AD1108" si="2763">K1025*AC1025*$AD$2/1000</f>
        <v>0</v>
      </c>
      <c r="AE1025" s="121"/>
      <c r="AF1025" s="121">
        <f t="shared" ref="AF1025:AF1108" si="2764">K1025*AE1025*$AF$2/1000</f>
        <v>0</v>
      </c>
      <c r="AG1025" s="121">
        <f t="shared" ref="AG1025:AG1108" si="2765">SUM(AA1025+AC1025+AE1025)</f>
        <v>0</v>
      </c>
      <c r="AH1025" s="121">
        <f t="shared" ref="AH1025:AH1108" si="2766">SUM(AB1025+AD1025+AF1025)</f>
        <v>0</v>
      </c>
      <c r="AI1025" s="121">
        <f t="shared" ref="AI1025:AI1108" si="2767">SUM(Y1025+AG1025)</f>
        <v>0</v>
      </c>
      <c r="AJ1025" s="121">
        <f t="shared" ref="AJ1025:AJ1108" si="2768">SUM(Z1025,AH1025)</f>
        <v>0</v>
      </c>
      <c r="AK1025" s="121"/>
      <c r="AL1025" s="121">
        <f t="shared" ref="AL1025:AL1108" si="2769">M1025*AK1025*$AL$2/1000</f>
        <v>0</v>
      </c>
      <c r="AM1025" s="121"/>
      <c r="AN1025" s="121">
        <f t="shared" ref="AN1025:AN1108" si="2770">M1025*AM1025*$AN$2/1000</f>
        <v>0</v>
      </c>
      <c r="AO1025" s="121"/>
      <c r="AP1025" s="121">
        <f t="shared" ref="AP1025:AP1035" si="2771">M1025*AO1025*$AP$2/1000</f>
        <v>0</v>
      </c>
      <c r="AQ1025" s="121">
        <f t="shared" ref="AQ1025:AQ1108" si="2772">SUM(AK1025+AM1025+AO1025)</f>
        <v>0</v>
      </c>
      <c r="AR1025" s="121">
        <f t="shared" ref="AR1025:AR1108" si="2773">SUM(AL1025+AN1025+AP1025)</f>
        <v>0</v>
      </c>
      <c r="AS1025" s="121"/>
      <c r="AT1025" s="121">
        <f t="shared" ref="AT1025:AT1108" si="2774">O1025*AS1025*$AT$2/1000</f>
        <v>0</v>
      </c>
      <c r="AU1025" s="121"/>
      <c r="AV1025" s="121">
        <f t="shared" ref="AV1025:AV1108" si="2775">O1025*AU1025*$AV$2/1000</f>
        <v>0</v>
      </c>
      <c r="AW1025" s="121"/>
      <c r="AX1025" s="121">
        <f t="shared" ref="AX1025:AX1108" si="2776">O1025*AW1025*$AX$2/1000</f>
        <v>0</v>
      </c>
      <c r="AY1025" s="121">
        <f t="shared" ref="AY1025:AY1108" si="2777">SUM(AS1025+AU1025+AW1025)</f>
        <v>0</v>
      </c>
      <c r="AZ1025" s="121">
        <f t="shared" ref="AZ1025:AZ1108" si="2778">SUM(AT1025+AV1025+AX1025)</f>
        <v>0</v>
      </c>
      <c r="BA1025" s="121">
        <f t="shared" ref="BA1025:BA1108" si="2779">SUM(AQ1025+AY1025)</f>
        <v>0</v>
      </c>
      <c r="BB1025" s="121">
        <f t="shared" ref="BB1025:BB1108" si="2780">SUM(AR1025,AZ1025)</f>
        <v>0</v>
      </c>
    </row>
    <row r="1026" spans="1:54">
      <c r="A1026" s="492">
        <v>625</v>
      </c>
      <c r="B1026" s="13"/>
      <c r="C1026" s="23"/>
      <c r="D1026" s="15" t="s">
        <v>500</v>
      </c>
      <c r="E1026" s="16" t="s">
        <v>582</v>
      </c>
      <c r="F1026" s="45" t="s">
        <v>235</v>
      </c>
      <c r="G1026" s="45" t="s">
        <v>1059</v>
      </c>
      <c r="H1026" s="265" t="s">
        <v>428</v>
      </c>
      <c r="I1026" s="54">
        <v>13.07</v>
      </c>
      <c r="J1026" s="162"/>
      <c r="K1026" s="54">
        <v>13.07</v>
      </c>
      <c r="L1026" s="162"/>
      <c r="M1026" s="54"/>
      <c r="N1026" s="162"/>
      <c r="O1026" s="54"/>
      <c r="P1026" s="162"/>
      <c r="Q1026" s="96">
        <f t="shared" si="2755"/>
        <v>0</v>
      </c>
      <c r="R1026" s="337">
        <f t="shared" si="2756"/>
        <v>0</v>
      </c>
      <c r="S1026" s="96"/>
      <c r="T1026" s="96">
        <f t="shared" si="2757"/>
        <v>0</v>
      </c>
      <c r="U1026" s="96"/>
      <c r="V1026" s="96">
        <f t="shared" si="2758"/>
        <v>0</v>
      </c>
      <c r="W1026" s="96"/>
      <c r="X1026" s="96">
        <f t="shared" si="2759"/>
        <v>0</v>
      </c>
      <c r="Y1026" s="96">
        <f t="shared" si="2760"/>
        <v>0</v>
      </c>
      <c r="Z1026" s="96">
        <f t="shared" si="2761"/>
        <v>0</v>
      </c>
      <c r="AA1026" s="96"/>
      <c r="AB1026" s="96">
        <f t="shared" si="2762"/>
        <v>0</v>
      </c>
      <c r="AC1026" s="96"/>
      <c r="AD1026" s="96">
        <f t="shared" si="2763"/>
        <v>0</v>
      </c>
      <c r="AE1026" s="96"/>
      <c r="AF1026" s="96">
        <f t="shared" si="2764"/>
        <v>0</v>
      </c>
      <c r="AG1026" s="96">
        <f t="shared" si="2765"/>
        <v>0</v>
      </c>
      <c r="AH1026" s="96">
        <f t="shared" si="2766"/>
        <v>0</v>
      </c>
      <c r="AI1026" s="96">
        <f t="shared" si="2767"/>
        <v>0</v>
      </c>
      <c r="AJ1026" s="96">
        <f t="shared" si="2768"/>
        <v>0</v>
      </c>
      <c r="AK1026" s="96"/>
      <c r="AL1026" s="96">
        <f t="shared" si="2769"/>
        <v>0</v>
      </c>
      <c r="AM1026" s="96"/>
      <c r="AN1026" s="96">
        <f t="shared" si="2770"/>
        <v>0</v>
      </c>
      <c r="AO1026" s="96"/>
      <c r="AP1026" s="96">
        <f t="shared" si="2771"/>
        <v>0</v>
      </c>
      <c r="AQ1026" s="96">
        <f t="shared" si="2772"/>
        <v>0</v>
      </c>
      <c r="AR1026" s="96">
        <f t="shared" si="2773"/>
        <v>0</v>
      </c>
      <c r="AS1026" s="96"/>
      <c r="AT1026" s="96">
        <f t="shared" si="2774"/>
        <v>0</v>
      </c>
      <c r="AU1026" s="96"/>
      <c r="AV1026" s="96">
        <f t="shared" si="2775"/>
        <v>0</v>
      </c>
      <c r="AW1026" s="96"/>
      <c r="AX1026" s="96">
        <f t="shared" si="2776"/>
        <v>0</v>
      </c>
      <c r="AY1026" s="96">
        <f t="shared" si="2777"/>
        <v>0</v>
      </c>
      <c r="AZ1026" s="96">
        <f t="shared" si="2778"/>
        <v>0</v>
      </c>
      <c r="BA1026" s="96">
        <f t="shared" si="2779"/>
        <v>0</v>
      </c>
      <c r="BB1026" s="96">
        <f t="shared" si="2780"/>
        <v>0</v>
      </c>
    </row>
    <row r="1027" spans="1:54">
      <c r="A1027" s="492">
        <v>626</v>
      </c>
      <c r="B1027" s="13"/>
      <c r="C1027" s="23"/>
      <c r="D1027" s="15" t="s">
        <v>500</v>
      </c>
      <c r="E1027" s="16" t="s">
        <v>605</v>
      </c>
      <c r="F1027" s="45" t="s">
        <v>235</v>
      </c>
      <c r="G1027" s="45" t="s">
        <v>1059</v>
      </c>
      <c r="H1027" s="265" t="s">
        <v>428</v>
      </c>
      <c r="I1027" s="54">
        <v>13.07</v>
      </c>
      <c r="J1027" s="162"/>
      <c r="K1027" s="54">
        <v>13.07</v>
      </c>
      <c r="L1027" s="162"/>
      <c r="M1027" s="54"/>
      <c r="N1027" s="162"/>
      <c r="O1027" s="54"/>
      <c r="P1027" s="162"/>
      <c r="Q1027" s="96">
        <f t="shared" si="2755"/>
        <v>0</v>
      </c>
      <c r="R1027" s="337">
        <f t="shared" si="2756"/>
        <v>0</v>
      </c>
      <c r="S1027" s="96"/>
      <c r="T1027" s="96">
        <f t="shared" si="2757"/>
        <v>0</v>
      </c>
      <c r="U1027" s="96"/>
      <c r="V1027" s="96">
        <f t="shared" si="2758"/>
        <v>0</v>
      </c>
      <c r="W1027" s="96"/>
      <c r="X1027" s="96">
        <f t="shared" si="2759"/>
        <v>0</v>
      </c>
      <c r="Y1027" s="96">
        <f t="shared" si="2760"/>
        <v>0</v>
      </c>
      <c r="Z1027" s="96">
        <f t="shared" si="2761"/>
        <v>0</v>
      </c>
      <c r="AA1027" s="96"/>
      <c r="AB1027" s="96">
        <f t="shared" si="2762"/>
        <v>0</v>
      </c>
      <c r="AC1027" s="96"/>
      <c r="AD1027" s="96">
        <f t="shared" si="2763"/>
        <v>0</v>
      </c>
      <c r="AE1027" s="96"/>
      <c r="AF1027" s="96">
        <f t="shared" si="2764"/>
        <v>0</v>
      </c>
      <c r="AG1027" s="96">
        <f t="shared" si="2765"/>
        <v>0</v>
      </c>
      <c r="AH1027" s="96">
        <f t="shared" si="2766"/>
        <v>0</v>
      </c>
      <c r="AI1027" s="96">
        <f t="shared" si="2767"/>
        <v>0</v>
      </c>
      <c r="AJ1027" s="96">
        <f t="shared" si="2768"/>
        <v>0</v>
      </c>
      <c r="AK1027" s="96"/>
      <c r="AL1027" s="96">
        <f t="shared" si="2769"/>
        <v>0</v>
      </c>
      <c r="AM1027" s="96"/>
      <c r="AN1027" s="96">
        <f t="shared" si="2770"/>
        <v>0</v>
      </c>
      <c r="AO1027" s="96"/>
      <c r="AP1027" s="96">
        <f t="shared" si="2771"/>
        <v>0</v>
      </c>
      <c r="AQ1027" s="96">
        <f t="shared" si="2772"/>
        <v>0</v>
      </c>
      <c r="AR1027" s="96">
        <f t="shared" si="2773"/>
        <v>0</v>
      </c>
      <c r="AS1027" s="96"/>
      <c r="AT1027" s="96">
        <f t="shared" si="2774"/>
        <v>0</v>
      </c>
      <c r="AU1027" s="96"/>
      <c r="AV1027" s="96">
        <f t="shared" si="2775"/>
        <v>0</v>
      </c>
      <c r="AW1027" s="96"/>
      <c r="AX1027" s="96">
        <f t="shared" si="2776"/>
        <v>0</v>
      </c>
      <c r="AY1027" s="96">
        <f t="shared" si="2777"/>
        <v>0</v>
      </c>
      <c r="AZ1027" s="96">
        <f t="shared" si="2778"/>
        <v>0</v>
      </c>
      <c r="BA1027" s="96">
        <f t="shared" si="2779"/>
        <v>0</v>
      </c>
      <c r="BB1027" s="96">
        <f t="shared" si="2780"/>
        <v>0</v>
      </c>
    </row>
    <row r="1028" spans="1:54">
      <c r="A1028" s="492">
        <v>627</v>
      </c>
      <c r="B1028" s="13"/>
      <c r="C1028" s="23"/>
      <c r="D1028" s="15" t="s">
        <v>501</v>
      </c>
      <c r="E1028" s="69" t="s">
        <v>606</v>
      </c>
      <c r="F1028" s="64" t="s">
        <v>235</v>
      </c>
      <c r="G1028" s="64" t="s">
        <v>1059</v>
      </c>
      <c r="H1028" s="272" t="s">
        <v>428</v>
      </c>
      <c r="I1028" s="57">
        <v>13.07</v>
      </c>
      <c r="J1028" s="166"/>
      <c r="K1028" s="57">
        <v>13.07</v>
      </c>
      <c r="L1028" s="166"/>
      <c r="M1028" s="57"/>
      <c r="N1028" s="166"/>
      <c r="O1028" s="57"/>
      <c r="P1028" s="166"/>
      <c r="Q1028" s="94">
        <f t="shared" si="2755"/>
        <v>0</v>
      </c>
      <c r="R1028" s="338">
        <f t="shared" si="2756"/>
        <v>0</v>
      </c>
      <c r="S1028" s="94"/>
      <c r="T1028" s="94">
        <f t="shared" si="2757"/>
        <v>0</v>
      </c>
      <c r="U1028" s="94"/>
      <c r="V1028" s="94">
        <f t="shared" si="2758"/>
        <v>0</v>
      </c>
      <c r="W1028" s="94"/>
      <c r="X1028" s="94">
        <f t="shared" si="2759"/>
        <v>0</v>
      </c>
      <c r="Y1028" s="94">
        <f t="shared" si="2760"/>
        <v>0</v>
      </c>
      <c r="Z1028" s="94">
        <f t="shared" si="2761"/>
        <v>0</v>
      </c>
      <c r="AA1028" s="94"/>
      <c r="AB1028" s="94">
        <f t="shared" si="2762"/>
        <v>0</v>
      </c>
      <c r="AC1028" s="94"/>
      <c r="AD1028" s="94">
        <f t="shared" si="2763"/>
        <v>0</v>
      </c>
      <c r="AE1028" s="94"/>
      <c r="AF1028" s="94">
        <f t="shared" si="2764"/>
        <v>0</v>
      </c>
      <c r="AG1028" s="94">
        <f t="shared" si="2765"/>
        <v>0</v>
      </c>
      <c r="AH1028" s="94">
        <f t="shared" si="2766"/>
        <v>0</v>
      </c>
      <c r="AI1028" s="94">
        <f t="shared" si="2767"/>
        <v>0</v>
      </c>
      <c r="AJ1028" s="94">
        <f t="shared" si="2768"/>
        <v>0</v>
      </c>
      <c r="AK1028" s="94"/>
      <c r="AL1028" s="94">
        <f t="shared" si="2769"/>
        <v>0</v>
      </c>
      <c r="AM1028" s="94"/>
      <c r="AN1028" s="94">
        <f t="shared" si="2770"/>
        <v>0</v>
      </c>
      <c r="AO1028" s="94"/>
      <c r="AP1028" s="94">
        <f t="shared" si="2771"/>
        <v>0</v>
      </c>
      <c r="AQ1028" s="94">
        <f t="shared" si="2772"/>
        <v>0</v>
      </c>
      <c r="AR1028" s="94">
        <f t="shared" si="2773"/>
        <v>0</v>
      </c>
      <c r="AS1028" s="94"/>
      <c r="AT1028" s="94">
        <f t="shared" si="2774"/>
        <v>0</v>
      </c>
      <c r="AU1028" s="94"/>
      <c r="AV1028" s="94">
        <f t="shared" si="2775"/>
        <v>0</v>
      </c>
      <c r="AW1028" s="94"/>
      <c r="AX1028" s="94">
        <f t="shared" si="2776"/>
        <v>0</v>
      </c>
      <c r="AY1028" s="94">
        <f t="shared" si="2777"/>
        <v>0</v>
      </c>
      <c r="AZ1028" s="94">
        <f t="shared" si="2778"/>
        <v>0</v>
      </c>
      <c r="BA1028" s="94">
        <f t="shared" si="2779"/>
        <v>0</v>
      </c>
      <c r="BB1028" s="94">
        <f t="shared" si="2780"/>
        <v>0</v>
      </c>
    </row>
    <row r="1029" spans="1:54">
      <c r="A1029" s="492">
        <v>628</v>
      </c>
      <c r="B1029" s="13"/>
      <c r="C1029" s="297" t="s">
        <v>498</v>
      </c>
      <c r="D1029" s="52" t="s">
        <v>367</v>
      </c>
      <c r="E1029" s="31" t="s">
        <v>607</v>
      </c>
      <c r="F1029" s="310" t="s">
        <v>368</v>
      </c>
      <c r="G1029" s="310" t="s">
        <v>1059</v>
      </c>
      <c r="H1029" s="271" t="s">
        <v>428</v>
      </c>
      <c r="I1029" s="61">
        <v>5.2</v>
      </c>
      <c r="J1029" s="163"/>
      <c r="K1029" s="61">
        <v>5.2</v>
      </c>
      <c r="L1029" s="163"/>
      <c r="M1029" s="61"/>
      <c r="N1029" s="163"/>
      <c r="O1029" s="61"/>
      <c r="P1029" s="163"/>
      <c r="Q1029" s="121">
        <f t="shared" si="2755"/>
        <v>0</v>
      </c>
      <c r="R1029" s="341">
        <f t="shared" si="2756"/>
        <v>0</v>
      </c>
      <c r="S1029" s="121"/>
      <c r="T1029" s="121">
        <f t="shared" si="2757"/>
        <v>0</v>
      </c>
      <c r="U1029" s="121"/>
      <c r="V1029" s="121">
        <f t="shared" si="2758"/>
        <v>0</v>
      </c>
      <c r="W1029" s="121"/>
      <c r="X1029" s="121">
        <f t="shared" si="2759"/>
        <v>0</v>
      </c>
      <c r="Y1029" s="121">
        <f t="shared" si="2760"/>
        <v>0</v>
      </c>
      <c r="Z1029" s="121">
        <f t="shared" si="2761"/>
        <v>0</v>
      </c>
      <c r="AA1029" s="121"/>
      <c r="AB1029" s="121">
        <f t="shared" si="2762"/>
        <v>0</v>
      </c>
      <c r="AC1029" s="121"/>
      <c r="AD1029" s="121">
        <f t="shared" si="2763"/>
        <v>0</v>
      </c>
      <c r="AE1029" s="121"/>
      <c r="AF1029" s="121">
        <f t="shared" si="2764"/>
        <v>0</v>
      </c>
      <c r="AG1029" s="121">
        <f t="shared" si="2765"/>
        <v>0</v>
      </c>
      <c r="AH1029" s="121">
        <f t="shared" si="2766"/>
        <v>0</v>
      </c>
      <c r="AI1029" s="121">
        <f t="shared" si="2767"/>
        <v>0</v>
      </c>
      <c r="AJ1029" s="121">
        <f t="shared" si="2768"/>
        <v>0</v>
      </c>
      <c r="AK1029" s="121"/>
      <c r="AL1029" s="121">
        <f t="shared" si="2769"/>
        <v>0</v>
      </c>
      <c r="AM1029" s="121"/>
      <c r="AN1029" s="121">
        <f t="shared" si="2770"/>
        <v>0</v>
      </c>
      <c r="AO1029" s="121"/>
      <c r="AP1029" s="121">
        <f t="shared" si="2771"/>
        <v>0</v>
      </c>
      <c r="AQ1029" s="121">
        <f t="shared" si="2772"/>
        <v>0</v>
      </c>
      <c r="AR1029" s="121">
        <f t="shared" si="2773"/>
        <v>0</v>
      </c>
      <c r="AS1029" s="121"/>
      <c r="AT1029" s="121">
        <f t="shared" si="2774"/>
        <v>0</v>
      </c>
      <c r="AU1029" s="121"/>
      <c r="AV1029" s="121">
        <f t="shared" si="2775"/>
        <v>0</v>
      </c>
      <c r="AW1029" s="121"/>
      <c r="AX1029" s="121">
        <f t="shared" si="2776"/>
        <v>0</v>
      </c>
      <c r="AY1029" s="121">
        <f t="shared" si="2777"/>
        <v>0</v>
      </c>
      <c r="AZ1029" s="121">
        <f t="shared" si="2778"/>
        <v>0</v>
      </c>
      <c r="BA1029" s="121">
        <f t="shared" si="2779"/>
        <v>0</v>
      </c>
      <c r="BB1029" s="121">
        <f t="shared" si="2780"/>
        <v>0</v>
      </c>
    </row>
    <row r="1030" spans="1:54">
      <c r="A1030" s="492">
        <v>629</v>
      </c>
      <c r="B1030" s="13"/>
      <c r="D1030" s="13" t="s">
        <v>369</v>
      </c>
      <c r="E1030" s="21" t="s">
        <v>370</v>
      </c>
      <c r="F1030" s="45" t="s">
        <v>371</v>
      </c>
      <c r="G1030" s="45" t="s">
        <v>1059</v>
      </c>
      <c r="H1030" s="265" t="s">
        <v>428</v>
      </c>
      <c r="I1030" s="54">
        <v>5.2</v>
      </c>
      <c r="J1030" s="162"/>
      <c r="K1030" s="54">
        <v>5.2</v>
      </c>
      <c r="L1030" s="162"/>
      <c r="M1030" s="54"/>
      <c r="N1030" s="162"/>
      <c r="O1030" s="54"/>
      <c r="P1030" s="162"/>
      <c r="Q1030" s="96">
        <f t="shared" si="2755"/>
        <v>0</v>
      </c>
      <c r="R1030" s="337">
        <f t="shared" si="2756"/>
        <v>0</v>
      </c>
      <c r="S1030" s="96"/>
      <c r="T1030" s="96">
        <f t="shared" si="2757"/>
        <v>0</v>
      </c>
      <c r="U1030" s="96"/>
      <c r="V1030" s="96">
        <f t="shared" si="2758"/>
        <v>0</v>
      </c>
      <c r="W1030" s="96"/>
      <c r="X1030" s="96">
        <f t="shared" si="2759"/>
        <v>0</v>
      </c>
      <c r="Y1030" s="96">
        <f t="shared" si="2760"/>
        <v>0</v>
      </c>
      <c r="Z1030" s="96">
        <f t="shared" si="2761"/>
        <v>0</v>
      </c>
      <c r="AA1030" s="96"/>
      <c r="AB1030" s="96">
        <f t="shared" si="2762"/>
        <v>0</v>
      </c>
      <c r="AC1030" s="96"/>
      <c r="AD1030" s="96">
        <f t="shared" si="2763"/>
        <v>0</v>
      </c>
      <c r="AE1030" s="96"/>
      <c r="AF1030" s="96">
        <f t="shared" si="2764"/>
        <v>0</v>
      </c>
      <c r="AG1030" s="96">
        <f t="shared" si="2765"/>
        <v>0</v>
      </c>
      <c r="AH1030" s="96">
        <f t="shared" si="2766"/>
        <v>0</v>
      </c>
      <c r="AI1030" s="96">
        <f t="shared" si="2767"/>
        <v>0</v>
      </c>
      <c r="AJ1030" s="96">
        <f t="shared" si="2768"/>
        <v>0</v>
      </c>
      <c r="AK1030" s="96"/>
      <c r="AL1030" s="96">
        <f t="shared" si="2769"/>
        <v>0</v>
      </c>
      <c r="AM1030" s="96"/>
      <c r="AN1030" s="96">
        <f t="shared" si="2770"/>
        <v>0</v>
      </c>
      <c r="AO1030" s="96"/>
      <c r="AP1030" s="96">
        <f t="shared" si="2771"/>
        <v>0</v>
      </c>
      <c r="AQ1030" s="96">
        <f t="shared" si="2772"/>
        <v>0</v>
      </c>
      <c r="AR1030" s="96">
        <f t="shared" si="2773"/>
        <v>0</v>
      </c>
      <c r="AS1030" s="96"/>
      <c r="AT1030" s="96">
        <f t="shared" si="2774"/>
        <v>0</v>
      </c>
      <c r="AU1030" s="96"/>
      <c r="AV1030" s="96">
        <f t="shared" si="2775"/>
        <v>0</v>
      </c>
      <c r="AW1030" s="96"/>
      <c r="AX1030" s="96">
        <f t="shared" si="2776"/>
        <v>0</v>
      </c>
      <c r="AY1030" s="96">
        <f t="shared" si="2777"/>
        <v>0</v>
      </c>
      <c r="AZ1030" s="96">
        <f t="shared" si="2778"/>
        <v>0</v>
      </c>
      <c r="BA1030" s="96">
        <f t="shared" si="2779"/>
        <v>0</v>
      </c>
      <c r="BB1030" s="96">
        <f t="shared" si="2780"/>
        <v>0</v>
      </c>
    </row>
    <row r="1031" spans="1:54">
      <c r="A1031" s="492">
        <v>630</v>
      </c>
      <c r="B1031" s="13"/>
      <c r="C1031" s="299"/>
      <c r="D1031" s="13" t="s">
        <v>234</v>
      </c>
      <c r="E1031" s="21" t="s">
        <v>480</v>
      </c>
      <c r="F1031" s="45" t="s">
        <v>235</v>
      </c>
      <c r="G1031" s="45" t="s">
        <v>1059</v>
      </c>
      <c r="H1031" s="265" t="s">
        <v>359</v>
      </c>
      <c r="I1031" s="54">
        <v>5.2</v>
      </c>
      <c r="J1031" s="162"/>
      <c r="K1031" s="54">
        <v>5.2</v>
      </c>
      <c r="L1031" s="162"/>
      <c r="M1031" s="54"/>
      <c r="N1031" s="162"/>
      <c r="O1031" s="54"/>
      <c r="P1031" s="162"/>
      <c r="Q1031" s="96">
        <f t="shared" si="2755"/>
        <v>0</v>
      </c>
      <c r="R1031" s="337">
        <f t="shared" si="2756"/>
        <v>0</v>
      </c>
      <c r="S1031" s="96"/>
      <c r="T1031" s="96">
        <f t="shared" si="2757"/>
        <v>0</v>
      </c>
      <c r="U1031" s="96"/>
      <c r="V1031" s="96">
        <f t="shared" si="2758"/>
        <v>0</v>
      </c>
      <c r="W1031" s="96"/>
      <c r="X1031" s="96">
        <f t="shared" si="2759"/>
        <v>0</v>
      </c>
      <c r="Y1031" s="96">
        <f t="shared" si="2760"/>
        <v>0</v>
      </c>
      <c r="Z1031" s="96">
        <f t="shared" si="2761"/>
        <v>0</v>
      </c>
      <c r="AA1031" s="96"/>
      <c r="AB1031" s="96">
        <f t="shared" si="2762"/>
        <v>0</v>
      </c>
      <c r="AC1031" s="96"/>
      <c r="AD1031" s="96">
        <f t="shared" si="2763"/>
        <v>0</v>
      </c>
      <c r="AE1031" s="96"/>
      <c r="AF1031" s="96">
        <f t="shared" si="2764"/>
        <v>0</v>
      </c>
      <c r="AG1031" s="96">
        <f t="shared" si="2765"/>
        <v>0</v>
      </c>
      <c r="AH1031" s="96">
        <f t="shared" si="2766"/>
        <v>0</v>
      </c>
      <c r="AI1031" s="96">
        <f t="shared" si="2767"/>
        <v>0</v>
      </c>
      <c r="AJ1031" s="96">
        <f t="shared" si="2768"/>
        <v>0</v>
      </c>
      <c r="AK1031" s="96"/>
      <c r="AL1031" s="96">
        <f t="shared" si="2769"/>
        <v>0</v>
      </c>
      <c r="AM1031" s="96"/>
      <c r="AN1031" s="96">
        <f t="shared" si="2770"/>
        <v>0</v>
      </c>
      <c r="AO1031" s="96"/>
      <c r="AP1031" s="96">
        <f t="shared" si="2771"/>
        <v>0</v>
      </c>
      <c r="AQ1031" s="96">
        <f t="shared" si="2772"/>
        <v>0</v>
      </c>
      <c r="AR1031" s="96">
        <f t="shared" si="2773"/>
        <v>0</v>
      </c>
      <c r="AS1031" s="96"/>
      <c r="AT1031" s="96">
        <f t="shared" si="2774"/>
        <v>0</v>
      </c>
      <c r="AU1031" s="96"/>
      <c r="AV1031" s="96">
        <f t="shared" si="2775"/>
        <v>0</v>
      </c>
      <c r="AW1031" s="96"/>
      <c r="AX1031" s="96">
        <f t="shared" si="2776"/>
        <v>0</v>
      </c>
      <c r="AY1031" s="96">
        <f t="shared" si="2777"/>
        <v>0</v>
      </c>
      <c r="AZ1031" s="96">
        <f t="shared" si="2778"/>
        <v>0</v>
      </c>
      <c r="BA1031" s="96">
        <f t="shared" si="2779"/>
        <v>0</v>
      </c>
      <c r="BB1031" s="96">
        <f t="shared" si="2780"/>
        <v>0</v>
      </c>
    </row>
    <row r="1032" spans="1:54">
      <c r="A1032" s="492">
        <v>631</v>
      </c>
      <c r="B1032" s="13"/>
      <c r="C1032" s="23"/>
      <c r="D1032" s="15" t="s">
        <v>644</v>
      </c>
      <c r="E1032" s="16" t="s">
        <v>1343</v>
      </c>
      <c r="F1032" s="45" t="s">
        <v>235</v>
      </c>
      <c r="G1032" s="45" t="s">
        <v>1059</v>
      </c>
      <c r="H1032" s="265" t="s">
        <v>428</v>
      </c>
      <c r="I1032" s="54">
        <v>5.62</v>
      </c>
      <c r="J1032" s="162"/>
      <c r="K1032" s="54">
        <v>5.62</v>
      </c>
      <c r="L1032" s="162"/>
      <c r="M1032" s="54"/>
      <c r="N1032" s="162"/>
      <c r="O1032" s="54"/>
      <c r="P1032" s="162"/>
      <c r="Q1032" s="96">
        <f t="shared" si="2755"/>
        <v>0</v>
      </c>
      <c r="R1032" s="337">
        <f t="shared" si="2756"/>
        <v>0</v>
      </c>
      <c r="S1032" s="96"/>
      <c r="T1032" s="96">
        <f t="shared" si="2757"/>
        <v>0</v>
      </c>
      <c r="U1032" s="96"/>
      <c r="V1032" s="96">
        <f t="shared" si="2758"/>
        <v>0</v>
      </c>
      <c r="W1032" s="96"/>
      <c r="X1032" s="96">
        <f t="shared" si="2759"/>
        <v>0</v>
      </c>
      <c r="Y1032" s="96">
        <f t="shared" si="2760"/>
        <v>0</v>
      </c>
      <c r="Z1032" s="96">
        <f t="shared" si="2761"/>
        <v>0</v>
      </c>
      <c r="AA1032" s="96"/>
      <c r="AB1032" s="96">
        <f t="shared" si="2762"/>
        <v>0</v>
      </c>
      <c r="AC1032" s="96"/>
      <c r="AD1032" s="96">
        <f t="shared" si="2763"/>
        <v>0</v>
      </c>
      <c r="AE1032" s="96"/>
      <c r="AF1032" s="96">
        <f t="shared" si="2764"/>
        <v>0</v>
      </c>
      <c r="AG1032" s="96">
        <f t="shared" si="2765"/>
        <v>0</v>
      </c>
      <c r="AH1032" s="96">
        <f t="shared" si="2766"/>
        <v>0</v>
      </c>
      <c r="AI1032" s="96">
        <f t="shared" si="2767"/>
        <v>0</v>
      </c>
      <c r="AJ1032" s="96">
        <f t="shared" si="2768"/>
        <v>0</v>
      </c>
      <c r="AK1032" s="96"/>
      <c r="AL1032" s="96">
        <f t="shared" si="2769"/>
        <v>0</v>
      </c>
      <c r="AM1032" s="96"/>
      <c r="AN1032" s="96">
        <f t="shared" si="2770"/>
        <v>0</v>
      </c>
      <c r="AO1032" s="96"/>
      <c r="AP1032" s="96">
        <f t="shared" si="2771"/>
        <v>0</v>
      </c>
      <c r="AQ1032" s="96">
        <f t="shared" si="2772"/>
        <v>0</v>
      </c>
      <c r="AR1032" s="96">
        <f t="shared" si="2773"/>
        <v>0</v>
      </c>
      <c r="AS1032" s="96"/>
      <c r="AT1032" s="96">
        <f t="shared" si="2774"/>
        <v>0</v>
      </c>
      <c r="AU1032" s="96"/>
      <c r="AV1032" s="96">
        <f t="shared" si="2775"/>
        <v>0</v>
      </c>
      <c r="AW1032" s="96"/>
      <c r="AX1032" s="96">
        <f t="shared" si="2776"/>
        <v>0</v>
      </c>
      <c r="AY1032" s="96">
        <f t="shared" si="2777"/>
        <v>0</v>
      </c>
      <c r="AZ1032" s="96">
        <f t="shared" si="2778"/>
        <v>0</v>
      </c>
      <c r="BA1032" s="96">
        <f t="shared" si="2779"/>
        <v>0</v>
      </c>
      <c r="BB1032" s="96">
        <f t="shared" si="2780"/>
        <v>0</v>
      </c>
    </row>
    <row r="1033" spans="1:54">
      <c r="A1033" s="492">
        <v>632</v>
      </c>
      <c r="B1033" s="13"/>
      <c r="C1033" s="23"/>
      <c r="D1033" s="15" t="s">
        <v>521</v>
      </c>
      <c r="E1033" s="16" t="s">
        <v>608</v>
      </c>
      <c r="F1033" s="45" t="s">
        <v>235</v>
      </c>
      <c r="G1033" s="45" t="s">
        <v>1059</v>
      </c>
      <c r="H1033" s="265" t="s">
        <v>428</v>
      </c>
      <c r="I1033" s="54">
        <v>5.2</v>
      </c>
      <c r="J1033" s="162"/>
      <c r="K1033" s="54">
        <v>5.2</v>
      </c>
      <c r="L1033" s="162"/>
      <c r="M1033" s="54"/>
      <c r="N1033" s="162"/>
      <c r="O1033" s="54"/>
      <c r="P1033" s="162"/>
      <c r="Q1033" s="96">
        <f t="shared" si="2755"/>
        <v>0</v>
      </c>
      <c r="R1033" s="337">
        <f t="shared" si="2756"/>
        <v>0</v>
      </c>
      <c r="S1033" s="96"/>
      <c r="T1033" s="96">
        <f t="shared" si="2757"/>
        <v>0</v>
      </c>
      <c r="U1033" s="96"/>
      <c r="V1033" s="96">
        <f t="shared" si="2758"/>
        <v>0</v>
      </c>
      <c r="W1033" s="96"/>
      <c r="X1033" s="96">
        <f t="shared" si="2759"/>
        <v>0</v>
      </c>
      <c r="Y1033" s="96">
        <f t="shared" si="2760"/>
        <v>0</v>
      </c>
      <c r="Z1033" s="96">
        <f t="shared" si="2761"/>
        <v>0</v>
      </c>
      <c r="AA1033" s="96"/>
      <c r="AB1033" s="96">
        <f t="shared" si="2762"/>
        <v>0</v>
      </c>
      <c r="AC1033" s="96"/>
      <c r="AD1033" s="96">
        <f t="shared" si="2763"/>
        <v>0</v>
      </c>
      <c r="AE1033" s="96"/>
      <c r="AF1033" s="96">
        <f t="shared" si="2764"/>
        <v>0</v>
      </c>
      <c r="AG1033" s="96">
        <f t="shared" si="2765"/>
        <v>0</v>
      </c>
      <c r="AH1033" s="96">
        <f t="shared" si="2766"/>
        <v>0</v>
      </c>
      <c r="AI1033" s="96">
        <f t="shared" si="2767"/>
        <v>0</v>
      </c>
      <c r="AJ1033" s="96">
        <f t="shared" si="2768"/>
        <v>0</v>
      </c>
      <c r="AK1033" s="96"/>
      <c r="AL1033" s="96">
        <f t="shared" si="2769"/>
        <v>0</v>
      </c>
      <c r="AM1033" s="96"/>
      <c r="AN1033" s="96">
        <f t="shared" si="2770"/>
        <v>0</v>
      </c>
      <c r="AO1033" s="96"/>
      <c r="AP1033" s="96">
        <f t="shared" si="2771"/>
        <v>0</v>
      </c>
      <c r="AQ1033" s="96">
        <f t="shared" si="2772"/>
        <v>0</v>
      </c>
      <c r="AR1033" s="96">
        <f t="shared" si="2773"/>
        <v>0</v>
      </c>
      <c r="AS1033" s="96"/>
      <c r="AT1033" s="96">
        <f t="shared" si="2774"/>
        <v>0</v>
      </c>
      <c r="AU1033" s="96"/>
      <c r="AV1033" s="96">
        <f t="shared" si="2775"/>
        <v>0</v>
      </c>
      <c r="AW1033" s="96"/>
      <c r="AX1033" s="96">
        <f t="shared" si="2776"/>
        <v>0</v>
      </c>
      <c r="AY1033" s="96">
        <f t="shared" si="2777"/>
        <v>0</v>
      </c>
      <c r="AZ1033" s="96">
        <f t="shared" si="2778"/>
        <v>0</v>
      </c>
      <c r="BA1033" s="96">
        <f t="shared" si="2779"/>
        <v>0</v>
      </c>
      <c r="BB1033" s="96">
        <f t="shared" si="2780"/>
        <v>0</v>
      </c>
    </row>
    <row r="1034" spans="1:54">
      <c r="A1034" s="492">
        <v>633</v>
      </c>
      <c r="B1034" s="13"/>
      <c r="C1034" s="299"/>
      <c r="D1034" s="13" t="s">
        <v>366</v>
      </c>
      <c r="E1034" s="21" t="s">
        <v>1765</v>
      </c>
      <c r="F1034" s="45" t="s">
        <v>235</v>
      </c>
      <c r="G1034" s="45" t="s">
        <v>1059</v>
      </c>
      <c r="H1034" s="265" t="s">
        <v>359</v>
      </c>
      <c r="I1034" s="54">
        <v>5.62</v>
      </c>
      <c r="J1034" s="162"/>
      <c r="K1034" s="54">
        <v>5.62</v>
      </c>
      <c r="L1034" s="162"/>
      <c r="M1034" s="54"/>
      <c r="N1034" s="162"/>
      <c r="O1034" s="54"/>
      <c r="P1034" s="162"/>
      <c r="Q1034" s="96">
        <f t="shared" si="2755"/>
        <v>0</v>
      </c>
      <c r="R1034" s="337">
        <f t="shared" si="2756"/>
        <v>0</v>
      </c>
      <c r="S1034" s="96"/>
      <c r="T1034" s="96">
        <f t="shared" si="2757"/>
        <v>0</v>
      </c>
      <c r="U1034" s="96"/>
      <c r="V1034" s="96">
        <f t="shared" si="2758"/>
        <v>0</v>
      </c>
      <c r="W1034" s="96"/>
      <c r="X1034" s="96">
        <f t="shared" si="2759"/>
        <v>0</v>
      </c>
      <c r="Y1034" s="96">
        <f t="shared" si="2760"/>
        <v>0</v>
      </c>
      <c r="Z1034" s="96">
        <f t="shared" si="2761"/>
        <v>0</v>
      </c>
      <c r="AA1034" s="96"/>
      <c r="AB1034" s="96">
        <f t="shared" si="2762"/>
        <v>0</v>
      </c>
      <c r="AC1034" s="96"/>
      <c r="AD1034" s="96">
        <f t="shared" si="2763"/>
        <v>0</v>
      </c>
      <c r="AE1034" s="96"/>
      <c r="AF1034" s="96">
        <f t="shared" si="2764"/>
        <v>0</v>
      </c>
      <c r="AG1034" s="96">
        <f t="shared" si="2765"/>
        <v>0</v>
      </c>
      <c r="AH1034" s="96">
        <f t="shared" si="2766"/>
        <v>0</v>
      </c>
      <c r="AI1034" s="96">
        <f t="shared" si="2767"/>
        <v>0</v>
      </c>
      <c r="AJ1034" s="96">
        <f t="shared" si="2768"/>
        <v>0</v>
      </c>
      <c r="AK1034" s="96"/>
      <c r="AL1034" s="96">
        <f t="shared" si="2769"/>
        <v>0</v>
      </c>
      <c r="AM1034" s="96"/>
      <c r="AN1034" s="96">
        <f t="shared" si="2770"/>
        <v>0</v>
      </c>
      <c r="AO1034" s="96"/>
      <c r="AP1034" s="96">
        <f t="shared" si="2771"/>
        <v>0</v>
      </c>
      <c r="AQ1034" s="96">
        <f t="shared" si="2772"/>
        <v>0</v>
      </c>
      <c r="AR1034" s="96">
        <f t="shared" si="2773"/>
        <v>0</v>
      </c>
      <c r="AS1034" s="96"/>
      <c r="AT1034" s="96">
        <f t="shared" si="2774"/>
        <v>0</v>
      </c>
      <c r="AU1034" s="96"/>
      <c r="AV1034" s="96">
        <f t="shared" si="2775"/>
        <v>0</v>
      </c>
      <c r="AW1034" s="96"/>
      <c r="AX1034" s="96">
        <f t="shared" si="2776"/>
        <v>0</v>
      </c>
      <c r="AY1034" s="96">
        <f t="shared" si="2777"/>
        <v>0</v>
      </c>
      <c r="AZ1034" s="96">
        <f t="shared" si="2778"/>
        <v>0</v>
      </c>
      <c r="BA1034" s="96">
        <f t="shared" si="2779"/>
        <v>0</v>
      </c>
      <c r="BB1034" s="96">
        <f t="shared" si="2780"/>
        <v>0</v>
      </c>
    </row>
    <row r="1035" spans="1:54">
      <c r="A1035" s="492">
        <v>634</v>
      </c>
      <c r="B1035" s="13"/>
      <c r="C1035" s="299"/>
      <c r="D1035" s="13" t="s">
        <v>366</v>
      </c>
      <c r="E1035" s="21" t="s">
        <v>1218</v>
      </c>
      <c r="F1035" s="45" t="s">
        <v>235</v>
      </c>
      <c r="G1035" s="45" t="s">
        <v>1059</v>
      </c>
      <c r="H1035" s="265" t="s">
        <v>359</v>
      </c>
      <c r="I1035" s="54">
        <v>5.74</v>
      </c>
      <c r="J1035" s="162"/>
      <c r="K1035" s="54">
        <v>5.74</v>
      </c>
      <c r="L1035" s="162"/>
      <c r="M1035" s="54"/>
      <c r="N1035" s="162"/>
      <c r="O1035" s="54"/>
      <c r="P1035" s="162"/>
      <c r="Q1035" s="96">
        <f t="shared" si="2755"/>
        <v>0</v>
      </c>
      <c r="R1035" s="337">
        <f t="shared" si="2756"/>
        <v>0</v>
      </c>
      <c r="S1035" s="96"/>
      <c r="T1035" s="96">
        <f t="shared" si="2757"/>
        <v>0</v>
      </c>
      <c r="U1035" s="96"/>
      <c r="V1035" s="96">
        <f t="shared" si="2758"/>
        <v>0</v>
      </c>
      <c r="W1035" s="96"/>
      <c r="X1035" s="96">
        <f t="shared" si="2759"/>
        <v>0</v>
      </c>
      <c r="Y1035" s="96">
        <f t="shared" si="2760"/>
        <v>0</v>
      </c>
      <c r="Z1035" s="96">
        <f t="shared" si="2761"/>
        <v>0</v>
      </c>
      <c r="AA1035" s="96"/>
      <c r="AB1035" s="96">
        <f t="shared" si="2762"/>
        <v>0</v>
      </c>
      <c r="AC1035" s="96"/>
      <c r="AD1035" s="96">
        <f t="shared" si="2763"/>
        <v>0</v>
      </c>
      <c r="AE1035" s="96"/>
      <c r="AF1035" s="96">
        <f t="shared" si="2764"/>
        <v>0</v>
      </c>
      <c r="AG1035" s="96">
        <f t="shared" si="2765"/>
        <v>0</v>
      </c>
      <c r="AH1035" s="96">
        <f t="shared" si="2766"/>
        <v>0</v>
      </c>
      <c r="AI1035" s="96">
        <f t="shared" si="2767"/>
        <v>0</v>
      </c>
      <c r="AJ1035" s="96">
        <f t="shared" si="2768"/>
        <v>0</v>
      </c>
      <c r="AK1035" s="96"/>
      <c r="AL1035" s="96">
        <f t="shared" si="2769"/>
        <v>0</v>
      </c>
      <c r="AM1035" s="96"/>
      <c r="AN1035" s="96">
        <f t="shared" si="2770"/>
        <v>0</v>
      </c>
      <c r="AO1035" s="96"/>
      <c r="AP1035" s="96">
        <f t="shared" si="2771"/>
        <v>0</v>
      </c>
      <c r="AQ1035" s="96">
        <f t="shared" si="2772"/>
        <v>0</v>
      </c>
      <c r="AR1035" s="96">
        <f t="shared" si="2773"/>
        <v>0</v>
      </c>
      <c r="AS1035" s="96"/>
      <c r="AT1035" s="96">
        <f t="shared" si="2774"/>
        <v>0</v>
      </c>
      <c r="AU1035" s="96"/>
      <c r="AV1035" s="96">
        <f t="shared" si="2775"/>
        <v>0</v>
      </c>
      <c r="AW1035" s="96"/>
      <c r="AX1035" s="96">
        <f t="shared" si="2776"/>
        <v>0</v>
      </c>
      <c r="AY1035" s="96">
        <f t="shared" si="2777"/>
        <v>0</v>
      </c>
      <c r="AZ1035" s="96">
        <f t="shared" si="2778"/>
        <v>0</v>
      </c>
      <c r="BA1035" s="96">
        <f t="shared" si="2779"/>
        <v>0</v>
      </c>
      <c r="BB1035" s="96">
        <f t="shared" si="2780"/>
        <v>0</v>
      </c>
    </row>
    <row r="1036" spans="1:54">
      <c r="A1036" s="492">
        <v>634</v>
      </c>
      <c r="B1036" s="13"/>
      <c r="C1036" s="299"/>
      <c r="D1036" s="13" t="s">
        <v>366</v>
      </c>
      <c r="E1036" s="21" t="s">
        <v>2207</v>
      </c>
      <c r="F1036" s="45" t="s">
        <v>235</v>
      </c>
      <c r="G1036" s="45" t="s">
        <v>1059</v>
      </c>
      <c r="H1036" s="265" t="s">
        <v>359</v>
      </c>
      <c r="I1036" s="54">
        <v>5.51</v>
      </c>
      <c r="J1036" s="162"/>
      <c r="K1036" s="54">
        <v>5.51</v>
      </c>
      <c r="L1036" s="162"/>
      <c r="M1036" s="54"/>
      <c r="N1036" s="162"/>
      <c r="O1036" s="54"/>
      <c r="P1036" s="162"/>
      <c r="Q1036" s="96">
        <f t="shared" ref="Q1036" si="2781">SUM(AI1036+BA1036)</f>
        <v>0</v>
      </c>
      <c r="R1036" s="337">
        <f t="shared" ref="R1036" si="2782">SUM(AJ1036+BB1036)</f>
        <v>0</v>
      </c>
      <c r="S1036" s="96"/>
      <c r="T1036" s="96">
        <f t="shared" ref="T1036" si="2783">I1036*S1036*$T$2/1000</f>
        <v>0</v>
      </c>
      <c r="U1036" s="96"/>
      <c r="V1036" s="96">
        <f t="shared" ref="V1036" si="2784">I1036*U1036*$V$2/1000</f>
        <v>0</v>
      </c>
      <c r="W1036" s="96"/>
      <c r="X1036" s="96">
        <f t="shared" ref="X1036" si="2785">I1036*W1036*$X$2/1000</f>
        <v>0</v>
      </c>
      <c r="Y1036" s="96">
        <f t="shared" ref="Y1036" si="2786">SUM(S1036+U1036+W1036)</f>
        <v>0</v>
      </c>
      <c r="Z1036" s="96">
        <f t="shared" ref="Z1036" si="2787">SUM(T1036+V1036+X1036)</f>
        <v>0</v>
      </c>
      <c r="AA1036" s="96"/>
      <c r="AB1036" s="96">
        <f t="shared" ref="AB1036" si="2788">K1036*AA1036*$AB$2/1000</f>
        <v>0</v>
      </c>
      <c r="AC1036" s="96"/>
      <c r="AD1036" s="96">
        <f t="shared" ref="AD1036" si="2789">K1036*AC1036*$AD$2/1000</f>
        <v>0</v>
      </c>
      <c r="AE1036" s="96"/>
      <c r="AF1036" s="96">
        <f t="shared" ref="AF1036" si="2790">K1036*AE1036*$AF$2/1000</f>
        <v>0</v>
      </c>
      <c r="AG1036" s="96">
        <f t="shared" ref="AG1036" si="2791">SUM(AA1036+AC1036+AE1036)</f>
        <v>0</v>
      </c>
      <c r="AH1036" s="96">
        <f t="shared" ref="AH1036" si="2792">SUM(AB1036+AD1036+AF1036)</f>
        <v>0</v>
      </c>
      <c r="AI1036" s="96">
        <f t="shared" ref="AI1036" si="2793">SUM(Y1036+AG1036)</f>
        <v>0</v>
      </c>
      <c r="AJ1036" s="96">
        <f t="shared" ref="AJ1036" si="2794">SUM(Z1036,AH1036)</f>
        <v>0</v>
      </c>
      <c r="AK1036" s="96"/>
      <c r="AL1036" s="96">
        <f t="shared" ref="AL1036" si="2795">M1036*AK1036*$AL$2/1000</f>
        <v>0</v>
      </c>
      <c r="AM1036" s="96"/>
      <c r="AN1036" s="96">
        <f t="shared" ref="AN1036" si="2796">M1036*AM1036*$AN$2/1000</f>
        <v>0</v>
      </c>
      <c r="AO1036" s="96"/>
      <c r="AP1036" s="96">
        <f t="shared" ref="AP1036" si="2797">M1036*AO1036*$AP$2/1000</f>
        <v>0</v>
      </c>
      <c r="AQ1036" s="96">
        <f t="shared" ref="AQ1036" si="2798">SUM(AK1036+AM1036+AO1036)</f>
        <v>0</v>
      </c>
      <c r="AR1036" s="96">
        <f t="shared" ref="AR1036" si="2799">SUM(AL1036+AN1036+AP1036)</f>
        <v>0</v>
      </c>
      <c r="AS1036" s="96"/>
      <c r="AT1036" s="96">
        <f t="shared" ref="AT1036" si="2800">O1036*AS1036*$AT$2/1000</f>
        <v>0</v>
      </c>
      <c r="AU1036" s="96"/>
      <c r="AV1036" s="96">
        <f t="shared" ref="AV1036" si="2801">O1036*AU1036*$AV$2/1000</f>
        <v>0</v>
      </c>
      <c r="AW1036" s="96"/>
      <c r="AX1036" s="96">
        <f t="shared" ref="AX1036" si="2802">O1036*AW1036*$AX$2/1000</f>
        <v>0</v>
      </c>
      <c r="AY1036" s="96">
        <f t="shared" ref="AY1036" si="2803">SUM(AS1036+AU1036+AW1036)</f>
        <v>0</v>
      </c>
      <c r="AZ1036" s="96">
        <f t="shared" ref="AZ1036" si="2804">SUM(AT1036+AV1036+AX1036)</f>
        <v>0</v>
      </c>
      <c r="BA1036" s="96">
        <f t="shared" ref="BA1036" si="2805">SUM(AQ1036+AY1036)</f>
        <v>0</v>
      </c>
      <c r="BB1036" s="96">
        <f t="shared" ref="BB1036" si="2806">SUM(AR1036,AZ1036)</f>
        <v>0</v>
      </c>
    </row>
    <row r="1037" spans="1:54">
      <c r="A1037" s="492">
        <v>635</v>
      </c>
      <c r="B1037" s="13"/>
      <c r="C1037" s="299"/>
      <c r="D1037" s="13" t="s">
        <v>558</v>
      </c>
      <c r="E1037" s="21" t="s">
        <v>1438</v>
      </c>
      <c r="F1037" s="45" t="s">
        <v>373</v>
      </c>
      <c r="G1037" s="45" t="s">
        <v>1059</v>
      </c>
      <c r="H1037" s="265" t="s">
        <v>428</v>
      </c>
      <c r="I1037" s="54">
        <v>5.74</v>
      </c>
      <c r="J1037" s="162"/>
      <c r="K1037" s="54">
        <v>5.74</v>
      </c>
      <c r="L1037" s="162"/>
      <c r="M1037" s="54"/>
      <c r="N1037" s="162"/>
      <c r="O1037" s="54"/>
      <c r="P1037" s="162"/>
      <c r="Q1037" s="96">
        <f t="shared" si="2755"/>
        <v>0</v>
      </c>
      <c r="R1037" s="337">
        <f t="shared" si="2756"/>
        <v>0</v>
      </c>
      <c r="S1037" s="96"/>
      <c r="T1037" s="96">
        <f t="shared" si="2757"/>
        <v>0</v>
      </c>
      <c r="U1037" s="96"/>
      <c r="V1037" s="96">
        <f t="shared" si="2758"/>
        <v>0</v>
      </c>
      <c r="W1037" s="96"/>
      <c r="X1037" s="96">
        <f t="shared" si="2759"/>
        <v>0</v>
      </c>
      <c r="Y1037" s="96">
        <f t="shared" si="2760"/>
        <v>0</v>
      </c>
      <c r="Z1037" s="96">
        <f t="shared" si="2761"/>
        <v>0</v>
      </c>
      <c r="AA1037" s="96"/>
      <c r="AB1037" s="96">
        <f t="shared" si="2762"/>
        <v>0</v>
      </c>
      <c r="AC1037" s="96"/>
      <c r="AD1037" s="96">
        <f t="shared" si="2763"/>
        <v>0</v>
      </c>
      <c r="AE1037" s="96"/>
      <c r="AF1037" s="96">
        <f t="shared" si="2764"/>
        <v>0</v>
      </c>
      <c r="AG1037" s="96">
        <f t="shared" si="2765"/>
        <v>0</v>
      </c>
      <c r="AH1037" s="96">
        <f t="shared" si="2766"/>
        <v>0</v>
      </c>
      <c r="AI1037" s="96">
        <f t="shared" si="2767"/>
        <v>0</v>
      </c>
      <c r="AJ1037" s="96">
        <f t="shared" si="2768"/>
        <v>0</v>
      </c>
      <c r="AK1037" s="96"/>
      <c r="AL1037" s="96">
        <f t="shared" si="2769"/>
        <v>0</v>
      </c>
      <c r="AM1037" s="96"/>
      <c r="AN1037" s="96">
        <f t="shared" si="2770"/>
        <v>0</v>
      </c>
      <c r="AO1037" s="96"/>
      <c r="AP1037" s="96">
        <f t="shared" ref="AP1037:AP1042" si="2807">O1037*AO1037*$AP$2/1000</f>
        <v>0</v>
      </c>
      <c r="AQ1037" s="96">
        <f t="shared" si="2772"/>
        <v>0</v>
      </c>
      <c r="AR1037" s="96">
        <f t="shared" si="2773"/>
        <v>0</v>
      </c>
      <c r="AS1037" s="96"/>
      <c r="AT1037" s="96">
        <f t="shared" si="2774"/>
        <v>0</v>
      </c>
      <c r="AU1037" s="96"/>
      <c r="AV1037" s="96">
        <f t="shared" si="2775"/>
        <v>0</v>
      </c>
      <c r="AW1037" s="96"/>
      <c r="AX1037" s="96">
        <f t="shared" si="2776"/>
        <v>0</v>
      </c>
      <c r="AY1037" s="96">
        <f t="shared" si="2777"/>
        <v>0</v>
      </c>
      <c r="AZ1037" s="96">
        <f t="shared" si="2778"/>
        <v>0</v>
      </c>
      <c r="BA1037" s="96">
        <f t="shared" si="2779"/>
        <v>0</v>
      </c>
      <c r="BB1037" s="96">
        <f t="shared" si="2780"/>
        <v>0</v>
      </c>
    </row>
    <row r="1038" spans="1:54">
      <c r="A1038" s="492">
        <v>636</v>
      </c>
      <c r="B1038" s="13"/>
      <c r="C1038" s="299"/>
      <c r="D1038" s="13" t="s">
        <v>559</v>
      </c>
      <c r="E1038" s="21" t="s">
        <v>1439</v>
      </c>
      <c r="F1038" s="45" t="s">
        <v>373</v>
      </c>
      <c r="G1038" s="45" t="s">
        <v>1059</v>
      </c>
      <c r="H1038" s="265" t="s">
        <v>428</v>
      </c>
      <c r="I1038" s="54">
        <v>5.74</v>
      </c>
      <c r="J1038" s="162"/>
      <c r="K1038" s="54">
        <v>5.74</v>
      </c>
      <c r="L1038" s="162"/>
      <c r="M1038" s="54"/>
      <c r="N1038" s="162"/>
      <c r="O1038" s="54"/>
      <c r="P1038" s="162"/>
      <c r="Q1038" s="96">
        <f t="shared" si="2755"/>
        <v>0</v>
      </c>
      <c r="R1038" s="337">
        <f t="shared" si="2756"/>
        <v>0</v>
      </c>
      <c r="S1038" s="96"/>
      <c r="T1038" s="96">
        <f t="shared" si="2757"/>
        <v>0</v>
      </c>
      <c r="U1038" s="96"/>
      <c r="V1038" s="96">
        <f t="shared" si="2758"/>
        <v>0</v>
      </c>
      <c r="W1038" s="96"/>
      <c r="X1038" s="96">
        <f t="shared" si="2759"/>
        <v>0</v>
      </c>
      <c r="Y1038" s="96">
        <f t="shared" si="2760"/>
        <v>0</v>
      </c>
      <c r="Z1038" s="96">
        <f t="shared" si="2761"/>
        <v>0</v>
      </c>
      <c r="AA1038" s="96"/>
      <c r="AB1038" s="96">
        <f t="shared" si="2762"/>
        <v>0</v>
      </c>
      <c r="AC1038" s="96"/>
      <c r="AD1038" s="96">
        <f t="shared" si="2763"/>
        <v>0</v>
      </c>
      <c r="AE1038" s="96"/>
      <c r="AF1038" s="96">
        <f t="shared" si="2764"/>
        <v>0</v>
      </c>
      <c r="AG1038" s="96">
        <f t="shared" si="2765"/>
        <v>0</v>
      </c>
      <c r="AH1038" s="96">
        <f t="shared" si="2766"/>
        <v>0</v>
      </c>
      <c r="AI1038" s="96">
        <f t="shared" si="2767"/>
        <v>0</v>
      </c>
      <c r="AJ1038" s="96">
        <f t="shared" si="2768"/>
        <v>0</v>
      </c>
      <c r="AK1038" s="96"/>
      <c r="AL1038" s="96">
        <f t="shared" si="2769"/>
        <v>0</v>
      </c>
      <c r="AM1038" s="96"/>
      <c r="AN1038" s="96">
        <f t="shared" si="2770"/>
        <v>0</v>
      </c>
      <c r="AO1038" s="96"/>
      <c r="AP1038" s="96">
        <f t="shared" si="2807"/>
        <v>0</v>
      </c>
      <c r="AQ1038" s="96">
        <f t="shared" si="2772"/>
        <v>0</v>
      </c>
      <c r="AR1038" s="96">
        <f t="shared" si="2773"/>
        <v>0</v>
      </c>
      <c r="AS1038" s="96"/>
      <c r="AT1038" s="96">
        <f t="shared" si="2774"/>
        <v>0</v>
      </c>
      <c r="AU1038" s="96"/>
      <c r="AV1038" s="96">
        <f t="shared" si="2775"/>
        <v>0</v>
      </c>
      <c r="AW1038" s="96"/>
      <c r="AX1038" s="96">
        <f t="shared" si="2776"/>
        <v>0</v>
      </c>
      <c r="AY1038" s="96">
        <f t="shared" si="2777"/>
        <v>0</v>
      </c>
      <c r="AZ1038" s="96">
        <f t="shared" si="2778"/>
        <v>0</v>
      </c>
      <c r="BA1038" s="96">
        <f t="shared" si="2779"/>
        <v>0</v>
      </c>
      <c r="BB1038" s="96">
        <f t="shared" si="2780"/>
        <v>0</v>
      </c>
    </row>
    <row r="1039" spans="1:54">
      <c r="A1039" s="492">
        <v>636</v>
      </c>
      <c r="B1039" s="13"/>
      <c r="C1039" s="299"/>
      <c r="D1039" s="13" t="s">
        <v>559</v>
      </c>
      <c r="E1039" s="21" t="s">
        <v>1440</v>
      </c>
      <c r="F1039" s="45" t="s">
        <v>373</v>
      </c>
      <c r="G1039" s="45" t="s">
        <v>1059</v>
      </c>
      <c r="H1039" s="265" t="s">
        <v>428</v>
      </c>
      <c r="I1039" s="54">
        <v>5.74</v>
      </c>
      <c r="J1039" s="162"/>
      <c r="K1039" s="54">
        <v>5.74</v>
      </c>
      <c r="L1039" s="162"/>
      <c r="M1039" s="54"/>
      <c r="N1039" s="162"/>
      <c r="O1039" s="54"/>
      <c r="P1039" s="162"/>
      <c r="Q1039" s="96">
        <f t="shared" si="2755"/>
        <v>0</v>
      </c>
      <c r="R1039" s="337">
        <f t="shared" si="2756"/>
        <v>0</v>
      </c>
      <c r="S1039" s="96"/>
      <c r="T1039" s="96">
        <f t="shared" si="2757"/>
        <v>0</v>
      </c>
      <c r="U1039" s="96"/>
      <c r="V1039" s="96">
        <f t="shared" si="2758"/>
        <v>0</v>
      </c>
      <c r="W1039" s="96"/>
      <c r="X1039" s="96">
        <f t="shared" si="2759"/>
        <v>0</v>
      </c>
      <c r="Y1039" s="96">
        <f t="shared" si="2760"/>
        <v>0</v>
      </c>
      <c r="Z1039" s="96">
        <f t="shared" si="2761"/>
        <v>0</v>
      </c>
      <c r="AA1039" s="96"/>
      <c r="AB1039" s="96">
        <f t="shared" si="2762"/>
        <v>0</v>
      </c>
      <c r="AC1039" s="96"/>
      <c r="AD1039" s="96">
        <f t="shared" si="2763"/>
        <v>0</v>
      </c>
      <c r="AE1039" s="96"/>
      <c r="AF1039" s="96">
        <f t="shared" si="2764"/>
        <v>0</v>
      </c>
      <c r="AG1039" s="96">
        <f t="shared" si="2765"/>
        <v>0</v>
      </c>
      <c r="AH1039" s="96">
        <f t="shared" si="2766"/>
        <v>0</v>
      </c>
      <c r="AI1039" s="96">
        <f t="shared" si="2767"/>
        <v>0</v>
      </c>
      <c r="AJ1039" s="96">
        <f t="shared" si="2768"/>
        <v>0</v>
      </c>
      <c r="AK1039" s="96"/>
      <c r="AL1039" s="96">
        <f t="shared" si="2769"/>
        <v>0</v>
      </c>
      <c r="AM1039" s="96"/>
      <c r="AN1039" s="96">
        <f t="shared" si="2770"/>
        <v>0</v>
      </c>
      <c r="AO1039" s="96"/>
      <c r="AP1039" s="96">
        <f t="shared" si="2807"/>
        <v>0</v>
      </c>
      <c r="AQ1039" s="96">
        <f t="shared" si="2772"/>
        <v>0</v>
      </c>
      <c r="AR1039" s="96">
        <f t="shared" si="2773"/>
        <v>0</v>
      </c>
      <c r="AS1039" s="96"/>
      <c r="AT1039" s="96">
        <f t="shared" si="2774"/>
        <v>0</v>
      </c>
      <c r="AU1039" s="96"/>
      <c r="AV1039" s="96">
        <f t="shared" si="2775"/>
        <v>0</v>
      </c>
      <c r="AW1039" s="96"/>
      <c r="AX1039" s="96">
        <f t="shared" si="2776"/>
        <v>0</v>
      </c>
      <c r="AY1039" s="96">
        <f t="shared" si="2777"/>
        <v>0</v>
      </c>
      <c r="AZ1039" s="96">
        <f t="shared" si="2778"/>
        <v>0</v>
      </c>
      <c r="BA1039" s="96">
        <f t="shared" si="2779"/>
        <v>0</v>
      </c>
      <c r="BB1039" s="96">
        <f t="shared" si="2780"/>
        <v>0</v>
      </c>
    </row>
    <row r="1040" spans="1:54">
      <c r="A1040" s="492">
        <v>637</v>
      </c>
      <c r="B1040" s="13"/>
      <c r="C1040" s="299"/>
      <c r="D1040" s="13" t="s">
        <v>551</v>
      </c>
      <c r="E1040" s="21" t="s">
        <v>609</v>
      </c>
      <c r="F1040" s="45" t="s">
        <v>373</v>
      </c>
      <c r="G1040" s="45" t="s">
        <v>1059</v>
      </c>
      <c r="H1040" s="265" t="s">
        <v>428</v>
      </c>
      <c r="I1040" s="54">
        <v>6.04</v>
      </c>
      <c r="J1040" s="162"/>
      <c r="K1040" s="54">
        <v>6.04</v>
      </c>
      <c r="L1040" s="162"/>
      <c r="M1040" s="54"/>
      <c r="N1040" s="162"/>
      <c r="O1040" s="54"/>
      <c r="P1040" s="162"/>
      <c r="Q1040" s="96">
        <f t="shared" si="2755"/>
        <v>0</v>
      </c>
      <c r="R1040" s="337">
        <f t="shared" si="2756"/>
        <v>0</v>
      </c>
      <c r="S1040" s="96"/>
      <c r="T1040" s="96">
        <f t="shared" si="2757"/>
        <v>0</v>
      </c>
      <c r="U1040" s="96"/>
      <c r="V1040" s="96">
        <f t="shared" si="2758"/>
        <v>0</v>
      </c>
      <c r="W1040" s="96"/>
      <c r="X1040" s="96">
        <f t="shared" si="2759"/>
        <v>0</v>
      </c>
      <c r="Y1040" s="96">
        <f t="shared" si="2760"/>
        <v>0</v>
      </c>
      <c r="Z1040" s="96">
        <f t="shared" si="2761"/>
        <v>0</v>
      </c>
      <c r="AA1040" s="96"/>
      <c r="AB1040" s="96">
        <f t="shared" si="2762"/>
        <v>0</v>
      </c>
      <c r="AC1040" s="96"/>
      <c r="AD1040" s="96">
        <f t="shared" si="2763"/>
        <v>0</v>
      </c>
      <c r="AE1040" s="96"/>
      <c r="AF1040" s="96">
        <f t="shared" si="2764"/>
        <v>0</v>
      </c>
      <c r="AG1040" s="96">
        <f t="shared" si="2765"/>
        <v>0</v>
      </c>
      <c r="AH1040" s="96">
        <f t="shared" si="2766"/>
        <v>0</v>
      </c>
      <c r="AI1040" s="96">
        <f t="shared" si="2767"/>
        <v>0</v>
      </c>
      <c r="AJ1040" s="96">
        <f t="shared" si="2768"/>
        <v>0</v>
      </c>
      <c r="AK1040" s="96"/>
      <c r="AL1040" s="96">
        <f t="shared" si="2769"/>
        <v>0</v>
      </c>
      <c r="AM1040" s="96"/>
      <c r="AN1040" s="96">
        <f t="shared" si="2770"/>
        <v>0</v>
      </c>
      <c r="AO1040" s="96"/>
      <c r="AP1040" s="96">
        <f t="shared" si="2807"/>
        <v>0</v>
      </c>
      <c r="AQ1040" s="96">
        <f t="shared" si="2772"/>
        <v>0</v>
      </c>
      <c r="AR1040" s="96">
        <f t="shared" si="2773"/>
        <v>0</v>
      </c>
      <c r="AS1040" s="96"/>
      <c r="AT1040" s="96">
        <f t="shared" si="2774"/>
        <v>0</v>
      </c>
      <c r="AU1040" s="96"/>
      <c r="AV1040" s="96">
        <f t="shared" si="2775"/>
        <v>0</v>
      </c>
      <c r="AW1040" s="96"/>
      <c r="AX1040" s="96">
        <f t="shared" si="2776"/>
        <v>0</v>
      </c>
      <c r="AY1040" s="96">
        <f t="shared" si="2777"/>
        <v>0</v>
      </c>
      <c r="AZ1040" s="96">
        <f t="shared" si="2778"/>
        <v>0</v>
      </c>
      <c r="BA1040" s="96">
        <f t="shared" si="2779"/>
        <v>0</v>
      </c>
      <c r="BB1040" s="96">
        <f t="shared" si="2780"/>
        <v>0</v>
      </c>
    </row>
    <row r="1041" spans="1:54">
      <c r="A1041" s="492">
        <v>638</v>
      </c>
      <c r="B1041" s="13"/>
      <c r="C1041" s="299"/>
      <c r="D1041" s="13" t="s">
        <v>712</v>
      </c>
      <c r="E1041" s="21" t="s">
        <v>713</v>
      </c>
      <c r="F1041" s="45" t="s">
        <v>368</v>
      </c>
      <c r="G1041" s="45" t="s">
        <v>1059</v>
      </c>
      <c r="H1041" s="265" t="s">
        <v>360</v>
      </c>
      <c r="I1041" s="54">
        <v>6.04</v>
      </c>
      <c r="J1041" s="162"/>
      <c r="K1041" s="54">
        <v>6.04</v>
      </c>
      <c r="L1041" s="162"/>
      <c r="M1041" s="54"/>
      <c r="N1041" s="162"/>
      <c r="O1041" s="54"/>
      <c r="P1041" s="162"/>
      <c r="Q1041" s="96">
        <f t="shared" si="2755"/>
        <v>0</v>
      </c>
      <c r="R1041" s="337">
        <f t="shared" si="2756"/>
        <v>0</v>
      </c>
      <c r="S1041" s="96"/>
      <c r="T1041" s="96">
        <f t="shared" si="2757"/>
        <v>0</v>
      </c>
      <c r="U1041" s="96"/>
      <c r="V1041" s="96">
        <f t="shared" si="2758"/>
        <v>0</v>
      </c>
      <c r="W1041" s="96"/>
      <c r="X1041" s="96">
        <f t="shared" si="2759"/>
        <v>0</v>
      </c>
      <c r="Y1041" s="96">
        <f t="shared" si="2760"/>
        <v>0</v>
      </c>
      <c r="Z1041" s="96">
        <f t="shared" si="2761"/>
        <v>0</v>
      </c>
      <c r="AA1041" s="96"/>
      <c r="AB1041" s="96">
        <f t="shared" si="2762"/>
        <v>0</v>
      </c>
      <c r="AC1041" s="96"/>
      <c r="AD1041" s="96">
        <f t="shared" si="2763"/>
        <v>0</v>
      </c>
      <c r="AE1041" s="96"/>
      <c r="AF1041" s="96">
        <f t="shared" si="2764"/>
        <v>0</v>
      </c>
      <c r="AG1041" s="96">
        <f t="shared" si="2765"/>
        <v>0</v>
      </c>
      <c r="AH1041" s="96">
        <f t="shared" si="2766"/>
        <v>0</v>
      </c>
      <c r="AI1041" s="96">
        <f t="shared" si="2767"/>
        <v>0</v>
      </c>
      <c r="AJ1041" s="96">
        <f t="shared" si="2768"/>
        <v>0</v>
      </c>
      <c r="AK1041" s="96"/>
      <c r="AL1041" s="96">
        <f t="shared" si="2769"/>
        <v>0</v>
      </c>
      <c r="AM1041" s="96"/>
      <c r="AN1041" s="96">
        <f t="shared" si="2770"/>
        <v>0</v>
      </c>
      <c r="AO1041" s="96"/>
      <c r="AP1041" s="96">
        <f t="shared" si="2807"/>
        <v>0</v>
      </c>
      <c r="AQ1041" s="96">
        <f t="shared" si="2772"/>
        <v>0</v>
      </c>
      <c r="AR1041" s="96">
        <f t="shared" si="2773"/>
        <v>0</v>
      </c>
      <c r="AS1041" s="96"/>
      <c r="AT1041" s="96">
        <f t="shared" si="2774"/>
        <v>0</v>
      </c>
      <c r="AU1041" s="96"/>
      <c r="AV1041" s="96">
        <f t="shared" si="2775"/>
        <v>0</v>
      </c>
      <c r="AW1041" s="96"/>
      <c r="AX1041" s="96">
        <f t="shared" si="2776"/>
        <v>0</v>
      </c>
      <c r="AY1041" s="96">
        <f t="shared" si="2777"/>
        <v>0</v>
      </c>
      <c r="AZ1041" s="96">
        <f t="shared" si="2778"/>
        <v>0</v>
      </c>
      <c r="BA1041" s="96">
        <f t="shared" si="2779"/>
        <v>0</v>
      </c>
      <c r="BB1041" s="96">
        <f t="shared" si="2780"/>
        <v>0</v>
      </c>
    </row>
    <row r="1042" spans="1:54">
      <c r="A1042" s="492">
        <v>639</v>
      </c>
      <c r="B1042" s="13"/>
      <c r="C1042" s="299"/>
      <c r="D1042" s="13" t="s">
        <v>372</v>
      </c>
      <c r="E1042" s="21" t="s">
        <v>610</v>
      </c>
      <c r="F1042" s="45" t="s">
        <v>368</v>
      </c>
      <c r="G1042" s="45" t="s">
        <v>1059</v>
      </c>
      <c r="H1042" s="265" t="s">
        <v>360</v>
      </c>
      <c r="I1042" s="54">
        <v>6.04</v>
      </c>
      <c r="J1042" s="162"/>
      <c r="K1042" s="54">
        <v>6.04</v>
      </c>
      <c r="L1042" s="162"/>
      <c r="M1042" s="54"/>
      <c r="N1042" s="162"/>
      <c r="O1042" s="54"/>
      <c r="P1042" s="162"/>
      <c r="Q1042" s="96">
        <f t="shared" si="2755"/>
        <v>0</v>
      </c>
      <c r="R1042" s="337">
        <f t="shared" si="2756"/>
        <v>0</v>
      </c>
      <c r="S1042" s="96"/>
      <c r="T1042" s="96">
        <f t="shared" si="2757"/>
        <v>0</v>
      </c>
      <c r="U1042" s="96"/>
      <c r="V1042" s="96">
        <f t="shared" si="2758"/>
        <v>0</v>
      </c>
      <c r="W1042" s="96"/>
      <c r="X1042" s="96">
        <f t="shared" si="2759"/>
        <v>0</v>
      </c>
      <c r="Y1042" s="96">
        <f t="shared" si="2760"/>
        <v>0</v>
      </c>
      <c r="Z1042" s="96">
        <f t="shared" si="2761"/>
        <v>0</v>
      </c>
      <c r="AA1042" s="96"/>
      <c r="AB1042" s="96">
        <f t="shared" si="2762"/>
        <v>0</v>
      </c>
      <c r="AC1042" s="96"/>
      <c r="AD1042" s="96">
        <f t="shared" si="2763"/>
        <v>0</v>
      </c>
      <c r="AE1042" s="96"/>
      <c r="AF1042" s="96">
        <f t="shared" si="2764"/>
        <v>0</v>
      </c>
      <c r="AG1042" s="96">
        <f t="shared" si="2765"/>
        <v>0</v>
      </c>
      <c r="AH1042" s="96">
        <f t="shared" si="2766"/>
        <v>0</v>
      </c>
      <c r="AI1042" s="96">
        <f t="shared" si="2767"/>
        <v>0</v>
      </c>
      <c r="AJ1042" s="96">
        <f t="shared" si="2768"/>
        <v>0</v>
      </c>
      <c r="AK1042" s="96"/>
      <c r="AL1042" s="96">
        <f t="shared" si="2769"/>
        <v>0</v>
      </c>
      <c r="AM1042" s="96"/>
      <c r="AN1042" s="96">
        <f t="shared" si="2770"/>
        <v>0</v>
      </c>
      <c r="AO1042" s="96"/>
      <c r="AP1042" s="96">
        <f t="shared" si="2807"/>
        <v>0</v>
      </c>
      <c r="AQ1042" s="96">
        <f t="shared" si="2772"/>
        <v>0</v>
      </c>
      <c r="AR1042" s="96">
        <f t="shared" si="2773"/>
        <v>0</v>
      </c>
      <c r="AS1042" s="96"/>
      <c r="AT1042" s="96">
        <f t="shared" si="2774"/>
        <v>0</v>
      </c>
      <c r="AU1042" s="96"/>
      <c r="AV1042" s="96">
        <f t="shared" si="2775"/>
        <v>0</v>
      </c>
      <c r="AW1042" s="96"/>
      <c r="AX1042" s="96">
        <f t="shared" si="2776"/>
        <v>0</v>
      </c>
      <c r="AY1042" s="96">
        <f t="shared" si="2777"/>
        <v>0</v>
      </c>
      <c r="AZ1042" s="96">
        <f t="shared" si="2778"/>
        <v>0</v>
      </c>
      <c r="BA1042" s="96">
        <f t="shared" si="2779"/>
        <v>0</v>
      </c>
      <c r="BB1042" s="96">
        <f t="shared" si="2780"/>
        <v>0</v>
      </c>
    </row>
    <row r="1043" spans="1:54">
      <c r="A1043" s="492">
        <v>640</v>
      </c>
      <c r="B1043" s="13"/>
      <c r="C1043" s="299"/>
      <c r="D1043" s="13" t="s">
        <v>552</v>
      </c>
      <c r="E1043" s="21" t="s">
        <v>553</v>
      </c>
      <c r="F1043" s="45" t="s">
        <v>371</v>
      </c>
      <c r="G1043" s="45" t="s">
        <v>1059</v>
      </c>
      <c r="H1043" s="265" t="s">
        <v>428</v>
      </c>
      <c r="I1043" s="54">
        <v>6.04</v>
      </c>
      <c r="J1043" s="162"/>
      <c r="K1043" s="54">
        <v>6.04</v>
      </c>
      <c r="L1043" s="162"/>
      <c r="M1043" s="54"/>
      <c r="N1043" s="162"/>
      <c r="O1043" s="54"/>
      <c r="P1043" s="162"/>
      <c r="Q1043" s="96">
        <f t="shared" si="2755"/>
        <v>0</v>
      </c>
      <c r="R1043" s="337">
        <f t="shared" si="2756"/>
        <v>0</v>
      </c>
      <c r="S1043" s="96"/>
      <c r="T1043" s="96">
        <f t="shared" si="2757"/>
        <v>0</v>
      </c>
      <c r="U1043" s="96"/>
      <c r="V1043" s="96">
        <f t="shared" si="2758"/>
        <v>0</v>
      </c>
      <c r="W1043" s="96"/>
      <c r="X1043" s="96">
        <f t="shared" si="2759"/>
        <v>0</v>
      </c>
      <c r="Y1043" s="96">
        <f t="shared" si="2760"/>
        <v>0</v>
      </c>
      <c r="Z1043" s="96">
        <f t="shared" si="2761"/>
        <v>0</v>
      </c>
      <c r="AA1043" s="96"/>
      <c r="AB1043" s="96">
        <f t="shared" si="2762"/>
        <v>0</v>
      </c>
      <c r="AC1043" s="96"/>
      <c r="AD1043" s="96">
        <f t="shared" si="2763"/>
        <v>0</v>
      </c>
      <c r="AE1043" s="96"/>
      <c r="AF1043" s="96">
        <f t="shared" si="2764"/>
        <v>0</v>
      </c>
      <c r="AG1043" s="96">
        <f t="shared" si="2765"/>
        <v>0</v>
      </c>
      <c r="AH1043" s="96">
        <f t="shared" si="2766"/>
        <v>0</v>
      </c>
      <c r="AI1043" s="96">
        <f t="shared" si="2767"/>
        <v>0</v>
      </c>
      <c r="AJ1043" s="96">
        <f t="shared" si="2768"/>
        <v>0</v>
      </c>
      <c r="AK1043" s="96"/>
      <c r="AL1043" s="96">
        <f t="shared" si="2769"/>
        <v>0</v>
      </c>
      <c r="AM1043" s="96"/>
      <c r="AN1043" s="96">
        <f t="shared" si="2770"/>
        <v>0</v>
      </c>
      <c r="AO1043" s="96"/>
      <c r="AP1043" s="96">
        <f t="shared" ref="AP1043:AP1123" si="2808">M1043*AO1043*$AP$2/1000</f>
        <v>0</v>
      </c>
      <c r="AQ1043" s="96">
        <f t="shared" si="2772"/>
        <v>0</v>
      </c>
      <c r="AR1043" s="96">
        <f t="shared" si="2773"/>
        <v>0</v>
      </c>
      <c r="AS1043" s="96"/>
      <c r="AT1043" s="96">
        <f t="shared" si="2774"/>
        <v>0</v>
      </c>
      <c r="AU1043" s="96"/>
      <c r="AV1043" s="96">
        <f t="shared" si="2775"/>
        <v>0</v>
      </c>
      <c r="AW1043" s="96"/>
      <c r="AX1043" s="96">
        <f t="shared" si="2776"/>
        <v>0</v>
      </c>
      <c r="AY1043" s="96">
        <f t="shared" si="2777"/>
        <v>0</v>
      </c>
      <c r="AZ1043" s="96">
        <f t="shared" si="2778"/>
        <v>0</v>
      </c>
      <c r="BA1043" s="96">
        <f t="shared" si="2779"/>
        <v>0</v>
      </c>
      <c r="BB1043" s="96">
        <f t="shared" si="2780"/>
        <v>0</v>
      </c>
    </row>
    <row r="1044" spans="1:54">
      <c r="A1044" s="492">
        <v>641</v>
      </c>
      <c r="B1044" s="13"/>
      <c r="C1044" s="299"/>
      <c r="D1044" s="13" t="s">
        <v>646</v>
      </c>
      <c r="E1044" s="21" t="s">
        <v>645</v>
      </c>
      <c r="F1044" s="45" t="s">
        <v>373</v>
      </c>
      <c r="G1044" s="45" t="s">
        <v>1059</v>
      </c>
      <c r="H1044" s="265" t="s">
        <v>428</v>
      </c>
      <c r="I1044" s="54">
        <v>6.04</v>
      </c>
      <c r="J1044" s="162"/>
      <c r="K1044" s="54">
        <v>6.04</v>
      </c>
      <c r="L1044" s="162"/>
      <c r="M1044" s="54"/>
      <c r="N1044" s="162"/>
      <c r="O1044" s="54"/>
      <c r="P1044" s="162"/>
      <c r="Q1044" s="96">
        <f t="shared" si="2755"/>
        <v>0</v>
      </c>
      <c r="R1044" s="337">
        <f t="shared" si="2756"/>
        <v>0</v>
      </c>
      <c r="S1044" s="96"/>
      <c r="T1044" s="96">
        <f t="shared" si="2757"/>
        <v>0</v>
      </c>
      <c r="U1044" s="96"/>
      <c r="V1044" s="96">
        <f t="shared" si="2758"/>
        <v>0</v>
      </c>
      <c r="W1044" s="96"/>
      <c r="X1044" s="96">
        <f t="shared" si="2759"/>
        <v>0</v>
      </c>
      <c r="Y1044" s="96">
        <f t="shared" si="2760"/>
        <v>0</v>
      </c>
      <c r="Z1044" s="96">
        <f t="shared" si="2761"/>
        <v>0</v>
      </c>
      <c r="AA1044" s="96"/>
      <c r="AB1044" s="96">
        <f t="shared" si="2762"/>
        <v>0</v>
      </c>
      <c r="AC1044" s="96"/>
      <c r="AD1044" s="96">
        <f t="shared" si="2763"/>
        <v>0</v>
      </c>
      <c r="AE1044" s="96"/>
      <c r="AF1044" s="96">
        <f t="shared" si="2764"/>
        <v>0</v>
      </c>
      <c r="AG1044" s="96">
        <f t="shared" si="2765"/>
        <v>0</v>
      </c>
      <c r="AH1044" s="96">
        <f t="shared" si="2766"/>
        <v>0</v>
      </c>
      <c r="AI1044" s="96">
        <f t="shared" si="2767"/>
        <v>0</v>
      </c>
      <c r="AJ1044" s="96">
        <f t="shared" si="2768"/>
        <v>0</v>
      </c>
      <c r="AK1044" s="96"/>
      <c r="AL1044" s="96">
        <f t="shared" si="2769"/>
        <v>0</v>
      </c>
      <c r="AM1044" s="96"/>
      <c r="AN1044" s="96">
        <f t="shared" si="2770"/>
        <v>0</v>
      </c>
      <c r="AO1044" s="96"/>
      <c r="AP1044" s="96">
        <f t="shared" si="2808"/>
        <v>0</v>
      </c>
      <c r="AQ1044" s="96">
        <f t="shared" si="2772"/>
        <v>0</v>
      </c>
      <c r="AR1044" s="96">
        <f t="shared" si="2773"/>
        <v>0</v>
      </c>
      <c r="AS1044" s="96"/>
      <c r="AT1044" s="96">
        <f t="shared" si="2774"/>
        <v>0</v>
      </c>
      <c r="AU1044" s="96"/>
      <c r="AV1044" s="96">
        <f t="shared" si="2775"/>
        <v>0</v>
      </c>
      <c r="AW1044" s="96"/>
      <c r="AX1044" s="96">
        <f t="shared" si="2776"/>
        <v>0</v>
      </c>
      <c r="AY1044" s="96">
        <f t="shared" si="2777"/>
        <v>0</v>
      </c>
      <c r="AZ1044" s="96">
        <f t="shared" si="2778"/>
        <v>0</v>
      </c>
      <c r="BA1044" s="96">
        <f t="shared" si="2779"/>
        <v>0</v>
      </c>
      <c r="BB1044" s="96">
        <f t="shared" si="2780"/>
        <v>0</v>
      </c>
    </row>
    <row r="1045" spans="1:54">
      <c r="A1045" s="492">
        <v>642</v>
      </c>
      <c r="B1045" s="13"/>
      <c r="C1045" s="299"/>
      <c r="D1045" s="13" t="s">
        <v>366</v>
      </c>
      <c r="E1045" s="21" t="s">
        <v>1162</v>
      </c>
      <c r="F1045" s="45" t="s">
        <v>235</v>
      </c>
      <c r="G1045" s="45" t="s">
        <v>1059</v>
      </c>
      <c r="H1045" s="265" t="s">
        <v>359</v>
      </c>
      <c r="I1045" s="54">
        <v>6.28</v>
      </c>
      <c r="J1045" s="162"/>
      <c r="K1045" s="54">
        <v>6.28</v>
      </c>
      <c r="L1045" s="162"/>
      <c r="M1045" s="54"/>
      <c r="N1045" s="162"/>
      <c r="O1045" s="54"/>
      <c r="P1045" s="162"/>
      <c r="Q1045" s="96">
        <f t="shared" si="2755"/>
        <v>0</v>
      </c>
      <c r="R1045" s="337">
        <f t="shared" si="2756"/>
        <v>0</v>
      </c>
      <c r="S1045" s="96"/>
      <c r="T1045" s="96">
        <f t="shared" si="2757"/>
        <v>0</v>
      </c>
      <c r="U1045" s="96"/>
      <c r="V1045" s="96">
        <f t="shared" si="2758"/>
        <v>0</v>
      </c>
      <c r="W1045" s="96"/>
      <c r="X1045" s="96">
        <f t="shared" si="2759"/>
        <v>0</v>
      </c>
      <c r="Y1045" s="96">
        <f t="shared" si="2760"/>
        <v>0</v>
      </c>
      <c r="Z1045" s="96">
        <f t="shared" si="2761"/>
        <v>0</v>
      </c>
      <c r="AA1045" s="96"/>
      <c r="AB1045" s="96">
        <f t="shared" si="2762"/>
        <v>0</v>
      </c>
      <c r="AC1045" s="96"/>
      <c r="AD1045" s="96">
        <f t="shared" si="2763"/>
        <v>0</v>
      </c>
      <c r="AE1045" s="96"/>
      <c r="AF1045" s="96">
        <f t="shared" si="2764"/>
        <v>0</v>
      </c>
      <c r="AG1045" s="96">
        <f t="shared" si="2765"/>
        <v>0</v>
      </c>
      <c r="AH1045" s="96">
        <f t="shared" si="2766"/>
        <v>0</v>
      </c>
      <c r="AI1045" s="96">
        <f t="shared" si="2767"/>
        <v>0</v>
      </c>
      <c r="AJ1045" s="96">
        <f t="shared" si="2768"/>
        <v>0</v>
      </c>
      <c r="AK1045" s="96"/>
      <c r="AL1045" s="96">
        <f t="shared" si="2769"/>
        <v>0</v>
      </c>
      <c r="AM1045" s="96"/>
      <c r="AN1045" s="96">
        <f t="shared" si="2770"/>
        <v>0</v>
      </c>
      <c r="AO1045" s="96"/>
      <c r="AP1045" s="96">
        <f t="shared" si="2808"/>
        <v>0</v>
      </c>
      <c r="AQ1045" s="96">
        <f t="shared" si="2772"/>
        <v>0</v>
      </c>
      <c r="AR1045" s="96">
        <f t="shared" si="2773"/>
        <v>0</v>
      </c>
      <c r="AS1045" s="96"/>
      <c r="AT1045" s="96">
        <f t="shared" si="2774"/>
        <v>0</v>
      </c>
      <c r="AU1045" s="96"/>
      <c r="AV1045" s="96">
        <f t="shared" si="2775"/>
        <v>0</v>
      </c>
      <c r="AW1045" s="96"/>
      <c r="AX1045" s="96">
        <f t="shared" si="2776"/>
        <v>0</v>
      </c>
      <c r="AY1045" s="96">
        <f t="shared" si="2777"/>
        <v>0</v>
      </c>
      <c r="AZ1045" s="96">
        <f t="shared" si="2778"/>
        <v>0</v>
      </c>
      <c r="BA1045" s="96">
        <f t="shared" si="2779"/>
        <v>0</v>
      </c>
      <c r="BB1045" s="96">
        <f t="shared" si="2780"/>
        <v>0</v>
      </c>
    </row>
    <row r="1046" spans="1:54">
      <c r="A1046" s="492">
        <v>642</v>
      </c>
      <c r="B1046" s="13"/>
      <c r="C1046" s="299"/>
      <c r="D1046" s="13" t="s">
        <v>366</v>
      </c>
      <c r="E1046" s="21" t="s">
        <v>2559</v>
      </c>
      <c r="F1046" s="45" t="s">
        <v>235</v>
      </c>
      <c r="G1046" s="45" t="s">
        <v>1059</v>
      </c>
      <c r="H1046" s="265" t="s">
        <v>359</v>
      </c>
      <c r="I1046" s="54">
        <v>6.4</v>
      </c>
      <c r="J1046" s="162"/>
      <c r="K1046" s="54">
        <v>6.4</v>
      </c>
      <c r="L1046" s="162"/>
      <c r="M1046" s="54"/>
      <c r="N1046" s="162"/>
      <c r="O1046" s="54"/>
      <c r="P1046" s="162"/>
      <c r="Q1046" s="96">
        <f t="shared" ref="Q1046" si="2809">SUM(AI1046+BA1046)</f>
        <v>0.1</v>
      </c>
      <c r="R1046" s="337">
        <f t="shared" ref="R1046" si="2810">SUM(AJ1046+BB1046)</f>
        <v>0.96151680000000006</v>
      </c>
      <c r="S1046" s="96"/>
      <c r="T1046" s="96">
        <f t="shared" ref="T1046" si="2811">I1046*S1046*$T$2/1000</f>
        <v>0</v>
      </c>
      <c r="U1046" s="96"/>
      <c r="V1046" s="96">
        <f t="shared" ref="V1046" si="2812">I1046*U1046*$V$2/1000</f>
        <v>0</v>
      </c>
      <c r="W1046" s="96">
        <v>0.1</v>
      </c>
      <c r="X1046" s="96">
        <f t="shared" ref="X1046" si="2813">I1046*W1046*$X$2/1000</f>
        <v>0.96151680000000006</v>
      </c>
      <c r="Y1046" s="96">
        <f t="shared" ref="Y1046" si="2814">SUM(S1046+U1046+W1046)</f>
        <v>0.1</v>
      </c>
      <c r="Z1046" s="96">
        <f t="shared" ref="Z1046" si="2815">SUM(T1046+V1046+X1046)</f>
        <v>0.96151680000000006</v>
      </c>
      <c r="AA1046" s="96"/>
      <c r="AB1046" s="96">
        <f t="shared" ref="AB1046" si="2816">K1046*AA1046*$AB$2/1000</f>
        <v>0</v>
      </c>
      <c r="AC1046" s="96"/>
      <c r="AD1046" s="96">
        <f t="shared" ref="AD1046" si="2817">K1046*AC1046*$AD$2/1000</f>
        <v>0</v>
      </c>
      <c r="AE1046" s="96"/>
      <c r="AF1046" s="96">
        <f t="shared" ref="AF1046" si="2818">K1046*AE1046*$AF$2/1000</f>
        <v>0</v>
      </c>
      <c r="AG1046" s="96">
        <f t="shared" ref="AG1046" si="2819">SUM(AA1046+AC1046+AE1046)</f>
        <v>0</v>
      </c>
      <c r="AH1046" s="96">
        <f t="shared" ref="AH1046" si="2820">SUM(AB1046+AD1046+AF1046)</f>
        <v>0</v>
      </c>
      <c r="AI1046" s="96">
        <f t="shared" ref="AI1046" si="2821">SUM(Y1046+AG1046)</f>
        <v>0.1</v>
      </c>
      <c r="AJ1046" s="96">
        <f t="shared" ref="AJ1046" si="2822">SUM(Z1046,AH1046)</f>
        <v>0.96151680000000006</v>
      </c>
      <c r="AK1046" s="96"/>
      <c r="AL1046" s="96">
        <f t="shared" ref="AL1046" si="2823">M1046*AK1046*$AL$2/1000</f>
        <v>0</v>
      </c>
      <c r="AM1046" s="96"/>
      <c r="AN1046" s="96">
        <f t="shared" ref="AN1046" si="2824">M1046*AM1046*$AN$2/1000</f>
        <v>0</v>
      </c>
      <c r="AO1046" s="96"/>
      <c r="AP1046" s="96">
        <f t="shared" ref="AP1046" si="2825">M1046*AO1046*$AP$2/1000</f>
        <v>0</v>
      </c>
      <c r="AQ1046" s="96">
        <f t="shared" ref="AQ1046" si="2826">SUM(AK1046+AM1046+AO1046)</f>
        <v>0</v>
      </c>
      <c r="AR1046" s="96">
        <f t="shared" ref="AR1046" si="2827">SUM(AL1046+AN1046+AP1046)</f>
        <v>0</v>
      </c>
      <c r="AS1046" s="96"/>
      <c r="AT1046" s="96">
        <f t="shared" ref="AT1046" si="2828">O1046*AS1046*$AT$2/1000</f>
        <v>0</v>
      </c>
      <c r="AU1046" s="96"/>
      <c r="AV1046" s="96">
        <f t="shared" ref="AV1046" si="2829">O1046*AU1046*$AV$2/1000</f>
        <v>0</v>
      </c>
      <c r="AW1046" s="96"/>
      <c r="AX1046" s="96">
        <f t="shared" ref="AX1046" si="2830">O1046*AW1046*$AX$2/1000</f>
        <v>0</v>
      </c>
      <c r="AY1046" s="96">
        <f t="shared" ref="AY1046" si="2831">SUM(AS1046+AU1046+AW1046)</f>
        <v>0</v>
      </c>
      <c r="AZ1046" s="96">
        <f t="shared" ref="AZ1046" si="2832">SUM(AT1046+AV1046+AX1046)</f>
        <v>0</v>
      </c>
      <c r="BA1046" s="96">
        <f t="shared" ref="BA1046" si="2833">SUM(AQ1046+AY1046)</f>
        <v>0</v>
      </c>
      <c r="BB1046" s="96">
        <f t="shared" ref="BB1046" si="2834">SUM(AR1046,AZ1046)</f>
        <v>0</v>
      </c>
    </row>
    <row r="1047" spans="1:54">
      <c r="A1047" s="492">
        <v>643</v>
      </c>
      <c r="B1047" s="13"/>
      <c r="C1047" s="299"/>
      <c r="D1047" s="13" t="s">
        <v>864</v>
      </c>
      <c r="E1047" s="21" t="s">
        <v>1344</v>
      </c>
      <c r="F1047" s="45" t="s">
        <v>373</v>
      </c>
      <c r="G1047" s="45" t="s">
        <v>1059</v>
      </c>
      <c r="H1047" s="265" t="s">
        <v>428</v>
      </c>
      <c r="I1047" s="54">
        <v>6.53</v>
      </c>
      <c r="J1047" s="162"/>
      <c r="K1047" s="54">
        <v>6.53</v>
      </c>
      <c r="L1047" s="162"/>
      <c r="M1047" s="54"/>
      <c r="N1047" s="162"/>
      <c r="O1047" s="54"/>
      <c r="P1047" s="162"/>
      <c r="Q1047" s="96">
        <f t="shared" si="2755"/>
        <v>0</v>
      </c>
      <c r="R1047" s="337">
        <f t="shared" si="2756"/>
        <v>0</v>
      </c>
      <c r="S1047" s="96"/>
      <c r="T1047" s="96">
        <f t="shared" si="2757"/>
        <v>0</v>
      </c>
      <c r="U1047" s="96"/>
      <c r="V1047" s="96">
        <f t="shared" si="2758"/>
        <v>0</v>
      </c>
      <c r="W1047" s="96"/>
      <c r="X1047" s="96">
        <f t="shared" si="2759"/>
        <v>0</v>
      </c>
      <c r="Y1047" s="96">
        <f t="shared" si="2760"/>
        <v>0</v>
      </c>
      <c r="Z1047" s="96">
        <f t="shared" si="2761"/>
        <v>0</v>
      </c>
      <c r="AA1047" s="96"/>
      <c r="AB1047" s="96">
        <f t="shared" si="2762"/>
        <v>0</v>
      </c>
      <c r="AC1047" s="96"/>
      <c r="AD1047" s="96">
        <f t="shared" si="2763"/>
        <v>0</v>
      </c>
      <c r="AE1047" s="96"/>
      <c r="AF1047" s="96">
        <f t="shared" si="2764"/>
        <v>0</v>
      </c>
      <c r="AG1047" s="96">
        <f t="shared" si="2765"/>
        <v>0</v>
      </c>
      <c r="AH1047" s="96">
        <f t="shared" si="2766"/>
        <v>0</v>
      </c>
      <c r="AI1047" s="96">
        <f t="shared" si="2767"/>
        <v>0</v>
      </c>
      <c r="AJ1047" s="96">
        <f t="shared" si="2768"/>
        <v>0</v>
      </c>
      <c r="AK1047" s="96"/>
      <c r="AL1047" s="96">
        <f t="shared" si="2769"/>
        <v>0</v>
      </c>
      <c r="AM1047" s="96"/>
      <c r="AN1047" s="96">
        <f t="shared" si="2770"/>
        <v>0</v>
      </c>
      <c r="AO1047" s="96"/>
      <c r="AP1047" s="96">
        <f t="shared" si="2808"/>
        <v>0</v>
      </c>
      <c r="AQ1047" s="96">
        <f t="shared" si="2772"/>
        <v>0</v>
      </c>
      <c r="AR1047" s="96">
        <f t="shared" si="2773"/>
        <v>0</v>
      </c>
      <c r="AS1047" s="96"/>
      <c r="AT1047" s="96">
        <f t="shared" si="2774"/>
        <v>0</v>
      </c>
      <c r="AU1047" s="96"/>
      <c r="AV1047" s="96">
        <f t="shared" si="2775"/>
        <v>0</v>
      </c>
      <c r="AW1047" s="96"/>
      <c r="AX1047" s="96">
        <f t="shared" si="2776"/>
        <v>0</v>
      </c>
      <c r="AY1047" s="96">
        <f t="shared" si="2777"/>
        <v>0</v>
      </c>
      <c r="AZ1047" s="96">
        <f t="shared" si="2778"/>
        <v>0</v>
      </c>
      <c r="BA1047" s="96">
        <f t="shared" si="2779"/>
        <v>0</v>
      </c>
      <c r="BB1047" s="96">
        <f t="shared" si="2780"/>
        <v>0</v>
      </c>
    </row>
    <row r="1048" spans="1:54">
      <c r="A1048" s="492">
        <v>644</v>
      </c>
      <c r="B1048" s="13"/>
      <c r="C1048" s="13"/>
      <c r="D1048" s="13" t="s">
        <v>366</v>
      </c>
      <c r="E1048" s="21" t="s">
        <v>1144</v>
      </c>
      <c r="F1048" s="45" t="s">
        <v>235</v>
      </c>
      <c r="G1048" s="45" t="s">
        <v>1059</v>
      </c>
      <c r="H1048" s="265" t="s">
        <v>428</v>
      </c>
      <c r="I1048" s="54">
        <v>6.66</v>
      </c>
      <c r="J1048" s="101"/>
      <c r="K1048" s="54">
        <v>6.66</v>
      </c>
      <c r="L1048" s="162"/>
      <c r="M1048" s="54"/>
      <c r="N1048" s="162"/>
      <c r="O1048" s="54"/>
      <c r="P1048" s="101"/>
      <c r="Q1048" s="96">
        <f t="shared" si="2755"/>
        <v>0</v>
      </c>
      <c r="R1048" s="337">
        <f t="shared" si="2756"/>
        <v>0</v>
      </c>
      <c r="S1048" s="96"/>
      <c r="T1048" s="96">
        <f t="shared" si="2757"/>
        <v>0</v>
      </c>
      <c r="U1048" s="96"/>
      <c r="V1048" s="176">
        <f t="shared" si="2758"/>
        <v>0</v>
      </c>
      <c r="W1048" s="206"/>
      <c r="X1048" s="205">
        <f t="shared" si="2759"/>
        <v>0</v>
      </c>
      <c r="Y1048" s="188">
        <f t="shared" si="2760"/>
        <v>0</v>
      </c>
      <c r="Z1048" s="176">
        <f t="shared" si="2761"/>
        <v>0</v>
      </c>
      <c r="AA1048" s="206"/>
      <c r="AB1048" s="205">
        <f t="shared" si="2762"/>
        <v>0</v>
      </c>
      <c r="AC1048" s="206"/>
      <c r="AD1048" s="176">
        <f t="shared" si="2763"/>
        <v>0</v>
      </c>
      <c r="AE1048" s="206"/>
      <c r="AF1048" s="205">
        <f t="shared" si="2764"/>
        <v>0</v>
      </c>
      <c r="AG1048" s="188">
        <f t="shared" si="2765"/>
        <v>0</v>
      </c>
      <c r="AH1048" s="96">
        <f t="shared" si="2766"/>
        <v>0</v>
      </c>
      <c r="AI1048" s="96">
        <f t="shared" si="2767"/>
        <v>0</v>
      </c>
      <c r="AJ1048" s="176">
        <f t="shared" si="2768"/>
        <v>0</v>
      </c>
      <c r="AK1048" s="206"/>
      <c r="AL1048" s="176">
        <f t="shared" si="2769"/>
        <v>0</v>
      </c>
      <c r="AM1048" s="243"/>
      <c r="AN1048" s="176">
        <f t="shared" si="2770"/>
        <v>0</v>
      </c>
      <c r="AO1048" s="206"/>
      <c r="AP1048" s="205">
        <f t="shared" si="2808"/>
        <v>0</v>
      </c>
      <c r="AQ1048" s="188">
        <f t="shared" si="2772"/>
        <v>0</v>
      </c>
      <c r="AR1048" s="96">
        <f t="shared" si="2773"/>
        <v>0</v>
      </c>
      <c r="AS1048" s="96"/>
      <c r="AT1048" s="176">
        <f t="shared" si="2774"/>
        <v>0</v>
      </c>
      <c r="AU1048" s="206"/>
      <c r="AV1048" s="176">
        <f t="shared" si="2775"/>
        <v>0</v>
      </c>
      <c r="AW1048" s="206"/>
      <c r="AX1048" s="205">
        <f t="shared" si="2776"/>
        <v>0</v>
      </c>
      <c r="AY1048" s="188">
        <f t="shared" si="2777"/>
        <v>0</v>
      </c>
      <c r="AZ1048" s="96">
        <f t="shared" si="2778"/>
        <v>0</v>
      </c>
      <c r="BA1048" s="96">
        <f t="shared" si="2779"/>
        <v>0</v>
      </c>
      <c r="BB1048" s="96">
        <f t="shared" si="2780"/>
        <v>0</v>
      </c>
    </row>
    <row r="1049" spans="1:54">
      <c r="A1049" s="492">
        <v>645</v>
      </c>
      <c r="B1049" s="13"/>
      <c r="C1049" s="299"/>
      <c r="D1049" s="13" t="s">
        <v>366</v>
      </c>
      <c r="E1049" s="21" t="s">
        <v>1441</v>
      </c>
      <c r="F1049" s="45" t="s">
        <v>371</v>
      </c>
      <c r="G1049" s="45" t="s">
        <v>1059</v>
      </c>
      <c r="H1049" s="265" t="s">
        <v>428</v>
      </c>
      <c r="I1049" s="54">
        <v>6.66</v>
      </c>
      <c r="J1049" s="162"/>
      <c r="K1049" s="54">
        <v>6.66</v>
      </c>
      <c r="L1049" s="162"/>
      <c r="M1049" s="54"/>
      <c r="N1049" s="162"/>
      <c r="O1049" s="54"/>
      <c r="P1049" s="162"/>
      <c r="Q1049" s="96">
        <f t="shared" si="2755"/>
        <v>0</v>
      </c>
      <c r="R1049" s="337">
        <f t="shared" si="2756"/>
        <v>0</v>
      </c>
      <c r="S1049" s="96"/>
      <c r="T1049" s="96">
        <f t="shared" si="2757"/>
        <v>0</v>
      </c>
      <c r="U1049" s="96"/>
      <c r="V1049" s="96">
        <f t="shared" si="2758"/>
        <v>0</v>
      </c>
      <c r="W1049" s="96"/>
      <c r="X1049" s="96">
        <f t="shared" si="2759"/>
        <v>0</v>
      </c>
      <c r="Y1049" s="96">
        <f t="shared" si="2760"/>
        <v>0</v>
      </c>
      <c r="Z1049" s="96">
        <f t="shared" si="2761"/>
        <v>0</v>
      </c>
      <c r="AA1049" s="96"/>
      <c r="AB1049" s="96">
        <f t="shared" si="2762"/>
        <v>0</v>
      </c>
      <c r="AC1049" s="96"/>
      <c r="AD1049" s="96">
        <f t="shared" si="2763"/>
        <v>0</v>
      </c>
      <c r="AE1049" s="96"/>
      <c r="AF1049" s="96">
        <f t="shared" si="2764"/>
        <v>0</v>
      </c>
      <c r="AG1049" s="96">
        <f t="shared" si="2765"/>
        <v>0</v>
      </c>
      <c r="AH1049" s="96">
        <f t="shared" si="2766"/>
        <v>0</v>
      </c>
      <c r="AI1049" s="96">
        <f t="shared" si="2767"/>
        <v>0</v>
      </c>
      <c r="AJ1049" s="96">
        <f t="shared" si="2768"/>
        <v>0</v>
      </c>
      <c r="AK1049" s="96"/>
      <c r="AL1049" s="96">
        <f t="shared" si="2769"/>
        <v>0</v>
      </c>
      <c r="AM1049" s="96"/>
      <c r="AN1049" s="96">
        <f t="shared" si="2770"/>
        <v>0</v>
      </c>
      <c r="AO1049" s="96"/>
      <c r="AP1049" s="96">
        <f t="shared" si="2808"/>
        <v>0</v>
      </c>
      <c r="AQ1049" s="96">
        <f t="shared" si="2772"/>
        <v>0</v>
      </c>
      <c r="AR1049" s="96">
        <f t="shared" si="2773"/>
        <v>0</v>
      </c>
      <c r="AS1049" s="96"/>
      <c r="AT1049" s="96">
        <f t="shared" si="2774"/>
        <v>0</v>
      </c>
      <c r="AU1049" s="96"/>
      <c r="AV1049" s="96">
        <f t="shared" si="2775"/>
        <v>0</v>
      </c>
      <c r="AW1049" s="96"/>
      <c r="AX1049" s="96">
        <f t="shared" si="2776"/>
        <v>0</v>
      </c>
      <c r="AY1049" s="96">
        <f t="shared" si="2777"/>
        <v>0</v>
      </c>
      <c r="AZ1049" s="96">
        <f t="shared" si="2778"/>
        <v>0</v>
      </c>
      <c r="BA1049" s="96">
        <f t="shared" si="2779"/>
        <v>0</v>
      </c>
      <c r="BB1049" s="96">
        <f t="shared" si="2780"/>
        <v>0</v>
      </c>
    </row>
    <row r="1050" spans="1:54">
      <c r="A1050" s="492">
        <v>645</v>
      </c>
      <c r="B1050" s="13"/>
      <c r="C1050" s="299"/>
      <c r="D1050" s="13" t="s">
        <v>366</v>
      </c>
      <c r="E1050" s="21" t="s">
        <v>611</v>
      </c>
      <c r="F1050" s="45" t="s">
        <v>371</v>
      </c>
      <c r="G1050" s="45" t="s">
        <v>1059</v>
      </c>
      <c r="H1050" s="265" t="s">
        <v>428</v>
      </c>
      <c r="I1050" s="54">
        <v>6.04</v>
      </c>
      <c r="J1050" s="162"/>
      <c r="K1050" s="54">
        <v>6.04</v>
      </c>
      <c r="L1050" s="162"/>
      <c r="M1050" s="54"/>
      <c r="N1050" s="162"/>
      <c r="O1050" s="54"/>
      <c r="P1050" s="162"/>
      <c r="Q1050" s="96">
        <f t="shared" si="2755"/>
        <v>0</v>
      </c>
      <c r="R1050" s="337">
        <f t="shared" si="2756"/>
        <v>0</v>
      </c>
      <c r="S1050" s="96"/>
      <c r="T1050" s="96">
        <f t="shared" si="2757"/>
        <v>0</v>
      </c>
      <c r="U1050" s="96"/>
      <c r="V1050" s="96">
        <f t="shared" si="2758"/>
        <v>0</v>
      </c>
      <c r="W1050" s="96"/>
      <c r="X1050" s="96">
        <f t="shared" si="2759"/>
        <v>0</v>
      </c>
      <c r="Y1050" s="96">
        <f t="shared" si="2760"/>
        <v>0</v>
      </c>
      <c r="Z1050" s="96">
        <f t="shared" si="2761"/>
        <v>0</v>
      </c>
      <c r="AA1050" s="96"/>
      <c r="AB1050" s="96">
        <f t="shared" si="2762"/>
        <v>0</v>
      </c>
      <c r="AC1050" s="96"/>
      <c r="AD1050" s="96">
        <f t="shared" si="2763"/>
        <v>0</v>
      </c>
      <c r="AE1050" s="96"/>
      <c r="AF1050" s="96">
        <f t="shared" si="2764"/>
        <v>0</v>
      </c>
      <c r="AG1050" s="96">
        <f t="shared" si="2765"/>
        <v>0</v>
      </c>
      <c r="AH1050" s="96">
        <f t="shared" si="2766"/>
        <v>0</v>
      </c>
      <c r="AI1050" s="96">
        <f t="shared" si="2767"/>
        <v>0</v>
      </c>
      <c r="AJ1050" s="96">
        <f t="shared" si="2768"/>
        <v>0</v>
      </c>
      <c r="AK1050" s="96"/>
      <c r="AL1050" s="96">
        <f t="shared" si="2769"/>
        <v>0</v>
      </c>
      <c r="AM1050" s="96"/>
      <c r="AN1050" s="96">
        <f t="shared" si="2770"/>
        <v>0</v>
      </c>
      <c r="AO1050" s="96"/>
      <c r="AP1050" s="96">
        <f t="shared" si="2808"/>
        <v>0</v>
      </c>
      <c r="AQ1050" s="96">
        <f t="shared" si="2772"/>
        <v>0</v>
      </c>
      <c r="AR1050" s="96">
        <f t="shared" si="2773"/>
        <v>0</v>
      </c>
      <c r="AS1050" s="96"/>
      <c r="AT1050" s="96">
        <f t="shared" si="2774"/>
        <v>0</v>
      </c>
      <c r="AU1050" s="96"/>
      <c r="AV1050" s="96">
        <f t="shared" si="2775"/>
        <v>0</v>
      </c>
      <c r="AW1050" s="96"/>
      <c r="AX1050" s="96">
        <f t="shared" si="2776"/>
        <v>0</v>
      </c>
      <c r="AY1050" s="96">
        <f t="shared" si="2777"/>
        <v>0</v>
      </c>
      <c r="AZ1050" s="96">
        <f t="shared" si="2778"/>
        <v>0</v>
      </c>
      <c r="BA1050" s="96">
        <f t="shared" si="2779"/>
        <v>0</v>
      </c>
      <c r="BB1050" s="96">
        <f t="shared" si="2780"/>
        <v>0</v>
      </c>
    </row>
    <row r="1051" spans="1:54">
      <c r="A1051" s="492">
        <v>646</v>
      </c>
      <c r="B1051" s="13"/>
      <c r="C1051" s="299"/>
      <c r="D1051" s="13" t="s">
        <v>372</v>
      </c>
      <c r="E1051" s="21" t="s">
        <v>612</v>
      </c>
      <c r="F1051" s="45" t="s">
        <v>373</v>
      </c>
      <c r="G1051" s="45" t="s">
        <v>1059</v>
      </c>
      <c r="H1051" s="265" t="s">
        <v>428</v>
      </c>
      <c r="I1051" s="54">
        <v>6.04</v>
      </c>
      <c r="J1051" s="162"/>
      <c r="K1051" s="54">
        <v>6.04</v>
      </c>
      <c r="L1051" s="162"/>
      <c r="M1051" s="54"/>
      <c r="N1051" s="162"/>
      <c r="O1051" s="54"/>
      <c r="P1051" s="162"/>
      <c r="Q1051" s="96">
        <f t="shared" si="2755"/>
        <v>0</v>
      </c>
      <c r="R1051" s="337">
        <f t="shared" si="2756"/>
        <v>0</v>
      </c>
      <c r="S1051" s="96"/>
      <c r="T1051" s="96">
        <f t="shared" si="2757"/>
        <v>0</v>
      </c>
      <c r="U1051" s="96"/>
      <c r="V1051" s="96">
        <f t="shared" si="2758"/>
        <v>0</v>
      </c>
      <c r="W1051" s="96"/>
      <c r="X1051" s="96">
        <f t="shared" si="2759"/>
        <v>0</v>
      </c>
      <c r="Y1051" s="96">
        <f t="shared" si="2760"/>
        <v>0</v>
      </c>
      <c r="Z1051" s="96">
        <f t="shared" si="2761"/>
        <v>0</v>
      </c>
      <c r="AA1051" s="96"/>
      <c r="AB1051" s="96">
        <f t="shared" si="2762"/>
        <v>0</v>
      </c>
      <c r="AC1051" s="96"/>
      <c r="AD1051" s="96">
        <f t="shared" si="2763"/>
        <v>0</v>
      </c>
      <c r="AE1051" s="96"/>
      <c r="AF1051" s="96">
        <f t="shared" si="2764"/>
        <v>0</v>
      </c>
      <c r="AG1051" s="96">
        <f t="shared" si="2765"/>
        <v>0</v>
      </c>
      <c r="AH1051" s="96">
        <f t="shared" si="2766"/>
        <v>0</v>
      </c>
      <c r="AI1051" s="96">
        <f t="shared" si="2767"/>
        <v>0</v>
      </c>
      <c r="AJ1051" s="96">
        <f t="shared" si="2768"/>
        <v>0</v>
      </c>
      <c r="AK1051" s="96"/>
      <c r="AL1051" s="96">
        <f t="shared" si="2769"/>
        <v>0</v>
      </c>
      <c r="AM1051" s="96"/>
      <c r="AN1051" s="96">
        <f t="shared" si="2770"/>
        <v>0</v>
      </c>
      <c r="AO1051" s="96"/>
      <c r="AP1051" s="96">
        <f t="shared" si="2808"/>
        <v>0</v>
      </c>
      <c r="AQ1051" s="96">
        <f t="shared" si="2772"/>
        <v>0</v>
      </c>
      <c r="AR1051" s="96">
        <f t="shared" si="2773"/>
        <v>0</v>
      </c>
      <c r="AS1051" s="96"/>
      <c r="AT1051" s="96">
        <f t="shared" si="2774"/>
        <v>0</v>
      </c>
      <c r="AU1051" s="96"/>
      <c r="AV1051" s="96">
        <f t="shared" si="2775"/>
        <v>0</v>
      </c>
      <c r="AW1051" s="96"/>
      <c r="AX1051" s="96">
        <f t="shared" si="2776"/>
        <v>0</v>
      </c>
      <c r="AY1051" s="96">
        <f t="shared" si="2777"/>
        <v>0</v>
      </c>
      <c r="AZ1051" s="96">
        <f t="shared" si="2778"/>
        <v>0</v>
      </c>
      <c r="BA1051" s="96">
        <f t="shared" si="2779"/>
        <v>0</v>
      </c>
      <c r="BB1051" s="96">
        <f t="shared" si="2780"/>
        <v>0</v>
      </c>
    </row>
    <row r="1052" spans="1:54">
      <c r="A1052" s="492">
        <v>647</v>
      </c>
      <c r="B1052" s="13"/>
      <c r="C1052" s="299"/>
      <c r="D1052" s="13" t="s">
        <v>374</v>
      </c>
      <c r="E1052" s="21" t="s">
        <v>613</v>
      </c>
      <c r="F1052" s="45" t="s">
        <v>373</v>
      </c>
      <c r="G1052" s="45" t="s">
        <v>1059</v>
      </c>
      <c r="H1052" s="265" t="s">
        <v>428</v>
      </c>
      <c r="I1052" s="54">
        <v>6.04</v>
      </c>
      <c r="J1052" s="162"/>
      <c r="K1052" s="54">
        <v>6.04</v>
      </c>
      <c r="L1052" s="162"/>
      <c r="M1052" s="54"/>
      <c r="N1052" s="162"/>
      <c r="O1052" s="54"/>
      <c r="P1052" s="162"/>
      <c r="Q1052" s="96">
        <f t="shared" si="2755"/>
        <v>0</v>
      </c>
      <c r="R1052" s="337">
        <f t="shared" si="2756"/>
        <v>0</v>
      </c>
      <c r="S1052" s="96"/>
      <c r="T1052" s="96">
        <f t="shared" si="2757"/>
        <v>0</v>
      </c>
      <c r="U1052" s="96"/>
      <c r="V1052" s="96">
        <f t="shared" si="2758"/>
        <v>0</v>
      </c>
      <c r="W1052" s="96"/>
      <c r="X1052" s="96">
        <f t="shared" si="2759"/>
        <v>0</v>
      </c>
      <c r="Y1052" s="96">
        <f t="shared" si="2760"/>
        <v>0</v>
      </c>
      <c r="Z1052" s="96">
        <f t="shared" si="2761"/>
        <v>0</v>
      </c>
      <c r="AA1052" s="96"/>
      <c r="AB1052" s="96">
        <f t="shared" si="2762"/>
        <v>0</v>
      </c>
      <c r="AC1052" s="96"/>
      <c r="AD1052" s="96">
        <f t="shared" si="2763"/>
        <v>0</v>
      </c>
      <c r="AE1052" s="96"/>
      <c r="AF1052" s="96">
        <f t="shared" si="2764"/>
        <v>0</v>
      </c>
      <c r="AG1052" s="96">
        <f t="shared" si="2765"/>
        <v>0</v>
      </c>
      <c r="AH1052" s="96">
        <f t="shared" si="2766"/>
        <v>0</v>
      </c>
      <c r="AI1052" s="96">
        <f t="shared" si="2767"/>
        <v>0</v>
      </c>
      <c r="AJ1052" s="96">
        <f t="shared" si="2768"/>
        <v>0</v>
      </c>
      <c r="AK1052" s="96"/>
      <c r="AL1052" s="96">
        <f t="shared" si="2769"/>
        <v>0</v>
      </c>
      <c r="AM1052" s="96"/>
      <c r="AN1052" s="96">
        <f t="shared" si="2770"/>
        <v>0</v>
      </c>
      <c r="AO1052" s="96"/>
      <c r="AP1052" s="96">
        <f t="shared" si="2808"/>
        <v>0</v>
      </c>
      <c r="AQ1052" s="96">
        <f t="shared" si="2772"/>
        <v>0</v>
      </c>
      <c r="AR1052" s="96">
        <f t="shared" si="2773"/>
        <v>0</v>
      </c>
      <c r="AS1052" s="96"/>
      <c r="AT1052" s="96">
        <f t="shared" si="2774"/>
        <v>0</v>
      </c>
      <c r="AU1052" s="96"/>
      <c r="AV1052" s="96">
        <f t="shared" si="2775"/>
        <v>0</v>
      </c>
      <c r="AW1052" s="96"/>
      <c r="AX1052" s="96">
        <f t="shared" si="2776"/>
        <v>0</v>
      </c>
      <c r="AY1052" s="96">
        <f t="shared" si="2777"/>
        <v>0</v>
      </c>
      <c r="AZ1052" s="96">
        <f t="shared" si="2778"/>
        <v>0</v>
      </c>
      <c r="BA1052" s="96">
        <f t="shared" si="2779"/>
        <v>0</v>
      </c>
      <c r="BB1052" s="96">
        <f t="shared" si="2780"/>
        <v>0</v>
      </c>
    </row>
    <row r="1053" spans="1:54" s="6" customFormat="1">
      <c r="A1053" s="492">
        <v>648</v>
      </c>
      <c r="B1053" s="14"/>
      <c r="C1053" s="333"/>
      <c r="D1053" s="14" t="s">
        <v>372</v>
      </c>
      <c r="E1053" s="16" t="s">
        <v>614</v>
      </c>
      <c r="F1053" s="44" t="s">
        <v>235</v>
      </c>
      <c r="G1053" s="44" t="s">
        <v>1059</v>
      </c>
      <c r="H1053" s="264" t="s">
        <v>428</v>
      </c>
      <c r="I1053" s="232">
        <v>6.04</v>
      </c>
      <c r="J1053" s="239"/>
      <c r="K1053" s="232">
        <v>6.04</v>
      </c>
      <c r="L1053" s="239"/>
      <c r="M1053" s="232"/>
      <c r="N1053" s="239"/>
      <c r="O1053" s="232"/>
      <c r="P1053" s="239"/>
      <c r="Q1053" s="95">
        <f t="shared" si="2755"/>
        <v>0</v>
      </c>
      <c r="R1053" s="335">
        <f t="shared" si="2756"/>
        <v>0</v>
      </c>
      <c r="S1053" s="95"/>
      <c r="T1053" s="95">
        <f t="shared" si="2757"/>
        <v>0</v>
      </c>
      <c r="U1053" s="95"/>
      <c r="V1053" s="95">
        <f t="shared" si="2758"/>
        <v>0</v>
      </c>
      <c r="W1053" s="95"/>
      <c r="X1053" s="95">
        <f t="shared" si="2759"/>
        <v>0</v>
      </c>
      <c r="Y1053" s="95">
        <f t="shared" si="2760"/>
        <v>0</v>
      </c>
      <c r="Z1053" s="95">
        <f t="shared" si="2761"/>
        <v>0</v>
      </c>
      <c r="AA1053" s="95"/>
      <c r="AB1053" s="95">
        <f t="shared" si="2762"/>
        <v>0</v>
      </c>
      <c r="AC1053" s="95"/>
      <c r="AD1053" s="95">
        <f t="shared" si="2763"/>
        <v>0</v>
      </c>
      <c r="AE1053" s="95"/>
      <c r="AF1053" s="96">
        <f t="shared" si="2764"/>
        <v>0</v>
      </c>
      <c r="AG1053" s="95">
        <f t="shared" si="2765"/>
        <v>0</v>
      </c>
      <c r="AH1053" s="95">
        <f t="shared" si="2766"/>
        <v>0</v>
      </c>
      <c r="AI1053" s="95">
        <f t="shared" si="2767"/>
        <v>0</v>
      </c>
      <c r="AJ1053" s="95">
        <f t="shared" si="2768"/>
        <v>0</v>
      </c>
      <c r="AK1053" s="95"/>
      <c r="AL1053" s="95">
        <f t="shared" si="2769"/>
        <v>0</v>
      </c>
      <c r="AM1053" s="95"/>
      <c r="AN1053" s="95">
        <f t="shared" si="2770"/>
        <v>0</v>
      </c>
      <c r="AO1053" s="95"/>
      <c r="AP1053" s="95">
        <f t="shared" si="2808"/>
        <v>0</v>
      </c>
      <c r="AQ1053" s="95">
        <f t="shared" si="2772"/>
        <v>0</v>
      </c>
      <c r="AR1053" s="95">
        <f t="shared" si="2773"/>
        <v>0</v>
      </c>
      <c r="AS1053" s="95"/>
      <c r="AT1053" s="95">
        <f t="shared" si="2774"/>
        <v>0</v>
      </c>
      <c r="AU1053" s="95"/>
      <c r="AV1053" s="95">
        <f t="shared" si="2775"/>
        <v>0</v>
      </c>
      <c r="AW1053" s="95"/>
      <c r="AX1053" s="95">
        <f t="shared" si="2776"/>
        <v>0</v>
      </c>
      <c r="AY1053" s="95">
        <f t="shared" si="2777"/>
        <v>0</v>
      </c>
      <c r="AZ1053" s="95">
        <f t="shared" si="2778"/>
        <v>0</v>
      </c>
      <c r="BA1053" s="95">
        <f t="shared" si="2779"/>
        <v>0</v>
      </c>
      <c r="BB1053" s="95">
        <f t="shared" si="2780"/>
        <v>0</v>
      </c>
    </row>
    <row r="1054" spans="1:54">
      <c r="A1054" s="492">
        <v>649</v>
      </c>
      <c r="B1054" s="13"/>
      <c r="C1054" s="299"/>
      <c r="D1054" s="13" t="s">
        <v>560</v>
      </c>
      <c r="E1054" s="21" t="s">
        <v>1145</v>
      </c>
      <c r="F1054" s="45" t="s">
        <v>368</v>
      </c>
      <c r="G1054" s="45" t="s">
        <v>1059</v>
      </c>
      <c r="H1054" s="265" t="s">
        <v>359</v>
      </c>
      <c r="I1054" s="54">
        <v>6.98</v>
      </c>
      <c r="J1054" s="162"/>
      <c r="K1054" s="54">
        <v>6.98</v>
      </c>
      <c r="L1054" s="162"/>
      <c r="M1054" s="54"/>
      <c r="N1054" s="162"/>
      <c r="O1054" s="54"/>
      <c r="P1054" s="162"/>
      <c r="Q1054" s="96">
        <f t="shared" si="2755"/>
        <v>0</v>
      </c>
      <c r="R1054" s="337">
        <f t="shared" si="2756"/>
        <v>0</v>
      </c>
      <c r="S1054" s="96"/>
      <c r="T1054" s="96">
        <f t="shared" si="2757"/>
        <v>0</v>
      </c>
      <c r="U1054" s="96"/>
      <c r="V1054" s="96">
        <f t="shared" si="2758"/>
        <v>0</v>
      </c>
      <c r="W1054" s="96"/>
      <c r="X1054" s="96">
        <f t="shared" si="2759"/>
        <v>0</v>
      </c>
      <c r="Y1054" s="96">
        <f t="shared" si="2760"/>
        <v>0</v>
      </c>
      <c r="Z1054" s="96">
        <f t="shared" si="2761"/>
        <v>0</v>
      </c>
      <c r="AA1054" s="96"/>
      <c r="AB1054" s="96">
        <f t="shared" si="2762"/>
        <v>0</v>
      </c>
      <c r="AC1054" s="96"/>
      <c r="AD1054" s="96">
        <f t="shared" si="2763"/>
        <v>0</v>
      </c>
      <c r="AE1054" s="96"/>
      <c r="AF1054" s="96">
        <f t="shared" si="2764"/>
        <v>0</v>
      </c>
      <c r="AG1054" s="96">
        <f t="shared" si="2765"/>
        <v>0</v>
      </c>
      <c r="AH1054" s="96">
        <f t="shared" si="2766"/>
        <v>0</v>
      </c>
      <c r="AI1054" s="96">
        <f t="shared" si="2767"/>
        <v>0</v>
      </c>
      <c r="AJ1054" s="96">
        <f t="shared" si="2768"/>
        <v>0</v>
      </c>
      <c r="AK1054" s="96"/>
      <c r="AL1054" s="96">
        <f t="shared" si="2769"/>
        <v>0</v>
      </c>
      <c r="AM1054" s="96"/>
      <c r="AN1054" s="96">
        <f t="shared" si="2770"/>
        <v>0</v>
      </c>
      <c r="AO1054" s="96"/>
      <c r="AP1054" s="96">
        <f t="shared" si="2808"/>
        <v>0</v>
      </c>
      <c r="AQ1054" s="96">
        <f t="shared" si="2772"/>
        <v>0</v>
      </c>
      <c r="AR1054" s="96">
        <f t="shared" si="2773"/>
        <v>0</v>
      </c>
      <c r="AS1054" s="96"/>
      <c r="AT1054" s="96">
        <f t="shared" si="2774"/>
        <v>0</v>
      </c>
      <c r="AU1054" s="96"/>
      <c r="AV1054" s="96">
        <f t="shared" si="2775"/>
        <v>0</v>
      </c>
      <c r="AW1054" s="96"/>
      <c r="AX1054" s="96">
        <f t="shared" si="2776"/>
        <v>0</v>
      </c>
      <c r="AY1054" s="96">
        <f t="shared" si="2777"/>
        <v>0</v>
      </c>
      <c r="AZ1054" s="96">
        <f t="shared" si="2778"/>
        <v>0</v>
      </c>
      <c r="BA1054" s="96">
        <f t="shared" si="2779"/>
        <v>0</v>
      </c>
      <c r="BB1054" s="96">
        <f t="shared" si="2780"/>
        <v>0</v>
      </c>
    </row>
    <row r="1055" spans="1:54">
      <c r="A1055" s="492">
        <v>650</v>
      </c>
      <c r="B1055" s="13"/>
      <c r="C1055" s="299"/>
      <c r="D1055" s="13" t="s">
        <v>560</v>
      </c>
      <c r="E1055" s="21" t="s">
        <v>1146</v>
      </c>
      <c r="F1055" s="45" t="s">
        <v>235</v>
      </c>
      <c r="G1055" s="45" t="s">
        <v>1059</v>
      </c>
      <c r="H1055" s="265" t="s">
        <v>428</v>
      </c>
      <c r="I1055" s="54">
        <v>6.04</v>
      </c>
      <c r="J1055" s="162"/>
      <c r="K1055" s="54">
        <v>6.04</v>
      </c>
      <c r="L1055" s="162"/>
      <c r="M1055" s="54"/>
      <c r="N1055" s="162"/>
      <c r="O1055" s="54"/>
      <c r="P1055" s="162"/>
      <c r="Q1055" s="96">
        <f t="shared" si="2755"/>
        <v>0</v>
      </c>
      <c r="R1055" s="337">
        <f t="shared" si="2756"/>
        <v>0</v>
      </c>
      <c r="S1055" s="96"/>
      <c r="T1055" s="96">
        <f t="shared" si="2757"/>
        <v>0</v>
      </c>
      <c r="U1055" s="96"/>
      <c r="V1055" s="96">
        <f t="shared" si="2758"/>
        <v>0</v>
      </c>
      <c r="W1055" s="96"/>
      <c r="X1055" s="96">
        <f t="shared" si="2759"/>
        <v>0</v>
      </c>
      <c r="Y1055" s="96">
        <f t="shared" si="2760"/>
        <v>0</v>
      </c>
      <c r="Z1055" s="96">
        <f t="shared" si="2761"/>
        <v>0</v>
      </c>
      <c r="AA1055" s="96"/>
      <c r="AB1055" s="96">
        <f t="shared" si="2762"/>
        <v>0</v>
      </c>
      <c r="AC1055" s="96"/>
      <c r="AD1055" s="96">
        <f t="shared" si="2763"/>
        <v>0</v>
      </c>
      <c r="AE1055" s="96"/>
      <c r="AF1055" s="96">
        <f t="shared" si="2764"/>
        <v>0</v>
      </c>
      <c r="AG1055" s="96">
        <f t="shared" si="2765"/>
        <v>0</v>
      </c>
      <c r="AH1055" s="96">
        <f t="shared" si="2766"/>
        <v>0</v>
      </c>
      <c r="AI1055" s="96">
        <f t="shared" si="2767"/>
        <v>0</v>
      </c>
      <c r="AJ1055" s="96">
        <f t="shared" si="2768"/>
        <v>0</v>
      </c>
      <c r="AK1055" s="96"/>
      <c r="AL1055" s="96">
        <f t="shared" si="2769"/>
        <v>0</v>
      </c>
      <c r="AM1055" s="96"/>
      <c r="AN1055" s="96">
        <f t="shared" si="2770"/>
        <v>0</v>
      </c>
      <c r="AO1055" s="96"/>
      <c r="AP1055" s="96">
        <f t="shared" si="2808"/>
        <v>0</v>
      </c>
      <c r="AQ1055" s="96">
        <f t="shared" si="2772"/>
        <v>0</v>
      </c>
      <c r="AR1055" s="96">
        <f t="shared" si="2773"/>
        <v>0</v>
      </c>
      <c r="AS1055" s="96"/>
      <c r="AT1055" s="96">
        <f t="shared" si="2774"/>
        <v>0</v>
      </c>
      <c r="AU1055" s="96"/>
      <c r="AV1055" s="96">
        <f t="shared" si="2775"/>
        <v>0</v>
      </c>
      <c r="AW1055" s="96"/>
      <c r="AX1055" s="96">
        <f t="shared" si="2776"/>
        <v>0</v>
      </c>
      <c r="AY1055" s="96">
        <f t="shared" si="2777"/>
        <v>0</v>
      </c>
      <c r="AZ1055" s="96">
        <f t="shared" si="2778"/>
        <v>0</v>
      </c>
      <c r="BA1055" s="96">
        <f t="shared" si="2779"/>
        <v>0</v>
      </c>
      <c r="BB1055" s="96">
        <f t="shared" si="2780"/>
        <v>0</v>
      </c>
    </row>
    <row r="1056" spans="1:54">
      <c r="A1056" s="492">
        <v>650</v>
      </c>
      <c r="B1056" s="13"/>
      <c r="C1056" s="299"/>
      <c r="D1056" s="14" t="s">
        <v>1485</v>
      </c>
      <c r="E1056" s="287" t="s">
        <v>1676</v>
      </c>
      <c r="F1056" s="45" t="s">
        <v>235</v>
      </c>
      <c r="G1056" s="45" t="s">
        <v>1059</v>
      </c>
      <c r="H1056" s="265" t="s">
        <v>359</v>
      </c>
      <c r="I1056" s="54">
        <v>7.39</v>
      </c>
      <c r="J1056" s="162"/>
      <c r="K1056" s="54">
        <v>7.39</v>
      </c>
      <c r="L1056" s="162"/>
      <c r="M1056" s="54"/>
      <c r="N1056" s="162"/>
      <c r="O1056" s="54"/>
      <c r="P1056" s="162"/>
      <c r="Q1056" s="96">
        <f t="shared" si="2755"/>
        <v>0</v>
      </c>
      <c r="R1056" s="337">
        <f t="shared" si="2756"/>
        <v>0</v>
      </c>
      <c r="S1056" s="96"/>
      <c r="T1056" s="96">
        <f t="shared" si="2757"/>
        <v>0</v>
      </c>
      <c r="U1056" s="96"/>
      <c r="V1056" s="96">
        <f t="shared" si="2758"/>
        <v>0</v>
      </c>
      <c r="W1056" s="96"/>
      <c r="X1056" s="96">
        <f t="shared" si="2759"/>
        <v>0</v>
      </c>
      <c r="Y1056" s="96">
        <f t="shared" si="2760"/>
        <v>0</v>
      </c>
      <c r="Z1056" s="96">
        <f t="shared" si="2761"/>
        <v>0</v>
      </c>
      <c r="AA1056" s="96"/>
      <c r="AB1056" s="96">
        <f t="shared" si="2762"/>
        <v>0</v>
      </c>
      <c r="AC1056" s="96"/>
      <c r="AD1056" s="96">
        <f t="shared" si="2763"/>
        <v>0</v>
      </c>
      <c r="AE1056" s="96"/>
      <c r="AF1056" s="96">
        <f t="shared" si="2764"/>
        <v>0</v>
      </c>
      <c r="AG1056" s="96">
        <f t="shared" si="2765"/>
        <v>0</v>
      </c>
      <c r="AH1056" s="96">
        <f t="shared" si="2766"/>
        <v>0</v>
      </c>
      <c r="AI1056" s="96">
        <f t="shared" si="2767"/>
        <v>0</v>
      </c>
      <c r="AJ1056" s="96">
        <f t="shared" si="2768"/>
        <v>0</v>
      </c>
      <c r="AK1056" s="96"/>
      <c r="AL1056" s="96">
        <f t="shared" si="2769"/>
        <v>0</v>
      </c>
      <c r="AM1056" s="96"/>
      <c r="AN1056" s="96">
        <f t="shared" si="2770"/>
        <v>0</v>
      </c>
      <c r="AO1056" s="96"/>
      <c r="AP1056" s="96">
        <f t="shared" si="2808"/>
        <v>0</v>
      </c>
      <c r="AQ1056" s="96">
        <f t="shared" si="2772"/>
        <v>0</v>
      </c>
      <c r="AR1056" s="96">
        <f t="shared" si="2773"/>
        <v>0</v>
      </c>
      <c r="AS1056" s="96"/>
      <c r="AT1056" s="96">
        <f t="shared" si="2774"/>
        <v>0</v>
      </c>
      <c r="AU1056" s="96"/>
      <c r="AV1056" s="96">
        <f t="shared" si="2775"/>
        <v>0</v>
      </c>
      <c r="AW1056" s="96"/>
      <c r="AX1056" s="96">
        <f t="shared" si="2776"/>
        <v>0</v>
      </c>
      <c r="AY1056" s="96">
        <f t="shared" si="2777"/>
        <v>0</v>
      </c>
      <c r="AZ1056" s="96">
        <f t="shared" si="2778"/>
        <v>0</v>
      </c>
      <c r="BA1056" s="96">
        <f t="shared" si="2779"/>
        <v>0</v>
      </c>
      <c r="BB1056" s="96">
        <f t="shared" si="2780"/>
        <v>0</v>
      </c>
    </row>
    <row r="1057" spans="1:54">
      <c r="A1057" s="492">
        <v>650</v>
      </c>
      <c r="B1057" s="13"/>
      <c r="C1057" s="299"/>
      <c r="D1057" s="14" t="s">
        <v>1485</v>
      </c>
      <c r="E1057" s="287" t="s">
        <v>1615</v>
      </c>
      <c r="F1057" s="45" t="s">
        <v>235</v>
      </c>
      <c r="G1057" s="45" t="s">
        <v>1059</v>
      </c>
      <c r="H1057" s="265" t="s">
        <v>428</v>
      </c>
      <c r="I1057" s="54">
        <v>7.24</v>
      </c>
      <c r="J1057" s="162"/>
      <c r="K1057" s="54">
        <v>7.24</v>
      </c>
      <c r="L1057" s="162"/>
      <c r="M1057" s="54"/>
      <c r="N1057" s="162"/>
      <c r="O1057" s="54"/>
      <c r="P1057" s="162"/>
      <c r="Q1057" s="96">
        <f t="shared" si="2755"/>
        <v>1.3</v>
      </c>
      <c r="R1057" s="337">
        <f t="shared" si="2756"/>
        <v>14.01514132</v>
      </c>
      <c r="S1057" s="96"/>
      <c r="T1057" s="96">
        <f t="shared" si="2757"/>
        <v>0</v>
      </c>
      <c r="U1057" s="96"/>
      <c r="V1057" s="96">
        <f t="shared" si="2758"/>
        <v>0</v>
      </c>
      <c r="W1057" s="96">
        <v>0.5</v>
      </c>
      <c r="X1057" s="96">
        <f t="shared" si="2759"/>
        <v>5.4385794000000001</v>
      </c>
      <c r="Y1057" s="96">
        <f t="shared" si="2760"/>
        <v>0.5</v>
      </c>
      <c r="Z1057" s="96">
        <f t="shared" si="2761"/>
        <v>5.4385794000000001</v>
      </c>
      <c r="AA1057" s="96">
        <v>0.8</v>
      </c>
      <c r="AB1057" s="96">
        <f t="shared" si="2762"/>
        <v>8.5765619199999996</v>
      </c>
      <c r="AC1057" s="96"/>
      <c r="AD1057" s="96">
        <f t="shared" si="2763"/>
        <v>0</v>
      </c>
      <c r="AE1057" s="96"/>
      <c r="AF1057" s="96">
        <f t="shared" si="2764"/>
        <v>0</v>
      </c>
      <c r="AG1057" s="96">
        <f t="shared" si="2765"/>
        <v>0.8</v>
      </c>
      <c r="AH1057" s="96">
        <f t="shared" si="2766"/>
        <v>8.5765619199999996</v>
      </c>
      <c r="AI1057" s="96">
        <f t="shared" si="2767"/>
        <v>1.3</v>
      </c>
      <c r="AJ1057" s="96">
        <f t="shared" si="2768"/>
        <v>14.01514132</v>
      </c>
      <c r="AK1057" s="96"/>
      <c r="AL1057" s="96">
        <f t="shared" si="2769"/>
        <v>0</v>
      </c>
      <c r="AM1057" s="96"/>
      <c r="AN1057" s="96">
        <f t="shared" si="2770"/>
        <v>0</v>
      </c>
      <c r="AO1057" s="96"/>
      <c r="AP1057" s="96">
        <f t="shared" si="2808"/>
        <v>0</v>
      </c>
      <c r="AQ1057" s="96">
        <f t="shared" si="2772"/>
        <v>0</v>
      </c>
      <c r="AR1057" s="96">
        <f t="shared" si="2773"/>
        <v>0</v>
      </c>
      <c r="AS1057" s="96"/>
      <c r="AT1057" s="96">
        <f t="shared" si="2774"/>
        <v>0</v>
      </c>
      <c r="AU1057" s="96"/>
      <c r="AV1057" s="96">
        <f t="shared" si="2775"/>
        <v>0</v>
      </c>
      <c r="AW1057" s="96"/>
      <c r="AX1057" s="96">
        <f t="shared" si="2776"/>
        <v>0</v>
      </c>
      <c r="AY1057" s="96">
        <f t="shared" si="2777"/>
        <v>0</v>
      </c>
      <c r="AZ1057" s="96">
        <f t="shared" si="2778"/>
        <v>0</v>
      </c>
      <c r="BA1057" s="96">
        <f t="shared" si="2779"/>
        <v>0</v>
      </c>
      <c r="BB1057" s="96">
        <f t="shared" si="2780"/>
        <v>0</v>
      </c>
    </row>
    <row r="1058" spans="1:54">
      <c r="A1058" s="492">
        <v>650</v>
      </c>
      <c r="B1058" s="13"/>
      <c r="C1058" s="299"/>
      <c r="D1058" s="14" t="s">
        <v>1485</v>
      </c>
      <c r="E1058" s="287" t="s">
        <v>1571</v>
      </c>
      <c r="F1058" s="45" t="s">
        <v>373</v>
      </c>
      <c r="G1058" s="45" t="s">
        <v>1059</v>
      </c>
      <c r="H1058" s="265" t="s">
        <v>428</v>
      </c>
      <c r="I1058" s="54">
        <v>7.67</v>
      </c>
      <c r="J1058" s="162"/>
      <c r="K1058" s="54">
        <v>7.67</v>
      </c>
      <c r="L1058" s="162"/>
      <c r="M1058" s="54"/>
      <c r="N1058" s="162"/>
      <c r="O1058" s="54"/>
      <c r="P1058" s="162"/>
      <c r="Q1058" s="96">
        <f t="shared" si="2755"/>
        <v>2.85</v>
      </c>
      <c r="R1058" s="337">
        <f t="shared" si="2756"/>
        <v>32.152682185000003</v>
      </c>
      <c r="S1058" s="96">
        <v>1.05</v>
      </c>
      <c r="T1058" s="96">
        <f t="shared" si="2757"/>
        <v>11.626435275</v>
      </c>
      <c r="U1058" s="96"/>
      <c r="V1058" s="96">
        <f t="shared" si="2758"/>
        <v>0</v>
      </c>
      <c r="W1058" s="96">
        <v>0.5</v>
      </c>
      <c r="X1058" s="96">
        <f t="shared" si="2759"/>
        <v>5.7615889499999993</v>
      </c>
      <c r="Y1058" s="96">
        <f t="shared" si="2760"/>
        <v>1.55</v>
      </c>
      <c r="Z1058" s="96">
        <f t="shared" si="2761"/>
        <v>17.388024224999999</v>
      </c>
      <c r="AA1058" s="96">
        <v>1.3</v>
      </c>
      <c r="AB1058" s="96">
        <f t="shared" si="2762"/>
        <v>14.764657960000001</v>
      </c>
      <c r="AC1058" s="96"/>
      <c r="AD1058" s="96">
        <f t="shared" si="2763"/>
        <v>0</v>
      </c>
      <c r="AE1058" s="96"/>
      <c r="AF1058" s="96">
        <f t="shared" si="2764"/>
        <v>0</v>
      </c>
      <c r="AG1058" s="96">
        <f t="shared" si="2765"/>
        <v>1.3</v>
      </c>
      <c r="AH1058" s="96">
        <f t="shared" si="2766"/>
        <v>14.764657960000001</v>
      </c>
      <c r="AI1058" s="96">
        <f t="shared" si="2767"/>
        <v>2.85</v>
      </c>
      <c r="AJ1058" s="96">
        <f t="shared" si="2768"/>
        <v>32.152682185000003</v>
      </c>
      <c r="AK1058" s="96"/>
      <c r="AL1058" s="96">
        <f t="shared" si="2769"/>
        <v>0</v>
      </c>
      <c r="AM1058" s="96"/>
      <c r="AN1058" s="96">
        <f t="shared" si="2770"/>
        <v>0</v>
      </c>
      <c r="AO1058" s="96"/>
      <c r="AP1058" s="96">
        <f t="shared" si="2808"/>
        <v>0</v>
      </c>
      <c r="AQ1058" s="96">
        <f t="shared" si="2772"/>
        <v>0</v>
      </c>
      <c r="AR1058" s="96">
        <f t="shared" si="2773"/>
        <v>0</v>
      </c>
      <c r="AS1058" s="96"/>
      <c r="AT1058" s="96">
        <f t="shared" si="2774"/>
        <v>0</v>
      </c>
      <c r="AU1058" s="96"/>
      <c r="AV1058" s="96">
        <f t="shared" si="2775"/>
        <v>0</v>
      </c>
      <c r="AW1058" s="96"/>
      <c r="AX1058" s="96">
        <f t="shared" si="2776"/>
        <v>0</v>
      </c>
      <c r="AY1058" s="96">
        <f t="shared" si="2777"/>
        <v>0</v>
      </c>
      <c r="AZ1058" s="96">
        <f t="shared" si="2778"/>
        <v>0</v>
      </c>
      <c r="BA1058" s="96">
        <f t="shared" si="2779"/>
        <v>0</v>
      </c>
      <c r="BB1058" s="96">
        <f t="shared" si="2780"/>
        <v>0</v>
      </c>
    </row>
    <row r="1059" spans="1:54">
      <c r="A1059" s="492">
        <v>650</v>
      </c>
      <c r="B1059" s="13"/>
      <c r="C1059" s="299"/>
      <c r="D1059" s="14" t="s">
        <v>1485</v>
      </c>
      <c r="E1059" s="287" t="s">
        <v>1572</v>
      </c>
      <c r="F1059" s="45" t="s">
        <v>235</v>
      </c>
      <c r="G1059" s="45" t="s">
        <v>1059</v>
      </c>
      <c r="H1059" s="265" t="s">
        <v>428</v>
      </c>
      <c r="I1059" s="54">
        <v>8.98</v>
      </c>
      <c r="J1059" s="162"/>
      <c r="K1059" s="54">
        <v>8.98</v>
      </c>
      <c r="L1059" s="162"/>
      <c r="M1059" s="54"/>
      <c r="N1059" s="162"/>
      <c r="O1059" s="54"/>
      <c r="P1059" s="162"/>
      <c r="Q1059" s="96">
        <f t="shared" si="2755"/>
        <v>0</v>
      </c>
      <c r="R1059" s="337">
        <f t="shared" si="2756"/>
        <v>0</v>
      </c>
      <c r="S1059" s="96"/>
      <c r="T1059" s="96">
        <f t="shared" si="2757"/>
        <v>0</v>
      </c>
      <c r="U1059" s="96"/>
      <c r="V1059" s="96">
        <f t="shared" si="2758"/>
        <v>0</v>
      </c>
      <c r="W1059" s="96"/>
      <c r="X1059" s="96">
        <f t="shared" si="2759"/>
        <v>0</v>
      </c>
      <c r="Y1059" s="96">
        <f t="shared" si="2760"/>
        <v>0</v>
      </c>
      <c r="Z1059" s="96">
        <f t="shared" si="2761"/>
        <v>0</v>
      </c>
      <c r="AA1059" s="96"/>
      <c r="AB1059" s="96">
        <f t="shared" si="2762"/>
        <v>0</v>
      </c>
      <c r="AC1059" s="96"/>
      <c r="AD1059" s="96">
        <f t="shared" si="2763"/>
        <v>0</v>
      </c>
      <c r="AE1059" s="96"/>
      <c r="AF1059" s="96">
        <f t="shared" si="2764"/>
        <v>0</v>
      </c>
      <c r="AG1059" s="96">
        <f t="shared" si="2765"/>
        <v>0</v>
      </c>
      <c r="AH1059" s="96">
        <f t="shared" si="2766"/>
        <v>0</v>
      </c>
      <c r="AI1059" s="96">
        <f t="shared" si="2767"/>
        <v>0</v>
      </c>
      <c r="AJ1059" s="96">
        <f t="shared" si="2768"/>
        <v>0</v>
      </c>
      <c r="AK1059" s="96"/>
      <c r="AL1059" s="96">
        <f t="shared" si="2769"/>
        <v>0</v>
      </c>
      <c r="AM1059" s="96"/>
      <c r="AN1059" s="96">
        <f t="shared" si="2770"/>
        <v>0</v>
      </c>
      <c r="AO1059" s="96"/>
      <c r="AP1059" s="96">
        <f t="shared" si="2808"/>
        <v>0</v>
      </c>
      <c r="AQ1059" s="96">
        <f t="shared" si="2772"/>
        <v>0</v>
      </c>
      <c r="AR1059" s="96">
        <f t="shared" si="2773"/>
        <v>0</v>
      </c>
      <c r="AS1059" s="96"/>
      <c r="AT1059" s="96">
        <f t="shared" si="2774"/>
        <v>0</v>
      </c>
      <c r="AU1059" s="96"/>
      <c r="AV1059" s="96">
        <f t="shared" si="2775"/>
        <v>0</v>
      </c>
      <c r="AW1059" s="96"/>
      <c r="AX1059" s="96">
        <f t="shared" si="2776"/>
        <v>0</v>
      </c>
      <c r="AY1059" s="96">
        <f t="shared" si="2777"/>
        <v>0</v>
      </c>
      <c r="AZ1059" s="96">
        <f t="shared" si="2778"/>
        <v>0</v>
      </c>
      <c r="BA1059" s="96">
        <f t="shared" si="2779"/>
        <v>0</v>
      </c>
      <c r="BB1059" s="96">
        <f t="shared" si="2780"/>
        <v>0</v>
      </c>
    </row>
    <row r="1060" spans="1:54">
      <c r="A1060" s="492">
        <v>650</v>
      </c>
      <c r="B1060" s="13"/>
      <c r="C1060" s="299"/>
      <c r="D1060" s="14" t="s">
        <v>1485</v>
      </c>
      <c r="E1060" s="21" t="s">
        <v>2339</v>
      </c>
      <c r="F1060" s="45" t="s">
        <v>235</v>
      </c>
      <c r="G1060" s="45" t="s">
        <v>1059</v>
      </c>
      <c r="H1060" s="265" t="s">
        <v>359</v>
      </c>
      <c r="I1060" s="54">
        <v>8.67</v>
      </c>
      <c r="J1060" s="162"/>
      <c r="K1060" s="54">
        <v>8.67</v>
      </c>
      <c r="L1060" s="162"/>
      <c r="M1060" s="54"/>
      <c r="N1060" s="162"/>
      <c r="O1060" s="54"/>
      <c r="P1060" s="162"/>
      <c r="Q1060" s="96">
        <f t="shared" si="2755"/>
        <v>0</v>
      </c>
      <c r="R1060" s="337">
        <f t="shared" si="2756"/>
        <v>0</v>
      </c>
      <c r="S1060" s="96"/>
      <c r="T1060" s="96">
        <f t="shared" si="2757"/>
        <v>0</v>
      </c>
      <c r="U1060" s="96"/>
      <c r="V1060" s="96">
        <f t="shared" si="2758"/>
        <v>0</v>
      </c>
      <c r="W1060" s="96"/>
      <c r="X1060" s="96">
        <f t="shared" si="2759"/>
        <v>0</v>
      </c>
      <c r="Y1060" s="96">
        <f t="shared" si="2760"/>
        <v>0</v>
      </c>
      <c r="Z1060" s="96">
        <f t="shared" si="2761"/>
        <v>0</v>
      </c>
      <c r="AA1060" s="96"/>
      <c r="AB1060" s="96">
        <f t="shared" si="2762"/>
        <v>0</v>
      </c>
      <c r="AC1060" s="96"/>
      <c r="AD1060" s="96">
        <f t="shared" si="2763"/>
        <v>0</v>
      </c>
      <c r="AE1060" s="96"/>
      <c r="AF1060" s="96">
        <f t="shared" si="2764"/>
        <v>0</v>
      </c>
      <c r="AG1060" s="96">
        <f t="shared" si="2765"/>
        <v>0</v>
      </c>
      <c r="AH1060" s="96">
        <f t="shared" si="2766"/>
        <v>0</v>
      </c>
      <c r="AI1060" s="96">
        <f t="shared" si="2767"/>
        <v>0</v>
      </c>
      <c r="AJ1060" s="96">
        <f t="shared" si="2768"/>
        <v>0</v>
      </c>
      <c r="AK1060" s="96"/>
      <c r="AL1060" s="96">
        <f t="shared" si="2769"/>
        <v>0</v>
      </c>
      <c r="AM1060" s="96"/>
      <c r="AN1060" s="96">
        <f t="shared" si="2770"/>
        <v>0</v>
      </c>
      <c r="AO1060" s="96"/>
      <c r="AP1060" s="96">
        <f t="shared" si="2808"/>
        <v>0</v>
      </c>
      <c r="AQ1060" s="96">
        <f t="shared" si="2772"/>
        <v>0</v>
      </c>
      <c r="AR1060" s="96">
        <f t="shared" si="2773"/>
        <v>0</v>
      </c>
      <c r="AS1060" s="96"/>
      <c r="AT1060" s="96">
        <f t="shared" si="2774"/>
        <v>0</v>
      </c>
      <c r="AU1060" s="96"/>
      <c r="AV1060" s="96">
        <f t="shared" si="2775"/>
        <v>0</v>
      </c>
      <c r="AW1060" s="96"/>
      <c r="AX1060" s="96">
        <f t="shared" si="2776"/>
        <v>0</v>
      </c>
      <c r="AY1060" s="96">
        <f t="shared" si="2777"/>
        <v>0</v>
      </c>
      <c r="AZ1060" s="96">
        <f t="shared" si="2778"/>
        <v>0</v>
      </c>
      <c r="BA1060" s="96">
        <f t="shared" si="2779"/>
        <v>0</v>
      </c>
      <c r="BB1060" s="96">
        <f t="shared" si="2780"/>
        <v>0</v>
      </c>
    </row>
    <row r="1061" spans="1:54" s="6" customFormat="1">
      <c r="A1061" s="492">
        <v>648</v>
      </c>
      <c r="B1061" s="14"/>
      <c r="C1061" s="333"/>
      <c r="D1061" s="14" t="s">
        <v>1485</v>
      </c>
      <c r="E1061" s="287" t="s">
        <v>1480</v>
      </c>
      <c r="F1061" s="505" t="s">
        <v>235</v>
      </c>
      <c r="G1061" s="505" t="s">
        <v>1059</v>
      </c>
      <c r="H1061" s="446" t="s">
        <v>428</v>
      </c>
      <c r="I1061" s="425">
        <v>8.67</v>
      </c>
      <c r="J1061" s="493"/>
      <c r="K1061" s="425">
        <v>8.67</v>
      </c>
      <c r="L1061" s="493"/>
      <c r="M1061" s="425"/>
      <c r="N1061" s="493"/>
      <c r="O1061" s="425"/>
      <c r="P1061" s="493"/>
      <c r="Q1061" s="428">
        <f t="shared" si="2755"/>
        <v>9.66</v>
      </c>
      <c r="R1061" s="449">
        <f t="shared" si="2756"/>
        <v>124.12285507200001</v>
      </c>
      <c r="S1061" s="428">
        <v>2</v>
      </c>
      <c r="T1061" s="428">
        <f t="shared" si="2757"/>
        <v>25.032890999999999</v>
      </c>
      <c r="U1061" s="428"/>
      <c r="V1061" s="428">
        <f t="shared" si="2758"/>
        <v>0</v>
      </c>
      <c r="W1061" s="428">
        <v>4</v>
      </c>
      <c r="X1061" s="428">
        <f t="shared" si="2759"/>
        <v>52.102191599999998</v>
      </c>
      <c r="Y1061" s="428">
        <f t="shared" si="2760"/>
        <v>6</v>
      </c>
      <c r="Z1061" s="428">
        <f t="shared" si="2761"/>
        <v>77.135082600000004</v>
      </c>
      <c r="AA1061" s="428">
        <v>3.66</v>
      </c>
      <c r="AB1061" s="428">
        <f t="shared" si="2762"/>
        <v>46.987772472000003</v>
      </c>
      <c r="AC1061" s="428"/>
      <c r="AD1061" s="428">
        <f t="shared" si="2763"/>
        <v>0</v>
      </c>
      <c r="AE1061" s="428"/>
      <c r="AF1061" s="130">
        <f t="shared" si="2764"/>
        <v>0</v>
      </c>
      <c r="AG1061" s="428">
        <f t="shared" si="2765"/>
        <v>3.66</v>
      </c>
      <c r="AH1061" s="428">
        <f t="shared" si="2766"/>
        <v>46.987772472000003</v>
      </c>
      <c r="AI1061" s="428">
        <f t="shared" si="2767"/>
        <v>9.66</v>
      </c>
      <c r="AJ1061" s="428">
        <f t="shared" si="2768"/>
        <v>124.12285507200001</v>
      </c>
      <c r="AK1061" s="428"/>
      <c r="AL1061" s="428">
        <f t="shared" si="2769"/>
        <v>0</v>
      </c>
      <c r="AM1061" s="428"/>
      <c r="AN1061" s="428">
        <f t="shared" si="2770"/>
        <v>0</v>
      </c>
      <c r="AO1061" s="428"/>
      <c r="AP1061" s="428">
        <f t="shared" si="2808"/>
        <v>0</v>
      </c>
      <c r="AQ1061" s="428">
        <f t="shared" si="2772"/>
        <v>0</v>
      </c>
      <c r="AR1061" s="428">
        <f t="shared" si="2773"/>
        <v>0</v>
      </c>
      <c r="AS1061" s="428"/>
      <c r="AT1061" s="428">
        <f t="shared" si="2774"/>
        <v>0</v>
      </c>
      <c r="AU1061" s="428"/>
      <c r="AV1061" s="428">
        <f t="shared" si="2775"/>
        <v>0</v>
      </c>
      <c r="AW1061" s="428"/>
      <c r="AX1061" s="428">
        <f t="shared" si="2776"/>
        <v>0</v>
      </c>
      <c r="AY1061" s="428">
        <f t="shared" si="2777"/>
        <v>0</v>
      </c>
      <c r="AZ1061" s="428">
        <f t="shared" si="2778"/>
        <v>0</v>
      </c>
      <c r="BA1061" s="428">
        <f t="shared" si="2779"/>
        <v>0</v>
      </c>
      <c r="BB1061" s="428">
        <f t="shared" si="2780"/>
        <v>0</v>
      </c>
    </row>
    <row r="1062" spans="1:54">
      <c r="A1062" s="492">
        <v>650</v>
      </c>
      <c r="B1062" s="13"/>
      <c r="C1062" s="299"/>
      <c r="D1062" s="14" t="s">
        <v>1485</v>
      </c>
      <c r="E1062" s="21" t="s">
        <v>2066</v>
      </c>
      <c r="F1062" s="45" t="s">
        <v>235</v>
      </c>
      <c r="G1062" s="45" t="s">
        <v>1059</v>
      </c>
      <c r="H1062" s="265" t="s">
        <v>359</v>
      </c>
      <c r="I1062" s="54">
        <v>8.67</v>
      </c>
      <c r="J1062" s="162"/>
      <c r="K1062" s="54">
        <v>8.67</v>
      </c>
      <c r="L1062" s="162"/>
      <c r="M1062" s="54"/>
      <c r="N1062" s="162"/>
      <c r="O1062" s="54"/>
      <c r="P1062" s="162"/>
      <c r="Q1062" s="96">
        <f t="shared" ref="Q1062" si="2835">SUM(AI1062+BA1062)</f>
        <v>0.37</v>
      </c>
      <c r="R1062" s="337">
        <f t="shared" ref="R1062" si="2836">SUM(AJ1062+BB1062)</f>
        <v>4.8194527229999995</v>
      </c>
      <c r="S1062" s="96"/>
      <c r="T1062" s="96">
        <f t="shared" ref="T1062" si="2837">I1062*S1062*$T$2/1000</f>
        <v>0</v>
      </c>
      <c r="U1062" s="96"/>
      <c r="V1062" s="96">
        <f t="shared" ref="V1062" si="2838">I1062*U1062*$V$2/1000</f>
        <v>0</v>
      </c>
      <c r="W1062" s="96">
        <v>0.37</v>
      </c>
      <c r="X1062" s="96">
        <f t="shared" ref="X1062" si="2839">I1062*W1062*$X$2/1000</f>
        <v>4.8194527229999995</v>
      </c>
      <c r="Y1062" s="96">
        <f t="shared" ref="Y1062" si="2840">SUM(S1062+U1062+W1062)</f>
        <v>0.37</v>
      </c>
      <c r="Z1062" s="96">
        <f t="shared" ref="Z1062" si="2841">SUM(T1062+V1062+X1062)</f>
        <v>4.8194527229999995</v>
      </c>
      <c r="AA1062" s="96"/>
      <c r="AB1062" s="96">
        <f t="shared" ref="AB1062" si="2842">K1062*AA1062*$AB$2/1000</f>
        <v>0</v>
      </c>
      <c r="AC1062" s="96"/>
      <c r="AD1062" s="96">
        <f t="shared" ref="AD1062" si="2843">K1062*AC1062*$AD$2/1000</f>
        <v>0</v>
      </c>
      <c r="AE1062" s="96"/>
      <c r="AF1062" s="96">
        <f t="shared" ref="AF1062" si="2844">K1062*AE1062*$AF$2/1000</f>
        <v>0</v>
      </c>
      <c r="AG1062" s="96">
        <f t="shared" ref="AG1062" si="2845">SUM(AA1062+AC1062+AE1062)</f>
        <v>0</v>
      </c>
      <c r="AH1062" s="96">
        <f t="shared" ref="AH1062" si="2846">SUM(AB1062+AD1062+AF1062)</f>
        <v>0</v>
      </c>
      <c r="AI1062" s="96">
        <f t="shared" ref="AI1062" si="2847">SUM(Y1062+AG1062)</f>
        <v>0.37</v>
      </c>
      <c r="AJ1062" s="96">
        <f t="shared" ref="AJ1062" si="2848">SUM(Z1062,AH1062)</f>
        <v>4.8194527229999995</v>
      </c>
      <c r="AK1062" s="96"/>
      <c r="AL1062" s="96">
        <f t="shared" ref="AL1062" si="2849">M1062*AK1062*$AL$2/1000</f>
        <v>0</v>
      </c>
      <c r="AM1062" s="96"/>
      <c r="AN1062" s="96">
        <f t="shared" ref="AN1062" si="2850">M1062*AM1062*$AN$2/1000</f>
        <v>0</v>
      </c>
      <c r="AO1062" s="96"/>
      <c r="AP1062" s="96">
        <f t="shared" ref="AP1062" si="2851">M1062*AO1062*$AP$2/1000</f>
        <v>0</v>
      </c>
      <c r="AQ1062" s="96">
        <f t="shared" ref="AQ1062" si="2852">SUM(AK1062+AM1062+AO1062)</f>
        <v>0</v>
      </c>
      <c r="AR1062" s="96">
        <f t="shared" ref="AR1062" si="2853">SUM(AL1062+AN1062+AP1062)</f>
        <v>0</v>
      </c>
      <c r="AS1062" s="96"/>
      <c r="AT1062" s="96">
        <f t="shared" ref="AT1062" si="2854">O1062*AS1062*$AT$2/1000</f>
        <v>0</v>
      </c>
      <c r="AU1062" s="96"/>
      <c r="AV1062" s="96">
        <f t="shared" ref="AV1062" si="2855">O1062*AU1062*$AV$2/1000</f>
        <v>0</v>
      </c>
      <c r="AW1062" s="96"/>
      <c r="AX1062" s="96">
        <f t="shared" ref="AX1062" si="2856">O1062*AW1062*$AX$2/1000</f>
        <v>0</v>
      </c>
      <c r="AY1062" s="96">
        <f t="shared" ref="AY1062" si="2857">SUM(AS1062+AU1062+AW1062)</f>
        <v>0</v>
      </c>
      <c r="AZ1062" s="96">
        <f t="shared" ref="AZ1062" si="2858">SUM(AT1062+AV1062+AX1062)</f>
        <v>0</v>
      </c>
      <c r="BA1062" s="96">
        <f t="shared" ref="BA1062" si="2859">SUM(AQ1062+AY1062)</f>
        <v>0</v>
      </c>
      <c r="BB1062" s="96">
        <f t="shared" ref="BB1062" si="2860">SUM(AR1062,AZ1062)</f>
        <v>0</v>
      </c>
    </row>
    <row r="1063" spans="1:54">
      <c r="A1063" s="492">
        <v>650</v>
      </c>
      <c r="B1063" s="13"/>
      <c r="C1063" s="299"/>
      <c r="D1063" s="14" t="s">
        <v>1485</v>
      </c>
      <c r="E1063" s="21" t="s">
        <v>2220</v>
      </c>
      <c r="F1063" s="45" t="s">
        <v>235</v>
      </c>
      <c r="G1063" s="45" t="s">
        <v>1059</v>
      </c>
      <c r="H1063" s="265" t="s">
        <v>359</v>
      </c>
      <c r="I1063" s="54">
        <v>8.6199999999999992</v>
      </c>
      <c r="J1063" s="162"/>
      <c r="K1063" s="54">
        <v>8.6199999999999992</v>
      </c>
      <c r="L1063" s="162"/>
      <c r="M1063" s="54"/>
      <c r="N1063" s="162"/>
      <c r="O1063" s="54"/>
      <c r="P1063" s="162"/>
      <c r="Q1063" s="96">
        <f t="shared" si="2755"/>
        <v>0</v>
      </c>
      <c r="R1063" s="337">
        <f t="shared" si="2756"/>
        <v>0</v>
      </c>
      <c r="S1063" s="96"/>
      <c r="T1063" s="96">
        <f t="shared" si="2757"/>
        <v>0</v>
      </c>
      <c r="U1063" s="96"/>
      <c r="V1063" s="96">
        <f t="shared" si="2758"/>
        <v>0</v>
      </c>
      <c r="W1063" s="96"/>
      <c r="X1063" s="96">
        <f t="shared" si="2759"/>
        <v>0</v>
      </c>
      <c r="Y1063" s="96">
        <f t="shared" si="2760"/>
        <v>0</v>
      </c>
      <c r="Z1063" s="96">
        <f t="shared" si="2761"/>
        <v>0</v>
      </c>
      <c r="AA1063" s="96"/>
      <c r="AB1063" s="96">
        <f t="shared" si="2762"/>
        <v>0</v>
      </c>
      <c r="AC1063" s="96"/>
      <c r="AD1063" s="96">
        <f t="shared" si="2763"/>
        <v>0</v>
      </c>
      <c r="AE1063" s="96"/>
      <c r="AF1063" s="96">
        <f t="shared" si="2764"/>
        <v>0</v>
      </c>
      <c r="AG1063" s="96">
        <f t="shared" si="2765"/>
        <v>0</v>
      </c>
      <c r="AH1063" s="96">
        <f t="shared" si="2766"/>
        <v>0</v>
      </c>
      <c r="AI1063" s="96">
        <f t="shared" si="2767"/>
        <v>0</v>
      </c>
      <c r="AJ1063" s="96">
        <f t="shared" si="2768"/>
        <v>0</v>
      </c>
      <c r="AK1063" s="96"/>
      <c r="AL1063" s="96">
        <f t="shared" si="2769"/>
        <v>0</v>
      </c>
      <c r="AM1063" s="96"/>
      <c r="AN1063" s="96">
        <f t="shared" si="2770"/>
        <v>0</v>
      </c>
      <c r="AO1063" s="96"/>
      <c r="AP1063" s="96">
        <f t="shared" si="2808"/>
        <v>0</v>
      </c>
      <c r="AQ1063" s="96">
        <f t="shared" si="2772"/>
        <v>0</v>
      </c>
      <c r="AR1063" s="96">
        <f t="shared" si="2773"/>
        <v>0</v>
      </c>
      <c r="AS1063" s="96"/>
      <c r="AT1063" s="96">
        <f t="shared" si="2774"/>
        <v>0</v>
      </c>
      <c r="AU1063" s="96"/>
      <c r="AV1063" s="96">
        <f t="shared" si="2775"/>
        <v>0</v>
      </c>
      <c r="AW1063" s="96"/>
      <c r="AX1063" s="96">
        <f t="shared" si="2776"/>
        <v>0</v>
      </c>
      <c r="AY1063" s="96">
        <f t="shared" si="2777"/>
        <v>0</v>
      </c>
      <c r="AZ1063" s="96">
        <f t="shared" si="2778"/>
        <v>0</v>
      </c>
      <c r="BA1063" s="96">
        <f t="shared" si="2779"/>
        <v>0</v>
      </c>
      <c r="BB1063" s="96">
        <f t="shared" si="2780"/>
        <v>0</v>
      </c>
    </row>
    <row r="1064" spans="1:54">
      <c r="A1064" s="492">
        <v>650</v>
      </c>
      <c r="B1064" s="13"/>
      <c r="C1064" s="299"/>
      <c r="D1064" s="14" t="s">
        <v>1485</v>
      </c>
      <c r="E1064" s="21" t="s">
        <v>2562</v>
      </c>
      <c r="F1064" s="45" t="s">
        <v>235</v>
      </c>
      <c r="G1064" s="45" t="s">
        <v>1059</v>
      </c>
      <c r="H1064" s="265" t="s">
        <v>359</v>
      </c>
      <c r="I1064" s="54">
        <v>8.6199999999999992</v>
      </c>
      <c r="J1064" s="162"/>
      <c r="K1064" s="54">
        <v>8.6199999999999992</v>
      </c>
      <c r="L1064" s="162"/>
      <c r="M1064" s="54"/>
      <c r="N1064" s="162"/>
      <c r="O1064" s="54"/>
      <c r="P1064" s="162"/>
      <c r="Q1064" s="96">
        <f t="shared" ref="Q1064" si="2861">SUM(AI1064+BA1064)</f>
        <v>0.03</v>
      </c>
      <c r="R1064" s="337">
        <f t="shared" ref="R1064" si="2862">SUM(AJ1064+BB1064)</f>
        <v>0.38851288199999989</v>
      </c>
      <c r="S1064" s="96"/>
      <c r="T1064" s="96">
        <f t="shared" ref="T1064" si="2863">I1064*S1064*$T$2/1000</f>
        <v>0</v>
      </c>
      <c r="U1064" s="96"/>
      <c r="V1064" s="96">
        <f t="shared" ref="V1064" si="2864">I1064*U1064*$V$2/1000</f>
        <v>0</v>
      </c>
      <c r="W1064" s="96">
        <v>0.03</v>
      </c>
      <c r="X1064" s="96">
        <f t="shared" ref="X1064" si="2865">I1064*W1064*$X$2/1000</f>
        <v>0.38851288199999989</v>
      </c>
      <c r="Y1064" s="96">
        <f t="shared" ref="Y1064" si="2866">SUM(S1064+U1064+W1064)</f>
        <v>0.03</v>
      </c>
      <c r="Z1064" s="96">
        <f t="shared" ref="Z1064" si="2867">SUM(T1064+V1064+X1064)</f>
        <v>0.38851288199999989</v>
      </c>
      <c r="AA1064" s="96"/>
      <c r="AB1064" s="96">
        <f t="shared" ref="AB1064" si="2868">K1064*AA1064*$AB$2/1000</f>
        <v>0</v>
      </c>
      <c r="AC1064" s="96"/>
      <c r="AD1064" s="96">
        <f t="shared" ref="AD1064" si="2869">K1064*AC1064*$AD$2/1000</f>
        <v>0</v>
      </c>
      <c r="AE1064" s="96"/>
      <c r="AF1064" s="96">
        <f t="shared" ref="AF1064" si="2870">K1064*AE1064*$AF$2/1000</f>
        <v>0</v>
      </c>
      <c r="AG1064" s="96">
        <f t="shared" ref="AG1064" si="2871">SUM(AA1064+AC1064+AE1064)</f>
        <v>0</v>
      </c>
      <c r="AH1064" s="96">
        <f t="shared" ref="AH1064" si="2872">SUM(AB1064+AD1064+AF1064)</f>
        <v>0</v>
      </c>
      <c r="AI1064" s="96">
        <f t="shared" ref="AI1064" si="2873">SUM(Y1064+AG1064)</f>
        <v>0.03</v>
      </c>
      <c r="AJ1064" s="96">
        <f t="shared" ref="AJ1064" si="2874">SUM(Z1064,AH1064)</f>
        <v>0.38851288199999989</v>
      </c>
      <c r="AK1064" s="96"/>
      <c r="AL1064" s="96">
        <f t="shared" ref="AL1064" si="2875">M1064*AK1064*$AL$2/1000</f>
        <v>0</v>
      </c>
      <c r="AM1064" s="96"/>
      <c r="AN1064" s="96">
        <f t="shared" ref="AN1064" si="2876">M1064*AM1064*$AN$2/1000</f>
        <v>0</v>
      </c>
      <c r="AO1064" s="96"/>
      <c r="AP1064" s="96">
        <f t="shared" ref="AP1064" si="2877">M1064*AO1064*$AP$2/1000</f>
        <v>0</v>
      </c>
      <c r="AQ1064" s="96">
        <f t="shared" ref="AQ1064" si="2878">SUM(AK1064+AM1064+AO1064)</f>
        <v>0</v>
      </c>
      <c r="AR1064" s="96">
        <f t="shared" ref="AR1064" si="2879">SUM(AL1064+AN1064+AP1064)</f>
        <v>0</v>
      </c>
      <c r="AS1064" s="96"/>
      <c r="AT1064" s="96">
        <f t="shared" ref="AT1064" si="2880">O1064*AS1064*$AT$2/1000</f>
        <v>0</v>
      </c>
      <c r="AU1064" s="96"/>
      <c r="AV1064" s="96">
        <f t="shared" ref="AV1064" si="2881">O1064*AU1064*$AV$2/1000</f>
        <v>0</v>
      </c>
      <c r="AW1064" s="96"/>
      <c r="AX1064" s="96">
        <f t="shared" ref="AX1064" si="2882">O1064*AW1064*$AX$2/1000</f>
        <v>0</v>
      </c>
      <c r="AY1064" s="96">
        <f t="shared" ref="AY1064" si="2883">SUM(AS1064+AU1064+AW1064)</f>
        <v>0</v>
      </c>
      <c r="AZ1064" s="96">
        <f t="shared" ref="AZ1064" si="2884">SUM(AT1064+AV1064+AX1064)</f>
        <v>0</v>
      </c>
      <c r="BA1064" s="96">
        <f t="shared" ref="BA1064" si="2885">SUM(AQ1064+AY1064)</f>
        <v>0</v>
      </c>
      <c r="BB1064" s="96">
        <f t="shared" ref="BB1064" si="2886">SUM(AR1064,AZ1064)</f>
        <v>0</v>
      </c>
    </row>
    <row r="1065" spans="1:54">
      <c r="A1065" s="492">
        <v>650</v>
      </c>
      <c r="B1065" s="13"/>
      <c r="C1065" s="299"/>
      <c r="D1065" s="14" t="s">
        <v>1485</v>
      </c>
      <c r="E1065" s="287" t="s">
        <v>2209</v>
      </c>
      <c r="F1065" s="45" t="s">
        <v>235</v>
      </c>
      <c r="G1065" s="45" t="s">
        <v>1059</v>
      </c>
      <c r="H1065" s="265" t="s">
        <v>359</v>
      </c>
      <c r="I1065" s="54">
        <v>8.6199999999999992</v>
      </c>
      <c r="J1065" s="162"/>
      <c r="K1065" s="54">
        <v>8.6199999999999992</v>
      </c>
      <c r="L1065" s="162"/>
      <c r="M1065" s="54"/>
      <c r="N1065" s="162"/>
      <c r="O1065" s="54"/>
      <c r="P1065" s="162"/>
      <c r="Q1065" s="96">
        <f t="shared" ref="Q1065" si="2887">SUM(AI1065+BA1065)</f>
        <v>0</v>
      </c>
      <c r="R1065" s="337">
        <f t="shared" ref="R1065" si="2888">SUM(AJ1065+BB1065)</f>
        <v>0</v>
      </c>
      <c r="S1065" s="96"/>
      <c r="T1065" s="96">
        <f t="shared" ref="T1065" si="2889">I1065*S1065*$T$2/1000</f>
        <v>0</v>
      </c>
      <c r="U1065" s="96"/>
      <c r="V1065" s="96">
        <f t="shared" ref="V1065" si="2890">I1065*U1065*$V$2/1000</f>
        <v>0</v>
      </c>
      <c r="W1065" s="96"/>
      <c r="X1065" s="96">
        <f t="shared" ref="X1065" si="2891">I1065*W1065*$X$2/1000</f>
        <v>0</v>
      </c>
      <c r="Y1065" s="96">
        <f t="shared" ref="Y1065" si="2892">SUM(S1065+U1065+W1065)</f>
        <v>0</v>
      </c>
      <c r="Z1065" s="96">
        <f t="shared" ref="Z1065" si="2893">SUM(T1065+V1065+X1065)</f>
        <v>0</v>
      </c>
      <c r="AA1065" s="96"/>
      <c r="AB1065" s="96">
        <f t="shared" ref="AB1065" si="2894">K1065*AA1065*$AB$2/1000</f>
        <v>0</v>
      </c>
      <c r="AC1065" s="96"/>
      <c r="AD1065" s="96">
        <f t="shared" ref="AD1065" si="2895">K1065*AC1065*$AD$2/1000</f>
        <v>0</v>
      </c>
      <c r="AE1065" s="96"/>
      <c r="AF1065" s="96">
        <f t="shared" ref="AF1065" si="2896">K1065*AE1065*$AF$2/1000</f>
        <v>0</v>
      </c>
      <c r="AG1065" s="96">
        <f t="shared" ref="AG1065" si="2897">SUM(AA1065+AC1065+AE1065)</f>
        <v>0</v>
      </c>
      <c r="AH1065" s="96">
        <f t="shared" ref="AH1065" si="2898">SUM(AB1065+AD1065+AF1065)</f>
        <v>0</v>
      </c>
      <c r="AI1065" s="96">
        <f t="shared" ref="AI1065" si="2899">SUM(Y1065+AG1065)</f>
        <v>0</v>
      </c>
      <c r="AJ1065" s="96">
        <f t="shared" ref="AJ1065" si="2900">SUM(Z1065,AH1065)</f>
        <v>0</v>
      </c>
      <c r="AK1065" s="96"/>
      <c r="AL1065" s="96">
        <f t="shared" ref="AL1065" si="2901">M1065*AK1065*$AL$2/1000</f>
        <v>0</v>
      </c>
      <c r="AM1065" s="96"/>
      <c r="AN1065" s="96">
        <f t="shared" ref="AN1065" si="2902">M1065*AM1065*$AN$2/1000</f>
        <v>0</v>
      </c>
      <c r="AO1065" s="96"/>
      <c r="AP1065" s="96">
        <f t="shared" ref="AP1065" si="2903">M1065*AO1065*$AP$2/1000</f>
        <v>0</v>
      </c>
      <c r="AQ1065" s="96">
        <f t="shared" ref="AQ1065" si="2904">SUM(AK1065+AM1065+AO1065)</f>
        <v>0</v>
      </c>
      <c r="AR1065" s="96">
        <f t="shared" ref="AR1065" si="2905">SUM(AL1065+AN1065+AP1065)</f>
        <v>0</v>
      </c>
      <c r="AS1065" s="96"/>
      <c r="AT1065" s="96">
        <f t="shared" ref="AT1065" si="2906">O1065*AS1065*$AT$2/1000</f>
        <v>0</v>
      </c>
      <c r="AU1065" s="96"/>
      <c r="AV1065" s="96">
        <f t="shared" ref="AV1065" si="2907">O1065*AU1065*$AV$2/1000</f>
        <v>0</v>
      </c>
      <c r="AW1065" s="96"/>
      <c r="AX1065" s="96">
        <f t="shared" ref="AX1065" si="2908">O1065*AW1065*$AX$2/1000</f>
        <v>0</v>
      </c>
      <c r="AY1065" s="96">
        <f t="shared" ref="AY1065" si="2909">SUM(AS1065+AU1065+AW1065)</f>
        <v>0</v>
      </c>
      <c r="AZ1065" s="96">
        <f t="shared" ref="AZ1065" si="2910">SUM(AT1065+AV1065+AX1065)</f>
        <v>0</v>
      </c>
      <c r="BA1065" s="96">
        <f t="shared" ref="BA1065" si="2911">SUM(AQ1065+AY1065)</f>
        <v>0</v>
      </c>
      <c r="BB1065" s="96">
        <f t="shared" ref="BB1065" si="2912">SUM(AR1065,AZ1065)</f>
        <v>0</v>
      </c>
    </row>
    <row r="1066" spans="1:54">
      <c r="A1066" s="492">
        <v>650</v>
      </c>
      <c r="B1066" s="13"/>
      <c r="C1066" s="299"/>
      <c r="D1066" s="14" t="s">
        <v>1485</v>
      </c>
      <c r="E1066" s="287" t="s">
        <v>1539</v>
      </c>
      <c r="F1066" s="45" t="s">
        <v>235</v>
      </c>
      <c r="G1066" s="45" t="s">
        <v>1059</v>
      </c>
      <c r="H1066" s="265" t="s">
        <v>359</v>
      </c>
      <c r="I1066" s="54">
        <v>8.98</v>
      </c>
      <c r="J1066" s="162"/>
      <c r="K1066" s="54">
        <v>8.98</v>
      </c>
      <c r="L1066" s="162"/>
      <c r="M1066" s="54"/>
      <c r="N1066" s="162"/>
      <c r="O1066" s="54"/>
      <c r="P1066" s="162"/>
      <c r="Q1066" s="96">
        <f t="shared" si="2755"/>
        <v>0.36699999999999999</v>
      </c>
      <c r="R1066" s="337">
        <f t="shared" si="2756"/>
        <v>4.8800815016000003</v>
      </c>
      <c r="S1066" s="96"/>
      <c r="T1066" s="96">
        <f t="shared" si="2757"/>
        <v>0</v>
      </c>
      <c r="U1066" s="96"/>
      <c r="V1066" s="96">
        <f t="shared" si="2758"/>
        <v>0</v>
      </c>
      <c r="W1066" s="96"/>
      <c r="X1066" s="96">
        <f t="shared" si="2759"/>
        <v>0</v>
      </c>
      <c r="Y1066" s="96">
        <f t="shared" si="2760"/>
        <v>0</v>
      </c>
      <c r="Z1066" s="96">
        <f t="shared" si="2761"/>
        <v>0</v>
      </c>
      <c r="AA1066" s="96">
        <v>0.36699999999999999</v>
      </c>
      <c r="AB1066" s="96">
        <f t="shared" si="2762"/>
        <v>4.8800815016000003</v>
      </c>
      <c r="AC1066" s="96"/>
      <c r="AD1066" s="96">
        <f t="shared" si="2763"/>
        <v>0</v>
      </c>
      <c r="AE1066" s="96"/>
      <c r="AF1066" s="96">
        <f t="shared" si="2764"/>
        <v>0</v>
      </c>
      <c r="AG1066" s="96">
        <f t="shared" si="2765"/>
        <v>0.36699999999999999</v>
      </c>
      <c r="AH1066" s="96">
        <f t="shared" si="2766"/>
        <v>4.8800815016000003</v>
      </c>
      <c r="AI1066" s="96">
        <f t="shared" si="2767"/>
        <v>0.36699999999999999</v>
      </c>
      <c r="AJ1066" s="96">
        <f t="shared" si="2768"/>
        <v>4.8800815016000003</v>
      </c>
      <c r="AK1066" s="96"/>
      <c r="AL1066" s="96">
        <f t="shared" si="2769"/>
        <v>0</v>
      </c>
      <c r="AM1066" s="96"/>
      <c r="AN1066" s="96">
        <f t="shared" si="2770"/>
        <v>0</v>
      </c>
      <c r="AO1066" s="96"/>
      <c r="AP1066" s="96">
        <f t="shared" si="2808"/>
        <v>0</v>
      </c>
      <c r="AQ1066" s="96">
        <f t="shared" si="2772"/>
        <v>0</v>
      </c>
      <c r="AR1066" s="96">
        <f t="shared" si="2773"/>
        <v>0</v>
      </c>
      <c r="AS1066" s="96"/>
      <c r="AT1066" s="96">
        <f t="shared" si="2774"/>
        <v>0</v>
      </c>
      <c r="AU1066" s="96"/>
      <c r="AV1066" s="96">
        <f t="shared" si="2775"/>
        <v>0</v>
      </c>
      <c r="AW1066" s="96"/>
      <c r="AX1066" s="96">
        <f t="shared" si="2776"/>
        <v>0</v>
      </c>
      <c r="AY1066" s="96">
        <f t="shared" si="2777"/>
        <v>0</v>
      </c>
      <c r="AZ1066" s="96">
        <f t="shared" si="2778"/>
        <v>0</v>
      </c>
      <c r="BA1066" s="96">
        <f t="shared" si="2779"/>
        <v>0</v>
      </c>
      <c r="BB1066" s="96">
        <f t="shared" si="2780"/>
        <v>0</v>
      </c>
    </row>
    <row r="1067" spans="1:54">
      <c r="A1067" s="492">
        <v>650</v>
      </c>
      <c r="B1067" s="13"/>
      <c r="C1067" s="299"/>
      <c r="D1067" s="14" t="s">
        <v>1485</v>
      </c>
      <c r="E1067" s="287" t="s">
        <v>1616</v>
      </c>
      <c r="F1067" s="45" t="s">
        <v>235</v>
      </c>
      <c r="G1067" s="45" t="s">
        <v>1059</v>
      </c>
      <c r="H1067" s="265" t="s">
        <v>428</v>
      </c>
      <c r="I1067" s="54">
        <v>8.98</v>
      </c>
      <c r="J1067" s="162"/>
      <c r="K1067" s="54">
        <v>8.98</v>
      </c>
      <c r="L1067" s="162"/>
      <c r="M1067" s="54"/>
      <c r="N1067" s="162"/>
      <c r="O1067" s="54"/>
      <c r="P1067" s="162"/>
      <c r="Q1067" s="96">
        <f t="shared" si="2755"/>
        <v>0</v>
      </c>
      <c r="R1067" s="337">
        <f t="shared" si="2756"/>
        <v>0</v>
      </c>
      <c r="S1067" s="96"/>
      <c r="T1067" s="96">
        <f t="shared" si="2757"/>
        <v>0</v>
      </c>
      <c r="U1067" s="96"/>
      <c r="V1067" s="96">
        <f t="shared" si="2758"/>
        <v>0</v>
      </c>
      <c r="W1067" s="96"/>
      <c r="X1067" s="96">
        <f t="shared" si="2759"/>
        <v>0</v>
      </c>
      <c r="Y1067" s="96">
        <f t="shared" si="2760"/>
        <v>0</v>
      </c>
      <c r="Z1067" s="96">
        <f t="shared" si="2761"/>
        <v>0</v>
      </c>
      <c r="AA1067" s="96"/>
      <c r="AB1067" s="96">
        <f t="shared" si="2762"/>
        <v>0</v>
      </c>
      <c r="AC1067" s="96"/>
      <c r="AD1067" s="96">
        <f t="shared" si="2763"/>
        <v>0</v>
      </c>
      <c r="AE1067" s="96"/>
      <c r="AF1067" s="96">
        <f t="shared" si="2764"/>
        <v>0</v>
      </c>
      <c r="AG1067" s="96">
        <f t="shared" si="2765"/>
        <v>0</v>
      </c>
      <c r="AH1067" s="96">
        <f t="shared" si="2766"/>
        <v>0</v>
      </c>
      <c r="AI1067" s="96">
        <f t="shared" si="2767"/>
        <v>0</v>
      </c>
      <c r="AJ1067" s="96">
        <f t="shared" si="2768"/>
        <v>0</v>
      </c>
      <c r="AK1067" s="96"/>
      <c r="AL1067" s="96">
        <f t="shared" si="2769"/>
        <v>0</v>
      </c>
      <c r="AM1067" s="96"/>
      <c r="AN1067" s="96">
        <f t="shared" si="2770"/>
        <v>0</v>
      </c>
      <c r="AO1067" s="96"/>
      <c r="AP1067" s="96">
        <f t="shared" si="2808"/>
        <v>0</v>
      </c>
      <c r="AQ1067" s="96">
        <f t="shared" si="2772"/>
        <v>0</v>
      </c>
      <c r="AR1067" s="96">
        <f t="shared" si="2773"/>
        <v>0</v>
      </c>
      <c r="AS1067" s="96"/>
      <c r="AT1067" s="96">
        <f t="shared" si="2774"/>
        <v>0</v>
      </c>
      <c r="AU1067" s="96"/>
      <c r="AV1067" s="96">
        <f t="shared" si="2775"/>
        <v>0</v>
      </c>
      <c r="AW1067" s="96"/>
      <c r="AX1067" s="96">
        <f t="shared" si="2776"/>
        <v>0</v>
      </c>
      <c r="AY1067" s="96">
        <f t="shared" si="2777"/>
        <v>0</v>
      </c>
      <c r="AZ1067" s="96">
        <f t="shared" si="2778"/>
        <v>0</v>
      </c>
      <c r="BA1067" s="96">
        <f t="shared" si="2779"/>
        <v>0</v>
      </c>
      <c r="BB1067" s="96">
        <f t="shared" si="2780"/>
        <v>0</v>
      </c>
    </row>
    <row r="1068" spans="1:54">
      <c r="A1068" s="492">
        <v>650</v>
      </c>
      <c r="B1068" s="13"/>
      <c r="C1068" s="299"/>
      <c r="D1068" s="14" t="s">
        <v>1485</v>
      </c>
      <c r="E1068" s="287" t="s">
        <v>1683</v>
      </c>
      <c r="F1068" s="45" t="s">
        <v>235</v>
      </c>
      <c r="G1068" s="45" t="s">
        <v>1059</v>
      </c>
      <c r="H1068" s="265" t="s">
        <v>428</v>
      </c>
      <c r="I1068" s="54">
        <v>9.1199999999999992</v>
      </c>
      <c r="J1068" s="162"/>
      <c r="K1068" s="54">
        <v>9.1199999999999992</v>
      </c>
      <c r="L1068" s="162"/>
      <c r="M1068" s="54"/>
      <c r="N1068" s="162"/>
      <c r="O1068" s="54"/>
      <c r="P1068" s="162"/>
      <c r="Q1068" s="96">
        <f t="shared" si="2755"/>
        <v>6.5000000000000002E-2</v>
      </c>
      <c r="R1068" s="337">
        <f t="shared" si="2756"/>
        <v>0.87779452800000002</v>
      </c>
      <c r="S1068" s="96"/>
      <c r="T1068" s="96">
        <f t="shared" si="2757"/>
        <v>0</v>
      </c>
      <c r="U1068" s="96"/>
      <c r="V1068" s="96">
        <f t="shared" si="2758"/>
        <v>0</v>
      </c>
      <c r="W1068" s="96"/>
      <c r="X1068" s="96">
        <f t="shared" si="2759"/>
        <v>0</v>
      </c>
      <c r="Y1068" s="96">
        <f t="shared" si="2760"/>
        <v>0</v>
      </c>
      <c r="Z1068" s="96">
        <f t="shared" si="2761"/>
        <v>0</v>
      </c>
      <c r="AA1068" s="96">
        <v>6.5000000000000002E-2</v>
      </c>
      <c r="AB1068" s="96">
        <f t="shared" si="2762"/>
        <v>0.87779452800000002</v>
      </c>
      <c r="AC1068" s="96"/>
      <c r="AD1068" s="96">
        <f t="shared" si="2763"/>
        <v>0</v>
      </c>
      <c r="AE1068" s="96"/>
      <c r="AF1068" s="96">
        <f t="shared" si="2764"/>
        <v>0</v>
      </c>
      <c r="AG1068" s="96">
        <f t="shared" si="2765"/>
        <v>6.5000000000000002E-2</v>
      </c>
      <c r="AH1068" s="96">
        <f t="shared" si="2766"/>
        <v>0.87779452800000002</v>
      </c>
      <c r="AI1068" s="96">
        <f t="shared" si="2767"/>
        <v>6.5000000000000002E-2</v>
      </c>
      <c r="AJ1068" s="96">
        <f t="shared" si="2768"/>
        <v>0.87779452800000002</v>
      </c>
      <c r="AK1068" s="96"/>
      <c r="AL1068" s="96">
        <f t="shared" si="2769"/>
        <v>0</v>
      </c>
      <c r="AM1068" s="96"/>
      <c r="AN1068" s="96">
        <f t="shared" si="2770"/>
        <v>0</v>
      </c>
      <c r="AO1068" s="96"/>
      <c r="AP1068" s="96">
        <f t="shared" si="2808"/>
        <v>0</v>
      </c>
      <c r="AQ1068" s="96">
        <f t="shared" si="2772"/>
        <v>0</v>
      </c>
      <c r="AR1068" s="96">
        <f t="shared" si="2773"/>
        <v>0</v>
      </c>
      <c r="AS1068" s="96"/>
      <c r="AT1068" s="96">
        <f t="shared" si="2774"/>
        <v>0</v>
      </c>
      <c r="AU1068" s="96"/>
      <c r="AV1068" s="96">
        <f t="shared" si="2775"/>
        <v>0</v>
      </c>
      <c r="AW1068" s="96"/>
      <c r="AX1068" s="96">
        <f t="shared" si="2776"/>
        <v>0</v>
      </c>
      <c r="AY1068" s="96">
        <f t="shared" si="2777"/>
        <v>0</v>
      </c>
      <c r="AZ1068" s="96">
        <f t="shared" si="2778"/>
        <v>0</v>
      </c>
      <c r="BA1068" s="96">
        <f t="shared" si="2779"/>
        <v>0</v>
      </c>
      <c r="BB1068" s="96">
        <f t="shared" si="2780"/>
        <v>0</v>
      </c>
    </row>
    <row r="1069" spans="1:54">
      <c r="A1069" s="492">
        <v>650</v>
      </c>
      <c r="B1069" s="13"/>
      <c r="C1069" s="299"/>
      <c r="D1069" s="14" t="s">
        <v>1485</v>
      </c>
      <c r="E1069" s="287" t="s">
        <v>1684</v>
      </c>
      <c r="F1069" s="45" t="s">
        <v>235</v>
      </c>
      <c r="G1069" s="45" t="s">
        <v>1059</v>
      </c>
      <c r="H1069" s="265" t="s">
        <v>428</v>
      </c>
      <c r="I1069" s="54">
        <v>9.1199999999999992</v>
      </c>
      <c r="J1069" s="162"/>
      <c r="K1069" s="54">
        <v>9.1199999999999992</v>
      </c>
      <c r="L1069" s="162"/>
      <c r="M1069" s="54"/>
      <c r="N1069" s="162"/>
      <c r="O1069" s="54"/>
      <c r="P1069" s="162"/>
      <c r="Q1069" s="96">
        <f t="shared" si="2755"/>
        <v>0</v>
      </c>
      <c r="R1069" s="337">
        <f t="shared" si="2756"/>
        <v>0</v>
      </c>
      <c r="S1069" s="96"/>
      <c r="T1069" s="96">
        <f t="shared" si="2757"/>
        <v>0</v>
      </c>
      <c r="U1069" s="96"/>
      <c r="V1069" s="96">
        <f t="shared" si="2758"/>
        <v>0</v>
      </c>
      <c r="W1069" s="96"/>
      <c r="X1069" s="96">
        <f t="shared" si="2759"/>
        <v>0</v>
      </c>
      <c r="Y1069" s="96">
        <f t="shared" si="2760"/>
        <v>0</v>
      </c>
      <c r="Z1069" s="96">
        <f t="shared" si="2761"/>
        <v>0</v>
      </c>
      <c r="AA1069" s="96"/>
      <c r="AB1069" s="96">
        <f t="shared" si="2762"/>
        <v>0</v>
      </c>
      <c r="AC1069" s="96"/>
      <c r="AD1069" s="96">
        <f t="shared" si="2763"/>
        <v>0</v>
      </c>
      <c r="AE1069" s="96"/>
      <c r="AF1069" s="96">
        <f t="shared" si="2764"/>
        <v>0</v>
      </c>
      <c r="AG1069" s="96">
        <f t="shared" si="2765"/>
        <v>0</v>
      </c>
      <c r="AH1069" s="96">
        <f t="shared" si="2766"/>
        <v>0</v>
      </c>
      <c r="AI1069" s="96">
        <f t="shared" si="2767"/>
        <v>0</v>
      </c>
      <c r="AJ1069" s="96">
        <f t="shared" si="2768"/>
        <v>0</v>
      </c>
      <c r="AK1069" s="96"/>
      <c r="AL1069" s="96">
        <f t="shared" si="2769"/>
        <v>0</v>
      </c>
      <c r="AM1069" s="96"/>
      <c r="AN1069" s="96">
        <f t="shared" si="2770"/>
        <v>0</v>
      </c>
      <c r="AO1069" s="96"/>
      <c r="AP1069" s="96">
        <f t="shared" si="2808"/>
        <v>0</v>
      </c>
      <c r="AQ1069" s="96">
        <f t="shared" si="2772"/>
        <v>0</v>
      </c>
      <c r="AR1069" s="96">
        <f t="shared" si="2773"/>
        <v>0</v>
      </c>
      <c r="AS1069" s="96"/>
      <c r="AT1069" s="96">
        <f t="shared" si="2774"/>
        <v>0</v>
      </c>
      <c r="AU1069" s="96"/>
      <c r="AV1069" s="96">
        <f t="shared" si="2775"/>
        <v>0</v>
      </c>
      <c r="AW1069" s="96"/>
      <c r="AX1069" s="96">
        <f t="shared" si="2776"/>
        <v>0</v>
      </c>
      <c r="AY1069" s="96">
        <f t="shared" si="2777"/>
        <v>0</v>
      </c>
      <c r="AZ1069" s="96">
        <f t="shared" si="2778"/>
        <v>0</v>
      </c>
      <c r="BA1069" s="96">
        <f t="shared" si="2779"/>
        <v>0</v>
      </c>
      <c r="BB1069" s="96">
        <f t="shared" si="2780"/>
        <v>0</v>
      </c>
    </row>
    <row r="1070" spans="1:54">
      <c r="A1070" s="492">
        <v>650</v>
      </c>
      <c r="B1070" s="13"/>
      <c r="C1070" s="299"/>
      <c r="D1070" s="14" t="s">
        <v>1485</v>
      </c>
      <c r="E1070" s="287" t="s">
        <v>1540</v>
      </c>
      <c r="F1070" s="45" t="s">
        <v>235</v>
      </c>
      <c r="G1070" s="45" t="s">
        <v>1059</v>
      </c>
      <c r="H1070" s="265" t="s">
        <v>359</v>
      </c>
      <c r="I1070" s="54">
        <v>10.050000000000001</v>
      </c>
      <c r="J1070" s="162"/>
      <c r="K1070" s="54">
        <v>10.050000000000001</v>
      </c>
      <c r="L1070" s="162"/>
      <c r="M1070" s="54"/>
      <c r="N1070" s="162"/>
      <c r="O1070" s="54"/>
      <c r="P1070" s="162"/>
      <c r="Q1070" s="96">
        <f t="shared" si="2755"/>
        <v>0</v>
      </c>
      <c r="R1070" s="337">
        <f t="shared" si="2756"/>
        <v>0</v>
      </c>
      <c r="S1070" s="96"/>
      <c r="T1070" s="96">
        <f t="shared" si="2757"/>
        <v>0</v>
      </c>
      <c r="U1070" s="96"/>
      <c r="V1070" s="96">
        <f t="shared" si="2758"/>
        <v>0</v>
      </c>
      <c r="W1070" s="96"/>
      <c r="X1070" s="96">
        <f t="shared" si="2759"/>
        <v>0</v>
      </c>
      <c r="Y1070" s="96">
        <f t="shared" si="2760"/>
        <v>0</v>
      </c>
      <c r="Z1070" s="96">
        <f t="shared" si="2761"/>
        <v>0</v>
      </c>
      <c r="AA1070" s="96"/>
      <c r="AB1070" s="96">
        <f t="shared" si="2762"/>
        <v>0</v>
      </c>
      <c r="AC1070" s="96"/>
      <c r="AD1070" s="96">
        <f t="shared" si="2763"/>
        <v>0</v>
      </c>
      <c r="AE1070" s="96"/>
      <c r="AF1070" s="96">
        <f t="shared" si="2764"/>
        <v>0</v>
      </c>
      <c r="AG1070" s="96">
        <f t="shared" si="2765"/>
        <v>0</v>
      </c>
      <c r="AH1070" s="96">
        <f t="shared" si="2766"/>
        <v>0</v>
      </c>
      <c r="AI1070" s="96">
        <f t="shared" si="2767"/>
        <v>0</v>
      </c>
      <c r="AJ1070" s="96">
        <f t="shared" si="2768"/>
        <v>0</v>
      </c>
      <c r="AK1070" s="96"/>
      <c r="AL1070" s="96">
        <f t="shared" si="2769"/>
        <v>0</v>
      </c>
      <c r="AM1070" s="96"/>
      <c r="AN1070" s="96">
        <f t="shared" si="2770"/>
        <v>0</v>
      </c>
      <c r="AO1070" s="96"/>
      <c r="AP1070" s="96">
        <f t="shared" si="2808"/>
        <v>0</v>
      </c>
      <c r="AQ1070" s="96">
        <f t="shared" si="2772"/>
        <v>0</v>
      </c>
      <c r="AR1070" s="96">
        <f t="shared" si="2773"/>
        <v>0</v>
      </c>
      <c r="AS1070" s="96"/>
      <c r="AT1070" s="96">
        <f t="shared" si="2774"/>
        <v>0</v>
      </c>
      <c r="AU1070" s="96"/>
      <c r="AV1070" s="96">
        <f t="shared" si="2775"/>
        <v>0</v>
      </c>
      <c r="AW1070" s="96"/>
      <c r="AX1070" s="96">
        <f t="shared" si="2776"/>
        <v>0</v>
      </c>
      <c r="AY1070" s="96">
        <f t="shared" si="2777"/>
        <v>0</v>
      </c>
      <c r="AZ1070" s="96">
        <f t="shared" si="2778"/>
        <v>0</v>
      </c>
      <c r="BA1070" s="96">
        <f t="shared" si="2779"/>
        <v>0</v>
      </c>
      <c r="BB1070" s="96">
        <f t="shared" si="2780"/>
        <v>0</v>
      </c>
    </row>
    <row r="1071" spans="1:54">
      <c r="A1071" s="492">
        <v>650</v>
      </c>
      <c r="B1071" s="13"/>
      <c r="C1071" s="299"/>
      <c r="D1071" s="14" t="s">
        <v>1485</v>
      </c>
      <c r="E1071" s="287" t="s">
        <v>1541</v>
      </c>
      <c r="F1071" s="45" t="s">
        <v>235</v>
      </c>
      <c r="G1071" s="45" t="s">
        <v>1059</v>
      </c>
      <c r="H1071" s="265" t="s">
        <v>359</v>
      </c>
      <c r="I1071" s="54">
        <v>10.050000000000001</v>
      </c>
      <c r="J1071" s="162"/>
      <c r="K1071" s="54">
        <v>10.050000000000001</v>
      </c>
      <c r="L1071" s="162"/>
      <c r="M1071" s="54"/>
      <c r="N1071" s="162"/>
      <c r="O1071" s="54"/>
      <c r="P1071" s="162"/>
      <c r="Q1071" s="96">
        <f t="shared" si="2755"/>
        <v>0</v>
      </c>
      <c r="R1071" s="337">
        <f t="shared" si="2756"/>
        <v>0</v>
      </c>
      <c r="S1071" s="96"/>
      <c r="T1071" s="96">
        <f t="shared" si="2757"/>
        <v>0</v>
      </c>
      <c r="U1071" s="96"/>
      <c r="V1071" s="96">
        <f t="shared" si="2758"/>
        <v>0</v>
      </c>
      <c r="W1071" s="96"/>
      <c r="X1071" s="96">
        <f t="shared" si="2759"/>
        <v>0</v>
      </c>
      <c r="Y1071" s="96">
        <f t="shared" si="2760"/>
        <v>0</v>
      </c>
      <c r="Z1071" s="96">
        <f t="shared" si="2761"/>
        <v>0</v>
      </c>
      <c r="AA1071" s="96"/>
      <c r="AB1071" s="96">
        <f t="shared" si="2762"/>
        <v>0</v>
      </c>
      <c r="AC1071" s="96"/>
      <c r="AD1071" s="96">
        <f t="shared" si="2763"/>
        <v>0</v>
      </c>
      <c r="AE1071" s="96"/>
      <c r="AF1071" s="96">
        <f t="shared" si="2764"/>
        <v>0</v>
      </c>
      <c r="AG1071" s="96">
        <f t="shared" si="2765"/>
        <v>0</v>
      </c>
      <c r="AH1071" s="96">
        <f t="shared" si="2766"/>
        <v>0</v>
      </c>
      <c r="AI1071" s="96">
        <f t="shared" si="2767"/>
        <v>0</v>
      </c>
      <c r="AJ1071" s="96">
        <f t="shared" si="2768"/>
        <v>0</v>
      </c>
      <c r="AK1071" s="96"/>
      <c r="AL1071" s="96">
        <f t="shared" si="2769"/>
        <v>0</v>
      </c>
      <c r="AM1071" s="96"/>
      <c r="AN1071" s="96">
        <f t="shared" si="2770"/>
        <v>0</v>
      </c>
      <c r="AO1071" s="96"/>
      <c r="AP1071" s="96">
        <f t="shared" si="2808"/>
        <v>0</v>
      </c>
      <c r="AQ1071" s="96">
        <f t="shared" si="2772"/>
        <v>0</v>
      </c>
      <c r="AR1071" s="96">
        <f t="shared" si="2773"/>
        <v>0</v>
      </c>
      <c r="AS1071" s="96"/>
      <c r="AT1071" s="96">
        <f t="shared" si="2774"/>
        <v>0</v>
      </c>
      <c r="AU1071" s="96"/>
      <c r="AV1071" s="96">
        <f t="shared" si="2775"/>
        <v>0</v>
      </c>
      <c r="AW1071" s="96"/>
      <c r="AX1071" s="96">
        <f t="shared" si="2776"/>
        <v>0</v>
      </c>
      <c r="AY1071" s="96">
        <f t="shared" si="2777"/>
        <v>0</v>
      </c>
      <c r="AZ1071" s="96">
        <f t="shared" si="2778"/>
        <v>0</v>
      </c>
      <c r="BA1071" s="96">
        <f t="shared" si="2779"/>
        <v>0</v>
      </c>
      <c r="BB1071" s="96">
        <f t="shared" si="2780"/>
        <v>0</v>
      </c>
    </row>
    <row r="1072" spans="1:54">
      <c r="A1072" s="492">
        <v>650</v>
      </c>
      <c r="B1072" s="13"/>
      <c r="C1072" s="299"/>
      <c r="D1072" s="14" t="s">
        <v>1485</v>
      </c>
      <c r="E1072" s="287" t="s">
        <v>1733</v>
      </c>
      <c r="F1072" s="45" t="s">
        <v>235</v>
      </c>
      <c r="G1072" s="45" t="s">
        <v>1059</v>
      </c>
      <c r="H1072" s="265" t="s">
        <v>359</v>
      </c>
      <c r="I1072" s="54">
        <v>13.14</v>
      </c>
      <c r="J1072" s="162"/>
      <c r="K1072" s="54">
        <v>13.14</v>
      </c>
      <c r="L1072" s="162"/>
      <c r="M1072" s="54"/>
      <c r="N1072" s="162"/>
      <c r="O1072" s="54"/>
      <c r="P1072" s="162"/>
      <c r="Q1072" s="96">
        <f t="shared" si="2755"/>
        <v>0</v>
      </c>
      <c r="R1072" s="337">
        <f t="shared" si="2756"/>
        <v>0</v>
      </c>
      <c r="S1072" s="96"/>
      <c r="T1072" s="96">
        <f t="shared" si="2757"/>
        <v>0</v>
      </c>
      <c r="U1072" s="96"/>
      <c r="V1072" s="96">
        <f t="shared" si="2758"/>
        <v>0</v>
      </c>
      <c r="W1072" s="96"/>
      <c r="X1072" s="96">
        <f t="shared" si="2759"/>
        <v>0</v>
      </c>
      <c r="Y1072" s="96">
        <f t="shared" si="2760"/>
        <v>0</v>
      </c>
      <c r="Z1072" s="96">
        <f t="shared" si="2761"/>
        <v>0</v>
      </c>
      <c r="AA1072" s="96"/>
      <c r="AB1072" s="96">
        <f t="shared" si="2762"/>
        <v>0</v>
      </c>
      <c r="AC1072" s="96"/>
      <c r="AD1072" s="96">
        <f t="shared" si="2763"/>
        <v>0</v>
      </c>
      <c r="AE1072" s="96"/>
      <c r="AF1072" s="96">
        <f t="shared" si="2764"/>
        <v>0</v>
      </c>
      <c r="AG1072" s="96">
        <f t="shared" si="2765"/>
        <v>0</v>
      </c>
      <c r="AH1072" s="96">
        <f t="shared" si="2766"/>
        <v>0</v>
      </c>
      <c r="AI1072" s="96">
        <f t="shared" si="2767"/>
        <v>0</v>
      </c>
      <c r="AJ1072" s="96">
        <f t="shared" si="2768"/>
        <v>0</v>
      </c>
      <c r="AK1072" s="96"/>
      <c r="AL1072" s="96">
        <f t="shared" si="2769"/>
        <v>0</v>
      </c>
      <c r="AM1072" s="96"/>
      <c r="AN1072" s="96">
        <f t="shared" si="2770"/>
        <v>0</v>
      </c>
      <c r="AO1072" s="96"/>
      <c r="AP1072" s="96">
        <f t="shared" si="2808"/>
        <v>0</v>
      </c>
      <c r="AQ1072" s="96">
        <f t="shared" si="2772"/>
        <v>0</v>
      </c>
      <c r="AR1072" s="96">
        <f t="shared" si="2773"/>
        <v>0</v>
      </c>
      <c r="AS1072" s="96"/>
      <c r="AT1072" s="96">
        <f t="shared" si="2774"/>
        <v>0</v>
      </c>
      <c r="AU1072" s="96"/>
      <c r="AV1072" s="96">
        <f t="shared" si="2775"/>
        <v>0</v>
      </c>
      <c r="AW1072" s="96"/>
      <c r="AX1072" s="96">
        <f t="shared" si="2776"/>
        <v>0</v>
      </c>
      <c r="AY1072" s="96">
        <f t="shared" si="2777"/>
        <v>0</v>
      </c>
      <c r="AZ1072" s="96">
        <f t="shared" si="2778"/>
        <v>0</v>
      </c>
      <c r="BA1072" s="96">
        <f t="shared" si="2779"/>
        <v>0</v>
      </c>
      <c r="BB1072" s="96">
        <f t="shared" si="2780"/>
        <v>0</v>
      </c>
    </row>
    <row r="1073" spans="1:54">
      <c r="A1073" s="492">
        <v>649</v>
      </c>
      <c r="B1073" s="13"/>
      <c r="C1073" s="299"/>
      <c r="D1073" s="13" t="s">
        <v>1484</v>
      </c>
      <c r="E1073" s="21" t="s">
        <v>1481</v>
      </c>
      <c r="F1073" s="45" t="s">
        <v>368</v>
      </c>
      <c r="G1073" s="45" t="s">
        <v>1059</v>
      </c>
      <c r="H1073" s="265" t="s">
        <v>359</v>
      </c>
      <c r="I1073" s="54">
        <v>10.050000000000001</v>
      </c>
      <c r="J1073" s="162"/>
      <c r="K1073" s="54">
        <v>10.050000000000001</v>
      </c>
      <c r="L1073" s="162"/>
      <c r="M1073" s="54"/>
      <c r="N1073" s="162"/>
      <c r="O1073" s="54"/>
      <c r="P1073" s="162"/>
      <c r="Q1073" s="96">
        <f t="shared" si="2755"/>
        <v>0</v>
      </c>
      <c r="R1073" s="337">
        <f t="shared" si="2756"/>
        <v>0</v>
      </c>
      <c r="S1073" s="96"/>
      <c r="T1073" s="96">
        <f t="shared" si="2757"/>
        <v>0</v>
      </c>
      <c r="U1073" s="96"/>
      <c r="V1073" s="96">
        <f t="shared" si="2758"/>
        <v>0</v>
      </c>
      <c r="W1073" s="96"/>
      <c r="X1073" s="96">
        <f t="shared" si="2759"/>
        <v>0</v>
      </c>
      <c r="Y1073" s="96">
        <f t="shared" si="2760"/>
        <v>0</v>
      </c>
      <c r="Z1073" s="96">
        <f t="shared" si="2761"/>
        <v>0</v>
      </c>
      <c r="AA1073" s="96"/>
      <c r="AB1073" s="96">
        <f t="shared" si="2762"/>
        <v>0</v>
      </c>
      <c r="AC1073" s="96"/>
      <c r="AD1073" s="96">
        <f t="shared" si="2763"/>
        <v>0</v>
      </c>
      <c r="AE1073" s="96"/>
      <c r="AF1073" s="96">
        <f t="shared" si="2764"/>
        <v>0</v>
      </c>
      <c r="AG1073" s="96">
        <f t="shared" si="2765"/>
        <v>0</v>
      </c>
      <c r="AH1073" s="96">
        <f t="shared" si="2766"/>
        <v>0</v>
      </c>
      <c r="AI1073" s="96">
        <f t="shared" si="2767"/>
        <v>0</v>
      </c>
      <c r="AJ1073" s="96">
        <f t="shared" si="2768"/>
        <v>0</v>
      </c>
      <c r="AK1073" s="96"/>
      <c r="AL1073" s="96">
        <f t="shared" si="2769"/>
        <v>0</v>
      </c>
      <c r="AM1073" s="96"/>
      <c r="AN1073" s="96">
        <f t="shared" si="2770"/>
        <v>0</v>
      </c>
      <c r="AO1073" s="96"/>
      <c r="AP1073" s="96">
        <f t="shared" si="2808"/>
        <v>0</v>
      </c>
      <c r="AQ1073" s="96">
        <f t="shared" si="2772"/>
        <v>0</v>
      </c>
      <c r="AR1073" s="96">
        <f t="shared" si="2773"/>
        <v>0</v>
      </c>
      <c r="AS1073" s="96"/>
      <c r="AT1073" s="96">
        <f t="shared" si="2774"/>
        <v>0</v>
      </c>
      <c r="AU1073" s="96"/>
      <c r="AV1073" s="96">
        <f t="shared" si="2775"/>
        <v>0</v>
      </c>
      <c r="AW1073" s="96"/>
      <c r="AX1073" s="96">
        <f t="shared" si="2776"/>
        <v>0</v>
      </c>
      <c r="AY1073" s="96">
        <f t="shared" si="2777"/>
        <v>0</v>
      </c>
      <c r="AZ1073" s="96">
        <f t="shared" si="2778"/>
        <v>0</v>
      </c>
      <c r="BA1073" s="96">
        <f t="shared" si="2779"/>
        <v>0</v>
      </c>
      <c r="BB1073" s="96">
        <f t="shared" si="2780"/>
        <v>0</v>
      </c>
    </row>
    <row r="1074" spans="1:54">
      <c r="A1074" s="492">
        <v>650</v>
      </c>
      <c r="B1074" s="13"/>
      <c r="C1074" s="299"/>
      <c r="D1074" s="13" t="s">
        <v>1483</v>
      </c>
      <c r="E1074" s="21" t="s">
        <v>1573</v>
      </c>
      <c r="F1074" s="45" t="s">
        <v>235</v>
      </c>
      <c r="G1074" s="45" t="s">
        <v>1059</v>
      </c>
      <c r="H1074" s="265" t="s">
        <v>428</v>
      </c>
      <c r="I1074" s="54">
        <v>10.050000000000001</v>
      </c>
      <c r="J1074" s="162"/>
      <c r="K1074" s="54">
        <v>10.050000000000001</v>
      </c>
      <c r="L1074" s="162"/>
      <c r="M1074" s="54"/>
      <c r="N1074" s="162"/>
      <c r="O1074" s="54"/>
      <c r="P1074" s="162"/>
      <c r="Q1074" s="96">
        <f t="shared" si="2755"/>
        <v>0</v>
      </c>
      <c r="R1074" s="337">
        <f t="shared" si="2756"/>
        <v>0</v>
      </c>
      <c r="S1074" s="96"/>
      <c r="T1074" s="96">
        <f t="shared" si="2757"/>
        <v>0</v>
      </c>
      <c r="U1074" s="96"/>
      <c r="V1074" s="96">
        <f t="shared" si="2758"/>
        <v>0</v>
      </c>
      <c r="W1074" s="96"/>
      <c r="X1074" s="96">
        <f t="shared" si="2759"/>
        <v>0</v>
      </c>
      <c r="Y1074" s="96">
        <f t="shared" si="2760"/>
        <v>0</v>
      </c>
      <c r="Z1074" s="96">
        <f t="shared" si="2761"/>
        <v>0</v>
      </c>
      <c r="AA1074" s="96"/>
      <c r="AB1074" s="96">
        <f t="shared" si="2762"/>
        <v>0</v>
      </c>
      <c r="AC1074" s="96"/>
      <c r="AD1074" s="96">
        <f t="shared" si="2763"/>
        <v>0</v>
      </c>
      <c r="AE1074" s="96"/>
      <c r="AF1074" s="96">
        <f t="shared" si="2764"/>
        <v>0</v>
      </c>
      <c r="AG1074" s="96">
        <f t="shared" si="2765"/>
        <v>0</v>
      </c>
      <c r="AH1074" s="96">
        <f t="shared" si="2766"/>
        <v>0</v>
      </c>
      <c r="AI1074" s="96">
        <f t="shared" si="2767"/>
        <v>0</v>
      </c>
      <c r="AJ1074" s="96">
        <f t="shared" si="2768"/>
        <v>0</v>
      </c>
      <c r="AK1074" s="96"/>
      <c r="AL1074" s="96">
        <f t="shared" si="2769"/>
        <v>0</v>
      </c>
      <c r="AM1074" s="96"/>
      <c r="AN1074" s="96">
        <f t="shared" si="2770"/>
        <v>0</v>
      </c>
      <c r="AO1074" s="96"/>
      <c r="AP1074" s="96">
        <f t="shared" si="2808"/>
        <v>0</v>
      </c>
      <c r="AQ1074" s="96">
        <f t="shared" si="2772"/>
        <v>0</v>
      </c>
      <c r="AR1074" s="96">
        <f t="shared" si="2773"/>
        <v>0</v>
      </c>
      <c r="AS1074" s="96"/>
      <c r="AT1074" s="96">
        <f t="shared" si="2774"/>
        <v>0</v>
      </c>
      <c r="AU1074" s="96"/>
      <c r="AV1074" s="96">
        <f t="shared" si="2775"/>
        <v>0</v>
      </c>
      <c r="AW1074" s="96"/>
      <c r="AX1074" s="96">
        <f t="shared" si="2776"/>
        <v>0</v>
      </c>
      <c r="AY1074" s="96">
        <f t="shared" si="2777"/>
        <v>0</v>
      </c>
      <c r="AZ1074" s="96">
        <f t="shared" si="2778"/>
        <v>0</v>
      </c>
      <c r="BA1074" s="96">
        <f t="shared" si="2779"/>
        <v>0</v>
      </c>
      <c r="BB1074" s="96">
        <f t="shared" si="2780"/>
        <v>0</v>
      </c>
    </row>
    <row r="1075" spans="1:54">
      <c r="A1075" s="492">
        <v>650</v>
      </c>
      <c r="B1075" s="13"/>
      <c r="C1075" s="299"/>
      <c r="D1075" s="13" t="s">
        <v>1483</v>
      </c>
      <c r="E1075" s="21" t="s">
        <v>1685</v>
      </c>
      <c r="F1075" s="45" t="s">
        <v>235</v>
      </c>
      <c r="G1075" s="45" t="s">
        <v>1059</v>
      </c>
      <c r="H1075" s="265" t="s">
        <v>428</v>
      </c>
      <c r="I1075" s="54">
        <v>9.85</v>
      </c>
      <c r="J1075" s="162"/>
      <c r="K1075" s="54">
        <v>9.85</v>
      </c>
      <c r="L1075" s="162"/>
      <c r="M1075" s="54"/>
      <c r="N1075" s="162"/>
      <c r="O1075" s="54"/>
      <c r="P1075" s="162"/>
      <c r="Q1075" s="96">
        <f t="shared" si="2755"/>
        <v>0</v>
      </c>
      <c r="R1075" s="337">
        <f t="shared" si="2756"/>
        <v>0</v>
      </c>
      <c r="S1075" s="96"/>
      <c r="T1075" s="96">
        <f t="shared" si="2757"/>
        <v>0</v>
      </c>
      <c r="U1075" s="96"/>
      <c r="V1075" s="96">
        <f t="shared" si="2758"/>
        <v>0</v>
      </c>
      <c r="W1075" s="96"/>
      <c r="X1075" s="96">
        <f t="shared" si="2759"/>
        <v>0</v>
      </c>
      <c r="Y1075" s="96">
        <f t="shared" si="2760"/>
        <v>0</v>
      </c>
      <c r="Z1075" s="96">
        <f t="shared" si="2761"/>
        <v>0</v>
      </c>
      <c r="AA1075" s="96"/>
      <c r="AB1075" s="96">
        <f t="shared" si="2762"/>
        <v>0</v>
      </c>
      <c r="AC1075" s="96"/>
      <c r="AD1075" s="96">
        <f t="shared" si="2763"/>
        <v>0</v>
      </c>
      <c r="AE1075" s="96"/>
      <c r="AF1075" s="96">
        <f t="shared" si="2764"/>
        <v>0</v>
      </c>
      <c r="AG1075" s="96">
        <f t="shared" si="2765"/>
        <v>0</v>
      </c>
      <c r="AH1075" s="96">
        <f t="shared" si="2766"/>
        <v>0</v>
      </c>
      <c r="AI1075" s="96">
        <f t="shared" si="2767"/>
        <v>0</v>
      </c>
      <c r="AJ1075" s="96">
        <f t="shared" si="2768"/>
        <v>0</v>
      </c>
      <c r="AK1075" s="96"/>
      <c r="AL1075" s="96">
        <f t="shared" si="2769"/>
        <v>0</v>
      </c>
      <c r="AM1075" s="96"/>
      <c r="AN1075" s="96">
        <f t="shared" si="2770"/>
        <v>0</v>
      </c>
      <c r="AO1075" s="96"/>
      <c r="AP1075" s="96">
        <f t="shared" si="2808"/>
        <v>0</v>
      </c>
      <c r="AQ1075" s="96">
        <f t="shared" si="2772"/>
        <v>0</v>
      </c>
      <c r="AR1075" s="96">
        <f t="shared" si="2773"/>
        <v>0</v>
      </c>
      <c r="AS1075" s="96"/>
      <c r="AT1075" s="96">
        <f t="shared" si="2774"/>
        <v>0</v>
      </c>
      <c r="AU1075" s="96"/>
      <c r="AV1075" s="96">
        <f t="shared" si="2775"/>
        <v>0</v>
      </c>
      <c r="AW1075" s="96"/>
      <c r="AX1075" s="96">
        <f t="shared" si="2776"/>
        <v>0</v>
      </c>
      <c r="AY1075" s="96">
        <f t="shared" si="2777"/>
        <v>0</v>
      </c>
      <c r="AZ1075" s="96">
        <f t="shared" si="2778"/>
        <v>0</v>
      </c>
      <c r="BA1075" s="96">
        <f t="shared" si="2779"/>
        <v>0</v>
      </c>
      <c r="BB1075" s="96">
        <f t="shared" si="2780"/>
        <v>0</v>
      </c>
    </row>
    <row r="1076" spans="1:54">
      <c r="A1076" s="492">
        <v>650</v>
      </c>
      <c r="B1076" s="13"/>
      <c r="C1076" s="299"/>
      <c r="D1076" s="13" t="s">
        <v>1483</v>
      </c>
      <c r="E1076" s="21" t="s">
        <v>1686</v>
      </c>
      <c r="F1076" s="45" t="s">
        <v>235</v>
      </c>
      <c r="G1076" s="45" t="s">
        <v>1059</v>
      </c>
      <c r="H1076" s="265" t="s">
        <v>428</v>
      </c>
      <c r="I1076" s="54">
        <v>9.85</v>
      </c>
      <c r="J1076" s="162"/>
      <c r="K1076" s="54">
        <v>9.85</v>
      </c>
      <c r="L1076" s="162"/>
      <c r="M1076" s="54"/>
      <c r="N1076" s="162"/>
      <c r="O1076" s="54"/>
      <c r="P1076" s="162"/>
      <c r="Q1076" s="96">
        <f t="shared" si="2755"/>
        <v>0.5</v>
      </c>
      <c r="R1076" s="337">
        <f t="shared" si="2756"/>
        <v>7.2196362999999995</v>
      </c>
      <c r="S1076" s="96">
        <v>0.2</v>
      </c>
      <c r="T1076" s="96">
        <f t="shared" si="2757"/>
        <v>2.8439905000000003</v>
      </c>
      <c r="U1076" s="96"/>
      <c r="V1076" s="96">
        <f t="shared" si="2758"/>
        <v>0</v>
      </c>
      <c r="W1076" s="96"/>
      <c r="X1076" s="96">
        <f t="shared" si="2759"/>
        <v>0</v>
      </c>
      <c r="Y1076" s="96">
        <f t="shared" si="2760"/>
        <v>0.2</v>
      </c>
      <c r="Z1076" s="96">
        <f t="shared" si="2761"/>
        <v>2.8439905000000003</v>
      </c>
      <c r="AA1076" s="96">
        <v>0.3</v>
      </c>
      <c r="AB1076" s="96">
        <f t="shared" si="2762"/>
        <v>4.3756457999999991</v>
      </c>
      <c r="AC1076" s="96"/>
      <c r="AD1076" s="96">
        <f t="shared" si="2763"/>
        <v>0</v>
      </c>
      <c r="AE1076" s="96"/>
      <c r="AF1076" s="96">
        <f t="shared" si="2764"/>
        <v>0</v>
      </c>
      <c r="AG1076" s="96">
        <f t="shared" si="2765"/>
        <v>0.3</v>
      </c>
      <c r="AH1076" s="96">
        <f t="shared" si="2766"/>
        <v>4.3756457999999991</v>
      </c>
      <c r="AI1076" s="96">
        <f t="shared" si="2767"/>
        <v>0.5</v>
      </c>
      <c r="AJ1076" s="96">
        <f t="shared" si="2768"/>
        <v>7.2196362999999995</v>
      </c>
      <c r="AK1076" s="96"/>
      <c r="AL1076" s="96">
        <f t="shared" si="2769"/>
        <v>0</v>
      </c>
      <c r="AM1076" s="96"/>
      <c r="AN1076" s="96">
        <f t="shared" si="2770"/>
        <v>0</v>
      </c>
      <c r="AO1076" s="96"/>
      <c r="AP1076" s="96">
        <f t="shared" si="2808"/>
        <v>0</v>
      </c>
      <c r="AQ1076" s="96">
        <f t="shared" si="2772"/>
        <v>0</v>
      </c>
      <c r="AR1076" s="96">
        <f t="shared" si="2773"/>
        <v>0</v>
      </c>
      <c r="AS1076" s="96"/>
      <c r="AT1076" s="96">
        <f t="shared" si="2774"/>
        <v>0</v>
      </c>
      <c r="AU1076" s="96"/>
      <c r="AV1076" s="96">
        <f t="shared" si="2775"/>
        <v>0</v>
      </c>
      <c r="AW1076" s="96"/>
      <c r="AX1076" s="96">
        <f t="shared" si="2776"/>
        <v>0</v>
      </c>
      <c r="AY1076" s="96">
        <f t="shared" si="2777"/>
        <v>0</v>
      </c>
      <c r="AZ1076" s="96">
        <f t="shared" si="2778"/>
        <v>0</v>
      </c>
      <c r="BA1076" s="96">
        <f t="shared" si="2779"/>
        <v>0</v>
      </c>
      <c r="BB1076" s="96">
        <f t="shared" si="2780"/>
        <v>0</v>
      </c>
    </row>
    <row r="1077" spans="1:54">
      <c r="A1077" s="492">
        <v>650</v>
      </c>
      <c r="B1077" s="13"/>
      <c r="C1077" s="299"/>
      <c r="D1077" s="13" t="s">
        <v>2289</v>
      </c>
      <c r="E1077" s="21" t="s">
        <v>2268</v>
      </c>
      <c r="F1077" s="45" t="s">
        <v>235</v>
      </c>
      <c r="G1077" s="45" t="s">
        <v>1059</v>
      </c>
      <c r="H1077" s="265" t="s">
        <v>359</v>
      </c>
      <c r="I1077" s="54">
        <v>10.73</v>
      </c>
      <c r="J1077" s="162"/>
      <c r="K1077" s="54">
        <v>10.73</v>
      </c>
      <c r="L1077" s="162"/>
      <c r="M1077" s="54"/>
      <c r="N1077" s="162"/>
      <c r="O1077" s="54"/>
      <c r="P1077" s="162"/>
      <c r="Q1077" s="96">
        <f t="shared" si="2755"/>
        <v>0</v>
      </c>
      <c r="R1077" s="337">
        <f t="shared" si="2756"/>
        <v>0</v>
      </c>
      <c r="S1077" s="96"/>
      <c r="T1077" s="96">
        <f t="shared" si="2757"/>
        <v>0</v>
      </c>
      <c r="U1077" s="96"/>
      <c r="V1077" s="96">
        <f t="shared" si="2758"/>
        <v>0</v>
      </c>
      <c r="W1077" s="96"/>
      <c r="X1077" s="96">
        <f t="shared" si="2759"/>
        <v>0</v>
      </c>
      <c r="Y1077" s="96">
        <f t="shared" si="2760"/>
        <v>0</v>
      </c>
      <c r="Z1077" s="96">
        <f t="shared" si="2761"/>
        <v>0</v>
      </c>
      <c r="AA1077" s="96"/>
      <c r="AB1077" s="96">
        <f t="shared" si="2762"/>
        <v>0</v>
      </c>
      <c r="AC1077" s="96"/>
      <c r="AD1077" s="96">
        <f t="shared" si="2763"/>
        <v>0</v>
      </c>
      <c r="AE1077" s="96"/>
      <c r="AF1077" s="96">
        <f t="shared" si="2764"/>
        <v>0</v>
      </c>
      <c r="AG1077" s="96">
        <f t="shared" si="2765"/>
        <v>0</v>
      </c>
      <c r="AH1077" s="96">
        <f t="shared" si="2766"/>
        <v>0</v>
      </c>
      <c r="AI1077" s="96">
        <f t="shared" si="2767"/>
        <v>0</v>
      </c>
      <c r="AJ1077" s="96">
        <f t="shared" si="2768"/>
        <v>0</v>
      </c>
      <c r="AK1077" s="96"/>
      <c r="AL1077" s="96">
        <f t="shared" si="2769"/>
        <v>0</v>
      </c>
      <c r="AM1077" s="96"/>
      <c r="AN1077" s="96">
        <f t="shared" si="2770"/>
        <v>0</v>
      </c>
      <c r="AO1077" s="96"/>
      <c r="AP1077" s="96">
        <f t="shared" si="2808"/>
        <v>0</v>
      </c>
      <c r="AQ1077" s="96">
        <f t="shared" si="2772"/>
        <v>0</v>
      </c>
      <c r="AR1077" s="96">
        <f t="shared" si="2773"/>
        <v>0</v>
      </c>
      <c r="AS1077" s="96"/>
      <c r="AT1077" s="96">
        <f t="shared" si="2774"/>
        <v>0</v>
      </c>
      <c r="AU1077" s="96"/>
      <c r="AV1077" s="96">
        <f t="shared" si="2775"/>
        <v>0</v>
      </c>
      <c r="AW1077" s="96"/>
      <c r="AX1077" s="96">
        <f t="shared" si="2776"/>
        <v>0</v>
      </c>
      <c r="AY1077" s="96">
        <f t="shared" si="2777"/>
        <v>0</v>
      </c>
      <c r="AZ1077" s="96">
        <f t="shared" si="2778"/>
        <v>0</v>
      </c>
      <c r="BA1077" s="96">
        <f t="shared" si="2779"/>
        <v>0</v>
      </c>
      <c r="BB1077" s="96">
        <f t="shared" si="2780"/>
        <v>0</v>
      </c>
    </row>
    <row r="1078" spans="1:54">
      <c r="A1078" s="492">
        <v>650</v>
      </c>
      <c r="B1078" s="13"/>
      <c r="C1078" s="299"/>
      <c r="D1078" s="13" t="s">
        <v>2290</v>
      </c>
      <c r="E1078" s="21" t="s">
        <v>2269</v>
      </c>
      <c r="F1078" s="45" t="s">
        <v>235</v>
      </c>
      <c r="G1078" s="45" t="s">
        <v>1059</v>
      </c>
      <c r="H1078" s="265" t="s">
        <v>359</v>
      </c>
      <c r="I1078" s="54">
        <v>10.58</v>
      </c>
      <c r="J1078" s="162"/>
      <c r="K1078" s="54">
        <v>10.58</v>
      </c>
      <c r="L1078" s="162"/>
      <c r="M1078" s="54"/>
      <c r="N1078" s="162"/>
      <c r="O1078" s="54"/>
      <c r="P1078" s="162"/>
      <c r="Q1078" s="96">
        <f t="shared" ref="Q1078" si="2913">SUM(AI1078+BA1078)</f>
        <v>1</v>
      </c>
      <c r="R1078" s="337">
        <f t="shared" ref="R1078" si="2914">SUM(AJ1078+BB1078)</f>
        <v>15.6664408</v>
      </c>
      <c r="S1078" s="96"/>
      <c r="T1078" s="96">
        <f t="shared" ref="T1078" si="2915">I1078*S1078*$T$2/1000</f>
        <v>0</v>
      </c>
      <c r="U1078" s="96"/>
      <c r="V1078" s="96">
        <f t="shared" ref="V1078" si="2916">I1078*U1078*$V$2/1000</f>
        <v>0</v>
      </c>
      <c r="W1078" s="96"/>
      <c r="X1078" s="96">
        <f t="shared" ref="X1078" si="2917">I1078*W1078*$X$2/1000</f>
        <v>0</v>
      </c>
      <c r="Y1078" s="96">
        <f t="shared" ref="Y1078" si="2918">SUM(S1078+U1078+W1078)</f>
        <v>0</v>
      </c>
      <c r="Z1078" s="96">
        <f t="shared" ref="Z1078" si="2919">SUM(T1078+V1078+X1078)</f>
        <v>0</v>
      </c>
      <c r="AA1078" s="96">
        <v>1</v>
      </c>
      <c r="AB1078" s="96">
        <f t="shared" ref="AB1078" si="2920">K1078*AA1078*$AB$2/1000</f>
        <v>15.6664408</v>
      </c>
      <c r="AC1078" s="96"/>
      <c r="AD1078" s="96">
        <f t="shared" ref="AD1078" si="2921">K1078*AC1078*$AD$2/1000</f>
        <v>0</v>
      </c>
      <c r="AE1078" s="96"/>
      <c r="AF1078" s="96">
        <f t="shared" ref="AF1078" si="2922">K1078*AE1078*$AF$2/1000</f>
        <v>0</v>
      </c>
      <c r="AG1078" s="96">
        <f t="shared" ref="AG1078" si="2923">SUM(AA1078+AC1078+AE1078)</f>
        <v>1</v>
      </c>
      <c r="AH1078" s="96">
        <f t="shared" ref="AH1078" si="2924">SUM(AB1078+AD1078+AF1078)</f>
        <v>15.6664408</v>
      </c>
      <c r="AI1078" s="96">
        <f t="shared" ref="AI1078" si="2925">SUM(Y1078+AG1078)</f>
        <v>1</v>
      </c>
      <c r="AJ1078" s="96">
        <f t="shared" ref="AJ1078" si="2926">SUM(Z1078,AH1078)</f>
        <v>15.6664408</v>
      </c>
      <c r="AK1078" s="96"/>
      <c r="AL1078" s="96">
        <f t="shared" ref="AL1078" si="2927">M1078*AK1078*$AL$2/1000</f>
        <v>0</v>
      </c>
      <c r="AM1078" s="96"/>
      <c r="AN1078" s="96">
        <f t="shared" ref="AN1078" si="2928">M1078*AM1078*$AN$2/1000</f>
        <v>0</v>
      </c>
      <c r="AO1078" s="96"/>
      <c r="AP1078" s="96">
        <f t="shared" ref="AP1078" si="2929">M1078*AO1078*$AP$2/1000</f>
        <v>0</v>
      </c>
      <c r="AQ1078" s="96">
        <f t="shared" ref="AQ1078" si="2930">SUM(AK1078+AM1078+AO1078)</f>
        <v>0</v>
      </c>
      <c r="AR1078" s="96">
        <f t="shared" ref="AR1078" si="2931">SUM(AL1078+AN1078+AP1078)</f>
        <v>0</v>
      </c>
      <c r="AS1078" s="96"/>
      <c r="AT1078" s="96">
        <f t="shared" ref="AT1078" si="2932">O1078*AS1078*$AT$2/1000</f>
        <v>0</v>
      </c>
      <c r="AU1078" s="96"/>
      <c r="AV1078" s="96">
        <f t="shared" ref="AV1078" si="2933">O1078*AU1078*$AV$2/1000</f>
        <v>0</v>
      </c>
      <c r="AW1078" s="96"/>
      <c r="AX1078" s="96">
        <f t="shared" ref="AX1078" si="2934">O1078*AW1078*$AX$2/1000</f>
        <v>0</v>
      </c>
      <c r="AY1078" s="96">
        <f t="shared" ref="AY1078" si="2935">SUM(AS1078+AU1078+AW1078)</f>
        <v>0</v>
      </c>
      <c r="AZ1078" s="96">
        <f t="shared" ref="AZ1078" si="2936">SUM(AT1078+AV1078+AX1078)</f>
        <v>0</v>
      </c>
      <c r="BA1078" s="96">
        <f t="shared" ref="BA1078" si="2937">SUM(AQ1078+AY1078)</f>
        <v>0</v>
      </c>
      <c r="BB1078" s="96">
        <f t="shared" ref="BB1078" si="2938">SUM(AR1078,AZ1078)</f>
        <v>0</v>
      </c>
    </row>
    <row r="1079" spans="1:54">
      <c r="A1079" s="492">
        <v>650</v>
      </c>
      <c r="B1079" s="13"/>
      <c r="C1079" s="299"/>
      <c r="D1079" s="13" t="s">
        <v>1483</v>
      </c>
      <c r="E1079" s="21" t="s">
        <v>1542</v>
      </c>
      <c r="F1079" s="45" t="s">
        <v>235</v>
      </c>
      <c r="G1079" s="45" t="s">
        <v>1059</v>
      </c>
      <c r="H1079" s="265" t="s">
        <v>359</v>
      </c>
      <c r="I1079" s="54">
        <v>10.050000000000001</v>
      </c>
      <c r="J1079" s="162"/>
      <c r="K1079" s="54">
        <v>10.050000000000001</v>
      </c>
      <c r="L1079" s="162"/>
      <c r="M1079" s="54"/>
      <c r="N1079" s="162"/>
      <c r="O1079" s="54"/>
      <c r="P1079" s="162"/>
      <c r="Q1079" s="96">
        <f t="shared" ref="Q1079" si="2939">SUM(AI1079+BA1079)</f>
        <v>0</v>
      </c>
      <c r="R1079" s="337">
        <f t="shared" ref="R1079" si="2940">SUM(AJ1079+BB1079)</f>
        <v>0</v>
      </c>
      <c r="S1079" s="96"/>
      <c r="T1079" s="96">
        <f t="shared" ref="T1079" si="2941">I1079*S1079*$T$2/1000</f>
        <v>0</v>
      </c>
      <c r="U1079" s="96"/>
      <c r="V1079" s="96">
        <f t="shared" ref="V1079" si="2942">I1079*U1079*$V$2/1000</f>
        <v>0</v>
      </c>
      <c r="W1079" s="96"/>
      <c r="X1079" s="96">
        <f t="shared" ref="X1079" si="2943">I1079*W1079*$X$2/1000</f>
        <v>0</v>
      </c>
      <c r="Y1079" s="96">
        <f t="shared" ref="Y1079" si="2944">SUM(S1079+U1079+W1079)</f>
        <v>0</v>
      </c>
      <c r="Z1079" s="96">
        <f t="shared" ref="Z1079" si="2945">SUM(T1079+V1079+X1079)</f>
        <v>0</v>
      </c>
      <c r="AA1079" s="96"/>
      <c r="AB1079" s="96">
        <f t="shared" ref="AB1079" si="2946">K1079*AA1079*$AB$2/1000</f>
        <v>0</v>
      </c>
      <c r="AC1079" s="96"/>
      <c r="AD1079" s="96">
        <f t="shared" ref="AD1079" si="2947">K1079*AC1079*$AD$2/1000</f>
        <v>0</v>
      </c>
      <c r="AE1079" s="96"/>
      <c r="AF1079" s="96">
        <f t="shared" ref="AF1079" si="2948">K1079*AE1079*$AF$2/1000</f>
        <v>0</v>
      </c>
      <c r="AG1079" s="96">
        <f t="shared" ref="AG1079" si="2949">SUM(AA1079+AC1079+AE1079)</f>
        <v>0</v>
      </c>
      <c r="AH1079" s="96">
        <f t="shared" ref="AH1079" si="2950">SUM(AB1079+AD1079+AF1079)</f>
        <v>0</v>
      </c>
      <c r="AI1079" s="96">
        <f t="shared" ref="AI1079" si="2951">SUM(Y1079+AG1079)</f>
        <v>0</v>
      </c>
      <c r="AJ1079" s="96">
        <f t="shared" ref="AJ1079" si="2952">SUM(Z1079,AH1079)</f>
        <v>0</v>
      </c>
      <c r="AK1079" s="96"/>
      <c r="AL1079" s="96">
        <f t="shared" ref="AL1079" si="2953">M1079*AK1079*$AL$2/1000</f>
        <v>0</v>
      </c>
      <c r="AM1079" s="96"/>
      <c r="AN1079" s="96">
        <f t="shared" ref="AN1079" si="2954">M1079*AM1079*$AN$2/1000</f>
        <v>0</v>
      </c>
      <c r="AO1079" s="96"/>
      <c r="AP1079" s="96">
        <f t="shared" ref="AP1079" si="2955">M1079*AO1079*$AP$2/1000</f>
        <v>0</v>
      </c>
      <c r="AQ1079" s="96">
        <f t="shared" ref="AQ1079" si="2956">SUM(AK1079+AM1079+AO1079)</f>
        <v>0</v>
      </c>
      <c r="AR1079" s="96">
        <f t="shared" ref="AR1079" si="2957">SUM(AL1079+AN1079+AP1079)</f>
        <v>0</v>
      </c>
      <c r="AS1079" s="96"/>
      <c r="AT1079" s="96">
        <f t="shared" ref="AT1079" si="2958">O1079*AS1079*$AT$2/1000</f>
        <v>0</v>
      </c>
      <c r="AU1079" s="96"/>
      <c r="AV1079" s="96">
        <f t="shared" ref="AV1079" si="2959">O1079*AU1079*$AV$2/1000</f>
        <v>0</v>
      </c>
      <c r="AW1079" s="96"/>
      <c r="AX1079" s="96">
        <f t="shared" ref="AX1079" si="2960">O1079*AW1079*$AX$2/1000</f>
        <v>0</v>
      </c>
      <c r="AY1079" s="96">
        <f t="shared" ref="AY1079" si="2961">SUM(AS1079+AU1079+AW1079)</f>
        <v>0</v>
      </c>
      <c r="AZ1079" s="96">
        <f t="shared" ref="AZ1079" si="2962">SUM(AT1079+AV1079+AX1079)</f>
        <v>0</v>
      </c>
      <c r="BA1079" s="96">
        <f t="shared" ref="BA1079" si="2963">SUM(AQ1079+AY1079)</f>
        <v>0</v>
      </c>
      <c r="BB1079" s="96">
        <f t="shared" ref="BB1079" si="2964">SUM(AR1079,AZ1079)</f>
        <v>0</v>
      </c>
    </row>
    <row r="1080" spans="1:54">
      <c r="A1080" s="492">
        <v>650</v>
      </c>
      <c r="B1080" s="13"/>
      <c r="C1080" s="299"/>
      <c r="D1080" s="13" t="s">
        <v>1483</v>
      </c>
      <c r="E1080" s="21" t="s">
        <v>2151</v>
      </c>
      <c r="F1080" s="45" t="s">
        <v>235</v>
      </c>
      <c r="G1080" s="45" t="s">
        <v>1059</v>
      </c>
      <c r="H1080" s="265" t="s">
        <v>359</v>
      </c>
      <c r="I1080" s="54">
        <v>9.6999999999999993</v>
      </c>
      <c r="J1080" s="162"/>
      <c r="K1080" s="54">
        <v>9.6999999999999993</v>
      </c>
      <c r="L1080" s="162"/>
      <c r="M1080" s="54"/>
      <c r="N1080" s="162"/>
      <c r="O1080" s="54"/>
      <c r="P1080" s="162"/>
      <c r="Q1080" s="96">
        <f t="shared" si="2755"/>
        <v>0</v>
      </c>
      <c r="R1080" s="337">
        <f t="shared" si="2756"/>
        <v>0</v>
      </c>
      <c r="S1080" s="96"/>
      <c r="T1080" s="96">
        <f t="shared" si="2757"/>
        <v>0</v>
      </c>
      <c r="U1080" s="96"/>
      <c r="V1080" s="96">
        <f t="shared" si="2758"/>
        <v>0</v>
      </c>
      <c r="W1080" s="96"/>
      <c r="X1080" s="96">
        <f t="shared" si="2759"/>
        <v>0</v>
      </c>
      <c r="Y1080" s="96">
        <f t="shared" si="2760"/>
        <v>0</v>
      </c>
      <c r="Z1080" s="96">
        <f t="shared" si="2761"/>
        <v>0</v>
      </c>
      <c r="AA1080" s="96"/>
      <c r="AB1080" s="96">
        <f t="shared" si="2762"/>
        <v>0</v>
      </c>
      <c r="AC1080" s="96"/>
      <c r="AD1080" s="96">
        <f t="shared" si="2763"/>
        <v>0</v>
      </c>
      <c r="AE1080" s="96"/>
      <c r="AF1080" s="96">
        <f t="shared" si="2764"/>
        <v>0</v>
      </c>
      <c r="AG1080" s="96">
        <f t="shared" si="2765"/>
        <v>0</v>
      </c>
      <c r="AH1080" s="96">
        <f t="shared" si="2766"/>
        <v>0</v>
      </c>
      <c r="AI1080" s="96">
        <f t="shared" si="2767"/>
        <v>0</v>
      </c>
      <c r="AJ1080" s="96">
        <f t="shared" si="2768"/>
        <v>0</v>
      </c>
      <c r="AK1080" s="96"/>
      <c r="AL1080" s="96">
        <f t="shared" si="2769"/>
        <v>0</v>
      </c>
      <c r="AM1080" s="96"/>
      <c r="AN1080" s="96">
        <f t="shared" si="2770"/>
        <v>0</v>
      </c>
      <c r="AO1080" s="96"/>
      <c r="AP1080" s="96">
        <f t="shared" si="2808"/>
        <v>0</v>
      </c>
      <c r="AQ1080" s="96">
        <f t="shared" si="2772"/>
        <v>0</v>
      </c>
      <c r="AR1080" s="96">
        <f t="shared" si="2773"/>
        <v>0</v>
      </c>
      <c r="AS1080" s="96"/>
      <c r="AT1080" s="96">
        <f t="shared" si="2774"/>
        <v>0</v>
      </c>
      <c r="AU1080" s="96"/>
      <c r="AV1080" s="96">
        <f t="shared" si="2775"/>
        <v>0</v>
      </c>
      <c r="AW1080" s="96"/>
      <c r="AX1080" s="96">
        <f t="shared" si="2776"/>
        <v>0</v>
      </c>
      <c r="AY1080" s="96">
        <f t="shared" si="2777"/>
        <v>0</v>
      </c>
      <c r="AZ1080" s="96">
        <f t="shared" si="2778"/>
        <v>0</v>
      </c>
      <c r="BA1080" s="96">
        <f t="shared" si="2779"/>
        <v>0</v>
      </c>
      <c r="BB1080" s="96">
        <f t="shared" si="2780"/>
        <v>0</v>
      </c>
    </row>
    <row r="1081" spans="1:54">
      <c r="A1081" s="492">
        <v>650</v>
      </c>
      <c r="B1081" s="13"/>
      <c r="C1081" s="299"/>
      <c r="D1081" s="13" t="s">
        <v>1483</v>
      </c>
      <c r="E1081" s="21" t="s">
        <v>1543</v>
      </c>
      <c r="F1081" s="45" t="s">
        <v>235</v>
      </c>
      <c r="G1081" s="45" t="s">
        <v>1059</v>
      </c>
      <c r="H1081" s="265" t="s">
        <v>359</v>
      </c>
      <c r="I1081" s="54">
        <v>10.050000000000001</v>
      </c>
      <c r="J1081" s="162"/>
      <c r="K1081" s="54">
        <v>10.050000000000001</v>
      </c>
      <c r="L1081" s="162"/>
      <c r="M1081" s="54"/>
      <c r="N1081" s="162"/>
      <c r="O1081" s="54"/>
      <c r="P1081" s="162"/>
      <c r="Q1081" s="96">
        <f t="shared" si="2755"/>
        <v>0</v>
      </c>
      <c r="R1081" s="337">
        <f t="shared" si="2756"/>
        <v>0</v>
      </c>
      <c r="S1081" s="96"/>
      <c r="T1081" s="96">
        <f t="shared" si="2757"/>
        <v>0</v>
      </c>
      <c r="U1081" s="96"/>
      <c r="V1081" s="96">
        <f t="shared" si="2758"/>
        <v>0</v>
      </c>
      <c r="W1081" s="96"/>
      <c r="X1081" s="96">
        <f t="shared" si="2759"/>
        <v>0</v>
      </c>
      <c r="Y1081" s="96">
        <f t="shared" si="2760"/>
        <v>0</v>
      </c>
      <c r="Z1081" s="96">
        <f t="shared" si="2761"/>
        <v>0</v>
      </c>
      <c r="AA1081" s="96"/>
      <c r="AB1081" s="96">
        <f t="shared" si="2762"/>
        <v>0</v>
      </c>
      <c r="AC1081" s="96"/>
      <c r="AD1081" s="96">
        <f t="shared" si="2763"/>
        <v>0</v>
      </c>
      <c r="AE1081" s="96"/>
      <c r="AF1081" s="96">
        <f t="shared" si="2764"/>
        <v>0</v>
      </c>
      <c r="AG1081" s="96">
        <f t="shared" si="2765"/>
        <v>0</v>
      </c>
      <c r="AH1081" s="96">
        <f t="shared" si="2766"/>
        <v>0</v>
      </c>
      <c r="AI1081" s="96">
        <f t="shared" si="2767"/>
        <v>0</v>
      </c>
      <c r="AJ1081" s="96">
        <f t="shared" si="2768"/>
        <v>0</v>
      </c>
      <c r="AK1081" s="96"/>
      <c r="AL1081" s="96">
        <f t="shared" si="2769"/>
        <v>0</v>
      </c>
      <c r="AM1081" s="96"/>
      <c r="AN1081" s="96">
        <f t="shared" si="2770"/>
        <v>0</v>
      </c>
      <c r="AO1081" s="96"/>
      <c r="AP1081" s="96">
        <f t="shared" si="2808"/>
        <v>0</v>
      </c>
      <c r="AQ1081" s="96">
        <f t="shared" si="2772"/>
        <v>0</v>
      </c>
      <c r="AR1081" s="96">
        <f t="shared" si="2773"/>
        <v>0</v>
      </c>
      <c r="AS1081" s="96"/>
      <c r="AT1081" s="96">
        <f t="shared" si="2774"/>
        <v>0</v>
      </c>
      <c r="AU1081" s="96"/>
      <c r="AV1081" s="96">
        <f t="shared" si="2775"/>
        <v>0</v>
      </c>
      <c r="AW1081" s="96"/>
      <c r="AX1081" s="96">
        <f t="shared" si="2776"/>
        <v>0</v>
      </c>
      <c r="AY1081" s="96">
        <f t="shared" si="2777"/>
        <v>0</v>
      </c>
      <c r="AZ1081" s="96">
        <f t="shared" si="2778"/>
        <v>0</v>
      </c>
      <c r="BA1081" s="96">
        <f t="shared" si="2779"/>
        <v>0</v>
      </c>
      <c r="BB1081" s="96">
        <f t="shared" si="2780"/>
        <v>0</v>
      </c>
    </row>
    <row r="1082" spans="1:54">
      <c r="A1082" s="492">
        <v>650</v>
      </c>
      <c r="B1082" s="13"/>
      <c r="C1082" s="299"/>
      <c r="D1082" s="13" t="s">
        <v>1483</v>
      </c>
      <c r="E1082" s="21" t="s">
        <v>1734</v>
      </c>
      <c r="F1082" s="45" t="s">
        <v>235</v>
      </c>
      <c r="G1082" s="45" t="s">
        <v>1059</v>
      </c>
      <c r="H1082" s="265" t="s">
        <v>359</v>
      </c>
      <c r="I1082" s="54">
        <v>13.14</v>
      </c>
      <c r="J1082" s="162"/>
      <c r="K1082" s="54">
        <v>13.14</v>
      </c>
      <c r="L1082" s="162"/>
      <c r="M1082" s="54"/>
      <c r="N1082" s="162"/>
      <c r="O1082" s="54"/>
      <c r="P1082" s="162"/>
      <c r="Q1082" s="96">
        <f t="shared" si="2755"/>
        <v>0</v>
      </c>
      <c r="R1082" s="337">
        <f t="shared" si="2756"/>
        <v>0</v>
      </c>
      <c r="S1082" s="96"/>
      <c r="T1082" s="96">
        <f t="shared" si="2757"/>
        <v>0</v>
      </c>
      <c r="U1082" s="96"/>
      <c r="V1082" s="96">
        <f t="shared" si="2758"/>
        <v>0</v>
      </c>
      <c r="W1082" s="96"/>
      <c r="X1082" s="96">
        <f t="shared" si="2759"/>
        <v>0</v>
      </c>
      <c r="Y1082" s="96">
        <f t="shared" si="2760"/>
        <v>0</v>
      </c>
      <c r="Z1082" s="96">
        <f t="shared" si="2761"/>
        <v>0</v>
      </c>
      <c r="AA1082" s="96"/>
      <c r="AB1082" s="96">
        <f t="shared" si="2762"/>
        <v>0</v>
      </c>
      <c r="AC1082" s="96"/>
      <c r="AD1082" s="96">
        <f t="shared" si="2763"/>
        <v>0</v>
      </c>
      <c r="AE1082" s="96"/>
      <c r="AF1082" s="96">
        <f t="shared" si="2764"/>
        <v>0</v>
      </c>
      <c r="AG1082" s="96">
        <f t="shared" si="2765"/>
        <v>0</v>
      </c>
      <c r="AH1082" s="96">
        <f t="shared" si="2766"/>
        <v>0</v>
      </c>
      <c r="AI1082" s="96">
        <f t="shared" si="2767"/>
        <v>0</v>
      </c>
      <c r="AJ1082" s="96">
        <f t="shared" si="2768"/>
        <v>0</v>
      </c>
      <c r="AK1082" s="96"/>
      <c r="AL1082" s="96">
        <f t="shared" si="2769"/>
        <v>0</v>
      </c>
      <c r="AM1082" s="96"/>
      <c r="AN1082" s="96">
        <f t="shared" si="2770"/>
        <v>0</v>
      </c>
      <c r="AO1082" s="96"/>
      <c r="AP1082" s="96">
        <f t="shared" si="2808"/>
        <v>0</v>
      </c>
      <c r="AQ1082" s="96">
        <f t="shared" si="2772"/>
        <v>0</v>
      </c>
      <c r="AR1082" s="96">
        <f t="shared" si="2773"/>
        <v>0</v>
      </c>
      <c r="AS1082" s="96"/>
      <c r="AT1082" s="96">
        <f t="shared" si="2774"/>
        <v>0</v>
      </c>
      <c r="AU1082" s="96"/>
      <c r="AV1082" s="96">
        <f t="shared" si="2775"/>
        <v>0</v>
      </c>
      <c r="AW1082" s="96"/>
      <c r="AX1082" s="96">
        <f t="shared" si="2776"/>
        <v>0</v>
      </c>
      <c r="AY1082" s="96">
        <f t="shared" si="2777"/>
        <v>0</v>
      </c>
      <c r="AZ1082" s="96">
        <f t="shared" si="2778"/>
        <v>0</v>
      </c>
      <c r="BA1082" s="96">
        <f t="shared" si="2779"/>
        <v>0</v>
      </c>
      <c r="BB1082" s="96">
        <f t="shared" si="2780"/>
        <v>0</v>
      </c>
    </row>
    <row r="1083" spans="1:54">
      <c r="A1083" s="492">
        <v>650</v>
      </c>
      <c r="B1083" s="13"/>
      <c r="C1083" s="299"/>
      <c r="D1083" s="13" t="s">
        <v>1483</v>
      </c>
      <c r="E1083" s="21" t="s">
        <v>1482</v>
      </c>
      <c r="F1083" s="45" t="s">
        <v>373</v>
      </c>
      <c r="G1083" s="45" t="s">
        <v>1059</v>
      </c>
      <c r="H1083" s="265" t="s">
        <v>428</v>
      </c>
      <c r="I1083" s="54">
        <v>10.050000000000001</v>
      </c>
      <c r="J1083" s="162"/>
      <c r="K1083" s="54">
        <v>10.050000000000001</v>
      </c>
      <c r="L1083" s="162"/>
      <c r="M1083" s="54"/>
      <c r="N1083" s="162"/>
      <c r="O1083" s="54"/>
      <c r="P1083" s="162"/>
      <c r="Q1083" s="96">
        <f t="shared" si="2755"/>
        <v>0</v>
      </c>
      <c r="R1083" s="337">
        <f t="shared" si="2756"/>
        <v>0</v>
      </c>
      <c r="S1083" s="96"/>
      <c r="T1083" s="96">
        <f t="shared" si="2757"/>
        <v>0</v>
      </c>
      <c r="U1083" s="96"/>
      <c r="V1083" s="96">
        <f t="shared" si="2758"/>
        <v>0</v>
      </c>
      <c r="W1083" s="96"/>
      <c r="X1083" s="96">
        <f t="shared" si="2759"/>
        <v>0</v>
      </c>
      <c r="Y1083" s="96">
        <f t="shared" si="2760"/>
        <v>0</v>
      </c>
      <c r="Z1083" s="96">
        <f t="shared" si="2761"/>
        <v>0</v>
      </c>
      <c r="AA1083" s="96"/>
      <c r="AB1083" s="96">
        <f t="shared" si="2762"/>
        <v>0</v>
      </c>
      <c r="AC1083" s="96"/>
      <c r="AD1083" s="96">
        <f t="shared" si="2763"/>
        <v>0</v>
      </c>
      <c r="AE1083" s="96"/>
      <c r="AF1083" s="96">
        <f t="shared" si="2764"/>
        <v>0</v>
      </c>
      <c r="AG1083" s="96">
        <f t="shared" si="2765"/>
        <v>0</v>
      </c>
      <c r="AH1083" s="96">
        <f t="shared" si="2766"/>
        <v>0</v>
      </c>
      <c r="AI1083" s="96">
        <f t="shared" si="2767"/>
        <v>0</v>
      </c>
      <c r="AJ1083" s="96">
        <f t="shared" si="2768"/>
        <v>0</v>
      </c>
      <c r="AK1083" s="96"/>
      <c r="AL1083" s="96">
        <f t="shared" si="2769"/>
        <v>0</v>
      </c>
      <c r="AM1083" s="96"/>
      <c r="AN1083" s="96">
        <f t="shared" si="2770"/>
        <v>0</v>
      </c>
      <c r="AO1083" s="96"/>
      <c r="AP1083" s="96">
        <f t="shared" si="2808"/>
        <v>0</v>
      </c>
      <c r="AQ1083" s="96">
        <f t="shared" si="2772"/>
        <v>0</v>
      </c>
      <c r="AR1083" s="96">
        <f t="shared" si="2773"/>
        <v>0</v>
      </c>
      <c r="AS1083" s="96"/>
      <c r="AT1083" s="96">
        <f t="shared" si="2774"/>
        <v>0</v>
      </c>
      <c r="AU1083" s="96"/>
      <c r="AV1083" s="96">
        <f t="shared" si="2775"/>
        <v>0</v>
      </c>
      <c r="AW1083" s="96"/>
      <c r="AX1083" s="96">
        <f t="shared" si="2776"/>
        <v>0</v>
      </c>
      <c r="AY1083" s="96">
        <f t="shared" si="2777"/>
        <v>0</v>
      </c>
      <c r="AZ1083" s="96">
        <f t="shared" si="2778"/>
        <v>0</v>
      </c>
      <c r="BA1083" s="96">
        <f t="shared" si="2779"/>
        <v>0</v>
      </c>
      <c r="BB1083" s="96">
        <f t="shared" si="2780"/>
        <v>0</v>
      </c>
    </row>
    <row r="1084" spans="1:54">
      <c r="A1084" s="492">
        <v>650</v>
      </c>
      <c r="B1084" s="13"/>
      <c r="C1084" s="299"/>
      <c r="D1084" s="13" t="s">
        <v>1483</v>
      </c>
      <c r="E1084" s="21" t="s">
        <v>1623</v>
      </c>
      <c r="F1084" s="45" t="s">
        <v>235</v>
      </c>
      <c r="G1084" s="45" t="s">
        <v>1059</v>
      </c>
      <c r="H1084" s="265" t="s">
        <v>359</v>
      </c>
      <c r="I1084" s="54">
        <v>11.14</v>
      </c>
      <c r="J1084" s="162"/>
      <c r="K1084" s="54">
        <v>11.14</v>
      </c>
      <c r="L1084" s="162"/>
      <c r="M1084" s="54"/>
      <c r="N1084" s="162"/>
      <c r="O1084" s="54"/>
      <c r="P1084" s="162"/>
      <c r="Q1084" s="96">
        <f t="shared" si="2755"/>
        <v>0</v>
      </c>
      <c r="R1084" s="337">
        <f t="shared" si="2756"/>
        <v>0</v>
      </c>
      <c r="S1084" s="96"/>
      <c r="T1084" s="96">
        <f t="shared" si="2757"/>
        <v>0</v>
      </c>
      <c r="U1084" s="96"/>
      <c r="V1084" s="96">
        <f t="shared" si="2758"/>
        <v>0</v>
      </c>
      <c r="W1084" s="96"/>
      <c r="X1084" s="96">
        <f t="shared" si="2759"/>
        <v>0</v>
      </c>
      <c r="Y1084" s="96">
        <f t="shared" si="2760"/>
        <v>0</v>
      </c>
      <c r="Z1084" s="96">
        <f t="shared" si="2761"/>
        <v>0</v>
      </c>
      <c r="AA1084" s="96"/>
      <c r="AB1084" s="96">
        <f t="shared" si="2762"/>
        <v>0</v>
      </c>
      <c r="AC1084" s="96"/>
      <c r="AD1084" s="96">
        <f t="shared" si="2763"/>
        <v>0</v>
      </c>
      <c r="AE1084" s="96"/>
      <c r="AF1084" s="96">
        <f t="shared" si="2764"/>
        <v>0</v>
      </c>
      <c r="AG1084" s="96">
        <f t="shared" si="2765"/>
        <v>0</v>
      </c>
      <c r="AH1084" s="96">
        <f t="shared" si="2766"/>
        <v>0</v>
      </c>
      <c r="AI1084" s="96">
        <f t="shared" si="2767"/>
        <v>0</v>
      </c>
      <c r="AJ1084" s="96">
        <f t="shared" si="2768"/>
        <v>0</v>
      </c>
      <c r="AK1084" s="96"/>
      <c r="AL1084" s="96">
        <f t="shared" si="2769"/>
        <v>0</v>
      </c>
      <c r="AM1084" s="96"/>
      <c r="AN1084" s="96">
        <f t="shared" si="2770"/>
        <v>0</v>
      </c>
      <c r="AO1084" s="96"/>
      <c r="AP1084" s="96">
        <f t="shared" si="2808"/>
        <v>0</v>
      </c>
      <c r="AQ1084" s="96">
        <f t="shared" si="2772"/>
        <v>0</v>
      </c>
      <c r="AR1084" s="96">
        <f t="shared" si="2773"/>
        <v>0</v>
      </c>
      <c r="AS1084" s="96"/>
      <c r="AT1084" s="96">
        <f t="shared" si="2774"/>
        <v>0</v>
      </c>
      <c r="AU1084" s="96"/>
      <c r="AV1084" s="96">
        <f t="shared" si="2775"/>
        <v>0</v>
      </c>
      <c r="AW1084" s="96"/>
      <c r="AX1084" s="96">
        <f t="shared" si="2776"/>
        <v>0</v>
      </c>
      <c r="AY1084" s="96">
        <f t="shared" si="2777"/>
        <v>0</v>
      </c>
      <c r="AZ1084" s="96">
        <f t="shared" si="2778"/>
        <v>0</v>
      </c>
      <c r="BA1084" s="96">
        <f t="shared" si="2779"/>
        <v>0</v>
      </c>
      <c r="BB1084" s="96">
        <f t="shared" si="2780"/>
        <v>0</v>
      </c>
    </row>
    <row r="1085" spans="1:54">
      <c r="A1085" s="492">
        <v>650</v>
      </c>
      <c r="B1085" s="13"/>
      <c r="C1085" s="299"/>
      <c r="D1085" s="13" t="s">
        <v>1483</v>
      </c>
      <c r="E1085" s="21" t="s">
        <v>1574</v>
      </c>
      <c r="F1085" s="45" t="s">
        <v>235</v>
      </c>
      <c r="G1085" s="45" t="s">
        <v>1059</v>
      </c>
      <c r="H1085" s="265" t="s">
        <v>428</v>
      </c>
      <c r="I1085" s="54">
        <v>10.050000000000001</v>
      </c>
      <c r="J1085" s="162"/>
      <c r="K1085" s="54">
        <v>10.050000000000001</v>
      </c>
      <c r="L1085" s="162"/>
      <c r="M1085" s="54"/>
      <c r="N1085" s="162"/>
      <c r="O1085" s="54"/>
      <c r="P1085" s="162"/>
      <c r="Q1085" s="96">
        <f t="shared" si="2755"/>
        <v>0</v>
      </c>
      <c r="R1085" s="337">
        <f t="shared" si="2756"/>
        <v>0</v>
      </c>
      <c r="S1085" s="96"/>
      <c r="T1085" s="96">
        <f t="shared" si="2757"/>
        <v>0</v>
      </c>
      <c r="U1085" s="96"/>
      <c r="V1085" s="96">
        <f t="shared" si="2758"/>
        <v>0</v>
      </c>
      <c r="W1085" s="96"/>
      <c r="X1085" s="96">
        <f t="shared" si="2759"/>
        <v>0</v>
      </c>
      <c r="Y1085" s="96">
        <f t="shared" si="2760"/>
        <v>0</v>
      </c>
      <c r="Z1085" s="96">
        <f t="shared" si="2761"/>
        <v>0</v>
      </c>
      <c r="AA1085" s="96"/>
      <c r="AB1085" s="96">
        <f t="shared" si="2762"/>
        <v>0</v>
      </c>
      <c r="AC1085" s="96"/>
      <c r="AD1085" s="96">
        <f t="shared" si="2763"/>
        <v>0</v>
      </c>
      <c r="AE1085" s="96"/>
      <c r="AF1085" s="96">
        <f t="shared" si="2764"/>
        <v>0</v>
      </c>
      <c r="AG1085" s="96">
        <f t="shared" si="2765"/>
        <v>0</v>
      </c>
      <c r="AH1085" s="96">
        <f t="shared" si="2766"/>
        <v>0</v>
      </c>
      <c r="AI1085" s="96">
        <f t="shared" si="2767"/>
        <v>0</v>
      </c>
      <c r="AJ1085" s="96">
        <f t="shared" si="2768"/>
        <v>0</v>
      </c>
      <c r="AK1085" s="96"/>
      <c r="AL1085" s="96">
        <f t="shared" si="2769"/>
        <v>0</v>
      </c>
      <c r="AM1085" s="96"/>
      <c r="AN1085" s="96">
        <f t="shared" si="2770"/>
        <v>0</v>
      </c>
      <c r="AO1085" s="96"/>
      <c r="AP1085" s="96">
        <f t="shared" si="2808"/>
        <v>0</v>
      </c>
      <c r="AQ1085" s="96">
        <f t="shared" si="2772"/>
        <v>0</v>
      </c>
      <c r="AR1085" s="96">
        <f t="shared" si="2773"/>
        <v>0</v>
      </c>
      <c r="AS1085" s="96"/>
      <c r="AT1085" s="96">
        <f t="shared" si="2774"/>
        <v>0</v>
      </c>
      <c r="AU1085" s="96"/>
      <c r="AV1085" s="96">
        <f t="shared" si="2775"/>
        <v>0</v>
      </c>
      <c r="AW1085" s="96"/>
      <c r="AX1085" s="96">
        <f t="shared" si="2776"/>
        <v>0</v>
      </c>
      <c r="AY1085" s="96">
        <f t="shared" si="2777"/>
        <v>0</v>
      </c>
      <c r="AZ1085" s="96">
        <f t="shared" si="2778"/>
        <v>0</v>
      </c>
      <c r="BA1085" s="96">
        <f t="shared" si="2779"/>
        <v>0</v>
      </c>
      <c r="BB1085" s="96">
        <f t="shared" si="2780"/>
        <v>0</v>
      </c>
    </row>
    <row r="1086" spans="1:54" s="6" customFormat="1">
      <c r="A1086" s="492">
        <v>648</v>
      </c>
      <c r="B1086" s="14"/>
      <c r="C1086" s="333"/>
      <c r="D1086" s="14" t="s">
        <v>1483</v>
      </c>
      <c r="E1086" s="287" t="s">
        <v>2152</v>
      </c>
      <c r="F1086" s="505" t="s">
        <v>235</v>
      </c>
      <c r="G1086" s="505" t="s">
        <v>1059</v>
      </c>
      <c r="H1086" s="446" t="s">
        <v>359</v>
      </c>
      <c r="I1086" s="425">
        <v>9.6999999999999993</v>
      </c>
      <c r="J1086" s="493"/>
      <c r="K1086" s="425">
        <v>9.6999999999999993</v>
      </c>
      <c r="L1086" s="493"/>
      <c r="M1086" s="425"/>
      <c r="N1086" s="493"/>
      <c r="O1086" s="425"/>
      <c r="P1086" s="493"/>
      <c r="Q1086" s="428">
        <f t="shared" ref="Q1086" si="2965">SUM(AI1086+BA1086)</f>
        <v>0</v>
      </c>
      <c r="R1086" s="449">
        <f t="shared" ref="R1086" si="2966">SUM(AJ1086+BB1086)</f>
        <v>0</v>
      </c>
      <c r="S1086" s="428"/>
      <c r="T1086" s="428">
        <f t="shared" ref="T1086" si="2967">I1086*S1086*$T$2/1000</f>
        <v>0</v>
      </c>
      <c r="U1086" s="428"/>
      <c r="V1086" s="428">
        <f t="shared" ref="V1086" si="2968">I1086*U1086*$V$2/1000</f>
        <v>0</v>
      </c>
      <c r="W1086" s="428"/>
      <c r="X1086" s="428">
        <f t="shared" ref="X1086" si="2969">I1086*W1086*$X$2/1000</f>
        <v>0</v>
      </c>
      <c r="Y1086" s="428">
        <f t="shared" ref="Y1086" si="2970">SUM(S1086+U1086+W1086)</f>
        <v>0</v>
      </c>
      <c r="Z1086" s="428">
        <f t="shared" ref="Z1086" si="2971">SUM(T1086+V1086+X1086)</f>
        <v>0</v>
      </c>
      <c r="AA1086" s="428"/>
      <c r="AB1086" s="428">
        <f t="shared" ref="AB1086" si="2972">K1086*AA1086*$AB$2/1000</f>
        <v>0</v>
      </c>
      <c r="AC1086" s="428"/>
      <c r="AD1086" s="428">
        <f t="shared" ref="AD1086" si="2973">K1086*AC1086*$AD$2/1000</f>
        <v>0</v>
      </c>
      <c r="AE1086" s="428"/>
      <c r="AF1086" s="130">
        <f t="shared" ref="AF1086" si="2974">K1086*AE1086*$AF$2/1000</f>
        <v>0</v>
      </c>
      <c r="AG1086" s="428">
        <f t="shared" ref="AG1086" si="2975">SUM(AA1086+AC1086+AE1086)</f>
        <v>0</v>
      </c>
      <c r="AH1086" s="428">
        <f t="shared" ref="AH1086" si="2976">SUM(AB1086+AD1086+AF1086)</f>
        <v>0</v>
      </c>
      <c r="AI1086" s="428">
        <f t="shared" ref="AI1086" si="2977">SUM(Y1086+AG1086)</f>
        <v>0</v>
      </c>
      <c r="AJ1086" s="428">
        <f t="shared" ref="AJ1086" si="2978">SUM(Z1086,AH1086)</f>
        <v>0</v>
      </c>
      <c r="AK1086" s="428"/>
      <c r="AL1086" s="428">
        <f t="shared" ref="AL1086" si="2979">M1086*AK1086*$AL$2/1000</f>
        <v>0</v>
      </c>
      <c r="AM1086" s="428"/>
      <c r="AN1086" s="428">
        <f t="shared" ref="AN1086" si="2980">M1086*AM1086*$AN$2/1000</f>
        <v>0</v>
      </c>
      <c r="AO1086" s="428"/>
      <c r="AP1086" s="428">
        <f t="shared" ref="AP1086" si="2981">M1086*AO1086*$AP$2/1000</f>
        <v>0</v>
      </c>
      <c r="AQ1086" s="428">
        <f t="shared" ref="AQ1086" si="2982">SUM(AK1086+AM1086+AO1086)</f>
        <v>0</v>
      </c>
      <c r="AR1086" s="428">
        <f t="shared" ref="AR1086" si="2983">SUM(AL1086+AN1086+AP1086)</f>
        <v>0</v>
      </c>
      <c r="AS1086" s="428"/>
      <c r="AT1086" s="428">
        <f t="shared" ref="AT1086" si="2984">O1086*AS1086*$AT$2/1000</f>
        <v>0</v>
      </c>
      <c r="AU1086" s="428"/>
      <c r="AV1086" s="428">
        <f t="shared" ref="AV1086" si="2985">O1086*AU1086*$AV$2/1000</f>
        <v>0</v>
      </c>
      <c r="AW1086" s="428"/>
      <c r="AX1086" s="428">
        <f t="shared" ref="AX1086" si="2986">O1086*AW1086*$AX$2/1000</f>
        <v>0</v>
      </c>
      <c r="AY1086" s="428">
        <f t="shared" ref="AY1086" si="2987">SUM(AS1086+AU1086+AW1086)</f>
        <v>0</v>
      </c>
      <c r="AZ1086" s="428">
        <f t="shared" ref="AZ1086" si="2988">SUM(AT1086+AV1086+AX1086)</f>
        <v>0</v>
      </c>
      <c r="BA1086" s="428">
        <f t="shared" ref="BA1086" si="2989">SUM(AQ1086+AY1086)</f>
        <v>0</v>
      </c>
      <c r="BB1086" s="428">
        <f t="shared" ref="BB1086" si="2990">SUM(AR1086,AZ1086)</f>
        <v>0</v>
      </c>
    </row>
    <row r="1087" spans="1:54" s="6" customFormat="1">
      <c r="A1087" s="492">
        <v>648</v>
      </c>
      <c r="B1087" s="14"/>
      <c r="C1087" s="333"/>
      <c r="D1087" s="14" t="s">
        <v>1506</v>
      </c>
      <c r="E1087" s="287" t="s">
        <v>1505</v>
      </c>
      <c r="F1087" s="505" t="s">
        <v>235</v>
      </c>
      <c r="G1087" s="505" t="s">
        <v>1059</v>
      </c>
      <c r="H1087" s="446" t="s">
        <v>428</v>
      </c>
      <c r="I1087" s="425">
        <v>9.6999999999999993</v>
      </c>
      <c r="J1087" s="493"/>
      <c r="K1087" s="425">
        <v>9.6999999999999993</v>
      </c>
      <c r="L1087" s="493"/>
      <c r="M1087" s="425"/>
      <c r="N1087" s="493"/>
      <c r="O1087" s="425"/>
      <c r="P1087" s="493"/>
      <c r="Q1087" s="428">
        <f t="shared" si="2755"/>
        <v>0</v>
      </c>
      <c r="R1087" s="449">
        <f t="shared" si="2756"/>
        <v>0</v>
      </c>
      <c r="S1087" s="428"/>
      <c r="T1087" s="428">
        <f t="shared" si="2757"/>
        <v>0</v>
      </c>
      <c r="U1087" s="428"/>
      <c r="V1087" s="428">
        <f t="shared" si="2758"/>
        <v>0</v>
      </c>
      <c r="W1087" s="428"/>
      <c r="X1087" s="428">
        <f t="shared" si="2759"/>
        <v>0</v>
      </c>
      <c r="Y1087" s="428">
        <f t="shared" si="2760"/>
        <v>0</v>
      </c>
      <c r="Z1087" s="428">
        <f t="shared" si="2761"/>
        <v>0</v>
      </c>
      <c r="AA1087" s="428"/>
      <c r="AB1087" s="428">
        <f t="shared" si="2762"/>
        <v>0</v>
      </c>
      <c r="AC1087" s="428"/>
      <c r="AD1087" s="428">
        <f t="shared" si="2763"/>
        <v>0</v>
      </c>
      <c r="AE1087" s="428"/>
      <c r="AF1087" s="130">
        <f t="shared" si="2764"/>
        <v>0</v>
      </c>
      <c r="AG1087" s="428">
        <f t="shared" si="2765"/>
        <v>0</v>
      </c>
      <c r="AH1087" s="428">
        <f t="shared" si="2766"/>
        <v>0</v>
      </c>
      <c r="AI1087" s="428">
        <f t="shared" si="2767"/>
        <v>0</v>
      </c>
      <c r="AJ1087" s="428">
        <f t="shared" si="2768"/>
        <v>0</v>
      </c>
      <c r="AK1087" s="428"/>
      <c r="AL1087" s="428">
        <f t="shared" si="2769"/>
        <v>0</v>
      </c>
      <c r="AM1087" s="428"/>
      <c r="AN1087" s="428">
        <f t="shared" si="2770"/>
        <v>0</v>
      </c>
      <c r="AO1087" s="428"/>
      <c r="AP1087" s="428">
        <f t="shared" si="2808"/>
        <v>0</v>
      </c>
      <c r="AQ1087" s="428">
        <f t="shared" si="2772"/>
        <v>0</v>
      </c>
      <c r="AR1087" s="428">
        <f t="shared" si="2773"/>
        <v>0</v>
      </c>
      <c r="AS1087" s="428"/>
      <c r="AT1087" s="428">
        <f t="shared" si="2774"/>
        <v>0</v>
      </c>
      <c r="AU1087" s="428"/>
      <c r="AV1087" s="428">
        <f t="shared" si="2775"/>
        <v>0</v>
      </c>
      <c r="AW1087" s="428"/>
      <c r="AX1087" s="428">
        <f t="shared" si="2776"/>
        <v>0</v>
      </c>
      <c r="AY1087" s="428">
        <f t="shared" si="2777"/>
        <v>0</v>
      </c>
      <c r="AZ1087" s="428">
        <f t="shared" si="2778"/>
        <v>0</v>
      </c>
      <c r="BA1087" s="428">
        <f t="shared" si="2779"/>
        <v>0</v>
      </c>
      <c r="BB1087" s="428">
        <f t="shared" si="2780"/>
        <v>0</v>
      </c>
    </row>
    <row r="1088" spans="1:54">
      <c r="A1088" s="492">
        <v>650</v>
      </c>
      <c r="B1088" s="13"/>
      <c r="C1088" s="299"/>
      <c r="D1088" s="13" t="s">
        <v>1483</v>
      </c>
      <c r="E1088" s="21" t="s">
        <v>1544</v>
      </c>
      <c r="F1088" s="45" t="s">
        <v>235</v>
      </c>
      <c r="G1088" s="45" t="s">
        <v>1059</v>
      </c>
      <c r="H1088" s="265" t="s">
        <v>359</v>
      </c>
      <c r="I1088" s="54">
        <v>12.82</v>
      </c>
      <c r="J1088" s="162"/>
      <c r="K1088" s="54">
        <v>12.82</v>
      </c>
      <c r="L1088" s="162"/>
      <c r="M1088" s="54"/>
      <c r="N1088" s="162"/>
      <c r="O1088" s="54"/>
      <c r="P1088" s="162"/>
      <c r="Q1088" s="96">
        <f t="shared" si="2755"/>
        <v>0</v>
      </c>
      <c r="R1088" s="337">
        <f t="shared" si="2756"/>
        <v>0</v>
      </c>
      <c r="S1088" s="96"/>
      <c r="T1088" s="96">
        <f t="shared" si="2757"/>
        <v>0</v>
      </c>
      <c r="U1088" s="96"/>
      <c r="V1088" s="96">
        <f t="shared" si="2758"/>
        <v>0</v>
      </c>
      <c r="W1088" s="96"/>
      <c r="X1088" s="96">
        <f t="shared" si="2759"/>
        <v>0</v>
      </c>
      <c r="Y1088" s="96">
        <f t="shared" si="2760"/>
        <v>0</v>
      </c>
      <c r="Z1088" s="96">
        <f t="shared" si="2761"/>
        <v>0</v>
      </c>
      <c r="AA1088" s="96"/>
      <c r="AB1088" s="96">
        <f t="shared" si="2762"/>
        <v>0</v>
      </c>
      <c r="AC1088" s="96"/>
      <c r="AD1088" s="96">
        <f t="shared" si="2763"/>
        <v>0</v>
      </c>
      <c r="AE1088" s="96"/>
      <c r="AF1088" s="96">
        <f t="shared" si="2764"/>
        <v>0</v>
      </c>
      <c r="AG1088" s="96">
        <f t="shared" si="2765"/>
        <v>0</v>
      </c>
      <c r="AH1088" s="96">
        <f t="shared" si="2766"/>
        <v>0</v>
      </c>
      <c r="AI1088" s="96">
        <f t="shared" si="2767"/>
        <v>0</v>
      </c>
      <c r="AJ1088" s="96">
        <f t="shared" si="2768"/>
        <v>0</v>
      </c>
      <c r="AK1088" s="96"/>
      <c r="AL1088" s="96">
        <f t="shared" si="2769"/>
        <v>0</v>
      </c>
      <c r="AM1088" s="96"/>
      <c r="AN1088" s="96">
        <f t="shared" si="2770"/>
        <v>0</v>
      </c>
      <c r="AO1088" s="96"/>
      <c r="AP1088" s="96">
        <f t="shared" si="2808"/>
        <v>0</v>
      </c>
      <c r="AQ1088" s="96">
        <f t="shared" si="2772"/>
        <v>0</v>
      </c>
      <c r="AR1088" s="96">
        <f t="shared" si="2773"/>
        <v>0</v>
      </c>
      <c r="AS1088" s="96"/>
      <c r="AT1088" s="96">
        <f t="shared" si="2774"/>
        <v>0</v>
      </c>
      <c r="AU1088" s="96"/>
      <c r="AV1088" s="96">
        <f t="shared" si="2775"/>
        <v>0</v>
      </c>
      <c r="AW1088" s="96"/>
      <c r="AX1088" s="96">
        <f t="shared" si="2776"/>
        <v>0</v>
      </c>
      <c r="AY1088" s="96">
        <f t="shared" si="2777"/>
        <v>0</v>
      </c>
      <c r="AZ1088" s="96">
        <f t="shared" si="2778"/>
        <v>0</v>
      </c>
      <c r="BA1088" s="96">
        <f t="shared" si="2779"/>
        <v>0</v>
      </c>
      <c r="BB1088" s="96">
        <f t="shared" si="2780"/>
        <v>0</v>
      </c>
    </row>
    <row r="1089" spans="1:54">
      <c r="A1089" s="492">
        <v>650</v>
      </c>
      <c r="B1089" s="13"/>
      <c r="C1089" s="299"/>
      <c r="D1089" s="13" t="s">
        <v>1483</v>
      </c>
      <c r="E1089" s="21" t="s">
        <v>1545</v>
      </c>
      <c r="F1089" s="45" t="s">
        <v>235</v>
      </c>
      <c r="G1089" s="45" t="s">
        <v>1059</v>
      </c>
      <c r="H1089" s="265" t="s">
        <v>359</v>
      </c>
      <c r="I1089" s="54">
        <v>12.82</v>
      </c>
      <c r="J1089" s="162"/>
      <c r="K1089" s="54">
        <v>12.82</v>
      </c>
      <c r="L1089" s="162"/>
      <c r="M1089" s="54"/>
      <c r="N1089" s="162"/>
      <c r="O1089" s="54"/>
      <c r="P1089" s="162"/>
      <c r="Q1089" s="96">
        <f t="shared" si="2755"/>
        <v>0.8</v>
      </c>
      <c r="R1089" s="337">
        <f t="shared" si="2756"/>
        <v>15.18667456</v>
      </c>
      <c r="S1089" s="96"/>
      <c r="T1089" s="96">
        <f t="shared" si="2757"/>
        <v>0</v>
      </c>
      <c r="U1089" s="96"/>
      <c r="V1089" s="96">
        <f t="shared" si="2758"/>
        <v>0</v>
      </c>
      <c r="W1089" s="96"/>
      <c r="X1089" s="96">
        <f t="shared" si="2759"/>
        <v>0</v>
      </c>
      <c r="Y1089" s="96">
        <f t="shared" si="2760"/>
        <v>0</v>
      </c>
      <c r="Z1089" s="96">
        <f t="shared" si="2761"/>
        <v>0</v>
      </c>
      <c r="AA1089" s="96">
        <v>0.8</v>
      </c>
      <c r="AB1089" s="96">
        <f t="shared" si="2762"/>
        <v>15.18667456</v>
      </c>
      <c r="AC1089" s="96"/>
      <c r="AD1089" s="96">
        <f t="shared" si="2763"/>
        <v>0</v>
      </c>
      <c r="AE1089" s="96"/>
      <c r="AF1089" s="96">
        <f t="shared" si="2764"/>
        <v>0</v>
      </c>
      <c r="AG1089" s="96">
        <f t="shared" si="2765"/>
        <v>0.8</v>
      </c>
      <c r="AH1089" s="96">
        <f t="shared" si="2766"/>
        <v>15.18667456</v>
      </c>
      <c r="AI1089" s="96">
        <f t="shared" si="2767"/>
        <v>0.8</v>
      </c>
      <c r="AJ1089" s="96">
        <f t="shared" si="2768"/>
        <v>15.18667456</v>
      </c>
      <c r="AK1089" s="96"/>
      <c r="AL1089" s="96">
        <f t="shared" si="2769"/>
        <v>0</v>
      </c>
      <c r="AM1089" s="96"/>
      <c r="AN1089" s="96">
        <f t="shared" si="2770"/>
        <v>0</v>
      </c>
      <c r="AO1089" s="96"/>
      <c r="AP1089" s="96">
        <f t="shared" si="2808"/>
        <v>0</v>
      </c>
      <c r="AQ1089" s="96">
        <f t="shared" si="2772"/>
        <v>0</v>
      </c>
      <c r="AR1089" s="96">
        <f t="shared" si="2773"/>
        <v>0</v>
      </c>
      <c r="AS1089" s="96"/>
      <c r="AT1089" s="96">
        <f t="shared" si="2774"/>
        <v>0</v>
      </c>
      <c r="AU1089" s="96"/>
      <c r="AV1089" s="96">
        <f t="shared" si="2775"/>
        <v>0</v>
      </c>
      <c r="AW1089" s="96"/>
      <c r="AX1089" s="96">
        <f t="shared" si="2776"/>
        <v>0</v>
      </c>
      <c r="AY1089" s="96">
        <f t="shared" si="2777"/>
        <v>0</v>
      </c>
      <c r="AZ1089" s="96">
        <f t="shared" si="2778"/>
        <v>0</v>
      </c>
      <c r="BA1089" s="96">
        <f t="shared" si="2779"/>
        <v>0</v>
      </c>
      <c r="BB1089" s="96">
        <f t="shared" si="2780"/>
        <v>0</v>
      </c>
    </row>
    <row r="1090" spans="1:54">
      <c r="A1090" s="492">
        <v>650</v>
      </c>
      <c r="B1090" s="13"/>
      <c r="C1090" s="299"/>
      <c r="D1090" s="13"/>
      <c r="E1090" s="21" t="s">
        <v>2245</v>
      </c>
      <c r="F1090" s="45" t="s">
        <v>235</v>
      </c>
      <c r="G1090" s="45" t="s">
        <v>1059</v>
      </c>
      <c r="H1090" s="265" t="s">
        <v>359</v>
      </c>
      <c r="I1090" s="54">
        <v>11.06</v>
      </c>
      <c r="J1090" s="162"/>
      <c r="K1090" s="54">
        <v>11.06</v>
      </c>
      <c r="L1090" s="162"/>
      <c r="M1090" s="54"/>
      <c r="N1090" s="162"/>
      <c r="O1090" s="54"/>
      <c r="P1090" s="162"/>
      <c r="Q1090" s="96">
        <f t="shared" ref="Q1090" si="2991">SUM(AI1090+BA1090)</f>
        <v>0</v>
      </c>
      <c r="R1090" s="337">
        <f t="shared" ref="R1090" si="2992">SUM(AJ1090+BB1090)</f>
        <v>0</v>
      </c>
      <c r="S1090" s="96"/>
      <c r="T1090" s="96">
        <f t="shared" ref="T1090" si="2993">I1090*S1090*$T$2/1000</f>
        <v>0</v>
      </c>
      <c r="U1090" s="96"/>
      <c r="V1090" s="96">
        <f t="shared" ref="V1090" si="2994">I1090*U1090*$V$2/1000</f>
        <v>0</v>
      </c>
      <c r="W1090" s="96"/>
      <c r="X1090" s="96">
        <f t="shared" ref="X1090" si="2995">I1090*W1090*$X$2/1000</f>
        <v>0</v>
      </c>
      <c r="Y1090" s="96">
        <f t="shared" ref="Y1090" si="2996">SUM(S1090+U1090+W1090)</f>
        <v>0</v>
      </c>
      <c r="Z1090" s="96">
        <f t="shared" ref="Z1090" si="2997">SUM(T1090+V1090+X1090)</f>
        <v>0</v>
      </c>
      <c r="AA1090" s="96"/>
      <c r="AB1090" s="96">
        <f t="shared" ref="AB1090" si="2998">K1090*AA1090*$AB$2/1000</f>
        <v>0</v>
      </c>
      <c r="AC1090" s="96"/>
      <c r="AD1090" s="96">
        <f t="shared" ref="AD1090" si="2999">K1090*AC1090*$AD$2/1000</f>
        <v>0</v>
      </c>
      <c r="AE1090" s="96"/>
      <c r="AF1090" s="96">
        <f t="shared" ref="AF1090" si="3000">K1090*AE1090*$AF$2/1000</f>
        <v>0</v>
      </c>
      <c r="AG1090" s="96">
        <f t="shared" ref="AG1090" si="3001">SUM(AA1090+AC1090+AE1090)</f>
        <v>0</v>
      </c>
      <c r="AH1090" s="96">
        <f t="shared" ref="AH1090" si="3002">SUM(AB1090+AD1090+AF1090)</f>
        <v>0</v>
      </c>
      <c r="AI1090" s="96">
        <f t="shared" ref="AI1090" si="3003">SUM(Y1090+AG1090)</f>
        <v>0</v>
      </c>
      <c r="AJ1090" s="96">
        <f t="shared" ref="AJ1090" si="3004">SUM(Z1090,AH1090)</f>
        <v>0</v>
      </c>
      <c r="AK1090" s="96"/>
      <c r="AL1090" s="96">
        <f t="shared" ref="AL1090" si="3005">M1090*AK1090*$AL$2/1000</f>
        <v>0</v>
      </c>
      <c r="AM1090" s="96"/>
      <c r="AN1090" s="96">
        <f t="shared" ref="AN1090" si="3006">M1090*AM1090*$AN$2/1000</f>
        <v>0</v>
      </c>
      <c r="AO1090" s="96"/>
      <c r="AP1090" s="96">
        <f t="shared" ref="AP1090" si="3007">M1090*AO1090*$AP$2/1000</f>
        <v>0</v>
      </c>
      <c r="AQ1090" s="96">
        <f t="shared" ref="AQ1090" si="3008">SUM(AK1090+AM1090+AO1090)</f>
        <v>0</v>
      </c>
      <c r="AR1090" s="96">
        <f t="shared" ref="AR1090" si="3009">SUM(AL1090+AN1090+AP1090)</f>
        <v>0</v>
      </c>
      <c r="AS1090" s="96"/>
      <c r="AT1090" s="96">
        <f t="shared" ref="AT1090" si="3010">O1090*AS1090*$AT$2/1000</f>
        <v>0</v>
      </c>
      <c r="AU1090" s="96"/>
      <c r="AV1090" s="96">
        <f t="shared" ref="AV1090" si="3011">O1090*AU1090*$AV$2/1000</f>
        <v>0</v>
      </c>
      <c r="AW1090" s="96"/>
      <c r="AX1090" s="96">
        <f t="shared" ref="AX1090" si="3012">O1090*AW1090*$AX$2/1000</f>
        <v>0</v>
      </c>
      <c r="AY1090" s="96">
        <f t="shared" ref="AY1090" si="3013">SUM(AS1090+AU1090+AW1090)</f>
        <v>0</v>
      </c>
      <c r="AZ1090" s="96">
        <f t="shared" ref="AZ1090" si="3014">SUM(AT1090+AV1090+AX1090)</f>
        <v>0</v>
      </c>
      <c r="BA1090" s="96">
        <f t="shared" ref="BA1090" si="3015">SUM(AQ1090+AY1090)</f>
        <v>0</v>
      </c>
      <c r="BB1090" s="96">
        <f t="shared" ref="BB1090" si="3016">SUM(AR1090,AZ1090)</f>
        <v>0</v>
      </c>
    </row>
    <row r="1091" spans="1:54">
      <c r="A1091" s="492">
        <v>650</v>
      </c>
      <c r="B1091" s="13"/>
      <c r="C1091" s="299"/>
      <c r="D1091" s="13"/>
      <c r="E1091" s="21" t="s">
        <v>2246</v>
      </c>
      <c r="F1091" s="45" t="s">
        <v>235</v>
      </c>
      <c r="G1091" s="45" t="s">
        <v>1059</v>
      </c>
      <c r="H1091" s="265" t="s">
        <v>359</v>
      </c>
      <c r="I1091" s="54">
        <v>11.06</v>
      </c>
      <c r="J1091" s="162"/>
      <c r="K1091" s="54">
        <v>11.06</v>
      </c>
      <c r="L1091" s="162"/>
      <c r="M1091" s="54"/>
      <c r="N1091" s="162"/>
      <c r="O1091" s="54"/>
      <c r="P1091" s="162"/>
      <c r="Q1091" s="96">
        <f t="shared" si="2755"/>
        <v>0</v>
      </c>
      <c r="R1091" s="337">
        <f t="shared" si="2756"/>
        <v>0</v>
      </c>
      <c r="S1091" s="96"/>
      <c r="T1091" s="96">
        <f t="shared" si="2757"/>
        <v>0</v>
      </c>
      <c r="U1091" s="96"/>
      <c r="V1091" s="96">
        <f t="shared" si="2758"/>
        <v>0</v>
      </c>
      <c r="W1091" s="96"/>
      <c r="X1091" s="96">
        <f t="shared" si="2759"/>
        <v>0</v>
      </c>
      <c r="Y1091" s="96">
        <f t="shared" si="2760"/>
        <v>0</v>
      </c>
      <c r="Z1091" s="96">
        <f t="shared" si="2761"/>
        <v>0</v>
      </c>
      <c r="AA1091" s="96"/>
      <c r="AB1091" s="96">
        <f t="shared" si="2762"/>
        <v>0</v>
      </c>
      <c r="AC1091" s="96"/>
      <c r="AD1091" s="96">
        <f t="shared" si="2763"/>
        <v>0</v>
      </c>
      <c r="AE1091" s="96"/>
      <c r="AF1091" s="96">
        <f t="shared" si="2764"/>
        <v>0</v>
      </c>
      <c r="AG1091" s="96">
        <f t="shared" si="2765"/>
        <v>0</v>
      </c>
      <c r="AH1091" s="96">
        <f t="shared" si="2766"/>
        <v>0</v>
      </c>
      <c r="AI1091" s="96">
        <f t="shared" si="2767"/>
        <v>0</v>
      </c>
      <c r="AJ1091" s="96">
        <f t="shared" si="2768"/>
        <v>0</v>
      </c>
      <c r="AK1091" s="96"/>
      <c r="AL1091" s="96">
        <f t="shared" si="2769"/>
        <v>0</v>
      </c>
      <c r="AM1091" s="96"/>
      <c r="AN1091" s="96">
        <f t="shared" si="2770"/>
        <v>0</v>
      </c>
      <c r="AO1091" s="96"/>
      <c r="AP1091" s="96">
        <f t="shared" si="2808"/>
        <v>0</v>
      </c>
      <c r="AQ1091" s="96">
        <f t="shared" si="2772"/>
        <v>0</v>
      </c>
      <c r="AR1091" s="96">
        <f t="shared" si="2773"/>
        <v>0</v>
      </c>
      <c r="AS1091" s="96"/>
      <c r="AT1091" s="96">
        <f t="shared" si="2774"/>
        <v>0</v>
      </c>
      <c r="AU1091" s="96"/>
      <c r="AV1091" s="96">
        <f t="shared" si="2775"/>
        <v>0</v>
      </c>
      <c r="AW1091" s="96"/>
      <c r="AX1091" s="96">
        <f t="shared" si="2776"/>
        <v>0</v>
      </c>
      <c r="AY1091" s="96">
        <f t="shared" si="2777"/>
        <v>0</v>
      </c>
      <c r="AZ1091" s="96">
        <f t="shared" si="2778"/>
        <v>0</v>
      </c>
      <c r="BA1091" s="96">
        <f t="shared" si="2779"/>
        <v>0</v>
      </c>
      <c r="BB1091" s="96">
        <f t="shared" si="2780"/>
        <v>0</v>
      </c>
    </row>
    <row r="1092" spans="1:54">
      <c r="A1092" s="492">
        <v>650</v>
      </c>
      <c r="B1092" s="13"/>
      <c r="C1092" s="299"/>
      <c r="D1092" s="13"/>
      <c r="E1092" s="21" t="s">
        <v>2221</v>
      </c>
      <c r="F1092" s="45" t="s">
        <v>235</v>
      </c>
      <c r="G1092" s="45" t="s">
        <v>1059</v>
      </c>
      <c r="H1092" s="265" t="s">
        <v>359</v>
      </c>
      <c r="I1092" s="54">
        <v>11.06</v>
      </c>
      <c r="J1092" s="162"/>
      <c r="K1092" s="54">
        <v>11.06</v>
      </c>
      <c r="L1092" s="162"/>
      <c r="M1092" s="54"/>
      <c r="N1092" s="162"/>
      <c r="O1092" s="54"/>
      <c r="P1092" s="162"/>
      <c r="Q1092" s="96">
        <f t="shared" ref="Q1092:Q1093" si="3017">SUM(AI1092+BA1092)</f>
        <v>15</v>
      </c>
      <c r="R1092" s="337">
        <f t="shared" ref="R1092:R1093" si="3018">SUM(AJ1092+BB1092)</f>
        <v>246.85311700000003</v>
      </c>
      <c r="S1092" s="96"/>
      <c r="T1092" s="96">
        <f t="shared" ref="T1092:T1093" si="3019">I1092*S1092*$T$2/1000</f>
        <v>0</v>
      </c>
      <c r="U1092" s="96"/>
      <c r="V1092" s="96">
        <f t="shared" ref="V1092:V1093" si="3020">I1092*U1092*$V$2/1000</f>
        <v>0</v>
      </c>
      <c r="W1092" s="96">
        <v>5</v>
      </c>
      <c r="X1092" s="96">
        <f t="shared" ref="X1092:X1093" si="3021">I1092*W1092*$X$2/1000</f>
        <v>83.081061000000005</v>
      </c>
      <c r="Y1092" s="96">
        <f t="shared" ref="Y1092:Y1093" si="3022">SUM(S1092+U1092+W1092)</f>
        <v>5</v>
      </c>
      <c r="Z1092" s="96">
        <f t="shared" ref="Z1092:Z1093" si="3023">SUM(T1092+V1092+X1092)</f>
        <v>83.081061000000005</v>
      </c>
      <c r="AA1092" s="96">
        <v>10</v>
      </c>
      <c r="AB1092" s="96">
        <f t="shared" ref="AB1092:AB1093" si="3024">K1092*AA1092*$AB$2/1000</f>
        <v>163.77205600000002</v>
      </c>
      <c r="AC1092" s="96"/>
      <c r="AD1092" s="96">
        <f t="shared" ref="AD1092:AD1093" si="3025">K1092*AC1092*$AD$2/1000</f>
        <v>0</v>
      </c>
      <c r="AE1092" s="96"/>
      <c r="AF1092" s="96">
        <f t="shared" ref="AF1092:AF1093" si="3026">K1092*AE1092*$AF$2/1000</f>
        <v>0</v>
      </c>
      <c r="AG1092" s="96">
        <f t="shared" ref="AG1092:AG1093" si="3027">SUM(AA1092+AC1092+AE1092)</f>
        <v>10</v>
      </c>
      <c r="AH1092" s="96">
        <f t="shared" ref="AH1092:AH1093" si="3028">SUM(AB1092+AD1092+AF1092)</f>
        <v>163.77205600000002</v>
      </c>
      <c r="AI1092" s="96">
        <f t="shared" ref="AI1092:AI1093" si="3029">SUM(Y1092+AG1092)</f>
        <v>15</v>
      </c>
      <c r="AJ1092" s="96">
        <f t="shared" ref="AJ1092:AJ1093" si="3030">SUM(Z1092,AH1092)</f>
        <v>246.85311700000003</v>
      </c>
      <c r="AK1092" s="96"/>
      <c r="AL1092" s="96">
        <f t="shared" ref="AL1092:AL1093" si="3031">M1092*AK1092*$AL$2/1000</f>
        <v>0</v>
      </c>
      <c r="AM1092" s="96"/>
      <c r="AN1092" s="96">
        <f t="shared" ref="AN1092:AN1093" si="3032">M1092*AM1092*$AN$2/1000</f>
        <v>0</v>
      </c>
      <c r="AO1092" s="96"/>
      <c r="AP1092" s="96">
        <f t="shared" ref="AP1092:AP1093" si="3033">M1092*AO1092*$AP$2/1000</f>
        <v>0</v>
      </c>
      <c r="AQ1092" s="96">
        <f t="shared" ref="AQ1092:AQ1093" si="3034">SUM(AK1092+AM1092+AO1092)</f>
        <v>0</v>
      </c>
      <c r="AR1092" s="96">
        <f t="shared" ref="AR1092:AR1093" si="3035">SUM(AL1092+AN1092+AP1092)</f>
        <v>0</v>
      </c>
      <c r="AS1092" s="96"/>
      <c r="AT1092" s="96">
        <f t="shared" ref="AT1092:AT1093" si="3036">O1092*AS1092*$AT$2/1000</f>
        <v>0</v>
      </c>
      <c r="AU1092" s="96"/>
      <c r="AV1092" s="96">
        <f t="shared" ref="AV1092:AV1093" si="3037">O1092*AU1092*$AV$2/1000</f>
        <v>0</v>
      </c>
      <c r="AW1092" s="96"/>
      <c r="AX1092" s="96">
        <f t="shared" ref="AX1092:AX1093" si="3038">O1092*AW1092*$AX$2/1000</f>
        <v>0</v>
      </c>
      <c r="AY1092" s="96">
        <f t="shared" ref="AY1092:AY1093" si="3039">SUM(AS1092+AU1092+AW1092)</f>
        <v>0</v>
      </c>
      <c r="AZ1092" s="96">
        <f t="shared" ref="AZ1092:AZ1093" si="3040">SUM(AT1092+AV1092+AX1092)</f>
        <v>0</v>
      </c>
      <c r="BA1092" s="96">
        <f t="shared" ref="BA1092:BA1093" si="3041">SUM(AQ1092+AY1092)</f>
        <v>0</v>
      </c>
      <c r="BB1092" s="96">
        <f t="shared" ref="BB1092:BB1093" si="3042">SUM(AR1092,AZ1092)</f>
        <v>0</v>
      </c>
    </row>
    <row r="1093" spans="1:54">
      <c r="A1093" s="492">
        <v>650</v>
      </c>
      <c r="B1093" s="13"/>
      <c r="C1093" s="299"/>
      <c r="D1093" s="13"/>
      <c r="E1093" s="21" t="s">
        <v>2247</v>
      </c>
      <c r="F1093" s="45" t="s">
        <v>235</v>
      </c>
      <c r="G1093" s="45" t="s">
        <v>1059</v>
      </c>
      <c r="H1093" s="265" t="s">
        <v>359</v>
      </c>
      <c r="I1093" s="54">
        <v>11.06</v>
      </c>
      <c r="J1093" s="162"/>
      <c r="K1093" s="54">
        <v>11.06</v>
      </c>
      <c r="L1093" s="162"/>
      <c r="M1093" s="54"/>
      <c r="N1093" s="162"/>
      <c r="O1093" s="54"/>
      <c r="P1093" s="162"/>
      <c r="Q1093" s="96">
        <f t="shared" si="3017"/>
        <v>0.47</v>
      </c>
      <c r="R1093" s="337">
        <f t="shared" si="3018"/>
        <v>7.697286632</v>
      </c>
      <c r="S1093" s="96"/>
      <c r="T1093" s="96">
        <f t="shared" si="3019"/>
        <v>0</v>
      </c>
      <c r="U1093" s="96"/>
      <c r="V1093" s="96">
        <f t="shared" si="3020"/>
        <v>0</v>
      </c>
      <c r="W1093" s="96"/>
      <c r="X1093" s="96">
        <f t="shared" si="3021"/>
        <v>0</v>
      </c>
      <c r="Y1093" s="96">
        <f t="shared" si="3022"/>
        <v>0</v>
      </c>
      <c r="Z1093" s="96">
        <f t="shared" si="3023"/>
        <v>0</v>
      </c>
      <c r="AA1093" s="96">
        <v>0.47</v>
      </c>
      <c r="AB1093" s="96">
        <f t="shared" si="3024"/>
        <v>7.697286632</v>
      </c>
      <c r="AC1093" s="96"/>
      <c r="AD1093" s="96">
        <f t="shared" si="3025"/>
        <v>0</v>
      </c>
      <c r="AE1093" s="96"/>
      <c r="AF1093" s="96">
        <f t="shared" si="3026"/>
        <v>0</v>
      </c>
      <c r="AG1093" s="96">
        <f t="shared" si="3027"/>
        <v>0.47</v>
      </c>
      <c r="AH1093" s="96">
        <f t="shared" si="3028"/>
        <v>7.697286632</v>
      </c>
      <c r="AI1093" s="96">
        <f t="shared" si="3029"/>
        <v>0.47</v>
      </c>
      <c r="AJ1093" s="96">
        <f t="shared" si="3030"/>
        <v>7.697286632</v>
      </c>
      <c r="AK1093" s="96"/>
      <c r="AL1093" s="96">
        <f t="shared" si="3031"/>
        <v>0</v>
      </c>
      <c r="AM1093" s="96"/>
      <c r="AN1093" s="96">
        <f t="shared" si="3032"/>
        <v>0</v>
      </c>
      <c r="AO1093" s="96"/>
      <c r="AP1093" s="96">
        <f t="shared" si="3033"/>
        <v>0</v>
      </c>
      <c r="AQ1093" s="96">
        <f t="shared" si="3034"/>
        <v>0</v>
      </c>
      <c r="AR1093" s="96">
        <f t="shared" si="3035"/>
        <v>0</v>
      </c>
      <c r="AS1093" s="96"/>
      <c r="AT1093" s="96">
        <f t="shared" si="3036"/>
        <v>0</v>
      </c>
      <c r="AU1093" s="96"/>
      <c r="AV1093" s="96">
        <f t="shared" si="3037"/>
        <v>0</v>
      </c>
      <c r="AW1093" s="96"/>
      <c r="AX1093" s="96">
        <f t="shared" si="3038"/>
        <v>0</v>
      </c>
      <c r="AY1093" s="96">
        <f t="shared" si="3039"/>
        <v>0</v>
      </c>
      <c r="AZ1093" s="96">
        <f t="shared" si="3040"/>
        <v>0</v>
      </c>
      <c r="BA1093" s="96">
        <f t="shared" si="3041"/>
        <v>0</v>
      </c>
      <c r="BB1093" s="96">
        <f t="shared" si="3042"/>
        <v>0</v>
      </c>
    </row>
    <row r="1094" spans="1:54">
      <c r="A1094" s="492">
        <v>650</v>
      </c>
      <c r="B1094" s="13"/>
      <c r="C1094" s="299"/>
      <c r="D1094" s="13"/>
      <c r="E1094" s="21" t="s">
        <v>2222</v>
      </c>
      <c r="F1094" s="45" t="s">
        <v>235</v>
      </c>
      <c r="G1094" s="45" t="s">
        <v>1059</v>
      </c>
      <c r="H1094" s="265" t="s">
        <v>359</v>
      </c>
      <c r="I1094" s="54">
        <v>11.06</v>
      </c>
      <c r="J1094" s="162"/>
      <c r="K1094" s="54">
        <v>11.06</v>
      </c>
      <c r="L1094" s="162"/>
      <c r="M1094" s="54"/>
      <c r="N1094" s="162"/>
      <c r="O1094" s="54"/>
      <c r="P1094" s="162"/>
      <c r="Q1094" s="96">
        <f t="shared" si="2755"/>
        <v>0</v>
      </c>
      <c r="R1094" s="337">
        <f t="shared" si="2756"/>
        <v>0</v>
      </c>
      <c r="S1094" s="96"/>
      <c r="T1094" s="96">
        <f t="shared" si="2757"/>
        <v>0</v>
      </c>
      <c r="U1094" s="96"/>
      <c r="V1094" s="96">
        <f t="shared" si="2758"/>
        <v>0</v>
      </c>
      <c r="W1094" s="96"/>
      <c r="X1094" s="96">
        <f t="shared" si="2759"/>
        <v>0</v>
      </c>
      <c r="Y1094" s="96">
        <f t="shared" si="2760"/>
        <v>0</v>
      </c>
      <c r="Z1094" s="96">
        <f t="shared" si="2761"/>
        <v>0</v>
      </c>
      <c r="AA1094" s="96"/>
      <c r="AB1094" s="96">
        <f t="shared" si="2762"/>
        <v>0</v>
      </c>
      <c r="AC1094" s="96"/>
      <c r="AD1094" s="96">
        <f t="shared" si="2763"/>
        <v>0</v>
      </c>
      <c r="AE1094" s="96"/>
      <c r="AF1094" s="96">
        <f t="shared" si="2764"/>
        <v>0</v>
      </c>
      <c r="AG1094" s="96">
        <f t="shared" si="2765"/>
        <v>0</v>
      </c>
      <c r="AH1094" s="96">
        <f t="shared" si="2766"/>
        <v>0</v>
      </c>
      <c r="AI1094" s="96">
        <f t="shared" si="2767"/>
        <v>0</v>
      </c>
      <c r="AJ1094" s="96">
        <f t="shared" si="2768"/>
        <v>0</v>
      </c>
      <c r="AK1094" s="96"/>
      <c r="AL1094" s="96">
        <f t="shared" si="2769"/>
        <v>0</v>
      </c>
      <c r="AM1094" s="96"/>
      <c r="AN1094" s="96">
        <f t="shared" si="2770"/>
        <v>0</v>
      </c>
      <c r="AO1094" s="96"/>
      <c r="AP1094" s="96">
        <f t="shared" si="2808"/>
        <v>0</v>
      </c>
      <c r="AQ1094" s="96">
        <f t="shared" si="2772"/>
        <v>0</v>
      </c>
      <c r="AR1094" s="96">
        <f t="shared" si="2773"/>
        <v>0</v>
      </c>
      <c r="AS1094" s="96"/>
      <c r="AT1094" s="96">
        <f t="shared" si="2774"/>
        <v>0</v>
      </c>
      <c r="AU1094" s="96"/>
      <c r="AV1094" s="96">
        <f t="shared" si="2775"/>
        <v>0</v>
      </c>
      <c r="AW1094" s="96"/>
      <c r="AX1094" s="96">
        <f t="shared" si="2776"/>
        <v>0</v>
      </c>
      <c r="AY1094" s="96">
        <f t="shared" si="2777"/>
        <v>0</v>
      </c>
      <c r="AZ1094" s="96">
        <f t="shared" si="2778"/>
        <v>0</v>
      </c>
      <c r="BA1094" s="96">
        <f t="shared" si="2779"/>
        <v>0</v>
      </c>
      <c r="BB1094" s="96">
        <f t="shared" si="2780"/>
        <v>0</v>
      </c>
    </row>
    <row r="1095" spans="1:54">
      <c r="A1095" s="492">
        <v>650</v>
      </c>
      <c r="B1095" s="13"/>
      <c r="C1095" s="299"/>
      <c r="D1095" s="13"/>
      <c r="E1095" s="21" t="s">
        <v>2315</v>
      </c>
      <c r="F1095" s="45" t="s">
        <v>235</v>
      </c>
      <c r="G1095" s="45" t="s">
        <v>1059</v>
      </c>
      <c r="H1095" s="265" t="s">
        <v>359</v>
      </c>
      <c r="I1095" s="54">
        <v>11.06</v>
      </c>
      <c r="J1095" s="162"/>
      <c r="K1095" s="54">
        <v>11.06</v>
      </c>
      <c r="L1095" s="162"/>
      <c r="M1095" s="54"/>
      <c r="N1095" s="162"/>
      <c r="O1095" s="54"/>
      <c r="P1095" s="162"/>
      <c r="Q1095" s="96">
        <f t="shared" si="2755"/>
        <v>2.7800000000000002</v>
      </c>
      <c r="R1095" s="337">
        <f t="shared" si="2756"/>
        <v>46.011397802999994</v>
      </c>
      <c r="S1095" s="96">
        <v>4.4999999999999998E-2</v>
      </c>
      <c r="T1095" s="96">
        <f t="shared" si="2757"/>
        <v>0.71850460500000013</v>
      </c>
      <c r="U1095" s="96">
        <v>0.215</v>
      </c>
      <c r="V1095" s="96">
        <f t="shared" si="2758"/>
        <v>3.4200384540000002</v>
      </c>
      <c r="W1095" s="96">
        <v>2.52</v>
      </c>
      <c r="X1095" s="96">
        <f t="shared" si="2759"/>
        <v>41.872854743999994</v>
      </c>
      <c r="Y1095" s="96">
        <f t="shared" si="2760"/>
        <v>2.7800000000000002</v>
      </c>
      <c r="Z1095" s="96">
        <f t="shared" si="2761"/>
        <v>46.011397802999994</v>
      </c>
      <c r="AA1095" s="96"/>
      <c r="AB1095" s="96">
        <f t="shared" si="2762"/>
        <v>0</v>
      </c>
      <c r="AC1095" s="96"/>
      <c r="AD1095" s="96">
        <f t="shared" si="2763"/>
        <v>0</v>
      </c>
      <c r="AE1095" s="96"/>
      <c r="AF1095" s="96">
        <f t="shared" si="2764"/>
        <v>0</v>
      </c>
      <c r="AG1095" s="96">
        <f t="shared" si="2765"/>
        <v>0</v>
      </c>
      <c r="AH1095" s="96">
        <f t="shared" si="2766"/>
        <v>0</v>
      </c>
      <c r="AI1095" s="96">
        <f t="shared" si="2767"/>
        <v>2.7800000000000002</v>
      </c>
      <c r="AJ1095" s="96">
        <f t="shared" si="2768"/>
        <v>46.011397802999994</v>
      </c>
      <c r="AK1095" s="96"/>
      <c r="AL1095" s="96">
        <f t="shared" si="2769"/>
        <v>0</v>
      </c>
      <c r="AM1095" s="96"/>
      <c r="AN1095" s="96">
        <f t="shared" si="2770"/>
        <v>0</v>
      </c>
      <c r="AO1095" s="96"/>
      <c r="AP1095" s="96">
        <f t="shared" si="2808"/>
        <v>0</v>
      </c>
      <c r="AQ1095" s="96">
        <f t="shared" si="2772"/>
        <v>0</v>
      </c>
      <c r="AR1095" s="96">
        <f t="shared" si="2773"/>
        <v>0</v>
      </c>
      <c r="AS1095" s="96"/>
      <c r="AT1095" s="96">
        <f t="shared" si="2774"/>
        <v>0</v>
      </c>
      <c r="AU1095" s="96"/>
      <c r="AV1095" s="96">
        <f t="shared" si="2775"/>
        <v>0</v>
      </c>
      <c r="AW1095" s="96"/>
      <c r="AX1095" s="96">
        <f t="shared" si="2776"/>
        <v>0</v>
      </c>
      <c r="AY1095" s="96">
        <f t="shared" si="2777"/>
        <v>0</v>
      </c>
      <c r="AZ1095" s="96">
        <f t="shared" si="2778"/>
        <v>0</v>
      </c>
      <c r="BA1095" s="96">
        <f t="shared" si="2779"/>
        <v>0</v>
      </c>
      <c r="BB1095" s="96">
        <f t="shared" si="2780"/>
        <v>0</v>
      </c>
    </row>
    <row r="1096" spans="1:54">
      <c r="A1096" s="492">
        <v>650</v>
      </c>
      <c r="B1096" s="13"/>
      <c r="C1096" s="299"/>
      <c r="D1096" s="13"/>
      <c r="E1096" s="21" t="s">
        <v>2313</v>
      </c>
      <c r="F1096" s="45" t="s">
        <v>235</v>
      </c>
      <c r="G1096" s="45" t="s">
        <v>1059</v>
      </c>
      <c r="H1096" s="265" t="s">
        <v>359</v>
      </c>
      <c r="I1096" s="54">
        <v>11.06</v>
      </c>
      <c r="J1096" s="162"/>
      <c r="K1096" s="54">
        <v>11.06</v>
      </c>
      <c r="L1096" s="162"/>
      <c r="M1096" s="54"/>
      <c r="N1096" s="162"/>
      <c r="O1096" s="54"/>
      <c r="P1096" s="162"/>
      <c r="Q1096" s="96">
        <f t="shared" ref="Q1096" si="3043">SUM(AI1096+BA1096)</f>
        <v>0</v>
      </c>
      <c r="R1096" s="337">
        <f t="shared" ref="R1096" si="3044">SUM(AJ1096+BB1096)</f>
        <v>0</v>
      </c>
      <c r="S1096" s="96"/>
      <c r="T1096" s="96">
        <f t="shared" ref="T1096" si="3045">I1096*S1096*$T$2/1000</f>
        <v>0</v>
      </c>
      <c r="U1096" s="96"/>
      <c r="V1096" s="96">
        <f t="shared" ref="V1096" si="3046">I1096*U1096*$V$2/1000</f>
        <v>0</v>
      </c>
      <c r="W1096" s="96"/>
      <c r="X1096" s="96">
        <f t="shared" ref="X1096" si="3047">I1096*W1096*$X$2/1000</f>
        <v>0</v>
      </c>
      <c r="Y1096" s="96">
        <f t="shared" ref="Y1096" si="3048">SUM(S1096+U1096+W1096)</f>
        <v>0</v>
      </c>
      <c r="Z1096" s="96">
        <f t="shared" ref="Z1096" si="3049">SUM(T1096+V1096+X1096)</f>
        <v>0</v>
      </c>
      <c r="AA1096" s="96"/>
      <c r="AB1096" s="96">
        <f t="shared" ref="AB1096" si="3050">K1096*AA1096*$AB$2/1000</f>
        <v>0</v>
      </c>
      <c r="AC1096" s="96"/>
      <c r="AD1096" s="96">
        <f t="shared" ref="AD1096" si="3051">K1096*AC1096*$AD$2/1000</f>
        <v>0</v>
      </c>
      <c r="AE1096" s="96"/>
      <c r="AF1096" s="96">
        <f t="shared" ref="AF1096" si="3052">K1096*AE1096*$AF$2/1000</f>
        <v>0</v>
      </c>
      <c r="AG1096" s="96">
        <f t="shared" ref="AG1096" si="3053">SUM(AA1096+AC1096+AE1096)</f>
        <v>0</v>
      </c>
      <c r="AH1096" s="96">
        <f t="shared" ref="AH1096" si="3054">SUM(AB1096+AD1096+AF1096)</f>
        <v>0</v>
      </c>
      <c r="AI1096" s="96">
        <f t="shared" ref="AI1096" si="3055">SUM(Y1096+AG1096)</f>
        <v>0</v>
      </c>
      <c r="AJ1096" s="96">
        <f t="shared" ref="AJ1096" si="3056">SUM(Z1096,AH1096)</f>
        <v>0</v>
      </c>
      <c r="AK1096" s="96"/>
      <c r="AL1096" s="96">
        <f t="shared" ref="AL1096" si="3057">M1096*AK1096*$AL$2/1000</f>
        <v>0</v>
      </c>
      <c r="AM1096" s="96"/>
      <c r="AN1096" s="96">
        <f t="shared" ref="AN1096" si="3058">M1096*AM1096*$AN$2/1000</f>
        <v>0</v>
      </c>
      <c r="AO1096" s="96"/>
      <c r="AP1096" s="96">
        <f t="shared" ref="AP1096" si="3059">M1096*AO1096*$AP$2/1000</f>
        <v>0</v>
      </c>
      <c r="AQ1096" s="96">
        <f t="shared" ref="AQ1096" si="3060">SUM(AK1096+AM1096+AO1096)</f>
        <v>0</v>
      </c>
      <c r="AR1096" s="96">
        <f t="shared" ref="AR1096" si="3061">SUM(AL1096+AN1096+AP1096)</f>
        <v>0</v>
      </c>
      <c r="AS1096" s="96"/>
      <c r="AT1096" s="96">
        <f t="shared" ref="AT1096" si="3062">O1096*AS1096*$AT$2/1000</f>
        <v>0</v>
      </c>
      <c r="AU1096" s="96"/>
      <c r="AV1096" s="96">
        <f t="shared" ref="AV1096" si="3063">O1096*AU1096*$AV$2/1000</f>
        <v>0</v>
      </c>
      <c r="AW1096" s="96"/>
      <c r="AX1096" s="96">
        <f t="shared" ref="AX1096" si="3064">O1096*AW1096*$AX$2/1000</f>
        <v>0</v>
      </c>
      <c r="AY1096" s="96">
        <f t="shared" ref="AY1096" si="3065">SUM(AS1096+AU1096+AW1096)</f>
        <v>0</v>
      </c>
      <c r="AZ1096" s="96">
        <f t="shared" ref="AZ1096" si="3066">SUM(AT1096+AV1096+AX1096)</f>
        <v>0</v>
      </c>
      <c r="BA1096" s="96">
        <f t="shared" ref="BA1096" si="3067">SUM(AQ1096+AY1096)</f>
        <v>0</v>
      </c>
      <c r="BB1096" s="96">
        <f t="shared" ref="BB1096" si="3068">SUM(AR1096,AZ1096)</f>
        <v>0</v>
      </c>
    </row>
    <row r="1097" spans="1:54">
      <c r="A1097" s="492">
        <v>650</v>
      </c>
      <c r="B1097" s="13"/>
      <c r="C1097" s="299"/>
      <c r="D1097" s="13"/>
      <c r="E1097" s="21" t="s">
        <v>2190</v>
      </c>
      <c r="F1097" s="45"/>
      <c r="G1097" s="45" t="s">
        <v>1059</v>
      </c>
      <c r="H1097" s="265" t="s">
        <v>359</v>
      </c>
      <c r="I1097" s="54">
        <v>11.06</v>
      </c>
      <c r="J1097" s="162"/>
      <c r="K1097" s="54">
        <v>11.06</v>
      </c>
      <c r="L1097" s="162"/>
      <c r="M1097" s="54"/>
      <c r="N1097" s="162"/>
      <c r="O1097" s="54"/>
      <c r="P1097" s="162"/>
      <c r="Q1097" s="96">
        <f t="shared" ref="Q1097:Q1098" si="3069">SUM(AI1097+BA1097)</f>
        <v>34</v>
      </c>
      <c r="R1097" s="337">
        <f t="shared" ref="R1097:R1098" si="3070">SUM(AJ1097+BB1097)</f>
        <v>553.74533340000005</v>
      </c>
      <c r="S1097" s="96">
        <v>3</v>
      </c>
      <c r="T1097" s="96">
        <f t="shared" ref="T1097:T1098" si="3071">I1097*S1097*$T$2/1000</f>
        <v>47.900306999999998</v>
      </c>
      <c r="U1097" s="96">
        <v>8</v>
      </c>
      <c r="V1097" s="96">
        <f t="shared" ref="V1097:V1098" si="3072">I1097*U1097*$V$2/1000</f>
        <v>127.2572448</v>
      </c>
      <c r="W1097" s="96">
        <v>8</v>
      </c>
      <c r="X1097" s="96">
        <f t="shared" ref="X1097:X1098" si="3073">I1097*W1097*$X$2/1000</f>
        <v>132.9296976</v>
      </c>
      <c r="Y1097" s="96">
        <f t="shared" ref="Y1097:Y1098" si="3074">SUM(S1097+U1097+W1097)</f>
        <v>19</v>
      </c>
      <c r="Z1097" s="96">
        <f t="shared" ref="Z1097:Z1098" si="3075">SUM(T1097+V1097+X1097)</f>
        <v>308.08724940000002</v>
      </c>
      <c r="AA1097" s="96">
        <v>15</v>
      </c>
      <c r="AB1097" s="96">
        <f t="shared" ref="AB1097:AB1098" si="3076">K1097*AA1097*$AB$2/1000</f>
        <v>245.658084</v>
      </c>
      <c r="AC1097" s="96"/>
      <c r="AD1097" s="96">
        <f t="shared" ref="AD1097:AD1098" si="3077">K1097*AC1097*$AD$2/1000</f>
        <v>0</v>
      </c>
      <c r="AE1097" s="96"/>
      <c r="AF1097" s="96">
        <f t="shared" ref="AF1097:AF1098" si="3078">K1097*AE1097*$AF$2/1000</f>
        <v>0</v>
      </c>
      <c r="AG1097" s="96">
        <f t="shared" ref="AG1097:AG1098" si="3079">SUM(AA1097+AC1097+AE1097)</f>
        <v>15</v>
      </c>
      <c r="AH1097" s="96">
        <f t="shared" ref="AH1097:AH1098" si="3080">SUM(AB1097+AD1097+AF1097)</f>
        <v>245.658084</v>
      </c>
      <c r="AI1097" s="96">
        <f t="shared" ref="AI1097:AI1098" si="3081">SUM(Y1097+AG1097)</f>
        <v>34</v>
      </c>
      <c r="AJ1097" s="96">
        <f t="shared" ref="AJ1097:AJ1098" si="3082">SUM(Z1097,AH1097)</f>
        <v>553.74533340000005</v>
      </c>
      <c r="AK1097" s="96"/>
      <c r="AL1097" s="96">
        <f t="shared" ref="AL1097:AL1098" si="3083">M1097*AK1097*$AL$2/1000</f>
        <v>0</v>
      </c>
      <c r="AM1097" s="96"/>
      <c r="AN1097" s="96">
        <f t="shared" ref="AN1097:AN1098" si="3084">M1097*AM1097*$AN$2/1000</f>
        <v>0</v>
      </c>
      <c r="AO1097" s="96"/>
      <c r="AP1097" s="96">
        <f t="shared" ref="AP1097:AP1098" si="3085">M1097*AO1097*$AP$2/1000</f>
        <v>0</v>
      </c>
      <c r="AQ1097" s="96">
        <f t="shared" ref="AQ1097:AQ1098" si="3086">SUM(AK1097+AM1097+AO1097)</f>
        <v>0</v>
      </c>
      <c r="AR1097" s="96">
        <f t="shared" ref="AR1097:AR1098" si="3087">SUM(AL1097+AN1097+AP1097)</f>
        <v>0</v>
      </c>
      <c r="AS1097" s="96"/>
      <c r="AT1097" s="96">
        <f t="shared" ref="AT1097:AT1098" si="3088">O1097*AS1097*$AT$2/1000</f>
        <v>0</v>
      </c>
      <c r="AU1097" s="96"/>
      <c r="AV1097" s="96">
        <f t="shared" ref="AV1097:AV1098" si="3089">O1097*AU1097*$AV$2/1000</f>
        <v>0</v>
      </c>
      <c r="AW1097" s="96"/>
      <c r="AX1097" s="96">
        <f t="shared" ref="AX1097:AX1098" si="3090">O1097*AW1097*$AX$2/1000</f>
        <v>0</v>
      </c>
      <c r="AY1097" s="96">
        <f t="shared" ref="AY1097:AY1098" si="3091">SUM(AS1097+AU1097+AW1097)</f>
        <v>0</v>
      </c>
      <c r="AZ1097" s="96">
        <f t="shared" ref="AZ1097:AZ1098" si="3092">SUM(AT1097+AV1097+AX1097)</f>
        <v>0</v>
      </c>
      <c r="BA1097" s="96">
        <f t="shared" ref="BA1097:BA1098" si="3093">SUM(AQ1097+AY1097)</f>
        <v>0</v>
      </c>
      <c r="BB1097" s="96">
        <f t="shared" ref="BB1097:BB1098" si="3094">SUM(AR1097,AZ1097)</f>
        <v>0</v>
      </c>
    </row>
    <row r="1098" spans="1:54">
      <c r="A1098" s="492">
        <v>650</v>
      </c>
      <c r="B1098" s="13"/>
      <c r="C1098" s="299"/>
      <c r="D1098" s="13"/>
      <c r="E1098" s="21" t="s">
        <v>2248</v>
      </c>
      <c r="F1098" s="45"/>
      <c r="G1098" s="45" t="s">
        <v>1059</v>
      </c>
      <c r="H1098" s="265" t="s">
        <v>359</v>
      </c>
      <c r="I1098" s="54">
        <v>11.06</v>
      </c>
      <c r="J1098" s="162"/>
      <c r="K1098" s="54">
        <v>11.06</v>
      </c>
      <c r="L1098" s="162"/>
      <c r="M1098" s="54"/>
      <c r="N1098" s="162"/>
      <c r="O1098" s="54"/>
      <c r="P1098" s="162"/>
      <c r="Q1098" s="96">
        <f t="shared" si="3069"/>
        <v>0</v>
      </c>
      <c r="R1098" s="337">
        <f t="shared" si="3070"/>
        <v>0</v>
      </c>
      <c r="S1098" s="96"/>
      <c r="T1098" s="96">
        <f t="shared" si="3071"/>
        <v>0</v>
      </c>
      <c r="U1098" s="96"/>
      <c r="V1098" s="96">
        <f t="shared" si="3072"/>
        <v>0</v>
      </c>
      <c r="W1098" s="96"/>
      <c r="X1098" s="96">
        <f t="shared" si="3073"/>
        <v>0</v>
      </c>
      <c r="Y1098" s="96">
        <f t="shared" si="3074"/>
        <v>0</v>
      </c>
      <c r="Z1098" s="96">
        <f t="shared" si="3075"/>
        <v>0</v>
      </c>
      <c r="AA1098" s="96"/>
      <c r="AB1098" s="96">
        <f t="shared" si="3076"/>
        <v>0</v>
      </c>
      <c r="AC1098" s="96"/>
      <c r="AD1098" s="96">
        <f t="shared" si="3077"/>
        <v>0</v>
      </c>
      <c r="AE1098" s="96"/>
      <c r="AF1098" s="96">
        <f t="shared" si="3078"/>
        <v>0</v>
      </c>
      <c r="AG1098" s="96">
        <f t="shared" si="3079"/>
        <v>0</v>
      </c>
      <c r="AH1098" s="96">
        <f t="shared" si="3080"/>
        <v>0</v>
      </c>
      <c r="AI1098" s="96">
        <f t="shared" si="3081"/>
        <v>0</v>
      </c>
      <c r="AJ1098" s="96">
        <f t="shared" si="3082"/>
        <v>0</v>
      </c>
      <c r="AK1098" s="96"/>
      <c r="AL1098" s="96">
        <f t="shared" si="3083"/>
        <v>0</v>
      </c>
      <c r="AM1098" s="96"/>
      <c r="AN1098" s="96">
        <f t="shared" si="3084"/>
        <v>0</v>
      </c>
      <c r="AO1098" s="96"/>
      <c r="AP1098" s="96">
        <f t="shared" si="3085"/>
        <v>0</v>
      </c>
      <c r="AQ1098" s="96">
        <f t="shared" si="3086"/>
        <v>0</v>
      </c>
      <c r="AR1098" s="96">
        <f t="shared" si="3087"/>
        <v>0</v>
      </c>
      <c r="AS1098" s="96"/>
      <c r="AT1098" s="96">
        <f t="shared" si="3088"/>
        <v>0</v>
      </c>
      <c r="AU1098" s="96"/>
      <c r="AV1098" s="96">
        <f t="shared" si="3089"/>
        <v>0</v>
      </c>
      <c r="AW1098" s="96"/>
      <c r="AX1098" s="96">
        <f t="shared" si="3090"/>
        <v>0</v>
      </c>
      <c r="AY1098" s="96">
        <f t="shared" si="3091"/>
        <v>0</v>
      </c>
      <c r="AZ1098" s="96">
        <f t="shared" si="3092"/>
        <v>0</v>
      </c>
      <c r="BA1098" s="96">
        <f t="shared" si="3093"/>
        <v>0</v>
      </c>
      <c r="BB1098" s="96">
        <f t="shared" si="3094"/>
        <v>0</v>
      </c>
    </row>
    <row r="1099" spans="1:54">
      <c r="A1099" s="492">
        <v>650</v>
      </c>
      <c r="B1099" s="13"/>
      <c r="C1099" s="299"/>
      <c r="D1099" s="13"/>
      <c r="E1099" s="21" t="s">
        <v>2187</v>
      </c>
      <c r="F1099" s="45"/>
      <c r="G1099" s="45" t="s">
        <v>1059</v>
      </c>
      <c r="H1099" s="265" t="s">
        <v>359</v>
      </c>
      <c r="I1099" s="54">
        <v>11.06</v>
      </c>
      <c r="J1099" s="162"/>
      <c r="K1099" s="54">
        <v>11.06</v>
      </c>
      <c r="L1099" s="162"/>
      <c r="M1099" s="54"/>
      <c r="N1099" s="162"/>
      <c r="O1099" s="54"/>
      <c r="P1099" s="162"/>
      <c r="Q1099" s="96">
        <f t="shared" si="2755"/>
        <v>4.5</v>
      </c>
      <c r="R1099" s="337">
        <f t="shared" si="2756"/>
        <v>74.123511699999995</v>
      </c>
      <c r="S1099" s="96">
        <v>1</v>
      </c>
      <c r="T1099" s="96">
        <f t="shared" si="2757"/>
        <v>15.966769000000003</v>
      </c>
      <c r="U1099" s="96"/>
      <c r="V1099" s="96">
        <f t="shared" si="2758"/>
        <v>0</v>
      </c>
      <c r="W1099" s="96">
        <v>3.5</v>
      </c>
      <c r="X1099" s="96">
        <f t="shared" si="2759"/>
        <v>58.156742699999995</v>
      </c>
      <c r="Y1099" s="96">
        <f t="shared" si="2760"/>
        <v>4.5</v>
      </c>
      <c r="Z1099" s="96">
        <f t="shared" si="2761"/>
        <v>74.123511699999995</v>
      </c>
      <c r="AA1099" s="96"/>
      <c r="AB1099" s="96">
        <f t="shared" si="2762"/>
        <v>0</v>
      </c>
      <c r="AC1099" s="96"/>
      <c r="AD1099" s="96">
        <f t="shared" si="2763"/>
        <v>0</v>
      </c>
      <c r="AE1099" s="96"/>
      <c r="AF1099" s="96">
        <f t="shared" si="2764"/>
        <v>0</v>
      </c>
      <c r="AG1099" s="96">
        <f t="shared" si="2765"/>
        <v>0</v>
      </c>
      <c r="AH1099" s="96">
        <f t="shared" si="2766"/>
        <v>0</v>
      </c>
      <c r="AI1099" s="96">
        <f t="shared" si="2767"/>
        <v>4.5</v>
      </c>
      <c r="AJ1099" s="96">
        <f t="shared" si="2768"/>
        <v>74.123511699999995</v>
      </c>
      <c r="AK1099" s="96"/>
      <c r="AL1099" s="96">
        <f t="shared" si="2769"/>
        <v>0</v>
      </c>
      <c r="AM1099" s="96"/>
      <c r="AN1099" s="96">
        <f t="shared" si="2770"/>
        <v>0</v>
      </c>
      <c r="AO1099" s="96"/>
      <c r="AP1099" s="96">
        <f t="shared" si="2808"/>
        <v>0</v>
      </c>
      <c r="AQ1099" s="96">
        <f t="shared" si="2772"/>
        <v>0</v>
      </c>
      <c r="AR1099" s="96">
        <f t="shared" si="2773"/>
        <v>0</v>
      </c>
      <c r="AS1099" s="96"/>
      <c r="AT1099" s="96">
        <f t="shared" si="2774"/>
        <v>0</v>
      </c>
      <c r="AU1099" s="96"/>
      <c r="AV1099" s="96">
        <f t="shared" si="2775"/>
        <v>0</v>
      </c>
      <c r="AW1099" s="96"/>
      <c r="AX1099" s="96">
        <f t="shared" si="2776"/>
        <v>0</v>
      </c>
      <c r="AY1099" s="96">
        <f t="shared" si="2777"/>
        <v>0</v>
      </c>
      <c r="AZ1099" s="96">
        <f t="shared" si="2778"/>
        <v>0</v>
      </c>
      <c r="BA1099" s="96">
        <f t="shared" si="2779"/>
        <v>0</v>
      </c>
      <c r="BB1099" s="96">
        <f t="shared" si="2780"/>
        <v>0</v>
      </c>
    </row>
    <row r="1100" spans="1:54">
      <c r="A1100" s="492">
        <v>651</v>
      </c>
      <c r="B1100" s="13"/>
      <c r="C1100" s="302" t="s">
        <v>490</v>
      </c>
      <c r="D1100" s="300" t="s">
        <v>492</v>
      </c>
      <c r="E1100" s="31" t="s">
        <v>615</v>
      </c>
      <c r="F1100" s="310" t="s">
        <v>384</v>
      </c>
      <c r="G1100" s="310" t="s">
        <v>1059</v>
      </c>
      <c r="H1100" s="271" t="s">
        <v>428</v>
      </c>
      <c r="I1100" s="61">
        <v>21.61</v>
      </c>
      <c r="J1100" s="163"/>
      <c r="K1100" s="61">
        <v>21.61</v>
      </c>
      <c r="L1100" s="163"/>
      <c r="M1100" s="61"/>
      <c r="N1100" s="163"/>
      <c r="O1100" s="61"/>
      <c r="P1100" s="163"/>
      <c r="Q1100" s="121">
        <f t="shared" si="2755"/>
        <v>0</v>
      </c>
      <c r="R1100" s="341">
        <f t="shared" si="2756"/>
        <v>0</v>
      </c>
      <c r="S1100" s="121"/>
      <c r="T1100" s="121">
        <f t="shared" si="2757"/>
        <v>0</v>
      </c>
      <c r="U1100" s="121"/>
      <c r="V1100" s="121">
        <f t="shared" si="2758"/>
        <v>0</v>
      </c>
      <c r="W1100" s="121"/>
      <c r="X1100" s="121">
        <f t="shared" si="2759"/>
        <v>0</v>
      </c>
      <c r="Y1100" s="121">
        <f t="shared" si="2760"/>
        <v>0</v>
      </c>
      <c r="Z1100" s="121">
        <f t="shared" si="2761"/>
        <v>0</v>
      </c>
      <c r="AA1100" s="121"/>
      <c r="AB1100" s="124">
        <f t="shared" si="2762"/>
        <v>0</v>
      </c>
      <c r="AC1100" s="121"/>
      <c r="AD1100" s="121">
        <f t="shared" si="2763"/>
        <v>0</v>
      </c>
      <c r="AE1100" s="121"/>
      <c r="AF1100" s="121">
        <f t="shared" si="2764"/>
        <v>0</v>
      </c>
      <c r="AG1100" s="121">
        <f t="shared" si="2765"/>
        <v>0</v>
      </c>
      <c r="AH1100" s="121">
        <f t="shared" si="2766"/>
        <v>0</v>
      </c>
      <c r="AI1100" s="121">
        <f t="shared" si="2767"/>
        <v>0</v>
      </c>
      <c r="AJ1100" s="121">
        <f t="shared" si="2768"/>
        <v>0</v>
      </c>
      <c r="AK1100" s="121"/>
      <c r="AL1100" s="121">
        <f t="shared" si="2769"/>
        <v>0</v>
      </c>
      <c r="AM1100" s="121"/>
      <c r="AN1100" s="121">
        <f t="shared" si="2770"/>
        <v>0</v>
      </c>
      <c r="AO1100" s="121"/>
      <c r="AP1100" s="121">
        <f t="shared" si="2808"/>
        <v>0</v>
      </c>
      <c r="AQ1100" s="121">
        <f t="shared" si="2772"/>
        <v>0</v>
      </c>
      <c r="AR1100" s="121">
        <f t="shared" si="2773"/>
        <v>0</v>
      </c>
      <c r="AS1100" s="121"/>
      <c r="AT1100" s="121">
        <f t="shared" si="2774"/>
        <v>0</v>
      </c>
      <c r="AU1100" s="121"/>
      <c r="AV1100" s="121">
        <f t="shared" si="2775"/>
        <v>0</v>
      </c>
      <c r="AW1100" s="121"/>
      <c r="AX1100" s="121">
        <f t="shared" si="2776"/>
        <v>0</v>
      </c>
      <c r="AY1100" s="121">
        <f t="shared" si="2777"/>
        <v>0</v>
      </c>
      <c r="AZ1100" s="121">
        <f t="shared" si="2778"/>
        <v>0</v>
      </c>
      <c r="BA1100" s="121">
        <f t="shared" si="2779"/>
        <v>0</v>
      </c>
      <c r="BB1100" s="121">
        <f t="shared" si="2780"/>
        <v>0</v>
      </c>
    </row>
    <row r="1101" spans="1:54">
      <c r="A1101" s="492">
        <v>652</v>
      </c>
      <c r="B1101" s="13"/>
      <c r="C1101" s="299"/>
      <c r="D1101" s="13" t="s">
        <v>493</v>
      </c>
      <c r="E1101" s="21" t="s">
        <v>616</v>
      </c>
      <c r="F1101" s="45" t="s">
        <v>375</v>
      </c>
      <c r="G1101" s="45" t="s">
        <v>1059</v>
      </c>
      <c r="H1101" s="265" t="s">
        <v>359</v>
      </c>
      <c r="I1101" s="54">
        <v>21.61</v>
      </c>
      <c r="J1101" s="162"/>
      <c r="K1101" s="54">
        <v>21.61</v>
      </c>
      <c r="L1101" s="162"/>
      <c r="M1101" s="54"/>
      <c r="N1101" s="162"/>
      <c r="O1101" s="54"/>
      <c r="P1101" s="162"/>
      <c r="Q1101" s="96">
        <f t="shared" si="2755"/>
        <v>0</v>
      </c>
      <c r="R1101" s="337">
        <f t="shared" si="2756"/>
        <v>0</v>
      </c>
      <c r="S1101" s="96"/>
      <c r="T1101" s="96">
        <f t="shared" si="2757"/>
        <v>0</v>
      </c>
      <c r="U1101" s="96"/>
      <c r="V1101" s="96">
        <f t="shared" si="2758"/>
        <v>0</v>
      </c>
      <c r="W1101" s="96"/>
      <c r="X1101" s="96">
        <f t="shared" si="2759"/>
        <v>0</v>
      </c>
      <c r="Y1101" s="96">
        <f t="shared" si="2760"/>
        <v>0</v>
      </c>
      <c r="Z1101" s="96">
        <f t="shared" si="2761"/>
        <v>0</v>
      </c>
      <c r="AA1101" s="96"/>
      <c r="AB1101" s="95">
        <f t="shared" si="2762"/>
        <v>0</v>
      </c>
      <c r="AC1101" s="96"/>
      <c r="AD1101" s="96">
        <f t="shared" si="2763"/>
        <v>0</v>
      </c>
      <c r="AE1101" s="96"/>
      <c r="AF1101" s="96">
        <f t="shared" si="2764"/>
        <v>0</v>
      </c>
      <c r="AG1101" s="96">
        <f t="shared" si="2765"/>
        <v>0</v>
      </c>
      <c r="AH1101" s="96">
        <f t="shared" si="2766"/>
        <v>0</v>
      </c>
      <c r="AI1101" s="96">
        <f t="shared" si="2767"/>
        <v>0</v>
      </c>
      <c r="AJ1101" s="96">
        <f t="shared" si="2768"/>
        <v>0</v>
      </c>
      <c r="AK1101" s="96"/>
      <c r="AL1101" s="96">
        <f t="shared" si="2769"/>
        <v>0</v>
      </c>
      <c r="AM1101" s="96"/>
      <c r="AN1101" s="96">
        <f t="shared" si="2770"/>
        <v>0</v>
      </c>
      <c r="AO1101" s="96"/>
      <c r="AP1101" s="96">
        <f t="shared" si="2808"/>
        <v>0</v>
      </c>
      <c r="AQ1101" s="96">
        <f t="shared" si="2772"/>
        <v>0</v>
      </c>
      <c r="AR1101" s="96">
        <f t="shared" si="2773"/>
        <v>0</v>
      </c>
      <c r="AS1101" s="96"/>
      <c r="AT1101" s="96">
        <f t="shared" si="2774"/>
        <v>0</v>
      </c>
      <c r="AU1101" s="96"/>
      <c r="AV1101" s="96">
        <f t="shared" si="2775"/>
        <v>0</v>
      </c>
      <c r="AW1101" s="96"/>
      <c r="AX1101" s="96">
        <f t="shared" si="2776"/>
        <v>0</v>
      </c>
      <c r="AY1101" s="96">
        <f t="shared" si="2777"/>
        <v>0</v>
      </c>
      <c r="AZ1101" s="96">
        <f t="shared" si="2778"/>
        <v>0</v>
      </c>
      <c r="BA1101" s="96">
        <f t="shared" si="2779"/>
        <v>0</v>
      </c>
      <c r="BB1101" s="96">
        <f t="shared" si="2780"/>
        <v>0</v>
      </c>
    </row>
    <row r="1102" spans="1:54">
      <c r="A1102" s="492">
        <v>653</v>
      </c>
      <c r="B1102" s="13"/>
      <c r="C1102" s="299"/>
      <c r="D1102" s="13" t="s">
        <v>388</v>
      </c>
      <c r="E1102" s="21" t="s">
        <v>617</v>
      </c>
      <c r="F1102" s="45" t="s">
        <v>384</v>
      </c>
      <c r="G1102" s="45" t="s">
        <v>1059</v>
      </c>
      <c r="H1102" s="265" t="s">
        <v>428</v>
      </c>
      <c r="I1102" s="54">
        <v>21.61</v>
      </c>
      <c r="J1102" s="162"/>
      <c r="K1102" s="54">
        <v>21.61</v>
      </c>
      <c r="L1102" s="162"/>
      <c r="M1102" s="54"/>
      <c r="N1102" s="162"/>
      <c r="O1102" s="54"/>
      <c r="P1102" s="162"/>
      <c r="Q1102" s="96">
        <f t="shared" si="2755"/>
        <v>0</v>
      </c>
      <c r="R1102" s="337">
        <f t="shared" si="2756"/>
        <v>0</v>
      </c>
      <c r="S1102" s="96"/>
      <c r="T1102" s="96">
        <f t="shared" si="2757"/>
        <v>0</v>
      </c>
      <c r="U1102" s="96"/>
      <c r="V1102" s="96">
        <f t="shared" si="2758"/>
        <v>0</v>
      </c>
      <c r="W1102" s="96"/>
      <c r="X1102" s="96">
        <f t="shared" si="2759"/>
        <v>0</v>
      </c>
      <c r="Y1102" s="96">
        <f t="shared" si="2760"/>
        <v>0</v>
      </c>
      <c r="Z1102" s="96">
        <f t="shared" si="2761"/>
        <v>0</v>
      </c>
      <c r="AA1102" s="96"/>
      <c r="AB1102" s="95">
        <f t="shared" si="2762"/>
        <v>0</v>
      </c>
      <c r="AC1102" s="96"/>
      <c r="AD1102" s="96">
        <f t="shared" si="2763"/>
        <v>0</v>
      </c>
      <c r="AE1102" s="96"/>
      <c r="AF1102" s="96">
        <f t="shared" si="2764"/>
        <v>0</v>
      </c>
      <c r="AG1102" s="96">
        <f t="shared" si="2765"/>
        <v>0</v>
      </c>
      <c r="AH1102" s="96">
        <f t="shared" si="2766"/>
        <v>0</v>
      </c>
      <c r="AI1102" s="96">
        <f t="shared" si="2767"/>
        <v>0</v>
      </c>
      <c r="AJ1102" s="96">
        <f t="shared" si="2768"/>
        <v>0</v>
      </c>
      <c r="AK1102" s="96"/>
      <c r="AL1102" s="96">
        <f t="shared" si="2769"/>
        <v>0</v>
      </c>
      <c r="AM1102" s="96"/>
      <c r="AN1102" s="96">
        <f t="shared" si="2770"/>
        <v>0</v>
      </c>
      <c r="AO1102" s="96"/>
      <c r="AP1102" s="96">
        <f t="shared" si="2808"/>
        <v>0</v>
      </c>
      <c r="AQ1102" s="96">
        <f t="shared" si="2772"/>
        <v>0</v>
      </c>
      <c r="AR1102" s="96">
        <f t="shared" si="2773"/>
        <v>0</v>
      </c>
      <c r="AS1102" s="96"/>
      <c r="AT1102" s="96">
        <f t="shared" si="2774"/>
        <v>0</v>
      </c>
      <c r="AU1102" s="96"/>
      <c r="AV1102" s="96">
        <f t="shared" si="2775"/>
        <v>0</v>
      </c>
      <c r="AW1102" s="96"/>
      <c r="AX1102" s="96">
        <f t="shared" si="2776"/>
        <v>0</v>
      </c>
      <c r="AY1102" s="96">
        <f t="shared" si="2777"/>
        <v>0</v>
      </c>
      <c r="AZ1102" s="96">
        <f t="shared" si="2778"/>
        <v>0</v>
      </c>
      <c r="BA1102" s="96">
        <f t="shared" si="2779"/>
        <v>0</v>
      </c>
      <c r="BB1102" s="96">
        <f t="shared" si="2780"/>
        <v>0</v>
      </c>
    </row>
    <row r="1103" spans="1:54">
      <c r="A1103" s="492">
        <v>654</v>
      </c>
      <c r="B1103" s="13"/>
      <c r="C1103" s="299"/>
      <c r="D1103" s="13" t="s">
        <v>776</v>
      </c>
      <c r="E1103" s="21" t="s">
        <v>1403</v>
      </c>
      <c r="F1103" s="45" t="s">
        <v>384</v>
      </c>
      <c r="G1103" s="45" t="s">
        <v>1059</v>
      </c>
      <c r="H1103" s="265" t="s">
        <v>359</v>
      </c>
      <c r="I1103" s="54">
        <v>23.95</v>
      </c>
      <c r="J1103" s="162"/>
      <c r="K1103" s="54">
        <v>23.95</v>
      </c>
      <c r="L1103" s="162"/>
      <c r="M1103" s="54"/>
      <c r="N1103" s="162"/>
      <c r="O1103" s="54"/>
      <c r="P1103" s="162"/>
      <c r="Q1103" s="96">
        <f t="shared" si="2755"/>
        <v>0</v>
      </c>
      <c r="R1103" s="337">
        <f t="shared" si="2756"/>
        <v>0</v>
      </c>
      <c r="S1103" s="96"/>
      <c r="T1103" s="96">
        <f t="shared" si="2757"/>
        <v>0</v>
      </c>
      <c r="U1103" s="96"/>
      <c r="V1103" s="96">
        <f t="shared" si="2758"/>
        <v>0</v>
      </c>
      <c r="W1103" s="96"/>
      <c r="X1103" s="96">
        <f t="shared" si="2759"/>
        <v>0</v>
      </c>
      <c r="Y1103" s="96">
        <f t="shared" si="2760"/>
        <v>0</v>
      </c>
      <c r="Z1103" s="96">
        <f t="shared" si="2761"/>
        <v>0</v>
      </c>
      <c r="AA1103" s="96"/>
      <c r="AB1103" s="95">
        <f t="shared" si="2762"/>
        <v>0</v>
      </c>
      <c r="AC1103" s="96"/>
      <c r="AD1103" s="96">
        <f t="shared" si="2763"/>
        <v>0</v>
      </c>
      <c r="AE1103" s="96"/>
      <c r="AF1103" s="96">
        <f t="shared" si="2764"/>
        <v>0</v>
      </c>
      <c r="AG1103" s="96">
        <f t="shared" si="2765"/>
        <v>0</v>
      </c>
      <c r="AH1103" s="96">
        <f t="shared" si="2766"/>
        <v>0</v>
      </c>
      <c r="AI1103" s="96">
        <f t="shared" si="2767"/>
        <v>0</v>
      </c>
      <c r="AJ1103" s="96">
        <f t="shared" si="2768"/>
        <v>0</v>
      </c>
      <c r="AK1103" s="96"/>
      <c r="AL1103" s="96">
        <f t="shared" si="2769"/>
        <v>0</v>
      </c>
      <c r="AM1103" s="96"/>
      <c r="AN1103" s="96">
        <f t="shared" si="2770"/>
        <v>0</v>
      </c>
      <c r="AO1103" s="96"/>
      <c r="AP1103" s="96">
        <f t="shared" si="2808"/>
        <v>0</v>
      </c>
      <c r="AQ1103" s="96">
        <f t="shared" si="2772"/>
        <v>0</v>
      </c>
      <c r="AR1103" s="96">
        <f t="shared" si="2773"/>
        <v>0</v>
      </c>
      <c r="AS1103" s="96"/>
      <c r="AT1103" s="96">
        <f t="shared" si="2774"/>
        <v>0</v>
      </c>
      <c r="AU1103" s="96"/>
      <c r="AV1103" s="96">
        <f t="shared" si="2775"/>
        <v>0</v>
      </c>
      <c r="AW1103" s="96"/>
      <c r="AX1103" s="96">
        <f t="shared" si="2776"/>
        <v>0</v>
      </c>
      <c r="AY1103" s="96">
        <f t="shared" si="2777"/>
        <v>0</v>
      </c>
      <c r="AZ1103" s="96">
        <f t="shared" si="2778"/>
        <v>0</v>
      </c>
      <c r="BA1103" s="96">
        <f t="shared" si="2779"/>
        <v>0</v>
      </c>
      <c r="BB1103" s="96">
        <f t="shared" si="2780"/>
        <v>0</v>
      </c>
    </row>
    <row r="1104" spans="1:54">
      <c r="A1104" s="492">
        <v>656</v>
      </c>
      <c r="B1104" s="13"/>
      <c r="C1104" s="299"/>
      <c r="D1104" s="13" t="s">
        <v>388</v>
      </c>
      <c r="E1104" s="21" t="s">
        <v>1732</v>
      </c>
      <c r="F1104" s="45" t="s">
        <v>378</v>
      </c>
      <c r="G1104" s="45" t="s">
        <v>1059</v>
      </c>
      <c r="H1104" s="265" t="s">
        <v>428</v>
      </c>
      <c r="I1104" s="54">
        <v>23.47</v>
      </c>
      <c r="J1104" s="162"/>
      <c r="K1104" s="54">
        <v>23.47</v>
      </c>
      <c r="L1104" s="162"/>
      <c r="M1104" s="54"/>
      <c r="N1104" s="162"/>
      <c r="O1104" s="54"/>
      <c r="P1104" s="162"/>
      <c r="Q1104" s="96">
        <f t="shared" si="2755"/>
        <v>0</v>
      </c>
      <c r="R1104" s="337">
        <f t="shared" si="2756"/>
        <v>0</v>
      </c>
      <c r="S1104" s="96"/>
      <c r="T1104" s="96">
        <f t="shared" si="2757"/>
        <v>0</v>
      </c>
      <c r="U1104" s="96"/>
      <c r="V1104" s="96">
        <f t="shared" si="2758"/>
        <v>0</v>
      </c>
      <c r="W1104" s="96"/>
      <c r="X1104" s="96">
        <f t="shared" si="2759"/>
        <v>0</v>
      </c>
      <c r="Y1104" s="96">
        <f t="shared" si="2760"/>
        <v>0</v>
      </c>
      <c r="Z1104" s="96">
        <f t="shared" si="2761"/>
        <v>0</v>
      </c>
      <c r="AA1104" s="96"/>
      <c r="AB1104" s="95">
        <f t="shared" si="2762"/>
        <v>0</v>
      </c>
      <c r="AC1104" s="96"/>
      <c r="AD1104" s="96">
        <f t="shared" si="2763"/>
        <v>0</v>
      </c>
      <c r="AE1104" s="96"/>
      <c r="AF1104" s="96">
        <f t="shared" si="2764"/>
        <v>0</v>
      </c>
      <c r="AG1104" s="96">
        <f t="shared" si="2765"/>
        <v>0</v>
      </c>
      <c r="AH1104" s="96">
        <f t="shared" si="2766"/>
        <v>0</v>
      </c>
      <c r="AI1104" s="96">
        <f t="shared" si="2767"/>
        <v>0</v>
      </c>
      <c r="AJ1104" s="96">
        <f t="shared" si="2768"/>
        <v>0</v>
      </c>
      <c r="AK1104" s="96"/>
      <c r="AL1104" s="96">
        <f t="shared" si="2769"/>
        <v>0</v>
      </c>
      <c r="AM1104" s="96"/>
      <c r="AN1104" s="96">
        <f t="shared" si="2770"/>
        <v>0</v>
      </c>
      <c r="AO1104" s="96"/>
      <c r="AP1104" s="96">
        <f t="shared" si="2808"/>
        <v>0</v>
      </c>
      <c r="AQ1104" s="96">
        <f t="shared" si="2772"/>
        <v>0</v>
      </c>
      <c r="AR1104" s="96">
        <f t="shared" si="2773"/>
        <v>0</v>
      </c>
      <c r="AS1104" s="96"/>
      <c r="AT1104" s="96">
        <f t="shared" si="2774"/>
        <v>0</v>
      </c>
      <c r="AU1104" s="96"/>
      <c r="AV1104" s="96">
        <f t="shared" si="2775"/>
        <v>0</v>
      </c>
      <c r="AW1104" s="96"/>
      <c r="AX1104" s="96">
        <f t="shared" si="2776"/>
        <v>0</v>
      </c>
      <c r="AY1104" s="96">
        <f t="shared" si="2777"/>
        <v>0</v>
      </c>
      <c r="AZ1104" s="96">
        <f t="shared" si="2778"/>
        <v>0</v>
      </c>
      <c r="BA1104" s="96">
        <f t="shared" si="2779"/>
        <v>0</v>
      </c>
      <c r="BB1104" s="96">
        <f t="shared" si="2780"/>
        <v>0</v>
      </c>
    </row>
    <row r="1105" spans="1:54">
      <c r="A1105" s="492">
        <v>657</v>
      </c>
      <c r="B1105" s="13"/>
      <c r="C1105" s="13"/>
      <c r="D1105" s="13" t="s">
        <v>388</v>
      </c>
      <c r="E1105" s="21" t="s">
        <v>1302</v>
      </c>
      <c r="F1105" s="45" t="s">
        <v>378</v>
      </c>
      <c r="G1105" s="45" t="s">
        <v>1059</v>
      </c>
      <c r="H1105" s="265" t="s">
        <v>359</v>
      </c>
      <c r="I1105" s="54">
        <v>23.95</v>
      </c>
      <c r="J1105" s="101"/>
      <c r="K1105" s="54">
        <v>23.95</v>
      </c>
      <c r="L1105" s="162"/>
      <c r="M1105" s="54"/>
      <c r="N1105" s="162"/>
      <c r="O1105" s="54"/>
      <c r="P1105" s="101"/>
      <c r="Q1105" s="96">
        <f t="shared" si="2755"/>
        <v>0</v>
      </c>
      <c r="R1105" s="337">
        <f t="shared" si="2756"/>
        <v>0</v>
      </c>
      <c r="S1105" s="96"/>
      <c r="T1105" s="96">
        <f t="shared" si="2757"/>
        <v>0</v>
      </c>
      <c r="U1105" s="96"/>
      <c r="V1105" s="176">
        <f t="shared" si="2758"/>
        <v>0</v>
      </c>
      <c r="W1105" s="206"/>
      <c r="X1105" s="205">
        <f t="shared" si="2759"/>
        <v>0</v>
      </c>
      <c r="Y1105" s="188">
        <f t="shared" si="2760"/>
        <v>0</v>
      </c>
      <c r="Z1105" s="176">
        <f t="shared" si="2761"/>
        <v>0</v>
      </c>
      <c r="AA1105" s="206"/>
      <c r="AB1105" s="205">
        <f t="shared" si="2762"/>
        <v>0</v>
      </c>
      <c r="AC1105" s="206"/>
      <c r="AD1105" s="176">
        <f t="shared" si="2763"/>
        <v>0</v>
      </c>
      <c r="AE1105" s="206"/>
      <c r="AF1105" s="205">
        <f t="shared" si="2764"/>
        <v>0</v>
      </c>
      <c r="AG1105" s="188">
        <f t="shared" si="2765"/>
        <v>0</v>
      </c>
      <c r="AH1105" s="96">
        <f t="shared" si="2766"/>
        <v>0</v>
      </c>
      <c r="AI1105" s="96">
        <f t="shared" si="2767"/>
        <v>0</v>
      </c>
      <c r="AJ1105" s="176">
        <f t="shared" si="2768"/>
        <v>0</v>
      </c>
      <c r="AK1105" s="206"/>
      <c r="AL1105" s="176">
        <f t="shared" si="2769"/>
        <v>0</v>
      </c>
      <c r="AM1105" s="243"/>
      <c r="AN1105" s="176">
        <f t="shared" si="2770"/>
        <v>0</v>
      </c>
      <c r="AO1105" s="206"/>
      <c r="AP1105" s="205">
        <f t="shared" si="2808"/>
        <v>0</v>
      </c>
      <c r="AQ1105" s="188">
        <f t="shared" si="2772"/>
        <v>0</v>
      </c>
      <c r="AR1105" s="96">
        <f t="shared" si="2773"/>
        <v>0</v>
      </c>
      <c r="AS1105" s="96"/>
      <c r="AT1105" s="176">
        <f t="shared" si="2774"/>
        <v>0</v>
      </c>
      <c r="AU1105" s="206"/>
      <c r="AV1105" s="176">
        <f t="shared" si="2775"/>
        <v>0</v>
      </c>
      <c r="AW1105" s="206"/>
      <c r="AX1105" s="205">
        <f t="shared" si="2776"/>
        <v>0</v>
      </c>
      <c r="AY1105" s="188">
        <f t="shared" si="2777"/>
        <v>0</v>
      </c>
      <c r="AZ1105" s="96">
        <f t="shared" si="2778"/>
        <v>0</v>
      </c>
      <c r="BA1105" s="96">
        <f t="shared" si="2779"/>
        <v>0</v>
      </c>
      <c r="BB1105" s="96">
        <f t="shared" si="2780"/>
        <v>0</v>
      </c>
    </row>
    <row r="1106" spans="1:54">
      <c r="A1106" s="492">
        <v>658</v>
      </c>
      <c r="B1106" s="13"/>
      <c r="C1106" s="299"/>
      <c r="D1106" s="13" t="s">
        <v>647</v>
      </c>
      <c r="E1106" s="21" t="s">
        <v>1153</v>
      </c>
      <c r="F1106" s="45" t="s">
        <v>384</v>
      </c>
      <c r="G1106" s="45" t="s">
        <v>1059</v>
      </c>
      <c r="H1106" s="265" t="s">
        <v>428</v>
      </c>
      <c r="I1106" s="54">
        <v>23.71</v>
      </c>
      <c r="J1106" s="162"/>
      <c r="K1106" s="54">
        <v>23.71</v>
      </c>
      <c r="L1106" s="162"/>
      <c r="M1106" s="54"/>
      <c r="N1106" s="162"/>
      <c r="O1106" s="54"/>
      <c r="P1106" s="162"/>
      <c r="Q1106" s="96">
        <f t="shared" si="2755"/>
        <v>0</v>
      </c>
      <c r="R1106" s="337">
        <f t="shared" si="2756"/>
        <v>0</v>
      </c>
      <c r="S1106" s="96"/>
      <c r="T1106" s="96">
        <f t="shared" si="2757"/>
        <v>0</v>
      </c>
      <c r="U1106" s="96"/>
      <c r="V1106" s="96">
        <f t="shared" si="2758"/>
        <v>0</v>
      </c>
      <c r="W1106" s="96"/>
      <c r="X1106" s="96">
        <f t="shared" si="2759"/>
        <v>0</v>
      </c>
      <c r="Y1106" s="96">
        <f t="shared" si="2760"/>
        <v>0</v>
      </c>
      <c r="Z1106" s="96">
        <f t="shared" si="2761"/>
        <v>0</v>
      </c>
      <c r="AA1106" s="96"/>
      <c r="AB1106" s="95">
        <f t="shared" si="2762"/>
        <v>0</v>
      </c>
      <c r="AC1106" s="96"/>
      <c r="AD1106" s="96">
        <f t="shared" si="2763"/>
        <v>0</v>
      </c>
      <c r="AE1106" s="96"/>
      <c r="AF1106" s="96">
        <f t="shared" si="2764"/>
        <v>0</v>
      </c>
      <c r="AG1106" s="96">
        <f t="shared" si="2765"/>
        <v>0</v>
      </c>
      <c r="AH1106" s="96">
        <f t="shared" si="2766"/>
        <v>0</v>
      </c>
      <c r="AI1106" s="96">
        <f t="shared" si="2767"/>
        <v>0</v>
      </c>
      <c r="AJ1106" s="96">
        <f t="shared" si="2768"/>
        <v>0</v>
      </c>
      <c r="AK1106" s="96"/>
      <c r="AL1106" s="96">
        <f t="shared" si="2769"/>
        <v>0</v>
      </c>
      <c r="AM1106" s="96"/>
      <c r="AN1106" s="96">
        <f t="shared" si="2770"/>
        <v>0</v>
      </c>
      <c r="AO1106" s="96"/>
      <c r="AP1106" s="96">
        <f t="shared" si="2808"/>
        <v>0</v>
      </c>
      <c r="AQ1106" s="96">
        <f t="shared" si="2772"/>
        <v>0</v>
      </c>
      <c r="AR1106" s="96">
        <f t="shared" si="2773"/>
        <v>0</v>
      </c>
      <c r="AS1106" s="96"/>
      <c r="AT1106" s="96">
        <f t="shared" si="2774"/>
        <v>0</v>
      </c>
      <c r="AU1106" s="96"/>
      <c r="AV1106" s="96">
        <f t="shared" si="2775"/>
        <v>0</v>
      </c>
      <c r="AW1106" s="96"/>
      <c r="AX1106" s="96">
        <f t="shared" si="2776"/>
        <v>0</v>
      </c>
      <c r="AY1106" s="96">
        <f t="shared" si="2777"/>
        <v>0</v>
      </c>
      <c r="AZ1106" s="96">
        <f t="shared" si="2778"/>
        <v>0</v>
      </c>
      <c r="BA1106" s="96">
        <f t="shared" si="2779"/>
        <v>0</v>
      </c>
      <c r="BB1106" s="96">
        <f t="shared" si="2780"/>
        <v>0</v>
      </c>
    </row>
    <row r="1107" spans="1:54">
      <c r="A1107" s="492">
        <v>659</v>
      </c>
      <c r="B1107" s="13"/>
      <c r="C1107" s="423" t="s">
        <v>489</v>
      </c>
      <c r="D1107" s="13" t="s">
        <v>281</v>
      </c>
      <c r="E1107" s="89" t="s">
        <v>618</v>
      </c>
      <c r="F1107" s="424" t="s">
        <v>378</v>
      </c>
      <c r="G1107" s="424" t="s">
        <v>1059</v>
      </c>
      <c r="H1107" s="284" t="s">
        <v>428</v>
      </c>
      <c r="I1107" s="75">
        <v>9.6199999999999992</v>
      </c>
      <c r="J1107" s="167"/>
      <c r="K1107" s="75">
        <v>9.6199999999999992</v>
      </c>
      <c r="L1107" s="167"/>
      <c r="M1107" s="75"/>
      <c r="N1107" s="167"/>
      <c r="O1107" s="75"/>
      <c r="P1107" s="167"/>
      <c r="Q1107" s="130">
        <f t="shared" si="2755"/>
        <v>0</v>
      </c>
      <c r="R1107" s="347">
        <f t="shared" si="2756"/>
        <v>0</v>
      </c>
      <c r="S1107" s="130"/>
      <c r="T1107" s="130">
        <f t="shared" si="2757"/>
        <v>0</v>
      </c>
      <c r="U1107" s="130"/>
      <c r="V1107" s="130">
        <f t="shared" si="2758"/>
        <v>0</v>
      </c>
      <c r="W1107" s="130"/>
      <c r="X1107" s="130">
        <f t="shared" si="2759"/>
        <v>0</v>
      </c>
      <c r="Y1107" s="130">
        <f t="shared" si="2760"/>
        <v>0</v>
      </c>
      <c r="Z1107" s="130">
        <f t="shared" si="2761"/>
        <v>0</v>
      </c>
      <c r="AA1107" s="130"/>
      <c r="AB1107" s="130">
        <f t="shared" si="2762"/>
        <v>0</v>
      </c>
      <c r="AC1107" s="130"/>
      <c r="AD1107" s="130">
        <f t="shared" si="2763"/>
        <v>0</v>
      </c>
      <c r="AE1107" s="130"/>
      <c r="AF1107" s="130">
        <f t="shared" si="2764"/>
        <v>0</v>
      </c>
      <c r="AG1107" s="130">
        <f t="shared" si="2765"/>
        <v>0</v>
      </c>
      <c r="AH1107" s="130">
        <f t="shared" si="2766"/>
        <v>0</v>
      </c>
      <c r="AI1107" s="130">
        <f t="shared" si="2767"/>
        <v>0</v>
      </c>
      <c r="AJ1107" s="130">
        <f t="shared" si="2768"/>
        <v>0</v>
      </c>
      <c r="AK1107" s="130"/>
      <c r="AL1107" s="130">
        <f t="shared" si="2769"/>
        <v>0</v>
      </c>
      <c r="AM1107" s="130"/>
      <c r="AN1107" s="130">
        <f t="shared" si="2770"/>
        <v>0</v>
      </c>
      <c r="AO1107" s="130"/>
      <c r="AP1107" s="130">
        <f t="shared" si="2808"/>
        <v>0</v>
      </c>
      <c r="AQ1107" s="130">
        <f t="shared" si="2772"/>
        <v>0</v>
      </c>
      <c r="AR1107" s="130">
        <f t="shared" si="2773"/>
        <v>0</v>
      </c>
      <c r="AS1107" s="130"/>
      <c r="AT1107" s="130">
        <f t="shared" si="2774"/>
        <v>0</v>
      </c>
      <c r="AU1107" s="130"/>
      <c r="AV1107" s="130">
        <f t="shared" si="2775"/>
        <v>0</v>
      </c>
      <c r="AW1107" s="130"/>
      <c r="AX1107" s="130">
        <f t="shared" si="2776"/>
        <v>0</v>
      </c>
      <c r="AY1107" s="130">
        <f t="shared" si="2777"/>
        <v>0</v>
      </c>
      <c r="AZ1107" s="130">
        <f t="shared" si="2778"/>
        <v>0</v>
      </c>
      <c r="BA1107" s="130">
        <f t="shared" si="2779"/>
        <v>0</v>
      </c>
      <c r="BB1107" s="130">
        <f t="shared" si="2780"/>
        <v>0</v>
      </c>
    </row>
    <row r="1108" spans="1:54">
      <c r="A1108" s="492">
        <v>660</v>
      </c>
      <c r="B1108" s="13"/>
      <c r="C1108" s="299"/>
      <c r="D1108" s="13" t="s">
        <v>379</v>
      </c>
      <c r="E1108" s="21" t="s">
        <v>619</v>
      </c>
      <c r="F1108" s="45" t="s">
        <v>380</v>
      </c>
      <c r="G1108" s="45" t="s">
        <v>1059</v>
      </c>
      <c r="H1108" s="265" t="s">
        <v>428</v>
      </c>
      <c r="I1108" s="54">
        <v>9.6199999999999992</v>
      </c>
      <c r="J1108" s="162"/>
      <c r="K1108" s="54">
        <v>9.6199999999999992</v>
      </c>
      <c r="L1108" s="162"/>
      <c r="M1108" s="54"/>
      <c r="N1108" s="162"/>
      <c r="O1108" s="54"/>
      <c r="P1108" s="162"/>
      <c r="Q1108" s="96">
        <f t="shared" si="2755"/>
        <v>0</v>
      </c>
      <c r="R1108" s="337">
        <f t="shared" si="2756"/>
        <v>0</v>
      </c>
      <c r="S1108" s="96"/>
      <c r="T1108" s="96">
        <f t="shared" si="2757"/>
        <v>0</v>
      </c>
      <c r="U1108" s="96"/>
      <c r="V1108" s="96">
        <f t="shared" si="2758"/>
        <v>0</v>
      </c>
      <c r="W1108" s="96"/>
      <c r="X1108" s="96">
        <f t="shared" si="2759"/>
        <v>0</v>
      </c>
      <c r="Y1108" s="96">
        <f t="shared" si="2760"/>
        <v>0</v>
      </c>
      <c r="Z1108" s="96">
        <f t="shared" si="2761"/>
        <v>0</v>
      </c>
      <c r="AA1108" s="96"/>
      <c r="AB1108" s="96">
        <f t="shared" si="2762"/>
        <v>0</v>
      </c>
      <c r="AC1108" s="96"/>
      <c r="AD1108" s="96">
        <f t="shared" si="2763"/>
        <v>0</v>
      </c>
      <c r="AE1108" s="96"/>
      <c r="AF1108" s="96">
        <f t="shared" si="2764"/>
        <v>0</v>
      </c>
      <c r="AG1108" s="96">
        <f t="shared" si="2765"/>
        <v>0</v>
      </c>
      <c r="AH1108" s="96">
        <f t="shared" si="2766"/>
        <v>0</v>
      </c>
      <c r="AI1108" s="96">
        <f t="shared" si="2767"/>
        <v>0</v>
      </c>
      <c r="AJ1108" s="96">
        <f t="shared" si="2768"/>
        <v>0</v>
      </c>
      <c r="AK1108" s="96"/>
      <c r="AL1108" s="96">
        <f t="shared" si="2769"/>
        <v>0</v>
      </c>
      <c r="AM1108" s="96"/>
      <c r="AN1108" s="96">
        <f t="shared" si="2770"/>
        <v>0</v>
      </c>
      <c r="AO1108" s="96"/>
      <c r="AP1108" s="96">
        <f t="shared" si="2808"/>
        <v>0</v>
      </c>
      <c r="AQ1108" s="96">
        <f t="shared" si="2772"/>
        <v>0</v>
      </c>
      <c r="AR1108" s="96">
        <f t="shared" si="2773"/>
        <v>0</v>
      </c>
      <c r="AS1108" s="96"/>
      <c r="AT1108" s="96">
        <f t="shared" si="2774"/>
        <v>0</v>
      </c>
      <c r="AU1108" s="96"/>
      <c r="AV1108" s="96">
        <f t="shared" si="2775"/>
        <v>0</v>
      </c>
      <c r="AW1108" s="96"/>
      <c r="AX1108" s="96">
        <f t="shared" si="2776"/>
        <v>0</v>
      </c>
      <c r="AY1108" s="96">
        <f t="shared" si="2777"/>
        <v>0</v>
      </c>
      <c r="AZ1108" s="96">
        <f t="shared" si="2778"/>
        <v>0</v>
      </c>
      <c r="BA1108" s="96">
        <f t="shared" si="2779"/>
        <v>0</v>
      </c>
      <c r="BB1108" s="96">
        <f t="shared" si="2780"/>
        <v>0</v>
      </c>
    </row>
    <row r="1109" spans="1:54">
      <c r="A1109" s="492">
        <v>661</v>
      </c>
      <c r="B1109" s="13"/>
      <c r="C1109" s="299"/>
      <c r="D1109" s="13" t="s">
        <v>487</v>
      </c>
      <c r="E1109" s="21" t="s">
        <v>620</v>
      </c>
      <c r="F1109" s="45" t="s">
        <v>378</v>
      </c>
      <c r="G1109" s="45" t="s">
        <v>1059</v>
      </c>
      <c r="H1109" s="265" t="s">
        <v>428</v>
      </c>
      <c r="I1109" s="54">
        <v>9.6199999999999992</v>
      </c>
      <c r="J1109" s="162"/>
      <c r="K1109" s="54">
        <v>9.6199999999999992</v>
      </c>
      <c r="L1109" s="162"/>
      <c r="M1109" s="54"/>
      <c r="N1109" s="162"/>
      <c r="O1109" s="54"/>
      <c r="P1109" s="162"/>
      <c r="Q1109" s="96">
        <f t="shared" ref="Q1109:Q1159" si="3095">SUM(AI1109+BA1109)</f>
        <v>0</v>
      </c>
      <c r="R1109" s="337">
        <f t="shared" ref="R1109:R1159" si="3096">SUM(AJ1109+BB1109)</f>
        <v>0</v>
      </c>
      <c r="S1109" s="96"/>
      <c r="T1109" s="96">
        <f t="shared" ref="T1109:T1159" si="3097">I1109*S1109*$T$2/1000</f>
        <v>0</v>
      </c>
      <c r="U1109" s="96"/>
      <c r="V1109" s="96">
        <f t="shared" ref="V1109:V1159" si="3098">I1109*U1109*$V$2/1000</f>
        <v>0</v>
      </c>
      <c r="W1109" s="96"/>
      <c r="X1109" s="96">
        <f t="shared" ref="X1109:X1159" si="3099">I1109*W1109*$X$2/1000</f>
        <v>0</v>
      </c>
      <c r="Y1109" s="96">
        <f t="shared" ref="Y1109:Y1159" si="3100">SUM(S1109+U1109+W1109)</f>
        <v>0</v>
      </c>
      <c r="Z1109" s="96">
        <f t="shared" ref="Z1109:Z1159" si="3101">SUM(T1109+V1109+X1109)</f>
        <v>0</v>
      </c>
      <c r="AA1109" s="96"/>
      <c r="AB1109" s="96">
        <f t="shared" ref="AB1109:AB1159" si="3102">K1109*AA1109*$AB$2/1000</f>
        <v>0</v>
      </c>
      <c r="AC1109" s="96"/>
      <c r="AD1109" s="96">
        <f t="shared" ref="AD1109:AD1159" si="3103">K1109*AC1109*$AD$2/1000</f>
        <v>0</v>
      </c>
      <c r="AE1109" s="96"/>
      <c r="AF1109" s="96">
        <f t="shared" ref="AF1109:AF1159" si="3104">K1109*AE1109*$AF$2/1000</f>
        <v>0</v>
      </c>
      <c r="AG1109" s="96">
        <f t="shared" ref="AG1109:AG1159" si="3105">SUM(AA1109+AC1109+AE1109)</f>
        <v>0</v>
      </c>
      <c r="AH1109" s="96">
        <f t="shared" ref="AH1109:AH1159" si="3106">SUM(AB1109+AD1109+AF1109)</f>
        <v>0</v>
      </c>
      <c r="AI1109" s="96">
        <f t="shared" ref="AI1109:AI1159" si="3107">SUM(Y1109+AG1109)</f>
        <v>0</v>
      </c>
      <c r="AJ1109" s="96">
        <f t="shared" ref="AJ1109:AJ1159" si="3108">SUM(Z1109,AH1109)</f>
        <v>0</v>
      </c>
      <c r="AK1109" s="96"/>
      <c r="AL1109" s="96">
        <f t="shared" ref="AL1109:AL1159" si="3109">M1109*AK1109*$AL$2/1000</f>
        <v>0</v>
      </c>
      <c r="AM1109" s="96"/>
      <c r="AN1109" s="96">
        <f t="shared" ref="AN1109:AN1159" si="3110">M1109*AM1109*$AN$2/1000</f>
        <v>0</v>
      </c>
      <c r="AO1109" s="96"/>
      <c r="AP1109" s="96">
        <f t="shared" si="2808"/>
        <v>0</v>
      </c>
      <c r="AQ1109" s="96">
        <f t="shared" ref="AQ1109:AQ1159" si="3111">SUM(AK1109+AM1109+AO1109)</f>
        <v>0</v>
      </c>
      <c r="AR1109" s="96">
        <f t="shared" ref="AR1109:AR1159" si="3112">SUM(AL1109+AN1109+AP1109)</f>
        <v>0</v>
      </c>
      <c r="AS1109" s="96"/>
      <c r="AT1109" s="96">
        <f t="shared" ref="AT1109:AT1159" si="3113">O1109*AS1109*$AT$2/1000</f>
        <v>0</v>
      </c>
      <c r="AU1109" s="96"/>
      <c r="AV1109" s="96">
        <f t="shared" ref="AV1109:AV1159" si="3114">O1109*AU1109*$AV$2/1000</f>
        <v>0</v>
      </c>
      <c r="AW1109" s="96"/>
      <c r="AX1109" s="96">
        <f t="shared" ref="AX1109:AX1159" si="3115">O1109*AW1109*$AX$2/1000</f>
        <v>0</v>
      </c>
      <c r="AY1109" s="96">
        <f t="shared" ref="AY1109:AY1159" si="3116">SUM(AS1109+AU1109+AW1109)</f>
        <v>0</v>
      </c>
      <c r="AZ1109" s="96">
        <f t="shared" ref="AZ1109:AZ1159" si="3117">SUM(AT1109+AV1109+AX1109)</f>
        <v>0</v>
      </c>
      <c r="BA1109" s="96">
        <f t="shared" ref="BA1109:BA1159" si="3118">SUM(AQ1109+AY1109)</f>
        <v>0</v>
      </c>
      <c r="BB1109" s="96">
        <f t="shared" ref="BB1109:BB1159" si="3119">SUM(AR1109,AZ1109)</f>
        <v>0</v>
      </c>
    </row>
    <row r="1110" spans="1:54">
      <c r="A1110" s="492">
        <v>662</v>
      </c>
      <c r="B1110" s="13"/>
      <c r="C1110" s="299"/>
      <c r="D1110" s="13" t="s">
        <v>381</v>
      </c>
      <c r="E1110" s="21" t="s">
        <v>382</v>
      </c>
      <c r="F1110" s="45" t="s">
        <v>378</v>
      </c>
      <c r="G1110" s="45" t="s">
        <v>1059</v>
      </c>
      <c r="H1110" s="265" t="s">
        <v>428</v>
      </c>
      <c r="I1110" s="54">
        <v>9.6199999999999992</v>
      </c>
      <c r="J1110" s="162"/>
      <c r="K1110" s="54">
        <v>9.6199999999999992</v>
      </c>
      <c r="L1110" s="162"/>
      <c r="M1110" s="54"/>
      <c r="N1110" s="162"/>
      <c r="O1110" s="54"/>
      <c r="P1110" s="162"/>
      <c r="Q1110" s="96">
        <f t="shared" si="3095"/>
        <v>0</v>
      </c>
      <c r="R1110" s="337">
        <f t="shared" si="3096"/>
        <v>0</v>
      </c>
      <c r="S1110" s="96"/>
      <c r="T1110" s="96">
        <f t="shared" si="3097"/>
        <v>0</v>
      </c>
      <c r="U1110" s="96"/>
      <c r="V1110" s="96">
        <f t="shared" si="3098"/>
        <v>0</v>
      </c>
      <c r="W1110" s="96"/>
      <c r="X1110" s="96">
        <f t="shared" si="3099"/>
        <v>0</v>
      </c>
      <c r="Y1110" s="96">
        <f t="shared" si="3100"/>
        <v>0</v>
      </c>
      <c r="Z1110" s="96">
        <f t="shared" si="3101"/>
        <v>0</v>
      </c>
      <c r="AA1110" s="96"/>
      <c r="AB1110" s="96">
        <f t="shared" si="3102"/>
        <v>0</v>
      </c>
      <c r="AC1110" s="96"/>
      <c r="AD1110" s="96">
        <f t="shared" si="3103"/>
        <v>0</v>
      </c>
      <c r="AE1110" s="96"/>
      <c r="AF1110" s="96">
        <f t="shared" si="3104"/>
        <v>0</v>
      </c>
      <c r="AG1110" s="96">
        <f t="shared" si="3105"/>
        <v>0</v>
      </c>
      <c r="AH1110" s="96">
        <f t="shared" si="3106"/>
        <v>0</v>
      </c>
      <c r="AI1110" s="96">
        <f t="shared" si="3107"/>
        <v>0</v>
      </c>
      <c r="AJ1110" s="96">
        <f t="shared" si="3108"/>
        <v>0</v>
      </c>
      <c r="AK1110" s="96"/>
      <c r="AL1110" s="96">
        <f t="shared" si="3109"/>
        <v>0</v>
      </c>
      <c r="AM1110" s="96"/>
      <c r="AN1110" s="96">
        <f t="shared" si="3110"/>
        <v>0</v>
      </c>
      <c r="AO1110" s="96"/>
      <c r="AP1110" s="96">
        <f t="shared" si="2808"/>
        <v>0</v>
      </c>
      <c r="AQ1110" s="96">
        <f t="shared" si="3111"/>
        <v>0</v>
      </c>
      <c r="AR1110" s="96">
        <f t="shared" si="3112"/>
        <v>0</v>
      </c>
      <c r="AS1110" s="96"/>
      <c r="AT1110" s="96">
        <f t="shared" si="3113"/>
        <v>0</v>
      </c>
      <c r="AU1110" s="96"/>
      <c r="AV1110" s="96">
        <f t="shared" si="3114"/>
        <v>0</v>
      </c>
      <c r="AW1110" s="96"/>
      <c r="AX1110" s="96">
        <f t="shared" si="3115"/>
        <v>0</v>
      </c>
      <c r="AY1110" s="96">
        <f t="shared" si="3116"/>
        <v>0</v>
      </c>
      <c r="AZ1110" s="96">
        <f t="shared" si="3117"/>
        <v>0</v>
      </c>
      <c r="BA1110" s="96">
        <f t="shared" si="3118"/>
        <v>0</v>
      </c>
      <c r="BB1110" s="96">
        <f t="shared" si="3119"/>
        <v>0</v>
      </c>
    </row>
    <row r="1111" spans="1:54">
      <c r="A1111" s="492">
        <v>663</v>
      </c>
      <c r="B1111" s="13"/>
      <c r="C1111" s="299"/>
      <c r="D1111" s="13" t="s">
        <v>1335</v>
      </c>
      <c r="E1111" s="21" t="s">
        <v>1345</v>
      </c>
      <c r="F1111" s="45" t="s">
        <v>378</v>
      </c>
      <c r="G1111" s="45" t="s">
        <v>1059</v>
      </c>
      <c r="H1111" s="265" t="s">
        <v>428</v>
      </c>
      <c r="I1111" s="54">
        <v>9.59</v>
      </c>
      <c r="J1111" s="162"/>
      <c r="K1111" s="54">
        <v>9.59</v>
      </c>
      <c r="L1111" s="162"/>
      <c r="M1111" s="54"/>
      <c r="N1111" s="162"/>
      <c r="O1111" s="54"/>
      <c r="P1111" s="162"/>
      <c r="Q1111" s="96">
        <f t="shared" si="3095"/>
        <v>0</v>
      </c>
      <c r="R1111" s="337">
        <f t="shared" si="3096"/>
        <v>0</v>
      </c>
      <c r="S1111" s="96"/>
      <c r="T1111" s="96">
        <f t="shared" si="3097"/>
        <v>0</v>
      </c>
      <c r="U1111" s="96"/>
      <c r="V1111" s="96">
        <f t="shared" si="3098"/>
        <v>0</v>
      </c>
      <c r="W1111" s="96"/>
      <c r="X1111" s="96">
        <f t="shared" si="3099"/>
        <v>0</v>
      </c>
      <c r="Y1111" s="96">
        <f t="shared" si="3100"/>
        <v>0</v>
      </c>
      <c r="Z1111" s="96">
        <f t="shared" si="3101"/>
        <v>0</v>
      </c>
      <c r="AA1111" s="96"/>
      <c r="AB1111" s="96">
        <f t="shared" si="3102"/>
        <v>0</v>
      </c>
      <c r="AC1111" s="96"/>
      <c r="AD1111" s="96">
        <f t="shared" si="3103"/>
        <v>0</v>
      </c>
      <c r="AE1111" s="96"/>
      <c r="AF1111" s="96">
        <f t="shared" si="3104"/>
        <v>0</v>
      </c>
      <c r="AG1111" s="96">
        <f t="shared" si="3105"/>
        <v>0</v>
      </c>
      <c r="AH1111" s="96">
        <f t="shared" si="3106"/>
        <v>0</v>
      </c>
      <c r="AI1111" s="96">
        <f t="shared" si="3107"/>
        <v>0</v>
      </c>
      <c r="AJ1111" s="96">
        <f t="shared" si="3108"/>
        <v>0</v>
      </c>
      <c r="AK1111" s="96"/>
      <c r="AL1111" s="96">
        <f t="shared" si="3109"/>
        <v>0</v>
      </c>
      <c r="AM1111" s="96"/>
      <c r="AN1111" s="96">
        <f t="shared" si="3110"/>
        <v>0</v>
      </c>
      <c r="AO1111" s="96"/>
      <c r="AP1111" s="96">
        <f t="shared" si="2808"/>
        <v>0</v>
      </c>
      <c r="AQ1111" s="96">
        <f t="shared" si="3111"/>
        <v>0</v>
      </c>
      <c r="AR1111" s="96">
        <f t="shared" si="3112"/>
        <v>0</v>
      </c>
      <c r="AS1111" s="96"/>
      <c r="AT1111" s="96">
        <f t="shared" si="3113"/>
        <v>0</v>
      </c>
      <c r="AU1111" s="96"/>
      <c r="AV1111" s="96">
        <f t="shared" si="3114"/>
        <v>0</v>
      </c>
      <c r="AW1111" s="96"/>
      <c r="AX1111" s="96">
        <f t="shared" si="3115"/>
        <v>0</v>
      </c>
      <c r="AY1111" s="96">
        <f t="shared" si="3116"/>
        <v>0</v>
      </c>
      <c r="AZ1111" s="96">
        <f t="shared" si="3117"/>
        <v>0</v>
      </c>
      <c r="BA1111" s="96">
        <f t="shared" si="3118"/>
        <v>0</v>
      </c>
      <c r="BB1111" s="96">
        <f t="shared" si="3119"/>
        <v>0</v>
      </c>
    </row>
    <row r="1112" spans="1:54">
      <c r="A1112" s="492">
        <v>669</v>
      </c>
      <c r="B1112" s="13"/>
      <c r="C1112" s="299"/>
      <c r="D1112" s="13" t="s">
        <v>1335</v>
      </c>
      <c r="E1112" s="16" t="s">
        <v>1333</v>
      </c>
      <c r="F1112" s="45" t="s">
        <v>377</v>
      </c>
      <c r="G1112" s="45" t="s">
        <v>1059</v>
      </c>
      <c r="H1112" s="265" t="s">
        <v>428</v>
      </c>
      <c r="I1112" s="54">
        <v>6.97</v>
      </c>
      <c r="J1112" s="162"/>
      <c r="K1112" s="54">
        <v>6.97</v>
      </c>
      <c r="L1112" s="162"/>
      <c r="M1112" s="54"/>
      <c r="N1112" s="162"/>
      <c r="O1112" s="54"/>
      <c r="P1112" s="162"/>
      <c r="Q1112" s="96">
        <f t="shared" si="3095"/>
        <v>0</v>
      </c>
      <c r="R1112" s="337">
        <f t="shared" si="3096"/>
        <v>0</v>
      </c>
      <c r="S1112" s="96"/>
      <c r="T1112" s="96">
        <f t="shared" si="3097"/>
        <v>0</v>
      </c>
      <c r="U1112" s="96"/>
      <c r="V1112" s="96">
        <f t="shared" si="3098"/>
        <v>0</v>
      </c>
      <c r="W1112" s="96"/>
      <c r="X1112" s="96">
        <f t="shared" si="3099"/>
        <v>0</v>
      </c>
      <c r="Y1112" s="96">
        <f t="shared" si="3100"/>
        <v>0</v>
      </c>
      <c r="Z1112" s="96">
        <f t="shared" si="3101"/>
        <v>0</v>
      </c>
      <c r="AA1112" s="96"/>
      <c r="AB1112" s="96">
        <f t="shared" si="3102"/>
        <v>0</v>
      </c>
      <c r="AC1112" s="96"/>
      <c r="AD1112" s="96">
        <f t="shared" si="3103"/>
        <v>0</v>
      </c>
      <c r="AE1112" s="96"/>
      <c r="AF1112" s="96">
        <f t="shared" si="3104"/>
        <v>0</v>
      </c>
      <c r="AG1112" s="96">
        <f t="shared" si="3105"/>
        <v>0</v>
      </c>
      <c r="AH1112" s="96">
        <f t="shared" si="3106"/>
        <v>0</v>
      </c>
      <c r="AI1112" s="96">
        <f t="shared" si="3107"/>
        <v>0</v>
      </c>
      <c r="AJ1112" s="96">
        <f t="shared" si="3108"/>
        <v>0</v>
      </c>
      <c r="AK1112" s="96"/>
      <c r="AL1112" s="96">
        <f t="shared" si="3109"/>
        <v>0</v>
      </c>
      <c r="AM1112" s="96"/>
      <c r="AN1112" s="96">
        <f t="shared" si="3110"/>
        <v>0</v>
      </c>
      <c r="AO1112" s="96"/>
      <c r="AP1112" s="96">
        <f t="shared" si="2808"/>
        <v>0</v>
      </c>
      <c r="AQ1112" s="96">
        <f t="shared" si="3111"/>
        <v>0</v>
      </c>
      <c r="AR1112" s="96">
        <f t="shared" si="3112"/>
        <v>0</v>
      </c>
      <c r="AS1112" s="96"/>
      <c r="AT1112" s="96">
        <f t="shared" si="3113"/>
        <v>0</v>
      </c>
      <c r="AU1112" s="96"/>
      <c r="AV1112" s="96">
        <f t="shared" si="3114"/>
        <v>0</v>
      </c>
      <c r="AW1112" s="96"/>
      <c r="AX1112" s="96">
        <f t="shared" si="3115"/>
        <v>0</v>
      </c>
      <c r="AY1112" s="96">
        <f t="shared" si="3116"/>
        <v>0</v>
      </c>
      <c r="AZ1112" s="96">
        <f t="shared" si="3117"/>
        <v>0</v>
      </c>
      <c r="BA1112" s="96">
        <f t="shared" si="3118"/>
        <v>0</v>
      </c>
      <c r="BB1112" s="96">
        <f t="shared" si="3119"/>
        <v>0</v>
      </c>
    </row>
    <row r="1113" spans="1:54">
      <c r="A1113" s="492">
        <v>669</v>
      </c>
      <c r="B1113" s="13"/>
      <c r="C1113" s="299"/>
      <c r="D1113" s="13" t="s">
        <v>1336</v>
      </c>
      <c r="E1113" s="16" t="s">
        <v>1346</v>
      </c>
      <c r="F1113" s="45" t="s">
        <v>375</v>
      </c>
      <c r="G1113" s="45" t="s">
        <v>1059</v>
      </c>
      <c r="H1113" s="265" t="s">
        <v>428</v>
      </c>
      <c r="I1113" s="54">
        <v>9.8699999999999992</v>
      </c>
      <c r="J1113" s="162"/>
      <c r="K1113" s="54">
        <v>9.8699999999999992</v>
      </c>
      <c r="L1113" s="162"/>
      <c r="M1113" s="54"/>
      <c r="N1113" s="162"/>
      <c r="O1113" s="54"/>
      <c r="P1113" s="162"/>
      <c r="Q1113" s="96">
        <f t="shared" si="3095"/>
        <v>0</v>
      </c>
      <c r="R1113" s="337">
        <f t="shared" si="3096"/>
        <v>0</v>
      </c>
      <c r="S1113" s="96"/>
      <c r="T1113" s="96">
        <f t="shared" si="3097"/>
        <v>0</v>
      </c>
      <c r="U1113" s="96"/>
      <c r="V1113" s="96">
        <f t="shared" si="3098"/>
        <v>0</v>
      </c>
      <c r="W1113" s="96"/>
      <c r="X1113" s="96">
        <f t="shared" si="3099"/>
        <v>0</v>
      </c>
      <c r="Y1113" s="96">
        <f t="shared" si="3100"/>
        <v>0</v>
      </c>
      <c r="Z1113" s="96">
        <f t="shared" si="3101"/>
        <v>0</v>
      </c>
      <c r="AA1113" s="96"/>
      <c r="AB1113" s="96">
        <f t="shared" si="3102"/>
        <v>0</v>
      </c>
      <c r="AC1113" s="96"/>
      <c r="AD1113" s="96">
        <f t="shared" si="3103"/>
        <v>0</v>
      </c>
      <c r="AE1113" s="96"/>
      <c r="AF1113" s="96">
        <f t="shared" si="3104"/>
        <v>0</v>
      </c>
      <c r="AG1113" s="96">
        <f t="shared" si="3105"/>
        <v>0</v>
      </c>
      <c r="AH1113" s="96">
        <f t="shared" si="3106"/>
        <v>0</v>
      </c>
      <c r="AI1113" s="96">
        <f t="shared" si="3107"/>
        <v>0</v>
      </c>
      <c r="AJ1113" s="96">
        <f t="shared" si="3108"/>
        <v>0</v>
      </c>
      <c r="AK1113" s="96"/>
      <c r="AL1113" s="96">
        <f t="shared" si="3109"/>
        <v>0</v>
      </c>
      <c r="AM1113" s="96"/>
      <c r="AN1113" s="96">
        <f t="shared" si="3110"/>
        <v>0</v>
      </c>
      <c r="AO1113" s="96"/>
      <c r="AP1113" s="96">
        <f t="shared" si="2808"/>
        <v>0</v>
      </c>
      <c r="AQ1113" s="96">
        <f t="shared" si="3111"/>
        <v>0</v>
      </c>
      <c r="AR1113" s="96">
        <f t="shared" si="3112"/>
        <v>0</v>
      </c>
      <c r="AS1113" s="96"/>
      <c r="AT1113" s="96">
        <f t="shared" si="3113"/>
        <v>0</v>
      </c>
      <c r="AU1113" s="96"/>
      <c r="AV1113" s="96">
        <f t="shared" si="3114"/>
        <v>0</v>
      </c>
      <c r="AW1113" s="96"/>
      <c r="AX1113" s="96">
        <f t="shared" si="3115"/>
        <v>0</v>
      </c>
      <c r="AY1113" s="96">
        <f t="shared" si="3116"/>
        <v>0</v>
      </c>
      <c r="AZ1113" s="96">
        <f t="shared" si="3117"/>
        <v>0</v>
      </c>
      <c r="BA1113" s="96">
        <f t="shared" si="3118"/>
        <v>0</v>
      </c>
      <c r="BB1113" s="96">
        <f t="shared" si="3119"/>
        <v>0</v>
      </c>
    </row>
    <row r="1114" spans="1:54">
      <c r="A1114" s="492">
        <v>669</v>
      </c>
      <c r="B1114" s="13"/>
      <c r="C1114" s="299"/>
      <c r="D1114" s="13" t="s">
        <v>1336</v>
      </c>
      <c r="E1114" s="16" t="s">
        <v>1334</v>
      </c>
      <c r="F1114" s="45" t="s">
        <v>377</v>
      </c>
      <c r="G1114" s="45" t="s">
        <v>1059</v>
      </c>
      <c r="H1114" s="265" t="s">
        <v>428</v>
      </c>
      <c r="I1114" s="54">
        <v>7.25</v>
      </c>
      <c r="J1114" s="162"/>
      <c r="K1114" s="54">
        <v>7.25</v>
      </c>
      <c r="L1114" s="162"/>
      <c r="M1114" s="54"/>
      <c r="N1114" s="162"/>
      <c r="O1114" s="54"/>
      <c r="P1114" s="162"/>
      <c r="Q1114" s="96">
        <f t="shared" si="3095"/>
        <v>0</v>
      </c>
      <c r="R1114" s="337">
        <f t="shared" si="3096"/>
        <v>0</v>
      </c>
      <c r="S1114" s="96"/>
      <c r="T1114" s="96">
        <f t="shared" si="3097"/>
        <v>0</v>
      </c>
      <c r="U1114" s="96"/>
      <c r="V1114" s="96">
        <f t="shared" si="3098"/>
        <v>0</v>
      </c>
      <c r="W1114" s="96"/>
      <c r="X1114" s="96">
        <f t="shared" si="3099"/>
        <v>0</v>
      </c>
      <c r="Y1114" s="96">
        <f t="shared" si="3100"/>
        <v>0</v>
      </c>
      <c r="Z1114" s="96">
        <f t="shared" si="3101"/>
        <v>0</v>
      </c>
      <c r="AA1114" s="96"/>
      <c r="AB1114" s="96">
        <f t="shared" si="3102"/>
        <v>0</v>
      </c>
      <c r="AC1114" s="96"/>
      <c r="AD1114" s="96">
        <f t="shared" si="3103"/>
        <v>0</v>
      </c>
      <c r="AE1114" s="96"/>
      <c r="AF1114" s="96">
        <f t="shared" si="3104"/>
        <v>0</v>
      </c>
      <c r="AG1114" s="96">
        <f t="shared" si="3105"/>
        <v>0</v>
      </c>
      <c r="AH1114" s="96">
        <f t="shared" si="3106"/>
        <v>0</v>
      </c>
      <c r="AI1114" s="96">
        <f t="shared" si="3107"/>
        <v>0</v>
      </c>
      <c r="AJ1114" s="96">
        <f t="shared" si="3108"/>
        <v>0</v>
      </c>
      <c r="AK1114" s="96"/>
      <c r="AL1114" s="96">
        <f t="shared" si="3109"/>
        <v>0</v>
      </c>
      <c r="AM1114" s="96"/>
      <c r="AN1114" s="96">
        <f t="shared" si="3110"/>
        <v>0</v>
      </c>
      <c r="AO1114" s="96"/>
      <c r="AP1114" s="96">
        <f t="shared" si="2808"/>
        <v>0</v>
      </c>
      <c r="AQ1114" s="96">
        <f t="shared" si="3111"/>
        <v>0</v>
      </c>
      <c r="AR1114" s="96">
        <f t="shared" si="3112"/>
        <v>0</v>
      </c>
      <c r="AS1114" s="96"/>
      <c r="AT1114" s="96">
        <f t="shared" si="3113"/>
        <v>0</v>
      </c>
      <c r="AU1114" s="96"/>
      <c r="AV1114" s="96">
        <f t="shared" si="3114"/>
        <v>0</v>
      </c>
      <c r="AW1114" s="96"/>
      <c r="AX1114" s="96">
        <f t="shared" si="3115"/>
        <v>0</v>
      </c>
      <c r="AY1114" s="96">
        <f t="shared" si="3116"/>
        <v>0</v>
      </c>
      <c r="AZ1114" s="96">
        <f t="shared" si="3117"/>
        <v>0</v>
      </c>
      <c r="BA1114" s="96">
        <f t="shared" si="3118"/>
        <v>0</v>
      </c>
      <c r="BB1114" s="96">
        <f t="shared" si="3119"/>
        <v>0</v>
      </c>
    </row>
    <row r="1115" spans="1:54">
      <c r="A1115" s="492">
        <v>670</v>
      </c>
      <c r="B1115" s="13"/>
      <c r="C1115" s="299"/>
      <c r="D1115" s="13" t="s">
        <v>367</v>
      </c>
      <c r="E1115" s="16" t="s">
        <v>1332</v>
      </c>
      <c r="F1115" s="45" t="s">
        <v>377</v>
      </c>
      <c r="G1115" s="45" t="s">
        <v>1059</v>
      </c>
      <c r="H1115" s="265" t="s">
        <v>359</v>
      </c>
      <c r="I1115" s="54">
        <v>8.6199999999999992</v>
      </c>
      <c r="J1115" s="162"/>
      <c r="K1115" s="54">
        <v>8.6199999999999992</v>
      </c>
      <c r="L1115" s="162"/>
      <c r="M1115" s="54"/>
      <c r="N1115" s="162"/>
      <c r="O1115" s="54"/>
      <c r="P1115" s="162"/>
      <c r="Q1115" s="96">
        <f t="shared" si="3095"/>
        <v>0</v>
      </c>
      <c r="R1115" s="337">
        <f t="shared" si="3096"/>
        <v>0</v>
      </c>
      <c r="S1115" s="96"/>
      <c r="T1115" s="96">
        <f t="shared" si="3097"/>
        <v>0</v>
      </c>
      <c r="U1115" s="96"/>
      <c r="V1115" s="96">
        <f t="shared" si="3098"/>
        <v>0</v>
      </c>
      <c r="W1115" s="96"/>
      <c r="X1115" s="96">
        <f t="shared" si="3099"/>
        <v>0</v>
      </c>
      <c r="Y1115" s="96">
        <f t="shared" si="3100"/>
        <v>0</v>
      </c>
      <c r="Z1115" s="96">
        <f t="shared" si="3101"/>
        <v>0</v>
      </c>
      <c r="AA1115" s="96"/>
      <c r="AB1115" s="96">
        <f t="shared" si="3102"/>
        <v>0</v>
      </c>
      <c r="AC1115" s="96"/>
      <c r="AD1115" s="96">
        <f t="shared" si="3103"/>
        <v>0</v>
      </c>
      <c r="AE1115" s="96"/>
      <c r="AF1115" s="96">
        <f t="shared" si="3104"/>
        <v>0</v>
      </c>
      <c r="AG1115" s="96">
        <f t="shared" si="3105"/>
        <v>0</v>
      </c>
      <c r="AH1115" s="96">
        <f t="shared" si="3106"/>
        <v>0</v>
      </c>
      <c r="AI1115" s="96">
        <f t="shared" si="3107"/>
        <v>0</v>
      </c>
      <c r="AJ1115" s="96">
        <f t="shared" si="3108"/>
        <v>0</v>
      </c>
      <c r="AK1115" s="96"/>
      <c r="AL1115" s="96">
        <f t="shared" si="3109"/>
        <v>0</v>
      </c>
      <c r="AM1115" s="96"/>
      <c r="AN1115" s="96">
        <f t="shared" si="3110"/>
        <v>0</v>
      </c>
      <c r="AO1115" s="96"/>
      <c r="AP1115" s="96">
        <f t="shared" si="2808"/>
        <v>0</v>
      </c>
      <c r="AQ1115" s="96">
        <f t="shared" si="3111"/>
        <v>0</v>
      </c>
      <c r="AR1115" s="96">
        <f t="shared" si="3112"/>
        <v>0</v>
      </c>
      <c r="AS1115" s="96"/>
      <c r="AT1115" s="96">
        <f t="shared" si="3113"/>
        <v>0</v>
      </c>
      <c r="AU1115" s="96"/>
      <c r="AV1115" s="96">
        <f t="shared" si="3114"/>
        <v>0</v>
      </c>
      <c r="AW1115" s="96"/>
      <c r="AX1115" s="96">
        <f t="shared" si="3115"/>
        <v>0</v>
      </c>
      <c r="AY1115" s="96">
        <f t="shared" si="3116"/>
        <v>0</v>
      </c>
      <c r="AZ1115" s="96">
        <f t="shared" si="3117"/>
        <v>0</v>
      </c>
      <c r="BA1115" s="96">
        <f t="shared" si="3118"/>
        <v>0</v>
      </c>
      <c r="BB1115" s="96">
        <f t="shared" si="3119"/>
        <v>0</v>
      </c>
    </row>
    <row r="1116" spans="1:54">
      <c r="A1116" s="492">
        <v>671</v>
      </c>
      <c r="B1116" s="13"/>
      <c r="C1116" s="299"/>
      <c r="D1116" s="13" t="s">
        <v>831</v>
      </c>
      <c r="E1116" s="16" t="s">
        <v>830</v>
      </c>
      <c r="F1116" s="45" t="s">
        <v>377</v>
      </c>
      <c r="G1116" s="45" t="s">
        <v>1059</v>
      </c>
      <c r="H1116" s="265" t="s">
        <v>428</v>
      </c>
      <c r="I1116" s="54">
        <v>7.86</v>
      </c>
      <c r="J1116" s="162"/>
      <c r="K1116" s="54">
        <v>7.86</v>
      </c>
      <c r="L1116" s="162"/>
      <c r="M1116" s="54"/>
      <c r="N1116" s="162"/>
      <c r="O1116" s="54"/>
      <c r="P1116" s="162"/>
      <c r="Q1116" s="96">
        <f t="shared" si="3095"/>
        <v>0</v>
      </c>
      <c r="R1116" s="337">
        <f t="shared" si="3096"/>
        <v>0</v>
      </c>
      <c r="S1116" s="96"/>
      <c r="T1116" s="96">
        <f t="shared" si="3097"/>
        <v>0</v>
      </c>
      <c r="U1116" s="96"/>
      <c r="V1116" s="96">
        <f t="shared" si="3098"/>
        <v>0</v>
      </c>
      <c r="W1116" s="96"/>
      <c r="X1116" s="96">
        <f t="shared" si="3099"/>
        <v>0</v>
      </c>
      <c r="Y1116" s="96">
        <f t="shared" si="3100"/>
        <v>0</v>
      </c>
      <c r="Z1116" s="96">
        <f t="shared" si="3101"/>
        <v>0</v>
      </c>
      <c r="AA1116" s="96"/>
      <c r="AB1116" s="96">
        <f t="shared" si="3102"/>
        <v>0</v>
      </c>
      <c r="AC1116" s="96"/>
      <c r="AD1116" s="96">
        <f t="shared" si="3103"/>
        <v>0</v>
      </c>
      <c r="AE1116" s="96"/>
      <c r="AF1116" s="96">
        <f t="shared" si="3104"/>
        <v>0</v>
      </c>
      <c r="AG1116" s="96">
        <f t="shared" si="3105"/>
        <v>0</v>
      </c>
      <c r="AH1116" s="96">
        <f t="shared" si="3106"/>
        <v>0</v>
      </c>
      <c r="AI1116" s="96">
        <f t="shared" si="3107"/>
        <v>0</v>
      </c>
      <c r="AJ1116" s="96">
        <f t="shared" si="3108"/>
        <v>0</v>
      </c>
      <c r="AK1116" s="96"/>
      <c r="AL1116" s="96">
        <f t="shared" si="3109"/>
        <v>0</v>
      </c>
      <c r="AM1116" s="96"/>
      <c r="AN1116" s="96">
        <f t="shared" si="3110"/>
        <v>0</v>
      </c>
      <c r="AO1116" s="96"/>
      <c r="AP1116" s="96">
        <f t="shared" si="2808"/>
        <v>0</v>
      </c>
      <c r="AQ1116" s="96">
        <f t="shared" si="3111"/>
        <v>0</v>
      </c>
      <c r="AR1116" s="96">
        <f t="shared" si="3112"/>
        <v>0</v>
      </c>
      <c r="AS1116" s="96"/>
      <c r="AT1116" s="96">
        <f t="shared" si="3113"/>
        <v>0</v>
      </c>
      <c r="AU1116" s="96"/>
      <c r="AV1116" s="96">
        <f t="shared" si="3114"/>
        <v>0</v>
      </c>
      <c r="AW1116" s="96"/>
      <c r="AX1116" s="96">
        <f t="shared" si="3115"/>
        <v>0</v>
      </c>
      <c r="AY1116" s="96">
        <f t="shared" si="3116"/>
        <v>0</v>
      </c>
      <c r="AZ1116" s="96">
        <f t="shared" si="3117"/>
        <v>0</v>
      </c>
      <c r="BA1116" s="96">
        <f t="shared" si="3118"/>
        <v>0</v>
      </c>
      <c r="BB1116" s="96">
        <f t="shared" si="3119"/>
        <v>0</v>
      </c>
    </row>
    <row r="1117" spans="1:54">
      <c r="A1117" s="492">
        <v>672</v>
      </c>
      <c r="B1117" s="13"/>
      <c r="C1117" s="299"/>
      <c r="D1117" s="13" t="s">
        <v>832</v>
      </c>
      <c r="E1117" s="16" t="s">
        <v>1337</v>
      </c>
      <c r="F1117" s="45" t="s">
        <v>377</v>
      </c>
      <c r="G1117" s="45" t="s">
        <v>1059</v>
      </c>
      <c r="H1117" s="265" t="s">
        <v>428</v>
      </c>
      <c r="I1117" s="54">
        <v>8.6199999999999992</v>
      </c>
      <c r="J1117" s="162"/>
      <c r="K1117" s="54">
        <v>8.6199999999999992</v>
      </c>
      <c r="L1117" s="162"/>
      <c r="M1117" s="54"/>
      <c r="N1117" s="162"/>
      <c r="O1117" s="54"/>
      <c r="P1117" s="162"/>
      <c r="Q1117" s="96">
        <f t="shared" si="3095"/>
        <v>0</v>
      </c>
      <c r="R1117" s="337">
        <f t="shared" si="3096"/>
        <v>0</v>
      </c>
      <c r="S1117" s="96"/>
      <c r="T1117" s="96">
        <f t="shared" si="3097"/>
        <v>0</v>
      </c>
      <c r="U1117" s="96"/>
      <c r="V1117" s="96">
        <f t="shared" si="3098"/>
        <v>0</v>
      </c>
      <c r="W1117" s="96"/>
      <c r="X1117" s="96">
        <f t="shared" si="3099"/>
        <v>0</v>
      </c>
      <c r="Y1117" s="96">
        <f t="shared" si="3100"/>
        <v>0</v>
      </c>
      <c r="Z1117" s="96">
        <f t="shared" si="3101"/>
        <v>0</v>
      </c>
      <c r="AA1117" s="96"/>
      <c r="AB1117" s="96">
        <f t="shared" si="3102"/>
        <v>0</v>
      </c>
      <c r="AC1117" s="96"/>
      <c r="AD1117" s="96">
        <f t="shared" si="3103"/>
        <v>0</v>
      </c>
      <c r="AE1117" s="96"/>
      <c r="AF1117" s="96">
        <f t="shared" si="3104"/>
        <v>0</v>
      </c>
      <c r="AG1117" s="96">
        <f t="shared" si="3105"/>
        <v>0</v>
      </c>
      <c r="AH1117" s="96">
        <f t="shared" si="3106"/>
        <v>0</v>
      </c>
      <c r="AI1117" s="96">
        <f t="shared" si="3107"/>
        <v>0</v>
      </c>
      <c r="AJ1117" s="96">
        <f t="shared" si="3108"/>
        <v>0</v>
      </c>
      <c r="AK1117" s="96"/>
      <c r="AL1117" s="96">
        <f t="shared" si="3109"/>
        <v>0</v>
      </c>
      <c r="AM1117" s="96"/>
      <c r="AN1117" s="96">
        <f t="shared" si="3110"/>
        <v>0</v>
      </c>
      <c r="AO1117" s="96"/>
      <c r="AP1117" s="96">
        <f t="shared" si="2808"/>
        <v>0</v>
      </c>
      <c r="AQ1117" s="96">
        <f t="shared" si="3111"/>
        <v>0</v>
      </c>
      <c r="AR1117" s="96">
        <f t="shared" si="3112"/>
        <v>0</v>
      </c>
      <c r="AS1117" s="96"/>
      <c r="AT1117" s="96">
        <f t="shared" si="3113"/>
        <v>0</v>
      </c>
      <c r="AU1117" s="96"/>
      <c r="AV1117" s="96">
        <f t="shared" si="3114"/>
        <v>0</v>
      </c>
      <c r="AW1117" s="96"/>
      <c r="AX1117" s="96">
        <f t="shared" si="3115"/>
        <v>0</v>
      </c>
      <c r="AY1117" s="96">
        <f t="shared" si="3116"/>
        <v>0</v>
      </c>
      <c r="AZ1117" s="96">
        <f t="shared" si="3117"/>
        <v>0</v>
      </c>
      <c r="BA1117" s="96">
        <f t="shared" si="3118"/>
        <v>0</v>
      </c>
      <c r="BB1117" s="96">
        <f t="shared" si="3119"/>
        <v>0</v>
      </c>
    </row>
    <row r="1118" spans="1:54" ht="12.75" customHeight="1">
      <c r="A1118" s="492">
        <v>675</v>
      </c>
      <c r="B1118" s="13"/>
      <c r="C1118" s="299"/>
      <c r="D1118" s="13" t="s">
        <v>794</v>
      </c>
      <c r="E1118" s="16" t="s">
        <v>621</v>
      </c>
      <c r="F1118" s="45" t="s">
        <v>400</v>
      </c>
      <c r="G1118" s="45" t="s">
        <v>1059</v>
      </c>
      <c r="H1118" s="265" t="s">
        <v>428</v>
      </c>
      <c r="I1118" s="54">
        <v>8.5</v>
      </c>
      <c r="J1118" s="162"/>
      <c r="K1118" s="54">
        <v>8.5</v>
      </c>
      <c r="L1118" s="162"/>
      <c r="M1118" s="54"/>
      <c r="N1118" s="162"/>
      <c r="O1118" s="54"/>
      <c r="P1118" s="162"/>
      <c r="Q1118" s="96">
        <f t="shared" si="3095"/>
        <v>0</v>
      </c>
      <c r="R1118" s="337">
        <f t="shared" si="3096"/>
        <v>0</v>
      </c>
      <c r="S1118" s="96"/>
      <c r="T1118" s="96">
        <f t="shared" si="3097"/>
        <v>0</v>
      </c>
      <c r="U1118" s="96"/>
      <c r="V1118" s="96">
        <f t="shared" si="3098"/>
        <v>0</v>
      </c>
      <c r="W1118" s="96"/>
      <c r="X1118" s="96">
        <f t="shared" si="3099"/>
        <v>0</v>
      </c>
      <c r="Y1118" s="96">
        <f t="shared" si="3100"/>
        <v>0</v>
      </c>
      <c r="Z1118" s="96">
        <f t="shared" si="3101"/>
        <v>0</v>
      </c>
      <c r="AA1118" s="96"/>
      <c r="AB1118" s="96">
        <f t="shared" si="3102"/>
        <v>0</v>
      </c>
      <c r="AC1118" s="96"/>
      <c r="AD1118" s="96">
        <f t="shared" si="3103"/>
        <v>0</v>
      </c>
      <c r="AE1118" s="96"/>
      <c r="AF1118" s="96">
        <f t="shared" si="3104"/>
        <v>0</v>
      </c>
      <c r="AG1118" s="96">
        <f t="shared" si="3105"/>
        <v>0</v>
      </c>
      <c r="AH1118" s="96">
        <f t="shared" si="3106"/>
        <v>0</v>
      </c>
      <c r="AI1118" s="96">
        <f t="shared" si="3107"/>
        <v>0</v>
      </c>
      <c r="AJ1118" s="96">
        <f t="shared" si="3108"/>
        <v>0</v>
      </c>
      <c r="AK1118" s="96"/>
      <c r="AL1118" s="96">
        <f t="shared" si="3109"/>
        <v>0</v>
      </c>
      <c r="AM1118" s="96"/>
      <c r="AN1118" s="96">
        <f t="shared" si="3110"/>
        <v>0</v>
      </c>
      <c r="AO1118" s="96"/>
      <c r="AP1118" s="96">
        <f t="shared" si="2808"/>
        <v>0</v>
      </c>
      <c r="AQ1118" s="96">
        <f t="shared" si="3111"/>
        <v>0</v>
      </c>
      <c r="AR1118" s="96">
        <f t="shared" si="3112"/>
        <v>0</v>
      </c>
      <c r="AS1118" s="96"/>
      <c r="AT1118" s="96">
        <f t="shared" si="3113"/>
        <v>0</v>
      </c>
      <c r="AU1118" s="96"/>
      <c r="AV1118" s="96">
        <f t="shared" si="3114"/>
        <v>0</v>
      </c>
      <c r="AW1118" s="96"/>
      <c r="AX1118" s="96">
        <f t="shared" si="3115"/>
        <v>0</v>
      </c>
      <c r="AY1118" s="96">
        <f t="shared" si="3116"/>
        <v>0</v>
      </c>
      <c r="AZ1118" s="96">
        <f t="shared" si="3117"/>
        <v>0</v>
      </c>
      <c r="BA1118" s="96">
        <f t="shared" si="3118"/>
        <v>0</v>
      </c>
      <c r="BB1118" s="96">
        <f t="shared" si="3119"/>
        <v>0</v>
      </c>
    </row>
    <row r="1119" spans="1:54">
      <c r="A1119" s="492">
        <v>676</v>
      </c>
      <c r="B1119" s="13"/>
      <c r="C1119" s="299"/>
      <c r="D1119" s="13" t="s">
        <v>794</v>
      </c>
      <c r="E1119" s="16" t="s">
        <v>795</v>
      </c>
      <c r="F1119" s="45" t="s">
        <v>377</v>
      </c>
      <c r="G1119" s="45" t="s">
        <v>1059</v>
      </c>
      <c r="H1119" s="265" t="s">
        <v>359</v>
      </c>
      <c r="I1119" s="54">
        <v>7.96</v>
      </c>
      <c r="J1119" s="162"/>
      <c r="K1119" s="54">
        <v>7.96</v>
      </c>
      <c r="L1119" s="162"/>
      <c r="M1119" s="54"/>
      <c r="N1119" s="162"/>
      <c r="O1119" s="54"/>
      <c r="P1119" s="162"/>
      <c r="Q1119" s="96">
        <f t="shared" si="3095"/>
        <v>0</v>
      </c>
      <c r="R1119" s="337">
        <f t="shared" si="3096"/>
        <v>0</v>
      </c>
      <c r="S1119" s="96"/>
      <c r="T1119" s="96">
        <f t="shared" si="3097"/>
        <v>0</v>
      </c>
      <c r="U1119" s="96"/>
      <c r="V1119" s="96">
        <f t="shared" si="3098"/>
        <v>0</v>
      </c>
      <c r="W1119" s="96"/>
      <c r="X1119" s="96">
        <f t="shared" si="3099"/>
        <v>0</v>
      </c>
      <c r="Y1119" s="96">
        <f t="shared" si="3100"/>
        <v>0</v>
      </c>
      <c r="Z1119" s="96">
        <f t="shared" si="3101"/>
        <v>0</v>
      </c>
      <c r="AA1119" s="96"/>
      <c r="AB1119" s="96">
        <f t="shared" si="3102"/>
        <v>0</v>
      </c>
      <c r="AC1119" s="96"/>
      <c r="AD1119" s="96">
        <f t="shared" si="3103"/>
        <v>0</v>
      </c>
      <c r="AE1119" s="96"/>
      <c r="AF1119" s="96">
        <f t="shared" si="3104"/>
        <v>0</v>
      </c>
      <c r="AG1119" s="96">
        <f t="shared" si="3105"/>
        <v>0</v>
      </c>
      <c r="AH1119" s="96">
        <f t="shared" si="3106"/>
        <v>0</v>
      </c>
      <c r="AI1119" s="96">
        <f t="shared" si="3107"/>
        <v>0</v>
      </c>
      <c r="AJ1119" s="96">
        <f t="shared" si="3108"/>
        <v>0</v>
      </c>
      <c r="AK1119" s="96"/>
      <c r="AL1119" s="96">
        <f t="shared" si="3109"/>
        <v>0</v>
      </c>
      <c r="AM1119" s="96"/>
      <c r="AN1119" s="96">
        <f t="shared" si="3110"/>
        <v>0</v>
      </c>
      <c r="AO1119" s="96"/>
      <c r="AP1119" s="96">
        <f t="shared" si="2808"/>
        <v>0</v>
      </c>
      <c r="AQ1119" s="96">
        <f t="shared" si="3111"/>
        <v>0</v>
      </c>
      <c r="AR1119" s="96">
        <f t="shared" si="3112"/>
        <v>0</v>
      </c>
      <c r="AS1119" s="96"/>
      <c r="AT1119" s="96">
        <f t="shared" si="3113"/>
        <v>0</v>
      </c>
      <c r="AU1119" s="96"/>
      <c r="AV1119" s="96">
        <f t="shared" si="3114"/>
        <v>0</v>
      </c>
      <c r="AW1119" s="96"/>
      <c r="AX1119" s="96">
        <f t="shared" si="3115"/>
        <v>0</v>
      </c>
      <c r="AY1119" s="96">
        <f t="shared" si="3116"/>
        <v>0</v>
      </c>
      <c r="AZ1119" s="96">
        <f t="shared" si="3117"/>
        <v>0</v>
      </c>
      <c r="BA1119" s="96">
        <f t="shared" si="3118"/>
        <v>0</v>
      </c>
      <c r="BB1119" s="96">
        <f t="shared" si="3119"/>
        <v>0</v>
      </c>
    </row>
    <row r="1120" spans="1:54">
      <c r="A1120" s="492">
        <v>677</v>
      </c>
      <c r="B1120" s="13"/>
      <c r="C1120" s="299"/>
      <c r="D1120" s="13" t="s">
        <v>794</v>
      </c>
      <c r="E1120" s="16" t="s">
        <v>1147</v>
      </c>
      <c r="F1120" s="45" t="s">
        <v>377</v>
      </c>
      <c r="G1120" s="45" t="s">
        <v>1059</v>
      </c>
      <c r="H1120" s="265" t="s">
        <v>428</v>
      </c>
      <c r="I1120" s="54">
        <v>7.86</v>
      </c>
      <c r="J1120" s="162"/>
      <c r="K1120" s="54">
        <v>7.86</v>
      </c>
      <c r="L1120" s="162"/>
      <c r="M1120" s="54"/>
      <c r="N1120" s="162"/>
      <c r="O1120" s="54"/>
      <c r="P1120" s="162"/>
      <c r="Q1120" s="96">
        <f t="shared" si="3095"/>
        <v>0</v>
      </c>
      <c r="R1120" s="337">
        <f t="shared" si="3096"/>
        <v>0</v>
      </c>
      <c r="S1120" s="96"/>
      <c r="T1120" s="96">
        <f t="shared" si="3097"/>
        <v>0</v>
      </c>
      <c r="U1120" s="96"/>
      <c r="V1120" s="96">
        <f t="shared" si="3098"/>
        <v>0</v>
      </c>
      <c r="W1120" s="96"/>
      <c r="X1120" s="96">
        <f t="shared" si="3099"/>
        <v>0</v>
      </c>
      <c r="Y1120" s="96">
        <f t="shared" si="3100"/>
        <v>0</v>
      </c>
      <c r="Z1120" s="96">
        <f t="shared" si="3101"/>
        <v>0</v>
      </c>
      <c r="AA1120" s="96"/>
      <c r="AB1120" s="96">
        <f t="shared" si="3102"/>
        <v>0</v>
      </c>
      <c r="AC1120" s="96"/>
      <c r="AD1120" s="96">
        <f t="shared" si="3103"/>
        <v>0</v>
      </c>
      <c r="AE1120" s="96"/>
      <c r="AF1120" s="96">
        <f t="shared" si="3104"/>
        <v>0</v>
      </c>
      <c r="AG1120" s="96">
        <f t="shared" si="3105"/>
        <v>0</v>
      </c>
      <c r="AH1120" s="96">
        <f t="shared" si="3106"/>
        <v>0</v>
      </c>
      <c r="AI1120" s="96">
        <f t="shared" si="3107"/>
        <v>0</v>
      </c>
      <c r="AJ1120" s="96">
        <f t="shared" si="3108"/>
        <v>0</v>
      </c>
      <c r="AK1120" s="96"/>
      <c r="AL1120" s="96">
        <f t="shared" si="3109"/>
        <v>0</v>
      </c>
      <c r="AM1120" s="96"/>
      <c r="AN1120" s="96">
        <f t="shared" si="3110"/>
        <v>0</v>
      </c>
      <c r="AO1120" s="96"/>
      <c r="AP1120" s="96">
        <f t="shared" si="2808"/>
        <v>0</v>
      </c>
      <c r="AQ1120" s="96">
        <f t="shared" si="3111"/>
        <v>0</v>
      </c>
      <c r="AR1120" s="96">
        <f t="shared" si="3112"/>
        <v>0</v>
      </c>
      <c r="AS1120" s="96"/>
      <c r="AT1120" s="96">
        <f t="shared" si="3113"/>
        <v>0</v>
      </c>
      <c r="AU1120" s="96"/>
      <c r="AV1120" s="96">
        <f t="shared" si="3114"/>
        <v>0</v>
      </c>
      <c r="AW1120" s="96"/>
      <c r="AX1120" s="96">
        <f t="shared" si="3115"/>
        <v>0</v>
      </c>
      <c r="AY1120" s="96">
        <f t="shared" si="3116"/>
        <v>0</v>
      </c>
      <c r="AZ1120" s="96">
        <f t="shared" si="3117"/>
        <v>0</v>
      </c>
      <c r="BA1120" s="96">
        <f t="shared" si="3118"/>
        <v>0</v>
      </c>
      <c r="BB1120" s="96">
        <f t="shared" si="3119"/>
        <v>0</v>
      </c>
    </row>
    <row r="1121" spans="1:54">
      <c r="A1121" s="492">
        <v>678</v>
      </c>
      <c r="B1121" s="13"/>
      <c r="C1121" s="299"/>
      <c r="D1121" s="13" t="s">
        <v>794</v>
      </c>
      <c r="E1121" s="16" t="s">
        <v>812</v>
      </c>
      <c r="F1121" s="45" t="s">
        <v>377</v>
      </c>
      <c r="G1121" s="45" t="s">
        <v>1059</v>
      </c>
      <c r="H1121" s="265" t="s">
        <v>428</v>
      </c>
      <c r="I1121" s="54">
        <v>7.86</v>
      </c>
      <c r="J1121" s="162"/>
      <c r="K1121" s="54">
        <v>7.86</v>
      </c>
      <c r="L1121" s="162"/>
      <c r="M1121" s="54"/>
      <c r="N1121" s="162"/>
      <c r="O1121" s="54"/>
      <c r="P1121" s="162"/>
      <c r="Q1121" s="96">
        <f t="shared" si="3095"/>
        <v>0</v>
      </c>
      <c r="R1121" s="337">
        <f t="shared" si="3096"/>
        <v>0</v>
      </c>
      <c r="S1121" s="96"/>
      <c r="T1121" s="96">
        <f t="shared" si="3097"/>
        <v>0</v>
      </c>
      <c r="U1121" s="96"/>
      <c r="V1121" s="96">
        <f t="shared" si="3098"/>
        <v>0</v>
      </c>
      <c r="W1121" s="96"/>
      <c r="X1121" s="96">
        <f t="shared" si="3099"/>
        <v>0</v>
      </c>
      <c r="Y1121" s="96">
        <f t="shared" si="3100"/>
        <v>0</v>
      </c>
      <c r="Z1121" s="96">
        <f t="shared" si="3101"/>
        <v>0</v>
      </c>
      <c r="AA1121" s="96"/>
      <c r="AB1121" s="96">
        <f t="shared" si="3102"/>
        <v>0</v>
      </c>
      <c r="AC1121" s="96"/>
      <c r="AD1121" s="96">
        <f t="shared" si="3103"/>
        <v>0</v>
      </c>
      <c r="AE1121" s="96"/>
      <c r="AF1121" s="96">
        <f t="shared" si="3104"/>
        <v>0</v>
      </c>
      <c r="AG1121" s="96">
        <f t="shared" si="3105"/>
        <v>0</v>
      </c>
      <c r="AH1121" s="96">
        <f t="shared" si="3106"/>
        <v>0</v>
      </c>
      <c r="AI1121" s="96">
        <f t="shared" si="3107"/>
        <v>0</v>
      </c>
      <c r="AJ1121" s="96">
        <f t="shared" si="3108"/>
        <v>0</v>
      </c>
      <c r="AK1121" s="96"/>
      <c r="AL1121" s="96">
        <f t="shared" si="3109"/>
        <v>0</v>
      </c>
      <c r="AM1121" s="96"/>
      <c r="AN1121" s="96">
        <f t="shared" si="3110"/>
        <v>0</v>
      </c>
      <c r="AO1121" s="96"/>
      <c r="AP1121" s="96">
        <f t="shared" si="2808"/>
        <v>0</v>
      </c>
      <c r="AQ1121" s="96">
        <f t="shared" si="3111"/>
        <v>0</v>
      </c>
      <c r="AR1121" s="96">
        <f t="shared" si="3112"/>
        <v>0</v>
      </c>
      <c r="AS1121" s="96"/>
      <c r="AT1121" s="96">
        <f t="shared" si="3113"/>
        <v>0</v>
      </c>
      <c r="AU1121" s="96"/>
      <c r="AV1121" s="96">
        <f t="shared" si="3114"/>
        <v>0</v>
      </c>
      <c r="AW1121" s="96"/>
      <c r="AX1121" s="96">
        <f t="shared" si="3115"/>
        <v>0</v>
      </c>
      <c r="AY1121" s="96">
        <f t="shared" si="3116"/>
        <v>0</v>
      </c>
      <c r="AZ1121" s="96">
        <f t="shared" si="3117"/>
        <v>0</v>
      </c>
      <c r="BA1121" s="96">
        <f t="shared" si="3118"/>
        <v>0</v>
      </c>
      <c r="BB1121" s="96">
        <f t="shared" si="3119"/>
        <v>0</v>
      </c>
    </row>
    <row r="1122" spans="1:54">
      <c r="A1122" s="492">
        <v>679</v>
      </c>
      <c r="B1122" s="13"/>
      <c r="C1122" s="13"/>
      <c r="D1122" s="13" t="s">
        <v>794</v>
      </c>
      <c r="E1122" s="21" t="s">
        <v>1087</v>
      </c>
      <c r="F1122" s="45" t="s">
        <v>375</v>
      </c>
      <c r="G1122" s="45" t="s">
        <v>1059</v>
      </c>
      <c r="H1122" s="265" t="s">
        <v>428</v>
      </c>
      <c r="I1122" s="54">
        <v>8.7100000000000009</v>
      </c>
      <c r="J1122" s="101"/>
      <c r="K1122" s="54">
        <v>8.7100000000000009</v>
      </c>
      <c r="L1122" s="162"/>
      <c r="M1122" s="54"/>
      <c r="N1122" s="162"/>
      <c r="O1122" s="54"/>
      <c r="P1122" s="101"/>
      <c r="Q1122" s="96">
        <f t="shared" si="3095"/>
        <v>0</v>
      </c>
      <c r="R1122" s="337">
        <f t="shared" si="3096"/>
        <v>0</v>
      </c>
      <c r="S1122" s="96"/>
      <c r="T1122" s="96">
        <f t="shared" si="3097"/>
        <v>0</v>
      </c>
      <c r="U1122" s="96"/>
      <c r="V1122" s="176">
        <f t="shared" si="3098"/>
        <v>0</v>
      </c>
      <c r="W1122" s="206"/>
      <c r="X1122" s="205">
        <f t="shared" si="3099"/>
        <v>0</v>
      </c>
      <c r="Y1122" s="188">
        <f t="shared" si="3100"/>
        <v>0</v>
      </c>
      <c r="Z1122" s="176">
        <f t="shared" si="3101"/>
        <v>0</v>
      </c>
      <c r="AA1122" s="206"/>
      <c r="AB1122" s="205">
        <f t="shared" si="3102"/>
        <v>0</v>
      </c>
      <c r="AC1122" s="206"/>
      <c r="AD1122" s="176">
        <f t="shared" si="3103"/>
        <v>0</v>
      </c>
      <c r="AE1122" s="206"/>
      <c r="AF1122" s="205">
        <f t="shared" si="3104"/>
        <v>0</v>
      </c>
      <c r="AG1122" s="188">
        <f t="shared" si="3105"/>
        <v>0</v>
      </c>
      <c r="AH1122" s="96">
        <f t="shared" si="3106"/>
        <v>0</v>
      </c>
      <c r="AI1122" s="96">
        <f t="shared" si="3107"/>
        <v>0</v>
      </c>
      <c r="AJ1122" s="176">
        <f t="shared" si="3108"/>
        <v>0</v>
      </c>
      <c r="AK1122" s="206"/>
      <c r="AL1122" s="176">
        <f t="shared" si="3109"/>
        <v>0</v>
      </c>
      <c r="AM1122" s="243"/>
      <c r="AN1122" s="176">
        <f t="shared" si="3110"/>
        <v>0</v>
      </c>
      <c r="AO1122" s="206"/>
      <c r="AP1122" s="205">
        <f t="shared" si="2808"/>
        <v>0</v>
      </c>
      <c r="AQ1122" s="188">
        <f t="shared" si="3111"/>
        <v>0</v>
      </c>
      <c r="AR1122" s="96">
        <f t="shared" si="3112"/>
        <v>0</v>
      </c>
      <c r="AS1122" s="96"/>
      <c r="AT1122" s="176">
        <f t="shared" si="3113"/>
        <v>0</v>
      </c>
      <c r="AU1122" s="206"/>
      <c r="AV1122" s="176">
        <f t="shared" si="3114"/>
        <v>0</v>
      </c>
      <c r="AW1122" s="206"/>
      <c r="AX1122" s="205">
        <f t="shared" si="3115"/>
        <v>0</v>
      </c>
      <c r="AY1122" s="188">
        <f t="shared" si="3116"/>
        <v>0</v>
      </c>
      <c r="AZ1122" s="96">
        <f t="shared" si="3117"/>
        <v>0</v>
      </c>
      <c r="BA1122" s="96">
        <f t="shared" si="3118"/>
        <v>0</v>
      </c>
      <c r="BB1122" s="96">
        <f t="shared" si="3119"/>
        <v>0</v>
      </c>
    </row>
    <row r="1123" spans="1:54">
      <c r="A1123" s="492">
        <v>682</v>
      </c>
      <c r="B1123" s="13"/>
      <c r="C1123" s="299"/>
      <c r="D1123" s="13" t="s">
        <v>833</v>
      </c>
      <c r="E1123" s="16" t="s">
        <v>1338</v>
      </c>
      <c r="F1123" s="45" t="s">
        <v>377</v>
      </c>
      <c r="G1123" s="45" t="s">
        <v>1059</v>
      </c>
      <c r="H1123" s="265" t="s">
        <v>428</v>
      </c>
      <c r="I1123" s="54">
        <v>8.6199999999999992</v>
      </c>
      <c r="J1123" s="162"/>
      <c r="K1123" s="54">
        <v>8.6199999999999992</v>
      </c>
      <c r="L1123" s="162"/>
      <c r="M1123" s="54"/>
      <c r="N1123" s="162"/>
      <c r="O1123" s="54"/>
      <c r="P1123" s="162"/>
      <c r="Q1123" s="96">
        <f t="shared" si="3095"/>
        <v>0</v>
      </c>
      <c r="R1123" s="337">
        <f t="shared" si="3096"/>
        <v>0</v>
      </c>
      <c r="S1123" s="96"/>
      <c r="T1123" s="96">
        <f t="shared" si="3097"/>
        <v>0</v>
      </c>
      <c r="U1123" s="96"/>
      <c r="V1123" s="96">
        <f t="shared" si="3098"/>
        <v>0</v>
      </c>
      <c r="W1123" s="96"/>
      <c r="X1123" s="96">
        <f t="shared" si="3099"/>
        <v>0</v>
      </c>
      <c r="Y1123" s="96">
        <f t="shared" si="3100"/>
        <v>0</v>
      </c>
      <c r="Z1123" s="96">
        <f t="shared" si="3101"/>
        <v>0</v>
      </c>
      <c r="AA1123" s="96"/>
      <c r="AB1123" s="96">
        <f t="shared" si="3102"/>
        <v>0</v>
      </c>
      <c r="AC1123" s="96"/>
      <c r="AD1123" s="96">
        <f t="shared" si="3103"/>
        <v>0</v>
      </c>
      <c r="AE1123" s="96"/>
      <c r="AF1123" s="96">
        <f t="shared" si="3104"/>
        <v>0</v>
      </c>
      <c r="AG1123" s="96">
        <f t="shared" si="3105"/>
        <v>0</v>
      </c>
      <c r="AH1123" s="96">
        <f t="shared" si="3106"/>
        <v>0</v>
      </c>
      <c r="AI1123" s="96">
        <f t="shared" si="3107"/>
        <v>0</v>
      </c>
      <c r="AJ1123" s="96">
        <f t="shared" si="3108"/>
        <v>0</v>
      </c>
      <c r="AK1123" s="96"/>
      <c r="AL1123" s="96">
        <f t="shared" si="3109"/>
        <v>0</v>
      </c>
      <c r="AM1123" s="96"/>
      <c r="AN1123" s="96">
        <f t="shared" si="3110"/>
        <v>0</v>
      </c>
      <c r="AO1123" s="96"/>
      <c r="AP1123" s="96">
        <f t="shared" si="2808"/>
        <v>0</v>
      </c>
      <c r="AQ1123" s="96">
        <f t="shared" si="3111"/>
        <v>0</v>
      </c>
      <c r="AR1123" s="96">
        <f t="shared" si="3112"/>
        <v>0</v>
      </c>
      <c r="AS1123" s="96"/>
      <c r="AT1123" s="96">
        <f t="shared" si="3113"/>
        <v>0</v>
      </c>
      <c r="AU1123" s="96"/>
      <c r="AV1123" s="96">
        <f t="shared" si="3114"/>
        <v>0</v>
      </c>
      <c r="AW1123" s="96"/>
      <c r="AX1123" s="96">
        <f t="shared" si="3115"/>
        <v>0</v>
      </c>
      <c r="AY1123" s="96">
        <f t="shared" si="3116"/>
        <v>0</v>
      </c>
      <c r="AZ1123" s="96">
        <f t="shared" si="3117"/>
        <v>0</v>
      </c>
      <c r="BA1123" s="96">
        <f t="shared" si="3118"/>
        <v>0</v>
      </c>
      <c r="BB1123" s="96">
        <f t="shared" si="3119"/>
        <v>0</v>
      </c>
    </row>
    <row r="1124" spans="1:54">
      <c r="A1124" s="492">
        <v>684</v>
      </c>
      <c r="B1124" s="13"/>
      <c r="C1124" s="299"/>
      <c r="D1124" s="13" t="s">
        <v>583</v>
      </c>
      <c r="E1124" s="16" t="s">
        <v>914</v>
      </c>
      <c r="F1124" s="45" t="s">
        <v>375</v>
      </c>
      <c r="G1124" s="45" t="s">
        <v>1059</v>
      </c>
      <c r="H1124" s="265" t="s">
        <v>360</v>
      </c>
      <c r="I1124" s="54">
        <v>7.86</v>
      </c>
      <c r="J1124" s="162"/>
      <c r="K1124" s="54">
        <v>7.86</v>
      </c>
      <c r="L1124" s="162"/>
      <c r="M1124" s="54"/>
      <c r="N1124" s="162"/>
      <c r="O1124" s="54"/>
      <c r="P1124" s="162"/>
      <c r="Q1124" s="96">
        <f t="shared" si="3095"/>
        <v>0</v>
      </c>
      <c r="R1124" s="337">
        <f t="shared" si="3096"/>
        <v>0</v>
      </c>
      <c r="S1124" s="96"/>
      <c r="T1124" s="96">
        <f t="shared" si="3097"/>
        <v>0</v>
      </c>
      <c r="U1124" s="96"/>
      <c r="V1124" s="96">
        <f t="shared" si="3098"/>
        <v>0</v>
      </c>
      <c r="W1124" s="96"/>
      <c r="X1124" s="96">
        <f t="shared" si="3099"/>
        <v>0</v>
      </c>
      <c r="Y1124" s="96">
        <f t="shared" si="3100"/>
        <v>0</v>
      </c>
      <c r="Z1124" s="96">
        <f t="shared" si="3101"/>
        <v>0</v>
      </c>
      <c r="AA1124" s="96"/>
      <c r="AB1124" s="96">
        <f t="shared" si="3102"/>
        <v>0</v>
      </c>
      <c r="AC1124" s="96"/>
      <c r="AD1124" s="96">
        <f t="shared" si="3103"/>
        <v>0</v>
      </c>
      <c r="AE1124" s="96"/>
      <c r="AF1124" s="96">
        <f t="shared" si="3104"/>
        <v>0</v>
      </c>
      <c r="AG1124" s="96">
        <f t="shared" si="3105"/>
        <v>0</v>
      </c>
      <c r="AH1124" s="96">
        <f t="shared" si="3106"/>
        <v>0</v>
      </c>
      <c r="AI1124" s="96">
        <f t="shared" si="3107"/>
        <v>0</v>
      </c>
      <c r="AJ1124" s="96">
        <f t="shared" si="3108"/>
        <v>0</v>
      </c>
      <c r="AK1124" s="96"/>
      <c r="AL1124" s="96">
        <f t="shared" si="3109"/>
        <v>0</v>
      </c>
      <c r="AM1124" s="96"/>
      <c r="AN1124" s="96">
        <f t="shared" si="3110"/>
        <v>0</v>
      </c>
      <c r="AO1124" s="96"/>
      <c r="AP1124" s="96">
        <f t="shared" ref="AP1124:AP1180" si="3120">M1124*AO1124*$AP$2/1000</f>
        <v>0</v>
      </c>
      <c r="AQ1124" s="96">
        <f t="shared" si="3111"/>
        <v>0</v>
      </c>
      <c r="AR1124" s="96">
        <f t="shared" si="3112"/>
        <v>0</v>
      </c>
      <c r="AS1124" s="96"/>
      <c r="AT1124" s="96">
        <f t="shared" si="3113"/>
        <v>0</v>
      </c>
      <c r="AU1124" s="96"/>
      <c r="AV1124" s="96">
        <f t="shared" si="3114"/>
        <v>0</v>
      </c>
      <c r="AW1124" s="96"/>
      <c r="AX1124" s="96">
        <f t="shared" si="3115"/>
        <v>0</v>
      </c>
      <c r="AY1124" s="96">
        <f t="shared" si="3116"/>
        <v>0</v>
      </c>
      <c r="AZ1124" s="96">
        <f t="shared" si="3117"/>
        <v>0</v>
      </c>
      <c r="BA1124" s="96">
        <f t="shared" si="3118"/>
        <v>0</v>
      </c>
      <c r="BB1124" s="96">
        <f t="shared" si="3119"/>
        <v>0</v>
      </c>
    </row>
    <row r="1125" spans="1:54">
      <c r="A1125" s="492">
        <v>683</v>
      </c>
      <c r="B1125" s="13"/>
      <c r="C1125" s="299"/>
      <c r="D1125" s="13" t="s">
        <v>583</v>
      </c>
      <c r="E1125" s="16" t="s">
        <v>1388</v>
      </c>
      <c r="F1125" s="45" t="s">
        <v>375</v>
      </c>
      <c r="G1125" s="45" t="s">
        <v>1059</v>
      </c>
      <c r="H1125" s="265" t="s">
        <v>428</v>
      </c>
      <c r="I1125" s="54">
        <v>8.7100000000000009</v>
      </c>
      <c r="J1125" s="162"/>
      <c r="K1125" s="54">
        <v>8.7100000000000009</v>
      </c>
      <c r="L1125" s="162"/>
      <c r="M1125" s="54"/>
      <c r="N1125" s="162"/>
      <c r="O1125" s="54"/>
      <c r="P1125" s="162"/>
      <c r="Q1125" s="96">
        <f t="shared" si="3095"/>
        <v>0</v>
      </c>
      <c r="R1125" s="337">
        <f t="shared" si="3096"/>
        <v>0</v>
      </c>
      <c r="S1125" s="96"/>
      <c r="T1125" s="96">
        <f t="shared" si="3097"/>
        <v>0</v>
      </c>
      <c r="U1125" s="96"/>
      <c r="V1125" s="96">
        <f t="shared" si="3098"/>
        <v>0</v>
      </c>
      <c r="W1125" s="96"/>
      <c r="X1125" s="96">
        <f t="shared" si="3099"/>
        <v>0</v>
      </c>
      <c r="Y1125" s="96">
        <f t="shared" si="3100"/>
        <v>0</v>
      </c>
      <c r="Z1125" s="96">
        <f t="shared" si="3101"/>
        <v>0</v>
      </c>
      <c r="AA1125" s="96"/>
      <c r="AB1125" s="96">
        <f t="shared" si="3102"/>
        <v>0</v>
      </c>
      <c r="AC1125" s="96"/>
      <c r="AD1125" s="96">
        <f t="shared" si="3103"/>
        <v>0</v>
      </c>
      <c r="AE1125" s="96"/>
      <c r="AF1125" s="96">
        <f t="shared" si="3104"/>
        <v>0</v>
      </c>
      <c r="AG1125" s="96">
        <f t="shared" si="3105"/>
        <v>0</v>
      </c>
      <c r="AH1125" s="96">
        <f t="shared" si="3106"/>
        <v>0</v>
      </c>
      <c r="AI1125" s="96">
        <f t="shared" si="3107"/>
        <v>0</v>
      </c>
      <c r="AJ1125" s="96">
        <f t="shared" si="3108"/>
        <v>0</v>
      </c>
      <c r="AK1125" s="96"/>
      <c r="AL1125" s="96">
        <f t="shared" si="3109"/>
        <v>0</v>
      </c>
      <c r="AM1125" s="96"/>
      <c r="AN1125" s="96">
        <f t="shared" si="3110"/>
        <v>0</v>
      </c>
      <c r="AO1125" s="96"/>
      <c r="AP1125" s="96">
        <f t="shared" si="3120"/>
        <v>0</v>
      </c>
      <c r="AQ1125" s="96">
        <f t="shared" si="3111"/>
        <v>0</v>
      </c>
      <c r="AR1125" s="96">
        <f t="shared" si="3112"/>
        <v>0</v>
      </c>
      <c r="AS1125" s="96"/>
      <c r="AT1125" s="96">
        <f t="shared" si="3113"/>
        <v>0</v>
      </c>
      <c r="AU1125" s="96"/>
      <c r="AV1125" s="96">
        <f t="shared" si="3114"/>
        <v>0</v>
      </c>
      <c r="AW1125" s="96"/>
      <c r="AX1125" s="96">
        <f t="shared" si="3115"/>
        <v>0</v>
      </c>
      <c r="AY1125" s="96">
        <f t="shared" si="3116"/>
        <v>0</v>
      </c>
      <c r="AZ1125" s="96">
        <f t="shared" si="3117"/>
        <v>0</v>
      </c>
      <c r="BA1125" s="96">
        <f t="shared" si="3118"/>
        <v>0</v>
      </c>
      <c r="BB1125" s="96">
        <f t="shared" si="3119"/>
        <v>0</v>
      </c>
    </row>
    <row r="1126" spans="1:54">
      <c r="A1126" s="492">
        <v>689</v>
      </c>
      <c r="B1126" s="13"/>
      <c r="C1126" s="299"/>
      <c r="D1126" s="13" t="s">
        <v>584</v>
      </c>
      <c r="E1126" s="16" t="s">
        <v>1389</v>
      </c>
      <c r="F1126" s="45" t="s">
        <v>375</v>
      </c>
      <c r="G1126" s="45" t="s">
        <v>1059</v>
      </c>
      <c r="H1126" s="265" t="s">
        <v>359</v>
      </c>
      <c r="I1126" s="54">
        <v>8.7100000000000009</v>
      </c>
      <c r="J1126" s="162"/>
      <c r="K1126" s="54">
        <v>8.7100000000000009</v>
      </c>
      <c r="L1126" s="162"/>
      <c r="M1126" s="54"/>
      <c r="N1126" s="162"/>
      <c r="O1126" s="54"/>
      <c r="P1126" s="162"/>
      <c r="Q1126" s="96">
        <f t="shared" si="3095"/>
        <v>0</v>
      </c>
      <c r="R1126" s="337">
        <f t="shared" si="3096"/>
        <v>0</v>
      </c>
      <c r="S1126" s="96"/>
      <c r="T1126" s="96">
        <f t="shared" si="3097"/>
        <v>0</v>
      </c>
      <c r="U1126" s="96"/>
      <c r="V1126" s="96">
        <f t="shared" si="3098"/>
        <v>0</v>
      </c>
      <c r="W1126" s="96"/>
      <c r="X1126" s="96">
        <f t="shared" si="3099"/>
        <v>0</v>
      </c>
      <c r="Y1126" s="96">
        <f t="shared" si="3100"/>
        <v>0</v>
      </c>
      <c r="Z1126" s="96">
        <f t="shared" si="3101"/>
        <v>0</v>
      </c>
      <c r="AA1126" s="96"/>
      <c r="AB1126" s="96">
        <f t="shared" si="3102"/>
        <v>0</v>
      </c>
      <c r="AC1126" s="96"/>
      <c r="AD1126" s="96">
        <f t="shared" si="3103"/>
        <v>0</v>
      </c>
      <c r="AE1126" s="96"/>
      <c r="AF1126" s="96">
        <f t="shared" si="3104"/>
        <v>0</v>
      </c>
      <c r="AG1126" s="96">
        <f t="shared" si="3105"/>
        <v>0</v>
      </c>
      <c r="AH1126" s="96">
        <f t="shared" si="3106"/>
        <v>0</v>
      </c>
      <c r="AI1126" s="96">
        <f t="shared" si="3107"/>
        <v>0</v>
      </c>
      <c r="AJ1126" s="96">
        <f t="shared" si="3108"/>
        <v>0</v>
      </c>
      <c r="AK1126" s="96"/>
      <c r="AL1126" s="96">
        <f t="shared" si="3109"/>
        <v>0</v>
      </c>
      <c r="AM1126" s="96"/>
      <c r="AN1126" s="96">
        <f t="shared" si="3110"/>
        <v>0</v>
      </c>
      <c r="AO1126" s="96"/>
      <c r="AP1126" s="96">
        <f t="shared" si="3120"/>
        <v>0</v>
      </c>
      <c r="AQ1126" s="96">
        <f t="shared" si="3111"/>
        <v>0</v>
      </c>
      <c r="AR1126" s="96">
        <f t="shared" si="3112"/>
        <v>0</v>
      </c>
      <c r="AS1126" s="96"/>
      <c r="AT1126" s="96">
        <f t="shared" si="3113"/>
        <v>0</v>
      </c>
      <c r="AU1126" s="96"/>
      <c r="AV1126" s="96">
        <f t="shared" si="3114"/>
        <v>0</v>
      </c>
      <c r="AW1126" s="96"/>
      <c r="AX1126" s="96">
        <f t="shared" si="3115"/>
        <v>0</v>
      </c>
      <c r="AY1126" s="96">
        <f t="shared" si="3116"/>
        <v>0</v>
      </c>
      <c r="AZ1126" s="96">
        <f t="shared" si="3117"/>
        <v>0</v>
      </c>
      <c r="BA1126" s="96">
        <f t="shared" si="3118"/>
        <v>0</v>
      </c>
      <c r="BB1126" s="96">
        <f t="shared" si="3119"/>
        <v>0</v>
      </c>
    </row>
    <row r="1127" spans="1:54">
      <c r="A1127" s="492">
        <v>690</v>
      </c>
      <c r="B1127" s="13"/>
      <c r="C1127" s="299"/>
      <c r="D1127" s="13" t="s">
        <v>584</v>
      </c>
      <c r="E1127" s="16" t="s">
        <v>915</v>
      </c>
      <c r="F1127" s="45" t="s">
        <v>377</v>
      </c>
      <c r="G1127" s="45" t="s">
        <v>1059</v>
      </c>
      <c r="H1127" s="265" t="s">
        <v>360</v>
      </c>
      <c r="I1127" s="54">
        <v>7.86</v>
      </c>
      <c r="J1127" s="162"/>
      <c r="K1127" s="54">
        <v>7.86</v>
      </c>
      <c r="L1127" s="162"/>
      <c r="M1127" s="54"/>
      <c r="N1127" s="162"/>
      <c r="O1127" s="54"/>
      <c r="P1127" s="162"/>
      <c r="Q1127" s="96">
        <f t="shared" si="3095"/>
        <v>0</v>
      </c>
      <c r="R1127" s="337">
        <f t="shared" si="3096"/>
        <v>0</v>
      </c>
      <c r="S1127" s="96"/>
      <c r="T1127" s="96">
        <f t="shared" si="3097"/>
        <v>0</v>
      </c>
      <c r="U1127" s="96"/>
      <c r="V1127" s="96">
        <f t="shared" si="3098"/>
        <v>0</v>
      </c>
      <c r="W1127" s="96"/>
      <c r="X1127" s="96">
        <f t="shared" si="3099"/>
        <v>0</v>
      </c>
      <c r="Y1127" s="96">
        <f t="shared" si="3100"/>
        <v>0</v>
      </c>
      <c r="Z1127" s="96">
        <f t="shared" si="3101"/>
        <v>0</v>
      </c>
      <c r="AA1127" s="96"/>
      <c r="AB1127" s="96">
        <f t="shared" si="3102"/>
        <v>0</v>
      </c>
      <c r="AC1127" s="96"/>
      <c r="AD1127" s="96">
        <f t="shared" si="3103"/>
        <v>0</v>
      </c>
      <c r="AE1127" s="96"/>
      <c r="AF1127" s="96">
        <f t="shared" si="3104"/>
        <v>0</v>
      </c>
      <c r="AG1127" s="96">
        <f t="shared" si="3105"/>
        <v>0</v>
      </c>
      <c r="AH1127" s="96">
        <f t="shared" si="3106"/>
        <v>0</v>
      </c>
      <c r="AI1127" s="96">
        <f t="shared" si="3107"/>
        <v>0</v>
      </c>
      <c r="AJ1127" s="96">
        <f t="shared" si="3108"/>
        <v>0</v>
      </c>
      <c r="AK1127" s="96"/>
      <c r="AL1127" s="96">
        <f t="shared" si="3109"/>
        <v>0</v>
      </c>
      <c r="AM1127" s="96"/>
      <c r="AN1127" s="96">
        <f t="shared" si="3110"/>
        <v>0</v>
      </c>
      <c r="AO1127" s="96"/>
      <c r="AP1127" s="96">
        <f t="shared" si="3120"/>
        <v>0</v>
      </c>
      <c r="AQ1127" s="96">
        <f t="shared" si="3111"/>
        <v>0</v>
      </c>
      <c r="AR1127" s="96">
        <f t="shared" si="3112"/>
        <v>0</v>
      </c>
      <c r="AS1127" s="96"/>
      <c r="AT1127" s="96">
        <f t="shared" si="3113"/>
        <v>0</v>
      </c>
      <c r="AU1127" s="96"/>
      <c r="AV1127" s="96">
        <f t="shared" si="3114"/>
        <v>0</v>
      </c>
      <c r="AW1127" s="96"/>
      <c r="AX1127" s="96">
        <f t="shared" si="3115"/>
        <v>0</v>
      </c>
      <c r="AY1127" s="96">
        <f t="shared" si="3116"/>
        <v>0</v>
      </c>
      <c r="AZ1127" s="96">
        <f t="shared" si="3117"/>
        <v>0</v>
      </c>
      <c r="BA1127" s="96">
        <f t="shared" si="3118"/>
        <v>0</v>
      </c>
      <c r="BB1127" s="96">
        <f t="shared" si="3119"/>
        <v>0</v>
      </c>
    </row>
    <row r="1128" spans="1:54">
      <c r="A1128" s="492">
        <v>693</v>
      </c>
      <c r="B1128" s="13"/>
      <c r="C1128" s="299"/>
      <c r="D1128" s="13" t="s">
        <v>281</v>
      </c>
      <c r="E1128" s="21" t="s">
        <v>1271</v>
      </c>
      <c r="F1128" s="45" t="s">
        <v>377</v>
      </c>
      <c r="G1128" s="45" t="s">
        <v>1059</v>
      </c>
      <c r="H1128" s="265" t="s">
        <v>428</v>
      </c>
      <c r="I1128" s="54">
        <v>9.82</v>
      </c>
      <c r="J1128" s="162"/>
      <c r="K1128" s="54">
        <v>9.82</v>
      </c>
      <c r="L1128" s="162"/>
      <c r="M1128" s="54"/>
      <c r="N1128" s="162"/>
      <c r="O1128" s="54"/>
      <c r="P1128" s="162"/>
      <c r="Q1128" s="96">
        <f t="shared" si="3095"/>
        <v>0</v>
      </c>
      <c r="R1128" s="337">
        <f t="shared" si="3096"/>
        <v>0</v>
      </c>
      <c r="S1128" s="96"/>
      <c r="T1128" s="96">
        <f t="shared" si="3097"/>
        <v>0</v>
      </c>
      <c r="U1128" s="96"/>
      <c r="V1128" s="96">
        <f t="shared" si="3098"/>
        <v>0</v>
      </c>
      <c r="W1128" s="96"/>
      <c r="X1128" s="96">
        <f t="shared" si="3099"/>
        <v>0</v>
      </c>
      <c r="Y1128" s="96">
        <f t="shared" si="3100"/>
        <v>0</v>
      </c>
      <c r="Z1128" s="96">
        <f t="shared" si="3101"/>
        <v>0</v>
      </c>
      <c r="AA1128" s="96"/>
      <c r="AB1128" s="96">
        <f t="shared" si="3102"/>
        <v>0</v>
      </c>
      <c r="AC1128" s="96"/>
      <c r="AD1128" s="96">
        <f t="shared" si="3103"/>
        <v>0</v>
      </c>
      <c r="AE1128" s="96"/>
      <c r="AF1128" s="96">
        <f t="shared" si="3104"/>
        <v>0</v>
      </c>
      <c r="AG1128" s="96">
        <f t="shared" si="3105"/>
        <v>0</v>
      </c>
      <c r="AH1128" s="96">
        <f t="shared" si="3106"/>
        <v>0</v>
      </c>
      <c r="AI1128" s="96">
        <f t="shared" si="3107"/>
        <v>0</v>
      </c>
      <c r="AJ1128" s="96">
        <f t="shared" si="3108"/>
        <v>0</v>
      </c>
      <c r="AK1128" s="96"/>
      <c r="AL1128" s="96">
        <f t="shared" si="3109"/>
        <v>0</v>
      </c>
      <c r="AM1128" s="96"/>
      <c r="AN1128" s="96">
        <f t="shared" si="3110"/>
        <v>0</v>
      </c>
      <c r="AO1128" s="96"/>
      <c r="AP1128" s="96">
        <f t="shared" si="3120"/>
        <v>0</v>
      </c>
      <c r="AQ1128" s="96">
        <f t="shared" si="3111"/>
        <v>0</v>
      </c>
      <c r="AR1128" s="96">
        <f t="shared" si="3112"/>
        <v>0</v>
      </c>
      <c r="AS1128" s="96"/>
      <c r="AT1128" s="96">
        <f t="shared" si="3113"/>
        <v>0</v>
      </c>
      <c r="AU1128" s="96"/>
      <c r="AV1128" s="96">
        <f t="shared" si="3114"/>
        <v>0</v>
      </c>
      <c r="AW1128" s="96"/>
      <c r="AX1128" s="96">
        <f t="shared" si="3115"/>
        <v>0</v>
      </c>
      <c r="AY1128" s="96">
        <f t="shared" si="3116"/>
        <v>0</v>
      </c>
      <c r="AZ1128" s="96">
        <f t="shared" si="3117"/>
        <v>0</v>
      </c>
      <c r="BA1128" s="96">
        <f t="shared" si="3118"/>
        <v>0</v>
      </c>
      <c r="BB1128" s="96">
        <f t="shared" si="3119"/>
        <v>0</v>
      </c>
    </row>
    <row r="1129" spans="1:54">
      <c r="A1129" s="492">
        <v>694</v>
      </c>
      <c r="B1129" s="13"/>
      <c r="C1129" s="299"/>
      <c r="D1129" s="13" t="s">
        <v>714</v>
      </c>
      <c r="E1129" s="21" t="s">
        <v>715</v>
      </c>
      <c r="F1129" s="45" t="s">
        <v>384</v>
      </c>
      <c r="G1129" s="45" t="s">
        <v>1059</v>
      </c>
      <c r="H1129" s="265" t="s">
        <v>428</v>
      </c>
      <c r="I1129" s="54">
        <v>9.6199999999999992</v>
      </c>
      <c r="J1129" s="162"/>
      <c r="K1129" s="54">
        <v>9.6199999999999992</v>
      </c>
      <c r="L1129" s="162"/>
      <c r="M1129" s="54"/>
      <c r="N1129" s="162"/>
      <c r="O1129" s="54"/>
      <c r="P1129" s="162"/>
      <c r="Q1129" s="96">
        <f t="shared" si="3095"/>
        <v>0</v>
      </c>
      <c r="R1129" s="337">
        <f t="shared" si="3096"/>
        <v>0</v>
      </c>
      <c r="S1129" s="96"/>
      <c r="T1129" s="96">
        <f t="shared" si="3097"/>
        <v>0</v>
      </c>
      <c r="U1129" s="96"/>
      <c r="V1129" s="96">
        <f t="shared" si="3098"/>
        <v>0</v>
      </c>
      <c r="W1129" s="96"/>
      <c r="X1129" s="96">
        <f t="shared" si="3099"/>
        <v>0</v>
      </c>
      <c r="Y1129" s="96">
        <f t="shared" si="3100"/>
        <v>0</v>
      </c>
      <c r="Z1129" s="96">
        <f t="shared" si="3101"/>
        <v>0</v>
      </c>
      <c r="AA1129" s="96"/>
      <c r="AB1129" s="96">
        <f t="shared" si="3102"/>
        <v>0</v>
      </c>
      <c r="AC1129" s="96"/>
      <c r="AD1129" s="96">
        <f t="shared" si="3103"/>
        <v>0</v>
      </c>
      <c r="AE1129" s="96"/>
      <c r="AF1129" s="96">
        <f t="shared" si="3104"/>
        <v>0</v>
      </c>
      <c r="AG1129" s="96">
        <f t="shared" si="3105"/>
        <v>0</v>
      </c>
      <c r="AH1129" s="96">
        <f t="shared" si="3106"/>
        <v>0</v>
      </c>
      <c r="AI1129" s="96">
        <f t="shared" si="3107"/>
        <v>0</v>
      </c>
      <c r="AJ1129" s="96">
        <f t="shared" si="3108"/>
        <v>0</v>
      </c>
      <c r="AK1129" s="96"/>
      <c r="AL1129" s="96">
        <f t="shared" si="3109"/>
        <v>0</v>
      </c>
      <c r="AM1129" s="96"/>
      <c r="AN1129" s="96">
        <f t="shared" si="3110"/>
        <v>0</v>
      </c>
      <c r="AO1129" s="96"/>
      <c r="AP1129" s="96">
        <f t="shared" si="3120"/>
        <v>0</v>
      </c>
      <c r="AQ1129" s="96">
        <f t="shared" si="3111"/>
        <v>0</v>
      </c>
      <c r="AR1129" s="96">
        <f t="shared" si="3112"/>
        <v>0</v>
      </c>
      <c r="AS1129" s="96"/>
      <c r="AT1129" s="96">
        <f t="shared" si="3113"/>
        <v>0</v>
      </c>
      <c r="AU1129" s="96"/>
      <c r="AV1129" s="96">
        <f t="shared" si="3114"/>
        <v>0</v>
      </c>
      <c r="AW1129" s="96"/>
      <c r="AX1129" s="96">
        <f t="shared" si="3115"/>
        <v>0</v>
      </c>
      <c r="AY1129" s="96">
        <f t="shared" si="3116"/>
        <v>0</v>
      </c>
      <c r="AZ1129" s="96">
        <f t="shared" si="3117"/>
        <v>0</v>
      </c>
      <c r="BA1129" s="96">
        <f t="shared" si="3118"/>
        <v>0</v>
      </c>
      <c r="BB1129" s="96">
        <f t="shared" si="3119"/>
        <v>0</v>
      </c>
    </row>
    <row r="1130" spans="1:54">
      <c r="A1130" s="492">
        <v>695</v>
      </c>
      <c r="B1130" s="13"/>
      <c r="C1130" s="299"/>
      <c r="D1130" s="13" t="s">
        <v>379</v>
      </c>
      <c r="E1130" s="21" t="s">
        <v>916</v>
      </c>
      <c r="F1130" s="45" t="s">
        <v>377</v>
      </c>
      <c r="G1130" s="45" t="s">
        <v>1059</v>
      </c>
      <c r="H1130" s="265" t="s">
        <v>360</v>
      </c>
      <c r="I1130" s="54">
        <v>8.9499999999999993</v>
      </c>
      <c r="J1130" s="162"/>
      <c r="K1130" s="54">
        <v>8.9499999999999993</v>
      </c>
      <c r="L1130" s="162"/>
      <c r="M1130" s="54"/>
      <c r="N1130" s="162"/>
      <c r="O1130" s="54"/>
      <c r="P1130" s="162"/>
      <c r="Q1130" s="96">
        <f t="shared" si="3095"/>
        <v>0</v>
      </c>
      <c r="R1130" s="337">
        <f t="shared" si="3096"/>
        <v>0</v>
      </c>
      <c r="S1130" s="96"/>
      <c r="T1130" s="96">
        <f t="shared" si="3097"/>
        <v>0</v>
      </c>
      <c r="U1130" s="96"/>
      <c r="V1130" s="96">
        <f t="shared" si="3098"/>
        <v>0</v>
      </c>
      <c r="W1130" s="96"/>
      <c r="X1130" s="96">
        <f t="shared" si="3099"/>
        <v>0</v>
      </c>
      <c r="Y1130" s="96">
        <f t="shared" si="3100"/>
        <v>0</v>
      </c>
      <c r="Z1130" s="96">
        <f t="shared" si="3101"/>
        <v>0</v>
      </c>
      <c r="AA1130" s="96"/>
      <c r="AB1130" s="96">
        <f t="shared" si="3102"/>
        <v>0</v>
      </c>
      <c r="AC1130" s="96"/>
      <c r="AD1130" s="96">
        <f t="shared" si="3103"/>
        <v>0</v>
      </c>
      <c r="AE1130" s="96"/>
      <c r="AF1130" s="96">
        <f t="shared" si="3104"/>
        <v>0</v>
      </c>
      <c r="AG1130" s="96">
        <f t="shared" si="3105"/>
        <v>0</v>
      </c>
      <c r="AH1130" s="96">
        <f t="shared" si="3106"/>
        <v>0</v>
      </c>
      <c r="AI1130" s="96">
        <f t="shared" si="3107"/>
        <v>0</v>
      </c>
      <c r="AJ1130" s="96">
        <f t="shared" si="3108"/>
        <v>0</v>
      </c>
      <c r="AK1130" s="96"/>
      <c r="AL1130" s="96">
        <f t="shared" si="3109"/>
        <v>0</v>
      </c>
      <c r="AM1130" s="96"/>
      <c r="AN1130" s="96">
        <f t="shared" si="3110"/>
        <v>0</v>
      </c>
      <c r="AO1130" s="96"/>
      <c r="AP1130" s="96">
        <f t="shared" si="3120"/>
        <v>0</v>
      </c>
      <c r="AQ1130" s="96">
        <f t="shared" si="3111"/>
        <v>0</v>
      </c>
      <c r="AR1130" s="96">
        <f t="shared" si="3112"/>
        <v>0</v>
      </c>
      <c r="AS1130" s="96"/>
      <c r="AT1130" s="96">
        <f t="shared" si="3113"/>
        <v>0</v>
      </c>
      <c r="AU1130" s="96"/>
      <c r="AV1130" s="96">
        <f t="shared" si="3114"/>
        <v>0</v>
      </c>
      <c r="AW1130" s="96"/>
      <c r="AX1130" s="96">
        <f t="shared" si="3115"/>
        <v>0</v>
      </c>
      <c r="AY1130" s="96">
        <f t="shared" si="3116"/>
        <v>0</v>
      </c>
      <c r="AZ1130" s="96">
        <f t="shared" si="3117"/>
        <v>0</v>
      </c>
      <c r="BA1130" s="96">
        <f t="shared" si="3118"/>
        <v>0</v>
      </c>
      <c r="BB1130" s="96">
        <f t="shared" si="3119"/>
        <v>0</v>
      </c>
    </row>
    <row r="1131" spans="1:54">
      <c r="A1131" s="492">
        <v>696</v>
      </c>
      <c r="B1131" s="13"/>
      <c r="C1131" s="299"/>
      <c r="D1131" s="13" t="s">
        <v>515</v>
      </c>
      <c r="E1131" s="16" t="s">
        <v>514</v>
      </c>
      <c r="F1131" s="45" t="s">
        <v>377</v>
      </c>
      <c r="G1131" s="45" t="s">
        <v>1059</v>
      </c>
      <c r="H1131" s="265" t="s">
        <v>359</v>
      </c>
      <c r="I1131" s="54">
        <v>9.6199999999999992</v>
      </c>
      <c r="J1131" s="162"/>
      <c r="K1131" s="54">
        <v>9.6199999999999992</v>
      </c>
      <c r="L1131" s="162"/>
      <c r="M1131" s="54"/>
      <c r="N1131" s="162"/>
      <c r="O1131" s="54"/>
      <c r="P1131" s="162"/>
      <c r="Q1131" s="96">
        <f t="shared" si="3095"/>
        <v>0</v>
      </c>
      <c r="R1131" s="337">
        <f t="shared" si="3096"/>
        <v>0</v>
      </c>
      <c r="S1131" s="96"/>
      <c r="T1131" s="96">
        <f t="shared" si="3097"/>
        <v>0</v>
      </c>
      <c r="U1131" s="96"/>
      <c r="V1131" s="96">
        <f t="shared" si="3098"/>
        <v>0</v>
      </c>
      <c r="W1131" s="96"/>
      <c r="X1131" s="96">
        <f t="shared" si="3099"/>
        <v>0</v>
      </c>
      <c r="Y1131" s="96">
        <f t="shared" si="3100"/>
        <v>0</v>
      </c>
      <c r="Z1131" s="96">
        <f t="shared" si="3101"/>
        <v>0</v>
      </c>
      <c r="AA1131" s="96"/>
      <c r="AB1131" s="96">
        <f t="shared" si="3102"/>
        <v>0</v>
      </c>
      <c r="AC1131" s="96"/>
      <c r="AD1131" s="96">
        <f t="shared" si="3103"/>
        <v>0</v>
      </c>
      <c r="AE1131" s="96"/>
      <c r="AF1131" s="96">
        <f t="shared" si="3104"/>
        <v>0</v>
      </c>
      <c r="AG1131" s="96">
        <f t="shared" si="3105"/>
        <v>0</v>
      </c>
      <c r="AH1131" s="96">
        <f t="shared" si="3106"/>
        <v>0</v>
      </c>
      <c r="AI1131" s="96">
        <f t="shared" si="3107"/>
        <v>0</v>
      </c>
      <c r="AJ1131" s="96">
        <f t="shared" si="3108"/>
        <v>0</v>
      </c>
      <c r="AK1131" s="96"/>
      <c r="AL1131" s="96">
        <f t="shared" si="3109"/>
        <v>0</v>
      </c>
      <c r="AM1131" s="96"/>
      <c r="AN1131" s="96">
        <f t="shared" si="3110"/>
        <v>0</v>
      </c>
      <c r="AO1131" s="96"/>
      <c r="AP1131" s="96">
        <f t="shared" si="3120"/>
        <v>0</v>
      </c>
      <c r="AQ1131" s="96">
        <f t="shared" si="3111"/>
        <v>0</v>
      </c>
      <c r="AR1131" s="96">
        <f t="shared" si="3112"/>
        <v>0</v>
      </c>
      <c r="AS1131" s="96"/>
      <c r="AT1131" s="96">
        <f t="shared" si="3113"/>
        <v>0</v>
      </c>
      <c r="AU1131" s="96"/>
      <c r="AV1131" s="96">
        <f t="shared" si="3114"/>
        <v>0</v>
      </c>
      <c r="AW1131" s="96"/>
      <c r="AX1131" s="96">
        <f t="shared" si="3115"/>
        <v>0</v>
      </c>
      <c r="AY1131" s="96">
        <f t="shared" si="3116"/>
        <v>0</v>
      </c>
      <c r="AZ1131" s="96">
        <f t="shared" si="3117"/>
        <v>0</v>
      </c>
      <c r="BA1131" s="96">
        <f t="shared" si="3118"/>
        <v>0</v>
      </c>
      <c r="BB1131" s="96">
        <f t="shared" si="3119"/>
        <v>0</v>
      </c>
    </row>
    <row r="1132" spans="1:54">
      <c r="A1132" s="492">
        <v>697</v>
      </c>
      <c r="B1132" s="13"/>
      <c r="C1132" s="299"/>
      <c r="D1132" s="13" t="s">
        <v>372</v>
      </c>
      <c r="E1132" s="16" t="s">
        <v>1219</v>
      </c>
      <c r="F1132" s="45" t="s">
        <v>377</v>
      </c>
      <c r="G1132" s="45" t="s">
        <v>1059</v>
      </c>
      <c r="H1132" s="265" t="s">
        <v>359</v>
      </c>
      <c r="I1132" s="54">
        <v>8.9499999999999993</v>
      </c>
      <c r="J1132" s="162"/>
      <c r="K1132" s="54">
        <v>8.9499999999999993</v>
      </c>
      <c r="L1132" s="162"/>
      <c r="M1132" s="54"/>
      <c r="N1132" s="162"/>
      <c r="O1132" s="54"/>
      <c r="P1132" s="162"/>
      <c r="Q1132" s="96">
        <f t="shared" si="3095"/>
        <v>0</v>
      </c>
      <c r="R1132" s="337">
        <f t="shared" si="3096"/>
        <v>0</v>
      </c>
      <c r="S1132" s="96"/>
      <c r="T1132" s="96">
        <f t="shared" si="3097"/>
        <v>0</v>
      </c>
      <c r="U1132" s="96"/>
      <c r="V1132" s="96">
        <f t="shared" si="3098"/>
        <v>0</v>
      </c>
      <c r="W1132" s="96"/>
      <c r="X1132" s="96">
        <f t="shared" si="3099"/>
        <v>0</v>
      </c>
      <c r="Y1132" s="96">
        <f t="shared" si="3100"/>
        <v>0</v>
      </c>
      <c r="Z1132" s="96">
        <f t="shared" si="3101"/>
        <v>0</v>
      </c>
      <c r="AA1132" s="96"/>
      <c r="AB1132" s="96">
        <f t="shared" si="3102"/>
        <v>0</v>
      </c>
      <c r="AC1132" s="96"/>
      <c r="AD1132" s="96">
        <f t="shared" si="3103"/>
        <v>0</v>
      </c>
      <c r="AE1132" s="96"/>
      <c r="AF1132" s="96">
        <f t="shared" si="3104"/>
        <v>0</v>
      </c>
      <c r="AG1132" s="96">
        <f t="shared" si="3105"/>
        <v>0</v>
      </c>
      <c r="AH1132" s="96">
        <f t="shared" si="3106"/>
        <v>0</v>
      </c>
      <c r="AI1132" s="96">
        <f t="shared" si="3107"/>
        <v>0</v>
      </c>
      <c r="AJ1132" s="96">
        <f t="shared" si="3108"/>
        <v>0</v>
      </c>
      <c r="AK1132" s="96"/>
      <c r="AL1132" s="96">
        <f t="shared" si="3109"/>
        <v>0</v>
      </c>
      <c r="AM1132" s="96"/>
      <c r="AN1132" s="96">
        <f t="shared" si="3110"/>
        <v>0</v>
      </c>
      <c r="AO1132" s="96"/>
      <c r="AP1132" s="96">
        <f t="shared" si="3120"/>
        <v>0</v>
      </c>
      <c r="AQ1132" s="96">
        <f t="shared" si="3111"/>
        <v>0</v>
      </c>
      <c r="AR1132" s="96">
        <f t="shared" si="3112"/>
        <v>0</v>
      </c>
      <c r="AS1132" s="96"/>
      <c r="AT1132" s="96">
        <f t="shared" si="3113"/>
        <v>0</v>
      </c>
      <c r="AU1132" s="96"/>
      <c r="AV1132" s="96">
        <f t="shared" si="3114"/>
        <v>0</v>
      </c>
      <c r="AW1132" s="96"/>
      <c r="AX1132" s="96">
        <f t="shared" si="3115"/>
        <v>0</v>
      </c>
      <c r="AY1132" s="96">
        <f t="shared" si="3116"/>
        <v>0</v>
      </c>
      <c r="AZ1132" s="96">
        <f t="shared" si="3117"/>
        <v>0</v>
      </c>
      <c r="BA1132" s="96">
        <f t="shared" si="3118"/>
        <v>0</v>
      </c>
      <c r="BB1132" s="96">
        <f t="shared" si="3119"/>
        <v>0</v>
      </c>
    </row>
    <row r="1133" spans="1:54" ht="11.25" customHeight="1">
      <c r="A1133" s="492">
        <v>699</v>
      </c>
      <c r="B1133" s="13"/>
      <c r="C1133" s="299"/>
      <c r="D1133" s="13" t="s">
        <v>483</v>
      </c>
      <c r="E1133" s="16" t="s">
        <v>481</v>
      </c>
      <c r="F1133" s="45" t="s">
        <v>376</v>
      </c>
      <c r="G1133" s="45" t="s">
        <v>1059</v>
      </c>
      <c r="H1133" s="265" t="s">
        <v>428</v>
      </c>
      <c r="I1133" s="54">
        <v>9.6199999999999992</v>
      </c>
      <c r="J1133" s="162"/>
      <c r="K1133" s="54">
        <v>9.6199999999999992</v>
      </c>
      <c r="L1133" s="162"/>
      <c r="M1133" s="54"/>
      <c r="N1133" s="162"/>
      <c r="O1133" s="54"/>
      <c r="P1133" s="162"/>
      <c r="Q1133" s="96">
        <f t="shared" si="3095"/>
        <v>0</v>
      </c>
      <c r="R1133" s="337">
        <f t="shared" si="3096"/>
        <v>0</v>
      </c>
      <c r="S1133" s="96"/>
      <c r="T1133" s="96">
        <f t="shared" si="3097"/>
        <v>0</v>
      </c>
      <c r="U1133" s="96"/>
      <c r="V1133" s="96">
        <f t="shared" si="3098"/>
        <v>0</v>
      </c>
      <c r="W1133" s="96"/>
      <c r="X1133" s="96">
        <f t="shared" si="3099"/>
        <v>0</v>
      </c>
      <c r="Y1133" s="96">
        <f t="shared" si="3100"/>
        <v>0</v>
      </c>
      <c r="Z1133" s="96">
        <f t="shared" si="3101"/>
        <v>0</v>
      </c>
      <c r="AA1133" s="96"/>
      <c r="AB1133" s="96">
        <f t="shared" si="3102"/>
        <v>0</v>
      </c>
      <c r="AC1133" s="96"/>
      <c r="AD1133" s="96">
        <f t="shared" si="3103"/>
        <v>0</v>
      </c>
      <c r="AE1133" s="96"/>
      <c r="AF1133" s="96">
        <f t="shared" si="3104"/>
        <v>0</v>
      </c>
      <c r="AG1133" s="96">
        <f t="shared" si="3105"/>
        <v>0</v>
      </c>
      <c r="AH1133" s="96">
        <f t="shared" si="3106"/>
        <v>0</v>
      </c>
      <c r="AI1133" s="96">
        <f t="shared" si="3107"/>
        <v>0</v>
      </c>
      <c r="AJ1133" s="96">
        <f t="shared" si="3108"/>
        <v>0</v>
      </c>
      <c r="AK1133" s="96"/>
      <c r="AL1133" s="96">
        <f t="shared" si="3109"/>
        <v>0</v>
      </c>
      <c r="AM1133" s="96"/>
      <c r="AN1133" s="96">
        <f t="shared" si="3110"/>
        <v>0</v>
      </c>
      <c r="AO1133" s="96"/>
      <c r="AP1133" s="96">
        <f t="shared" si="3120"/>
        <v>0</v>
      </c>
      <c r="AQ1133" s="96">
        <f t="shared" si="3111"/>
        <v>0</v>
      </c>
      <c r="AR1133" s="96">
        <f t="shared" si="3112"/>
        <v>0</v>
      </c>
      <c r="AS1133" s="96"/>
      <c r="AT1133" s="96">
        <f t="shared" si="3113"/>
        <v>0</v>
      </c>
      <c r="AU1133" s="96"/>
      <c r="AV1133" s="96">
        <f t="shared" si="3114"/>
        <v>0</v>
      </c>
      <c r="AW1133" s="96"/>
      <c r="AX1133" s="96">
        <f t="shared" si="3115"/>
        <v>0</v>
      </c>
      <c r="AY1133" s="96">
        <f t="shared" si="3116"/>
        <v>0</v>
      </c>
      <c r="AZ1133" s="96">
        <f t="shared" si="3117"/>
        <v>0</v>
      </c>
      <c r="BA1133" s="96">
        <f t="shared" si="3118"/>
        <v>0</v>
      </c>
      <c r="BB1133" s="96">
        <f t="shared" si="3119"/>
        <v>0</v>
      </c>
    </row>
    <row r="1134" spans="1:54">
      <c r="A1134" s="492">
        <v>700</v>
      </c>
      <c r="B1134" s="13"/>
      <c r="C1134" s="299"/>
      <c r="D1134" s="13" t="s">
        <v>374</v>
      </c>
      <c r="E1134" s="16" t="s">
        <v>1148</v>
      </c>
      <c r="F1134" s="45" t="s">
        <v>375</v>
      </c>
      <c r="G1134" s="45" t="s">
        <v>1059</v>
      </c>
      <c r="H1134" s="265" t="s">
        <v>359</v>
      </c>
      <c r="I1134" s="54">
        <v>8.9499999999999993</v>
      </c>
      <c r="J1134" s="162"/>
      <c r="K1134" s="54">
        <v>8.9499999999999993</v>
      </c>
      <c r="L1134" s="162"/>
      <c r="M1134" s="54"/>
      <c r="N1134" s="162"/>
      <c r="O1134" s="54"/>
      <c r="P1134" s="162"/>
      <c r="Q1134" s="96">
        <f t="shared" si="3095"/>
        <v>0</v>
      </c>
      <c r="R1134" s="337">
        <f t="shared" si="3096"/>
        <v>0</v>
      </c>
      <c r="S1134" s="96"/>
      <c r="T1134" s="96">
        <f t="shared" si="3097"/>
        <v>0</v>
      </c>
      <c r="U1134" s="96"/>
      <c r="V1134" s="96">
        <f t="shared" si="3098"/>
        <v>0</v>
      </c>
      <c r="W1134" s="96"/>
      <c r="X1134" s="96">
        <f t="shared" si="3099"/>
        <v>0</v>
      </c>
      <c r="Y1134" s="96">
        <f t="shared" si="3100"/>
        <v>0</v>
      </c>
      <c r="Z1134" s="96">
        <f t="shared" si="3101"/>
        <v>0</v>
      </c>
      <c r="AA1134" s="96"/>
      <c r="AB1134" s="96">
        <f t="shared" si="3102"/>
        <v>0</v>
      </c>
      <c r="AC1134" s="96"/>
      <c r="AD1134" s="96">
        <f t="shared" si="3103"/>
        <v>0</v>
      </c>
      <c r="AE1134" s="96"/>
      <c r="AF1134" s="96">
        <f t="shared" si="3104"/>
        <v>0</v>
      </c>
      <c r="AG1134" s="96">
        <f t="shared" si="3105"/>
        <v>0</v>
      </c>
      <c r="AH1134" s="96">
        <f t="shared" si="3106"/>
        <v>0</v>
      </c>
      <c r="AI1134" s="96">
        <f t="shared" si="3107"/>
        <v>0</v>
      </c>
      <c r="AJ1134" s="96">
        <f t="shared" si="3108"/>
        <v>0</v>
      </c>
      <c r="AK1134" s="96"/>
      <c r="AL1134" s="96">
        <f t="shared" si="3109"/>
        <v>0</v>
      </c>
      <c r="AM1134" s="96"/>
      <c r="AN1134" s="96">
        <f t="shared" si="3110"/>
        <v>0</v>
      </c>
      <c r="AO1134" s="96"/>
      <c r="AP1134" s="96">
        <f t="shared" si="3120"/>
        <v>0</v>
      </c>
      <c r="AQ1134" s="96">
        <f t="shared" si="3111"/>
        <v>0</v>
      </c>
      <c r="AR1134" s="96">
        <f t="shared" si="3112"/>
        <v>0</v>
      </c>
      <c r="AS1134" s="96"/>
      <c r="AT1134" s="96">
        <f t="shared" si="3113"/>
        <v>0</v>
      </c>
      <c r="AU1134" s="96"/>
      <c r="AV1134" s="96">
        <f t="shared" si="3114"/>
        <v>0</v>
      </c>
      <c r="AW1134" s="96"/>
      <c r="AX1134" s="96">
        <f t="shared" si="3115"/>
        <v>0</v>
      </c>
      <c r="AY1134" s="96">
        <f t="shared" si="3116"/>
        <v>0</v>
      </c>
      <c r="AZ1134" s="96">
        <f t="shared" si="3117"/>
        <v>0</v>
      </c>
      <c r="BA1134" s="96">
        <f t="shared" si="3118"/>
        <v>0</v>
      </c>
      <c r="BB1134" s="96">
        <f t="shared" si="3119"/>
        <v>0</v>
      </c>
    </row>
    <row r="1135" spans="1:54">
      <c r="A1135" s="492">
        <v>701</v>
      </c>
      <c r="B1135" s="13"/>
      <c r="C1135" s="13"/>
      <c r="D1135" s="13" t="s">
        <v>796</v>
      </c>
      <c r="E1135" s="21" t="s">
        <v>1079</v>
      </c>
      <c r="F1135" s="45" t="s">
        <v>375</v>
      </c>
      <c r="G1135" s="22" t="s">
        <v>1069</v>
      </c>
      <c r="H1135" s="265" t="s">
        <v>1080</v>
      </c>
      <c r="I1135" s="54">
        <v>9.6999999999999993</v>
      </c>
      <c r="J1135" s="101"/>
      <c r="K1135" s="54">
        <v>9.6999999999999993</v>
      </c>
      <c r="L1135" s="162"/>
      <c r="M1135" s="54"/>
      <c r="N1135" s="162"/>
      <c r="O1135" s="54"/>
      <c r="P1135" s="101"/>
      <c r="Q1135" s="96">
        <f t="shared" si="3095"/>
        <v>0</v>
      </c>
      <c r="R1135" s="337">
        <f t="shared" si="3096"/>
        <v>0</v>
      </c>
      <c r="S1135" s="96"/>
      <c r="T1135" s="96">
        <f t="shared" si="3097"/>
        <v>0</v>
      </c>
      <c r="U1135" s="96"/>
      <c r="V1135" s="176">
        <f t="shared" si="3098"/>
        <v>0</v>
      </c>
      <c r="W1135" s="206"/>
      <c r="X1135" s="205">
        <f t="shared" si="3099"/>
        <v>0</v>
      </c>
      <c r="Y1135" s="188">
        <f t="shared" si="3100"/>
        <v>0</v>
      </c>
      <c r="Z1135" s="176">
        <f t="shared" si="3101"/>
        <v>0</v>
      </c>
      <c r="AA1135" s="206"/>
      <c r="AB1135" s="205">
        <f t="shared" si="3102"/>
        <v>0</v>
      </c>
      <c r="AC1135" s="206"/>
      <c r="AD1135" s="176">
        <f t="shared" si="3103"/>
        <v>0</v>
      </c>
      <c r="AE1135" s="206"/>
      <c r="AF1135" s="205">
        <f t="shared" si="3104"/>
        <v>0</v>
      </c>
      <c r="AG1135" s="188">
        <f t="shared" si="3105"/>
        <v>0</v>
      </c>
      <c r="AH1135" s="96">
        <f t="shared" si="3106"/>
        <v>0</v>
      </c>
      <c r="AI1135" s="96">
        <f t="shared" si="3107"/>
        <v>0</v>
      </c>
      <c r="AJ1135" s="176">
        <f t="shared" si="3108"/>
        <v>0</v>
      </c>
      <c r="AK1135" s="206"/>
      <c r="AL1135" s="176">
        <f t="shared" si="3109"/>
        <v>0</v>
      </c>
      <c r="AM1135" s="243"/>
      <c r="AN1135" s="176">
        <f t="shared" si="3110"/>
        <v>0</v>
      </c>
      <c r="AO1135" s="206"/>
      <c r="AP1135" s="205">
        <f t="shared" si="3120"/>
        <v>0</v>
      </c>
      <c r="AQ1135" s="188">
        <f t="shared" si="3111"/>
        <v>0</v>
      </c>
      <c r="AR1135" s="96">
        <f t="shared" si="3112"/>
        <v>0</v>
      </c>
      <c r="AS1135" s="96"/>
      <c r="AT1135" s="176">
        <f t="shared" si="3113"/>
        <v>0</v>
      </c>
      <c r="AU1135" s="206"/>
      <c r="AV1135" s="176">
        <f t="shared" si="3114"/>
        <v>0</v>
      </c>
      <c r="AW1135" s="206"/>
      <c r="AX1135" s="205">
        <f t="shared" si="3115"/>
        <v>0</v>
      </c>
      <c r="AY1135" s="188">
        <f t="shared" si="3116"/>
        <v>0</v>
      </c>
      <c r="AZ1135" s="96">
        <f t="shared" si="3117"/>
        <v>0</v>
      </c>
      <c r="BA1135" s="96">
        <f t="shared" si="3118"/>
        <v>0</v>
      </c>
      <c r="BB1135" s="96">
        <f t="shared" si="3119"/>
        <v>0</v>
      </c>
    </row>
    <row r="1136" spans="1:54">
      <c r="A1136" s="492">
        <v>702</v>
      </c>
      <c r="B1136" s="13"/>
      <c r="C1136" s="299"/>
      <c r="D1136" s="13" t="s">
        <v>374</v>
      </c>
      <c r="E1136" s="16" t="s">
        <v>1370</v>
      </c>
      <c r="F1136" s="45" t="s">
        <v>375</v>
      </c>
      <c r="G1136" s="45" t="s">
        <v>1059</v>
      </c>
      <c r="H1136" s="265" t="s">
        <v>359</v>
      </c>
      <c r="I1136" s="54">
        <v>9.92</v>
      </c>
      <c r="J1136" s="162"/>
      <c r="K1136" s="54">
        <v>9.92</v>
      </c>
      <c r="L1136" s="162"/>
      <c r="M1136" s="54"/>
      <c r="N1136" s="162"/>
      <c r="O1136" s="54"/>
      <c r="P1136" s="162"/>
      <c r="Q1136" s="96">
        <f t="shared" si="3095"/>
        <v>0</v>
      </c>
      <c r="R1136" s="337">
        <f t="shared" si="3096"/>
        <v>0</v>
      </c>
      <c r="S1136" s="96"/>
      <c r="T1136" s="96">
        <f t="shared" si="3097"/>
        <v>0</v>
      </c>
      <c r="U1136" s="96"/>
      <c r="V1136" s="96">
        <f t="shared" si="3098"/>
        <v>0</v>
      </c>
      <c r="W1136" s="96"/>
      <c r="X1136" s="96">
        <f t="shared" si="3099"/>
        <v>0</v>
      </c>
      <c r="Y1136" s="96">
        <f t="shared" si="3100"/>
        <v>0</v>
      </c>
      <c r="Z1136" s="96">
        <f t="shared" si="3101"/>
        <v>0</v>
      </c>
      <c r="AA1136" s="96"/>
      <c r="AB1136" s="96">
        <f t="shared" si="3102"/>
        <v>0</v>
      </c>
      <c r="AC1136" s="96"/>
      <c r="AD1136" s="96">
        <f t="shared" si="3103"/>
        <v>0</v>
      </c>
      <c r="AE1136" s="96"/>
      <c r="AF1136" s="96">
        <f t="shared" si="3104"/>
        <v>0</v>
      </c>
      <c r="AG1136" s="96">
        <f t="shared" si="3105"/>
        <v>0</v>
      </c>
      <c r="AH1136" s="96">
        <f t="shared" si="3106"/>
        <v>0</v>
      </c>
      <c r="AI1136" s="96">
        <f t="shared" si="3107"/>
        <v>0</v>
      </c>
      <c r="AJ1136" s="96">
        <f t="shared" si="3108"/>
        <v>0</v>
      </c>
      <c r="AK1136" s="96"/>
      <c r="AL1136" s="96">
        <f t="shared" si="3109"/>
        <v>0</v>
      </c>
      <c r="AM1136" s="96"/>
      <c r="AN1136" s="96">
        <f t="shared" si="3110"/>
        <v>0</v>
      </c>
      <c r="AO1136" s="96"/>
      <c r="AP1136" s="96">
        <f t="shared" si="3120"/>
        <v>0</v>
      </c>
      <c r="AQ1136" s="96">
        <f t="shared" si="3111"/>
        <v>0</v>
      </c>
      <c r="AR1136" s="96">
        <f t="shared" si="3112"/>
        <v>0</v>
      </c>
      <c r="AS1136" s="96"/>
      <c r="AT1136" s="96">
        <f t="shared" si="3113"/>
        <v>0</v>
      </c>
      <c r="AU1136" s="96"/>
      <c r="AV1136" s="96">
        <f t="shared" si="3114"/>
        <v>0</v>
      </c>
      <c r="AW1136" s="96"/>
      <c r="AX1136" s="96">
        <f t="shared" si="3115"/>
        <v>0</v>
      </c>
      <c r="AY1136" s="96">
        <f t="shared" si="3116"/>
        <v>0</v>
      </c>
      <c r="AZ1136" s="96">
        <f t="shared" si="3117"/>
        <v>0</v>
      </c>
      <c r="BA1136" s="96">
        <f t="shared" si="3118"/>
        <v>0</v>
      </c>
      <c r="BB1136" s="96">
        <f t="shared" si="3119"/>
        <v>0</v>
      </c>
    </row>
    <row r="1137" spans="1:54">
      <c r="A1137" s="492">
        <v>703</v>
      </c>
      <c r="B1137" s="13"/>
      <c r="C1137" s="299"/>
      <c r="D1137" s="13" t="s">
        <v>374</v>
      </c>
      <c r="E1137" s="16" t="s">
        <v>1561</v>
      </c>
      <c r="F1137" s="45" t="s">
        <v>375</v>
      </c>
      <c r="G1137" s="45" t="s">
        <v>1059</v>
      </c>
      <c r="H1137" s="265" t="s">
        <v>359</v>
      </c>
      <c r="I1137" s="54">
        <v>13.41</v>
      </c>
      <c r="J1137" s="162"/>
      <c r="K1137" s="54">
        <v>13.41</v>
      </c>
      <c r="L1137" s="162"/>
      <c r="M1137" s="54"/>
      <c r="N1137" s="162"/>
      <c r="O1137" s="54"/>
      <c r="P1137" s="162"/>
      <c r="Q1137" s="96">
        <f t="shared" si="3095"/>
        <v>0</v>
      </c>
      <c r="R1137" s="337">
        <f t="shared" si="3096"/>
        <v>0</v>
      </c>
      <c r="S1137" s="96"/>
      <c r="T1137" s="96">
        <f t="shared" si="3097"/>
        <v>0</v>
      </c>
      <c r="U1137" s="96"/>
      <c r="V1137" s="96">
        <f t="shared" si="3098"/>
        <v>0</v>
      </c>
      <c r="W1137" s="96"/>
      <c r="X1137" s="96">
        <f t="shared" si="3099"/>
        <v>0</v>
      </c>
      <c r="Y1137" s="96">
        <f t="shared" si="3100"/>
        <v>0</v>
      </c>
      <c r="Z1137" s="96">
        <f t="shared" si="3101"/>
        <v>0</v>
      </c>
      <c r="AA1137" s="96"/>
      <c r="AB1137" s="96">
        <f t="shared" si="3102"/>
        <v>0</v>
      </c>
      <c r="AC1137" s="96"/>
      <c r="AD1137" s="96">
        <f t="shared" si="3103"/>
        <v>0</v>
      </c>
      <c r="AE1137" s="96"/>
      <c r="AF1137" s="96">
        <f t="shared" si="3104"/>
        <v>0</v>
      </c>
      <c r="AG1137" s="96">
        <f t="shared" si="3105"/>
        <v>0</v>
      </c>
      <c r="AH1137" s="96">
        <f t="shared" si="3106"/>
        <v>0</v>
      </c>
      <c r="AI1137" s="96">
        <f t="shared" si="3107"/>
        <v>0</v>
      </c>
      <c r="AJ1137" s="96">
        <f t="shared" si="3108"/>
        <v>0</v>
      </c>
      <c r="AK1137" s="96"/>
      <c r="AL1137" s="96">
        <f t="shared" si="3109"/>
        <v>0</v>
      </c>
      <c r="AM1137" s="96"/>
      <c r="AN1137" s="96">
        <f t="shared" si="3110"/>
        <v>0</v>
      </c>
      <c r="AO1137" s="96"/>
      <c r="AP1137" s="96">
        <f t="shared" si="3120"/>
        <v>0</v>
      </c>
      <c r="AQ1137" s="96">
        <f t="shared" si="3111"/>
        <v>0</v>
      </c>
      <c r="AR1137" s="96">
        <f t="shared" si="3112"/>
        <v>0</v>
      </c>
      <c r="AS1137" s="96"/>
      <c r="AT1137" s="96">
        <f t="shared" si="3113"/>
        <v>0</v>
      </c>
      <c r="AU1137" s="96"/>
      <c r="AV1137" s="96">
        <f t="shared" si="3114"/>
        <v>0</v>
      </c>
      <c r="AW1137" s="96"/>
      <c r="AX1137" s="96">
        <f t="shared" si="3115"/>
        <v>0</v>
      </c>
      <c r="AY1137" s="96">
        <f t="shared" si="3116"/>
        <v>0</v>
      </c>
      <c r="AZ1137" s="96">
        <f t="shared" si="3117"/>
        <v>0</v>
      </c>
      <c r="BA1137" s="96">
        <f t="shared" si="3118"/>
        <v>0</v>
      </c>
      <c r="BB1137" s="96">
        <f t="shared" si="3119"/>
        <v>0</v>
      </c>
    </row>
    <row r="1138" spans="1:54" s="6" customFormat="1">
      <c r="A1138" s="492">
        <v>704</v>
      </c>
      <c r="B1138" s="14"/>
      <c r="C1138" s="299"/>
      <c r="D1138" s="14" t="s">
        <v>484</v>
      </c>
      <c r="E1138" s="16" t="s">
        <v>482</v>
      </c>
      <c r="F1138" s="44" t="s">
        <v>376</v>
      </c>
      <c r="G1138" s="44" t="s">
        <v>1059</v>
      </c>
      <c r="H1138" s="264" t="s">
        <v>428</v>
      </c>
      <c r="I1138" s="232">
        <v>9.6199999999999992</v>
      </c>
      <c r="J1138" s="239"/>
      <c r="K1138" s="232">
        <v>9.6199999999999992</v>
      </c>
      <c r="L1138" s="239"/>
      <c r="M1138" s="232"/>
      <c r="N1138" s="239"/>
      <c r="O1138" s="232"/>
      <c r="P1138" s="239"/>
      <c r="Q1138" s="95">
        <f t="shared" si="3095"/>
        <v>0</v>
      </c>
      <c r="R1138" s="335">
        <f t="shared" si="3096"/>
        <v>0</v>
      </c>
      <c r="S1138" s="95"/>
      <c r="T1138" s="95">
        <f t="shared" si="3097"/>
        <v>0</v>
      </c>
      <c r="U1138" s="95"/>
      <c r="V1138" s="95">
        <f t="shared" si="3098"/>
        <v>0</v>
      </c>
      <c r="W1138" s="95"/>
      <c r="X1138" s="95">
        <f t="shared" si="3099"/>
        <v>0</v>
      </c>
      <c r="Y1138" s="95">
        <f t="shared" si="3100"/>
        <v>0</v>
      </c>
      <c r="Z1138" s="95">
        <f t="shared" si="3101"/>
        <v>0</v>
      </c>
      <c r="AA1138" s="95"/>
      <c r="AB1138" s="95">
        <f t="shared" si="3102"/>
        <v>0</v>
      </c>
      <c r="AC1138" s="95"/>
      <c r="AD1138" s="95">
        <f t="shared" si="3103"/>
        <v>0</v>
      </c>
      <c r="AE1138" s="95"/>
      <c r="AF1138" s="96">
        <f t="shared" si="3104"/>
        <v>0</v>
      </c>
      <c r="AG1138" s="95">
        <f t="shared" si="3105"/>
        <v>0</v>
      </c>
      <c r="AH1138" s="95">
        <f t="shared" si="3106"/>
        <v>0</v>
      </c>
      <c r="AI1138" s="95">
        <f t="shared" si="3107"/>
        <v>0</v>
      </c>
      <c r="AJ1138" s="95">
        <f t="shared" si="3108"/>
        <v>0</v>
      </c>
      <c r="AK1138" s="95"/>
      <c r="AL1138" s="95">
        <f t="shared" si="3109"/>
        <v>0</v>
      </c>
      <c r="AM1138" s="95"/>
      <c r="AN1138" s="95">
        <f t="shared" si="3110"/>
        <v>0</v>
      </c>
      <c r="AO1138" s="95"/>
      <c r="AP1138" s="95">
        <f t="shared" si="3120"/>
        <v>0</v>
      </c>
      <c r="AQ1138" s="95">
        <f t="shared" si="3111"/>
        <v>0</v>
      </c>
      <c r="AR1138" s="95">
        <f t="shared" si="3112"/>
        <v>0</v>
      </c>
      <c r="AS1138" s="95"/>
      <c r="AT1138" s="95">
        <f t="shared" si="3113"/>
        <v>0</v>
      </c>
      <c r="AU1138" s="95"/>
      <c r="AV1138" s="95">
        <f t="shared" si="3114"/>
        <v>0</v>
      </c>
      <c r="AW1138" s="95"/>
      <c r="AX1138" s="95">
        <f t="shared" si="3115"/>
        <v>0</v>
      </c>
      <c r="AY1138" s="95">
        <f t="shared" si="3116"/>
        <v>0</v>
      </c>
      <c r="AZ1138" s="95">
        <f t="shared" si="3117"/>
        <v>0</v>
      </c>
      <c r="BA1138" s="95">
        <f t="shared" si="3118"/>
        <v>0</v>
      </c>
      <c r="BB1138" s="95">
        <f t="shared" si="3119"/>
        <v>0</v>
      </c>
    </row>
    <row r="1139" spans="1:54" s="6" customFormat="1">
      <c r="A1139" s="492">
        <v>705</v>
      </c>
      <c r="B1139" s="14"/>
      <c r="C1139" s="299"/>
      <c r="D1139" s="14" t="s">
        <v>398</v>
      </c>
      <c r="E1139" s="16" t="s">
        <v>909</v>
      </c>
      <c r="F1139" s="44" t="s">
        <v>376</v>
      </c>
      <c r="G1139" s="44" t="s">
        <v>1059</v>
      </c>
      <c r="H1139" s="264" t="s">
        <v>359</v>
      </c>
      <c r="I1139" s="232">
        <v>8.9499999999999993</v>
      </c>
      <c r="J1139" s="239"/>
      <c r="K1139" s="232">
        <v>8.9499999999999993</v>
      </c>
      <c r="L1139" s="239"/>
      <c r="M1139" s="232"/>
      <c r="N1139" s="239"/>
      <c r="O1139" s="232"/>
      <c r="P1139" s="239"/>
      <c r="Q1139" s="95">
        <f t="shared" si="3095"/>
        <v>0</v>
      </c>
      <c r="R1139" s="335">
        <f t="shared" si="3096"/>
        <v>0</v>
      </c>
      <c r="S1139" s="95"/>
      <c r="T1139" s="95">
        <f t="shared" si="3097"/>
        <v>0</v>
      </c>
      <c r="U1139" s="95"/>
      <c r="V1139" s="95">
        <f t="shared" si="3098"/>
        <v>0</v>
      </c>
      <c r="W1139" s="95"/>
      <c r="X1139" s="95">
        <f t="shared" si="3099"/>
        <v>0</v>
      </c>
      <c r="Y1139" s="95">
        <f t="shared" si="3100"/>
        <v>0</v>
      </c>
      <c r="Z1139" s="95">
        <f t="shared" si="3101"/>
        <v>0</v>
      </c>
      <c r="AA1139" s="95"/>
      <c r="AB1139" s="95">
        <f t="shared" si="3102"/>
        <v>0</v>
      </c>
      <c r="AC1139" s="95"/>
      <c r="AD1139" s="95">
        <f t="shared" si="3103"/>
        <v>0</v>
      </c>
      <c r="AE1139" s="95"/>
      <c r="AF1139" s="96">
        <f t="shared" si="3104"/>
        <v>0</v>
      </c>
      <c r="AG1139" s="95">
        <f t="shared" si="3105"/>
        <v>0</v>
      </c>
      <c r="AH1139" s="95">
        <f t="shared" si="3106"/>
        <v>0</v>
      </c>
      <c r="AI1139" s="95">
        <f t="shared" si="3107"/>
        <v>0</v>
      </c>
      <c r="AJ1139" s="95">
        <f t="shared" si="3108"/>
        <v>0</v>
      </c>
      <c r="AK1139" s="95"/>
      <c r="AL1139" s="95">
        <f t="shared" si="3109"/>
        <v>0</v>
      </c>
      <c r="AM1139" s="95"/>
      <c r="AN1139" s="95">
        <f t="shared" si="3110"/>
        <v>0</v>
      </c>
      <c r="AO1139" s="95"/>
      <c r="AP1139" s="95">
        <f t="shared" si="3120"/>
        <v>0</v>
      </c>
      <c r="AQ1139" s="95">
        <f t="shared" si="3111"/>
        <v>0</v>
      </c>
      <c r="AR1139" s="95">
        <f t="shared" si="3112"/>
        <v>0</v>
      </c>
      <c r="AS1139" s="95"/>
      <c r="AT1139" s="95">
        <f t="shared" si="3113"/>
        <v>0</v>
      </c>
      <c r="AU1139" s="95"/>
      <c r="AV1139" s="95">
        <f t="shared" si="3114"/>
        <v>0</v>
      </c>
      <c r="AW1139" s="95"/>
      <c r="AX1139" s="95">
        <f t="shared" si="3115"/>
        <v>0</v>
      </c>
      <c r="AY1139" s="95">
        <f t="shared" si="3116"/>
        <v>0</v>
      </c>
      <c r="AZ1139" s="95">
        <f t="shared" si="3117"/>
        <v>0</v>
      </c>
      <c r="BA1139" s="95">
        <f t="shared" si="3118"/>
        <v>0</v>
      </c>
      <c r="BB1139" s="95">
        <f t="shared" si="3119"/>
        <v>0</v>
      </c>
    </row>
    <row r="1140" spans="1:54">
      <c r="A1140" s="492">
        <v>706</v>
      </c>
      <c r="B1140" s="13"/>
      <c r="C1140" s="299"/>
      <c r="D1140" s="14" t="s">
        <v>796</v>
      </c>
      <c r="E1140" s="21" t="s">
        <v>1272</v>
      </c>
      <c r="F1140" s="45" t="s">
        <v>384</v>
      </c>
      <c r="G1140" s="45" t="s">
        <v>1059</v>
      </c>
      <c r="H1140" s="265" t="s">
        <v>359</v>
      </c>
      <c r="I1140" s="54">
        <v>9.82</v>
      </c>
      <c r="J1140" s="162"/>
      <c r="K1140" s="54">
        <v>9.82</v>
      </c>
      <c r="L1140" s="162"/>
      <c r="M1140" s="54"/>
      <c r="N1140" s="162"/>
      <c r="O1140" s="54"/>
      <c r="P1140" s="162"/>
      <c r="Q1140" s="96">
        <f t="shared" si="3095"/>
        <v>0</v>
      </c>
      <c r="R1140" s="337">
        <f t="shared" si="3096"/>
        <v>0</v>
      </c>
      <c r="S1140" s="96"/>
      <c r="T1140" s="96">
        <f t="shared" si="3097"/>
        <v>0</v>
      </c>
      <c r="U1140" s="96"/>
      <c r="V1140" s="96">
        <f t="shared" si="3098"/>
        <v>0</v>
      </c>
      <c r="W1140" s="96"/>
      <c r="X1140" s="96">
        <f t="shared" si="3099"/>
        <v>0</v>
      </c>
      <c r="Y1140" s="96">
        <f t="shared" si="3100"/>
        <v>0</v>
      </c>
      <c r="Z1140" s="96">
        <f t="shared" si="3101"/>
        <v>0</v>
      </c>
      <c r="AA1140" s="96"/>
      <c r="AB1140" s="96">
        <f t="shared" si="3102"/>
        <v>0</v>
      </c>
      <c r="AC1140" s="96"/>
      <c r="AD1140" s="96">
        <f t="shared" si="3103"/>
        <v>0</v>
      </c>
      <c r="AE1140" s="96"/>
      <c r="AF1140" s="96">
        <f t="shared" si="3104"/>
        <v>0</v>
      </c>
      <c r="AG1140" s="96">
        <f t="shared" si="3105"/>
        <v>0</v>
      </c>
      <c r="AH1140" s="96">
        <f t="shared" si="3106"/>
        <v>0</v>
      </c>
      <c r="AI1140" s="96">
        <f t="shared" si="3107"/>
        <v>0</v>
      </c>
      <c r="AJ1140" s="96">
        <f t="shared" si="3108"/>
        <v>0</v>
      </c>
      <c r="AK1140" s="96"/>
      <c r="AL1140" s="96">
        <f t="shared" si="3109"/>
        <v>0</v>
      </c>
      <c r="AM1140" s="96"/>
      <c r="AN1140" s="96">
        <f t="shared" si="3110"/>
        <v>0</v>
      </c>
      <c r="AO1140" s="96"/>
      <c r="AP1140" s="96">
        <f t="shared" si="3120"/>
        <v>0</v>
      </c>
      <c r="AQ1140" s="96">
        <f t="shared" si="3111"/>
        <v>0</v>
      </c>
      <c r="AR1140" s="96">
        <f t="shared" si="3112"/>
        <v>0</v>
      </c>
      <c r="AS1140" s="96"/>
      <c r="AT1140" s="96">
        <f t="shared" si="3113"/>
        <v>0</v>
      </c>
      <c r="AU1140" s="96"/>
      <c r="AV1140" s="96">
        <f t="shared" si="3114"/>
        <v>0</v>
      </c>
      <c r="AW1140" s="96"/>
      <c r="AX1140" s="96">
        <f t="shared" si="3115"/>
        <v>0</v>
      </c>
      <c r="AY1140" s="96">
        <f t="shared" si="3116"/>
        <v>0</v>
      </c>
      <c r="AZ1140" s="96">
        <f t="shared" si="3117"/>
        <v>0</v>
      </c>
      <c r="BA1140" s="96">
        <f t="shared" si="3118"/>
        <v>0</v>
      </c>
      <c r="BB1140" s="96">
        <f t="shared" si="3119"/>
        <v>0</v>
      </c>
    </row>
    <row r="1141" spans="1:54">
      <c r="A1141" s="492">
        <v>707</v>
      </c>
      <c r="B1141" s="13"/>
      <c r="C1141" s="299"/>
      <c r="D1141" s="14" t="s">
        <v>487</v>
      </c>
      <c r="E1141" s="21" t="s">
        <v>622</v>
      </c>
      <c r="F1141" s="45" t="s">
        <v>384</v>
      </c>
      <c r="G1141" s="45" t="s">
        <v>1059</v>
      </c>
      <c r="H1141" s="265" t="s">
        <v>428</v>
      </c>
      <c r="I1141" s="54">
        <v>9.6199999999999992</v>
      </c>
      <c r="J1141" s="162"/>
      <c r="K1141" s="54">
        <v>9.6199999999999992</v>
      </c>
      <c r="L1141" s="162"/>
      <c r="M1141" s="54"/>
      <c r="N1141" s="162"/>
      <c r="O1141" s="54"/>
      <c r="P1141" s="162"/>
      <c r="Q1141" s="96">
        <f t="shared" si="3095"/>
        <v>0</v>
      </c>
      <c r="R1141" s="337">
        <f t="shared" si="3096"/>
        <v>0</v>
      </c>
      <c r="S1141" s="96"/>
      <c r="T1141" s="96">
        <f t="shared" si="3097"/>
        <v>0</v>
      </c>
      <c r="U1141" s="96"/>
      <c r="V1141" s="96">
        <f t="shared" si="3098"/>
        <v>0</v>
      </c>
      <c r="W1141" s="96"/>
      <c r="X1141" s="96">
        <f t="shared" si="3099"/>
        <v>0</v>
      </c>
      <c r="Y1141" s="96">
        <f t="shared" si="3100"/>
        <v>0</v>
      </c>
      <c r="Z1141" s="96">
        <f t="shared" si="3101"/>
        <v>0</v>
      </c>
      <c r="AA1141" s="96"/>
      <c r="AB1141" s="96">
        <f t="shared" si="3102"/>
        <v>0</v>
      </c>
      <c r="AC1141" s="96"/>
      <c r="AD1141" s="96">
        <f t="shared" si="3103"/>
        <v>0</v>
      </c>
      <c r="AE1141" s="96"/>
      <c r="AF1141" s="96">
        <f t="shared" si="3104"/>
        <v>0</v>
      </c>
      <c r="AG1141" s="96">
        <f t="shared" si="3105"/>
        <v>0</v>
      </c>
      <c r="AH1141" s="96">
        <f t="shared" si="3106"/>
        <v>0</v>
      </c>
      <c r="AI1141" s="96">
        <f t="shared" si="3107"/>
        <v>0</v>
      </c>
      <c r="AJ1141" s="96">
        <f t="shared" si="3108"/>
        <v>0</v>
      </c>
      <c r="AK1141" s="96"/>
      <c r="AL1141" s="96">
        <f t="shared" si="3109"/>
        <v>0</v>
      </c>
      <c r="AM1141" s="96"/>
      <c r="AN1141" s="96">
        <f t="shared" si="3110"/>
        <v>0</v>
      </c>
      <c r="AO1141" s="96"/>
      <c r="AP1141" s="96">
        <f t="shared" si="3120"/>
        <v>0</v>
      </c>
      <c r="AQ1141" s="96">
        <f t="shared" si="3111"/>
        <v>0</v>
      </c>
      <c r="AR1141" s="96">
        <f t="shared" si="3112"/>
        <v>0</v>
      </c>
      <c r="AS1141" s="96"/>
      <c r="AT1141" s="96">
        <f t="shared" si="3113"/>
        <v>0</v>
      </c>
      <c r="AU1141" s="96"/>
      <c r="AV1141" s="96">
        <f t="shared" si="3114"/>
        <v>0</v>
      </c>
      <c r="AW1141" s="96"/>
      <c r="AX1141" s="96">
        <f t="shared" si="3115"/>
        <v>0</v>
      </c>
      <c r="AY1141" s="96">
        <f t="shared" si="3116"/>
        <v>0</v>
      </c>
      <c r="AZ1141" s="96">
        <f t="shared" si="3117"/>
        <v>0</v>
      </c>
      <c r="BA1141" s="96">
        <f t="shared" si="3118"/>
        <v>0</v>
      </c>
      <c r="BB1141" s="96">
        <f t="shared" si="3119"/>
        <v>0</v>
      </c>
    </row>
    <row r="1142" spans="1:54">
      <c r="A1142" s="492">
        <v>708</v>
      </c>
      <c r="B1142" s="13"/>
      <c r="C1142" s="299"/>
      <c r="D1142" s="14" t="s">
        <v>487</v>
      </c>
      <c r="E1142" s="21" t="s">
        <v>910</v>
      </c>
      <c r="F1142" s="45" t="s">
        <v>384</v>
      </c>
      <c r="G1142" s="45" t="s">
        <v>1059</v>
      </c>
      <c r="H1142" s="265" t="s">
        <v>359</v>
      </c>
      <c r="I1142" s="54">
        <v>8.9499999999999993</v>
      </c>
      <c r="J1142" s="162"/>
      <c r="K1142" s="54">
        <v>8.9499999999999993</v>
      </c>
      <c r="L1142" s="162"/>
      <c r="M1142" s="54"/>
      <c r="N1142" s="162"/>
      <c r="O1142" s="54"/>
      <c r="P1142" s="162"/>
      <c r="Q1142" s="96">
        <f t="shared" si="3095"/>
        <v>0</v>
      </c>
      <c r="R1142" s="337">
        <f t="shared" si="3096"/>
        <v>0</v>
      </c>
      <c r="S1142" s="96"/>
      <c r="T1142" s="96">
        <f t="shared" si="3097"/>
        <v>0</v>
      </c>
      <c r="U1142" s="96"/>
      <c r="V1142" s="96">
        <f t="shared" si="3098"/>
        <v>0</v>
      </c>
      <c r="W1142" s="96"/>
      <c r="X1142" s="96">
        <f t="shared" si="3099"/>
        <v>0</v>
      </c>
      <c r="Y1142" s="96">
        <f t="shared" si="3100"/>
        <v>0</v>
      </c>
      <c r="Z1142" s="96">
        <f t="shared" si="3101"/>
        <v>0</v>
      </c>
      <c r="AA1142" s="96"/>
      <c r="AB1142" s="96">
        <f t="shared" si="3102"/>
        <v>0</v>
      </c>
      <c r="AC1142" s="96"/>
      <c r="AD1142" s="96">
        <f t="shared" si="3103"/>
        <v>0</v>
      </c>
      <c r="AE1142" s="96"/>
      <c r="AF1142" s="96">
        <f t="shared" si="3104"/>
        <v>0</v>
      </c>
      <c r="AG1142" s="96">
        <f t="shared" si="3105"/>
        <v>0</v>
      </c>
      <c r="AH1142" s="96">
        <f t="shared" si="3106"/>
        <v>0</v>
      </c>
      <c r="AI1142" s="96">
        <f t="shared" si="3107"/>
        <v>0</v>
      </c>
      <c r="AJ1142" s="96">
        <f t="shared" si="3108"/>
        <v>0</v>
      </c>
      <c r="AK1142" s="96"/>
      <c r="AL1142" s="96">
        <f t="shared" si="3109"/>
        <v>0</v>
      </c>
      <c r="AM1142" s="96"/>
      <c r="AN1142" s="96">
        <f t="shared" si="3110"/>
        <v>0</v>
      </c>
      <c r="AO1142" s="96"/>
      <c r="AP1142" s="96">
        <f t="shared" si="3120"/>
        <v>0</v>
      </c>
      <c r="AQ1142" s="96">
        <f t="shared" si="3111"/>
        <v>0</v>
      </c>
      <c r="AR1142" s="96">
        <f t="shared" si="3112"/>
        <v>0</v>
      </c>
      <c r="AS1142" s="96"/>
      <c r="AT1142" s="96">
        <f t="shared" si="3113"/>
        <v>0</v>
      </c>
      <c r="AU1142" s="96"/>
      <c r="AV1142" s="96">
        <f t="shared" si="3114"/>
        <v>0</v>
      </c>
      <c r="AW1142" s="96"/>
      <c r="AX1142" s="96">
        <f t="shared" si="3115"/>
        <v>0</v>
      </c>
      <c r="AY1142" s="96">
        <f t="shared" si="3116"/>
        <v>0</v>
      </c>
      <c r="AZ1142" s="96">
        <f t="shared" si="3117"/>
        <v>0</v>
      </c>
      <c r="BA1142" s="96">
        <f t="shared" si="3118"/>
        <v>0</v>
      </c>
      <c r="BB1142" s="96">
        <f t="shared" si="3119"/>
        <v>0</v>
      </c>
    </row>
    <row r="1143" spans="1:54">
      <c r="A1143" s="492">
        <v>709</v>
      </c>
      <c r="B1143" s="13"/>
      <c r="C1143" s="299"/>
      <c r="D1143" s="14" t="s">
        <v>487</v>
      </c>
      <c r="E1143" s="21" t="s">
        <v>1303</v>
      </c>
      <c r="F1143" s="45" t="s">
        <v>377</v>
      </c>
      <c r="G1143" s="45" t="s">
        <v>1059</v>
      </c>
      <c r="H1143" s="265" t="s">
        <v>428</v>
      </c>
      <c r="I1143" s="54">
        <v>9.82</v>
      </c>
      <c r="J1143" s="162"/>
      <c r="K1143" s="54">
        <v>9.82</v>
      </c>
      <c r="L1143" s="162"/>
      <c r="M1143" s="54"/>
      <c r="N1143" s="162"/>
      <c r="O1143" s="54"/>
      <c r="P1143" s="162"/>
      <c r="Q1143" s="96">
        <f t="shared" si="3095"/>
        <v>0</v>
      </c>
      <c r="R1143" s="337">
        <f t="shared" si="3096"/>
        <v>0</v>
      </c>
      <c r="S1143" s="96"/>
      <c r="T1143" s="96">
        <f t="shared" si="3097"/>
        <v>0</v>
      </c>
      <c r="U1143" s="96"/>
      <c r="V1143" s="96">
        <f t="shared" si="3098"/>
        <v>0</v>
      </c>
      <c r="W1143" s="96"/>
      <c r="X1143" s="96">
        <f t="shared" si="3099"/>
        <v>0</v>
      </c>
      <c r="Y1143" s="96">
        <f t="shared" si="3100"/>
        <v>0</v>
      </c>
      <c r="Z1143" s="96">
        <f t="shared" si="3101"/>
        <v>0</v>
      </c>
      <c r="AA1143" s="96"/>
      <c r="AB1143" s="96">
        <f t="shared" si="3102"/>
        <v>0</v>
      </c>
      <c r="AC1143" s="96"/>
      <c r="AD1143" s="96">
        <f t="shared" si="3103"/>
        <v>0</v>
      </c>
      <c r="AE1143" s="96"/>
      <c r="AF1143" s="96">
        <f t="shared" si="3104"/>
        <v>0</v>
      </c>
      <c r="AG1143" s="96">
        <f t="shared" si="3105"/>
        <v>0</v>
      </c>
      <c r="AH1143" s="96">
        <f t="shared" si="3106"/>
        <v>0</v>
      </c>
      <c r="AI1143" s="96">
        <f t="shared" si="3107"/>
        <v>0</v>
      </c>
      <c r="AJ1143" s="96">
        <f t="shared" si="3108"/>
        <v>0</v>
      </c>
      <c r="AK1143" s="96"/>
      <c r="AL1143" s="96">
        <f t="shared" si="3109"/>
        <v>0</v>
      </c>
      <c r="AM1143" s="96"/>
      <c r="AN1143" s="96">
        <f t="shared" si="3110"/>
        <v>0</v>
      </c>
      <c r="AO1143" s="96"/>
      <c r="AP1143" s="96">
        <f t="shared" si="3120"/>
        <v>0</v>
      </c>
      <c r="AQ1143" s="96">
        <f t="shared" si="3111"/>
        <v>0</v>
      </c>
      <c r="AR1143" s="96">
        <f t="shared" si="3112"/>
        <v>0</v>
      </c>
      <c r="AS1143" s="96"/>
      <c r="AT1143" s="96">
        <f t="shared" si="3113"/>
        <v>0</v>
      </c>
      <c r="AU1143" s="96"/>
      <c r="AV1143" s="96">
        <f t="shared" si="3114"/>
        <v>0</v>
      </c>
      <c r="AW1143" s="96"/>
      <c r="AX1143" s="96">
        <f t="shared" si="3115"/>
        <v>0</v>
      </c>
      <c r="AY1143" s="96">
        <f t="shared" si="3116"/>
        <v>0</v>
      </c>
      <c r="AZ1143" s="96">
        <f t="shared" si="3117"/>
        <v>0</v>
      </c>
      <c r="BA1143" s="96">
        <f t="shared" si="3118"/>
        <v>0</v>
      </c>
      <c r="BB1143" s="96">
        <f t="shared" si="3119"/>
        <v>0</v>
      </c>
    </row>
    <row r="1144" spans="1:54">
      <c r="A1144" s="492">
        <v>710</v>
      </c>
      <c r="B1144" s="13"/>
      <c r="C1144" s="299"/>
      <c r="D1144" s="13" t="s">
        <v>485</v>
      </c>
      <c r="E1144" s="21" t="s">
        <v>554</v>
      </c>
      <c r="F1144" s="45" t="s">
        <v>384</v>
      </c>
      <c r="G1144" s="45" t="s">
        <v>1059</v>
      </c>
      <c r="H1144" s="265" t="s">
        <v>428</v>
      </c>
      <c r="I1144" s="54">
        <v>8.58</v>
      </c>
      <c r="J1144" s="162"/>
      <c r="K1144" s="54">
        <v>8.58</v>
      </c>
      <c r="L1144" s="162"/>
      <c r="M1144" s="54"/>
      <c r="N1144" s="162"/>
      <c r="O1144" s="54"/>
      <c r="P1144" s="162"/>
      <c r="Q1144" s="96">
        <f t="shared" si="3095"/>
        <v>0</v>
      </c>
      <c r="R1144" s="337">
        <f t="shared" si="3096"/>
        <v>0</v>
      </c>
      <c r="S1144" s="96"/>
      <c r="T1144" s="96">
        <f t="shared" si="3097"/>
        <v>0</v>
      </c>
      <c r="U1144" s="96"/>
      <c r="V1144" s="96">
        <f t="shared" si="3098"/>
        <v>0</v>
      </c>
      <c r="W1144" s="96"/>
      <c r="X1144" s="96">
        <f t="shared" si="3099"/>
        <v>0</v>
      </c>
      <c r="Y1144" s="96">
        <f t="shared" si="3100"/>
        <v>0</v>
      </c>
      <c r="Z1144" s="96">
        <f t="shared" si="3101"/>
        <v>0</v>
      </c>
      <c r="AA1144" s="96"/>
      <c r="AB1144" s="96">
        <f t="shared" si="3102"/>
        <v>0</v>
      </c>
      <c r="AC1144" s="96"/>
      <c r="AD1144" s="96">
        <f t="shared" si="3103"/>
        <v>0</v>
      </c>
      <c r="AE1144" s="96"/>
      <c r="AF1144" s="96">
        <f t="shared" si="3104"/>
        <v>0</v>
      </c>
      <c r="AG1144" s="96">
        <f t="shared" si="3105"/>
        <v>0</v>
      </c>
      <c r="AH1144" s="96">
        <f t="shared" si="3106"/>
        <v>0</v>
      </c>
      <c r="AI1144" s="96">
        <f t="shared" si="3107"/>
        <v>0</v>
      </c>
      <c r="AJ1144" s="96">
        <f t="shared" si="3108"/>
        <v>0</v>
      </c>
      <c r="AK1144" s="96"/>
      <c r="AL1144" s="96">
        <f t="shared" si="3109"/>
        <v>0</v>
      </c>
      <c r="AM1144" s="96"/>
      <c r="AN1144" s="96">
        <f t="shared" si="3110"/>
        <v>0</v>
      </c>
      <c r="AO1144" s="96"/>
      <c r="AP1144" s="96">
        <f t="shared" si="3120"/>
        <v>0</v>
      </c>
      <c r="AQ1144" s="96">
        <f t="shared" si="3111"/>
        <v>0</v>
      </c>
      <c r="AR1144" s="96">
        <f t="shared" si="3112"/>
        <v>0</v>
      </c>
      <c r="AS1144" s="96"/>
      <c r="AT1144" s="96">
        <f t="shared" si="3113"/>
        <v>0</v>
      </c>
      <c r="AU1144" s="96"/>
      <c r="AV1144" s="96">
        <f t="shared" si="3114"/>
        <v>0</v>
      </c>
      <c r="AW1144" s="96"/>
      <c r="AX1144" s="96">
        <f t="shared" si="3115"/>
        <v>0</v>
      </c>
      <c r="AY1144" s="96">
        <f t="shared" si="3116"/>
        <v>0</v>
      </c>
      <c r="AZ1144" s="96">
        <f t="shared" si="3117"/>
        <v>0</v>
      </c>
      <c r="BA1144" s="96">
        <f t="shared" si="3118"/>
        <v>0</v>
      </c>
      <c r="BB1144" s="96">
        <f t="shared" si="3119"/>
        <v>0</v>
      </c>
    </row>
    <row r="1145" spans="1:54">
      <c r="A1145" s="492">
        <v>711</v>
      </c>
      <c r="B1145" s="13"/>
      <c r="C1145" s="299"/>
      <c r="D1145" s="13" t="s">
        <v>486</v>
      </c>
      <c r="E1145" s="21" t="s">
        <v>623</v>
      </c>
      <c r="F1145" s="45" t="s">
        <v>384</v>
      </c>
      <c r="G1145" s="45" t="s">
        <v>1059</v>
      </c>
      <c r="H1145" s="265" t="s">
        <v>428</v>
      </c>
      <c r="I1145" s="54">
        <v>9.6199999999999992</v>
      </c>
      <c r="J1145" s="162"/>
      <c r="K1145" s="54">
        <v>9.6199999999999992</v>
      </c>
      <c r="L1145" s="162"/>
      <c r="M1145" s="54"/>
      <c r="N1145" s="162"/>
      <c r="O1145" s="54"/>
      <c r="P1145" s="162"/>
      <c r="Q1145" s="96">
        <f t="shared" si="3095"/>
        <v>0</v>
      </c>
      <c r="R1145" s="337">
        <f t="shared" si="3096"/>
        <v>0</v>
      </c>
      <c r="S1145" s="96"/>
      <c r="T1145" s="96">
        <f t="shared" si="3097"/>
        <v>0</v>
      </c>
      <c r="U1145" s="96"/>
      <c r="V1145" s="96">
        <f t="shared" si="3098"/>
        <v>0</v>
      </c>
      <c r="W1145" s="96"/>
      <c r="X1145" s="96">
        <f t="shared" si="3099"/>
        <v>0</v>
      </c>
      <c r="Y1145" s="96">
        <f t="shared" si="3100"/>
        <v>0</v>
      </c>
      <c r="Z1145" s="96">
        <f t="shared" si="3101"/>
        <v>0</v>
      </c>
      <c r="AA1145" s="96"/>
      <c r="AB1145" s="96">
        <f t="shared" si="3102"/>
        <v>0</v>
      </c>
      <c r="AC1145" s="96"/>
      <c r="AD1145" s="96">
        <f t="shared" si="3103"/>
        <v>0</v>
      </c>
      <c r="AE1145" s="96"/>
      <c r="AF1145" s="96">
        <f t="shared" si="3104"/>
        <v>0</v>
      </c>
      <c r="AG1145" s="96">
        <f t="shared" si="3105"/>
        <v>0</v>
      </c>
      <c r="AH1145" s="96">
        <f t="shared" si="3106"/>
        <v>0</v>
      </c>
      <c r="AI1145" s="96">
        <f t="shared" si="3107"/>
        <v>0</v>
      </c>
      <c r="AJ1145" s="96">
        <f t="shared" si="3108"/>
        <v>0</v>
      </c>
      <c r="AK1145" s="96"/>
      <c r="AL1145" s="96">
        <f t="shared" si="3109"/>
        <v>0</v>
      </c>
      <c r="AM1145" s="96"/>
      <c r="AN1145" s="96">
        <f t="shared" si="3110"/>
        <v>0</v>
      </c>
      <c r="AO1145" s="96"/>
      <c r="AP1145" s="96">
        <f t="shared" si="3120"/>
        <v>0</v>
      </c>
      <c r="AQ1145" s="96">
        <f t="shared" si="3111"/>
        <v>0</v>
      </c>
      <c r="AR1145" s="96">
        <f t="shared" si="3112"/>
        <v>0</v>
      </c>
      <c r="AS1145" s="96"/>
      <c r="AT1145" s="96">
        <f t="shared" si="3113"/>
        <v>0</v>
      </c>
      <c r="AU1145" s="96"/>
      <c r="AV1145" s="96">
        <f t="shared" si="3114"/>
        <v>0</v>
      </c>
      <c r="AW1145" s="96"/>
      <c r="AX1145" s="96">
        <f t="shared" si="3115"/>
        <v>0</v>
      </c>
      <c r="AY1145" s="96">
        <f t="shared" si="3116"/>
        <v>0</v>
      </c>
      <c r="AZ1145" s="96">
        <f t="shared" si="3117"/>
        <v>0</v>
      </c>
      <c r="BA1145" s="96">
        <f t="shared" si="3118"/>
        <v>0</v>
      </c>
      <c r="BB1145" s="96">
        <f t="shared" si="3119"/>
        <v>0</v>
      </c>
    </row>
    <row r="1146" spans="1:54">
      <c r="A1146" s="492">
        <v>712</v>
      </c>
      <c r="B1146" s="13"/>
      <c r="C1146" s="299"/>
      <c r="D1146" s="13" t="s">
        <v>487</v>
      </c>
      <c r="E1146" s="21" t="s">
        <v>385</v>
      </c>
      <c r="F1146" s="45" t="s">
        <v>384</v>
      </c>
      <c r="G1146" s="45" t="s">
        <v>1059</v>
      </c>
      <c r="H1146" s="265" t="s">
        <v>428</v>
      </c>
      <c r="I1146" s="54">
        <v>9.6199999999999992</v>
      </c>
      <c r="J1146" s="162"/>
      <c r="K1146" s="54">
        <v>9.6199999999999992</v>
      </c>
      <c r="L1146" s="162"/>
      <c r="M1146" s="54"/>
      <c r="N1146" s="162"/>
      <c r="O1146" s="54"/>
      <c r="P1146" s="162"/>
      <c r="Q1146" s="96">
        <f t="shared" si="3095"/>
        <v>0</v>
      </c>
      <c r="R1146" s="337">
        <f t="shared" si="3096"/>
        <v>0</v>
      </c>
      <c r="S1146" s="96"/>
      <c r="T1146" s="96">
        <f t="shared" si="3097"/>
        <v>0</v>
      </c>
      <c r="U1146" s="96"/>
      <c r="V1146" s="96">
        <f t="shared" si="3098"/>
        <v>0</v>
      </c>
      <c r="W1146" s="96"/>
      <c r="X1146" s="96">
        <f t="shared" si="3099"/>
        <v>0</v>
      </c>
      <c r="Y1146" s="96">
        <f t="shared" si="3100"/>
        <v>0</v>
      </c>
      <c r="Z1146" s="96">
        <f t="shared" si="3101"/>
        <v>0</v>
      </c>
      <c r="AA1146" s="96"/>
      <c r="AB1146" s="96">
        <f t="shared" si="3102"/>
        <v>0</v>
      </c>
      <c r="AC1146" s="96"/>
      <c r="AD1146" s="96">
        <f t="shared" si="3103"/>
        <v>0</v>
      </c>
      <c r="AE1146" s="96"/>
      <c r="AF1146" s="96">
        <f t="shared" si="3104"/>
        <v>0</v>
      </c>
      <c r="AG1146" s="96">
        <f t="shared" si="3105"/>
        <v>0</v>
      </c>
      <c r="AH1146" s="96">
        <f t="shared" si="3106"/>
        <v>0</v>
      </c>
      <c r="AI1146" s="96">
        <f t="shared" si="3107"/>
        <v>0</v>
      </c>
      <c r="AJ1146" s="96">
        <f t="shared" si="3108"/>
        <v>0</v>
      </c>
      <c r="AK1146" s="96"/>
      <c r="AL1146" s="96">
        <f t="shared" si="3109"/>
        <v>0</v>
      </c>
      <c r="AM1146" s="96"/>
      <c r="AN1146" s="96">
        <f t="shared" si="3110"/>
        <v>0</v>
      </c>
      <c r="AO1146" s="96"/>
      <c r="AP1146" s="96">
        <f t="shared" si="3120"/>
        <v>0</v>
      </c>
      <c r="AQ1146" s="96">
        <f t="shared" si="3111"/>
        <v>0</v>
      </c>
      <c r="AR1146" s="96">
        <f t="shared" si="3112"/>
        <v>0</v>
      </c>
      <c r="AS1146" s="96"/>
      <c r="AT1146" s="96">
        <f t="shared" si="3113"/>
        <v>0</v>
      </c>
      <c r="AU1146" s="96"/>
      <c r="AV1146" s="96">
        <f t="shared" si="3114"/>
        <v>0</v>
      </c>
      <c r="AW1146" s="96"/>
      <c r="AX1146" s="96">
        <f t="shared" si="3115"/>
        <v>0</v>
      </c>
      <c r="AY1146" s="96">
        <f t="shared" si="3116"/>
        <v>0</v>
      </c>
      <c r="AZ1146" s="96">
        <f t="shared" si="3117"/>
        <v>0</v>
      </c>
      <c r="BA1146" s="96">
        <f t="shared" si="3118"/>
        <v>0</v>
      </c>
      <c r="BB1146" s="96">
        <f t="shared" si="3119"/>
        <v>0</v>
      </c>
    </row>
    <row r="1147" spans="1:54">
      <c r="A1147" s="492">
        <v>713</v>
      </c>
      <c r="B1147" s="13"/>
      <c r="C1147" s="299"/>
      <c r="D1147" s="13" t="s">
        <v>383</v>
      </c>
      <c r="E1147" s="21" t="s">
        <v>386</v>
      </c>
      <c r="F1147" s="45" t="s">
        <v>384</v>
      </c>
      <c r="G1147" s="45" t="s">
        <v>1059</v>
      </c>
      <c r="H1147" s="265" t="s">
        <v>428</v>
      </c>
      <c r="I1147" s="54">
        <v>9.6199999999999992</v>
      </c>
      <c r="J1147" s="162"/>
      <c r="K1147" s="54">
        <v>9.6199999999999992</v>
      </c>
      <c r="L1147" s="162"/>
      <c r="M1147" s="54"/>
      <c r="N1147" s="162"/>
      <c r="O1147" s="54"/>
      <c r="P1147" s="162"/>
      <c r="Q1147" s="96">
        <f t="shared" si="3095"/>
        <v>0</v>
      </c>
      <c r="R1147" s="337">
        <f t="shared" si="3096"/>
        <v>0</v>
      </c>
      <c r="S1147" s="96"/>
      <c r="T1147" s="96">
        <f t="shared" si="3097"/>
        <v>0</v>
      </c>
      <c r="U1147" s="96"/>
      <c r="V1147" s="96">
        <f t="shared" si="3098"/>
        <v>0</v>
      </c>
      <c r="W1147" s="96"/>
      <c r="X1147" s="96">
        <f t="shared" si="3099"/>
        <v>0</v>
      </c>
      <c r="Y1147" s="96">
        <f t="shared" si="3100"/>
        <v>0</v>
      </c>
      <c r="Z1147" s="96">
        <f t="shared" si="3101"/>
        <v>0</v>
      </c>
      <c r="AA1147" s="96"/>
      <c r="AB1147" s="96">
        <f t="shared" si="3102"/>
        <v>0</v>
      </c>
      <c r="AC1147" s="96"/>
      <c r="AD1147" s="96">
        <f t="shared" si="3103"/>
        <v>0</v>
      </c>
      <c r="AE1147" s="96"/>
      <c r="AF1147" s="96">
        <f t="shared" si="3104"/>
        <v>0</v>
      </c>
      <c r="AG1147" s="96">
        <f t="shared" si="3105"/>
        <v>0</v>
      </c>
      <c r="AH1147" s="96">
        <f t="shared" si="3106"/>
        <v>0</v>
      </c>
      <c r="AI1147" s="96">
        <f t="shared" si="3107"/>
        <v>0</v>
      </c>
      <c r="AJ1147" s="96">
        <f t="shared" si="3108"/>
        <v>0</v>
      </c>
      <c r="AK1147" s="96"/>
      <c r="AL1147" s="96">
        <f t="shared" si="3109"/>
        <v>0</v>
      </c>
      <c r="AM1147" s="96"/>
      <c r="AN1147" s="96">
        <f t="shared" si="3110"/>
        <v>0</v>
      </c>
      <c r="AO1147" s="96"/>
      <c r="AP1147" s="96">
        <f t="shared" si="3120"/>
        <v>0</v>
      </c>
      <c r="AQ1147" s="96">
        <f t="shared" si="3111"/>
        <v>0</v>
      </c>
      <c r="AR1147" s="96">
        <f t="shared" si="3112"/>
        <v>0</v>
      </c>
      <c r="AS1147" s="96"/>
      <c r="AT1147" s="96">
        <f t="shared" si="3113"/>
        <v>0</v>
      </c>
      <c r="AU1147" s="96"/>
      <c r="AV1147" s="96">
        <f t="shared" si="3114"/>
        <v>0</v>
      </c>
      <c r="AW1147" s="96"/>
      <c r="AX1147" s="96">
        <f t="shared" si="3115"/>
        <v>0</v>
      </c>
      <c r="AY1147" s="96">
        <f t="shared" si="3116"/>
        <v>0</v>
      </c>
      <c r="AZ1147" s="96">
        <f t="shared" si="3117"/>
        <v>0</v>
      </c>
      <c r="BA1147" s="96">
        <f t="shared" si="3118"/>
        <v>0</v>
      </c>
      <c r="BB1147" s="96">
        <f t="shared" si="3119"/>
        <v>0</v>
      </c>
    </row>
    <row r="1148" spans="1:54">
      <c r="A1148" s="492">
        <v>714</v>
      </c>
      <c r="B1148" s="13"/>
      <c r="C1148" s="299"/>
      <c r="D1148" s="13" t="s">
        <v>484</v>
      </c>
      <c r="E1148" s="21" t="s">
        <v>387</v>
      </c>
      <c r="F1148" s="45" t="s">
        <v>384</v>
      </c>
      <c r="G1148" s="45" t="s">
        <v>1059</v>
      </c>
      <c r="H1148" s="265" t="s">
        <v>428</v>
      </c>
      <c r="I1148" s="54">
        <v>9.6199999999999992</v>
      </c>
      <c r="J1148" s="162"/>
      <c r="K1148" s="54">
        <v>9.6199999999999992</v>
      </c>
      <c r="L1148" s="162"/>
      <c r="M1148" s="54"/>
      <c r="N1148" s="162"/>
      <c r="O1148" s="54"/>
      <c r="P1148" s="162"/>
      <c r="Q1148" s="96">
        <f t="shared" si="3095"/>
        <v>0</v>
      </c>
      <c r="R1148" s="337">
        <f t="shared" si="3096"/>
        <v>0</v>
      </c>
      <c r="S1148" s="96"/>
      <c r="T1148" s="96">
        <f t="shared" si="3097"/>
        <v>0</v>
      </c>
      <c r="U1148" s="96"/>
      <c r="V1148" s="96">
        <f t="shared" si="3098"/>
        <v>0</v>
      </c>
      <c r="W1148" s="96"/>
      <c r="X1148" s="96">
        <f t="shared" si="3099"/>
        <v>0</v>
      </c>
      <c r="Y1148" s="96">
        <f t="shared" si="3100"/>
        <v>0</v>
      </c>
      <c r="Z1148" s="96">
        <f t="shared" si="3101"/>
        <v>0</v>
      </c>
      <c r="AA1148" s="96"/>
      <c r="AB1148" s="96">
        <f t="shared" si="3102"/>
        <v>0</v>
      </c>
      <c r="AC1148" s="96"/>
      <c r="AD1148" s="96">
        <f t="shared" si="3103"/>
        <v>0</v>
      </c>
      <c r="AE1148" s="96"/>
      <c r="AF1148" s="96">
        <f t="shared" si="3104"/>
        <v>0</v>
      </c>
      <c r="AG1148" s="96">
        <f t="shared" si="3105"/>
        <v>0</v>
      </c>
      <c r="AH1148" s="96">
        <f t="shared" si="3106"/>
        <v>0</v>
      </c>
      <c r="AI1148" s="96">
        <f t="shared" si="3107"/>
        <v>0</v>
      </c>
      <c r="AJ1148" s="96">
        <f t="shared" si="3108"/>
        <v>0</v>
      </c>
      <c r="AK1148" s="96"/>
      <c r="AL1148" s="96">
        <f t="shared" si="3109"/>
        <v>0</v>
      </c>
      <c r="AM1148" s="96"/>
      <c r="AN1148" s="96">
        <f t="shared" si="3110"/>
        <v>0</v>
      </c>
      <c r="AO1148" s="96"/>
      <c r="AP1148" s="96">
        <f t="shared" si="3120"/>
        <v>0</v>
      </c>
      <c r="AQ1148" s="96">
        <f t="shared" si="3111"/>
        <v>0</v>
      </c>
      <c r="AR1148" s="96">
        <f t="shared" si="3112"/>
        <v>0</v>
      </c>
      <c r="AS1148" s="96"/>
      <c r="AT1148" s="96">
        <f t="shared" si="3113"/>
        <v>0</v>
      </c>
      <c r="AU1148" s="96"/>
      <c r="AV1148" s="96">
        <f t="shared" si="3114"/>
        <v>0</v>
      </c>
      <c r="AW1148" s="96"/>
      <c r="AX1148" s="96">
        <f t="shared" si="3115"/>
        <v>0</v>
      </c>
      <c r="AY1148" s="96">
        <f t="shared" si="3116"/>
        <v>0</v>
      </c>
      <c r="AZ1148" s="96">
        <f t="shared" si="3117"/>
        <v>0</v>
      </c>
      <c r="BA1148" s="96">
        <f t="shared" si="3118"/>
        <v>0</v>
      </c>
      <c r="BB1148" s="96">
        <f t="shared" si="3119"/>
        <v>0</v>
      </c>
    </row>
    <row r="1149" spans="1:54">
      <c r="A1149" s="492">
        <v>715</v>
      </c>
      <c r="B1149" s="13"/>
      <c r="C1149" s="299"/>
      <c r="D1149" s="14" t="s">
        <v>487</v>
      </c>
      <c r="E1149" s="21" t="s">
        <v>624</v>
      </c>
      <c r="F1149" s="45" t="s">
        <v>384</v>
      </c>
      <c r="G1149" s="45" t="s">
        <v>1059</v>
      </c>
      <c r="H1149" s="265" t="s">
        <v>428</v>
      </c>
      <c r="I1149" s="54">
        <v>9.6199999999999992</v>
      </c>
      <c r="J1149" s="162"/>
      <c r="K1149" s="54">
        <v>9.6199999999999992</v>
      </c>
      <c r="L1149" s="162"/>
      <c r="M1149" s="54"/>
      <c r="N1149" s="162"/>
      <c r="O1149" s="54"/>
      <c r="P1149" s="162"/>
      <c r="Q1149" s="96">
        <f t="shared" si="3095"/>
        <v>0</v>
      </c>
      <c r="R1149" s="337">
        <f t="shared" si="3096"/>
        <v>0</v>
      </c>
      <c r="S1149" s="96"/>
      <c r="T1149" s="96">
        <f t="shared" si="3097"/>
        <v>0</v>
      </c>
      <c r="U1149" s="96"/>
      <c r="V1149" s="96">
        <f t="shared" si="3098"/>
        <v>0</v>
      </c>
      <c r="W1149" s="96"/>
      <c r="X1149" s="96">
        <f t="shared" si="3099"/>
        <v>0</v>
      </c>
      <c r="Y1149" s="96">
        <f t="shared" si="3100"/>
        <v>0</v>
      </c>
      <c r="Z1149" s="96">
        <f t="shared" si="3101"/>
        <v>0</v>
      </c>
      <c r="AA1149" s="96"/>
      <c r="AB1149" s="96">
        <f t="shared" si="3102"/>
        <v>0</v>
      </c>
      <c r="AC1149" s="96"/>
      <c r="AD1149" s="96">
        <f t="shared" si="3103"/>
        <v>0</v>
      </c>
      <c r="AE1149" s="96"/>
      <c r="AF1149" s="96">
        <f t="shared" si="3104"/>
        <v>0</v>
      </c>
      <c r="AG1149" s="96">
        <f t="shared" si="3105"/>
        <v>0</v>
      </c>
      <c r="AH1149" s="96">
        <f t="shared" si="3106"/>
        <v>0</v>
      </c>
      <c r="AI1149" s="96">
        <f t="shared" si="3107"/>
        <v>0</v>
      </c>
      <c r="AJ1149" s="96">
        <f t="shared" si="3108"/>
        <v>0</v>
      </c>
      <c r="AK1149" s="96"/>
      <c r="AL1149" s="96">
        <f t="shared" si="3109"/>
        <v>0</v>
      </c>
      <c r="AM1149" s="96"/>
      <c r="AN1149" s="96">
        <f t="shared" si="3110"/>
        <v>0</v>
      </c>
      <c r="AO1149" s="96"/>
      <c r="AP1149" s="96">
        <f t="shared" si="3120"/>
        <v>0</v>
      </c>
      <c r="AQ1149" s="96">
        <f t="shared" si="3111"/>
        <v>0</v>
      </c>
      <c r="AR1149" s="96">
        <f t="shared" si="3112"/>
        <v>0</v>
      </c>
      <c r="AS1149" s="96"/>
      <c r="AT1149" s="96">
        <f t="shared" si="3113"/>
        <v>0</v>
      </c>
      <c r="AU1149" s="96"/>
      <c r="AV1149" s="96">
        <f t="shared" si="3114"/>
        <v>0</v>
      </c>
      <c r="AW1149" s="96"/>
      <c r="AX1149" s="96">
        <f t="shared" si="3115"/>
        <v>0</v>
      </c>
      <c r="AY1149" s="96">
        <f t="shared" si="3116"/>
        <v>0</v>
      </c>
      <c r="AZ1149" s="96">
        <f t="shared" si="3117"/>
        <v>0</v>
      </c>
      <c r="BA1149" s="96">
        <f t="shared" si="3118"/>
        <v>0</v>
      </c>
      <c r="BB1149" s="96">
        <f t="shared" si="3119"/>
        <v>0</v>
      </c>
    </row>
    <row r="1150" spans="1:54">
      <c r="A1150" s="492">
        <v>716</v>
      </c>
      <c r="B1150" s="13"/>
      <c r="C1150" s="299"/>
      <c r="D1150" s="14" t="s">
        <v>379</v>
      </c>
      <c r="E1150" s="21" t="s">
        <v>625</v>
      </c>
      <c r="F1150" s="45" t="s">
        <v>376</v>
      </c>
      <c r="G1150" s="45" t="s">
        <v>1059</v>
      </c>
      <c r="H1150" s="265" t="s">
        <v>359</v>
      </c>
      <c r="I1150" s="54">
        <v>9.6199999999999992</v>
      </c>
      <c r="J1150" s="162"/>
      <c r="K1150" s="54">
        <v>9.6199999999999992</v>
      </c>
      <c r="L1150" s="162"/>
      <c r="M1150" s="54"/>
      <c r="N1150" s="162"/>
      <c r="O1150" s="54"/>
      <c r="P1150" s="162"/>
      <c r="Q1150" s="96">
        <f t="shared" si="3095"/>
        <v>0</v>
      </c>
      <c r="R1150" s="337">
        <f t="shared" si="3096"/>
        <v>0</v>
      </c>
      <c r="S1150" s="96"/>
      <c r="T1150" s="96">
        <f t="shared" si="3097"/>
        <v>0</v>
      </c>
      <c r="U1150" s="96"/>
      <c r="V1150" s="96">
        <f t="shared" si="3098"/>
        <v>0</v>
      </c>
      <c r="W1150" s="96"/>
      <c r="X1150" s="96">
        <f t="shared" si="3099"/>
        <v>0</v>
      </c>
      <c r="Y1150" s="96">
        <f t="shared" si="3100"/>
        <v>0</v>
      </c>
      <c r="Z1150" s="96">
        <f t="shared" si="3101"/>
        <v>0</v>
      </c>
      <c r="AA1150" s="96"/>
      <c r="AB1150" s="96">
        <f t="shared" si="3102"/>
        <v>0</v>
      </c>
      <c r="AC1150" s="96"/>
      <c r="AD1150" s="96">
        <f t="shared" si="3103"/>
        <v>0</v>
      </c>
      <c r="AE1150" s="96"/>
      <c r="AF1150" s="96">
        <f t="shared" si="3104"/>
        <v>0</v>
      </c>
      <c r="AG1150" s="96">
        <f t="shared" si="3105"/>
        <v>0</v>
      </c>
      <c r="AH1150" s="96">
        <f t="shared" si="3106"/>
        <v>0</v>
      </c>
      <c r="AI1150" s="96">
        <f t="shared" si="3107"/>
        <v>0</v>
      </c>
      <c r="AJ1150" s="96">
        <f t="shared" si="3108"/>
        <v>0</v>
      </c>
      <c r="AK1150" s="96"/>
      <c r="AL1150" s="96">
        <f t="shared" si="3109"/>
        <v>0</v>
      </c>
      <c r="AM1150" s="96"/>
      <c r="AN1150" s="96">
        <f t="shared" si="3110"/>
        <v>0</v>
      </c>
      <c r="AO1150" s="96"/>
      <c r="AP1150" s="96">
        <f t="shared" si="3120"/>
        <v>0</v>
      </c>
      <c r="AQ1150" s="96">
        <f t="shared" si="3111"/>
        <v>0</v>
      </c>
      <c r="AR1150" s="96">
        <f t="shared" si="3112"/>
        <v>0</v>
      </c>
      <c r="AS1150" s="96"/>
      <c r="AT1150" s="96">
        <f t="shared" si="3113"/>
        <v>0</v>
      </c>
      <c r="AU1150" s="96"/>
      <c r="AV1150" s="96">
        <f t="shared" si="3114"/>
        <v>0</v>
      </c>
      <c r="AW1150" s="96"/>
      <c r="AX1150" s="96">
        <f t="shared" si="3115"/>
        <v>0</v>
      </c>
      <c r="AY1150" s="96">
        <f t="shared" si="3116"/>
        <v>0</v>
      </c>
      <c r="AZ1150" s="96">
        <f t="shared" si="3117"/>
        <v>0</v>
      </c>
      <c r="BA1150" s="96">
        <f t="shared" si="3118"/>
        <v>0</v>
      </c>
      <c r="BB1150" s="96">
        <f t="shared" si="3119"/>
        <v>0</v>
      </c>
    </row>
    <row r="1151" spans="1:54">
      <c r="A1151" s="492">
        <v>717</v>
      </c>
      <c r="B1151" s="13"/>
      <c r="C1151" s="299"/>
      <c r="D1151" s="14" t="s">
        <v>561</v>
      </c>
      <c r="E1151" s="21" t="s">
        <v>911</v>
      </c>
      <c r="F1151" s="45" t="s">
        <v>376</v>
      </c>
      <c r="G1151" s="45" t="s">
        <v>1059</v>
      </c>
      <c r="H1151" s="265" t="s">
        <v>428</v>
      </c>
      <c r="I1151" s="54">
        <v>8.9499999999999993</v>
      </c>
      <c r="J1151" s="162"/>
      <c r="K1151" s="54">
        <v>8.9499999999999993</v>
      </c>
      <c r="L1151" s="162"/>
      <c r="M1151" s="54"/>
      <c r="N1151" s="162"/>
      <c r="O1151" s="54"/>
      <c r="P1151" s="162"/>
      <c r="Q1151" s="96">
        <f t="shared" si="3095"/>
        <v>0</v>
      </c>
      <c r="R1151" s="337">
        <f t="shared" si="3096"/>
        <v>0</v>
      </c>
      <c r="S1151" s="96"/>
      <c r="T1151" s="96">
        <f t="shared" si="3097"/>
        <v>0</v>
      </c>
      <c r="U1151" s="96"/>
      <c r="V1151" s="96">
        <f t="shared" si="3098"/>
        <v>0</v>
      </c>
      <c r="W1151" s="96"/>
      <c r="X1151" s="96">
        <f t="shared" si="3099"/>
        <v>0</v>
      </c>
      <c r="Y1151" s="96">
        <f t="shared" si="3100"/>
        <v>0</v>
      </c>
      <c r="Z1151" s="96">
        <f t="shared" si="3101"/>
        <v>0</v>
      </c>
      <c r="AA1151" s="96"/>
      <c r="AB1151" s="96">
        <f t="shared" si="3102"/>
        <v>0</v>
      </c>
      <c r="AC1151" s="96"/>
      <c r="AD1151" s="96">
        <f t="shared" si="3103"/>
        <v>0</v>
      </c>
      <c r="AE1151" s="96"/>
      <c r="AF1151" s="96">
        <f t="shared" si="3104"/>
        <v>0</v>
      </c>
      <c r="AG1151" s="96">
        <f t="shared" si="3105"/>
        <v>0</v>
      </c>
      <c r="AH1151" s="96">
        <f t="shared" si="3106"/>
        <v>0</v>
      </c>
      <c r="AI1151" s="96">
        <f t="shared" si="3107"/>
        <v>0</v>
      </c>
      <c r="AJ1151" s="96">
        <f t="shared" si="3108"/>
        <v>0</v>
      </c>
      <c r="AK1151" s="96"/>
      <c r="AL1151" s="96">
        <f t="shared" si="3109"/>
        <v>0</v>
      </c>
      <c r="AM1151" s="96"/>
      <c r="AN1151" s="96">
        <f t="shared" si="3110"/>
        <v>0</v>
      </c>
      <c r="AO1151" s="96"/>
      <c r="AP1151" s="96">
        <f t="shared" si="3120"/>
        <v>0</v>
      </c>
      <c r="AQ1151" s="96">
        <f t="shared" si="3111"/>
        <v>0</v>
      </c>
      <c r="AR1151" s="96">
        <f t="shared" si="3112"/>
        <v>0</v>
      </c>
      <c r="AS1151" s="96"/>
      <c r="AT1151" s="96">
        <f t="shared" si="3113"/>
        <v>0</v>
      </c>
      <c r="AU1151" s="96"/>
      <c r="AV1151" s="96">
        <f t="shared" si="3114"/>
        <v>0</v>
      </c>
      <c r="AW1151" s="96"/>
      <c r="AX1151" s="96">
        <f t="shared" si="3115"/>
        <v>0</v>
      </c>
      <c r="AY1151" s="96">
        <f t="shared" si="3116"/>
        <v>0</v>
      </c>
      <c r="AZ1151" s="96">
        <f t="shared" si="3117"/>
        <v>0</v>
      </c>
      <c r="BA1151" s="96">
        <f t="shared" si="3118"/>
        <v>0</v>
      </c>
      <c r="BB1151" s="96">
        <f t="shared" si="3119"/>
        <v>0</v>
      </c>
    </row>
    <row r="1152" spans="1:54" s="6" customFormat="1">
      <c r="A1152" s="492">
        <v>718</v>
      </c>
      <c r="B1152" s="14"/>
      <c r="C1152" s="299"/>
      <c r="D1152" s="14" t="s">
        <v>487</v>
      </c>
      <c r="E1152" s="16" t="s">
        <v>555</v>
      </c>
      <c r="F1152" s="44" t="s">
        <v>375</v>
      </c>
      <c r="G1152" s="44" t="s">
        <v>1059</v>
      </c>
      <c r="H1152" s="264" t="s">
        <v>359</v>
      </c>
      <c r="I1152" s="232">
        <v>9.6199999999999992</v>
      </c>
      <c r="J1152" s="239"/>
      <c r="K1152" s="232">
        <v>9.6199999999999992</v>
      </c>
      <c r="L1152" s="239"/>
      <c r="M1152" s="232"/>
      <c r="N1152" s="239"/>
      <c r="O1152" s="232"/>
      <c r="P1152" s="239"/>
      <c r="Q1152" s="95">
        <f t="shared" si="3095"/>
        <v>0</v>
      </c>
      <c r="R1152" s="335">
        <f t="shared" si="3096"/>
        <v>0</v>
      </c>
      <c r="S1152" s="95"/>
      <c r="T1152" s="95">
        <f t="shared" si="3097"/>
        <v>0</v>
      </c>
      <c r="U1152" s="95"/>
      <c r="V1152" s="95">
        <f t="shared" si="3098"/>
        <v>0</v>
      </c>
      <c r="W1152" s="95"/>
      <c r="X1152" s="95">
        <f t="shared" si="3099"/>
        <v>0</v>
      </c>
      <c r="Y1152" s="95">
        <f t="shared" si="3100"/>
        <v>0</v>
      </c>
      <c r="Z1152" s="95">
        <f t="shared" si="3101"/>
        <v>0</v>
      </c>
      <c r="AA1152" s="95"/>
      <c r="AB1152" s="95">
        <f t="shared" si="3102"/>
        <v>0</v>
      </c>
      <c r="AC1152" s="95"/>
      <c r="AD1152" s="95">
        <f t="shared" si="3103"/>
        <v>0</v>
      </c>
      <c r="AE1152" s="95"/>
      <c r="AF1152" s="96">
        <f t="shared" si="3104"/>
        <v>0</v>
      </c>
      <c r="AG1152" s="95">
        <f t="shared" si="3105"/>
        <v>0</v>
      </c>
      <c r="AH1152" s="95">
        <f t="shared" si="3106"/>
        <v>0</v>
      </c>
      <c r="AI1152" s="95">
        <f t="shared" si="3107"/>
        <v>0</v>
      </c>
      <c r="AJ1152" s="95">
        <f t="shared" si="3108"/>
        <v>0</v>
      </c>
      <c r="AK1152" s="95"/>
      <c r="AL1152" s="95">
        <f t="shared" si="3109"/>
        <v>0</v>
      </c>
      <c r="AM1152" s="95"/>
      <c r="AN1152" s="95">
        <f t="shared" si="3110"/>
        <v>0</v>
      </c>
      <c r="AO1152" s="95"/>
      <c r="AP1152" s="95">
        <f t="shared" si="3120"/>
        <v>0</v>
      </c>
      <c r="AQ1152" s="95">
        <f t="shared" si="3111"/>
        <v>0</v>
      </c>
      <c r="AR1152" s="95">
        <f t="shared" si="3112"/>
        <v>0</v>
      </c>
      <c r="AS1152" s="95"/>
      <c r="AT1152" s="95">
        <f t="shared" si="3113"/>
        <v>0</v>
      </c>
      <c r="AU1152" s="95"/>
      <c r="AV1152" s="95">
        <f t="shared" si="3114"/>
        <v>0</v>
      </c>
      <c r="AW1152" s="95"/>
      <c r="AX1152" s="95">
        <f t="shared" si="3115"/>
        <v>0</v>
      </c>
      <c r="AY1152" s="95">
        <f t="shared" si="3116"/>
        <v>0</v>
      </c>
      <c r="AZ1152" s="95">
        <f t="shared" si="3117"/>
        <v>0</v>
      </c>
      <c r="BA1152" s="95">
        <f t="shared" si="3118"/>
        <v>0</v>
      </c>
      <c r="BB1152" s="95">
        <f t="shared" si="3119"/>
        <v>0</v>
      </c>
    </row>
    <row r="1153" spans="1:54" s="6" customFormat="1">
      <c r="A1153" s="492">
        <v>719</v>
      </c>
      <c r="B1153" s="14"/>
      <c r="C1153" s="299"/>
      <c r="D1153" s="14" t="s">
        <v>372</v>
      </c>
      <c r="E1153" s="16" t="s">
        <v>845</v>
      </c>
      <c r="F1153" s="44" t="s">
        <v>375</v>
      </c>
      <c r="G1153" s="44" t="s">
        <v>1059</v>
      </c>
      <c r="H1153" s="264" t="s">
        <v>359</v>
      </c>
      <c r="I1153" s="232">
        <v>8.9499999999999993</v>
      </c>
      <c r="J1153" s="239"/>
      <c r="K1153" s="232">
        <v>8.9499999999999993</v>
      </c>
      <c r="L1153" s="239"/>
      <c r="M1153" s="232"/>
      <c r="N1153" s="239"/>
      <c r="O1153" s="232"/>
      <c r="P1153" s="239"/>
      <c r="Q1153" s="95">
        <f t="shared" si="3095"/>
        <v>0</v>
      </c>
      <c r="R1153" s="335">
        <f t="shared" si="3096"/>
        <v>0</v>
      </c>
      <c r="S1153" s="95"/>
      <c r="T1153" s="95">
        <f t="shared" si="3097"/>
        <v>0</v>
      </c>
      <c r="U1153" s="95"/>
      <c r="V1153" s="95">
        <f t="shared" si="3098"/>
        <v>0</v>
      </c>
      <c r="W1153" s="95"/>
      <c r="X1153" s="95">
        <f t="shared" si="3099"/>
        <v>0</v>
      </c>
      <c r="Y1153" s="95">
        <f t="shared" si="3100"/>
        <v>0</v>
      </c>
      <c r="Z1153" s="95">
        <f t="shared" si="3101"/>
        <v>0</v>
      </c>
      <c r="AA1153" s="95"/>
      <c r="AB1153" s="95">
        <f t="shared" si="3102"/>
        <v>0</v>
      </c>
      <c r="AC1153" s="95"/>
      <c r="AD1153" s="95">
        <f t="shared" si="3103"/>
        <v>0</v>
      </c>
      <c r="AE1153" s="95"/>
      <c r="AF1153" s="96">
        <f t="shared" si="3104"/>
        <v>0</v>
      </c>
      <c r="AG1153" s="95">
        <f t="shared" si="3105"/>
        <v>0</v>
      </c>
      <c r="AH1153" s="95">
        <f t="shared" si="3106"/>
        <v>0</v>
      </c>
      <c r="AI1153" s="95">
        <f t="shared" si="3107"/>
        <v>0</v>
      </c>
      <c r="AJ1153" s="95">
        <f t="shared" si="3108"/>
        <v>0</v>
      </c>
      <c r="AK1153" s="95"/>
      <c r="AL1153" s="95">
        <f t="shared" si="3109"/>
        <v>0</v>
      </c>
      <c r="AM1153" s="95"/>
      <c r="AN1153" s="95">
        <f t="shared" si="3110"/>
        <v>0</v>
      </c>
      <c r="AO1153" s="95"/>
      <c r="AP1153" s="95">
        <f t="shared" si="3120"/>
        <v>0</v>
      </c>
      <c r="AQ1153" s="95">
        <f t="shared" si="3111"/>
        <v>0</v>
      </c>
      <c r="AR1153" s="95">
        <f t="shared" si="3112"/>
        <v>0</v>
      </c>
      <c r="AS1153" s="95"/>
      <c r="AT1153" s="95">
        <f t="shared" si="3113"/>
        <v>0</v>
      </c>
      <c r="AU1153" s="95"/>
      <c r="AV1153" s="95">
        <f t="shared" si="3114"/>
        <v>0</v>
      </c>
      <c r="AW1153" s="95"/>
      <c r="AX1153" s="95">
        <f t="shared" si="3115"/>
        <v>0</v>
      </c>
      <c r="AY1153" s="95">
        <f t="shared" si="3116"/>
        <v>0</v>
      </c>
      <c r="AZ1153" s="95">
        <f t="shared" si="3117"/>
        <v>0</v>
      </c>
      <c r="BA1153" s="95">
        <f t="shared" si="3118"/>
        <v>0</v>
      </c>
      <c r="BB1153" s="95">
        <f t="shared" si="3119"/>
        <v>0</v>
      </c>
    </row>
    <row r="1154" spans="1:54" s="6" customFormat="1">
      <c r="A1154" s="492">
        <v>720</v>
      </c>
      <c r="B1154" s="14"/>
      <c r="C1154" s="299"/>
      <c r="D1154" s="14" t="s">
        <v>487</v>
      </c>
      <c r="E1154" s="16" t="s">
        <v>1273</v>
      </c>
      <c r="F1154" s="44" t="s">
        <v>375</v>
      </c>
      <c r="G1154" s="44" t="s">
        <v>1059</v>
      </c>
      <c r="H1154" s="264" t="s">
        <v>359</v>
      </c>
      <c r="I1154" s="232">
        <v>9.82</v>
      </c>
      <c r="J1154" s="239"/>
      <c r="K1154" s="232">
        <v>9.82</v>
      </c>
      <c r="L1154" s="239"/>
      <c r="M1154" s="232"/>
      <c r="N1154" s="239"/>
      <c r="O1154" s="232"/>
      <c r="P1154" s="239"/>
      <c r="Q1154" s="95">
        <f t="shared" si="3095"/>
        <v>0</v>
      </c>
      <c r="R1154" s="335">
        <f t="shared" si="3096"/>
        <v>0</v>
      </c>
      <c r="S1154" s="95"/>
      <c r="T1154" s="95">
        <f t="shared" si="3097"/>
        <v>0</v>
      </c>
      <c r="U1154" s="95"/>
      <c r="V1154" s="95">
        <f t="shared" si="3098"/>
        <v>0</v>
      </c>
      <c r="W1154" s="95"/>
      <c r="X1154" s="95">
        <f t="shared" si="3099"/>
        <v>0</v>
      </c>
      <c r="Y1154" s="95">
        <f t="shared" si="3100"/>
        <v>0</v>
      </c>
      <c r="Z1154" s="95">
        <f t="shared" si="3101"/>
        <v>0</v>
      </c>
      <c r="AA1154" s="95"/>
      <c r="AB1154" s="95">
        <f t="shared" si="3102"/>
        <v>0</v>
      </c>
      <c r="AC1154" s="95"/>
      <c r="AD1154" s="95">
        <f t="shared" si="3103"/>
        <v>0</v>
      </c>
      <c r="AE1154" s="95"/>
      <c r="AF1154" s="96">
        <f t="shared" si="3104"/>
        <v>0</v>
      </c>
      <c r="AG1154" s="95">
        <f t="shared" si="3105"/>
        <v>0</v>
      </c>
      <c r="AH1154" s="95">
        <f t="shared" si="3106"/>
        <v>0</v>
      </c>
      <c r="AI1154" s="95">
        <f t="shared" si="3107"/>
        <v>0</v>
      </c>
      <c r="AJ1154" s="95">
        <f t="shared" si="3108"/>
        <v>0</v>
      </c>
      <c r="AK1154" s="95"/>
      <c r="AL1154" s="95">
        <f t="shared" si="3109"/>
        <v>0</v>
      </c>
      <c r="AM1154" s="95"/>
      <c r="AN1154" s="95">
        <f t="shared" si="3110"/>
        <v>0</v>
      </c>
      <c r="AO1154" s="95"/>
      <c r="AP1154" s="95">
        <f t="shared" si="3120"/>
        <v>0</v>
      </c>
      <c r="AQ1154" s="95">
        <f t="shared" si="3111"/>
        <v>0</v>
      </c>
      <c r="AR1154" s="95">
        <f t="shared" si="3112"/>
        <v>0</v>
      </c>
      <c r="AS1154" s="95"/>
      <c r="AT1154" s="95">
        <f t="shared" si="3113"/>
        <v>0</v>
      </c>
      <c r="AU1154" s="95"/>
      <c r="AV1154" s="95">
        <f t="shared" si="3114"/>
        <v>0</v>
      </c>
      <c r="AW1154" s="95"/>
      <c r="AX1154" s="95">
        <f t="shared" si="3115"/>
        <v>0</v>
      </c>
      <c r="AY1154" s="95">
        <f t="shared" si="3116"/>
        <v>0</v>
      </c>
      <c r="AZ1154" s="95">
        <f t="shared" si="3117"/>
        <v>0</v>
      </c>
      <c r="BA1154" s="95">
        <f t="shared" si="3118"/>
        <v>0</v>
      </c>
      <c r="BB1154" s="95">
        <f t="shared" si="3119"/>
        <v>0</v>
      </c>
    </row>
    <row r="1155" spans="1:54" s="6" customFormat="1">
      <c r="A1155" s="492">
        <v>721</v>
      </c>
      <c r="B1155" s="14"/>
      <c r="C1155" s="299"/>
      <c r="D1155" s="14" t="s">
        <v>366</v>
      </c>
      <c r="E1155" s="16" t="s">
        <v>459</v>
      </c>
      <c r="F1155" s="44" t="s">
        <v>375</v>
      </c>
      <c r="G1155" s="44" t="s">
        <v>1059</v>
      </c>
      <c r="H1155" s="264" t="s">
        <v>359</v>
      </c>
      <c r="I1155" s="232">
        <v>9.6199999999999992</v>
      </c>
      <c r="J1155" s="239"/>
      <c r="K1155" s="232">
        <v>9.6199999999999992</v>
      </c>
      <c r="L1155" s="239"/>
      <c r="M1155" s="232"/>
      <c r="N1155" s="239"/>
      <c r="O1155" s="232"/>
      <c r="P1155" s="239"/>
      <c r="Q1155" s="95">
        <f t="shared" si="3095"/>
        <v>0</v>
      </c>
      <c r="R1155" s="335">
        <f t="shared" si="3096"/>
        <v>0</v>
      </c>
      <c r="S1155" s="95"/>
      <c r="T1155" s="95">
        <f t="shared" si="3097"/>
        <v>0</v>
      </c>
      <c r="U1155" s="95"/>
      <c r="V1155" s="95">
        <f t="shared" si="3098"/>
        <v>0</v>
      </c>
      <c r="W1155" s="95"/>
      <c r="X1155" s="95">
        <f t="shared" si="3099"/>
        <v>0</v>
      </c>
      <c r="Y1155" s="95">
        <f t="shared" si="3100"/>
        <v>0</v>
      </c>
      <c r="Z1155" s="95">
        <f t="shared" si="3101"/>
        <v>0</v>
      </c>
      <c r="AA1155" s="95"/>
      <c r="AB1155" s="95">
        <f t="shared" si="3102"/>
        <v>0</v>
      </c>
      <c r="AC1155" s="95"/>
      <c r="AD1155" s="95">
        <f t="shared" si="3103"/>
        <v>0</v>
      </c>
      <c r="AE1155" s="95"/>
      <c r="AF1155" s="96">
        <f t="shared" si="3104"/>
        <v>0</v>
      </c>
      <c r="AG1155" s="95">
        <f t="shared" si="3105"/>
        <v>0</v>
      </c>
      <c r="AH1155" s="95">
        <f t="shared" si="3106"/>
        <v>0</v>
      </c>
      <c r="AI1155" s="95">
        <f t="shared" si="3107"/>
        <v>0</v>
      </c>
      <c r="AJ1155" s="95">
        <f t="shared" si="3108"/>
        <v>0</v>
      </c>
      <c r="AK1155" s="95"/>
      <c r="AL1155" s="95">
        <f t="shared" si="3109"/>
        <v>0</v>
      </c>
      <c r="AM1155" s="95"/>
      <c r="AN1155" s="95">
        <f t="shared" si="3110"/>
        <v>0</v>
      </c>
      <c r="AO1155" s="95"/>
      <c r="AP1155" s="95">
        <f t="shared" si="3120"/>
        <v>0</v>
      </c>
      <c r="AQ1155" s="95">
        <f t="shared" si="3111"/>
        <v>0</v>
      </c>
      <c r="AR1155" s="95">
        <f t="shared" si="3112"/>
        <v>0</v>
      </c>
      <c r="AS1155" s="95"/>
      <c r="AT1155" s="95">
        <f t="shared" si="3113"/>
        <v>0</v>
      </c>
      <c r="AU1155" s="95"/>
      <c r="AV1155" s="95">
        <f t="shared" si="3114"/>
        <v>0</v>
      </c>
      <c r="AW1155" s="95"/>
      <c r="AX1155" s="95">
        <f t="shared" si="3115"/>
        <v>0</v>
      </c>
      <c r="AY1155" s="95">
        <f t="shared" si="3116"/>
        <v>0</v>
      </c>
      <c r="AZ1155" s="95">
        <f t="shared" si="3117"/>
        <v>0</v>
      </c>
      <c r="BA1155" s="95">
        <f t="shared" si="3118"/>
        <v>0</v>
      </c>
      <c r="BB1155" s="95">
        <f t="shared" si="3119"/>
        <v>0</v>
      </c>
    </row>
    <row r="1156" spans="1:54">
      <c r="A1156" s="492">
        <v>722</v>
      </c>
      <c r="B1156" s="13"/>
      <c r="C1156" s="299"/>
      <c r="D1156" s="14" t="s">
        <v>796</v>
      </c>
      <c r="E1156" s="21" t="s">
        <v>1149</v>
      </c>
      <c r="F1156" s="45" t="s">
        <v>384</v>
      </c>
      <c r="G1156" s="45" t="s">
        <v>1059</v>
      </c>
      <c r="H1156" s="265" t="s">
        <v>359</v>
      </c>
      <c r="I1156" s="54">
        <v>8.9499999999999993</v>
      </c>
      <c r="J1156" s="162"/>
      <c r="K1156" s="54">
        <v>8.9499999999999993</v>
      </c>
      <c r="L1156" s="162"/>
      <c r="M1156" s="54"/>
      <c r="N1156" s="162"/>
      <c r="O1156" s="54"/>
      <c r="P1156" s="162"/>
      <c r="Q1156" s="96">
        <f t="shared" si="3095"/>
        <v>0</v>
      </c>
      <c r="R1156" s="337">
        <f t="shared" si="3096"/>
        <v>0</v>
      </c>
      <c r="S1156" s="96"/>
      <c r="T1156" s="96">
        <f t="shared" si="3097"/>
        <v>0</v>
      </c>
      <c r="U1156" s="96"/>
      <c r="V1156" s="96">
        <f t="shared" si="3098"/>
        <v>0</v>
      </c>
      <c r="W1156" s="96"/>
      <c r="X1156" s="96">
        <f t="shared" si="3099"/>
        <v>0</v>
      </c>
      <c r="Y1156" s="96">
        <f t="shared" si="3100"/>
        <v>0</v>
      </c>
      <c r="Z1156" s="96">
        <f t="shared" si="3101"/>
        <v>0</v>
      </c>
      <c r="AA1156" s="96"/>
      <c r="AB1156" s="96">
        <f t="shared" si="3102"/>
        <v>0</v>
      </c>
      <c r="AC1156" s="96"/>
      <c r="AD1156" s="96">
        <f t="shared" si="3103"/>
        <v>0</v>
      </c>
      <c r="AE1156" s="96"/>
      <c r="AF1156" s="96">
        <f t="shared" si="3104"/>
        <v>0</v>
      </c>
      <c r="AG1156" s="96">
        <f t="shared" si="3105"/>
        <v>0</v>
      </c>
      <c r="AH1156" s="96">
        <f t="shared" si="3106"/>
        <v>0</v>
      </c>
      <c r="AI1156" s="96">
        <f t="shared" si="3107"/>
        <v>0</v>
      </c>
      <c r="AJ1156" s="96">
        <f t="shared" si="3108"/>
        <v>0</v>
      </c>
      <c r="AK1156" s="96"/>
      <c r="AL1156" s="96">
        <f t="shared" si="3109"/>
        <v>0</v>
      </c>
      <c r="AM1156" s="96"/>
      <c r="AN1156" s="96">
        <f t="shared" si="3110"/>
        <v>0</v>
      </c>
      <c r="AO1156" s="96"/>
      <c r="AP1156" s="96">
        <f t="shared" si="3120"/>
        <v>0</v>
      </c>
      <c r="AQ1156" s="96">
        <f t="shared" si="3111"/>
        <v>0</v>
      </c>
      <c r="AR1156" s="96">
        <f t="shared" si="3112"/>
        <v>0</v>
      </c>
      <c r="AS1156" s="96"/>
      <c r="AT1156" s="96">
        <f t="shared" si="3113"/>
        <v>0</v>
      </c>
      <c r="AU1156" s="96"/>
      <c r="AV1156" s="96">
        <f t="shared" si="3114"/>
        <v>0</v>
      </c>
      <c r="AW1156" s="96"/>
      <c r="AX1156" s="96">
        <f t="shared" si="3115"/>
        <v>0</v>
      </c>
      <c r="AY1156" s="96">
        <f t="shared" si="3116"/>
        <v>0</v>
      </c>
      <c r="AZ1156" s="96">
        <f t="shared" si="3117"/>
        <v>0</v>
      </c>
      <c r="BA1156" s="96">
        <f t="shared" si="3118"/>
        <v>0</v>
      </c>
      <c r="BB1156" s="96">
        <f t="shared" si="3119"/>
        <v>0</v>
      </c>
    </row>
    <row r="1157" spans="1:54">
      <c r="A1157" s="492">
        <v>723</v>
      </c>
      <c r="B1157" s="13"/>
      <c r="C1157" s="13"/>
      <c r="D1157" s="13" t="s">
        <v>796</v>
      </c>
      <c r="E1157" s="21" t="s">
        <v>1081</v>
      </c>
      <c r="F1157" s="45" t="s">
        <v>377</v>
      </c>
      <c r="G1157" s="22" t="s">
        <v>1069</v>
      </c>
      <c r="H1157" s="265" t="s">
        <v>1080</v>
      </c>
      <c r="I1157" s="54">
        <v>8.9499999999999993</v>
      </c>
      <c r="J1157" s="101"/>
      <c r="K1157" s="54">
        <v>8.9499999999999993</v>
      </c>
      <c r="L1157" s="162"/>
      <c r="M1157" s="54"/>
      <c r="N1157" s="162"/>
      <c r="O1157" s="54"/>
      <c r="P1157" s="101"/>
      <c r="Q1157" s="96">
        <f t="shared" si="3095"/>
        <v>0</v>
      </c>
      <c r="R1157" s="337">
        <f t="shared" si="3096"/>
        <v>0</v>
      </c>
      <c r="S1157" s="96"/>
      <c r="T1157" s="96">
        <f t="shared" si="3097"/>
        <v>0</v>
      </c>
      <c r="U1157" s="96"/>
      <c r="V1157" s="176">
        <f t="shared" si="3098"/>
        <v>0</v>
      </c>
      <c r="W1157" s="206"/>
      <c r="X1157" s="205">
        <f t="shared" si="3099"/>
        <v>0</v>
      </c>
      <c r="Y1157" s="188">
        <f t="shared" si="3100"/>
        <v>0</v>
      </c>
      <c r="Z1157" s="176">
        <f t="shared" si="3101"/>
        <v>0</v>
      </c>
      <c r="AA1157" s="206"/>
      <c r="AB1157" s="205">
        <f t="shared" si="3102"/>
        <v>0</v>
      </c>
      <c r="AC1157" s="206"/>
      <c r="AD1157" s="176">
        <f t="shared" si="3103"/>
        <v>0</v>
      </c>
      <c r="AE1157" s="206"/>
      <c r="AF1157" s="205">
        <f t="shared" si="3104"/>
        <v>0</v>
      </c>
      <c r="AG1157" s="188">
        <f t="shared" si="3105"/>
        <v>0</v>
      </c>
      <c r="AH1157" s="96">
        <f t="shared" si="3106"/>
        <v>0</v>
      </c>
      <c r="AI1157" s="96">
        <f t="shared" si="3107"/>
        <v>0</v>
      </c>
      <c r="AJ1157" s="176">
        <f t="shared" si="3108"/>
        <v>0</v>
      </c>
      <c r="AK1157" s="206"/>
      <c r="AL1157" s="176">
        <f t="shared" si="3109"/>
        <v>0</v>
      </c>
      <c r="AM1157" s="243"/>
      <c r="AN1157" s="176">
        <f t="shared" si="3110"/>
        <v>0</v>
      </c>
      <c r="AO1157" s="206"/>
      <c r="AP1157" s="205">
        <f t="shared" si="3120"/>
        <v>0</v>
      </c>
      <c r="AQ1157" s="188">
        <f t="shared" si="3111"/>
        <v>0</v>
      </c>
      <c r="AR1157" s="96">
        <f t="shared" si="3112"/>
        <v>0</v>
      </c>
      <c r="AS1157" s="96"/>
      <c r="AT1157" s="176">
        <f t="shared" si="3113"/>
        <v>0</v>
      </c>
      <c r="AU1157" s="206"/>
      <c r="AV1157" s="176">
        <f t="shared" si="3114"/>
        <v>0</v>
      </c>
      <c r="AW1157" s="206"/>
      <c r="AX1157" s="205">
        <f t="shared" si="3115"/>
        <v>0</v>
      </c>
      <c r="AY1157" s="188">
        <f t="shared" si="3116"/>
        <v>0</v>
      </c>
      <c r="AZ1157" s="96">
        <f t="shared" si="3117"/>
        <v>0</v>
      </c>
      <c r="BA1157" s="96">
        <f t="shared" si="3118"/>
        <v>0</v>
      </c>
      <c r="BB1157" s="96">
        <f t="shared" si="3119"/>
        <v>0</v>
      </c>
    </row>
    <row r="1158" spans="1:54">
      <c r="A1158" s="492">
        <v>724</v>
      </c>
      <c r="B1158" s="13"/>
      <c r="C1158" s="299"/>
      <c r="D1158" s="14" t="s">
        <v>796</v>
      </c>
      <c r="E1158" s="21" t="s">
        <v>1371</v>
      </c>
      <c r="F1158" s="45" t="s">
        <v>384</v>
      </c>
      <c r="G1158" s="45" t="s">
        <v>1059</v>
      </c>
      <c r="H1158" s="265" t="s">
        <v>359</v>
      </c>
      <c r="I1158" s="54">
        <v>9.92</v>
      </c>
      <c r="J1158" s="162"/>
      <c r="K1158" s="54">
        <v>9.92</v>
      </c>
      <c r="L1158" s="162"/>
      <c r="M1158" s="54"/>
      <c r="N1158" s="162"/>
      <c r="O1158" s="54"/>
      <c r="P1158" s="162"/>
      <c r="Q1158" s="96">
        <f t="shared" si="3095"/>
        <v>0</v>
      </c>
      <c r="R1158" s="337">
        <f t="shared" si="3096"/>
        <v>0</v>
      </c>
      <c r="S1158" s="96"/>
      <c r="T1158" s="96">
        <f t="shared" si="3097"/>
        <v>0</v>
      </c>
      <c r="U1158" s="96"/>
      <c r="V1158" s="96">
        <f t="shared" si="3098"/>
        <v>0</v>
      </c>
      <c r="W1158" s="96"/>
      <c r="X1158" s="96">
        <f t="shared" si="3099"/>
        <v>0</v>
      </c>
      <c r="Y1158" s="96">
        <f t="shared" si="3100"/>
        <v>0</v>
      </c>
      <c r="Z1158" s="96">
        <f t="shared" si="3101"/>
        <v>0</v>
      </c>
      <c r="AA1158" s="96"/>
      <c r="AB1158" s="96">
        <f t="shared" si="3102"/>
        <v>0</v>
      </c>
      <c r="AC1158" s="96"/>
      <c r="AD1158" s="96">
        <f t="shared" si="3103"/>
        <v>0</v>
      </c>
      <c r="AE1158" s="96"/>
      <c r="AF1158" s="96">
        <f t="shared" si="3104"/>
        <v>0</v>
      </c>
      <c r="AG1158" s="96">
        <f t="shared" si="3105"/>
        <v>0</v>
      </c>
      <c r="AH1158" s="96">
        <f t="shared" si="3106"/>
        <v>0</v>
      </c>
      <c r="AI1158" s="96">
        <f t="shared" si="3107"/>
        <v>0</v>
      </c>
      <c r="AJ1158" s="96">
        <f t="shared" si="3108"/>
        <v>0</v>
      </c>
      <c r="AK1158" s="96"/>
      <c r="AL1158" s="96">
        <f t="shared" si="3109"/>
        <v>0</v>
      </c>
      <c r="AM1158" s="96"/>
      <c r="AN1158" s="96">
        <f t="shared" si="3110"/>
        <v>0</v>
      </c>
      <c r="AO1158" s="96"/>
      <c r="AP1158" s="96">
        <f t="shared" si="3120"/>
        <v>0</v>
      </c>
      <c r="AQ1158" s="96">
        <f t="shared" si="3111"/>
        <v>0</v>
      </c>
      <c r="AR1158" s="96">
        <f t="shared" si="3112"/>
        <v>0</v>
      </c>
      <c r="AS1158" s="96"/>
      <c r="AT1158" s="96">
        <f t="shared" si="3113"/>
        <v>0</v>
      </c>
      <c r="AU1158" s="96"/>
      <c r="AV1158" s="96">
        <f t="shared" si="3114"/>
        <v>0</v>
      </c>
      <c r="AW1158" s="96"/>
      <c r="AX1158" s="96">
        <f t="shared" si="3115"/>
        <v>0</v>
      </c>
      <c r="AY1158" s="96">
        <f t="shared" si="3116"/>
        <v>0</v>
      </c>
      <c r="AZ1158" s="96">
        <f t="shared" si="3117"/>
        <v>0</v>
      </c>
      <c r="BA1158" s="96">
        <f t="shared" si="3118"/>
        <v>0</v>
      </c>
      <c r="BB1158" s="96">
        <f t="shared" si="3119"/>
        <v>0</v>
      </c>
    </row>
    <row r="1159" spans="1:54">
      <c r="A1159" s="492">
        <v>725</v>
      </c>
      <c r="B1159" s="13"/>
      <c r="C1159" s="299"/>
      <c r="D1159" s="14" t="s">
        <v>796</v>
      </c>
      <c r="E1159" s="21" t="s">
        <v>1562</v>
      </c>
      <c r="F1159" s="45" t="s">
        <v>384</v>
      </c>
      <c r="G1159" s="45" t="s">
        <v>1059</v>
      </c>
      <c r="H1159" s="265" t="s">
        <v>359</v>
      </c>
      <c r="I1159" s="54">
        <v>13.41</v>
      </c>
      <c r="J1159" s="162"/>
      <c r="K1159" s="54">
        <v>13.41</v>
      </c>
      <c r="L1159" s="162"/>
      <c r="M1159" s="54"/>
      <c r="N1159" s="162"/>
      <c r="O1159" s="54"/>
      <c r="P1159" s="162"/>
      <c r="Q1159" s="96">
        <f t="shared" si="3095"/>
        <v>0</v>
      </c>
      <c r="R1159" s="337">
        <f t="shared" si="3096"/>
        <v>0</v>
      </c>
      <c r="S1159" s="96"/>
      <c r="T1159" s="96">
        <f t="shared" si="3097"/>
        <v>0</v>
      </c>
      <c r="U1159" s="96"/>
      <c r="V1159" s="96">
        <f t="shared" si="3098"/>
        <v>0</v>
      </c>
      <c r="W1159" s="96"/>
      <c r="X1159" s="96">
        <f t="shared" si="3099"/>
        <v>0</v>
      </c>
      <c r="Y1159" s="96">
        <f t="shared" si="3100"/>
        <v>0</v>
      </c>
      <c r="Z1159" s="96">
        <f t="shared" si="3101"/>
        <v>0</v>
      </c>
      <c r="AA1159" s="96"/>
      <c r="AB1159" s="96">
        <f t="shared" si="3102"/>
        <v>0</v>
      </c>
      <c r="AC1159" s="96"/>
      <c r="AD1159" s="96">
        <f t="shared" si="3103"/>
        <v>0</v>
      </c>
      <c r="AE1159" s="96"/>
      <c r="AF1159" s="96">
        <f t="shared" si="3104"/>
        <v>0</v>
      </c>
      <c r="AG1159" s="96">
        <f t="shared" si="3105"/>
        <v>0</v>
      </c>
      <c r="AH1159" s="96">
        <f t="shared" si="3106"/>
        <v>0</v>
      </c>
      <c r="AI1159" s="96">
        <f t="shared" si="3107"/>
        <v>0</v>
      </c>
      <c r="AJ1159" s="96">
        <f t="shared" si="3108"/>
        <v>0</v>
      </c>
      <c r="AK1159" s="96"/>
      <c r="AL1159" s="96">
        <f t="shared" si="3109"/>
        <v>0</v>
      </c>
      <c r="AM1159" s="96"/>
      <c r="AN1159" s="96">
        <f t="shared" si="3110"/>
        <v>0</v>
      </c>
      <c r="AO1159" s="96"/>
      <c r="AP1159" s="96">
        <f t="shared" si="3120"/>
        <v>0</v>
      </c>
      <c r="AQ1159" s="96">
        <f t="shared" si="3111"/>
        <v>0</v>
      </c>
      <c r="AR1159" s="96">
        <f t="shared" si="3112"/>
        <v>0</v>
      </c>
      <c r="AS1159" s="96"/>
      <c r="AT1159" s="96">
        <f t="shared" si="3113"/>
        <v>0</v>
      </c>
      <c r="AU1159" s="96"/>
      <c r="AV1159" s="96">
        <f t="shared" si="3114"/>
        <v>0</v>
      </c>
      <c r="AW1159" s="96"/>
      <c r="AX1159" s="96">
        <f t="shared" si="3115"/>
        <v>0</v>
      </c>
      <c r="AY1159" s="96">
        <f t="shared" si="3116"/>
        <v>0</v>
      </c>
      <c r="AZ1159" s="96">
        <f t="shared" si="3117"/>
        <v>0</v>
      </c>
      <c r="BA1159" s="96">
        <f t="shared" si="3118"/>
        <v>0</v>
      </c>
      <c r="BB1159" s="96">
        <f t="shared" si="3119"/>
        <v>0</v>
      </c>
    </row>
    <row r="1160" spans="1:54" s="6" customFormat="1">
      <c r="A1160" s="492">
        <v>726</v>
      </c>
      <c r="B1160" s="14"/>
      <c r="C1160" s="299"/>
      <c r="D1160" s="14" t="s">
        <v>398</v>
      </c>
      <c r="E1160" s="16" t="s">
        <v>488</v>
      </c>
      <c r="F1160" s="44" t="s">
        <v>375</v>
      </c>
      <c r="G1160" s="44" t="s">
        <v>1059</v>
      </c>
      <c r="H1160" s="264" t="s">
        <v>359</v>
      </c>
      <c r="I1160" s="232">
        <v>9.6199999999999992</v>
      </c>
      <c r="J1160" s="239"/>
      <c r="K1160" s="232">
        <v>9.6199999999999992</v>
      </c>
      <c r="L1160" s="239"/>
      <c r="M1160" s="232"/>
      <c r="N1160" s="239"/>
      <c r="O1160" s="232"/>
      <c r="P1160" s="239"/>
      <c r="Q1160" s="95">
        <f t="shared" ref="Q1160:Q1240" si="3121">SUM(AI1160+BA1160)</f>
        <v>0</v>
      </c>
      <c r="R1160" s="335">
        <f t="shared" ref="R1160:R1240" si="3122">SUM(AJ1160+BB1160)</f>
        <v>0</v>
      </c>
      <c r="S1160" s="95"/>
      <c r="T1160" s="95">
        <f t="shared" ref="T1160:T1240" si="3123">I1160*S1160*$T$2/1000</f>
        <v>0</v>
      </c>
      <c r="U1160" s="95"/>
      <c r="V1160" s="95">
        <f t="shared" ref="V1160:V1240" si="3124">I1160*U1160*$V$2/1000</f>
        <v>0</v>
      </c>
      <c r="W1160" s="95"/>
      <c r="X1160" s="95">
        <f t="shared" ref="X1160:X1240" si="3125">I1160*W1160*$X$2/1000</f>
        <v>0</v>
      </c>
      <c r="Y1160" s="95">
        <f t="shared" ref="Y1160:Y1240" si="3126">SUM(S1160+U1160+W1160)</f>
        <v>0</v>
      </c>
      <c r="Z1160" s="95">
        <f t="shared" ref="Z1160:Z1240" si="3127">SUM(T1160+V1160+X1160)</f>
        <v>0</v>
      </c>
      <c r="AA1160" s="95"/>
      <c r="AB1160" s="95">
        <f t="shared" ref="AB1160:AB1240" si="3128">K1160*AA1160*$AB$2/1000</f>
        <v>0</v>
      </c>
      <c r="AC1160" s="95"/>
      <c r="AD1160" s="95">
        <f t="shared" ref="AD1160:AD1240" si="3129">K1160*AC1160*$AD$2/1000</f>
        <v>0</v>
      </c>
      <c r="AE1160" s="95"/>
      <c r="AF1160" s="95">
        <f t="shared" ref="AF1160:AF1240" si="3130">K1160*AE1160*$AF$2/1000</f>
        <v>0</v>
      </c>
      <c r="AG1160" s="95">
        <f t="shared" ref="AG1160:AG1240" si="3131">SUM(AA1160+AC1160+AE1160)</f>
        <v>0</v>
      </c>
      <c r="AH1160" s="95">
        <f t="shared" ref="AH1160:AH1240" si="3132">SUM(AB1160+AD1160+AF1160)</f>
        <v>0</v>
      </c>
      <c r="AI1160" s="95">
        <f t="shared" ref="AI1160:AI1240" si="3133">SUM(Y1160+AG1160)</f>
        <v>0</v>
      </c>
      <c r="AJ1160" s="95">
        <f t="shared" ref="AJ1160:AJ1240" si="3134">SUM(Z1160,AH1160)</f>
        <v>0</v>
      </c>
      <c r="AK1160" s="95"/>
      <c r="AL1160" s="95">
        <f t="shared" ref="AL1160:AL1240" si="3135">M1160*AK1160*$AL$2/1000</f>
        <v>0</v>
      </c>
      <c r="AM1160" s="95"/>
      <c r="AN1160" s="95">
        <f t="shared" ref="AN1160:AN1240" si="3136">M1160*AM1160*$AN$2/1000</f>
        <v>0</v>
      </c>
      <c r="AO1160" s="95"/>
      <c r="AP1160" s="95">
        <f t="shared" si="3120"/>
        <v>0</v>
      </c>
      <c r="AQ1160" s="95">
        <f t="shared" ref="AQ1160:AQ1240" si="3137">SUM(AK1160+AM1160+AO1160)</f>
        <v>0</v>
      </c>
      <c r="AR1160" s="95">
        <f t="shared" ref="AR1160:AR1240" si="3138">SUM(AL1160+AN1160+AP1160)</f>
        <v>0</v>
      </c>
      <c r="AS1160" s="95"/>
      <c r="AT1160" s="95">
        <f t="shared" ref="AT1160:AT1240" si="3139">O1160*AS1160*$AT$2/1000</f>
        <v>0</v>
      </c>
      <c r="AU1160" s="95"/>
      <c r="AV1160" s="95">
        <f t="shared" ref="AV1160:AV1240" si="3140">O1160*AU1160*$AV$2/1000</f>
        <v>0</v>
      </c>
      <c r="AW1160" s="95"/>
      <c r="AX1160" s="95">
        <f t="shared" ref="AX1160:AX1240" si="3141">O1160*AW1160*$AX$2/1000</f>
        <v>0</v>
      </c>
      <c r="AY1160" s="95">
        <f t="shared" ref="AY1160:AY1240" si="3142">SUM(AS1160+AU1160+AW1160)</f>
        <v>0</v>
      </c>
      <c r="AZ1160" s="95">
        <f t="shared" ref="AZ1160:AZ1240" si="3143">SUM(AT1160+AV1160+AX1160)</f>
        <v>0</v>
      </c>
      <c r="BA1160" s="95">
        <f t="shared" ref="BA1160:BA1240" si="3144">SUM(AQ1160+AY1160)</f>
        <v>0</v>
      </c>
      <c r="BB1160" s="95">
        <f t="shared" ref="BB1160:BB1240" si="3145">SUM(AR1160,AZ1160)</f>
        <v>0</v>
      </c>
    </row>
    <row r="1161" spans="1:54" s="6" customFormat="1">
      <c r="A1161" s="492">
        <v>727</v>
      </c>
      <c r="B1161" s="14"/>
      <c r="C1161" s="299"/>
      <c r="D1161" s="14" t="s">
        <v>398</v>
      </c>
      <c r="E1161" s="16" t="s">
        <v>912</v>
      </c>
      <c r="F1161" s="44" t="s">
        <v>375</v>
      </c>
      <c r="G1161" s="44" t="s">
        <v>1059</v>
      </c>
      <c r="H1161" s="264" t="s">
        <v>359</v>
      </c>
      <c r="I1161" s="232">
        <v>8.9499999999999993</v>
      </c>
      <c r="J1161" s="239"/>
      <c r="K1161" s="232">
        <v>8.9499999999999993</v>
      </c>
      <c r="L1161" s="239"/>
      <c r="M1161" s="232"/>
      <c r="N1161" s="239"/>
      <c r="O1161" s="232"/>
      <c r="P1161" s="239"/>
      <c r="Q1161" s="95">
        <f t="shared" si="3121"/>
        <v>0</v>
      </c>
      <c r="R1161" s="335">
        <f t="shared" si="3122"/>
        <v>0</v>
      </c>
      <c r="S1161" s="95"/>
      <c r="T1161" s="95">
        <f t="shared" si="3123"/>
        <v>0</v>
      </c>
      <c r="U1161" s="95"/>
      <c r="V1161" s="95">
        <f t="shared" si="3124"/>
        <v>0</v>
      </c>
      <c r="W1161" s="95"/>
      <c r="X1161" s="95">
        <f t="shared" si="3125"/>
        <v>0</v>
      </c>
      <c r="Y1161" s="95">
        <f t="shared" si="3126"/>
        <v>0</v>
      </c>
      <c r="Z1161" s="95">
        <f t="shared" si="3127"/>
        <v>0</v>
      </c>
      <c r="AA1161" s="95"/>
      <c r="AB1161" s="95">
        <f t="shared" si="3128"/>
        <v>0</v>
      </c>
      <c r="AC1161" s="95"/>
      <c r="AD1161" s="95">
        <f t="shared" si="3129"/>
        <v>0</v>
      </c>
      <c r="AE1161" s="95"/>
      <c r="AF1161" s="95">
        <f t="shared" si="3130"/>
        <v>0</v>
      </c>
      <c r="AG1161" s="95">
        <f t="shared" si="3131"/>
        <v>0</v>
      </c>
      <c r="AH1161" s="95">
        <f t="shared" si="3132"/>
        <v>0</v>
      </c>
      <c r="AI1161" s="95">
        <f t="shared" si="3133"/>
        <v>0</v>
      </c>
      <c r="AJ1161" s="95">
        <f t="shared" si="3134"/>
        <v>0</v>
      </c>
      <c r="AK1161" s="95"/>
      <c r="AL1161" s="95">
        <f t="shared" si="3135"/>
        <v>0</v>
      </c>
      <c r="AM1161" s="95"/>
      <c r="AN1161" s="95">
        <f t="shared" si="3136"/>
        <v>0</v>
      </c>
      <c r="AO1161" s="95"/>
      <c r="AP1161" s="95">
        <f t="shared" si="3120"/>
        <v>0</v>
      </c>
      <c r="AQ1161" s="95">
        <f t="shared" si="3137"/>
        <v>0</v>
      </c>
      <c r="AR1161" s="95">
        <f t="shared" si="3138"/>
        <v>0</v>
      </c>
      <c r="AS1161" s="95"/>
      <c r="AT1161" s="95">
        <f t="shared" si="3139"/>
        <v>0</v>
      </c>
      <c r="AU1161" s="95"/>
      <c r="AV1161" s="95">
        <f t="shared" si="3140"/>
        <v>0</v>
      </c>
      <c r="AW1161" s="95"/>
      <c r="AX1161" s="95">
        <f t="shared" si="3141"/>
        <v>0</v>
      </c>
      <c r="AY1161" s="95">
        <f t="shared" si="3142"/>
        <v>0</v>
      </c>
      <c r="AZ1161" s="95">
        <f t="shared" si="3143"/>
        <v>0</v>
      </c>
      <c r="BA1161" s="95">
        <f t="shared" si="3144"/>
        <v>0</v>
      </c>
      <c r="BB1161" s="95">
        <f t="shared" si="3145"/>
        <v>0</v>
      </c>
    </row>
    <row r="1162" spans="1:54" s="6" customFormat="1">
      <c r="A1162" s="492">
        <v>728</v>
      </c>
      <c r="B1162" s="14"/>
      <c r="C1162" s="299"/>
      <c r="D1162" s="14" t="s">
        <v>484</v>
      </c>
      <c r="E1162" s="16" t="s">
        <v>1304</v>
      </c>
      <c r="F1162" s="44" t="s">
        <v>384</v>
      </c>
      <c r="G1162" s="44" t="s">
        <v>1059</v>
      </c>
      <c r="H1162" s="264" t="s">
        <v>428</v>
      </c>
      <c r="I1162" s="232">
        <v>9.82</v>
      </c>
      <c r="J1162" s="239"/>
      <c r="K1162" s="232">
        <v>9.82</v>
      </c>
      <c r="L1162" s="239"/>
      <c r="M1162" s="232"/>
      <c r="N1162" s="239"/>
      <c r="O1162" s="232"/>
      <c r="P1162" s="239"/>
      <c r="Q1162" s="95">
        <f t="shared" si="3121"/>
        <v>0</v>
      </c>
      <c r="R1162" s="335">
        <f t="shared" si="3122"/>
        <v>0</v>
      </c>
      <c r="S1162" s="95"/>
      <c r="T1162" s="95">
        <f t="shared" si="3123"/>
        <v>0</v>
      </c>
      <c r="U1162" s="95"/>
      <c r="V1162" s="95">
        <f t="shared" si="3124"/>
        <v>0</v>
      </c>
      <c r="W1162" s="95"/>
      <c r="X1162" s="95">
        <f t="shared" si="3125"/>
        <v>0</v>
      </c>
      <c r="Y1162" s="95">
        <f t="shared" si="3126"/>
        <v>0</v>
      </c>
      <c r="Z1162" s="95">
        <f t="shared" si="3127"/>
        <v>0</v>
      </c>
      <c r="AA1162" s="95"/>
      <c r="AB1162" s="95">
        <f t="shared" si="3128"/>
        <v>0</v>
      </c>
      <c r="AC1162" s="95"/>
      <c r="AD1162" s="95">
        <f t="shared" si="3129"/>
        <v>0</v>
      </c>
      <c r="AE1162" s="95"/>
      <c r="AF1162" s="95">
        <f t="shared" si="3130"/>
        <v>0</v>
      </c>
      <c r="AG1162" s="95">
        <f t="shared" si="3131"/>
        <v>0</v>
      </c>
      <c r="AH1162" s="95">
        <f t="shared" si="3132"/>
        <v>0</v>
      </c>
      <c r="AI1162" s="95">
        <f t="shared" si="3133"/>
        <v>0</v>
      </c>
      <c r="AJ1162" s="95">
        <f t="shared" si="3134"/>
        <v>0</v>
      </c>
      <c r="AK1162" s="95"/>
      <c r="AL1162" s="95">
        <f t="shared" si="3135"/>
        <v>0</v>
      </c>
      <c r="AM1162" s="95"/>
      <c r="AN1162" s="95">
        <f t="shared" si="3136"/>
        <v>0</v>
      </c>
      <c r="AO1162" s="95"/>
      <c r="AP1162" s="95">
        <f t="shared" si="3120"/>
        <v>0</v>
      </c>
      <c r="AQ1162" s="95">
        <f t="shared" si="3137"/>
        <v>0</v>
      </c>
      <c r="AR1162" s="95">
        <f t="shared" si="3138"/>
        <v>0</v>
      </c>
      <c r="AS1162" s="95"/>
      <c r="AT1162" s="95">
        <f t="shared" si="3139"/>
        <v>0</v>
      </c>
      <c r="AU1162" s="95"/>
      <c r="AV1162" s="95">
        <f t="shared" si="3140"/>
        <v>0</v>
      </c>
      <c r="AW1162" s="95"/>
      <c r="AX1162" s="95">
        <f t="shared" si="3141"/>
        <v>0</v>
      </c>
      <c r="AY1162" s="95">
        <f t="shared" si="3142"/>
        <v>0</v>
      </c>
      <c r="AZ1162" s="95">
        <f t="shared" si="3143"/>
        <v>0</v>
      </c>
      <c r="BA1162" s="95">
        <f t="shared" si="3144"/>
        <v>0</v>
      </c>
      <c r="BB1162" s="95">
        <f t="shared" si="3145"/>
        <v>0</v>
      </c>
    </row>
    <row r="1163" spans="1:54">
      <c r="A1163" s="492">
        <v>729</v>
      </c>
      <c r="B1163" s="13"/>
      <c r="C1163" s="299"/>
      <c r="D1163" s="14" t="s">
        <v>796</v>
      </c>
      <c r="E1163" s="89" t="s">
        <v>797</v>
      </c>
      <c r="F1163" s="424" t="s">
        <v>384</v>
      </c>
      <c r="G1163" s="424" t="s">
        <v>1059</v>
      </c>
      <c r="H1163" s="284" t="s">
        <v>359</v>
      </c>
      <c r="I1163" s="75">
        <v>9.02</v>
      </c>
      <c r="J1163" s="167"/>
      <c r="K1163" s="75">
        <v>9.02</v>
      </c>
      <c r="L1163" s="167"/>
      <c r="M1163" s="75"/>
      <c r="N1163" s="167"/>
      <c r="O1163" s="75"/>
      <c r="P1163" s="167"/>
      <c r="Q1163" s="130">
        <f t="shared" si="3121"/>
        <v>0</v>
      </c>
      <c r="R1163" s="347">
        <f t="shared" si="3122"/>
        <v>0</v>
      </c>
      <c r="S1163" s="130"/>
      <c r="T1163" s="130">
        <f t="shared" si="3123"/>
        <v>0</v>
      </c>
      <c r="U1163" s="130"/>
      <c r="V1163" s="130">
        <f t="shared" si="3124"/>
        <v>0</v>
      </c>
      <c r="W1163" s="130"/>
      <c r="X1163" s="130">
        <f t="shared" si="3125"/>
        <v>0</v>
      </c>
      <c r="Y1163" s="130">
        <f t="shared" si="3126"/>
        <v>0</v>
      </c>
      <c r="Z1163" s="130">
        <f t="shared" si="3127"/>
        <v>0</v>
      </c>
      <c r="AA1163" s="130"/>
      <c r="AB1163" s="130">
        <f t="shared" si="3128"/>
        <v>0</v>
      </c>
      <c r="AC1163" s="130"/>
      <c r="AD1163" s="130">
        <f t="shared" si="3129"/>
        <v>0</v>
      </c>
      <c r="AE1163" s="130"/>
      <c r="AF1163" s="130">
        <f t="shared" si="3130"/>
        <v>0</v>
      </c>
      <c r="AG1163" s="130">
        <f t="shared" si="3131"/>
        <v>0</v>
      </c>
      <c r="AH1163" s="130">
        <f t="shared" si="3132"/>
        <v>0</v>
      </c>
      <c r="AI1163" s="130">
        <f t="shared" si="3133"/>
        <v>0</v>
      </c>
      <c r="AJ1163" s="130">
        <f t="shared" si="3134"/>
        <v>0</v>
      </c>
      <c r="AK1163" s="130"/>
      <c r="AL1163" s="130">
        <f t="shared" si="3135"/>
        <v>0</v>
      </c>
      <c r="AM1163" s="130"/>
      <c r="AN1163" s="130">
        <f t="shared" si="3136"/>
        <v>0</v>
      </c>
      <c r="AO1163" s="130"/>
      <c r="AP1163" s="130">
        <f t="shared" si="3120"/>
        <v>0</v>
      </c>
      <c r="AQ1163" s="130">
        <f t="shared" si="3137"/>
        <v>0</v>
      </c>
      <c r="AR1163" s="130">
        <f t="shared" si="3138"/>
        <v>0</v>
      </c>
      <c r="AS1163" s="130"/>
      <c r="AT1163" s="130">
        <f t="shared" si="3139"/>
        <v>0</v>
      </c>
      <c r="AU1163" s="130"/>
      <c r="AV1163" s="130">
        <f t="shared" si="3140"/>
        <v>0</v>
      </c>
      <c r="AW1163" s="130"/>
      <c r="AX1163" s="130">
        <f t="shared" si="3141"/>
        <v>0</v>
      </c>
      <c r="AY1163" s="130">
        <f t="shared" si="3142"/>
        <v>0</v>
      </c>
      <c r="AZ1163" s="130">
        <f t="shared" si="3143"/>
        <v>0</v>
      </c>
      <c r="BA1163" s="130">
        <f t="shared" si="3144"/>
        <v>0</v>
      </c>
      <c r="BB1163" s="130">
        <f t="shared" si="3145"/>
        <v>0</v>
      </c>
    </row>
    <row r="1164" spans="1:54">
      <c r="A1164" s="492">
        <v>730</v>
      </c>
      <c r="B1164" s="13"/>
      <c r="C1164" s="299"/>
      <c r="D1164" s="14" t="s">
        <v>796</v>
      </c>
      <c r="E1164" s="21" t="s">
        <v>1307</v>
      </c>
      <c r="F1164" s="45" t="s">
        <v>384</v>
      </c>
      <c r="G1164" s="45" t="s">
        <v>1059</v>
      </c>
      <c r="H1164" s="265" t="s">
        <v>359</v>
      </c>
      <c r="I1164" s="54">
        <v>9.92</v>
      </c>
      <c r="J1164" s="162"/>
      <c r="K1164" s="54">
        <v>9.92</v>
      </c>
      <c r="L1164" s="162"/>
      <c r="M1164" s="54"/>
      <c r="N1164" s="162"/>
      <c r="O1164" s="54"/>
      <c r="P1164" s="162"/>
      <c r="Q1164" s="96">
        <f t="shared" si="3121"/>
        <v>0</v>
      </c>
      <c r="R1164" s="337">
        <f t="shared" si="3122"/>
        <v>0</v>
      </c>
      <c r="S1164" s="96"/>
      <c r="T1164" s="96">
        <f t="shared" si="3123"/>
        <v>0</v>
      </c>
      <c r="U1164" s="96"/>
      <c r="V1164" s="96">
        <f t="shared" si="3124"/>
        <v>0</v>
      </c>
      <c r="W1164" s="96"/>
      <c r="X1164" s="96">
        <f t="shared" si="3125"/>
        <v>0</v>
      </c>
      <c r="Y1164" s="96">
        <f t="shared" si="3126"/>
        <v>0</v>
      </c>
      <c r="Z1164" s="96">
        <f t="shared" si="3127"/>
        <v>0</v>
      </c>
      <c r="AA1164" s="96"/>
      <c r="AB1164" s="96">
        <f t="shared" si="3128"/>
        <v>0</v>
      </c>
      <c r="AC1164" s="96"/>
      <c r="AD1164" s="96">
        <f t="shared" si="3129"/>
        <v>0</v>
      </c>
      <c r="AE1164" s="96"/>
      <c r="AF1164" s="96">
        <f t="shared" si="3130"/>
        <v>0</v>
      </c>
      <c r="AG1164" s="96">
        <f t="shared" si="3131"/>
        <v>0</v>
      </c>
      <c r="AH1164" s="96">
        <f t="shared" si="3132"/>
        <v>0</v>
      </c>
      <c r="AI1164" s="96">
        <f t="shared" si="3133"/>
        <v>0</v>
      </c>
      <c r="AJ1164" s="96">
        <f t="shared" si="3134"/>
        <v>0</v>
      </c>
      <c r="AK1164" s="96"/>
      <c r="AL1164" s="96">
        <f t="shared" si="3135"/>
        <v>0</v>
      </c>
      <c r="AM1164" s="96"/>
      <c r="AN1164" s="96">
        <f t="shared" si="3136"/>
        <v>0</v>
      </c>
      <c r="AO1164" s="96"/>
      <c r="AP1164" s="96">
        <f t="shared" si="3120"/>
        <v>0</v>
      </c>
      <c r="AQ1164" s="96">
        <f t="shared" si="3137"/>
        <v>0</v>
      </c>
      <c r="AR1164" s="96">
        <f t="shared" si="3138"/>
        <v>0</v>
      </c>
      <c r="AS1164" s="96"/>
      <c r="AT1164" s="96">
        <f t="shared" si="3139"/>
        <v>0</v>
      </c>
      <c r="AU1164" s="96"/>
      <c r="AV1164" s="96">
        <f t="shared" si="3140"/>
        <v>0</v>
      </c>
      <c r="AW1164" s="96"/>
      <c r="AX1164" s="96">
        <f t="shared" si="3141"/>
        <v>0</v>
      </c>
      <c r="AY1164" s="96">
        <f t="shared" si="3142"/>
        <v>0</v>
      </c>
      <c r="AZ1164" s="96">
        <f t="shared" si="3143"/>
        <v>0</v>
      </c>
      <c r="BA1164" s="96">
        <f t="shared" si="3144"/>
        <v>0</v>
      </c>
      <c r="BB1164" s="96">
        <f t="shared" si="3145"/>
        <v>0</v>
      </c>
    </row>
    <row r="1165" spans="1:54">
      <c r="A1165" s="492">
        <v>729</v>
      </c>
      <c r="B1165" s="13"/>
      <c r="C1165" s="299"/>
      <c r="D1165" s="14" t="s">
        <v>796</v>
      </c>
      <c r="E1165" s="89" t="s">
        <v>1402</v>
      </c>
      <c r="F1165" s="424" t="s">
        <v>375</v>
      </c>
      <c r="G1165" s="424" t="s">
        <v>1059</v>
      </c>
      <c r="H1165" s="284" t="s">
        <v>359</v>
      </c>
      <c r="I1165" s="75">
        <v>11.89</v>
      </c>
      <c r="J1165" s="167"/>
      <c r="K1165" s="75">
        <v>11.89</v>
      </c>
      <c r="L1165" s="167"/>
      <c r="M1165" s="75"/>
      <c r="N1165" s="167"/>
      <c r="O1165" s="75"/>
      <c r="P1165" s="167"/>
      <c r="Q1165" s="130">
        <f t="shared" si="3121"/>
        <v>0</v>
      </c>
      <c r="R1165" s="347">
        <f t="shared" si="3122"/>
        <v>0</v>
      </c>
      <c r="S1165" s="130"/>
      <c r="T1165" s="130">
        <f t="shared" si="3123"/>
        <v>0</v>
      </c>
      <c r="U1165" s="130"/>
      <c r="V1165" s="130">
        <f t="shared" si="3124"/>
        <v>0</v>
      </c>
      <c r="W1165" s="130"/>
      <c r="X1165" s="130">
        <f t="shared" si="3125"/>
        <v>0</v>
      </c>
      <c r="Y1165" s="130">
        <f t="shared" si="3126"/>
        <v>0</v>
      </c>
      <c r="Z1165" s="130">
        <f t="shared" si="3127"/>
        <v>0</v>
      </c>
      <c r="AA1165" s="130"/>
      <c r="AB1165" s="130">
        <f t="shared" si="3128"/>
        <v>0</v>
      </c>
      <c r="AC1165" s="130"/>
      <c r="AD1165" s="130">
        <f t="shared" si="3129"/>
        <v>0</v>
      </c>
      <c r="AE1165" s="130"/>
      <c r="AF1165" s="130">
        <f t="shared" si="3130"/>
        <v>0</v>
      </c>
      <c r="AG1165" s="130">
        <f t="shared" si="3131"/>
        <v>0</v>
      </c>
      <c r="AH1165" s="130">
        <f t="shared" si="3132"/>
        <v>0</v>
      </c>
      <c r="AI1165" s="130">
        <f t="shared" si="3133"/>
        <v>0</v>
      </c>
      <c r="AJ1165" s="130">
        <f t="shared" si="3134"/>
        <v>0</v>
      </c>
      <c r="AK1165" s="130"/>
      <c r="AL1165" s="130">
        <f t="shared" si="3135"/>
        <v>0</v>
      </c>
      <c r="AM1165" s="130"/>
      <c r="AN1165" s="130">
        <f t="shared" si="3136"/>
        <v>0</v>
      </c>
      <c r="AO1165" s="130"/>
      <c r="AP1165" s="130">
        <f t="shared" si="3120"/>
        <v>0</v>
      </c>
      <c r="AQ1165" s="130">
        <f t="shared" si="3137"/>
        <v>0</v>
      </c>
      <c r="AR1165" s="130">
        <f t="shared" si="3138"/>
        <v>0</v>
      </c>
      <c r="AS1165" s="130"/>
      <c r="AT1165" s="130">
        <f t="shared" si="3139"/>
        <v>0</v>
      </c>
      <c r="AU1165" s="130"/>
      <c r="AV1165" s="130">
        <f t="shared" si="3140"/>
        <v>0</v>
      </c>
      <c r="AW1165" s="130"/>
      <c r="AX1165" s="130">
        <f t="shared" si="3141"/>
        <v>0</v>
      </c>
      <c r="AY1165" s="130">
        <f t="shared" si="3142"/>
        <v>0</v>
      </c>
      <c r="AZ1165" s="130">
        <f t="shared" si="3143"/>
        <v>0</v>
      </c>
      <c r="BA1165" s="130">
        <f t="shared" si="3144"/>
        <v>0</v>
      </c>
      <c r="BB1165" s="130">
        <f t="shared" si="3145"/>
        <v>0</v>
      </c>
    </row>
    <row r="1166" spans="1:54" s="6" customFormat="1">
      <c r="A1166" s="492">
        <v>731</v>
      </c>
      <c r="B1166" s="14"/>
      <c r="C1166" s="301"/>
      <c r="D1166" s="304" t="s">
        <v>697</v>
      </c>
      <c r="E1166" s="69" t="s">
        <v>1308</v>
      </c>
      <c r="F1166" s="313" t="s">
        <v>384</v>
      </c>
      <c r="G1166" s="313" t="s">
        <v>1059</v>
      </c>
      <c r="H1166" s="267" t="s">
        <v>428</v>
      </c>
      <c r="I1166" s="322">
        <v>12.52</v>
      </c>
      <c r="J1166" s="323"/>
      <c r="K1166" s="322">
        <v>12.52</v>
      </c>
      <c r="L1166" s="323"/>
      <c r="M1166" s="322"/>
      <c r="N1166" s="323"/>
      <c r="O1166" s="322"/>
      <c r="P1166" s="323"/>
      <c r="Q1166" s="119">
        <f t="shared" si="3121"/>
        <v>0</v>
      </c>
      <c r="R1166" s="339">
        <f t="shared" si="3122"/>
        <v>0</v>
      </c>
      <c r="S1166" s="119"/>
      <c r="T1166" s="119">
        <f t="shared" si="3123"/>
        <v>0</v>
      </c>
      <c r="U1166" s="119"/>
      <c r="V1166" s="119">
        <f t="shared" si="3124"/>
        <v>0</v>
      </c>
      <c r="W1166" s="119"/>
      <c r="X1166" s="119">
        <f t="shared" si="3125"/>
        <v>0</v>
      </c>
      <c r="Y1166" s="119">
        <f t="shared" si="3126"/>
        <v>0</v>
      </c>
      <c r="Z1166" s="119">
        <f t="shared" si="3127"/>
        <v>0</v>
      </c>
      <c r="AA1166" s="119"/>
      <c r="AB1166" s="119">
        <f t="shared" si="3128"/>
        <v>0</v>
      </c>
      <c r="AC1166" s="119"/>
      <c r="AD1166" s="119">
        <f t="shared" si="3129"/>
        <v>0</v>
      </c>
      <c r="AE1166" s="119"/>
      <c r="AF1166" s="119">
        <f t="shared" si="3130"/>
        <v>0</v>
      </c>
      <c r="AG1166" s="119">
        <f t="shared" si="3131"/>
        <v>0</v>
      </c>
      <c r="AH1166" s="119">
        <f t="shared" si="3132"/>
        <v>0</v>
      </c>
      <c r="AI1166" s="119">
        <f t="shared" si="3133"/>
        <v>0</v>
      </c>
      <c r="AJ1166" s="119">
        <f t="shared" si="3134"/>
        <v>0</v>
      </c>
      <c r="AK1166" s="119"/>
      <c r="AL1166" s="119">
        <f t="shared" si="3135"/>
        <v>0</v>
      </c>
      <c r="AM1166" s="119"/>
      <c r="AN1166" s="119">
        <f t="shared" si="3136"/>
        <v>0</v>
      </c>
      <c r="AO1166" s="119"/>
      <c r="AP1166" s="119">
        <f t="shared" si="3120"/>
        <v>0</v>
      </c>
      <c r="AQ1166" s="119">
        <f t="shared" si="3137"/>
        <v>0</v>
      </c>
      <c r="AR1166" s="119">
        <f t="shared" si="3138"/>
        <v>0</v>
      </c>
      <c r="AS1166" s="119"/>
      <c r="AT1166" s="119">
        <f t="shared" si="3139"/>
        <v>0</v>
      </c>
      <c r="AU1166" s="119"/>
      <c r="AV1166" s="119">
        <f t="shared" si="3140"/>
        <v>0</v>
      </c>
      <c r="AW1166" s="119"/>
      <c r="AX1166" s="119">
        <f t="shared" si="3141"/>
        <v>0</v>
      </c>
      <c r="AY1166" s="119">
        <f t="shared" si="3142"/>
        <v>0</v>
      </c>
      <c r="AZ1166" s="119">
        <f t="shared" si="3143"/>
        <v>0</v>
      </c>
      <c r="BA1166" s="119">
        <f t="shared" si="3144"/>
        <v>0</v>
      </c>
      <c r="BB1166" s="119">
        <f t="shared" si="3145"/>
        <v>0</v>
      </c>
    </row>
    <row r="1167" spans="1:54">
      <c r="A1167" s="492">
        <v>732</v>
      </c>
      <c r="B1167" s="13"/>
      <c r="C1167" s="303" t="s">
        <v>947</v>
      </c>
      <c r="D1167" s="261" t="s">
        <v>945</v>
      </c>
      <c r="E1167" s="31" t="s">
        <v>1309</v>
      </c>
      <c r="F1167" s="310" t="s">
        <v>938</v>
      </c>
      <c r="G1167" s="310" t="s">
        <v>1059</v>
      </c>
      <c r="H1167" s="271" t="s">
        <v>433</v>
      </c>
      <c r="I1167" s="61">
        <v>10.95</v>
      </c>
      <c r="J1167" s="163"/>
      <c r="K1167" s="61">
        <v>10.95</v>
      </c>
      <c r="L1167" s="163"/>
      <c r="M1167" s="61"/>
      <c r="N1167" s="163"/>
      <c r="O1167" s="61"/>
      <c r="P1167" s="163"/>
      <c r="Q1167" s="121">
        <f t="shared" si="3121"/>
        <v>0</v>
      </c>
      <c r="R1167" s="341">
        <f t="shared" si="3122"/>
        <v>0</v>
      </c>
      <c r="S1167" s="121"/>
      <c r="T1167" s="121">
        <f t="shared" si="3123"/>
        <v>0</v>
      </c>
      <c r="U1167" s="121"/>
      <c r="V1167" s="121">
        <f t="shared" si="3124"/>
        <v>0</v>
      </c>
      <c r="W1167" s="121"/>
      <c r="X1167" s="121">
        <f t="shared" si="3125"/>
        <v>0</v>
      </c>
      <c r="Y1167" s="121">
        <f t="shared" si="3126"/>
        <v>0</v>
      </c>
      <c r="Z1167" s="121">
        <f t="shared" si="3127"/>
        <v>0</v>
      </c>
      <c r="AA1167" s="121"/>
      <c r="AB1167" s="121">
        <f t="shared" si="3128"/>
        <v>0</v>
      </c>
      <c r="AC1167" s="121"/>
      <c r="AD1167" s="121">
        <f t="shared" si="3129"/>
        <v>0</v>
      </c>
      <c r="AE1167" s="121"/>
      <c r="AF1167" s="121">
        <f t="shared" si="3130"/>
        <v>0</v>
      </c>
      <c r="AG1167" s="121">
        <f t="shared" si="3131"/>
        <v>0</v>
      </c>
      <c r="AH1167" s="121">
        <f t="shared" si="3132"/>
        <v>0</v>
      </c>
      <c r="AI1167" s="121">
        <f t="shared" si="3133"/>
        <v>0</v>
      </c>
      <c r="AJ1167" s="121">
        <f t="shared" si="3134"/>
        <v>0</v>
      </c>
      <c r="AK1167" s="121"/>
      <c r="AL1167" s="121">
        <f t="shared" si="3135"/>
        <v>0</v>
      </c>
      <c r="AM1167" s="121"/>
      <c r="AN1167" s="121">
        <f t="shared" si="3136"/>
        <v>0</v>
      </c>
      <c r="AO1167" s="121"/>
      <c r="AP1167" s="121">
        <f t="shared" si="3120"/>
        <v>0</v>
      </c>
      <c r="AQ1167" s="121">
        <f t="shared" si="3137"/>
        <v>0</v>
      </c>
      <c r="AR1167" s="121">
        <f t="shared" si="3138"/>
        <v>0</v>
      </c>
      <c r="AS1167" s="121"/>
      <c r="AT1167" s="121">
        <f t="shared" si="3139"/>
        <v>0</v>
      </c>
      <c r="AU1167" s="121"/>
      <c r="AV1167" s="121">
        <f t="shared" si="3140"/>
        <v>0</v>
      </c>
      <c r="AW1167" s="121"/>
      <c r="AX1167" s="121">
        <f t="shared" si="3141"/>
        <v>0</v>
      </c>
      <c r="AY1167" s="121">
        <f t="shared" si="3142"/>
        <v>0</v>
      </c>
      <c r="AZ1167" s="121">
        <f t="shared" si="3143"/>
        <v>0</v>
      </c>
      <c r="BA1167" s="121">
        <f t="shared" si="3144"/>
        <v>0</v>
      </c>
      <c r="BB1167" s="121">
        <f t="shared" si="3145"/>
        <v>0</v>
      </c>
    </row>
    <row r="1168" spans="1:54">
      <c r="B1168" s="13"/>
      <c r="C1168" s="13"/>
      <c r="D1168" s="13"/>
      <c r="E1168" s="21" t="s">
        <v>1384</v>
      </c>
      <c r="F1168" s="310" t="s">
        <v>938</v>
      </c>
      <c r="G1168" s="22" t="s">
        <v>1056</v>
      </c>
      <c r="H1168" s="264" t="s">
        <v>362</v>
      </c>
      <c r="I1168" s="54">
        <v>11.84</v>
      </c>
      <c r="J1168" s="101"/>
      <c r="K1168" s="54">
        <v>11.84</v>
      </c>
      <c r="L1168" s="162"/>
      <c r="M1168" s="54"/>
      <c r="N1168" s="162"/>
      <c r="O1168" s="54"/>
      <c r="P1168" s="101"/>
      <c r="Q1168" s="96">
        <f t="shared" si="3121"/>
        <v>0</v>
      </c>
      <c r="R1168" s="337">
        <f t="shared" si="3122"/>
        <v>0</v>
      </c>
      <c r="S1168" s="96"/>
      <c r="T1168" s="96">
        <f t="shared" si="3123"/>
        <v>0</v>
      </c>
      <c r="U1168" s="96"/>
      <c r="V1168" s="176">
        <f t="shared" si="3124"/>
        <v>0</v>
      </c>
      <c r="W1168" s="206"/>
      <c r="X1168" s="205">
        <f t="shared" si="3125"/>
        <v>0</v>
      </c>
      <c r="Y1168" s="188">
        <f t="shared" si="3126"/>
        <v>0</v>
      </c>
      <c r="Z1168" s="176">
        <f t="shared" si="3127"/>
        <v>0</v>
      </c>
      <c r="AA1168" s="206"/>
      <c r="AB1168" s="205">
        <f t="shared" si="3128"/>
        <v>0</v>
      </c>
      <c r="AC1168" s="206"/>
      <c r="AD1168" s="176">
        <f t="shared" si="3129"/>
        <v>0</v>
      </c>
      <c r="AE1168" s="206"/>
      <c r="AF1168" s="205">
        <f t="shared" si="3130"/>
        <v>0</v>
      </c>
      <c r="AG1168" s="188">
        <f t="shared" si="3131"/>
        <v>0</v>
      </c>
      <c r="AH1168" s="96">
        <f t="shared" si="3132"/>
        <v>0</v>
      </c>
      <c r="AI1168" s="96">
        <f t="shared" si="3133"/>
        <v>0</v>
      </c>
      <c r="AJ1168" s="176">
        <f t="shared" si="3134"/>
        <v>0</v>
      </c>
      <c r="AK1168" s="206"/>
      <c r="AL1168" s="176">
        <f t="shared" si="3135"/>
        <v>0</v>
      </c>
      <c r="AM1168" s="243"/>
      <c r="AN1168" s="176">
        <f t="shared" si="3136"/>
        <v>0</v>
      </c>
      <c r="AO1168" s="206"/>
      <c r="AP1168" s="205">
        <f t="shared" si="3120"/>
        <v>0</v>
      </c>
      <c r="AQ1168" s="188">
        <f t="shared" si="3137"/>
        <v>0</v>
      </c>
      <c r="AR1168" s="96">
        <f t="shared" si="3138"/>
        <v>0</v>
      </c>
      <c r="AS1168" s="96"/>
      <c r="AT1168" s="176">
        <f t="shared" si="3139"/>
        <v>0</v>
      </c>
      <c r="AU1168" s="206"/>
      <c r="AV1168" s="176">
        <f t="shared" si="3140"/>
        <v>0</v>
      </c>
      <c r="AW1168" s="206"/>
      <c r="AX1168" s="205">
        <f t="shared" si="3141"/>
        <v>0</v>
      </c>
      <c r="AY1168" s="188">
        <f t="shared" si="3142"/>
        <v>0</v>
      </c>
      <c r="AZ1168" s="96">
        <f t="shared" si="3143"/>
        <v>0</v>
      </c>
      <c r="BA1168" s="96">
        <f t="shared" si="3144"/>
        <v>0</v>
      </c>
      <c r="BB1168" s="96">
        <f t="shared" si="3145"/>
        <v>0</v>
      </c>
    </row>
    <row r="1169" spans="1:54" s="6" customFormat="1">
      <c r="A1169" s="492">
        <v>733</v>
      </c>
      <c r="B1169" s="14"/>
      <c r="C1169" s="39"/>
      <c r="D1169" s="14"/>
      <c r="E1169" s="16" t="s">
        <v>1348</v>
      </c>
      <c r="F1169" s="44" t="s">
        <v>938</v>
      </c>
      <c r="G1169" s="44" t="s">
        <v>1059</v>
      </c>
      <c r="H1169" s="264" t="s">
        <v>358</v>
      </c>
      <c r="I1169" s="232">
        <v>11.81</v>
      </c>
      <c r="J1169" s="239"/>
      <c r="K1169" s="232">
        <v>11.81</v>
      </c>
      <c r="L1169" s="239"/>
      <c r="M1169" s="232"/>
      <c r="N1169" s="239"/>
      <c r="O1169" s="232"/>
      <c r="P1169" s="239"/>
      <c r="Q1169" s="95">
        <f t="shared" si="3121"/>
        <v>0</v>
      </c>
      <c r="R1169" s="335">
        <f t="shared" si="3122"/>
        <v>0</v>
      </c>
      <c r="S1169" s="95"/>
      <c r="T1169" s="95">
        <f t="shared" si="3123"/>
        <v>0</v>
      </c>
      <c r="U1169" s="95"/>
      <c r="V1169" s="95">
        <f t="shared" si="3124"/>
        <v>0</v>
      </c>
      <c r="W1169" s="95"/>
      <c r="X1169" s="95">
        <f t="shared" si="3125"/>
        <v>0</v>
      </c>
      <c r="Y1169" s="95">
        <f t="shared" si="3126"/>
        <v>0</v>
      </c>
      <c r="Z1169" s="95">
        <f t="shared" si="3127"/>
        <v>0</v>
      </c>
      <c r="AA1169" s="95"/>
      <c r="AB1169" s="95">
        <f t="shared" si="3128"/>
        <v>0</v>
      </c>
      <c r="AC1169" s="95"/>
      <c r="AD1169" s="95">
        <f t="shared" si="3129"/>
        <v>0</v>
      </c>
      <c r="AE1169" s="95"/>
      <c r="AF1169" s="96">
        <f t="shared" si="3130"/>
        <v>0</v>
      </c>
      <c r="AG1169" s="95">
        <f t="shared" si="3131"/>
        <v>0</v>
      </c>
      <c r="AH1169" s="95">
        <f t="shared" si="3132"/>
        <v>0</v>
      </c>
      <c r="AI1169" s="95">
        <f t="shared" si="3133"/>
        <v>0</v>
      </c>
      <c r="AJ1169" s="95">
        <f t="shared" si="3134"/>
        <v>0</v>
      </c>
      <c r="AK1169" s="95"/>
      <c r="AL1169" s="95">
        <f t="shared" si="3135"/>
        <v>0</v>
      </c>
      <c r="AM1169" s="95"/>
      <c r="AN1169" s="95">
        <f t="shared" si="3136"/>
        <v>0</v>
      </c>
      <c r="AO1169" s="95"/>
      <c r="AP1169" s="95">
        <f t="shared" si="3120"/>
        <v>0</v>
      </c>
      <c r="AQ1169" s="95">
        <f t="shared" si="3137"/>
        <v>0</v>
      </c>
      <c r="AR1169" s="95">
        <f t="shared" si="3138"/>
        <v>0</v>
      </c>
      <c r="AS1169" s="95"/>
      <c r="AT1169" s="95">
        <f t="shared" si="3139"/>
        <v>0</v>
      </c>
      <c r="AU1169" s="95"/>
      <c r="AV1169" s="95">
        <f t="shared" si="3140"/>
        <v>0</v>
      </c>
      <c r="AW1169" s="95"/>
      <c r="AX1169" s="95">
        <f t="shared" si="3141"/>
        <v>0</v>
      </c>
      <c r="AY1169" s="95">
        <f t="shared" si="3142"/>
        <v>0</v>
      </c>
      <c r="AZ1169" s="95">
        <f t="shared" si="3143"/>
        <v>0</v>
      </c>
      <c r="BA1169" s="95">
        <f t="shared" si="3144"/>
        <v>0</v>
      </c>
      <c r="BB1169" s="95">
        <f t="shared" si="3145"/>
        <v>0</v>
      </c>
    </row>
    <row r="1170" spans="1:54" s="6" customFormat="1">
      <c r="A1170" s="492">
        <v>733</v>
      </c>
      <c r="B1170" s="14"/>
      <c r="C1170" s="39"/>
      <c r="D1170" s="14"/>
      <c r="E1170" s="16" t="s">
        <v>2058</v>
      </c>
      <c r="F1170" s="44" t="s">
        <v>938</v>
      </c>
      <c r="G1170" s="44" t="s">
        <v>1059</v>
      </c>
      <c r="H1170" s="264" t="s">
        <v>433</v>
      </c>
      <c r="I1170" s="232">
        <v>12.09</v>
      </c>
      <c r="J1170" s="239"/>
      <c r="K1170" s="232">
        <v>12.09</v>
      </c>
      <c r="L1170" s="239"/>
      <c r="M1170" s="232"/>
      <c r="N1170" s="239"/>
      <c r="O1170" s="232"/>
      <c r="P1170" s="239"/>
      <c r="Q1170" s="95">
        <f t="shared" si="3121"/>
        <v>1.1679999999999999</v>
      </c>
      <c r="R1170" s="335">
        <f t="shared" si="3122"/>
        <v>21.1628940744</v>
      </c>
      <c r="S1170" s="95"/>
      <c r="T1170" s="95">
        <f t="shared" si="3123"/>
        <v>0</v>
      </c>
      <c r="U1170" s="95"/>
      <c r="V1170" s="95">
        <f t="shared" si="3124"/>
        <v>0</v>
      </c>
      <c r="W1170" s="95">
        <v>0.96799999999999997</v>
      </c>
      <c r="X1170" s="95">
        <f t="shared" si="3125"/>
        <v>17.582416394399999</v>
      </c>
      <c r="Y1170" s="95">
        <f t="shared" si="3126"/>
        <v>0.96799999999999997</v>
      </c>
      <c r="Z1170" s="95">
        <f t="shared" si="3127"/>
        <v>17.582416394399999</v>
      </c>
      <c r="AA1170" s="95">
        <v>0.2</v>
      </c>
      <c r="AB1170" s="95">
        <f t="shared" si="3128"/>
        <v>3.5804776800000004</v>
      </c>
      <c r="AC1170" s="95"/>
      <c r="AD1170" s="95">
        <f t="shared" si="3129"/>
        <v>0</v>
      </c>
      <c r="AE1170" s="95"/>
      <c r="AF1170" s="96">
        <f t="shared" si="3130"/>
        <v>0</v>
      </c>
      <c r="AG1170" s="95">
        <f t="shared" si="3131"/>
        <v>0.2</v>
      </c>
      <c r="AH1170" s="95">
        <f t="shared" si="3132"/>
        <v>3.5804776800000004</v>
      </c>
      <c r="AI1170" s="95">
        <f t="shared" si="3133"/>
        <v>1.1679999999999999</v>
      </c>
      <c r="AJ1170" s="95">
        <f t="shared" si="3134"/>
        <v>21.1628940744</v>
      </c>
      <c r="AK1170" s="95"/>
      <c r="AL1170" s="95">
        <f t="shared" si="3135"/>
        <v>0</v>
      </c>
      <c r="AM1170" s="95"/>
      <c r="AN1170" s="95">
        <f t="shared" si="3136"/>
        <v>0</v>
      </c>
      <c r="AO1170" s="95"/>
      <c r="AP1170" s="95">
        <f t="shared" si="3120"/>
        <v>0</v>
      </c>
      <c r="AQ1170" s="95">
        <f t="shared" si="3137"/>
        <v>0</v>
      </c>
      <c r="AR1170" s="95">
        <f t="shared" si="3138"/>
        <v>0</v>
      </c>
      <c r="AS1170" s="95"/>
      <c r="AT1170" s="95">
        <f t="shared" si="3139"/>
        <v>0</v>
      </c>
      <c r="AU1170" s="95"/>
      <c r="AV1170" s="95">
        <f t="shared" si="3140"/>
        <v>0</v>
      </c>
      <c r="AW1170" s="95"/>
      <c r="AX1170" s="95">
        <f t="shared" si="3141"/>
        <v>0</v>
      </c>
      <c r="AY1170" s="95">
        <f t="shared" si="3142"/>
        <v>0</v>
      </c>
      <c r="AZ1170" s="95">
        <f t="shared" si="3143"/>
        <v>0</v>
      </c>
      <c r="BA1170" s="95">
        <f t="shared" si="3144"/>
        <v>0</v>
      </c>
      <c r="BB1170" s="95">
        <f t="shared" si="3145"/>
        <v>0</v>
      </c>
    </row>
    <row r="1171" spans="1:54" s="6" customFormat="1">
      <c r="A1171" s="492">
        <v>733</v>
      </c>
      <c r="B1171" s="14"/>
      <c r="C1171" s="39"/>
      <c r="D1171" s="14"/>
      <c r="E1171" s="16" t="s">
        <v>2146</v>
      </c>
      <c r="F1171" s="44" t="s">
        <v>938</v>
      </c>
      <c r="G1171" s="44" t="s">
        <v>1059</v>
      </c>
      <c r="H1171" s="264" t="s">
        <v>358</v>
      </c>
      <c r="I1171" s="232">
        <v>11.86</v>
      </c>
      <c r="J1171" s="239"/>
      <c r="K1171" s="232">
        <v>11.86</v>
      </c>
      <c r="L1171" s="239"/>
      <c r="M1171" s="232"/>
      <c r="N1171" s="239"/>
      <c r="O1171" s="232"/>
      <c r="P1171" s="239"/>
      <c r="Q1171" s="95">
        <f t="shared" ref="Q1171" si="3146">SUM(AI1171+BA1171)</f>
        <v>0</v>
      </c>
      <c r="R1171" s="335">
        <f t="shared" ref="R1171" si="3147">SUM(AJ1171+BB1171)</f>
        <v>0</v>
      </c>
      <c r="S1171" s="95"/>
      <c r="T1171" s="95">
        <f t="shared" ref="T1171" si="3148">I1171*S1171*$T$2/1000</f>
        <v>0</v>
      </c>
      <c r="U1171" s="95"/>
      <c r="V1171" s="95">
        <f t="shared" ref="V1171" si="3149">I1171*U1171*$V$2/1000</f>
        <v>0</v>
      </c>
      <c r="W1171" s="95"/>
      <c r="X1171" s="95">
        <f t="shared" ref="X1171" si="3150">I1171*W1171*$X$2/1000</f>
        <v>0</v>
      </c>
      <c r="Y1171" s="95">
        <f t="shared" ref="Y1171" si="3151">SUM(S1171+U1171+W1171)</f>
        <v>0</v>
      </c>
      <c r="Z1171" s="95">
        <f t="shared" ref="Z1171" si="3152">SUM(T1171+V1171+X1171)</f>
        <v>0</v>
      </c>
      <c r="AA1171" s="95"/>
      <c r="AB1171" s="95">
        <f t="shared" ref="AB1171" si="3153">K1171*AA1171*$AB$2/1000</f>
        <v>0</v>
      </c>
      <c r="AC1171" s="95"/>
      <c r="AD1171" s="95">
        <f t="shared" ref="AD1171" si="3154">K1171*AC1171*$AD$2/1000</f>
        <v>0</v>
      </c>
      <c r="AE1171" s="95"/>
      <c r="AF1171" s="96">
        <f t="shared" ref="AF1171" si="3155">K1171*AE1171*$AF$2/1000</f>
        <v>0</v>
      </c>
      <c r="AG1171" s="95">
        <f t="shared" ref="AG1171" si="3156">SUM(AA1171+AC1171+AE1171)</f>
        <v>0</v>
      </c>
      <c r="AH1171" s="95">
        <f t="shared" ref="AH1171" si="3157">SUM(AB1171+AD1171+AF1171)</f>
        <v>0</v>
      </c>
      <c r="AI1171" s="95">
        <f t="shared" ref="AI1171" si="3158">SUM(Y1171+AG1171)</f>
        <v>0</v>
      </c>
      <c r="AJ1171" s="95">
        <f t="shared" ref="AJ1171" si="3159">SUM(Z1171,AH1171)</f>
        <v>0</v>
      </c>
      <c r="AK1171" s="95"/>
      <c r="AL1171" s="95">
        <f t="shared" ref="AL1171" si="3160">M1171*AK1171*$AL$2/1000</f>
        <v>0</v>
      </c>
      <c r="AM1171" s="95"/>
      <c r="AN1171" s="95">
        <f t="shared" ref="AN1171" si="3161">M1171*AM1171*$AN$2/1000</f>
        <v>0</v>
      </c>
      <c r="AO1171" s="95"/>
      <c r="AP1171" s="95">
        <f t="shared" ref="AP1171" si="3162">M1171*AO1171*$AP$2/1000</f>
        <v>0</v>
      </c>
      <c r="AQ1171" s="95">
        <f t="shared" ref="AQ1171" si="3163">SUM(AK1171+AM1171+AO1171)</f>
        <v>0</v>
      </c>
      <c r="AR1171" s="95">
        <f t="shared" ref="AR1171" si="3164">SUM(AL1171+AN1171+AP1171)</f>
        <v>0</v>
      </c>
      <c r="AS1171" s="95"/>
      <c r="AT1171" s="95">
        <f t="shared" ref="AT1171" si="3165">O1171*AS1171*$AT$2/1000</f>
        <v>0</v>
      </c>
      <c r="AU1171" s="95"/>
      <c r="AV1171" s="95">
        <f t="shared" ref="AV1171" si="3166">O1171*AU1171*$AV$2/1000</f>
        <v>0</v>
      </c>
      <c r="AW1171" s="95"/>
      <c r="AX1171" s="95">
        <f t="shared" ref="AX1171" si="3167">O1171*AW1171*$AX$2/1000</f>
        <v>0</v>
      </c>
      <c r="AY1171" s="95">
        <f t="shared" ref="AY1171" si="3168">SUM(AS1171+AU1171+AW1171)</f>
        <v>0</v>
      </c>
      <c r="AZ1171" s="95">
        <f t="shared" ref="AZ1171" si="3169">SUM(AT1171+AV1171+AX1171)</f>
        <v>0</v>
      </c>
      <c r="BA1171" s="95">
        <f t="shared" ref="BA1171" si="3170">SUM(AQ1171+AY1171)</f>
        <v>0</v>
      </c>
      <c r="BB1171" s="95">
        <f t="shared" ref="BB1171" si="3171">SUM(AR1171,AZ1171)</f>
        <v>0</v>
      </c>
    </row>
    <row r="1172" spans="1:54">
      <c r="B1172" s="13"/>
      <c r="C1172" s="13"/>
      <c r="D1172" s="13"/>
      <c r="E1172" s="21" t="s">
        <v>1310</v>
      </c>
      <c r="F1172" s="44" t="s">
        <v>939</v>
      </c>
      <c r="G1172" s="22" t="s">
        <v>1154</v>
      </c>
      <c r="H1172" s="264" t="s">
        <v>362</v>
      </c>
      <c r="I1172" s="54">
        <v>11.45</v>
      </c>
      <c r="J1172" s="101"/>
      <c r="K1172" s="54">
        <v>11.45</v>
      </c>
      <c r="L1172" s="162"/>
      <c r="M1172" s="54"/>
      <c r="N1172" s="162"/>
      <c r="O1172" s="54"/>
      <c r="P1172" s="101"/>
      <c r="Q1172" s="96">
        <f t="shared" si="3121"/>
        <v>0</v>
      </c>
      <c r="R1172" s="337">
        <f t="shared" si="3122"/>
        <v>0</v>
      </c>
      <c r="S1172" s="96"/>
      <c r="T1172" s="96">
        <f t="shared" si="3123"/>
        <v>0</v>
      </c>
      <c r="U1172" s="96"/>
      <c r="V1172" s="176">
        <f t="shared" si="3124"/>
        <v>0</v>
      </c>
      <c r="W1172" s="206"/>
      <c r="X1172" s="205">
        <f t="shared" si="3125"/>
        <v>0</v>
      </c>
      <c r="Y1172" s="188">
        <f t="shared" si="3126"/>
        <v>0</v>
      </c>
      <c r="Z1172" s="176">
        <f t="shared" si="3127"/>
        <v>0</v>
      </c>
      <c r="AA1172" s="206"/>
      <c r="AB1172" s="205">
        <f t="shared" si="3128"/>
        <v>0</v>
      </c>
      <c r="AC1172" s="206"/>
      <c r="AD1172" s="176">
        <f t="shared" si="3129"/>
        <v>0</v>
      </c>
      <c r="AE1172" s="206"/>
      <c r="AF1172" s="205">
        <f t="shared" si="3130"/>
        <v>0</v>
      </c>
      <c r="AG1172" s="188">
        <f t="shared" si="3131"/>
        <v>0</v>
      </c>
      <c r="AH1172" s="96">
        <f t="shared" si="3132"/>
        <v>0</v>
      </c>
      <c r="AI1172" s="96">
        <f t="shared" si="3133"/>
        <v>0</v>
      </c>
      <c r="AJ1172" s="176">
        <f t="shared" si="3134"/>
        <v>0</v>
      </c>
      <c r="AK1172" s="206"/>
      <c r="AL1172" s="176">
        <f t="shared" si="3135"/>
        <v>0</v>
      </c>
      <c r="AM1172" s="243"/>
      <c r="AN1172" s="176">
        <f t="shared" si="3136"/>
        <v>0</v>
      </c>
      <c r="AO1172" s="206"/>
      <c r="AP1172" s="205">
        <f t="shared" si="3120"/>
        <v>0</v>
      </c>
      <c r="AQ1172" s="188">
        <f t="shared" si="3137"/>
        <v>0</v>
      </c>
      <c r="AR1172" s="96">
        <f t="shared" si="3138"/>
        <v>0</v>
      </c>
      <c r="AS1172" s="96"/>
      <c r="AT1172" s="176">
        <f t="shared" si="3139"/>
        <v>0</v>
      </c>
      <c r="AU1172" s="206"/>
      <c r="AV1172" s="176">
        <f t="shared" si="3140"/>
        <v>0</v>
      </c>
      <c r="AW1172" s="206"/>
      <c r="AX1172" s="205">
        <f t="shared" si="3141"/>
        <v>0</v>
      </c>
      <c r="AY1172" s="188">
        <f t="shared" si="3142"/>
        <v>0</v>
      </c>
      <c r="AZ1172" s="96">
        <f t="shared" si="3143"/>
        <v>0</v>
      </c>
      <c r="BA1172" s="96">
        <f t="shared" si="3144"/>
        <v>0</v>
      </c>
      <c r="BB1172" s="96">
        <f t="shared" si="3145"/>
        <v>0</v>
      </c>
    </row>
    <row r="1173" spans="1:54">
      <c r="B1173" s="13"/>
      <c r="C1173" s="13"/>
      <c r="D1173" s="13"/>
      <c r="E1173" s="21" t="s">
        <v>2560</v>
      </c>
      <c r="F1173" s="44" t="s">
        <v>939</v>
      </c>
      <c r="G1173" s="22" t="s">
        <v>1056</v>
      </c>
      <c r="H1173" s="264" t="s">
        <v>359</v>
      </c>
      <c r="I1173" s="54">
        <v>11.87</v>
      </c>
      <c r="J1173" s="101"/>
      <c r="K1173" s="54">
        <v>11.87</v>
      </c>
      <c r="L1173" s="162"/>
      <c r="M1173" s="54"/>
      <c r="N1173" s="162"/>
      <c r="O1173" s="54"/>
      <c r="P1173" s="101"/>
      <c r="Q1173" s="96">
        <f t="shared" ref="Q1173" si="3172">SUM(AI1173+BA1173)</f>
        <v>2.7E-2</v>
      </c>
      <c r="R1173" s="337">
        <f t="shared" ref="R1173" si="3173">SUM(AJ1173+BB1173)</f>
        <v>0.48149456130000001</v>
      </c>
      <c r="S1173" s="96"/>
      <c r="T1173" s="96">
        <f t="shared" ref="T1173" si="3174">I1173*S1173*$T$2/1000</f>
        <v>0</v>
      </c>
      <c r="U1173" s="96"/>
      <c r="V1173" s="176">
        <f t="shared" ref="V1173" si="3175">I1173*U1173*$V$2/1000</f>
        <v>0</v>
      </c>
      <c r="W1173" s="206">
        <v>2.7E-2</v>
      </c>
      <c r="X1173" s="205">
        <f t="shared" ref="X1173" si="3176">I1173*W1173*$X$2/1000</f>
        <v>0.48149456130000001</v>
      </c>
      <c r="Y1173" s="188">
        <f t="shared" ref="Y1173" si="3177">SUM(S1173+U1173+W1173)</f>
        <v>2.7E-2</v>
      </c>
      <c r="Z1173" s="176">
        <f t="shared" ref="Z1173" si="3178">SUM(T1173+V1173+X1173)</f>
        <v>0.48149456130000001</v>
      </c>
      <c r="AA1173" s="206"/>
      <c r="AB1173" s="205">
        <f t="shared" ref="AB1173" si="3179">K1173*AA1173*$AB$2/1000</f>
        <v>0</v>
      </c>
      <c r="AC1173" s="206"/>
      <c r="AD1173" s="176">
        <f t="shared" ref="AD1173" si="3180">K1173*AC1173*$AD$2/1000</f>
        <v>0</v>
      </c>
      <c r="AE1173" s="206"/>
      <c r="AF1173" s="205">
        <f t="shared" ref="AF1173" si="3181">K1173*AE1173*$AF$2/1000</f>
        <v>0</v>
      </c>
      <c r="AG1173" s="188">
        <f t="shared" ref="AG1173" si="3182">SUM(AA1173+AC1173+AE1173)</f>
        <v>0</v>
      </c>
      <c r="AH1173" s="96">
        <f t="shared" ref="AH1173" si="3183">SUM(AB1173+AD1173+AF1173)</f>
        <v>0</v>
      </c>
      <c r="AI1173" s="96">
        <f t="shared" ref="AI1173" si="3184">SUM(Y1173+AG1173)</f>
        <v>2.7E-2</v>
      </c>
      <c r="AJ1173" s="176">
        <f t="shared" ref="AJ1173" si="3185">SUM(Z1173,AH1173)</f>
        <v>0.48149456130000001</v>
      </c>
      <c r="AK1173" s="206"/>
      <c r="AL1173" s="176">
        <f t="shared" ref="AL1173" si="3186">M1173*AK1173*$AL$2/1000</f>
        <v>0</v>
      </c>
      <c r="AM1173" s="243"/>
      <c r="AN1173" s="176">
        <f t="shared" ref="AN1173" si="3187">M1173*AM1173*$AN$2/1000</f>
        <v>0</v>
      </c>
      <c r="AO1173" s="206"/>
      <c r="AP1173" s="205">
        <f t="shared" ref="AP1173" si="3188">M1173*AO1173*$AP$2/1000</f>
        <v>0</v>
      </c>
      <c r="AQ1173" s="188">
        <f t="shared" ref="AQ1173" si="3189">SUM(AK1173+AM1173+AO1173)</f>
        <v>0</v>
      </c>
      <c r="AR1173" s="96">
        <f t="shared" ref="AR1173" si="3190">SUM(AL1173+AN1173+AP1173)</f>
        <v>0</v>
      </c>
      <c r="AS1173" s="96"/>
      <c r="AT1173" s="176">
        <f t="shared" ref="AT1173" si="3191">O1173*AS1173*$AT$2/1000</f>
        <v>0</v>
      </c>
      <c r="AU1173" s="206"/>
      <c r="AV1173" s="176">
        <f t="shared" ref="AV1173" si="3192">O1173*AU1173*$AV$2/1000</f>
        <v>0</v>
      </c>
      <c r="AW1173" s="206"/>
      <c r="AX1173" s="205">
        <f t="shared" ref="AX1173" si="3193">O1173*AW1173*$AX$2/1000</f>
        <v>0</v>
      </c>
      <c r="AY1173" s="188">
        <f t="shared" ref="AY1173" si="3194">SUM(AS1173+AU1173+AW1173)</f>
        <v>0</v>
      </c>
      <c r="AZ1173" s="96">
        <f t="shared" ref="AZ1173" si="3195">SUM(AT1173+AV1173+AX1173)</f>
        <v>0</v>
      </c>
      <c r="BA1173" s="96">
        <f t="shared" ref="BA1173" si="3196">SUM(AQ1173+AY1173)</f>
        <v>0</v>
      </c>
      <c r="BB1173" s="96">
        <f t="shared" ref="BB1173" si="3197">SUM(AR1173,AZ1173)</f>
        <v>0</v>
      </c>
    </row>
    <row r="1174" spans="1:54" s="6" customFormat="1">
      <c r="A1174" s="492">
        <v>734</v>
      </c>
      <c r="B1174" s="14"/>
      <c r="C1174" s="39"/>
      <c r="D1174" s="14"/>
      <c r="E1174" s="16" t="s">
        <v>1311</v>
      </c>
      <c r="F1174" s="44" t="s">
        <v>940</v>
      </c>
      <c r="G1174" s="44" t="s">
        <v>1059</v>
      </c>
      <c r="H1174" s="264" t="s">
        <v>359</v>
      </c>
      <c r="I1174" s="232">
        <v>11.16</v>
      </c>
      <c r="J1174" s="239"/>
      <c r="K1174" s="232">
        <v>11.16</v>
      </c>
      <c r="L1174" s="239"/>
      <c r="M1174" s="232"/>
      <c r="N1174" s="239"/>
      <c r="O1174" s="232"/>
      <c r="P1174" s="239"/>
      <c r="Q1174" s="95">
        <f t="shared" si="3121"/>
        <v>0</v>
      </c>
      <c r="R1174" s="335">
        <f t="shared" si="3122"/>
        <v>0</v>
      </c>
      <c r="S1174" s="95"/>
      <c r="T1174" s="95">
        <f t="shared" si="3123"/>
        <v>0</v>
      </c>
      <c r="U1174" s="95"/>
      <c r="V1174" s="95">
        <f t="shared" si="3124"/>
        <v>0</v>
      </c>
      <c r="W1174" s="95"/>
      <c r="X1174" s="95">
        <f t="shared" si="3125"/>
        <v>0</v>
      </c>
      <c r="Y1174" s="95">
        <f t="shared" si="3126"/>
        <v>0</v>
      </c>
      <c r="Z1174" s="95">
        <f t="shared" si="3127"/>
        <v>0</v>
      </c>
      <c r="AA1174" s="95"/>
      <c r="AB1174" s="95">
        <f t="shared" si="3128"/>
        <v>0</v>
      </c>
      <c r="AC1174" s="95"/>
      <c r="AD1174" s="95">
        <f t="shared" si="3129"/>
        <v>0</v>
      </c>
      <c r="AE1174" s="95"/>
      <c r="AF1174" s="96">
        <f t="shared" si="3130"/>
        <v>0</v>
      </c>
      <c r="AG1174" s="95">
        <f t="shared" si="3131"/>
        <v>0</v>
      </c>
      <c r="AH1174" s="95">
        <f t="shared" si="3132"/>
        <v>0</v>
      </c>
      <c r="AI1174" s="95">
        <f t="shared" si="3133"/>
        <v>0</v>
      </c>
      <c r="AJ1174" s="95">
        <f t="shared" si="3134"/>
        <v>0</v>
      </c>
      <c r="AK1174" s="95"/>
      <c r="AL1174" s="95">
        <f t="shared" si="3135"/>
        <v>0</v>
      </c>
      <c r="AM1174" s="95"/>
      <c r="AN1174" s="95">
        <f t="shared" si="3136"/>
        <v>0</v>
      </c>
      <c r="AO1174" s="95"/>
      <c r="AP1174" s="95">
        <f t="shared" si="3120"/>
        <v>0</v>
      </c>
      <c r="AQ1174" s="95">
        <f t="shared" si="3137"/>
        <v>0</v>
      </c>
      <c r="AR1174" s="95">
        <f t="shared" si="3138"/>
        <v>0</v>
      </c>
      <c r="AS1174" s="95"/>
      <c r="AT1174" s="95">
        <f t="shared" si="3139"/>
        <v>0</v>
      </c>
      <c r="AU1174" s="95"/>
      <c r="AV1174" s="95">
        <f t="shared" si="3140"/>
        <v>0</v>
      </c>
      <c r="AW1174" s="95"/>
      <c r="AX1174" s="95">
        <f t="shared" si="3141"/>
        <v>0</v>
      </c>
      <c r="AY1174" s="95">
        <f t="shared" si="3142"/>
        <v>0</v>
      </c>
      <c r="AZ1174" s="95">
        <f t="shared" si="3143"/>
        <v>0</v>
      </c>
      <c r="BA1174" s="95">
        <f t="shared" si="3144"/>
        <v>0</v>
      </c>
      <c r="BB1174" s="95">
        <f t="shared" si="3145"/>
        <v>0</v>
      </c>
    </row>
    <row r="1175" spans="1:54" s="6" customFormat="1">
      <c r="A1175" s="492">
        <v>734</v>
      </c>
      <c r="B1175" s="14"/>
      <c r="C1175" s="39"/>
      <c r="D1175" s="14"/>
      <c r="E1175" s="16" t="s">
        <v>1469</v>
      </c>
      <c r="F1175" s="44" t="s">
        <v>940</v>
      </c>
      <c r="G1175" s="44" t="s">
        <v>1059</v>
      </c>
      <c r="H1175" s="264" t="s">
        <v>359</v>
      </c>
      <c r="I1175" s="232">
        <v>12.06</v>
      </c>
      <c r="J1175" s="239"/>
      <c r="K1175" s="232">
        <v>12.06</v>
      </c>
      <c r="L1175" s="239"/>
      <c r="M1175" s="232"/>
      <c r="N1175" s="239"/>
      <c r="O1175" s="232"/>
      <c r="P1175" s="239"/>
      <c r="Q1175" s="95">
        <f t="shared" si="3121"/>
        <v>0</v>
      </c>
      <c r="R1175" s="335">
        <f t="shared" si="3122"/>
        <v>0</v>
      </c>
      <c r="S1175" s="95"/>
      <c r="T1175" s="95">
        <f t="shared" si="3123"/>
        <v>0</v>
      </c>
      <c r="U1175" s="95"/>
      <c r="V1175" s="95">
        <f t="shared" si="3124"/>
        <v>0</v>
      </c>
      <c r="W1175" s="95"/>
      <c r="X1175" s="95">
        <f t="shared" si="3125"/>
        <v>0</v>
      </c>
      <c r="Y1175" s="95">
        <f t="shared" si="3126"/>
        <v>0</v>
      </c>
      <c r="Z1175" s="95">
        <f t="shared" si="3127"/>
        <v>0</v>
      </c>
      <c r="AA1175" s="95"/>
      <c r="AB1175" s="95">
        <f t="shared" si="3128"/>
        <v>0</v>
      </c>
      <c r="AC1175" s="95"/>
      <c r="AD1175" s="95">
        <f t="shared" si="3129"/>
        <v>0</v>
      </c>
      <c r="AE1175" s="95"/>
      <c r="AF1175" s="96">
        <f t="shared" si="3130"/>
        <v>0</v>
      </c>
      <c r="AG1175" s="95">
        <f t="shared" si="3131"/>
        <v>0</v>
      </c>
      <c r="AH1175" s="95">
        <f t="shared" si="3132"/>
        <v>0</v>
      </c>
      <c r="AI1175" s="95">
        <f t="shared" si="3133"/>
        <v>0</v>
      </c>
      <c r="AJ1175" s="95">
        <f t="shared" si="3134"/>
        <v>0</v>
      </c>
      <c r="AK1175" s="95"/>
      <c r="AL1175" s="95">
        <f t="shared" si="3135"/>
        <v>0</v>
      </c>
      <c r="AM1175" s="95"/>
      <c r="AN1175" s="95">
        <f t="shared" si="3136"/>
        <v>0</v>
      </c>
      <c r="AO1175" s="95"/>
      <c r="AP1175" s="95">
        <f t="shared" si="3120"/>
        <v>0</v>
      </c>
      <c r="AQ1175" s="95">
        <f t="shared" si="3137"/>
        <v>0</v>
      </c>
      <c r="AR1175" s="95">
        <f t="shared" si="3138"/>
        <v>0</v>
      </c>
      <c r="AS1175" s="95"/>
      <c r="AT1175" s="95">
        <f t="shared" si="3139"/>
        <v>0</v>
      </c>
      <c r="AU1175" s="95"/>
      <c r="AV1175" s="95">
        <f t="shared" si="3140"/>
        <v>0</v>
      </c>
      <c r="AW1175" s="95"/>
      <c r="AX1175" s="95">
        <f t="shared" si="3141"/>
        <v>0</v>
      </c>
      <c r="AY1175" s="95">
        <f t="shared" si="3142"/>
        <v>0</v>
      </c>
      <c r="AZ1175" s="95">
        <f t="shared" si="3143"/>
        <v>0</v>
      </c>
      <c r="BA1175" s="95">
        <f t="shared" si="3144"/>
        <v>0</v>
      </c>
      <c r="BB1175" s="95">
        <f t="shared" si="3145"/>
        <v>0</v>
      </c>
    </row>
    <row r="1176" spans="1:54" s="6" customFormat="1">
      <c r="A1176" s="492">
        <v>734</v>
      </c>
      <c r="B1176" s="14"/>
      <c r="C1176" s="39"/>
      <c r="D1176" s="14"/>
      <c r="E1176" s="16" t="s">
        <v>1312</v>
      </c>
      <c r="F1176" s="44" t="s">
        <v>940</v>
      </c>
      <c r="G1176" s="44" t="s">
        <v>1059</v>
      </c>
      <c r="H1176" s="264" t="s">
        <v>359</v>
      </c>
      <c r="I1176" s="232">
        <v>10.892857142857142</v>
      </c>
      <c r="J1176" s="239"/>
      <c r="K1176" s="232">
        <v>10.892857142857142</v>
      </c>
      <c r="L1176" s="239"/>
      <c r="M1176" s="232"/>
      <c r="N1176" s="239"/>
      <c r="O1176" s="232"/>
      <c r="P1176" s="239"/>
      <c r="Q1176" s="95">
        <f t="shared" ref="Q1176" si="3198">SUM(AI1176+BA1176)</f>
        <v>0</v>
      </c>
      <c r="R1176" s="335">
        <f t="shared" ref="R1176" si="3199">SUM(AJ1176+BB1176)</f>
        <v>0</v>
      </c>
      <c r="S1176" s="95"/>
      <c r="T1176" s="95">
        <f t="shared" ref="T1176" si="3200">I1176*S1176*$T$2/1000</f>
        <v>0</v>
      </c>
      <c r="U1176" s="95"/>
      <c r="V1176" s="95">
        <f t="shared" ref="V1176" si="3201">I1176*U1176*$V$2/1000</f>
        <v>0</v>
      </c>
      <c r="W1176" s="95"/>
      <c r="X1176" s="95">
        <f t="shared" ref="X1176" si="3202">I1176*W1176*$X$2/1000</f>
        <v>0</v>
      </c>
      <c r="Y1176" s="95">
        <f t="shared" ref="Y1176" si="3203">SUM(S1176+U1176+W1176)</f>
        <v>0</v>
      </c>
      <c r="Z1176" s="95">
        <f t="shared" ref="Z1176" si="3204">SUM(T1176+V1176+X1176)</f>
        <v>0</v>
      </c>
      <c r="AA1176" s="95"/>
      <c r="AB1176" s="95">
        <f t="shared" ref="AB1176" si="3205">K1176*AA1176*$AB$2/1000</f>
        <v>0</v>
      </c>
      <c r="AC1176" s="95"/>
      <c r="AD1176" s="95">
        <f t="shared" ref="AD1176" si="3206">K1176*AC1176*$AD$2/1000</f>
        <v>0</v>
      </c>
      <c r="AE1176" s="95"/>
      <c r="AF1176" s="96">
        <f t="shared" ref="AF1176" si="3207">K1176*AE1176*$AF$2/1000</f>
        <v>0</v>
      </c>
      <c r="AG1176" s="95">
        <f t="shared" ref="AG1176" si="3208">SUM(AA1176+AC1176+AE1176)</f>
        <v>0</v>
      </c>
      <c r="AH1176" s="95">
        <f t="shared" ref="AH1176" si="3209">SUM(AB1176+AD1176+AF1176)</f>
        <v>0</v>
      </c>
      <c r="AI1176" s="95">
        <f t="shared" ref="AI1176" si="3210">SUM(Y1176+AG1176)</f>
        <v>0</v>
      </c>
      <c r="AJ1176" s="95">
        <f t="shared" ref="AJ1176" si="3211">SUM(Z1176,AH1176)</f>
        <v>0</v>
      </c>
      <c r="AK1176" s="95"/>
      <c r="AL1176" s="95">
        <f t="shared" ref="AL1176" si="3212">M1176*AK1176*$AL$2/1000</f>
        <v>0</v>
      </c>
      <c r="AM1176" s="95"/>
      <c r="AN1176" s="95">
        <f t="shared" ref="AN1176" si="3213">M1176*AM1176*$AN$2/1000</f>
        <v>0</v>
      </c>
      <c r="AO1176" s="95"/>
      <c r="AP1176" s="95">
        <f t="shared" ref="AP1176" si="3214">M1176*AO1176*$AP$2/1000</f>
        <v>0</v>
      </c>
      <c r="AQ1176" s="95">
        <f t="shared" ref="AQ1176" si="3215">SUM(AK1176+AM1176+AO1176)</f>
        <v>0</v>
      </c>
      <c r="AR1176" s="95">
        <f t="shared" ref="AR1176" si="3216">SUM(AL1176+AN1176+AP1176)</f>
        <v>0</v>
      </c>
      <c r="AS1176" s="95"/>
      <c r="AT1176" s="95">
        <f t="shared" ref="AT1176" si="3217">O1176*AS1176*$AT$2/1000</f>
        <v>0</v>
      </c>
      <c r="AU1176" s="95"/>
      <c r="AV1176" s="95">
        <f t="shared" ref="AV1176" si="3218">O1176*AU1176*$AV$2/1000</f>
        <v>0</v>
      </c>
      <c r="AW1176" s="95"/>
      <c r="AX1176" s="95">
        <f t="shared" ref="AX1176" si="3219">O1176*AW1176*$AX$2/1000</f>
        <v>0</v>
      </c>
      <c r="AY1176" s="95">
        <f t="shared" ref="AY1176" si="3220">SUM(AS1176+AU1176+AW1176)</f>
        <v>0</v>
      </c>
      <c r="AZ1176" s="95">
        <f t="shared" ref="AZ1176" si="3221">SUM(AT1176+AV1176+AX1176)</f>
        <v>0</v>
      </c>
      <c r="BA1176" s="95">
        <f t="shared" ref="BA1176" si="3222">SUM(AQ1176+AY1176)</f>
        <v>0</v>
      </c>
      <c r="BB1176" s="95">
        <f t="shared" ref="BB1176" si="3223">SUM(AR1176,AZ1176)</f>
        <v>0</v>
      </c>
    </row>
    <row r="1177" spans="1:54" s="6" customFormat="1">
      <c r="A1177" s="492">
        <v>734</v>
      </c>
      <c r="B1177" s="14"/>
      <c r="C1177" s="39"/>
      <c r="D1177" s="14"/>
      <c r="E1177" s="16" t="s">
        <v>2208</v>
      </c>
      <c r="F1177" s="44" t="s">
        <v>940</v>
      </c>
      <c r="G1177" s="44" t="s">
        <v>1059</v>
      </c>
      <c r="H1177" s="264" t="s">
        <v>359</v>
      </c>
      <c r="I1177" s="232">
        <v>12.06</v>
      </c>
      <c r="J1177" s="239"/>
      <c r="K1177" s="232">
        <v>12.06</v>
      </c>
      <c r="L1177" s="239"/>
      <c r="M1177" s="232"/>
      <c r="N1177" s="239"/>
      <c r="O1177" s="232"/>
      <c r="P1177" s="239"/>
      <c r="Q1177" s="95">
        <f t="shared" si="3121"/>
        <v>0.47299999999999998</v>
      </c>
      <c r="R1177" s="335">
        <f t="shared" si="3122"/>
        <v>8.4475771470000005</v>
      </c>
      <c r="S1177" s="95">
        <v>0.17299999999999999</v>
      </c>
      <c r="T1177" s="95">
        <f t="shared" si="3123"/>
        <v>3.0120024870000002</v>
      </c>
      <c r="U1177" s="95"/>
      <c r="V1177" s="95">
        <f t="shared" si="3124"/>
        <v>0</v>
      </c>
      <c r="W1177" s="95">
        <v>0.3</v>
      </c>
      <c r="X1177" s="95">
        <f t="shared" si="3125"/>
        <v>5.4355746599999994</v>
      </c>
      <c r="Y1177" s="95">
        <f t="shared" si="3126"/>
        <v>0.47299999999999998</v>
      </c>
      <c r="Z1177" s="95">
        <f t="shared" si="3127"/>
        <v>8.4475771470000005</v>
      </c>
      <c r="AA1177" s="95"/>
      <c r="AB1177" s="95">
        <f t="shared" si="3128"/>
        <v>0</v>
      </c>
      <c r="AC1177" s="95"/>
      <c r="AD1177" s="95">
        <f t="shared" si="3129"/>
        <v>0</v>
      </c>
      <c r="AE1177" s="95"/>
      <c r="AF1177" s="96">
        <f t="shared" si="3130"/>
        <v>0</v>
      </c>
      <c r="AG1177" s="95">
        <f t="shared" si="3131"/>
        <v>0</v>
      </c>
      <c r="AH1177" s="95">
        <f t="shared" si="3132"/>
        <v>0</v>
      </c>
      <c r="AI1177" s="95">
        <f t="shared" si="3133"/>
        <v>0.47299999999999998</v>
      </c>
      <c r="AJ1177" s="95">
        <f t="shared" si="3134"/>
        <v>8.4475771470000005</v>
      </c>
      <c r="AK1177" s="95"/>
      <c r="AL1177" s="95">
        <f t="shared" si="3135"/>
        <v>0</v>
      </c>
      <c r="AM1177" s="95"/>
      <c r="AN1177" s="95">
        <f t="shared" si="3136"/>
        <v>0</v>
      </c>
      <c r="AO1177" s="95"/>
      <c r="AP1177" s="95">
        <f t="shared" si="3120"/>
        <v>0</v>
      </c>
      <c r="AQ1177" s="95">
        <f t="shared" si="3137"/>
        <v>0</v>
      </c>
      <c r="AR1177" s="95">
        <f t="shared" si="3138"/>
        <v>0</v>
      </c>
      <c r="AS1177" s="95"/>
      <c r="AT1177" s="95">
        <f t="shared" si="3139"/>
        <v>0</v>
      </c>
      <c r="AU1177" s="95"/>
      <c r="AV1177" s="95">
        <f t="shared" si="3140"/>
        <v>0</v>
      </c>
      <c r="AW1177" s="95"/>
      <c r="AX1177" s="95">
        <f t="shared" si="3141"/>
        <v>0</v>
      </c>
      <c r="AY1177" s="95">
        <f t="shared" si="3142"/>
        <v>0</v>
      </c>
      <c r="AZ1177" s="95">
        <f t="shared" si="3143"/>
        <v>0</v>
      </c>
      <c r="BA1177" s="95">
        <f t="shared" si="3144"/>
        <v>0</v>
      </c>
      <c r="BB1177" s="95">
        <f t="shared" si="3145"/>
        <v>0</v>
      </c>
    </row>
    <row r="1178" spans="1:54">
      <c r="B1178" s="13"/>
      <c r="C1178" s="13"/>
      <c r="D1178" s="13"/>
      <c r="E1178" s="21" t="s">
        <v>1385</v>
      </c>
      <c r="F1178" s="44" t="s">
        <v>940</v>
      </c>
      <c r="G1178" s="22" t="s">
        <v>1056</v>
      </c>
      <c r="H1178" s="264" t="s">
        <v>362</v>
      </c>
      <c r="I1178" s="54">
        <v>12.06</v>
      </c>
      <c r="J1178" s="101"/>
      <c r="K1178" s="54">
        <v>12.06</v>
      </c>
      <c r="L1178" s="162"/>
      <c r="M1178" s="54"/>
      <c r="N1178" s="162"/>
      <c r="O1178" s="54"/>
      <c r="P1178" s="101"/>
      <c r="Q1178" s="96">
        <f t="shared" si="3121"/>
        <v>0</v>
      </c>
      <c r="R1178" s="337">
        <f t="shared" si="3122"/>
        <v>0</v>
      </c>
      <c r="S1178" s="96"/>
      <c r="T1178" s="96">
        <f t="shared" si="3123"/>
        <v>0</v>
      </c>
      <c r="U1178" s="96"/>
      <c r="V1178" s="176">
        <f t="shared" si="3124"/>
        <v>0</v>
      </c>
      <c r="W1178" s="206"/>
      <c r="X1178" s="205">
        <f t="shared" si="3125"/>
        <v>0</v>
      </c>
      <c r="Y1178" s="188">
        <f t="shared" si="3126"/>
        <v>0</v>
      </c>
      <c r="Z1178" s="176">
        <f t="shared" si="3127"/>
        <v>0</v>
      </c>
      <c r="AA1178" s="206"/>
      <c r="AB1178" s="205">
        <f t="shared" si="3128"/>
        <v>0</v>
      </c>
      <c r="AC1178" s="206"/>
      <c r="AD1178" s="176">
        <f t="shared" si="3129"/>
        <v>0</v>
      </c>
      <c r="AE1178" s="206"/>
      <c r="AF1178" s="205">
        <f t="shared" si="3130"/>
        <v>0</v>
      </c>
      <c r="AG1178" s="188">
        <f t="shared" si="3131"/>
        <v>0</v>
      </c>
      <c r="AH1178" s="96">
        <f t="shared" si="3132"/>
        <v>0</v>
      </c>
      <c r="AI1178" s="96">
        <f t="shared" si="3133"/>
        <v>0</v>
      </c>
      <c r="AJ1178" s="176">
        <f t="shared" si="3134"/>
        <v>0</v>
      </c>
      <c r="AK1178" s="206"/>
      <c r="AL1178" s="176">
        <f t="shared" si="3135"/>
        <v>0</v>
      </c>
      <c r="AM1178" s="243"/>
      <c r="AN1178" s="176">
        <f t="shared" si="3136"/>
        <v>0</v>
      </c>
      <c r="AO1178" s="206"/>
      <c r="AP1178" s="205">
        <f t="shared" si="3120"/>
        <v>0</v>
      </c>
      <c r="AQ1178" s="188">
        <f t="shared" si="3137"/>
        <v>0</v>
      </c>
      <c r="AR1178" s="96">
        <f t="shared" si="3138"/>
        <v>0</v>
      </c>
      <c r="AS1178" s="96"/>
      <c r="AT1178" s="176">
        <f t="shared" si="3139"/>
        <v>0</v>
      </c>
      <c r="AU1178" s="206"/>
      <c r="AV1178" s="176">
        <f t="shared" si="3140"/>
        <v>0</v>
      </c>
      <c r="AW1178" s="206"/>
      <c r="AX1178" s="205">
        <f t="shared" si="3141"/>
        <v>0</v>
      </c>
      <c r="AY1178" s="188">
        <f t="shared" si="3142"/>
        <v>0</v>
      </c>
      <c r="AZ1178" s="96">
        <f t="shared" si="3143"/>
        <v>0</v>
      </c>
      <c r="BA1178" s="96">
        <f t="shared" si="3144"/>
        <v>0</v>
      </c>
      <c r="BB1178" s="96">
        <f t="shared" si="3145"/>
        <v>0</v>
      </c>
    </row>
    <row r="1179" spans="1:54" s="6" customFormat="1">
      <c r="A1179" s="492">
        <v>734</v>
      </c>
      <c r="B1179" s="14"/>
      <c r="C1179" s="39"/>
      <c r="D1179" s="14"/>
      <c r="E1179" s="16" t="s">
        <v>1313</v>
      </c>
      <c r="F1179" s="45" t="s">
        <v>941</v>
      </c>
      <c r="G1179" s="44" t="s">
        <v>1059</v>
      </c>
      <c r="H1179" s="264" t="s">
        <v>359</v>
      </c>
      <c r="I1179" s="232">
        <v>11.18</v>
      </c>
      <c r="J1179" s="239"/>
      <c r="K1179" s="232">
        <v>11.18</v>
      </c>
      <c r="L1179" s="239"/>
      <c r="M1179" s="232"/>
      <c r="N1179" s="239"/>
      <c r="O1179" s="232"/>
      <c r="P1179" s="239"/>
      <c r="Q1179" s="95">
        <f t="shared" si="3121"/>
        <v>0</v>
      </c>
      <c r="R1179" s="335">
        <f t="shared" si="3122"/>
        <v>0</v>
      </c>
      <c r="S1179" s="95"/>
      <c r="T1179" s="95">
        <f t="shared" si="3123"/>
        <v>0</v>
      </c>
      <c r="U1179" s="95"/>
      <c r="V1179" s="95">
        <f t="shared" si="3124"/>
        <v>0</v>
      </c>
      <c r="W1179" s="95"/>
      <c r="X1179" s="95">
        <f t="shared" si="3125"/>
        <v>0</v>
      </c>
      <c r="Y1179" s="95">
        <f t="shared" si="3126"/>
        <v>0</v>
      </c>
      <c r="Z1179" s="95">
        <f t="shared" si="3127"/>
        <v>0</v>
      </c>
      <c r="AA1179" s="95"/>
      <c r="AB1179" s="95">
        <f t="shared" si="3128"/>
        <v>0</v>
      </c>
      <c r="AC1179" s="95"/>
      <c r="AD1179" s="95">
        <f t="shared" si="3129"/>
        <v>0</v>
      </c>
      <c r="AE1179" s="95"/>
      <c r="AF1179" s="96">
        <f t="shared" si="3130"/>
        <v>0</v>
      </c>
      <c r="AG1179" s="95">
        <f t="shared" si="3131"/>
        <v>0</v>
      </c>
      <c r="AH1179" s="95">
        <f t="shared" si="3132"/>
        <v>0</v>
      </c>
      <c r="AI1179" s="95">
        <f t="shared" si="3133"/>
        <v>0</v>
      </c>
      <c r="AJ1179" s="95">
        <f t="shared" si="3134"/>
        <v>0</v>
      </c>
      <c r="AK1179" s="95"/>
      <c r="AL1179" s="95">
        <f t="shared" si="3135"/>
        <v>0</v>
      </c>
      <c r="AM1179" s="95"/>
      <c r="AN1179" s="95">
        <f t="shared" si="3136"/>
        <v>0</v>
      </c>
      <c r="AO1179" s="95"/>
      <c r="AP1179" s="95">
        <f t="shared" si="3120"/>
        <v>0</v>
      </c>
      <c r="AQ1179" s="95">
        <f t="shared" si="3137"/>
        <v>0</v>
      </c>
      <c r="AR1179" s="95">
        <f t="shared" si="3138"/>
        <v>0</v>
      </c>
      <c r="AS1179" s="95"/>
      <c r="AT1179" s="95">
        <f t="shared" si="3139"/>
        <v>0</v>
      </c>
      <c r="AU1179" s="95"/>
      <c r="AV1179" s="95">
        <f t="shared" si="3140"/>
        <v>0</v>
      </c>
      <c r="AW1179" s="95"/>
      <c r="AX1179" s="95">
        <f t="shared" si="3141"/>
        <v>0</v>
      </c>
      <c r="AY1179" s="95">
        <f t="shared" si="3142"/>
        <v>0</v>
      </c>
      <c r="AZ1179" s="95">
        <f t="shared" si="3143"/>
        <v>0</v>
      </c>
      <c r="BA1179" s="95">
        <f t="shared" si="3144"/>
        <v>0</v>
      </c>
      <c r="BB1179" s="95">
        <f t="shared" si="3145"/>
        <v>0</v>
      </c>
    </row>
    <row r="1180" spans="1:54">
      <c r="A1180" s="492">
        <v>735</v>
      </c>
      <c r="B1180" s="13"/>
      <c r="C1180" s="234"/>
      <c r="D1180" s="13"/>
      <c r="E1180" s="21" t="s">
        <v>1314</v>
      </c>
      <c r="F1180" s="45" t="s">
        <v>941</v>
      </c>
      <c r="G1180" s="45" t="s">
        <v>1059</v>
      </c>
      <c r="H1180" s="265" t="s">
        <v>359</v>
      </c>
      <c r="I1180" s="54">
        <v>10.914285714285713</v>
      </c>
      <c r="J1180" s="162"/>
      <c r="K1180" s="54">
        <v>10.914285714285713</v>
      </c>
      <c r="L1180" s="162"/>
      <c r="M1180" s="54"/>
      <c r="N1180" s="162"/>
      <c r="O1180" s="54"/>
      <c r="P1180" s="162"/>
      <c r="Q1180" s="96">
        <f t="shared" ref="Q1180" si="3224">SUM(AI1180+BA1180)</f>
        <v>0</v>
      </c>
      <c r="R1180" s="337">
        <f t="shared" ref="R1180" si="3225">SUM(AJ1180+BB1180)</f>
        <v>0</v>
      </c>
      <c r="S1180" s="96"/>
      <c r="T1180" s="96">
        <f t="shared" ref="T1180" si="3226">I1180*S1180*$T$2/1000</f>
        <v>0</v>
      </c>
      <c r="U1180" s="96"/>
      <c r="V1180" s="96">
        <f t="shared" ref="V1180" si="3227">I1180*U1180*$V$2/1000</f>
        <v>0</v>
      </c>
      <c r="W1180" s="96"/>
      <c r="X1180" s="96">
        <f t="shared" ref="X1180" si="3228">I1180*W1180*$X$2/1000</f>
        <v>0</v>
      </c>
      <c r="Y1180" s="96">
        <f t="shared" ref="Y1180" si="3229">SUM(S1180+U1180+W1180)</f>
        <v>0</v>
      </c>
      <c r="Z1180" s="96">
        <f t="shared" ref="Z1180" si="3230">SUM(T1180+V1180+X1180)</f>
        <v>0</v>
      </c>
      <c r="AA1180" s="96"/>
      <c r="AB1180" s="96">
        <f t="shared" ref="AB1180" si="3231">K1180*AA1180*$AB$2/1000</f>
        <v>0</v>
      </c>
      <c r="AC1180" s="96"/>
      <c r="AD1180" s="96">
        <f t="shared" ref="AD1180" si="3232">K1180*AC1180*$AD$2/1000</f>
        <v>0</v>
      </c>
      <c r="AE1180" s="96"/>
      <c r="AF1180" s="96">
        <f t="shared" ref="AF1180" si="3233">K1180*AE1180*$AF$2/1000</f>
        <v>0</v>
      </c>
      <c r="AG1180" s="96">
        <f t="shared" ref="AG1180" si="3234">SUM(AA1180+AC1180+AE1180)</f>
        <v>0</v>
      </c>
      <c r="AH1180" s="96">
        <f t="shared" ref="AH1180" si="3235">SUM(AB1180+AD1180+AF1180)</f>
        <v>0</v>
      </c>
      <c r="AI1180" s="96">
        <f t="shared" ref="AI1180" si="3236">SUM(Y1180+AG1180)</f>
        <v>0</v>
      </c>
      <c r="AJ1180" s="96">
        <f t="shared" ref="AJ1180" si="3237">SUM(Z1180,AH1180)</f>
        <v>0</v>
      </c>
      <c r="AK1180" s="96"/>
      <c r="AL1180" s="96">
        <f t="shared" ref="AL1180" si="3238">M1180*AK1180*$AL$2/1000</f>
        <v>0</v>
      </c>
      <c r="AM1180" s="96"/>
      <c r="AN1180" s="96">
        <f t="shared" ref="AN1180" si="3239">M1180*AM1180*$AN$2/1000</f>
        <v>0</v>
      </c>
      <c r="AO1180" s="96"/>
      <c r="AP1180" s="96">
        <f t="shared" si="3120"/>
        <v>0</v>
      </c>
      <c r="AQ1180" s="96">
        <f t="shared" ref="AQ1180" si="3240">SUM(AK1180+AM1180+AO1180)</f>
        <v>0</v>
      </c>
      <c r="AR1180" s="96">
        <f t="shared" ref="AR1180" si="3241">SUM(AL1180+AN1180+AP1180)</f>
        <v>0</v>
      </c>
      <c r="AS1180" s="96"/>
      <c r="AT1180" s="96">
        <f t="shared" ref="AT1180" si="3242">O1180*AS1180*$AT$2/1000</f>
        <v>0</v>
      </c>
      <c r="AU1180" s="96"/>
      <c r="AV1180" s="96">
        <f t="shared" ref="AV1180" si="3243">O1180*AU1180*$AV$2/1000</f>
        <v>0</v>
      </c>
      <c r="AW1180" s="96"/>
      <c r="AX1180" s="96">
        <f t="shared" ref="AX1180" si="3244">O1180*AW1180*$AX$2/1000</f>
        <v>0</v>
      </c>
      <c r="AY1180" s="96">
        <f t="shared" ref="AY1180" si="3245">SUM(AS1180+AU1180+AW1180)</f>
        <v>0</v>
      </c>
      <c r="AZ1180" s="96">
        <f t="shared" ref="AZ1180" si="3246">SUM(AT1180+AV1180+AX1180)</f>
        <v>0</v>
      </c>
      <c r="BA1180" s="96">
        <f t="shared" ref="BA1180" si="3247">SUM(AQ1180+AY1180)</f>
        <v>0</v>
      </c>
      <c r="BB1180" s="96">
        <f t="shared" ref="BB1180" si="3248">SUM(AR1180,AZ1180)</f>
        <v>0</v>
      </c>
    </row>
    <row r="1181" spans="1:54">
      <c r="A1181" s="492">
        <v>735</v>
      </c>
      <c r="B1181" s="13"/>
      <c r="C1181" s="234"/>
      <c r="D1181" s="24"/>
      <c r="E1181" s="21" t="s">
        <v>2561</v>
      </c>
      <c r="F1181" s="45" t="s">
        <v>941</v>
      </c>
      <c r="G1181" s="45" t="s">
        <v>1059</v>
      </c>
      <c r="H1181" s="265" t="s">
        <v>433</v>
      </c>
      <c r="I1181" s="54">
        <v>12.08</v>
      </c>
      <c r="J1181" s="162"/>
      <c r="K1181" s="54">
        <v>12.08</v>
      </c>
      <c r="L1181" s="162"/>
      <c r="M1181" s="54"/>
      <c r="N1181" s="162"/>
      <c r="O1181" s="54"/>
      <c r="P1181" s="162"/>
      <c r="Q1181" s="96">
        <f t="shared" si="3121"/>
        <v>2.7E-2</v>
      </c>
      <c r="R1181" s="337">
        <f t="shared" si="3122"/>
        <v>0.49001299919999997</v>
      </c>
      <c r="S1181" s="96"/>
      <c r="T1181" s="96">
        <f t="shared" si="3123"/>
        <v>0</v>
      </c>
      <c r="U1181" s="96"/>
      <c r="V1181" s="96">
        <f t="shared" si="3124"/>
        <v>0</v>
      </c>
      <c r="W1181" s="96">
        <v>2.7E-2</v>
      </c>
      <c r="X1181" s="96">
        <f t="shared" si="3125"/>
        <v>0.49001299919999997</v>
      </c>
      <c r="Y1181" s="96">
        <f t="shared" si="3126"/>
        <v>2.7E-2</v>
      </c>
      <c r="Z1181" s="96">
        <f t="shared" si="3127"/>
        <v>0.49001299919999997</v>
      </c>
      <c r="AA1181" s="96"/>
      <c r="AB1181" s="96">
        <f t="shared" si="3128"/>
        <v>0</v>
      </c>
      <c r="AC1181" s="96"/>
      <c r="AD1181" s="96">
        <f t="shared" si="3129"/>
        <v>0</v>
      </c>
      <c r="AE1181" s="96"/>
      <c r="AF1181" s="96">
        <f t="shared" si="3130"/>
        <v>0</v>
      </c>
      <c r="AG1181" s="96">
        <f t="shared" si="3131"/>
        <v>0</v>
      </c>
      <c r="AH1181" s="96">
        <f t="shared" si="3132"/>
        <v>0</v>
      </c>
      <c r="AI1181" s="96">
        <f t="shared" si="3133"/>
        <v>2.7E-2</v>
      </c>
      <c r="AJ1181" s="96">
        <f t="shared" si="3134"/>
        <v>0.49001299919999997</v>
      </c>
      <c r="AK1181" s="96"/>
      <c r="AL1181" s="96">
        <f t="shared" si="3135"/>
        <v>0</v>
      </c>
      <c r="AM1181" s="96"/>
      <c r="AN1181" s="96">
        <f t="shared" si="3136"/>
        <v>0</v>
      </c>
      <c r="AO1181" s="96"/>
      <c r="AP1181" s="96">
        <f t="shared" ref="AP1181:AP1257" si="3249">M1181*AO1181*$AP$2/1000</f>
        <v>0</v>
      </c>
      <c r="AQ1181" s="96">
        <f t="shared" si="3137"/>
        <v>0</v>
      </c>
      <c r="AR1181" s="96">
        <f t="shared" si="3138"/>
        <v>0</v>
      </c>
      <c r="AS1181" s="96"/>
      <c r="AT1181" s="96">
        <f t="shared" si="3139"/>
        <v>0</v>
      </c>
      <c r="AU1181" s="96"/>
      <c r="AV1181" s="96">
        <f t="shared" si="3140"/>
        <v>0</v>
      </c>
      <c r="AW1181" s="96"/>
      <c r="AX1181" s="96">
        <f t="shared" si="3141"/>
        <v>0</v>
      </c>
      <c r="AY1181" s="96">
        <f t="shared" si="3142"/>
        <v>0</v>
      </c>
      <c r="AZ1181" s="96">
        <f t="shared" si="3143"/>
        <v>0</v>
      </c>
      <c r="BA1181" s="96">
        <f t="shared" si="3144"/>
        <v>0</v>
      </c>
      <c r="BB1181" s="96">
        <f t="shared" si="3145"/>
        <v>0</v>
      </c>
    </row>
    <row r="1182" spans="1:54" s="6" customFormat="1">
      <c r="A1182" s="492">
        <v>736</v>
      </c>
      <c r="B1182" s="14"/>
      <c r="C1182" s="39"/>
      <c r="D1182" s="14" t="s">
        <v>946</v>
      </c>
      <c r="E1182" s="16" t="s">
        <v>1315</v>
      </c>
      <c r="F1182" s="44" t="s">
        <v>939</v>
      </c>
      <c r="G1182" s="44" t="s">
        <v>1059</v>
      </c>
      <c r="H1182" s="264" t="s">
        <v>433</v>
      </c>
      <c r="I1182" s="232">
        <v>14.51</v>
      </c>
      <c r="J1182" s="239"/>
      <c r="K1182" s="232">
        <v>14.51</v>
      </c>
      <c r="L1182" s="239"/>
      <c r="M1182" s="232"/>
      <c r="N1182" s="239"/>
      <c r="O1182" s="232"/>
      <c r="P1182" s="239"/>
      <c r="Q1182" s="95">
        <f t="shared" si="3121"/>
        <v>0</v>
      </c>
      <c r="R1182" s="335">
        <f t="shared" si="3122"/>
        <v>0</v>
      </c>
      <c r="S1182" s="95"/>
      <c r="T1182" s="95">
        <f t="shared" si="3123"/>
        <v>0</v>
      </c>
      <c r="U1182" s="95"/>
      <c r="V1182" s="95">
        <f t="shared" si="3124"/>
        <v>0</v>
      </c>
      <c r="W1182" s="95"/>
      <c r="X1182" s="95">
        <f t="shared" si="3125"/>
        <v>0</v>
      </c>
      <c r="Y1182" s="95">
        <f t="shared" si="3126"/>
        <v>0</v>
      </c>
      <c r="Z1182" s="95">
        <f t="shared" si="3127"/>
        <v>0</v>
      </c>
      <c r="AA1182" s="95"/>
      <c r="AB1182" s="95">
        <f t="shared" si="3128"/>
        <v>0</v>
      </c>
      <c r="AC1182" s="95"/>
      <c r="AD1182" s="95">
        <f t="shared" si="3129"/>
        <v>0</v>
      </c>
      <c r="AE1182" s="95"/>
      <c r="AF1182" s="96">
        <f t="shared" si="3130"/>
        <v>0</v>
      </c>
      <c r="AG1182" s="95">
        <f t="shared" si="3131"/>
        <v>0</v>
      </c>
      <c r="AH1182" s="95">
        <f t="shared" si="3132"/>
        <v>0</v>
      </c>
      <c r="AI1182" s="95">
        <f t="shared" si="3133"/>
        <v>0</v>
      </c>
      <c r="AJ1182" s="95">
        <f t="shared" si="3134"/>
        <v>0</v>
      </c>
      <c r="AK1182" s="95"/>
      <c r="AL1182" s="95">
        <f t="shared" si="3135"/>
        <v>0</v>
      </c>
      <c r="AM1182" s="95"/>
      <c r="AN1182" s="95">
        <f t="shared" si="3136"/>
        <v>0</v>
      </c>
      <c r="AO1182" s="95"/>
      <c r="AP1182" s="95">
        <f t="shared" si="3249"/>
        <v>0</v>
      </c>
      <c r="AQ1182" s="95">
        <f t="shared" si="3137"/>
        <v>0</v>
      </c>
      <c r="AR1182" s="95">
        <f t="shared" si="3138"/>
        <v>0</v>
      </c>
      <c r="AS1182" s="95"/>
      <c r="AT1182" s="95">
        <f t="shared" si="3139"/>
        <v>0</v>
      </c>
      <c r="AU1182" s="95"/>
      <c r="AV1182" s="95">
        <f t="shared" si="3140"/>
        <v>0</v>
      </c>
      <c r="AW1182" s="95"/>
      <c r="AX1182" s="95">
        <f t="shared" si="3141"/>
        <v>0</v>
      </c>
      <c r="AY1182" s="95">
        <f t="shared" si="3142"/>
        <v>0</v>
      </c>
      <c r="AZ1182" s="95">
        <f t="shared" si="3143"/>
        <v>0</v>
      </c>
      <c r="BA1182" s="95">
        <f t="shared" si="3144"/>
        <v>0</v>
      </c>
      <c r="BB1182" s="95">
        <f t="shared" si="3145"/>
        <v>0</v>
      </c>
    </row>
    <row r="1183" spans="1:54">
      <c r="B1183" s="13"/>
      <c r="C1183" s="13"/>
      <c r="D1183" s="13"/>
      <c r="E1183" s="21" t="s">
        <v>1459</v>
      </c>
      <c r="F1183" s="44" t="s">
        <v>939</v>
      </c>
      <c r="G1183" s="22" t="s">
        <v>1056</v>
      </c>
      <c r="H1183" s="264" t="s">
        <v>359</v>
      </c>
      <c r="I1183" s="54">
        <v>15.59</v>
      </c>
      <c r="J1183" s="101"/>
      <c r="K1183" s="54">
        <v>15.59</v>
      </c>
      <c r="L1183" s="162"/>
      <c r="M1183" s="54"/>
      <c r="N1183" s="162"/>
      <c r="O1183" s="54"/>
      <c r="P1183" s="101"/>
      <c r="Q1183" s="96">
        <f t="shared" ref="Q1183" si="3250">SUM(AI1183+BA1183)</f>
        <v>0</v>
      </c>
      <c r="R1183" s="337">
        <f t="shared" ref="R1183" si="3251">SUM(AJ1183+BB1183)</f>
        <v>0</v>
      </c>
      <c r="S1183" s="96"/>
      <c r="T1183" s="96">
        <f t="shared" ref="T1183" si="3252">I1183*S1183*$T$2/1000</f>
        <v>0</v>
      </c>
      <c r="U1183" s="96"/>
      <c r="V1183" s="176">
        <f t="shared" ref="V1183" si="3253">I1183*U1183*$V$2/1000</f>
        <v>0</v>
      </c>
      <c r="W1183" s="206"/>
      <c r="X1183" s="205">
        <f t="shared" ref="X1183" si="3254">I1183*W1183*$X$2/1000</f>
        <v>0</v>
      </c>
      <c r="Y1183" s="188">
        <f t="shared" ref="Y1183" si="3255">SUM(S1183+U1183+W1183)</f>
        <v>0</v>
      </c>
      <c r="Z1183" s="176">
        <f t="shared" ref="Z1183" si="3256">SUM(T1183+V1183+X1183)</f>
        <v>0</v>
      </c>
      <c r="AA1183" s="206"/>
      <c r="AB1183" s="205">
        <f t="shared" ref="AB1183" si="3257">K1183*AA1183*$AB$2/1000</f>
        <v>0</v>
      </c>
      <c r="AC1183" s="206"/>
      <c r="AD1183" s="176">
        <f t="shared" ref="AD1183" si="3258">K1183*AC1183*$AD$2/1000</f>
        <v>0</v>
      </c>
      <c r="AE1183" s="206"/>
      <c r="AF1183" s="205">
        <f t="shared" ref="AF1183" si="3259">K1183*AE1183*$AF$2/1000</f>
        <v>0</v>
      </c>
      <c r="AG1183" s="188">
        <f t="shared" ref="AG1183" si="3260">SUM(AA1183+AC1183+AE1183)</f>
        <v>0</v>
      </c>
      <c r="AH1183" s="96">
        <f t="shared" ref="AH1183" si="3261">SUM(AB1183+AD1183+AF1183)</f>
        <v>0</v>
      </c>
      <c r="AI1183" s="96">
        <f t="shared" ref="AI1183" si="3262">SUM(Y1183+AG1183)</f>
        <v>0</v>
      </c>
      <c r="AJ1183" s="176">
        <f t="shared" ref="AJ1183" si="3263">SUM(Z1183,AH1183)</f>
        <v>0</v>
      </c>
      <c r="AK1183" s="206"/>
      <c r="AL1183" s="176">
        <f t="shared" ref="AL1183" si="3264">M1183*AK1183*$AL$2/1000</f>
        <v>0</v>
      </c>
      <c r="AM1183" s="243"/>
      <c r="AN1183" s="176">
        <f t="shared" ref="AN1183" si="3265">M1183*AM1183*$AN$2/1000</f>
        <v>0</v>
      </c>
      <c r="AO1183" s="206"/>
      <c r="AP1183" s="205">
        <f t="shared" ref="AP1183" si="3266">M1183*AO1183*$AP$2/1000</f>
        <v>0</v>
      </c>
      <c r="AQ1183" s="188">
        <f t="shared" ref="AQ1183" si="3267">SUM(AK1183+AM1183+AO1183)</f>
        <v>0</v>
      </c>
      <c r="AR1183" s="96">
        <f t="shared" ref="AR1183" si="3268">SUM(AL1183+AN1183+AP1183)</f>
        <v>0</v>
      </c>
      <c r="AS1183" s="96"/>
      <c r="AT1183" s="176">
        <f t="shared" ref="AT1183" si="3269">O1183*AS1183*$AT$2/1000</f>
        <v>0</v>
      </c>
      <c r="AU1183" s="206"/>
      <c r="AV1183" s="176">
        <f t="shared" ref="AV1183" si="3270">O1183*AU1183*$AV$2/1000</f>
        <v>0</v>
      </c>
      <c r="AW1183" s="206"/>
      <c r="AX1183" s="205">
        <f t="shared" ref="AX1183" si="3271">O1183*AW1183*$AX$2/1000</f>
        <v>0</v>
      </c>
      <c r="AY1183" s="188">
        <f t="shared" ref="AY1183" si="3272">SUM(AS1183+AU1183+AW1183)</f>
        <v>0</v>
      </c>
      <c r="AZ1183" s="96">
        <f t="shared" ref="AZ1183" si="3273">SUM(AT1183+AV1183+AX1183)</f>
        <v>0</v>
      </c>
      <c r="BA1183" s="96">
        <f t="shared" ref="BA1183" si="3274">SUM(AQ1183+AY1183)</f>
        <v>0</v>
      </c>
      <c r="BB1183" s="96">
        <f t="shared" ref="BB1183" si="3275">SUM(AR1183,AZ1183)</f>
        <v>0</v>
      </c>
    </row>
    <row r="1184" spans="1:54">
      <c r="B1184" s="13"/>
      <c r="C1184" s="13"/>
      <c r="D1184" s="13"/>
      <c r="E1184" s="21" t="s">
        <v>2446</v>
      </c>
      <c r="F1184" s="44" t="s">
        <v>939</v>
      </c>
      <c r="G1184" s="22" t="s">
        <v>1056</v>
      </c>
      <c r="H1184" s="264" t="s">
        <v>362</v>
      </c>
      <c r="I1184" s="54">
        <v>15.3</v>
      </c>
      <c r="J1184" s="101"/>
      <c r="K1184" s="54">
        <v>15.3</v>
      </c>
      <c r="L1184" s="162"/>
      <c r="M1184" s="54"/>
      <c r="N1184" s="162"/>
      <c r="O1184" s="54"/>
      <c r="P1184" s="101"/>
      <c r="Q1184" s="96">
        <f t="shared" si="3121"/>
        <v>0.108</v>
      </c>
      <c r="R1184" s="337">
        <f t="shared" si="3122"/>
        <v>2.3854872600000006</v>
      </c>
      <c r="S1184" s="96">
        <v>0.108</v>
      </c>
      <c r="T1184" s="96">
        <f t="shared" si="3123"/>
        <v>2.3854872600000006</v>
      </c>
      <c r="U1184" s="96"/>
      <c r="V1184" s="176">
        <f t="shared" si="3124"/>
        <v>0</v>
      </c>
      <c r="W1184" s="206"/>
      <c r="X1184" s="205">
        <f t="shared" si="3125"/>
        <v>0</v>
      </c>
      <c r="Y1184" s="188">
        <f t="shared" si="3126"/>
        <v>0.108</v>
      </c>
      <c r="Z1184" s="176">
        <f t="shared" si="3127"/>
        <v>2.3854872600000006</v>
      </c>
      <c r="AA1184" s="206"/>
      <c r="AB1184" s="205">
        <f t="shared" si="3128"/>
        <v>0</v>
      </c>
      <c r="AC1184" s="206"/>
      <c r="AD1184" s="176">
        <f t="shared" si="3129"/>
        <v>0</v>
      </c>
      <c r="AE1184" s="206"/>
      <c r="AF1184" s="205">
        <f t="shared" si="3130"/>
        <v>0</v>
      </c>
      <c r="AG1184" s="188">
        <f t="shared" si="3131"/>
        <v>0</v>
      </c>
      <c r="AH1184" s="96">
        <f t="shared" si="3132"/>
        <v>0</v>
      </c>
      <c r="AI1184" s="96">
        <f t="shared" si="3133"/>
        <v>0.108</v>
      </c>
      <c r="AJ1184" s="176">
        <f t="shared" si="3134"/>
        <v>2.3854872600000006</v>
      </c>
      <c r="AK1184" s="206"/>
      <c r="AL1184" s="176">
        <f t="shared" si="3135"/>
        <v>0</v>
      </c>
      <c r="AM1184" s="243"/>
      <c r="AN1184" s="176">
        <f t="shared" si="3136"/>
        <v>0</v>
      </c>
      <c r="AO1184" s="206"/>
      <c r="AP1184" s="205">
        <f t="shared" si="3249"/>
        <v>0</v>
      </c>
      <c r="AQ1184" s="188">
        <f t="shared" si="3137"/>
        <v>0</v>
      </c>
      <c r="AR1184" s="96">
        <f t="shared" si="3138"/>
        <v>0</v>
      </c>
      <c r="AS1184" s="96"/>
      <c r="AT1184" s="176">
        <f t="shared" si="3139"/>
        <v>0</v>
      </c>
      <c r="AU1184" s="206"/>
      <c r="AV1184" s="176">
        <f t="shared" si="3140"/>
        <v>0</v>
      </c>
      <c r="AW1184" s="206"/>
      <c r="AX1184" s="205">
        <f t="shared" si="3141"/>
        <v>0</v>
      </c>
      <c r="AY1184" s="188">
        <f t="shared" si="3142"/>
        <v>0</v>
      </c>
      <c r="AZ1184" s="96">
        <f t="shared" si="3143"/>
        <v>0</v>
      </c>
      <c r="BA1184" s="96">
        <f t="shared" si="3144"/>
        <v>0</v>
      </c>
      <c r="BB1184" s="96">
        <f t="shared" si="3145"/>
        <v>0</v>
      </c>
    </row>
    <row r="1185" spans="1:54">
      <c r="B1185" s="13"/>
      <c r="C1185" s="13"/>
      <c r="D1185" s="13"/>
      <c r="E1185" s="21" t="s">
        <v>1316</v>
      </c>
      <c r="F1185" s="44" t="s">
        <v>939</v>
      </c>
      <c r="G1185" s="22" t="s">
        <v>1154</v>
      </c>
      <c r="H1185" s="264" t="s">
        <v>362</v>
      </c>
      <c r="I1185" s="54">
        <v>15.48</v>
      </c>
      <c r="J1185" s="101"/>
      <c r="K1185" s="54">
        <v>15.48</v>
      </c>
      <c r="L1185" s="162"/>
      <c r="M1185" s="54"/>
      <c r="N1185" s="162"/>
      <c r="O1185" s="54"/>
      <c r="P1185" s="101"/>
      <c r="Q1185" s="96">
        <f t="shared" si="3121"/>
        <v>0</v>
      </c>
      <c r="R1185" s="337">
        <f t="shared" si="3122"/>
        <v>0</v>
      </c>
      <c r="S1185" s="96"/>
      <c r="T1185" s="96">
        <f t="shared" si="3123"/>
        <v>0</v>
      </c>
      <c r="U1185" s="96"/>
      <c r="V1185" s="176">
        <f t="shared" si="3124"/>
        <v>0</v>
      </c>
      <c r="W1185" s="206"/>
      <c r="X1185" s="205">
        <f t="shared" si="3125"/>
        <v>0</v>
      </c>
      <c r="Y1185" s="188">
        <f t="shared" si="3126"/>
        <v>0</v>
      </c>
      <c r="Z1185" s="176">
        <f t="shared" si="3127"/>
        <v>0</v>
      </c>
      <c r="AA1185" s="206"/>
      <c r="AB1185" s="205">
        <f t="shared" si="3128"/>
        <v>0</v>
      </c>
      <c r="AC1185" s="206"/>
      <c r="AD1185" s="176">
        <f t="shared" si="3129"/>
        <v>0</v>
      </c>
      <c r="AE1185" s="206"/>
      <c r="AF1185" s="205">
        <f t="shared" si="3130"/>
        <v>0</v>
      </c>
      <c r="AG1185" s="188">
        <f t="shared" si="3131"/>
        <v>0</v>
      </c>
      <c r="AH1185" s="96">
        <f t="shared" si="3132"/>
        <v>0</v>
      </c>
      <c r="AI1185" s="96">
        <f t="shared" si="3133"/>
        <v>0</v>
      </c>
      <c r="AJ1185" s="176">
        <f t="shared" si="3134"/>
        <v>0</v>
      </c>
      <c r="AK1185" s="206"/>
      <c r="AL1185" s="176">
        <f t="shared" si="3135"/>
        <v>0</v>
      </c>
      <c r="AM1185" s="243"/>
      <c r="AN1185" s="176">
        <f t="shared" si="3136"/>
        <v>0</v>
      </c>
      <c r="AO1185" s="206"/>
      <c r="AP1185" s="205">
        <f t="shared" si="3249"/>
        <v>0</v>
      </c>
      <c r="AQ1185" s="188">
        <f t="shared" si="3137"/>
        <v>0</v>
      </c>
      <c r="AR1185" s="96">
        <f t="shared" si="3138"/>
        <v>0</v>
      </c>
      <c r="AS1185" s="96"/>
      <c r="AT1185" s="176">
        <f t="shared" si="3139"/>
        <v>0</v>
      </c>
      <c r="AU1185" s="206"/>
      <c r="AV1185" s="176">
        <f t="shared" si="3140"/>
        <v>0</v>
      </c>
      <c r="AW1185" s="206"/>
      <c r="AX1185" s="205">
        <f t="shared" si="3141"/>
        <v>0</v>
      </c>
      <c r="AY1185" s="188">
        <f t="shared" si="3142"/>
        <v>0</v>
      </c>
      <c r="AZ1185" s="96">
        <f t="shared" si="3143"/>
        <v>0</v>
      </c>
      <c r="BA1185" s="96">
        <f t="shared" si="3144"/>
        <v>0</v>
      </c>
      <c r="BB1185" s="96">
        <f t="shared" si="3145"/>
        <v>0</v>
      </c>
    </row>
    <row r="1186" spans="1:54">
      <c r="B1186" s="13"/>
      <c r="C1186" s="13"/>
      <c r="D1186" s="13"/>
      <c r="E1186" s="21" t="s">
        <v>2242</v>
      </c>
      <c r="F1186" s="44" t="s">
        <v>939</v>
      </c>
      <c r="G1186" s="22" t="s">
        <v>1056</v>
      </c>
      <c r="H1186" s="264" t="s">
        <v>359</v>
      </c>
      <c r="I1186" s="54">
        <v>15.3</v>
      </c>
      <c r="J1186" s="101"/>
      <c r="K1186" s="54">
        <v>15.3</v>
      </c>
      <c r="L1186" s="162"/>
      <c r="M1186" s="54"/>
      <c r="N1186" s="162"/>
      <c r="O1186" s="54"/>
      <c r="P1186" s="101"/>
      <c r="Q1186" s="96">
        <f t="shared" ref="Q1186" si="3276">SUM(AI1186+BA1186)</f>
        <v>1.3759999999999999</v>
      </c>
      <c r="R1186" s="337">
        <f t="shared" ref="R1186" si="3277">SUM(AJ1186+BB1186)</f>
        <v>31.366749708</v>
      </c>
      <c r="S1186" s="96">
        <v>0.108</v>
      </c>
      <c r="T1186" s="96">
        <f t="shared" ref="T1186" si="3278">I1186*S1186*$T$2/1000</f>
        <v>2.3854872600000006</v>
      </c>
      <c r="U1186" s="96"/>
      <c r="V1186" s="176">
        <f t="shared" ref="V1186" si="3279">I1186*U1186*$V$2/1000</f>
        <v>0</v>
      </c>
      <c r="W1186" s="206">
        <v>0.76800000000000002</v>
      </c>
      <c r="X1186" s="205">
        <f t="shared" ref="X1186" si="3280">I1186*W1186*$X$2/1000</f>
        <v>17.653448447999999</v>
      </c>
      <c r="Y1186" s="188">
        <f t="shared" ref="Y1186" si="3281">SUM(S1186+U1186+W1186)</f>
        <v>0.876</v>
      </c>
      <c r="Z1186" s="176">
        <f t="shared" ref="Z1186" si="3282">SUM(T1186+V1186+X1186)</f>
        <v>20.038935708</v>
      </c>
      <c r="AA1186" s="206">
        <v>0.5</v>
      </c>
      <c r="AB1186" s="205">
        <f t="shared" ref="AB1186" si="3283">K1186*AA1186*$AB$2/1000</f>
        <v>11.327814</v>
      </c>
      <c r="AC1186" s="206"/>
      <c r="AD1186" s="176">
        <f t="shared" ref="AD1186" si="3284">K1186*AC1186*$AD$2/1000</f>
        <v>0</v>
      </c>
      <c r="AE1186" s="206"/>
      <c r="AF1186" s="205">
        <f t="shared" ref="AF1186" si="3285">K1186*AE1186*$AF$2/1000</f>
        <v>0</v>
      </c>
      <c r="AG1186" s="188">
        <f t="shared" ref="AG1186" si="3286">SUM(AA1186+AC1186+AE1186)</f>
        <v>0.5</v>
      </c>
      <c r="AH1186" s="96">
        <f t="shared" ref="AH1186" si="3287">SUM(AB1186+AD1186+AF1186)</f>
        <v>11.327814</v>
      </c>
      <c r="AI1186" s="96">
        <f t="shared" ref="AI1186" si="3288">SUM(Y1186+AG1186)</f>
        <v>1.3759999999999999</v>
      </c>
      <c r="AJ1186" s="176">
        <f t="shared" ref="AJ1186" si="3289">SUM(Z1186,AH1186)</f>
        <v>31.366749708</v>
      </c>
      <c r="AK1186" s="206"/>
      <c r="AL1186" s="176">
        <f t="shared" ref="AL1186" si="3290">M1186*AK1186*$AL$2/1000</f>
        <v>0</v>
      </c>
      <c r="AM1186" s="243"/>
      <c r="AN1186" s="176">
        <f t="shared" ref="AN1186" si="3291">M1186*AM1186*$AN$2/1000</f>
        <v>0</v>
      </c>
      <c r="AO1186" s="206"/>
      <c r="AP1186" s="205">
        <f t="shared" ref="AP1186" si="3292">M1186*AO1186*$AP$2/1000</f>
        <v>0</v>
      </c>
      <c r="AQ1186" s="188">
        <f t="shared" ref="AQ1186" si="3293">SUM(AK1186+AM1186+AO1186)</f>
        <v>0</v>
      </c>
      <c r="AR1186" s="96">
        <f t="shared" ref="AR1186" si="3294">SUM(AL1186+AN1186+AP1186)</f>
        <v>0</v>
      </c>
      <c r="AS1186" s="96"/>
      <c r="AT1186" s="176">
        <f t="shared" ref="AT1186" si="3295">O1186*AS1186*$AT$2/1000</f>
        <v>0</v>
      </c>
      <c r="AU1186" s="206"/>
      <c r="AV1186" s="176">
        <f t="shared" ref="AV1186" si="3296">O1186*AU1186*$AV$2/1000</f>
        <v>0</v>
      </c>
      <c r="AW1186" s="206"/>
      <c r="AX1186" s="205">
        <f t="shared" ref="AX1186" si="3297">O1186*AW1186*$AX$2/1000</f>
        <v>0</v>
      </c>
      <c r="AY1186" s="188">
        <f t="shared" ref="AY1186" si="3298">SUM(AS1186+AU1186+AW1186)</f>
        <v>0</v>
      </c>
      <c r="AZ1186" s="96">
        <f t="shared" ref="AZ1186" si="3299">SUM(AT1186+AV1186+AX1186)</f>
        <v>0</v>
      </c>
      <c r="BA1186" s="96">
        <f t="shared" ref="BA1186" si="3300">SUM(AQ1186+AY1186)</f>
        <v>0</v>
      </c>
      <c r="BB1186" s="96">
        <f t="shared" ref="BB1186" si="3301">SUM(AR1186,AZ1186)</f>
        <v>0</v>
      </c>
    </row>
    <row r="1187" spans="1:54">
      <c r="B1187" s="13"/>
      <c r="C1187" s="13"/>
      <c r="D1187" s="13"/>
      <c r="E1187" s="21" t="s">
        <v>1317</v>
      </c>
      <c r="F1187" s="44" t="s">
        <v>940</v>
      </c>
      <c r="G1187" s="22" t="s">
        <v>1154</v>
      </c>
      <c r="H1187" s="264" t="s">
        <v>362</v>
      </c>
      <c r="I1187" s="54">
        <v>14.68</v>
      </c>
      <c r="J1187" s="101"/>
      <c r="K1187" s="54">
        <v>14.68</v>
      </c>
      <c r="L1187" s="162"/>
      <c r="M1187" s="54"/>
      <c r="N1187" s="162"/>
      <c r="O1187" s="54"/>
      <c r="P1187" s="101"/>
      <c r="Q1187" s="96">
        <f t="shared" si="3121"/>
        <v>0</v>
      </c>
      <c r="R1187" s="337">
        <f t="shared" si="3122"/>
        <v>0</v>
      </c>
      <c r="S1187" s="96"/>
      <c r="T1187" s="96">
        <f t="shared" si="3123"/>
        <v>0</v>
      </c>
      <c r="U1187" s="96"/>
      <c r="V1187" s="176">
        <f t="shared" si="3124"/>
        <v>0</v>
      </c>
      <c r="W1187" s="206"/>
      <c r="X1187" s="205">
        <f t="shared" si="3125"/>
        <v>0</v>
      </c>
      <c r="Y1187" s="188">
        <f t="shared" si="3126"/>
        <v>0</v>
      </c>
      <c r="Z1187" s="176">
        <f t="shared" si="3127"/>
        <v>0</v>
      </c>
      <c r="AA1187" s="206"/>
      <c r="AB1187" s="205">
        <f t="shared" si="3128"/>
        <v>0</v>
      </c>
      <c r="AC1187" s="206"/>
      <c r="AD1187" s="176">
        <f t="shared" si="3129"/>
        <v>0</v>
      </c>
      <c r="AE1187" s="206"/>
      <c r="AF1187" s="205">
        <f t="shared" si="3130"/>
        <v>0</v>
      </c>
      <c r="AG1187" s="188">
        <f t="shared" si="3131"/>
        <v>0</v>
      </c>
      <c r="AH1187" s="96">
        <f t="shared" si="3132"/>
        <v>0</v>
      </c>
      <c r="AI1187" s="96">
        <f t="shared" si="3133"/>
        <v>0</v>
      </c>
      <c r="AJ1187" s="176">
        <f t="shared" si="3134"/>
        <v>0</v>
      </c>
      <c r="AK1187" s="206"/>
      <c r="AL1187" s="176">
        <f t="shared" si="3135"/>
        <v>0</v>
      </c>
      <c r="AM1187" s="243"/>
      <c r="AN1187" s="176">
        <f t="shared" si="3136"/>
        <v>0</v>
      </c>
      <c r="AO1187" s="206"/>
      <c r="AP1187" s="205">
        <f t="shared" si="3249"/>
        <v>0</v>
      </c>
      <c r="AQ1187" s="188">
        <f t="shared" si="3137"/>
        <v>0</v>
      </c>
      <c r="AR1187" s="96">
        <f t="shared" si="3138"/>
        <v>0</v>
      </c>
      <c r="AS1187" s="96"/>
      <c r="AT1187" s="176">
        <f t="shared" si="3139"/>
        <v>0</v>
      </c>
      <c r="AU1187" s="206"/>
      <c r="AV1187" s="176">
        <f t="shared" si="3140"/>
        <v>0</v>
      </c>
      <c r="AW1187" s="206"/>
      <c r="AX1187" s="205">
        <f t="shared" si="3141"/>
        <v>0</v>
      </c>
      <c r="AY1187" s="188">
        <f t="shared" si="3142"/>
        <v>0</v>
      </c>
      <c r="AZ1187" s="96">
        <f t="shared" si="3143"/>
        <v>0</v>
      </c>
      <c r="BA1187" s="96">
        <f t="shared" si="3144"/>
        <v>0</v>
      </c>
      <c r="BB1187" s="96">
        <f t="shared" si="3145"/>
        <v>0</v>
      </c>
    </row>
    <row r="1188" spans="1:54" s="6" customFormat="1">
      <c r="A1188" s="492">
        <v>737</v>
      </c>
      <c r="B1188" s="14"/>
      <c r="C1188" s="39"/>
      <c r="D1188" s="14"/>
      <c r="E1188" s="16" t="s">
        <v>1460</v>
      </c>
      <c r="F1188" s="44" t="s">
        <v>940</v>
      </c>
      <c r="G1188" s="44" t="s">
        <v>1059</v>
      </c>
      <c r="H1188" s="264" t="s">
        <v>359</v>
      </c>
      <c r="I1188" s="232">
        <v>15.78</v>
      </c>
      <c r="J1188" s="239"/>
      <c r="K1188" s="232">
        <v>15.78</v>
      </c>
      <c r="L1188" s="239"/>
      <c r="M1188" s="232"/>
      <c r="N1188" s="239"/>
      <c r="O1188" s="232"/>
      <c r="P1188" s="239"/>
      <c r="Q1188" s="95">
        <f t="shared" si="3121"/>
        <v>0</v>
      </c>
      <c r="R1188" s="335">
        <f t="shared" si="3122"/>
        <v>0</v>
      </c>
      <c r="S1188" s="95"/>
      <c r="T1188" s="95">
        <f t="shared" si="3123"/>
        <v>0</v>
      </c>
      <c r="U1188" s="95"/>
      <c r="V1188" s="95">
        <f t="shared" si="3124"/>
        <v>0</v>
      </c>
      <c r="W1188" s="95"/>
      <c r="X1188" s="95">
        <f t="shared" si="3125"/>
        <v>0</v>
      </c>
      <c r="Y1188" s="95">
        <f t="shared" si="3126"/>
        <v>0</v>
      </c>
      <c r="Z1188" s="95">
        <f t="shared" si="3127"/>
        <v>0</v>
      </c>
      <c r="AA1188" s="95"/>
      <c r="AB1188" s="95">
        <f t="shared" si="3128"/>
        <v>0</v>
      </c>
      <c r="AC1188" s="95"/>
      <c r="AD1188" s="95">
        <f t="shared" si="3129"/>
        <v>0</v>
      </c>
      <c r="AE1188" s="95"/>
      <c r="AF1188" s="96">
        <f t="shared" si="3130"/>
        <v>0</v>
      </c>
      <c r="AG1188" s="95">
        <f t="shared" si="3131"/>
        <v>0</v>
      </c>
      <c r="AH1188" s="95">
        <f t="shared" si="3132"/>
        <v>0</v>
      </c>
      <c r="AI1188" s="95">
        <f t="shared" si="3133"/>
        <v>0</v>
      </c>
      <c r="AJ1188" s="95">
        <f t="shared" si="3134"/>
        <v>0</v>
      </c>
      <c r="AK1188" s="95"/>
      <c r="AL1188" s="95">
        <f t="shared" si="3135"/>
        <v>0</v>
      </c>
      <c r="AM1188" s="95"/>
      <c r="AN1188" s="95">
        <f t="shared" si="3136"/>
        <v>0</v>
      </c>
      <c r="AO1188" s="95"/>
      <c r="AP1188" s="95">
        <f t="shared" si="3249"/>
        <v>0</v>
      </c>
      <c r="AQ1188" s="95">
        <f t="shared" si="3137"/>
        <v>0</v>
      </c>
      <c r="AR1188" s="95">
        <f t="shared" si="3138"/>
        <v>0</v>
      </c>
      <c r="AS1188" s="95"/>
      <c r="AT1188" s="95">
        <f t="shared" si="3139"/>
        <v>0</v>
      </c>
      <c r="AU1188" s="95"/>
      <c r="AV1188" s="95">
        <f t="shared" si="3140"/>
        <v>0</v>
      </c>
      <c r="AW1188" s="95"/>
      <c r="AX1188" s="95">
        <f t="shared" si="3141"/>
        <v>0</v>
      </c>
      <c r="AY1188" s="95">
        <f t="shared" si="3142"/>
        <v>0</v>
      </c>
      <c r="AZ1188" s="95">
        <f t="shared" si="3143"/>
        <v>0</v>
      </c>
      <c r="BA1188" s="95">
        <f t="shared" si="3144"/>
        <v>0</v>
      </c>
      <c r="BB1188" s="95">
        <f t="shared" si="3145"/>
        <v>0</v>
      </c>
    </row>
    <row r="1189" spans="1:54" s="6" customFormat="1">
      <c r="A1189" s="492">
        <v>737</v>
      </c>
      <c r="B1189" s="14"/>
      <c r="C1189" s="39"/>
      <c r="D1189" s="14"/>
      <c r="E1189" s="16" t="s">
        <v>1340</v>
      </c>
      <c r="F1189" s="44" t="s">
        <v>940</v>
      </c>
      <c r="G1189" s="44" t="s">
        <v>1059</v>
      </c>
      <c r="H1189" s="264" t="s">
        <v>359</v>
      </c>
      <c r="I1189" s="232">
        <v>15.67</v>
      </c>
      <c r="J1189" s="239"/>
      <c r="K1189" s="232">
        <v>15.67</v>
      </c>
      <c r="L1189" s="239"/>
      <c r="M1189" s="232"/>
      <c r="N1189" s="239"/>
      <c r="O1189" s="232"/>
      <c r="P1189" s="239"/>
      <c r="Q1189" s="95">
        <f t="shared" si="3121"/>
        <v>0</v>
      </c>
      <c r="R1189" s="335">
        <f t="shared" si="3122"/>
        <v>0</v>
      </c>
      <c r="S1189" s="95"/>
      <c r="T1189" s="95">
        <f t="shared" si="3123"/>
        <v>0</v>
      </c>
      <c r="U1189" s="95"/>
      <c r="V1189" s="95">
        <f t="shared" si="3124"/>
        <v>0</v>
      </c>
      <c r="W1189" s="95"/>
      <c r="X1189" s="95">
        <f t="shared" si="3125"/>
        <v>0</v>
      </c>
      <c r="Y1189" s="95">
        <f t="shared" si="3126"/>
        <v>0</v>
      </c>
      <c r="Z1189" s="95">
        <f t="shared" si="3127"/>
        <v>0</v>
      </c>
      <c r="AA1189" s="95"/>
      <c r="AB1189" s="95">
        <f t="shared" si="3128"/>
        <v>0</v>
      </c>
      <c r="AC1189" s="95"/>
      <c r="AD1189" s="95">
        <f t="shared" si="3129"/>
        <v>0</v>
      </c>
      <c r="AE1189" s="95"/>
      <c r="AF1189" s="96">
        <f t="shared" si="3130"/>
        <v>0</v>
      </c>
      <c r="AG1189" s="95">
        <f t="shared" si="3131"/>
        <v>0</v>
      </c>
      <c r="AH1189" s="95">
        <f t="shared" si="3132"/>
        <v>0</v>
      </c>
      <c r="AI1189" s="95">
        <f t="shared" si="3133"/>
        <v>0</v>
      </c>
      <c r="AJ1189" s="95">
        <f t="shared" si="3134"/>
        <v>0</v>
      </c>
      <c r="AK1189" s="95"/>
      <c r="AL1189" s="95">
        <f t="shared" si="3135"/>
        <v>0</v>
      </c>
      <c r="AM1189" s="95"/>
      <c r="AN1189" s="95">
        <f t="shared" si="3136"/>
        <v>0</v>
      </c>
      <c r="AO1189" s="95"/>
      <c r="AP1189" s="95">
        <f t="shared" si="3249"/>
        <v>0</v>
      </c>
      <c r="AQ1189" s="95">
        <f t="shared" si="3137"/>
        <v>0</v>
      </c>
      <c r="AR1189" s="95">
        <f t="shared" si="3138"/>
        <v>0</v>
      </c>
      <c r="AS1189" s="95"/>
      <c r="AT1189" s="95">
        <f t="shared" si="3139"/>
        <v>0</v>
      </c>
      <c r="AU1189" s="95"/>
      <c r="AV1189" s="95">
        <f t="shared" si="3140"/>
        <v>0</v>
      </c>
      <c r="AW1189" s="95"/>
      <c r="AX1189" s="95">
        <f t="shared" si="3141"/>
        <v>0</v>
      </c>
      <c r="AY1189" s="95">
        <f t="shared" si="3142"/>
        <v>0</v>
      </c>
      <c r="AZ1189" s="95">
        <f t="shared" si="3143"/>
        <v>0</v>
      </c>
      <c r="BA1189" s="95">
        <f t="shared" si="3144"/>
        <v>0</v>
      </c>
      <c r="BB1189" s="95">
        <f t="shared" si="3145"/>
        <v>0</v>
      </c>
    </row>
    <row r="1190" spans="1:54">
      <c r="B1190" s="13"/>
      <c r="C1190" s="13"/>
      <c r="D1190" s="13"/>
      <c r="E1190" s="16" t="s">
        <v>2243</v>
      </c>
      <c r="F1190" s="44" t="s">
        <v>940</v>
      </c>
      <c r="G1190" s="22" t="s">
        <v>1056</v>
      </c>
      <c r="H1190" s="264" t="s">
        <v>359</v>
      </c>
      <c r="I1190" s="54">
        <v>15.49</v>
      </c>
      <c r="J1190" s="101"/>
      <c r="K1190" s="54">
        <v>15.49</v>
      </c>
      <c r="L1190" s="162"/>
      <c r="M1190" s="54"/>
      <c r="N1190" s="162"/>
      <c r="O1190" s="54"/>
      <c r="P1190" s="101"/>
      <c r="Q1190" s="96">
        <f t="shared" ref="Q1190:Q1191" si="3302">SUM(AI1190+BA1190)</f>
        <v>3.7889999999999997</v>
      </c>
      <c r="R1190" s="337">
        <f t="shared" ref="R1190:R1191" si="3303">SUM(AJ1190+BB1190)</f>
        <v>85.955681835700005</v>
      </c>
      <c r="S1190" s="96">
        <v>2</v>
      </c>
      <c r="T1190" s="96">
        <f t="shared" ref="T1190:T1191" si="3304">I1190*S1190*$T$2/1000</f>
        <v>44.724277000000001</v>
      </c>
      <c r="U1190" s="96"/>
      <c r="V1190" s="176">
        <f t="shared" ref="V1190:V1191" si="3305">I1190*U1190*$V$2/1000</f>
        <v>0</v>
      </c>
      <c r="W1190" s="206">
        <v>0.58899999999999997</v>
      </c>
      <c r="X1190" s="205">
        <f t="shared" ref="X1190:X1191" si="3306">I1190*W1190*$X$2/1000</f>
        <v>13.707037955699997</v>
      </c>
      <c r="Y1190" s="188">
        <f t="shared" ref="Y1190:Y1191" si="3307">SUM(S1190+U1190+W1190)</f>
        <v>2.589</v>
      </c>
      <c r="Z1190" s="176">
        <f t="shared" ref="Z1190:Z1191" si="3308">SUM(T1190+V1190+X1190)</f>
        <v>58.431314955699996</v>
      </c>
      <c r="AA1190" s="206">
        <v>1.2</v>
      </c>
      <c r="AB1190" s="205">
        <f t="shared" ref="AB1190:AB1191" si="3309">K1190*AA1190*$AB$2/1000</f>
        <v>27.524366880000002</v>
      </c>
      <c r="AC1190" s="206"/>
      <c r="AD1190" s="176">
        <f t="shared" ref="AD1190:AD1191" si="3310">K1190*AC1190*$AD$2/1000</f>
        <v>0</v>
      </c>
      <c r="AE1190" s="206"/>
      <c r="AF1190" s="205">
        <f t="shared" ref="AF1190:AF1191" si="3311">K1190*AE1190*$AF$2/1000</f>
        <v>0</v>
      </c>
      <c r="AG1190" s="188">
        <f t="shared" ref="AG1190:AG1191" si="3312">SUM(AA1190+AC1190+AE1190)</f>
        <v>1.2</v>
      </c>
      <c r="AH1190" s="96">
        <f t="shared" ref="AH1190:AH1191" si="3313">SUM(AB1190+AD1190+AF1190)</f>
        <v>27.524366880000002</v>
      </c>
      <c r="AI1190" s="96">
        <f t="shared" ref="AI1190:AI1191" si="3314">SUM(Y1190+AG1190)</f>
        <v>3.7889999999999997</v>
      </c>
      <c r="AJ1190" s="176">
        <f t="shared" ref="AJ1190:AJ1191" si="3315">SUM(Z1190,AH1190)</f>
        <v>85.955681835700005</v>
      </c>
      <c r="AK1190" s="206"/>
      <c r="AL1190" s="176">
        <f t="shared" ref="AL1190:AL1191" si="3316">M1190*AK1190*$AL$2/1000</f>
        <v>0</v>
      </c>
      <c r="AM1190" s="243"/>
      <c r="AN1190" s="176">
        <f t="shared" ref="AN1190:AN1191" si="3317">M1190*AM1190*$AN$2/1000</f>
        <v>0</v>
      </c>
      <c r="AO1190" s="206"/>
      <c r="AP1190" s="205">
        <f t="shared" ref="AP1190:AP1191" si="3318">M1190*AO1190*$AP$2/1000</f>
        <v>0</v>
      </c>
      <c r="AQ1190" s="188">
        <f t="shared" ref="AQ1190:AQ1191" si="3319">SUM(AK1190+AM1190+AO1190)</f>
        <v>0</v>
      </c>
      <c r="AR1190" s="96">
        <f t="shared" ref="AR1190:AR1191" si="3320">SUM(AL1190+AN1190+AP1190)</f>
        <v>0</v>
      </c>
      <c r="AS1190" s="96"/>
      <c r="AT1190" s="176">
        <f t="shared" ref="AT1190:AT1191" si="3321">O1190*AS1190*$AT$2/1000</f>
        <v>0</v>
      </c>
      <c r="AU1190" s="206"/>
      <c r="AV1190" s="176">
        <f t="shared" ref="AV1190:AV1191" si="3322">O1190*AU1190*$AV$2/1000</f>
        <v>0</v>
      </c>
      <c r="AW1190" s="206"/>
      <c r="AX1190" s="205">
        <f t="shared" ref="AX1190:AX1191" si="3323">O1190*AW1190*$AX$2/1000</f>
        <v>0</v>
      </c>
      <c r="AY1190" s="188">
        <f t="shared" ref="AY1190:AY1191" si="3324">SUM(AS1190+AU1190+AW1190)</f>
        <v>0</v>
      </c>
      <c r="AZ1190" s="96">
        <f t="shared" ref="AZ1190:AZ1191" si="3325">SUM(AT1190+AV1190+AX1190)</f>
        <v>0</v>
      </c>
      <c r="BA1190" s="96">
        <f t="shared" ref="BA1190:BA1191" si="3326">SUM(AQ1190+AY1190)</f>
        <v>0</v>
      </c>
      <c r="BB1190" s="96">
        <f t="shared" ref="BB1190:BB1191" si="3327">SUM(AR1190,AZ1190)</f>
        <v>0</v>
      </c>
    </row>
    <row r="1191" spans="1:54">
      <c r="B1191" s="13"/>
      <c r="C1191" s="13"/>
      <c r="D1191" s="13"/>
      <c r="E1191" s="21" t="s">
        <v>1386</v>
      </c>
      <c r="F1191" s="44" t="s">
        <v>940</v>
      </c>
      <c r="G1191" s="22" t="s">
        <v>1056</v>
      </c>
      <c r="H1191" s="264" t="s">
        <v>359</v>
      </c>
      <c r="I1191" s="54">
        <v>15.77</v>
      </c>
      <c r="J1191" s="101"/>
      <c r="K1191" s="54">
        <v>15.77</v>
      </c>
      <c r="L1191" s="162"/>
      <c r="M1191" s="54"/>
      <c r="N1191" s="162"/>
      <c r="O1191" s="54"/>
      <c r="P1191" s="101"/>
      <c r="Q1191" s="96">
        <f t="shared" si="3302"/>
        <v>0</v>
      </c>
      <c r="R1191" s="337">
        <f t="shared" si="3303"/>
        <v>0</v>
      </c>
      <c r="S1191" s="96"/>
      <c r="T1191" s="96">
        <f t="shared" si="3304"/>
        <v>0</v>
      </c>
      <c r="U1191" s="96"/>
      <c r="V1191" s="176">
        <f t="shared" si="3305"/>
        <v>0</v>
      </c>
      <c r="W1191" s="206"/>
      <c r="X1191" s="205">
        <f t="shared" si="3306"/>
        <v>0</v>
      </c>
      <c r="Y1191" s="188">
        <f t="shared" si="3307"/>
        <v>0</v>
      </c>
      <c r="Z1191" s="176">
        <f t="shared" si="3308"/>
        <v>0</v>
      </c>
      <c r="AA1191" s="206"/>
      <c r="AB1191" s="205">
        <f t="shared" si="3309"/>
        <v>0</v>
      </c>
      <c r="AC1191" s="206"/>
      <c r="AD1191" s="176">
        <f t="shared" si="3310"/>
        <v>0</v>
      </c>
      <c r="AE1191" s="206"/>
      <c r="AF1191" s="205">
        <f t="shared" si="3311"/>
        <v>0</v>
      </c>
      <c r="AG1191" s="188">
        <f t="shared" si="3312"/>
        <v>0</v>
      </c>
      <c r="AH1191" s="96">
        <f t="shared" si="3313"/>
        <v>0</v>
      </c>
      <c r="AI1191" s="96">
        <f t="shared" si="3314"/>
        <v>0</v>
      </c>
      <c r="AJ1191" s="176">
        <f t="shared" si="3315"/>
        <v>0</v>
      </c>
      <c r="AK1191" s="206"/>
      <c r="AL1191" s="176">
        <f t="shared" si="3316"/>
        <v>0</v>
      </c>
      <c r="AM1191" s="243"/>
      <c r="AN1191" s="176">
        <f t="shared" si="3317"/>
        <v>0</v>
      </c>
      <c r="AO1191" s="206"/>
      <c r="AP1191" s="205">
        <f t="shared" si="3318"/>
        <v>0</v>
      </c>
      <c r="AQ1191" s="188">
        <f t="shared" si="3319"/>
        <v>0</v>
      </c>
      <c r="AR1191" s="96">
        <f t="shared" si="3320"/>
        <v>0</v>
      </c>
      <c r="AS1191" s="96"/>
      <c r="AT1191" s="176">
        <f t="shared" si="3321"/>
        <v>0</v>
      </c>
      <c r="AU1191" s="206"/>
      <c r="AV1191" s="176">
        <f t="shared" si="3322"/>
        <v>0</v>
      </c>
      <c r="AW1191" s="206"/>
      <c r="AX1191" s="205">
        <f t="shared" si="3323"/>
        <v>0</v>
      </c>
      <c r="AY1191" s="188">
        <f t="shared" si="3324"/>
        <v>0</v>
      </c>
      <c r="AZ1191" s="96">
        <f t="shared" si="3325"/>
        <v>0</v>
      </c>
      <c r="BA1191" s="96">
        <f t="shared" si="3326"/>
        <v>0</v>
      </c>
      <c r="BB1191" s="96">
        <f t="shared" si="3327"/>
        <v>0</v>
      </c>
    </row>
    <row r="1192" spans="1:54">
      <c r="B1192" s="13"/>
      <c r="C1192" s="13"/>
      <c r="D1192" s="13"/>
      <c r="E1192" s="21" t="s">
        <v>2447</v>
      </c>
      <c r="F1192" s="44" t="s">
        <v>940</v>
      </c>
      <c r="G1192" s="22" t="s">
        <v>1056</v>
      </c>
      <c r="H1192" s="264" t="s">
        <v>362</v>
      </c>
      <c r="I1192" s="54">
        <v>19</v>
      </c>
      <c r="J1192" s="101"/>
      <c r="K1192" s="54">
        <v>19</v>
      </c>
      <c r="L1192" s="162"/>
      <c r="M1192" s="54"/>
      <c r="N1192" s="162"/>
      <c r="O1192" s="54"/>
      <c r="P1192" s="101"/>
      <c r="Q1192" s="96">
        <f t="shared" si="3121"/>
        <v>0.83</v>
      </c>
      <c r="R1192" s="337">
        <f t="shared" si="3122"/>
        <v>22.766360500000001</v>
      </c>
      <c r="S1192" s="96">
        <v>0.83</v>
      </c>
      <c r="T1192" s="96">
        <f t="shared" si="3123"/>
        <v>22.766360500000001</v>
      </c>
      <c r="U1192" s="96"/>
      <c r="V1192" s="176">
        <f t="shared" si="3124"/>
        <v>0</v>
      </c>
      <c r="W1192" s="206"/>
      <c r="X1192" s="205">
        <f t="shared" si="3125"/>
        <v>0</v>
      </c>
      <c r="Y1192" s="188">
        <f t="shared" si="3126"/>
        <v>0.83</v>
      </c>
      <c r="Z1192" s="176">
        <f t="shared" si="3127"/>
        <v>22.766360500000001</v>
      </c>
      <c r="AA1192" s="206"/>
      <c r="AB1192" s="205">
        <f t="shared" si="3128"/>
        <v>0</v>
      </c>
      <c r="AC1192" s="206"/>
      <c r="AD1192" s="176">
        <f t="shared" si="3129"/>
        <v>0</v>
      </c>
      <c r="AE1192" s="206"/>
      <c r="AF1192" s="205">
        <f t="shared" si="3130"/>
        <v>0</v>
      </c>
      <c r="AG1192" s="188">
        <f t="shared" si="3131"/>
        <v>0</v>
      </c>
      <c r="AH1192" s="96">
        <f t="shared" si="3132"/>
        <v>0</v>
      </c>
      <c r="AI1192" s="96">
        <f t="shared" si="3133"/>
        <v>0.83</v>
      </c>
      <c r="AJ1192" s="176">
        <f t="shared" si="3134"/>
        <v>22.766360500000001</v>
      </c>
      <c r="AK1192" s="206"/>
      <c r="AL1192" s="176">
        <f t="shared" si="3135"/>
        <v>0</v>
      </c>
      <c r="AM1192" s="243"/>
      <c r="AN1192" s="176">
        <f t="shared" si="3136"/>
        <v>0</v>
      </c>
      <c r="AO1192" s="206"/>
      <c r="AP1192" s="205">
        <f t="shared" si="3249"/>
        <v>0</v>
      </c>
      <c r="AQ1192" s="188">
        <f t="shared" si="3137"/>
        <v>0</v>
      </c>
      <c r="AR1192" s="96">
        <f t="shared" si="3138"/>
        <v>0</v>
      </c>
      <c r="AS1192" s="96"/>
      <c r="AT1192" s="176">
        <f t="shared" si="3139"/>
        <v>0</v>
      </c>
      <c r="AU1192" s="206"/>
      <c r="AV1192" s="176">
        <f t="shared" si="3140"/>
        <v>0</v>
      </c>
      <c r="AW1192" s="206"/>
      <c r="AX1192" s="205">
        <f t="shared" si="3141"/>
        <v>0</v>
      </c>
      <c r="AY1192" s="188">
        <f t="shared" si="3142"/>
        <v>0</v>
      </c>
      <c r="AZ1192" s="96">
        <f t="shared" si="3143"/>
        <v>0</v>
      </c>
      <c r="BA1192" s="96">
        <f t="shared" si="3144"/>
        <v>0</v>
      </c>
      <c r="BB1192" s="96">
        <f t="shared" si="3145"/>
        <v>0</v>
      </c>
    </row>
    <row r="1193" spans="1:54">
      <c r="A1193" s="492">
        <v>738</v>
      </c>
      <c r="B1193" s="13"/>
      <c r="C1193" s="234"/>
      <c r="D1193" s="13"/>
      <c r="E1193" s="21" t="s">
        <v>1318</v>
      </c>
      <c r="F1193" s="45" t="s">
        <v>941</v>
      </c>
      <c r="G1193" s="45" t="s">
        <v>1059</v>
      </c>
      <c r="H1193" s="265" t="s">
        <v>433</v>
      </c>
      <c r="I1193" s="54">
        <v>14.71</v>
      </c>
      <c r="J1193" s="162"/>
      <c r="K1193" s="54">
        <v>14.71</v>
      </c>
      <c r="L1193" s="162"/>
      <c r="M1193" s="54"/>
      <c r="N1193" s="162"/>
      <c r="O1193" s="54"/>
      <c r="P1193" s="162"/>
      <c r="Q1193" s="96">
        <f t="shared" si="3121"/>
        <v>0</v>
      </c>
      <c r="R1193" s="337">
        <f t="shared" si="3122"/>
        <v>0</v>
      </c>
      <c r="S1193" s="96"/>
      <c r="T1193" s="96">
        <f t="shared" si="3123"/>
        <v>0</v>
      </c>
      <c r="U1193" s="96"/>
      <c r="V1193" s="96">
        <f t="shared" si="3124"/>
        <v>0</v>
      </c>
      <c r="W1193" s="96"/>
      <c r="X1193" s="96">
        <f t="shared" si="3125"/>
        <v>0</v>
      </c>
      <c r="Y1193" s="96">
        <f t="shared" si="3126"/>
        <v>0</v>
      </c>
      <c r="Z1193" s="96">
        <f t="shared" si="3127"/>
        <v>0</v>
      </c>
      <c r="AA1193" s="96"/>
      <c r="AB1193" s="96">
        <f t="shared" si="3128"/>
        <v>0</v>
      </c>
      <c r="AC1193" s="96"/>
      <c r="AD1193" s="96">
        <f t="shared" si="3129"/>
        <v>0</v>
      </c>
      <c r="AE1193" s="96"/>
      <c r="AF1193" s="96">
        <f t="shared" si="3130"/>
        <v>0</v>
      </c>
      <c r="AG1193" s="96">
        <f t="shared" si="3131"/>
        <v>0</v>
      </c>
      <c r="AH1193" s="96">
        <f t="shared" si="3132"/>
        <v>0</v>
      </c>
      <c r="AI1193" s="96">
        <f t="shared" si="3133"/>
        <v>0</v>
      </c>
      <c r="AJ1193" s="96">
        <f t="shared" si="3134"/>
        <v>0</v>
      </c>
      <c r="AK1193" s="96"/>
      <c r="AL1193" s="96">
        <f t="shared" si="3135"/>
        <v>0</v>
      </c>
      <c r="AM1193" s="96"/>
      <c r="AN1193" s="96">
        <f t="shared" si="3136"/>
        <v>0</v>
      </c>
      <c r="AO1193" s="96"/>
      <c r="AP1193" s="96">
        <f t="shared" si="3249"/>
        <v>0</v>
      </c>
      <c r="AQ1193" s="96">
        <f t="shared" si="3137"/>
        <v>0</v>
      </c>
      <c r="AR1193" s="96">
        <f t="shared" si="3138"/>
        <v>0</v>
      </c>
      <c r="AS1193" s="96"/>
      <c r="AT1193" s="96">
        <f t="shared" si="3139"/>
        <v>0</v>
      </c>
      <c r="AU1193" s="96"/>
      <c r="AV1193" s="96">
        <f t="shared" si="3140"/>
        <v>0</v>
      </c>
      <c r="AW1193" s="96"/>
      <c r="AX1193" s="96">
        <f t="shared" si="3141"/>
        <v>0</v>
      </c>
      <c r="AY1193" s="96">
        <f t="shared" si="3142"/>
        <v>0</v>
      </c>
      <c r="AZ1193" s="96">
        <f t="shared" si="3143"/>
        <v>0</v>
      </c>
      <c r="BA1193" s="96">
        <f t="shared" si="3144"/>
        <v>0</v>
      </c>
      <c r="BB1193" s="96">
        <f t="shared" si="3145"/>
        <v>0</v>
      </c>
    </row>
    <row r="1194" spans="1:54">
      <c r="A1194" s="492">
        <v>739</v>
      </c>
      <c r="B1194" s="13"/>
      <c r="C1194" s="13"/>
      <c r="D1194" s="13"/>
      <c r="E1194" s="21" t="s">
        <v>1112</v>
      </c>
      <c r="F1194" s="45" t="s">
        <v>941</v>
      </c>
      <c r="G1194" s="45" t="s">
        <v>1059</v>
      </c>
      <c r="H1194" s="265" t="s">
        <v>433</v>
      </c>
      <c r="I1194" s="54">
        <v>15.69</v>
      </c>
      <c r="J1194" s="101"/>
      <c r="K1194" s="54">
        <v>15.69</v>
      </c>
      <c r="L1194" s="162"/>
      <c r="M1194" s="54"/>
      <c r="N1194" s="162"/>
      <c r="O1194" s="54"/>
      <c r="P1194" s="101"/>
      <c r="Q1194" s="96">
        <f t="shared" si="3121"/>
        <v>0</v>
      </c>
      <c r="R1194" s="337">
        <f t="shared" si="3122"/>
        <v>0</v>
      </c>
      <c r="S1194" s="96"/>
      <c r="T1194" s="96">
        <f t="shared" si="3123"/>
        <v>0</v>
      </c>
      <c r="U1194" s="96"/>
      <c r="V1194" s="176">
        <f t="shared" si="3124"/>
        <v>0</v>
      </c>
      <c r="W1194" s="206"/>
      <c r="X1194" s="205">
        <f t="shared" si="3125"/>
        <v>0</v>
      </c>
      <c r="Y1194" s="188">
        <f t="shared" si="3126"/>
        <v>0</v>
      </c>
      <c r="Z1194" s="176">
        <f t="shared" si="3127"/>
        <v>0</v>
      </c>
      <c r="AA1194" s="206"/>
      <c r="AB1194" s="205">
        <f t="shared" si="3128"/>
        <v>0</v>
      </c>
      <c r="AC1194" s="206"/>
      <c r="AD1194" s="176">
        <f t="shared" si="3129"/>
        <v>0</v>
      </c>
      <c r="AE1194" s="206"/>
      <c r="AF1194" s="205">
        <f t="shared" si="3130"/>
        <v>0</v>
      </c>
      <c r="AG1194" s="188">
        <f t="shared" si="3131"/>
        <v>0</v>
      </c>
      <c r="AH1194" s="96">
        <f t="shared" si="3132"/>
        <v>0</v>
      </c>
      <c r="AI1194" s="96">
        <f t="shared" si="3133"/>
        <v>0</v>
      </c>
      <c r="AJ1194" s="176">
        <f t="shared" si="3134"/>
        <v>0</v>
      </c>
      <c r="AK1194" s="206"/>
      <c r="AL1194" s="176">
        <f t="shared" si="3135"/>
        <v>0</v>
      </c>
      <c r="AM1194" s="243"/>
      <c r="AN1194" s="176">
        <f t="shared" si="3136"/>
        <v>0</v>
      </c>
      <c r="AO1194" s="206"/>
      <c r="AP1194" s="205">
        <f t="shared" si="3249"/>
        <v>0</v>
      </c>
      <c r="AQ1194" s="188">
        <f t="shared" si="3137"/>
        <v>0</v>
      </c>
      <c r="AR1194" s="96">
        <f t="shared" si="3138"/>
        <v>0</v>
      </c>
      <c r="AS1194" s="96"/>
      <c r="AT1194" s="176">
        <f t="shared" si="3139"/>
        <v>0</v>
      </c>
      <c r="AU1194" s="206"/>
      <c r="AV1194" s="176">
        <f t="shared" si="3140"/>
        <v>0</v>
      </c>
      <c r="AW1194" s="206"/>
      <c r="AX1194" s="205">
        <f t="shared" si="3141"/>
        <v>0</v>
      </c>
      <c r="AY1194" s="188">
        <f t="shared" si="3142"/>
        <v>0</v>
      </c>
      <c r="AZ1194" s="96">
        <f t="shared" si="3143"/>
        <v>0</v>
      </c>
      <c r="BA1194" s="96">
        <f t="shared" si="3144"/>
        <v>0</v>
      </c>
      <c r="BB1194" s="96">
        <f t="shared" si="3145"/>
        <v>0</v>
      </c>
    </row>
    <row r="1195" spans="1:54">
      <c r="B1195" s="13"/>
      <c r="C1195" s="13"/>
      <c r="D1195" s="13"/>
      <c r="E1195" s="21" t="s">
        <v>2147</v>
      </c>
      <c r="F1195" s="45" t="s">
        <v>941</v>
      </c>
      <c r="G1195" s="22" t="s">
        <v>1154</v>
      </c>
      <c r="H1195" s="264" t="s">
        <v>362</v>
      </c>
      <c r="I1195" s="54">
        <v>15.81</v>
      </c>
      <c r="J1195" s="101"/>
      <c r="K1195" s="54">
        <v>15.81</v>
      </c>
      <c r="L1195" s="162"/>
      <c r="M1195" s="54"/>
      <c r="N1195" s="162"/>
      <c r="O1195" s="54"/>
      <c r="P1195" s="101"/>
      <c r="Q1195" s="96">
        <f t="shared" si="3121"/>
        <v>0</v>
      </c>
      <c r="R1195" s="337">
        <f t="shared" si="3122"/>
        <v>0</v>
      </c>
      <c r="S1195" s="96"/>
      <c r="T1195" s="96">
        <f t="shared" si="3123"/>
        <v>0</v>
      </c>
      <c r="U1195" s="96"/>
      <c r="V1195" s="176">
        <f t="shared" si="3124"/>
        <v>0</v>
      </c>
      <c r="W1195" s="206"/>
      <c r="X1195" s="205">
        <f t="shared" si="3125"/>
        <v>0</v>
      </c>
      <c r="Y1195" s="188">
        <f t="shared" si="3126"/>
        <v>0</v>
      </c>
      <c r="Z1195" s="176">
        <f t="shared" si="3127"/>
        <v>0</v>
      </c>
      <c r="AA1195" s="206"/>
      <c r="AB1195" s="205">
        <f t="shared" si="3128"/>
        <v>0</v>
      </c>
      <c r="AC1195" s="206"/>
      <c r="AD1195" s="176">
        <f t="shared" si="3129"/>
        <v>0</v>
      </c>
      <c r="AE1195" s="206"/>
      <c r="AF1195" s="205">
        <f t="shared" si="3130"/>
        <v>0</v>
      </c>
      <c r="AG1195" s="188">
        <f t="shared" si="3131"/>
        <v>0</v>
      </c>
      <c r="AH1195" s="96">
        <f t="shared" si="3132"/>
        <v>0</v>
      </c>
      <c r="AI1195" s="96">
        <f t="shared" si="3133"/>
        <v>0</v>
      </c>
      <c r="AJ1195" s="176">
        <f t="shared" si="3134"/>
        <v>0</v>
      </c>
      <c r="AK1195" s="206"/>
      <c r="AL1195" s="176">
        <f t="shared" si="3135"/>
        <v>0</v>
      </c>
      <c r="AM1195" s="243"/>
      <c r="AN1195" s="176">
        <f t="shared" si="3136"/>
        <v>0</v>
      </c>
      <c r="AO1195" s="206"/>
      <c r="AP1195" s="205">
        <f t="shared" si="3249"/>
        <v>0</v>
      </c>
      <c r="AQ1195" s="188">
        <f t="shared" si="3137"/>
        <v>0</v>
      </c>
      <c r="AR1195" s="96">
        <f t="shared" si="3138"/>
        <v>0</v>
      </c>
      <c r="AS1195" s="96"/>
      <c r="AT1195" s="176">
        <f t="shared" si="3139"/>
        <v>0</v>
      </c>
      <c r="AU1195" s="206"/>
      <c r="AV1195" s="176">
        <f t="shared" si="3140"/>
        <v>0</v>
      </c>
      <c r="AW1195" s="206"/>
      <c r="AX1195" s="205">
        <f t="shared" si="3141"/>
        <v>0</v>
      </c>
      <c r="AY1195" s="188">
        <f t="shared" si="3142"/>
        <v>0</v>
      </c>
      <c r="AZ1195" s="96">
        <f t="shared" si="3143"/>
        <v>0</v>
      </c>
      <c r="BA1195" s="96">
        <f t="shared" si="3144"/>
        <v>0</v>
      </c>
      <c r="BB1195" s="96">
        <f t="shared" si="3145"/>
        <v>0</v>
      </c>
    </row>
    <row r="1196" spans="1:54">
      <c r="A1196" s="492">
        <v>740</v>
      </c>
      <c r="B1196" s="13"/>
      <c r="C1196" s="13"/>
      <c r="D1196" s="13"/>
      <c r="E1196" s="21" t="s">
        <v>1319</v>
      </c>
      <c r="F1196" s="44" t="s">
        <v>942</v>
      </c>
      <c r="G1196" s="45" t="s">
        <v>1059</v>
      </c>
      <c r="H1196" s="265" t="s">
        <v>433</v>
      </c>
      <c r="I1196" s="54">
        <v>15.16</v>
      </c>
      <c r="J1196" s="101"/>
      <c r="K1196" s="54">
        <v>15.16</v>
      </c>
      <c r="L1196" s="162"/>
      <c r="M1196" s="54"/>
      <c r="N1196" s="162"/>
      <c r="O1196" s="54"/>
      <c r="P1196" s="101"/>
      <c r="Q1196" s="96">
        <f t="shared" si="3121"/>
        <v>0</v>
      </c>
      <c r="R1196" s="337">
        <f t="shared" si="3122"/>
        <v>0</v>
      </c>
      <c r="S1196" s="96"/>
      <c r="T1196" s="96">
        <f t="shared" si="3123"/>
        <v>0</v>
      </c>
      <c r="U1196" s="96"/>
      <c r="V1196" s="176">
        <f t="shared" si="3124"/>
        <v>0</v>
      </c>
      <c r="W1196" s="206"/>
      <c r="X1196" s="205">
        <f t="shared" si="3125"/>
        <v>0</v>
      </c>
      <c r="Y1196" s="188">
        <f t="shared" si="3126"/>
        <v>0</v>
      </c>
      <c r="Z1196" s="176">
        <f t="shared" si="3127"/>
        <v>0</v>
      </c>
      <c r="AA1196" s="206"/>
      <c r="AB1196" s="205">
        <f t="shared" si="3128"/>
        <v>0</v>
      </c>
      <c r="AC1196" s="206"/>
      <c r="AD1196" s="176">
        <f t="shared" si="3129"/>
        <v>0</v>
      </c>
      <c r="AE1196" s="206"/>
      <c r="AF1196" s="205">
        <f t="shared" si="3130"/>
        <v>0</v>
      </c>
      <c r="AG1196" s="188">
        <f t="shared" si="3131"/>
        <v>0</v>
      </c>
      <c r="AH1196" s="96">
        <f t="shared" si="3132"/>
        <v>0</v>
      </c>
      <c r="AI1196" s="96">
        <f t="shared" si="3133"/>
        <v>0</v>
      </c>
      <c r="AJ1196" s="176">
        <f t="shared" si="3134"/>
        <v>0</v>
      </c>
      <c r="AK1196" s="206"/>
      <c r="AL1196" s="176">
        <f t="shared" si="3135"/>
        <v>0</v>
      </c>
      <c r="AM1196" s="243"/>
      <c r="AN1196" s="176">
        <f t="shared" si="3136"/>
        <v>0</v>
      </c>
      <c r="AO1196" s="206"/>
      <c r="AP1196" s="205">
        <f t="shared" si="3249"/>
        <v>0</v>
      </c>
      <c r="AQ1196" s="188">
        <f t="shared" si="3137"/>
        <v>0</v>
      </c>
      <c r="AR1196" s="96">
        <f t="shared" si="3138"/>
        <v>0</v>
      </c>
      <c r="AS1196" s="96"/>
      <c r="AT1196" s="176">
        <f t="shared" si="3139"/>
        <v>0</v>
      </c>
      <c r="AU1196" s="206"/>
      <c r="AV1196" s="176">
        <f t="shared" si="3140"/>
        <v>0</v>
      </c>
      <c r="AW1196" s="206"/>
      <c r="AX1196" s="205">
        <f t="shared" si="3141"/>
        <v>0</v>
      </c>
      <c r="AY1196" s="188">
        <f t="shared" si="3142"/>
        <v>0</v>
      </c>
      <c r="AZ1196" s="96">
        <f t="shared" si="3143"/>
        <v>0</v>
      </c>
      <c r="BA1196" s="96">
        <f t="shared" si="3144"/>
        <v>0</v>
      </c>
      <c r="BB1196" s="96">
        <f t="shared" si="3145"/>
        <v>0</v>
      </c>
    </row>
    <row r="1197" spans="1:54">
      <c r="A1197" s="492">
        <v>741</v>
      </c>
      <c r="B1197" s="13"/>
      <c r="C1197" s="13"/>
      <c r="D1197" s="13"/>
      <c r="E1197" s="21" t="s">
        <v>1320</v>
      </c>
      <c r="F1197" s="44" t="s">
        <v>942</v>
      </c>
      <c r="G1197" s="45" t="s">
        <v>1059</v>
      </c>
      <c r="H1197" s="265" t="s">
        <v>359</v>
      </c>
      <c r="I1197" s="54">
        <v>15.73</v>
      </c>
      <c r="J1197" s="101"/>
      <c r="K1197" s="54">
        <v>15.73</v>
      </c>
      <c r="L1197" s="162"/>
      <c r="M1197" s="54"/>
      <c r="N1197" s="162"/>
      <c r="O1197" s="54"/>
      <c r="P1197" s="101"/>
      <c r="Q1197" s="96">
        <f t="shared" ref="Q1197" si="3328">SUM(AI1197+BA1197)</f>
        <v>0</v>
      </c>
      <c r="R1197" s="337">
        <f t="shared" ref="R1197" si="3329">SUM(AJ1197+BB1197)</f>
        <v>0</v>
      </c>
      <c r="S1197" s="96"/>
      <c r="T1197" s="96">
        <f t="shared" ref="T1197" si="3330">I1197*S1197*$T$2/1000</f>
        <v>0</v>
      </c>
      <c r="U1197" s="96"/>
      <c r="V1197" s="176">
        <f t="shared" ref="V1197" si="3331">I1197*U1197*$V$2/1000</f>
        <v>0</v>
      </c>
      <c r="W1197" s="206"/>
      <c r="X1197" s="205">
        <f t="shared" ref="X1197" si="3332">I1197*W1197*$X$2/1000</f>
        <v>0</v>
      </c>
      <c r="Y1197" s="188">
        <f t="shared" ref="Y1197" si="3333">SUM(S1197+U1197+W1197)</f>
        <v>0</v>
      </c>
      <c r="Z1197" s="176">
        <f t="shared" ref="Z1197" si="3334">SUM(T1197+V1197+X1197)</f>
        <v>0</v>
      </c>
      <c r="AA1197" s="206"/>
      <c r="AB1197" s="205">
        <f t="shared" ref="AB1197" si="3335">K1197*AA1197*$AB$2/1000</f>
        <v>0</v>
      </c>
      <c r="AC1197" s="206"/>
      <c r="AD1197" s="176">
        <f t="shared" ref="AD1197" si="3336">K1197*AC1197*$AD$2/1000</f>
        <v>0</v>
      </c>
      <c r="AE1197" s="206"/>
      <c r="AF1197" s="205">
        <f t="shared" ref="AF1197" si="3337">K1197*AE1197*$AF$2/1000</f>
        <v>0</v>
      </c>
      <c r="AG1197" s="188">
        <f t="shared" ref="AG1197" si="3338">SUM(AA1197+AC1197+AE1197)</f>
        <v>0</v>
      </c>
      <c r="AH1197" s="96">
        <f t="shared" ref="AH1197" si="3339">SUM(AB1197+AD1197+AF1197)</f>
        <v>0</v>
      </c>
      <c r="AI1197" s="96">
        <f t="shared" ref="AI1197" si="3340">SUM(Y1197+AG1197)</f>
        <v>0</v>
      </c>
      <c r="AJ1197" s="176">
        <f t="shared" ref="AJ1197" si="3341">SUM(Z1197,AH1197)</f>
        <v>0</v>
      </c>
      <c r="AK1197" s="206"/>
      <c r="AL1197" s="176">
        <f t="shared" ref="AL1197" si="3342">M1197*AK1197*$AL$2/1000</f>
        <v>0</v>
      </c>
      <c r="AM1197" s="243"/>
      <c r="AN1197" s="176">
        <f t="shared" ref="AN1197" si="3343">M1197*AM1197*$AN$2/1000</f>
        <v>0</v>
      </c>
      <c r="AO1197" s="206"/>
      <c r="AP1197" s="205">
        <f t="shared" ref="AP1197" si="3344">M1197*AO1197*$AP$2/1000</f>
        <v>0</v>
      </c>
      <c r="AQ1197" s="188">
        <f t="shared" ref="AQ1197" si="3345">SUM(AK1197+AM1197+AO1197)</f>
        <v>0</v>
      </c>
      <c r="AR1197" s="96">
        <f t="shared" ref="AR1197" si="3346">SUM(AL1197+AN1197+AP1197)</f>
        <v>0</v>
      </c>
      <c r="AS1197" s="96"/>
      <c r="AT1197" s="176">
        <f t="shared" ref="AT1197" si="3347">O1197*AS1197*$AT$2/1000</f>
        <v>0</v>
      </c>
      <c r="AU1197" s="206"/>
      <c r="AV1197" s="176">
        <f t="shared" ref="AV1197" si="3348">O1197*AU1197*$AV$2/1000</f>
        <v>0</v>
      </c>
      <c r="AW1197" s="206"/>
      <c r="AX1197" s="205">
        <f t="shared" ref="AX1197" si="3349">O1197*AW1197*$AX$2/1000</f>
        <v>0</v>
      </c>
      <c r="AY1197" s="188">
        <f t="shared" ref="AY1197" si="3350">SUM(AS1197+AU1197+AW1197)</f>
        <v>0</v>
      </c>
      <c r="AZ1197" s="96">
        <f t="shared" ref="AZ1197" si="3351">SUM(AT1197+AV1197+AX1197)</f>
        <v>0</v>
      </c>
      <c r="BA1197" s="96">
        <f t="shared" ref="BA1197" si="3352">SUM(AQ1197+AY1197)</f>
        <v>0</v>
      </c>
      <c r="BB1197" s="96">
        <f t="shared" ref="BB1197" si="3353">SUM(AR1197,AZ1197)</f>
        <v>0</v>
      </c>
    </row>
    <row r="1198" spans="1:54">
      <c r="A1198" s="492">
        <v>741</v>
      </c>
      <c r="B1198" s="13"/>
      <c r="C1198" s="13"/>
      <c r="D1198" s="13"/>
      <c r="E1198" s="21" t="s">
        <v>2523</v>
      </c>
      <c r="F1198" s="44"/>
      <c r="G1198" s="45" t="s">
        <v>1059</v>
      </c>
      <c r="H1198" s="265" t="s">
        <v>433</v>
      </c>
      <c r="I1198" s="54">
        <v>15.97</v>
      </c>
      <c r="J1198" s="101"/>
      <c r="K1198" s="54">
        <v>15.97</v>
      </c>
      <c r="L1198" s="162"/>
      <c r="M1198" s="54"/>
      <c r="N1198" s="162"/>
      <c r="O1198" s="54"/>
      <c r="P1198" s="101"/>
      <c r="Q1198" s="96">
        <f t="shared" si="3121"/>
        <v>0.2</v>
      </c>
      <c r="R1198" s="337">
        <f t="shared" si="3122"/>
        <v>4.5938024400000002</v>
      </c>
      <c r="S1198" s="96"/>
      <c r="T1198" s="96">
        <f t="shared" si="3123"/>
        <v>0</v>
      </c>
      <c r="U1198" s="96">
        <v>0.2</v>
      </c>
      <c r="V1198" s="176">
        <f t="shared" si="3124"/>
        <v>4.5938024400000002</v>
      </c>
      <c r="W1198" s="206"/>
      <c r="X1198" s="205">
        <f t="shared" si="3125"/>
        <v>0</v>
      </c>
      <c r="Y1198" s="188">
        <f t="shared" si="3126"/>
        <v>0.2</v>
      </c>
      <c r="Z1198" s="176">
        <f t="shared" si="3127"/>
        <v>4.5938024400000002</v>
      </c>
      <c r="AA1198" s="206"/>
      <c r="AB1198" s="205">
        <f t="shared" si="3128"/>
        <v>0</v>
      </c>
      <c r="AC1198" s="206"/>
      <c r="AD1198" s="176">
        <f t="shared" si="3129"/>
        <v>0</v>
      </c>
      <c r="AE1198" s="206"/>
      <c r="AF1198" s="205">
        <f t="shared" si="3130"/>
        <v>0</v>
      </c>
      <c r="AG1198" s="188">
        <f t="shared" si="3131"/>
        <v>0</v>
      </c>
      <c r="AH1198" s="96">
        <f t="shared" si="3132"/>
        <v>0</v>
      </c>
      <c r="AI1198" s="96">
        <f t="shared" si="3133"/>
        <v>0.2</v>
      </c>
      <c r="AJ1198" s="176">
        <f t="shared" si="3134"/>
        <v>4.5938024400000002</v>
      </c>
      <c r="AK1198" s="206"/>
      <c r="AL1198" s="176">
        <f t="shared" si="3135"/>
        <v>0</v>
      </c>
      <c r="AM1198" s="243"/>
      <c r="AN1198" s="176">
        <f t="shared" si="3136"/>
        <v>0</v>
      </c>
      <c r="AO1198" s="206"/>
      <c r="AP1198" s="205">
        <f t="shared" si="3249"/>
        <v>0</v>
      </c>
      <c r="AQ1198" s="188">
        <f t="shared" si="3137"/>
        <v>0</v>
      </c>
      <c r="AR1198" s="96">
        <f t="shared" si="3138"/>
        <v>0</v>
      </c>
      <c r="AS1198" s="96"/>
      <c r="AT1198" s="176">
        <f t="shared" si="3139"/>
        <v>0</v>
      </c>
      <c r="AU1198" s="206"/>
      <c r="AV1198" s="176">
        <f t="shared" si="3140"/>
        <v>0</v>
      </c>
      <c r="AW1198" s="206"/>
      <c r="AX1198" s="205">
        <f t="shared" si="3141"/>
        <v>0</v>
      </c>
      <c r="AY1198" s="188">
        <f t="shared" si="3142"/>
        <v>0</v>
      </c>
      <c r="AZ1198" s="96">
        <f t="shared" si="3143"/>
        <v>0</v>
      </c>
      <c r="BA1198" s="96">
        <f t="shared" si="3144"/>
        <v>0</v>
      </c>
      <c r="BB1198" s="96">
        <f t="shared" si="3145"/>
        <v>0</v>
      </c>
    </row>
    <row r="1199" spans="1:54" s="6" customFormat="1">
      <c r="A1199" s="492">
        <v>742</v>
      </c>
      <c r="B1199" s="14"/>
      <c r="C1199" s="39"/>
      <c r="D1199" s="14"/>
      <c r="E1199" s="16" t="s">
        <v>1113</v>
      </c>
      <c r="F1199" s="44" t="s">
        <v>942</v>
      </c>
      <c r="G1199" s="44" t="s">
        <v>1059</v>
      </c>
      <c r="H1199" s="264" t="s">
        <v>359</v>
      </c>
      <c r="I1199" s="232">
        <v>16.16</v>
      </c>
      <c r="J1199" s="239"/>
      <c r="K1199" s="232">
        <v>16.16</v>
      </c>
      <c r="L1199" s="239"/>
      <c r="M1199" s="232"/>
      <c r="N1199" s="239"/>
      <c r="O1199" s="232"/>
      <c r="P1199" s="239"/>
      <c r="Q1199" s="95">
        <f t="shared" si="3121"/>
        <v>0</v>
      </c>
      <c r="R1199" s="335">
        <f t="shared" si="3122"/>
        <v>0</v>
      </c>
      <c r="S1199" s="95"/>
      <c r="T1199" s="95">
        <f t="shared" si="3123"/>
        <v>0</v>
      </c>
      <c r="U1199" s="95"/>
      <c r="V1199" s="95">
        <f t="shared" si="3124"/>
        <v>0</v>
      </c>
      <c r="W1199" s="95"/>
      <c r="X1199" s="95">
        <f t="shared" si="3125"/>
        <v>0</v>
      </c>
      <c r="Y1199" s="95">
        <f t="shared" si="3126"/>
        <v>0</v>
      </c>
      <c r="Z1199" s="95">
        <f t="shared" si="3127"/>
        <v>0</v>
      </c>
      <c r="AA1199" s="95"/>
      <c r="AB1199" s="95">
        <f t="shared" si="3128"/>
        <v>0</v>
      </c>
      <c r="AC1199" s="95"/>
      <c r="AD1199" s="95">
        <f t="shared" si="3129"/>
        <v>0</v>
      </c>
      <c r="AE1199" s="95"/>
      <c r="AF1199" s="96">
        <f t="shared" si="3130"/>
        <v>0</v>
      </c>
      <c r="AG1199" s="95">
        <f t="shared" si="3131"/>
        <v>0</v>
      </c>
      <c r="AH1199" s="95">
        <f t="shared" si="3132"/>
        <v>0</v>
      </c>
      <c r="AI1199" s="95">
        <f t="shared" si="3133"/>
        <v>0</v>
      </c>
      <c r="AJ1199" s="95">
        <f t="shared" si="3134"/>
        <v>0</v>
      </c>
      <c r="AK1199" s="95"/>
      <c r="AL1199" s="95">
        <f t="shared" si="3135"/>
        <v>0</v>
      </c>
      <c r="AM1199" s="95"/>
      <c r="AN1199" s="95">
        <f t="shared" si="3136"/>
        <v>0</v>
      </c>
      <c r="AO1199" s="95"/>
      <c r="AP1199" s="95">
        <f t="shared" si="3249"/>
        <v>0</v>
      </c>
      <c r="AQ1199" s="95">
        <f t="shared" si="3137"/>
        <v>0</v>
      </c>
      <c r="AR1199" s="95">
        <f t="shared" si="3138"/>
        <v>0</v>
      </c>
      <c r="AS1199" s="95"/>
      <c r="AT1199" s="95">
        <f t="shared" si="3139"/>
        <v>0</v>
      </c>
      <c r="AU1199" s="95"/>
      <c r="AV1199" s="95">
        <f t="shared" si="3140"/>
        <v>0</v>
      </c>
      <c r="AW1199" s="95"/>
      <c r="AX1199" s="95">
        <f t="shared" si="3141"/>
        <v>0</v>
      </c>
      <c r="AY1199" s="95">
        <f t="shared" si="3142"/>
        <v>0</v>
      </c>
      <c r="AZ1199" s="95">
        <f t="shared" si="3143"/>
        <v>0</v>
      </c>
      <c r="BA1199" s="95">
        <f t="shared" si="3144"/>
        <v>0</v>
      </c>
      <c r="BB1199" s="95">
        <f t="shared" si="3145"/>
        <v>0</v>
      </c>
    </row>
    <row r="1200" spans="1:54">
      <c r="A1200" s="492">
        <v>743</v>
      </c>
      <c r="B1200" s="13"/>
      <c r="C1200" s="13"/>
      <c r="D1200" s="13"/>
      <c r="E1200" s="21" t="s">
        <v>2148</v>
      </c>
      <c r="F1200" s="44" t="s">
        <v>942</v>
      </c>
      <c r="G1200" s="44" t="s">
        <v>1059</v>
      </c>
      <c r="H1200" s="264" t="s">
        <v>359</v>
      </c>
      <c r="I1200" s="54">
        <v>16.28</v>
      </c>
      <c r="J1200" s="101"/>
      <c r="K1200" s="54">
        <v>16.28</v>
      </c>
      <c r="L1200" s="162"/>
      <c r="M1200" s="54"/>
      <c r="N1200" s="162"/>
      <c r="O1200" s="54"/>
      <c r="P1200" s="101"/>
      <c r="Q1200" s="96">
        <f t="shared" ref="Q1200" si="3354">SUM(AI1200+BA1200)</f>
        <v>7</v>
      </c>
      <c r="R1200" s="337">
        <f t="shared" ref="R1200" si="3355">SUM(AJ1200+BB1200)</f>
        <v>166.59486800000002</v>
      </c>
      <c r="S1200" s="96">
        <v>3</v>
      </c>
      <c r="T1200" s="96">
        <f t="shared" ref="T1200" si="3356">I1200*S1200*$T$2/1000</f>
        <v>70.507866000000007</v>
      </c>
      <c r="U1200" s="96">
        <v>1</v>
      </c>
      <c r="V1200" s="176">
        <f t="shared" ref="V1200" si="3357">I1200*U1200*$V$2/1000</f>
        <v>23.414872800000001</v>
      </c>
      <c r="W1200" s="206">
        <v>1</v>
      </c>
      <c r="X1200" s="205">
        <f t="shared" ref="X1200" si="3358">I1200*W1200*$X$2/1000</f>
        <v>24.458583599999997</v>
      </c>
      <c r="Y1200" s="188">
        <f t="shared" ref="Y1200" si="3359">SUM(S1200+U1200+W1200)</f>
        <v>5</v>
      </c>
      <c r="Z1200" s="176">
        <f t="shared" ref="Z1200" si="3360">SUM(T1200+V1200+X1200)</f>
        <v>118.3813224</v>
      </c>
      <c r="AA1200" s="206">
        <v>2</v>
      </c>
      <c r="AB1200" s="205">
        <f t="shared" ref="AB1200" si="3361">K1200*AA1200*$AB$2/1000</f>
        <v>48.213545600000003</v>
      </c>
      <c r="AC1200" s="206"/>
      <c r="AD1200" s="176">
        <f t="shared" ref="AD1200" si="3362">K1200*AC1200*$AD$2/1000</f>
        <v>0</v>
      </c>
      <c r="AE1200" s="206"/>
      <c r="AF1200" s="205">
        <f t="shared" ref="AF1200" si="3363">K1200*AE1200*$AF$2/1000</f>
        <v>0</v>
      </c>
      <c r="AG1200" s="188">
        <f t="shared" ref="AG1200" si="3364">SUM(AA1200+AC1200+AE1200)</f>
        <v>2</v>
      </c>
      <c r="AH1200" s="96">
        <f t="shared" ref="AH1200" si="3365">SUM(AB1200+AD1200+AF1200)</f>
        <v>48.213545600000003</v>
      </c>
      <c r="AI1200" s="96">
        <f t="shared" ref="AI1200" si="3366">SUM(Y1200+AG1200)</f>
        <v>7</v>
      </c>
      <c r="AJ1200" s="176">
        <f t="shared" ref="AJ1200" si="3367">SUM(Z1200,AH1200)</f>
        <v>166.59486800000002</v>
      </c>
      <c r="AK1200" s="206"/>
      <c r="AL1200" s="176">
        <f t="shared" ref="AL1200" si="3368">M1200*AK1200*$AL$2/1000</f>
        <v>0</v>
      </c>
      <c r="AM1200" s="243"/>
      <c r="AN1200" s="176">
        <f t="shared" ref="AN1200" si="3369">M1200*AM1200*$AN$2/1000</f>
        <v>0</v>
      </c>
      <c r="AO1200" s="206"/>
      <c r="AP1200" s="205">
        <f t="shared" ref="AP1200" si="3370">M1200*AO1200*$AP$2/1000</f>
        <v>0</v>
      </c>
      <c r="AQ1200" s="188">
        <f t="shared" ref="AQ1200" si="3371">SUM(AK1200+AM1200+AO1200)</f>
        <v>0</v>
      </c>
      <c r="AR1200" s="96">
        <f t="shared" ref="AR1200" si="3372">SUM(AL1200+AN1200+AP1200)</f>
        <v>0</v>
      </c>
      <c r="AS1200" s="96"/>
      <c r="AT1200" s="176">
        <f t="shared" ref="AT1200" si="3373">O1200*AS1200*$AT$2/1000</f>
        <v>0</v>
      </c>
      <c r="AU1200" s="206"/>
      <c r="AV1200" s="176">
        <f t="shared" ref="AV1200" si="3374">O1200*AU1200*$AV$2/1000</f>
        <v>0</v>
      </c>
      <c r="AW1200" s="206"/>
      <c r="AX1200" s="205">
        <f t="shared" ref="AX1200" si="3375">O1200*AW1200*$AX$2/1000</f>
        <v>0</v>
      </c>
      <c r="AY1200" s="188">
        <f t="shared" ref="AY1200" si="3376">SUM(AS1200+AU1200+AW1200)</f>
        <v>0</v>
      </c>
      <c r="AZ1200" s="96">
        <f t="shared" ref="AZ1200" si="3377">SUM(AT1200+AV1200+AX1200)</f>
        <v>0</v>
      </c>
      <c r="BA1200" s="96">
        <f t="shared" ref="BA1200" si="3378">SUM(AQ1200+AY1200)</f>
        <v>0</v>
      </c>
      <c r="BB1200" s="96">
        <f t="shared" ref="BB1200" si="3379">SUM(AR1200,AZ1200)</f>
        <v>0</v>
      </c>
    </row>
    <row r="1201" spans="1:54">
      <c r="A1201" s="492">
        <v>743</v>
      </c>
      <c r="B1201" s="13"/>
      <c r="C1201" s="13"/>
      <c r="D1201" s="13"/>
      <c r="E1201" s="21" t="s">
        <v>2448</v>
      </c>
      <c r="F1201" s="44" t="s">
        <v>942</v>
      </c>
      <c r="G1201" s="44" t="s">
        <v>1059</v>
      </c>
      <c r="H1201" s="264" t="s">
        <v>359</v>
      </c>
      <c r="I1201" s="54">
        <v>15.97</v>
      </c>
      <c r="J1201" s="101"/>
      <c r="K1201" s="54">
        <v>15.97</v>
      </c>
      <c r="L1201" s="162"/>
      <c r="M1201" s="54"/>
      <c r="N1201" s="162"/>
      <c r="O1201" s="54"/>
      <c r="P1201" s="101"/>
      <c r="Q1201" s="96">
        <f t="shared" si="3121"/>
        <v>0.5</v>
      </c>
      <c r="R1201" s="337">
        <f t="shared" si="3122"/>
        <v>11.527545250000001</v>
      </c>
      <c r="S1201" s="96">
        <v>0.5</v>
      </c>
      <c r="T1201" s="96">
        <f t="shared" si="3123"/>
        <v>11.527545250000001</v>
      </c>
      <c r="U1201" s="96"/>
      <c r="V1201" s="176">
        <f t="shared" si="3124"/>
        <v>0</v>
      </c>
      <c r="W1201" s="206"/>
      <c r="X1201" s="205">
        <f t="shared" si="3125"/>
        <v>0</v>
      </c>
      <c r="Y1201" s="188">
        <f t="shared" si="3126"/>
        <v>0.5</v>
      </c>
      <c r="Z1201" s="176">
        <f t="shared" si="3127"/>
        <v>11.527545250000001</v>
      </c>
      <c r="AA1201" s="206"/>
      <c r="AB1201" s="205">
        <f t="shared" si="3128"/>
        <v>0</v>
      </c>
      <c r="AC1201" s="206"/>
      <c r="AD1201" s="176">
        <f t="shared" si="3129"/>
        <v>0</v>
      </c>
      <c r="AE1201" s="206"/>
      <c r="AF1201" s="205">
        <f t="shared" si="3130"/>
        <v>0</v>
      </c>
      <c r="AG1201" s="188">
        <f t="shared" si="3131"/>
        <v>0</v>
      </c>
      <c r="AH1201" s="96">
        <f t="shared" si="3132"/>
        <v>0</v>
      </c>
      <c r="AI1201" s="96">
        <f t="shared" si="3133"/>
        <v>0.5</v>
      </c>
      <c r="AJ1201" s="176">
        <f t="shared" si="3134"/>
        <v>11.527545250000001</v>
      </c>
      <c r="AK1201" s="206"/>
      <c r="AL1201" s="176">
        <f t="shared" si="3135"/>
        <v>0</v>
      </c>
      <c r="AM1201" s="243"/>
      <c r="AN1201" s="176">
        <f t="shared" si="3136"/>
        <v>0</v>
      </c>
      <c r="AO1201" s="206"/>
      <c r="AP1201" s="205">
        <f t="shared" si="3249"/>
        <v>0</v>
      </c>
      <c r="AQ1201" s="188">
        <f t="shared" si="3137"/>
        <v>0</v>
      </c>
      <c r="AR1201" s="96">
        <f t="shared" si="3138"/>
        <v>0</v>
      </c>
      <c r="AS1201" s="96"/>
      <c r="AT1201" s="176">
        <f t="shared" si="3139"/>
        <v>0</v>
      </c>
      <c r="AU1201" s="206"/>
      <c r="AV1201" s="176">
        <f t="shared" si="3140"/>
        <v>0</v>
      </c>
      <c r="AW1201" s="206"/>
      <c r="AX1201" s="205">
        <f t="shared" si="3141"/>
        <v>0</v>
      </c>
      <c r="AY1201" s="188">
        <f t="shared" si="3142"/>
        <v>0</v>
      </c>
      <c r="AZ1201" s="96">
        <f t="shared" si="3143"/>
        <v>0</v>
      </c>
      <c r="BA1201" s="96">
        <f t="shared" si="3144"/>
        <v>0</v>
      </c>
      <c r="BB1201" s="96">
        <f t="shared" si="3145"/>
        <v>0</v>
      </c>
    </row>
    <row r="1202" spans="1:54">
      <c r="A1202" s="492">
        <v>743</v>
      </c>
      <c r="B1202" s="13"/>
      <c r="C1202" s="13"/>
      <c r="D1202" s="13"/>
      <c r="E1202" s="21" t="s">
        <v>1321</v>
      </c>
      <c r="F1202" s="44" t="s">
        <v>942</v>
      </c>
      <c r="G1202" s="44" t="s">
        <v>1059</v>
      </c>
      <c r="H1202" s="264" t="s">
        <v>359</v>
      </c>
      <c r="I1202" s="54">
        <v>15.73</v>
      </c>
      <c r="J1202" s="101"/>
      <c r="K1202" s="54">
        <v>15.73</v>
      </c>
      <c r="L1202" s="162"/>
      <c r="M1202" s="54"/>
      <c r="N1202" s="162"/>
      <c r="O1202" s="54"/>
      <c r="P1202" s="101"/>
      <c r="Q1202" s="96">
        <f t="shared" si="3121"/>
        <v>0</v>
      </c>
      <c r="R1202" s="337">
        <f t="shared" si="3122"/>
        <v>0</v>
      </c>
      <c r="S1202" s="96"/>
      <c r="T1202" s="96">
        <f t="shared" si="3123"/>
        <v>0</v>
      </c>
      <c r="U1202" s="96"/>
      <c r="V1202" s="176">
        <f t="shared" si="3124"/>
        <v>0</v>
      </c>
      <c r="W1202" s="206"/>
      <c r="X1202" s="205">
        <f t="shared" si="3125"/>
        <v>0</v>
      </c>
      <c r="Y1202" s="188">
        <f t="shared" si="3126"/>
        <v>0</v>
      </c>
      <c r="Z1202" s="176">
        <f t="shared" si="3127"/>
        <v>0</v>
      </c>
      <c r="AA1202" s="206"/>
      <c r="AB1202" s="205">
        <f t="shared" si="3128"/>
        <v>0</v>
      </c>
      <c r="AC1202" s="206"/>
      <c r="AD1202" s="176">
        <f t="shared" si="3129"/>
        <v>0</v>
      </c>
      <c r="AE1202" s="206"/>
      <c r="AF1202" s="205">
        <f t="shared" si="3130"/>
        <v>0</v>
      </c>
      <c r="AG1202" s="188">
        <f t="shared" si="3131"/>
        <v>0</v>
      </c>
      <c r="AH1202" s="96">
        <f t="shared" si="3132"/>
        <v>0</v>
      </c>
      <c r="AI1202" s="96">
        <f t="shared" si="3133"/>
        <v>0</v>
      </c>
      <c r="AJ1202" s="176">
        <f t="shared" si="3134"/>
        <v>0</v>
      </c>
      <c r="AK1202" s="206"/>
      <c r="AL1202" s="176">
        <f t="shared" si="3135"/>
        <v>0</v>
      </c>
      <c r="AM1202" s="243"/>
      <c r="AN1202" s="176">
        <f t="shared" si="3136"/>
        <v>0</v>
      </c>
      <c r="AO1202" s="206"/>
      <c r="AP1202" s="205">
        <f t="shared" si="3249"/>
        <v>0</v>
      </c>
      <c r="AQ1202" s="188">
        <f t="shared" si="3137"/>
        <v>0</v>
      </c>
      <c r="AR1202" s="96">
        <f t="shared" si="3138"/>
        <v>0</v>
      </c>
      <c r="AS1202" s="96"/>
      <c r="AT1202" s="176">
        <f t="shared" si="3139"/>
        <v>0</v>
      </c>
      <c r="AU1202" s="206"/>
      <c r="AV1202" s="176">
        <f t="shared" si="3140"/>
        <v>0</v>
      </c>
      <c r="AW1202" s="206"/>
      <c r="AX1202" s="205">
        <f t="shared" si="3141"/>
        <v>0</v>
      </c>
      <c r="AY1202" s="188">
        <f t="shared" si="3142"/>
        <v>0</v>
      </c>
      <c r="AZ1202" s="96">
        <f t="shared" si="3143"/>
        <v>0</v>
      </c>
      <c r="BA1202" s="96">
        <f t="shared" si="3144"/>
        <v>0</v>
      </c>
      <c r="BB1202" s="96">
        <f t="shared" si="3145"/>
        <v>0</v>
      </c>
    </row>
    <row r="1203" spans="1:54">
      <c r="A1203" s="492">
        <v>743</v>
      </c>
      <c r="B1203" s="13"/>
      <c r="C1203" s="13"/>
      <c r="D1203" s="13"/>
      <c r="E1203" s="21" t="s">
        <v>2149</v>
      </c>
      <c r="F1203" s="44" t="s">
        <v>942</v>
      </c>
      <c r="G1203" s="44" t="s">
        <v>1059</v>
      </c>
      <c r="H1203" s="264" t="s">
        <v>359</v>
      </c>
      <c r="I1203" s="54">
        <v>15.97</v>
      </c>
      <c r="J1203" s="101"/>
      <c r="K1203" s="54">
        <v>15.97</v>
      </c>
      <c r="L1203" s="162"/>
      <c r="M1203" s="54"/>
      <c r="N1203" s="162"/>
      <c r="O1203" s="54"/>
      <c r="P1203" s="101"/>
      <c r="Q1203" s="96">
        <f t="shared" ref="Q1203" si="3380">SUM(AI1203+BA1203)</f>
        <v>0.68799999999999994</v>
      </c>
      <c r="R1203" s="337">
        <f t="shared" ref="R1203" si="3381">SUM(AJ1203+BB1203)</f>
        <v>16.4208062704</v>
      </c>
      <c r="S1203" s="96">
        <v>9.1999999999999998E-2</v>
      </c>
      <c r="T1203" s="96">
        <f t="shared" ref="T1203" si="3382">I1203*S1203*$T$2/1000</f>
        <v>2.1210683260000001</v>
      </c>
      <c r="U1203" s="96"/>
      <c r="V1203" s="176">
        <f t="shared" ref="V1203" si="3383">I1203*U1203*$V$2/1000</f>
        <v>0</v>
      </c>
      <c r="W1203" s="206">
        <v>0.59599999999999997</v>
      </c>
      <c r="X1203" s="205">
        <f t="shared" ref="X1203" si="3384">I1203*W1203*$X$2/1000</f>
        <v>14.299737944399999</v>
      </c>
      <c r="Y1203" s="188">
        <f t="shared" ref="Y1203" si="3385">SUM(S1203+U1203+W1203)</f>
        <v>0.68799999999999994</v>
      </c>
      <c r="Z1203" s="176">
        <f t="shared" ref="Z1203" si="3386">SUM(T1203+V1203+X1203)</f>
        <v>16.4208062704</v>
      </c>
      <c r="AA1203" s="206"/>
      <c r="AB1203" s="205">
        <f t="shared" ref="AB1203" si="3387">K1203*AA1203*$AB$2/1000</f>
        <v>0</v>
      </c>
      <c r="AC1203" s="206"/>
      <c r="AD1203" s="176">
        <f t="shared" ref="AD1203" si="3388">K1203*AC1203*$AD$2/1000</f>
        <v>0</v>
      </c>
      <c r="AE1203" s="206"/>
      <c r="AF1203" s="205">
        <f t="shared" ref="AF1203" si="3389">K1203*AE1203*$AF$2/1000</f>
        <v>0</v>
      </c>
      <c r="AG1203" s="188">
        <f t="shared" ref="AG1203" si="3390">SUM(AA1203+AC1203+AE1203)</f>
        <v>0</v>
      </c>
      <c r="AH1203" s="96">
        <f t="shared" ref="AH1203" si="3391">SUM(AB1203+AD1203+AF1203)</f>
        <v>0</v>
      </c>
      <c r="AI1203" s="96">
        <f t="shared" ref="AI1203" si="3392">SUM(Y1203+AG1203)</f>
        <v>0.68799999999999994</v>
      </c>
      <c r="AJ1203" s="176">
        <f t="shared" ref="AJ1203" si="3393">SUM(Z1203,AH1203)</f>
        <v>16.4208062704</v>
      </c>
      <c r="AK1203" s="206"/>
      <c r="AL1203" s="176">
        <f t="shared" ref="AL1203" si="3394">M1203*AK1203*$AL$2/1000</f>
        <v>0</v>
      </c>
      <c r="AM1203" s="243"/>
      <c r="AN1203" s="176">
        <f t="shared" ref="AN1203" si="3395">M1203*AM1203*$AN$2/1000</f>
        <v>0</v>
      </c>
      <c r="AO1203" s="206"/>
      <c r="AP1203" s="205">
        <f t="shared" ref="AP1203" si="3396">M1203*AO1203*$AP$2/1000</f>
        <v>0</v>
      </c>
      <c r="AQ1203" s="188">
        <f t="shared" ref="AQ1203" si="3397">SUM(AK1203+AM1203+AO1203)</f>
        <v>0</v>
      </c>
      <c r="AR1203" s="96">
        <f t="shared" ref="AR1203" si="3398">SUM(AL1203+AN1203+AP1203)</f>
        <v>0</v>
      </c>
      <c r="AS1203" s="96"/>
      <c r="AT1203" s="176">
        <f t="shared" ref="AT1203" si="3399">O1203*AS1203*$AT$2/1000</f>
        <v>0</v>
      </c>
      <c r="AU1203" s="206"/>
      <c r="AV1203" s="176">
        <f t="shared" ref="AV1203" si="3400">O1203*AU1203*$AV$2/1000</f>
        <v>0</v>
      </c>
      <c r="AW1203" s="206"/>
      <c r="AX1203" s="205">
        <f t="shared" ref="AX1203" si="3401">O1203*AW1203*$AX$2/1000</f>
        <v>0</v>
      </c>
      <c r="AY1203" s="188">
        <f t="shared" ref="AY1203" si="3402">SUM(AS1203+AU1203+AW1203)</f>
        <v>0</v>
      </c>
      <c r="AZ1203" s="96">
        <f t="shared" ref="AZ1203" si="3403">SUM(AT1203+AV1203+AX1203)</f>
        <v>0</v>
      </c>
      <c r="BA1203" s="96">
        <f t="shared" ref="BA1203" si="3404">SUM(AQ1203+AY1203)</f>
        <v>0</v>
      </c>
      <c r="BB1203" s="96">
        <f t="shared" ref="BB1203" si="3405">SUM(AR1203,AZ1203)</f>
        <v>0</v>
      </c>
    </row>
    <row r="1204" spans="1:54">
      <c r="A1204" s="492">
        <v>744</v>
      </c>
      <c r="B1204" s="13"/>
      <c r="C1204" s="13"/>
      <c r="D1204" s="13"/>
      <c r="E1204" s="21" t="s">
        <v>1322</v>
      </c>
      <c r="F1204" s="313" t="s">
        <v>943</v>
      </c>
      <c r="G1204" s="44" t="s">
        <v>1059</v>
      </c>
      <c r="H1204" s="264" t="s">
        <v>359</v>
      </c>
      <c r="I1204" s="54">
        <v>15.33</v>
      </c>
      <c r="J1204" s="101"/>
      <c r="K1204" s="54">
        <v>15.33</v>
      </c>
      <c r="L1204" s="162"/>
      <c r="M1204" s="54"/>
      <c r="N1204" s="162"/>
      <c r="O1204" s="54"/>
      <c r="P1204" s="101"/>
      <c r="Q1204" s="96">
        <f t="shared" si="3121"/>
        <v>0</v>
      </c>
      <c r="R1204" s="337">
        <f t="shared" si="3122"/>
        <v>0</v>
      </c>
      <c r="S1204" s="96"/>
      <c r="T1204" s="96">
        <f t="shared" si="3123"/>
        <v>0</v>
      </c>
      <c r="U1204" s="96"/>
      <c r="V1204" s="176">
        <f t="shared" si="3124"/>
        <v>0</v>
      </c>
      <c r="W1204" s="206"/>
      <c r="X1204" s="205">
        <f t="shared" si="3125"/>
        <v>0</v>
      </c>
      <c r="Y1204" s="188">
        <f t="shared" si="3126"/>
        <v>0</v>
      </c>
      <c r="Z1204" s="176">
        <f t="shared" si="3127"/>
        <v>0</v>
      </c>
      <c r="AA1204" s="206"/>
      <c r="AB1204" s="205">
        <f t="shared" si="3128"/>
        <v>0</v>
      </c>
      <c r="AC1204" s="206"/>
      <c r="AD1204" s="176">
        <f t="shared" si="3129"/>
        <v>0</v>
      </c>
      <c r="AE1204" s="206"/>
      <c r="AF1204" s="205">
        <f t="shared" si="3130"/>
        <v>0</v>
      </c>
      <c r="AG1204" s="188">
        <f t="shared" si="3131"/>
        <v>0</v>
      </c>
      <c r="AH1204" s="96">
        <f t="shared" si="3132"/>
        <v>0</v>
      </c>
      <c r="AI1204" s="96">
        <f t="shared" si="3133"/>
        <v>0</v>
      </c>
      <c r="AJ1204" s="176">
        <f t="shared" si="3134"/>
        <v>0</v>
      </c>
      <c r="AK1204" s="206"/>
      <c r="AL1204" s="176">
        <f t="shared" si="3135"/>
        <v>0</v>
      </c>
      <c r="AM1204" s="243"/>
      <c r="AN1204" s="176">
        <f t="shared" si="3136"/>
        <v>0</v>
      </c>
      <c r="AO1204" s="206"/>
      <c r="AP1204" s="205">
        <f t="shared" si="3249"/>
        <v>0</v>
      </c>
      <c r="AQ1204" s="188">
        <f t="shared" si="3137"/>
        <v>0</v>
      </c>
      <c r="AR1204" s="96">
        <f t="shared" si="3138"/>
        <v>0</v>
      </c>
      <c r="AS1204" s="96"/>
      <c r="AT1204" s="176">
        <f t="shared" si="3139"/>
        <v>0</v>
      </c>
      <c r="AU1204" s="206"/>
      <c r="AV1204" s="176">
        <f t="shared" si="3140"/>
        <v>0</v>
      </c>
      <c r="AW1204" s="206"/>
      <c r="AX1204" s="205">
        <f t="shared" si="3141"/>
        <v>0</v>
      </c>
      <c r="AY1204" s="188">
        <f t="shared" si="3142"/>
        <v>0</v>
      </c>
      <c r="AZ1204" s="96">
        <f t="shared" si="3143"/>
        <v>0</v>
      </c>
      <c r="BA1204" s="96">
        <f t="shared" si="3144"/>
        <v>0</v>
      </c>
      <c r="BB1204" s="96">
        <f t="shared" si="3145"/>
        <v>0</v>
      </c>
    </row>
    <row r="1205" spans="1:54">
      <c r="A1205" s="492">
        <v>745</v>
      </c>
      <c r="B1205" s="13"/>
      <c r="C1205" s="13"/>
      <c r="D1205" s="13"/>
      <c r="E1205" s="21" t="s">
        <v>2624</v>
      </c>
      <c r="F1205" s="313" t="s">
        <v>943</v>
      </c>
      <c r="G1205" s="44" t="s">
        <v>1059</v>
      </c>
      <c r="H1205" s="264" t="s">
        <v>359</v>
      </c>
      <c r="I1205" s="54"/>
      <c r="J1205" s="101"/>
      <c r="K1205" s="54">
        <v>16.14</v>
      </c>
      <c r="L1205" s="162"/>
      <c r="M1205" s="54"/>
      <c r="N1205" s="162"/>
      <c r="O1205" s="54"/>
      <c r="P1205" s="101"/>
      <c r="Q1205" s="96">
        <f t="shared" ref="Q1205" si="3406">SUM(AI1205+BA1205)</f>
        <v>1.7999999999999999E-2</v>
      </c>
      <c r="R1205" s="337">
        <f t="shared" ref="R1205" si="3407">SUM(AJ1205+BB1205)</f>
        <v>0.43019039520000002</v>
      </c>
      <c r="S1205" s="96"/>
      <c r="T1205" s="96">
        <f t="shared" ref="T1205" si="3408">I1205*S1205*$T$2/1000</f>
        <v>0</v>
      </c>
      <c r="U1205" s="96"/>
      <c r="V1205" s="176">
        <f t="shared" ref="V1205" si="3409">I1205*U1205*$V$2/1000</f>
        <v>0</v>
      </c>
      <c r="W1205" s="206"/>
      <c r="X1205" s="205">
        <f t="shared" ref="X1205" si="3410">I1205*W1205*$X$2/1000</f>
        <v>0</v>
      </c>
      <c r="Y1205" s="188">
        <f t="shared" ref="Y1205" si="3411">SUM(S1205+U1205+W1205)</f>
        <v>0</v>
      </c>
      <c r="Z1205" s="176">
        <f t="shared" ref="Z1205" si="3412">SUM(T1205+V1205+X1205)</f>
        <v>0</v>
      </c>
      <c r="AA1205" s="206">
        <v>1.7999999999999999E-2</v>
      </c>
      <c r="AB1205" s="205">
        <f t="shared" ref="AB1205" si="3413">K1205*AA1205*$AB$2/1000</f>
        <v>0.43019039520000002</v>
      </c>
      <c r="AC1205" s="206"/>
      <c r="AD1205" s="176">
        <f t="shared" ref="AD1205" si="3414">K1205*AC1205*$AD$2/1000</f>
        <v>0</v>
      </c>
      <c r="AE1205" s="206"/>
      <c r="AF1205" s="205">
        <f t="shared" ref="AF1205" si="3415">K1205*AE1205*$AF$2/1000</f>
        <v>0</v>
      </c>
      <c r="AG1205" s="188">
        <f t="shared" ref="AG1205" si="3416">SUM(AA1205+AC1205+AE1205)</f>
        <v>1.7999999999999999E-2</v>
      </c>
      <c r="AH1205" s="96">
        <f t="shared" ref="AH1205" si="3417">SUM(AB1205+AD1205+AF1205)</f>
        <v>0.43019039520000002</v>
      </c>
      <c r="AI1205" s="96">
        <f t="shared" ref="AI1205" si="3418">SUM(Y1205+AG1205)</f>
        <v>1.7999999999999999E-2</v>
      </c>
      <c r="AJ1205" s="176">
        <f t="shared" ref="AJ1205" si="3419">SUM(Z1205,AH1205)</f>
        <v>0.43019039520000002</v>
      </c>
      <c r="AK1205" s="206"/>
      <c r="AL1205" s="176">
        <f t="shared" ref="AL1205" si="3420">M1205*AK1205*$AL$2/1000</f>
        <v>0</v>
      </c>
      <c r="AM1205" s="243"/>
      <c r="AN1205" s="176">
        <f t="shared" ref="AN1205" si="3421">M1205*AM1205*$AN$2/1000</f>
        <v>0</v>
      </c>
      <c r="AO1205" s="206"/>
      <c r="AP1205" s="205">
        <f t="shared" ref="AP1205" si="3422">M1205*AO1205*$AP$2/1000</f>
        <v>0</v>
      </c>
      <c r="AQ1205" s="188">
        <f t="shared" ref="AQ1205" si="3423">SUM(AK1205+AM1205+AO1205)</f>
        <v>0</v>
      </c>
      <c r="AR1205" s="96">
        <f t="shared" ref="AR1205" si="3424">SUM(AL1205+AN1205+AP1205)</f>
        <v>0</v>
      </c>
      <c r="AS1205" s="96"/>
      <c r="AT1205" s="176">
        <f t="shared" ref="AT1205" si="3425">O1205*AS1205*$AT$2/1000</f>
        <v>0</v>
      </c>
      <c r="AU1205" s="206"/>
      <c r="AV1205" s="176">
        <f t="shared" ref="AV1205" si="3426">O1205*AU1205*$AV$2/1000</f>
        <v>0</v>
      </c>
      <c r="AW1205" s="206"/>
      <c r="AX1205" s="205">
        <f t="shared" ref="AX1205" si="3427">O1205*AW1205*$AX$2/1000</f>
        <v>0</v>
      </c>
      <c r="AY1205" s="188">
        <f t="shared" ref="AY1205" si="3428">SUM(AS1205+AU1205+AW1205)</f>
        <v>0</v>
      </c>
      <c r="AZ1205" s="96">
        <f t="shared" ref="AZ1205" si="3429">SUM(AT1205+AV1205+AX1205)</f>
        <v>0</v>
      </c>
      <c r="BA1205" s="96">
        <f t="shared" ref="BA1205" si="3430">SUM(AQ1205+AY1205)</f>
        <v>0</v>
      </c>
      <c r="BB1205" s="96">
        <f t="shared" ref="BB1205" si="3431">SUM(AR1205,AZ1205)</f>
        <v>0</v>
      </c>
    </row>
    <row r="1206" spans="1:54">
      <c r="A1206" s="492">
        <v>745</v>
      </c>
      <c r="B1206" s="13"/>
      <c r="C1206" s="13"/>
      <c r="D1206" s="13"/>
      <c r="E1206" s="21" t="s">
        <v>1323</v>
      </c>
      <c r="F1206" s="313" t="s">
        <v>943</v>
      </c>
      <c r="G1206" s="44" t="s">
        <v>1059</v>
      </c>
      <c r="H1206" s="264" t="s">
        <v>359</v>
      </c>
      <c r="I1206" s="54">
        <v>15.9</v>
      </c>
      <c r="J1206" s="101"/>
      <c r="K1206" s="54">
        <v>15.9</v>
      </c>
      <c r="L1206" s="162"/>
      <c r="M1206" s="54"/>
      <c r="N1206" s="162"/>
      <c r="O1206" s="54"/>
      <c r="P1206" s="101"/>
      <c r="Q1206" s="96">
        <f t="shared" si="3121"/>
        <v>0</v>
      </c>
      <c r="R1206" s="337">
        <f t="shared" si="3122"/>
        <v>0</v>
      </c>
      <c r="S1206" s="96"/>
      <c r="T1206" s="96">
        <f t="shared" si="3123"/>
        <v>0</v>
      </c>
      <c r="U1206" s="96"/>
      <c r="V1206" s="176">
        <f t="shared" si="3124"/>
        <v>0</v>
      </c>
      <c r="W1206" s="206"/>
      <c r="X1206" s="205">
        <f t="shared" si="3125"/>
        <v>0</v>
      </c>
      <c r="Y1206" s="188">
        <f t="shared" si="3126"/>
        <v>0</v>
      </c>
      <c r="Z1206" s="176">
        <f t="shared" si="3127"/>
        <v>0</v>
      </c>
      <c r="AA1206" s="206"/>
      <c r="AB1206" s="205">
        <f t="shared" si="3128"/>
        <v>0</v>
      </c>
      <c r="AC1206" s="206"/>
      <c r="AD1206" s="176">
        <f t="shared" si="3129"/>
        <v>0</v>
      </c>
      <c r="AE1206" s="206"/>
      <c r="AF1206" s="205">
        <f t="shared" si="3130"/>
        <v>0</v>
      </c>
      <c r="AG1206" s="188">
        <f t="shared" si="3131"/>
        <v>0</v>
      </c>
      <c r="AH1206" s="96">
        <f t="shared" si="3132"/>
        <v>0</v>
      </c>
      <c r="AI1206" s="96">
        <f t="shared" si="3133"/>
        <v>0</v>
      </c>
      <c r="AJ1206" s="176">
        <f t="shared" si="3134"/>
        <v>0</v>
      </c>
      <c r="AK1206" s="206"/>
      <c r="AL1206" s="176">
        <f t="shared" si="3135"/>
        <v>0</v>
      </c>
      <c r="AM1206" s="243"/>
      <c r="AN1206" s="176">
        <f t="shared" si="3136"/>
        <v>0</v>
      </c>
      <c r="AO1206" s="206"/>
      <c r="AP1206" s="205">
        <f t="shared" si="3249"/>
        <v>0</v>
      </c>
      <c r="AQ1206" s="188">
        <f t="shared" si="3137"/>
        <v>0</v>
      </c>
      <c r="AR1206" s="96">
        <f t="shared" si="3138"/>
        <v>0</v>
      </c>
      <c r="AS1206" s="96"/>
      <c r="AT1206" s="176">
        <f t="shared" si="3139"/>
        <v>0</v>
      </c>
      <c r="AU1206" s="206"/>
      <c r="AV1206" s="176">
        <f t="shared" si="3140"/>
        <v>0</v>
      </c>
      <c r="AW1206" s="206"/>
      <c r="AX1206" s="205">
        <f t="shared" si="3141"/>
        <v>0</v>
      </c>
      <c r="AY1206" s="188">
        <f t="shared" si="3142"/>
        <v>0</v>
      </c>
      <c r="AZ1206" s="96">
        <f t="shared" si="3143"/>
        <v>0</v>
      </c>
      <c r="BA1206" s="96">
        <f t="shared" si="3144"/>
        <v>0</v>
      </c>
      <c r="BB1206" s="96">
        <f t="shared" si="3145"/>
        <v>0</v>
      </c>
    </row>
    <row r="1207" spans="1:54" s="6" customFormat="1">
      <c r="A1207" s="492">
        <v>746</v>
      </c>
      <c r="B1207" s="14"/>
      <c r="C1207" s="39"/>
      <c r="D1207" s="14"/>
      <c r="E1207" s="480" t="s">
        <v>1324</v>
      </c>
      <c r="F1207" s="481" t="s">
        <v>943</v>
      </c>
      <c r="G1207" s="481" t="s">
        <v>1059</v>
      </c>
      <c r="H1207" s="270" t="s">
        <v>359</v>
      </c>
      <c r="I1207" s="482">
        <v>16.34</v>
      </c>
      <c r="J1207" s="483"/>
      <c r="K1207" s="482">
        <v>16.34</v>
      </c>
      <c r="L1207" s="483"/>
      <c r="M1207" s="482"/>
      <c r="N1207" s="483"/>
      <c r="O1207" s="482"/>
      <c r="P1207" s="483"/>
      <c r="Q1207" s="422">
        <f t="shared" ref="Q1207" si="3432">SUM(AI1207+BA1207)</f>
        <v>0</v>
      </c>
      <c r="R1207" s="484">
        <f t="shared" ref="R1207" si="3433">SUM(AJ1207+BB1207)</f>
        <v>0</v>
      </c>
      <c r="S1207" s="422"/>
      <c r="T1207" s="422">
        <f t="shared" ref="T1207" si="3434">I1207*S1207*$T$2/1000</f>
        <v>0</v>
      </c>
      <c r="U1207" s="422"/>
      <c r="V1207" s="422">
        <f t="shared" ref="V1207" si="3435">I1207*U1207*$V$2/1000</f>
        <v>0</v>
      </c>
      <c r="W1207" s="422"/>
      <c r="X1207" s="422">
        <f t="shared" ref="X1207" si="3436">I1207*W1207*$X$2/1000</f>
        <v>0</v>
      </c>
      <c r="Y1207" s="422">
        <f t="shared" ref="Y1207" si="3437">SUM(S1207+U1207+W1207)</f>
        <v>0</v>
      </c>
      <c r="Z1207" s="422">
        <f t="shared" ref="Z1207" si="3438">SUM(T1207+V1207+X1207)</f>
        <v>0</v>
      </c>
      <c r="AA1207" s="422"/>
      <c r="AB1207" s="422">
        <f t="shared" ref="AB1207" si="3439">K1207*AA1207*$AB$2/1000</f>
        <v>0</v>
      </c>
      <c r="AC1207" s="422"/>
      <c r="AD1207" s="422">
        <f t="shared" ref="AD1207" si="3440">K1207*AC1207*$AD$2/1000</f>
        <v>0</v>
      </c>
      <c r="AE1207" s="422"/>
      <c r="AF1207" s="128">
        <f t="shared" ref="AF1207" si="3441">K1207*AE1207*$AF$2/1000</f>
        <v>0</v>
      </c>
      <c r="AG1207" s="422">
        <f t="shared" ref="AG1207" si="3442">SUM(AA1207+AC1207+AE1207)</f>
        <v>0</v>
      </c>
      <c r="AH1207" s="422">
        <f t="shared" ref="AH1207" si="3443">SUM(AB1207+AD1207+AF1207)</f>
        <v>0</v>
      </c>
      <c r="AI1207" s="422">
        <f t="shared" ref="AI1207" si="3444">SUM(Y1207+AG1207)</f>
        <v>0</v>
      </c>
      <c r="AJ1207" s="422">
        <f t="shared" ref="AJ1207" si="3445">SUM(Z1207,AH1207)</f>
        <v>0</v>
      </c>
      <c r="AK1207" s="422"/>
      <c r="AL1207" s="422">
        <f t="shared" ref="AL1207" si="3446">M1207*AK1207*$AL$2/1000</f>
        <v>0</v>
      </c>
      <c r="AM1207" s="422"/>
      <c r="AN1207" s="422">
        <f t="shared" ref="AN1207" si="3447">M1207*AM1207*$AN$2/1000</f>
        <v>0</v>
      </c>
      <c r="AO1207" s="422"/>
      <c r="AP1207" s="422">
        <f t="shared" ref="AP1207" si="3448">M1207*AO1207*$AP$2/1000</f>
        <v>0</v>
      </c>
      <c r="AQ1207" s="422">
        <f t="shared" ref="AQ1207" si="3449">SUM(AK1207+AM1207+AO1207)</f>
        <v>0</v>
      </c>
      <c r="AR1207" s="422">
        <f t="shared" ref="AR1207" si="3450">SUM(AL1207+AN1207+AP1207)</f>
        <v>0</v>
      </c>
      <c r="AS1207" s="422"/>
      <c r="AT1207" s="422">
        <f t="shared" ref="AT1207" si="3451">O1207*AS1207*$AT$2/1000</f>
        <v>0</v>
      </c>
      <c r="AU1207" s="422"/>
      <c r="AV1207" s="422">
        <f t="shared" ref="AV1207" si="3452">O1207*AU1207*$AV$2/1000</f>
        <v>0</v>
      </c>
      <c r="AW1207" s="422"/>
      <c r="AX1207" s="422">
        <f t="shared" ref="AX1207" si="3453">O1207*AW1207*$AX$2/1000</f>
        <v>0</v>
      </c>
      <c r="AY1207" s="422">
        <f t="shared" ref="AY1207" si="3454">SUM(AS1207+AU1207+AW1207)</f>
        <v>0</v>
      </c>
      <c r="AZ1207" s="422">
        <f t="shared" ref="AZ1207" si="3455">SUM(AT1207+AV1207+AX1207)</f>
        <v>0</v>
      </c>
      <c r="BA1207" s="422">
        <f t="shared" ref="BA1207" si="3456">SUM(AQ1207+AY1207)</f>
        <v>0</v>
      </c>
      <c r="BB1207" s="422">
        <f t="shared" ref="BB1207" si="3457">SUM(AR1207,AZ1207)</f>
        <v>0</v>
      </c>
    </row>
    <row r="1208" spans="1:54" s="6" customFormat="1">
      <c r="A1208" s="492">
        <v>746</v>
      </c>
      <c r="B1208" s="14"/>
      <c r="C1208" s="39"/>
      <c r="D1208" s="14"/>
      <c r="E1208" s="480" t="s">
        <v>2150</v>
      </c>
      <c r="F1208" s="481" t="s">
        <v>943</v>
      </c>
      <c r="G1208" s="481" t="s">
        <v>1059</v>
      </c>
      <c r="H1208" s="270" t="s">
        <v>433</v>
      </c>
      <c r="I1208" s="482">
        <v>16.46</v>
      </c>
      <c r="J1208" s="483"/>
      <c r="K1208" s="482">
        <v>16.46</v>
      </c>
      <c r="L1208" s="483"/>
      <c r="M1208" s="482"/>
      <c r="N1208" s="483"/>
      <c r="O1208" s="482"/>
      <c r="P1208" s="483"/>
      <c r="Q1208" s="422">
        <f t="shared" si="3121"/>
        <v>16.504999999999999</v>
      </c>
      <c r="R1208" s="484">
        <f t="shared" si="3122"/>
        <v>399.93680473500001</v>
      </c>
      <c r="S1208" s="422">
        <v>2.3050000000000002</v>
      </c>
      <c r="T1208" s="422">
        <f t="shared" si="3123"/>
        <v>54.772514095000012</v>
      </c>
      <c r="U1208" s="422">
        <v>5</v>
      </c>
      <c r="V1208" s="422">
        <f t="shared" si="3124"/>
        <v>118.36879800000001</v>
      </c>
      <c r="W1208" s="422">
        <v>7.2</v>
      </c>
      <c r="X1208" s="422">
        <f t="shared" si="3125"/>
        <v>178.04887343999999</v>
      </c>
      <c r="Y1208" s="422">
        <f t="shared" si="3126"/>
        <v>14.504999999999999</v>
      </c>
      <c r="Z1208" s="422">
        <f t="shared" si="3127"/>
        <v>351.19018553500001</v>
      </c>
      <c r="AA1208" s="422">
        <v>2</v>
      </c>
      <c r="AB1208" s="422">
        <f t="shared" si="3128"/>
        <v>48.746619199999998</v>
      </c>
      <c r="AC1208" s="422"/>
      <c r="AD1208" s="422">
        <f t="shared" si="3129"/>
        <v>0</v>
      </c>
      <c r="AE1208" s="422"/>
      <c r="AF1208" s="128">
        <f t="shared" si="3130"/>
        <v>0</v>
      </c>
      <c r="AG1208" s="422">
        <f t="shared" si="3131"/>
        <v>2</v>
      </c>
      <c r="AH1208" s="422">
        <f t="shared" si="3132"/>
        <v>48.746619199999998</v>
      </c>
      <c r="AI1208" s="422">
        <f t="shared" si="3133"/>
        <v>16.504999999999999</v>
      </c>
      <c r="AJ1208" s="422">
        <f t="shared" si="3134"/>
        <v>399.93680473500001</v>
      </c>
      <c r="AK1208" s="422"/>
      <c r="AL1208" s="422">
        <f t="shared" si="3135"/>
        <v>0</v>
      </c>
      <c r="AM1208" s="422"/>
      <c r="AN1208" s="422">
        <f t="shared" si="3136"/>
        <v>0</v>
      </c>
      <c r="AO1208" s="422"/>
      <c r="AP1208" s="422">
        <f t="shared" si="3249"/>
        <v>0</v>
      </c>
      <c r="AQ1208" s="422">
        <f t="shared" si="3137"/>
        <v>0</v>
      </c>
      <c r="AR1208" s="422">
        <f t="shared" si="3138"/>
        <v>0</v>
      </c>
      <c r="AS1208" s="422"/>
      <c r="AT1208" s="422">
        <f t="shared" si="3139"/>
        <v>0</v>
      </c>
      <c r="AU1208" s="422"/>
      <c r="AV1208" s="422">
        <f t="shared" si="3140"/>
        <v>0</v>
      </c>
      <c r="AW1208" s="422"/>
      <c r="AX1208" s="422">
        <f t="shared" si="3141"/>
        <v>0</v>
      </c>
      <c r="AY1208" s="422">
        <f t="shared" si="3142"/>
        <v>0</v>
      </c>
      <c r="AZ1208" s="422">
        <f t="shared" si="3143"/>
        <v>0</v>
      </c>
      <c r="BA1208" s="422">
        <f t="shared" si="3144"/>
        <v>0</v>
      </c>
      <c r="BB1208" s="422">
        <f t="shared" si="3145"/>
        <v>0</v>
      </c>
    </row>
    <row r="1209" spans="1:54">
      <c r="B1209" s="13"/>
      <c r="C1209" s="13"/>
      <c r="D1209" s="13"/>
      <c r="E1209" s="21" t="s">
        <v>1325</v>
      </c>
      <c r="F1209" s="481" t="s">
        <v>943</v>
      </c>
      <c r="G1209" s="481" t="s">
        <v>1059</v>
      </c>
      <c r="H1209" s="270" t="s">
        <v>359</v>
      </c>
      <c r="I1209" s="54">
        <v>16.34</v>
      </c>
      <c r="J1209" s="101"/>
      <c r="K1209" s="54">
        <v>16.34</v>
      </c>
      <c r="L1209" s="162"/>
      <c r="M1209" s="54"/>
      <c r="N1209" s="162"/>
      <c r="O1209" s="54"/>
      <c r="P1209" s="101"/>
      <c r="Q1209" s="96">
        <f t="shared" si="3121"/>
        <v>0</v>
      </c>
      <c r="R1209" s="337">
        <f t="shared" si="3122"/>
        <v>0</v>
      </c>
      <c r="S1209" s="96"/>
      <c r="T1209" s="96">
        <f t="shared" si="3123"/>
        <v>0</v>
      </c>
      <c r="U1209" s="96"/>
      <c r="V1209" s="176">
        <f t="shared" si="3124"/>
        <v>0</v>
      </c>
      <c r="W1209" s="206"/>
      <c r="X1209" s="205">
        <f t="shared" si="3125"/>
        <v>0</v>
      </c>
      <c r="Y1209" s="188">
        <f t="shared" si="3126"/>
        <v>0</v>
      </c>
      <c r="Z1209" s="176">
        <f t="shared" si="3127"/>
        <v>0</v>
      </c>
      <c r="AA1209" s="206"/>
      <c r="AB1209" s="205">
        <f t="shared" si="3128"/>
        <v>0</v>
      </c>
      <c r="AC1209" s="206"/>
      <c r="AD1209" s="176">
        <f t="shared" si="3129"/>
        <v>0</v>
      </c>
      <c r="AE1209" s="206"/>
      <c r="AF1209" s="205">
        <f t="shared" si="3130"/>
        <v>0</v>
      </c>
      <c r="AG1209" s="188">
        <f t="shared" si="3131"/>
        <v>0</v>
      </c>
      <c r="AH1209" s="96">
        <f t="shared" si="3132"/>
        <v>0</v>
      </c>
      <c r="AI1209" s="96">
        <f t="shared" si="3133"/>
        <v>0</v>
      </c>
      <c r="AJ1209" s="176">
        <f t="shared" si="3134"/>
        <v>0</v>
      </c>
      <c r="AK1209" s="206"/>
      <c r="AL1209" s="176">
        <f t="shared" si="3135"/>
        <v>0</v>
      </c>
      <c r="AM1209" s="243"/>
      <c r="AN1209" s="176">
        <f t="shared" si="3136"/>
        <v>0</v>
      </c>
      <c r="AO1209" s="206"/>
      <c r="AP1209" s="205">
        <f t="shared" si="3249"/>
        <v>0</v>
      </c>
      <c r="AQ1209" s="188">
        <f t="shared" si="3137"/>
        <v>0</v>
      </c>
      <c r="AR1209" s="96">
        <f t="shared" si="3138"/>
        <v>0</v>
      </c>
      <c r="AS1209" s="96"/>
      <c r="AT1209" s="176">
        <f t="shared" si="3139"/>
        <v>0</v>
      </c>
      <c r="AU1209" s="206"/>
      <c r="AV1209" s="176">
        <f t="shared" si="3140"/>
        <v>0</v>
      </c>
      <c r="AW1209" s="206"/>
      <c r="AX1209" s="205">
        <f t="shared" si="3141"/>
        <v>0</v>
      </c>
      <c r="AY1209" s="188">
        <f t="shared" si="3142"/>
        <v>0</v>
      </c>
      <c r="AZ1209" s="96">
        <f t="shared" si="3143"/>
        <v>0</v>
      </c>
      <c r="BA1209" s="96">
        <f t="shared" si="3144"/>
        <v>0</v>
      </c>
      <c r="BB1209" s="96">
        <f t="shared" si="3145"/>
        <v>0</v>
      </c>
    </row>
    <row r="1210" spans="1:54">
      <c r="B1210" s="13"/>
      <c r="C1210" s="13"/>
      <c r="D1210" s="13"/>
      <c r="E1210" s="21" t="s">
        <v>2392</v>
      </c>
      <c r="F1210" s="481" t="s">
        <v>943</v>
      </c>
      <c r="G1210" s="481" t="s">
        <v>1059</v>
      </c>
      <c r="H1210" s="270" t="s">
        <v>359</v>
      </c>
      <c r="I1210" s="54">
        <v>16.14</v>
      </c>
      <c r="J1210" s="101"/>
      <c r="K1210" s="54">
        <v>16.14</v>
      </c>
      <c r="L1210" s="162"/>
      <c r="M1210" s="54"/>
      <c r="N1210" s="162"/>
      <c r="O1210" s="54"/>
      <c r="P1210" s="101"/>
      <c r="Q1210" s="96">
        <f t="shared" ref="Q1210" si="3458">SUM(AI1210+BA1210)</f>
        <v>0.108</v>
      </c>
      <c r="R1210" s="337">
        <f t="shared" ref="R1210" si="3459">SUM(AJ1210+BB1210)</f>
        <v>2.6188111943999997</v>
      </c>
      <c r="S1210" s="96"/>
      <c r="T1210" s="96">
        <f t="shared" ref="T1210" si="3460">I1210*S1210*$T$2/1000</f>
        <v>0</v>
      </c>
      <c r="U1210" s="96"/>
      <c r="V1210" s="176">
        <f t="shared" ref="V1210" si="3461">I1210*U1210*$V$2/1000</f>
        <v>0</v>
      </c>
      <c r="W1210" s="206">
        <v>0.108</v>
      </c>
      <c r="X1210" s="205">
        <f t="shared" ref="X1210" si="3462">I1210*W1210*$X$2/1000</f>
        <v>2.6188111943999997</v>
      </c>
      <c r="Y1210" s="188">
        <f t="shared" ref="Y1210" si="3463">SUM(S1210+U1210+W1210)</f>
        <v>0.108</v>
      </c>
      <c r="Z1210" s="176">
        <f t="shared" ref="Z1210" si="3464">SUM(T1210+V1210+X1210)</f>
        <v>2.6188111943999997</v>
      </c>
      <c r="AA1210" s="206"/>
      <c r="AB1210" s="205">
        <f t="shared" ref="AB1210" si="3465">K1210*AA1210*$AB$2/1000</f>
        <v>0</v>
      </c>
      <c r="AC1210" s="206"/>
      <c r="AD1210" s="176">
        <f t="shared" ref="AD1210" si="3466">K1210*AC1210*$AD$2/1000</f>
        <v>0</v>
      </c>
      <c r="AE1210" s="206"/>
      <c r="AF1210" s="205">
        <f t="shared" ref="AF1210" si="3467">K1210*AE1210*$AF$2/1000</f>
        <v>0</v>
      </c>
      <c r="AG1210" s="188">
        <f t="shared" ref="AG1210" si="3468">SUM(AA1210+AC1210+AE1210)</f>
        <v>0</v>
      </c>
      <c r="AH1210" s="96">
        <f t="shared" ref="AH1210" si="3469">SUM(AB1210+AD1210+AF1210)</f>
        <v>0</v>
      </c>
      <c r="AI1210" s="96">
        <f t="shared" ref="AI1210" si="3470">SUM(Y1210+AG1210)</f>
        <v>0.108</v>
      </c>
      <c r="AJ1210" s="176">
        <f t="shared" ref="AJ1210" si="3471">SUM(Z1210,AH1210)</f>
        <v>2.6188111943999997</v>
      </c>
      <c r="AK1210" s="206"/>
      <c r="AL1210" s="176">
        <f t="shared" ref="AL1210" si="3472">M1210*AK1210*$AL$2/1000</f>
        <v>0</v>
      </c>
      <c r="AM1210" s="243"/>
      <c r="AN1210" s="176">
        <f t="shared" ref="AN1210" si="3473">M1210*AM1210*$AN$2/1000</f>
        <v>0</v>
      </c>
      <c r="AO1210" s="206"/>
      <c r="AP1210" s="205">
        <f t="shared" ref="AP1210" si="3474">M1210*AO1210*$AP$2/1000</f>
        <v>0</v>
      </c>
      <c r="AQ1210" s="188">
        <f t="shared" ref="AQ1210" si="3475">SUM(AK1210+AM1210+AO1210)</f>
        <v>0</v>
      </c>
      <c r="AR1210" s="96">
        <f t="shared" ref="AR1210" si="3476">SUM(AL1210+AN1210+AP1210)</f>
        <v>0</v>
      </c>
      <c r="AS1210" s="96"/>
      <c r="AT1210" s="176">
        <f t="shared" ref="AT1210" si="3477">O1210*AS1210*$AT$2/1000</f>
        <v>0</v>
      </c>
      <c r="AU1210" s="206"/>
      <c r="AV1210" s="176">
        <f t="shared" ref="AV1210" si="3478">O1210*AU1210*$AV$2/1000</f>
        <v>0</v>
      </c>
      <c r="AW1210" s="206"/>
      <c r="AX1210" s="205">
        <f t="shared" ref="AX1210" si="3479">O1210*AW1210*$AX$2/1000</f>
        <v>0</v>
      </c>
      <c r="AY1210" s="188">
        <f t="shared" ref="AY1210" si="3480">SUM(AS1210+AU1210+AW1210)</f>
        <v>0</v>
      </c>
      <c r="AZ1210" s="96">
        <f t="shared" ref="AZ1210" si="3481">SUM(AT1210+AV1210+AX1210)</f>
        <v>0</v>
      </c>
      <c r="BA1210" s="96">
        <f t="shared" ref="BA1210" si="3482">SUM(AQ1210+AY1210)</f>
        <v>0</v>
      </c>
      <c r="BB1210" s="96">
        <f t="shared" ref="BB1210" si="3483">SUM(AR1210,AZ1210)</f>
        <v>0</v>
      </c>
    </row>
    <row r="1211" spans="1:54">
      <c r="B1211" s="13"/>
      <c r="C1211" s="13"/>
      <c r="D1211" s="13"/>
      <c r="E1211" s="21" t="s">
        <v>1622</v>
      </c>
      <c r="F1211" s="481" t="s">
        <v>943</v>
      </c>
      <c r="G1211" s="481" t="s">
        <v>1059</v>
      </c>
      <c r="H1211" s="270" t="s">
        <v>433</v>
      </c>
      <c r="I1211" s="54">
        <v>25</v>
      </c>
      <c r="J1211" s="101"/>
      <c r="K1211" s="54">
        <v>25</v>
      </c>
      <c r="L1211" s="162"/>
      <c r="M1211" s="54"/>
      <c r="N1211" s="162"/>
      <c r="O1211" s="54"/>
      <c r="P1211" s="101"/>
      <c r="Q1211" s="96">
        <f t="shared" si="3121"/>
        <v>0</v>
      </c>
      <c r="R1211" s="337">
        <f t="shared" si="3122"/>
        <v>0</v>
      </c>
      <c r="S1211" s="96"/>
      <c r="T1211" s="96">
        <f t="shared" si="3123"/>
        <v>0</v>
      </c>
      <c r="U1211" s="96"/>
      <c r="V1211" s="176">
        <f t="shared" si="3124"/>
        <v>0</v>
      </c>
      <c r="W1211" s="206"/>
      <c r="X1211" s="205">
        <f t="shared" si="3125"/>
        <v>0</v>
      </c>
      <c r="Y1211" s="188">
        <f t="shared" si="3126"/>
        <v>0</v>
      </c>
      <c r="Z1211" s="176">
        <f t="shared" si="3127"/>
        <v>0</v>
      </c>
      <c r="AA1211" s="206"/>
      <c r="AB1211" s="205">
        <f t="shared" si="3128"/>
        <v>0</v>
      </c>
      <c r="AC1211" s="206"/>
      <c r="AD1211" s="176">
        <f t="shared" si="3129"/>
        <v>0</v>
      </c>
      <c r="AE1211" s="206"/>
      <c r="AF1211" s="205">
        <f t="shared" si="3130"/>
        <v>0</v>
      </c>
      <c r="AG1211" s="188">
        <f t="shared" si="3131"/>
        <v>0</v>
      </c>
      <c r="AH1211" s="96">
        <f t="shared" si="3132"/>
        <v>0</v>
      </c>
      <c r="AI1211" s="96">
        <f t="shared" si="3133"/>
        <v>0</v>
      </c>
      <c r="AJ1211" s="176">
        <f t="shared" si="3134"/>
        <v>0</v>
      </c>
      <c r="AK1211" s="206"/>
      <c r="AL1211" s="176">
        <f t="shared" si="3135"/>
        <v>0</v>
      </c>
      <c r="AM1211" s="243"/>
      <c r="AN1211" s="176">
        <f t="shared" si="3136"/>
        <v>0</v>
      </c>
      <c r="AO1211" s="206"/>
      <c r="AP1211" s="205">
        <f t="shared" si="3249"/>
        <v>0</v>
      </c>
      <c r="AQ1211" s="188">
        <f t="shared" si="3137"/>
        <v>0</v>
      </c>
      <c r="AR1211" s="96">
        <f t="shared" si="3138"/>
        <v>0</v>
      </c>
      <c r="AS1211" s="96"/>
      <c r="AT1211" s="176">
        <f t="shared" si="3139"/>
        <v>0</v>
      </c>
      <c r="AU1211" s="206"/>
      <c r="AV1211" s="176">
        <f t="shared" si="3140"/>
        <v>0</v>
      </c>
      <c r="AW1211" s="206"/>
      <c r="AX1211" s="205">
        <f t="shared" si="3141"/>
        <v>0</v>
      </c>
      <c r="AY1211" s="188">
        <f t="shared" si="3142"/>
        <v>0</v>
      </c>
      <c r="AZ1211" s="96">
        <f t="shared" si="3143"/>
        <v>0</v>
      </c>
      <c r="BA1211" s="96">
        <f t="shared" si="3144"/>
        <v>0</v>
      </c>
      <c r="BB1211" s="96">
        <f t="shared" si="3145"/>
        <v>0</v>
      </c>
    </row>
    <row r="1212" spans="1:54">
      <c r="B1212" s="13"/>
      <c r="C1212" s="13"/>
      <c r="D1212" s="13"/>
      <c r="E1212" s="21" t="s">
        <v>2324</v>
      </c>
      <c r="F1212" s="481" t="s">
        <v>943</v>
      </c>
      <c r="G1212" s="22" t="s">
        <v>1154</v>
      </c>
      <c r="H1212" s="264" t="s">
        <v>362</v>
      </c>
      <c r="I1212" s="54">
        <v>16.14</v>
      </c>
      <c r="J1212" s="101"/>
      <c r="K1212" s="54">
        <v>16.14</v>
      </c>
      <c r="L1212" s="162"/>
      <c r="M1212" s="54"/>
      <c r="N1212" s="162"/>
      <c r="O1212" s="54"/>
      <c r="P1212" s="101"/>
      <c r="Q1212" s="96">
        <f t="shared" si="3121"/>
        <v>0</v>
      </c>
      <c r="R1212" s="337">
        <f t="shared" si="3122"/>
        <v>0</v>
      </c>
      <c r="S1212" s="96"/>
      <c r="T1212" s="96">
        <f t="shared" si="3123"/>
        <v>0</v>
      </c>
      <c r="U1212" s="96"/>
      <c r="V1212" s="176">
        <f t="shared" si="3124"/>
        <v>0</v>
      </c>
      <c r="W1212" s="206"/>
      <c r="X1212" s="205">
        <f t="shared" si="3125"/>
        <v>0</v>
      </c>
      <c r="Y1212" s="188">
        <f t="shared" si="3126"/>
        <v>0</v>
      </c>
      <c r="Z1212" s="176">
        <f t="shared" si="3127"/>
        <v>0</v>
      </c>
      <c r="AA1212" s="206"/>
      <c r="AB1212" s="205">
        <f t="shared" si="3128"/>
        <v>0</v>
      </c>
      <c r="AC1212" s="206"/>
      <c r="AD1212" s="176">
        <f t="shared" si="3129"/>
        <v>0</v>
      </c>
      <c r="AE1212" s="206"/>
      <c r="AF1212" s="205">
        <f t="shared" si="3130"/>
        <v>0</v>
      </c>
      <c r="AG1212" s="188">
        <f t="shared" si="3131"/>
        <v>0</v>
      </c>
      <c r="AH1212" s="96">
        <f t="shared" si="3132"/>
        <v>0</v>
      </c>
      <c r="AI1212" s="96">
        <f t="shared" si="3133"/>
        <v>0</v>
      </c>
      <c r="AJ1212" s="176">
        <f t="shared" si="3134"/>
        <v>0</v>
      </c>
      <c r="AK1212" s="206"/>
      <c r="AL1212" s="176">
        <f t="shared" si="3135"/>
        <v>0</v>
      </c>
      <c r="AM1212" s="243"/>
      <c r="AN1212" s="176">
        <f t="shared" si="3136"/>
        <v>0</v>
      </c>
      <c r="AO1212" s="206"/>
      <c r="AP1212" s="205">
        <f t="shared" si="3249"/>
        <v>0</v>
      </c>
      <c r="AQ1212" s="188">
        <f t="shared" si="3137"/>
        <v>0</v>
      </c>
      <c r="AR1212" s="96">
        <f t="shared" si="3138"/>
        <v>0</v>
      </c>
      <c r="AS1212" s="96"/>
      <c r="AT1212" s="176">
        <f t="shared" si="3139"/>
        <v>0</v>
      </c>
      <c r="AU1212" s="206"/>
      <c r="AV1212" s="176">
        <f t="shared" si="3140"/>
        <v>0</v>
      </c>
      <c r="AW1212" s="206"/>
      <c r="AX1212" s="205">
        <f t="shared" si="3141"/>
        <v>0</v>
      </c>
      <c r="AY1212" s="188">
        <f t="shared" si="3142"/>
        <v>0</v>
      </c>
      <c r="AZ1212" s="96">
        <f t="shared" si="3143"/>
        <v>0</v>
      </c>
      <c r="BA1212" s="96">
        <f t="shared" si="3144"/>
        <v>0</v>
      </c>
      <c r="BB1212" s="96">
        <f t="shared" si="3145"/>
        <v>0</v>
      </c>
    </row>
    <row r="1213" spans="1:54">
      <c r="A1213" s="492">
        <v>747</v>
      </c>
      <c r="B1213" s="13"/>
      <c r="C1213" s="13"/>
      <c r="D1213" s="13"/>
      <c r="E1213" s="21" t="s">
        <v>1084</v>
      </c>
      <c r="F1213" s="22" t="s">
        <v>944</v>
      </c>
      <c r="G1213" s="481" t="s">
        <v>1059</v>
      </c>
      <c r="H1213" s="270" t="s">
        <v>363</v>
      </c>
      <c r="I1213" s="54">
        <v>15.04</v>
      </c>
      <c r="J1213" s="101"/>
      <c r="K1213" s="54">
        <v>15.04</v>
      </c>
      <c r="L1213" s="162"/>
      <c r="M1213" s="54"/>
      <c r="N1213" s="162"/>
      <c r="O1213" s="54"/>
      <c r="P1213" s="101"/>
      <c r="Q1213" s="96">
        <f t="shared" si="3121"/>
        <v>0</v>
      </c>
      <c r="R1213" s="337">
        <f t="shared" si="3122"/>
        <v>0</v>
      </c>
      <c r="S1213" s="96"/>
      <c r="T1213" s="96">
        <f t="shared" si="3123"/>
        <v>0</v>
      </c>
      <c r="U1213" s="96"/>
      <c r="V1213" s="176">
        <f t="shared" si="3124"/>
        <v>0</v>
      </c>
      <c r="W1213" s="206"/>
      <c r="X1213" s="205">
        <f t="shared" si="3125"/>
        <v>0</v>
      </c>
      <c r="Y1213" s="188">
        <f t="shared" si="3126"/>
        <v>0</v>
      </c>
      <c r="Z1213" s="176">
        <f t="shared" si="3127"/>
        <v>0</v>
      </c>
      <c r="AA1213" s="206"/>
      <c r="AB1213" s="205">
        <f t="shared" si="3128"/>
        <v>0</v>
      </c>
      <c r="AC1213" s="206"/>
      <c r="AD1213" s="176">
        <f t="shared" si="3129"/>
        <v>0</v>
      </c>
      <c r="AE1213" s="206"/>
      <c r="AF1213" s="205">
        <f t="shared" si="3130"/>
        <v>0</v>
      </c>
      <c r="AG1213" s="188">
        <f t="shared" si="3131"/>
        <v>0</v>
      </c>
      <c r="AH1213" s="96">
        <f t="shared" si="3132"/>
        <v>0</v>
      </c>
      <c r="AI1213" s="96">
        <f t="shared" si="3133"/>
        <v>0</v>
      </c>
      <c r="AJ1213" s="176">
        <f t="shared" si="3134"/>
        <v>0</v>
      </c>
      <c r="AK1213" s="206"/>
      <c r="AL1213" s="176">
        <f t="shared" si="3135"/>
        <v>0</v>
      </c>
      <c r="AM1213" s="243"/>
      <c r="AN1213" s="176">
        <f t="shared" si="3136"/>
        <v>0</v>
      </c>
      <c r="AO1213" s="206"/>
      <c r="AP1213" s="205">
        <f t="shared" si="3249"/>
        <v>0</v>
      </c>
      <c r="AQ1213" s="188">
        <f t="shared" si="3137"/>
        <v>0</v>
      </c>
      <c r="AR1213" s="96">
        <f t="shared" si="3138"/>
        <v>0</v>
      </c>
      <c r="AS1213" s="96"/>
      <c r="AT1213" s="176">
        <f t="shared" si="3139"/>
        <v>0</v>
      </c>
      <c r="AU1213" s="206"/>
      <c r="AV1213" s="176">
        <f t="shared" si="3140"/>
        <v>0</v>
      </c>
      <c r="AW1213" s="206"/>
      <c r="AX1213" s="205">
        <f t="shared" si="3141"/>
        <v>0</v>
      </c>
      <c r="AY1213" s="188">
        <f t="shared" si="3142"/>
        <v>0</v>
      </c>
      <c r="AZ1213" s="96">
        <f t="shared" si="3143"/>
        <v>0</v>
      </c>
      <c r="BA1213" s="96">
        <f t="shared" si="3144"/>
        <v>0</v>
      </c>
      <c r="BB1213" s="96">
        <f t="shared" si="3145"/>
        <v>0</v>
      </c>
    </row>
    <row r="1214" spans="1:54">
      <c r="B1214" s="13"/>
      <c r="C1214" s="13"/>
      <c r="D1214" s="13"/>
      <c r="E1214" s="21" t="s">
        <v>1305</v>
      </c>
      <c r="F1214" s="424" t="s">
        <v>944</v>
      </c>
      <c r="G1214" s="481" t="s">
        <v>1059</v>
      </c>
      <c r="H1214" s="270" t="s">
        <v>360</v>
      </c>
      <c r="I1214" s="54">
        <v>15.38</v>
      </c>
      <c r="J1214" s="101"/>
      <c r="K1214" s="54">
        <v>15.38</v>
      </c>
      <c r="L1214" s="162"/>
      <c r="M1214" s="54"/>
      <c r="N1214" s="162"/>
      <c r="O1214" s="54"/>
      <c r="P1214" s="101"/>
      <c r="Q1214" s="96">
        <f t="shared" si="3121"/>
        <v>0</v>
      </c>
      <c r="R1214" s="337">
        <f t="shared" si="3122"/>
        <v>0</v>
      </c>
      <c r="S1214" s="96"/>
      <c r="T1214" s="96">
        <f t="shared" si="3123"/>
        <v>0</v>
      </c>
      <c r="U1214" s="96"/>
      <c r="V1214" s="176">
        <f t="shared" si="3124"/>
        <v>0</v>
      </c>
      <c r="W1214" s="206"/>
      <c r="X1214" s="205">
        <f t="shared" si="3125"/>
        <v>0</v>
      </c>
      <c r="Y1214" s="188">
        <f t="shared" si="3126"/>
        <v>0</v>
      </c>
      <c r="Z1214" s="176">
        <f t="shared" si="3127"/>
        <v>0</v>
      </c>
      <c r="AA1214" s="206"/>
      <c r="AB1214" s="205">
        <f t="shared" si="3128"/>
        <v>0</v>
      </c>
      <c r="AC1214" s="206"/>
      <c r="AD1214" s="176">
        <f t="shared" si="3129"/>
        <v>0</v>
      </c>
      <c r="AE1214" s="206"/>
      <c r="AF1214" s="205">
        <f t="shared" si="3130"/>
        <v>0</v>
      </c>
      <c r="AG1214" s="188">
        <f t="shared" si="3131"/>
        <v>0</v>
      </c>
      <c r="AH1214" s="96">
        <f t="shared" si="3132"/>
        <v>0</v>
      </c>
      <c r="AI1214" s="96">
        <f t="shared" si="3133"/>
        <v>0</v>
      </c>
      <c r="AJ1214" s="176">
        <f t="shared" si="3134"/>
        <v>0</v>
      </c>
      <c r="AK1214" s="206"/>
      <c r="AL1214" s="176">
        <f t="shared" si="3135"/>
        <v>0</v>
      </c>
      <c r="AM1214" s="243"/>
      <c r="AN1214" s="176">
        <f t="shared" si="3136"/>
        <v>0</v>
      </c>
      <c r="AO1214" s="206"/>
      <c r="AP1214" s="205">
        <f t="shared" si="3249"/>
        <v>0</v>
      </c>
      <c r="AQ1214" s="188">
        <f t="shared" si="3137"/>
        <v>0</v>
      </c>
      <c r="AR1214" s="96">
        <f t="shared" si="3138"/>
        <v>0</v>
      </c>
      <c r="AS1214" s="96"/>
      <c r="AT1214" s="176">
        <f t="shared" si="3139"/>
        <v>0</v>
      </c>
      <c r="AU1214" s="206"/>
      <c r="AV1214" s="176">
        <f t="shared" si="3140"/>
        <v>0</v>
      </c>
      <c r="AW1214" s="206"/>
      <c r="AX1214" s="205">
        <f t="shared" si="3141"/>
        <v>0</v>
      </c>
      <c r="AY1214" s="188">
        <f t="shared" si="3142"/>
        <v>0</v>
      </c>
      <c r="AZ1214" s="96">
        <f t="shared" si="3143"/>
        <v>0</v>
      </c>
      <c r="BA1214" s="96">
        <f t="shared" si="3144"/>
        <v>0</v>
      </c>
      <c r="BB1214" s="96">
        <f t="shared" si="3145"/>
        <v>0</v>
      </c>
    </row>
    <row r="1215" spans="1:54">
      <c r="A1215" s="492">
        <v>748</v>
      </c>
      <c r="B1215" s="13"/>
      <c r="C1215" s="13"/>
      <c r="D1215" s="13"/>
      <c r="E1215" s="21" t="s">
        <v>1461</v>
      </c>
      <c r="F1215" s="22" t="s">
        <v>944</v>
      </c>
      <c r="G1215" s="481" t="s">
        <v>1059</v>
      </c>
      <c r="H1215" s="270" t="s">
        <v>363</v>
      </c>
      <c r="I1215" s="54">
        <v>16.510000000000002</v>
      </c>
      <c r="J1215" s="101"/>
      <c r="K1215" s="54">
        <v>16.510000000000002</v>
      </c>
      <c r="L1215" s="162"/>
      <c r="M1215" s="54"/>
      <c r="N1215" s="162"/>
      <c r="O1215" s="54"/>
      <c r="P1215" s="101"/>
      <c r="Q1215" s="96">
        <f t="shared" si="3121"/>
        <v>0</v>
      </c>
      <c r="R1215" s="337">
        <f t="shared" si="3122"/>
        <v>0</v>
      </c>
      <c r="S1215" s="96"/>
      <c r="T1215" s="96">
        <f t="shared" si="3123"/>
        <v>0</v>
      </c>
      <c r="U1215" s="96"/>
      <c r="V1215" s="176">
        <f t="shared" si="3124"/>
        <v>0</v>
      </c>
      <c r="W1215" s="206"/>
      <c r="X1215" s="205">
        <f t="shared" si="3125"/>
        <v>0</v>
      </c>
      <c r="Y1215" s="188">
        <f t="shared" si="3126"/>
        <v>0</v>
      </c>
      <c r="Z1215" s="176">
        <f t="shared" si="3127"/>
        <v>0</v>
      </c>
      <c r="AA1215" s="206"/>
      <c r="AB1215" s="205">
        <f t="shared" si="3128"/>
        <v>0</v>
      </c>
      <c r="AC1215" s="206"/>
      <c r="AD1215" s="176">
        <f t="shared" si="3129"/>
        <v>0</v>
      </c>
      <c r="AE1215" s="206"/>
      <c r="AF1215" s="205">
        <f t="shared" si="3130"/>
        <v>0</v>
      </c>
      <c r="AG1215" s="188">
        <f t="shared" si="3131"/>
        <v>0</v>
      </c>
      <c r="AH1215" s="96">
        <f t="shared" si="3132"/>
        <v>0</v>
      </c>
      <c r="AI1215" s="96">
        <f t="shared" si="3133"/>
        <v>0</v>
      </c>
      <c r="AJ1215" s="176">
        <f t="shared" si="3134"/>
        <v>0</v>
      </c>
      <c r="AK1215" s="206"/>
      <c r="AL1215" s="176">
        <f t="shared" si="3135"/>
        <v>0</v>
      </c>
      <c r="AM1215" s="243"/>
      <c r="AN1215" s="176">
        <f t="shared" si="3136"/>
        <v>0</v>
      </c>
      <c r="AO1215" s="206"/>
      <c r="AP1215" s="205">
        <f t="shared" si="3249"/>
        <v>0</v>
      </c>
      <c r="AQ1215" s="188">
        <f t="shared" si="3137"/>
        <v>0</v>
      </c>
      <c r="AR1215" s="96">
        <f t="shared" si="3138"/>
        <v>0</v>
      </c>
      <c r="AS1215" s="96"/>
      <c r="AT1215" s="176">
        <f t="shared" si="3139"/>
        <v>0</v>
      </c>
      <c r="AU1215" s="206"/>
      <c r="AV1215" s="176">
        <f t="shared" si="3140"/>
        <v>0</v>
      </c>
      <c r="AW1215" s="206"/>
      <c r="AX1215" s="205">
        <f t="shared" si="3141"/>
        <v>0</v>
      </c>
      <c r="AY1215" s="188">
        <f t="shared" si="3142"/>
        <v>0</v>
      </c>
      <c r="AZ1215" s="96">
        <f t="shared" si="3143"/>
        <v>0</v>
      </c>
      <c r="BA1215" s="96">
        <f t="shared" si="3144"/>
        <v>0</v>
      </c>
      <c r="BB1215" s="96">
        <f t="shared" si="3145"/>
        <v>0</v>
      </c>
    </row>
    <row r="1216" spans="1:54">
      <c r="A1216" s="492">
        <v>750</v>
      </c>
      <c r="B1216" s="13"/>
      <c r="C1216" s="13"/>
      <c r="D1216" s="13"/>
      <c r="E1216" s="21" t="s">
        <v>1088</v>
      </c>
      <c r="F1216" s="424" t="s">
        <v>944</v>
      </c>
      <c r="G1216" s="424" t="s">
        <v>1059</v>
      </c>
      <c r="H1216" s="284" t="s">
        <v>359</v>
      </c>
      <c r="I1216" s="54">
        <v>16.39</v>
      </c>
      <c r="J1216" s="101"/>
      <c r="K1216" s="54">
        <v>16.39</v>
      </c>
      <c r="L1216" s="162"/>
      <c r="M1216" s="54"/>
      <c r="N1216" s="162"/>
      <c r="O1216" s="54"/>
      <c r="P1216" s="101"/>
      <c r="Q1216" s="96">
        <f t="shared" ref="Q1216" si="3484">SUM(AI1216+BA1216)</f>
        <v>0</v>
      </c>
      <c r="R1216" s="337">
        <f t="shared" ref="R1216" si="3485">SUM(AJ1216+BB1216)</f>
        <v>0</v>
      </c>
      <c r="S1216" s="96"/>
      <c r="T1216" s="96">
        <f t="shared" ref="T1216" si="3486">I1216*S1216*$T$2/1000</f>
        <v>0</v>
      </c>
      <c r="U1216" s="96"/>
      <c r="V1216" s="176">
        <f t="shared" ref="V1216" si="3487">I1216*U1216*$V$2/1000</f>
        <v>0</v>
      </c>
      <c r="W1216" s="206"/>
      <c r="X1216" s="205">
        <f t="shared" ref="X1216" si="3488">I1216*W1216*$X$2/1000</f>
        <v>0</v>
      </c>
      <c r="Y1216" s="188">
        <f t="shared" ref="Y1216" si="3489">SUM(S1216+U1216+W1216)</f>
        <v>0</v>
      </c>
      <c r="Z1216" s="176">
        <f t="shared" ref="Z1216" si="3490">SUM(T1216+V1216+X1216)</f>
        <v>0</v>
      </c>
      <c r="AA1216" s="206"/>
      <c r="AB1216" s="205">
        <f t="shared" ref="AB1216" si="3491">K1216*AA1216*$AB$2/1000</f>
        <v>0</v>
      </c>
      <c r="AC1216" s="206"/>
      <c r="AD1216" s="176">
        <f t="shared" ref="AD1216" si="3492">K1216*AC1216*$AD$2/1000</f>
        <v>0</v>
      </c>
      <c r="AE1216" s="206"/>
      <c r="AF1216" s="205">
        <f t="shared" ref="AF1216" si="3493">K1216*AE1216*$AF$2/1000</f>
        <v>0</v>
      </c>
      <c r="AG1216" s="188">
        <f t="shared" ref="AG1216" si="3494">SUM(AA1216+AC1216+AE1216)</f>
        <v>0</v>
      </c>
      <c r="AH1216" s="96">
        <f t="shared" ref="AH1216" si="3495">SUM(AB1216+AD1216+AF1216)</f>
        <v>0</v>
      </c>
      <c r="AI1216" s="96">
        <f t="shared" ref="AI1216" si="3496">SUM(Y1216+AG1216)</f>
        <v>0</v>
      </c>
      <c r="AJ1216" s="176">
        <f t="shared" ref="AJ1216" si="3497">SUM(Z1216,AH1216)</f>
        <v>0</v>
      </c>
      <c r="AK1216" s="206"/>
      <c r="AL1216" s="176">
        <f t="shared" ref="AL1216" si="3498">M1216*AK1216*$AL$2/1000</f>
        <v>0</v>
      </c>
      <c r="AM1216" s="243"/>
      <c r="AN1216" s="176">
        <f t="shared" ref="AN1216" si="3499">M1216*AM1216*$AN$2/1000</f>
        <v>0</v>
      </c>
      <c r="AO1216" s="206"/>
      <c r="AP1216" s="205">
        <f t="shared" ref="AP1216" si="3500">M1216*AO1216*$AP$2/1000</f>
        <v>0</v>
      </c>
      <c r="AQ1216" s="188">
        <f t="shared" ref="AQ1216" si="3501">SUM(AK1216+AM1216+AO1216)</f>
        <v>0</v>
      </c>
      <c r="AR1216" s="96">
        <f t="shared" ref="AR1216" si="3502">SUM(AL1216+AN1216+AP1216)</f>
        <v>0</v>
      </c>
      <c r="AS1216" s="96"/>
      <c r="AT1216" s="176">
        <f t="shared" ref="AT1216" si="3503">O1216*AS1216*$AT$2/1000</f>
        <v>0</v>
      </c>
      <c r="AU1216" s="206"/>
      <c r="AV1216" s="176">
        <f t="shared" ref="AV1216" si="3504">O1216*AU1216*$AV$2/1000</f>
        <v>0</v>
      </c>
      <c r="AW1216" s="206"/>
      <c r="AX1216" s="205">
        <f t="shared" ref="AX1216" si="3505">O1216*AW1216*$AX$2/1000</f>
        <v>0</v>
      </c>
      <c r="AY1216" s="188">
        <f t="shared" ref="AY1216" si="3506">SUM(AS1216+AU1216+AW1216)</f>
        <v>0</v>
      </c>
      <c r="AZ1216" s="96">
        <f t="shared" ref="AZ1216" si="3507">SUM(AT1216+AV1216+AX1216)</f>
        <v>0</v>
      </c>
      <c r="BA1216" s="96">
        <f t="shared" ref="BA1216" si="3508">SUM(AQ1216+AY1216)</f>
        <v>0</v>
      </c>
      <c r="BB1216" s="96">
        <f t="shared" ref="BB1216" si="3509">SUM(AR1216,AZ1216)</f>
        <v>0</v>
      </c>
    </row>
    <row r="1217" spans="1:54">
      <c r="A1217" s="492">
        <v>750</v>
      </c>
      <c r="B1217" s="13"/>
      <c r="C1217" s="13"/>
      <c r="D1217" s="13"/>
      <c r="E1217" s="21" t="s">
        <v>2244</v>
      </c>
      <c r="F1217" s="424" t="s">
        <v>944</v>
      </c>
      <c r="G1217" s="424" t="s">
        <v>1059</v>
      </c>
      <c r="H1217" s="284" t="s">
        <v>433</v>
      </c>
      <c r="I1217" s="54">
        <v>16.190000000000001</v>
      </c>
      <c r="J1217" s="101"/>
      <c r="K1217" s="54">
        <v>16.190000000000001</v>
      </c>
      <c r="L1217" s="162"/>
      <c r="M1217" s="54"/>
      <c r="N1217" s="162"/>
      <c r="O1217" s="54"/>
      <c r="P1217" s="101"/>
      <c r="Q1217" s="96">
        <f t="shared" si="3121"/>
        <v>1.5</v>
      </c>
      <c r="R1217" s="337">
        <f t="shared" si="3122"/>
        <v>35.014535559000009</v>
      </c>
      <c r="S1217" s="96">
        <v>0.99</v>
      </c>
      <c r="T1217" s="96">
        <f t="shared" si="3123"/>
        <v>23.138966565000008</v>
      </c>
      <c r="U1217" s="96">
        <v>0.51</v>
      </c>
      <c r="V1217" s="176">
        <f t="shared" si="3124"/>
        <v>11.875568994000004</v>
      </c>
      <c r="W1217" s="206"/>
      <c r="X1217" s="205">
        <f t="shared" si="3125"/>
        <v>0</v>
      </c>
      <c r="Y1217" s="188">
        <f t="shared" si="3126"/>
        <v>1.5</v>
      </c>
      <c r="Z1217" s="176">
        <f t="shared" si="3127"/>
        <v>35.014535559000009</v>
      </c>
      <c r="AA1217" s="206"/>
      <c r="AB1217" s="205">
        <f t="shared" si="3128"/>
        <v>0</v>
      </c>
      <c r="AC1217" s="206"/>
      <c r="AD1217" s="176">
        <f t="shared" si="3129"/>
        <v>0</v>
      </c>
      <c r="AE1217" s="206"/>
      <c r="AF1217" s="205">
        <f t="shared" si="3130"/>
        <v>0</v>
      </c>
      <c r="AG1217" s="188">
        <f t="shared" si="3131"/>
        <v>0</v>
      </c>
      <c r="AH1217" s="96">
        <f t="shared" si="3132"/>
        <v>0</v>
      </c>
      <c r="AI1217" s="96">
        <f t="shared" si="3133"/>
        <v>1.5</v>
      </c>
      <c r="AJ1217" s="176">
        <f t="shared" si="3134"/>
        <v>35.014535559000009</v>
      </c>
      <c r="AK1217" s="206"/>
      <c r="AL1217" s="176">
        <f t="shared" si="3135"/>
        <v>0</v>
      </c>
      <c r="AM1217" s="243"/>
      <c r="AN1217" s="176">
        <f t="shared" si="3136"/>
        <v>0</v>
      </c>
      <c r="AO1217" s="206"/>
      <c r="AP1217" s="205">
        <f t="shared" si="3249"/>
        <v>0</v>
      </c>
      <c r="AQ1217" s="188">
        <f t="shared" si="3137"/>
        <v>0</v>
      </c>
      <c r="AR1217" s="96">
        <f t="shared" si="3138"/>
        <v>0</v>
      </c>
      <c r="AS1217" s="96"/>
      <c r="AT1217" s="176">
        <f t="shared" si="3139"/>
        <v>0</v>
      </c>
      <c r="AU1217" s="206"/>
      <c r="AV1217" s="176">
        <f t="shared" si="3140"/>
        <v>0</v>
      </c>
      <c r="AW1217" s="206"/>
      <c r="AX1217" s="205">
        <f t="shared" si="3141"/>
        <v>0</v>
      </c>
      <c r="AY1217" s="188">
        <f t="shared" si="3142"/>
        <v>0</v>
      </c>
      <c r="AZ1217" s="96">
        <f t="shared" si="3143"/>
        <v>0</v>
      </c>
      <c r="BA1217" s="96">
        <f t="shared" si="3144"/>
        <v>0</v>
      </c>
      <c r="BB1217" s="96">
        <f t="shared" si="3145"/>
        <v>0</v>
      </c>
    </row>
    <row r="1218" spans="1:54" ht="12" customHeight="1">
      <c r="A1218" s="492">
        <v>749</v>
      </c>
      <c r="B1218" s="13"/>
      <c r="C1218" s="303"/>
      <c r="D1218" s="13"/>
      <c r="E1218" s="89" t="s">
        <v>2625</v>
      </c>
      <c r="F1218" s="424" t="s">
        <v>944</v>
      </c>
      <c r="G1218" s="424" t="s">
        <v>1059</v>
      </c>
      <c r="H1218" s="284" t="s">
        <v>433</v>
      </c>
      <c r="I1218" s="75"/>
      <c r="J1218" s="167"/>
      <c r="K1218" s="75">
        <v>16.190000000000001</v>
      </c>
      <c r="L1218" s="167"/>
      <c r="M1218" s="75"/>
      <c r="N1218" s="167"/>
      <c r="O1218" s="75"/>
      <c r="P1218" s="167"/>
      <c r="Q1218" s="130">
        <f t="shared" si="3121"/>
        <v>1</v>
      </c>
      <c r="R1218" s="347">
        <f t="shared" si="3122"/>
        <v>23.973504400000003</v>
      </c>
      <c r="S1218" s="130"/>
      <c r="T1218" s="130">
        <f t="shared" si="3123"/>
        <v>0</v>
      </c>
      <c r="U1218" s="130"/>
      <c r="V1218" s="130">
        <f t="shared" si="3124"/>
        <v>0</v>
      </c>
      <c r="W1218" s="130"/>
      <c r="X1218" s="130">
        <f t="shared" si="3125"/>
        <v>0</v>
      </c>
      <c r="Y1218" s="130">
        <f t="shared" si="3126"/>
        <v>0</v>
      </c>
      <c r="Z1218" s="130">
        <f t="shared" si="3127"/>
        <v>0</v>
      </c>
      <c r="AA1218" s="130">
        <v>1</v>
      </c>
      <c r="AB1218" s="130">
        <f t="shared" si="3128"/>
        <v>23.973504400000003</v>
      </c>
      <c r="AC1218" s="130"/>
      <c r="AD1218" s="130">
        <f t="shared" si="3129"/>
        <v>0</v>
      </c>
      <c r="AE1218" s="130"/>
      <c r="AF1218" s="130">
        <f t="shared" si="3130"/>
        <v>0</v>
      </c>
      <c r="AG1218" s="130">
        <f t="shared" si="3131"/>
        <v>1</v>
      </c>
      <c r="AH1218" s="130">
        <f t="shared" si="3132"/>
        <v>23.973504400000003</v>
      </c>
      <c r="AI1218" s="130">
        <f t="shared" si="3133"/>
        <v>1</v>
      </c>
      <c r="AJ1218" s="130">
        <f t="shared" si="3134"/>
        <v>23.973504400000003</v>
      </c>
      <c r="AK1218" s="130"/>
      <c r="AL1218" s="130">
        <f t="shared" si="3135"/>
        <v>0</v>
      </c>
      <c r="AM1218" s="130"/>
      <c r="AN1218" s="130">
        <f t="shared" si="3136"/>
        <v>0</v>
      </c>
      <c r="AO1218" s="130"/>
      <c r="AP1218" s="130">
        <f t="shared" si="3249"/>
        <v>0</v>
      </c>
      <c r="AQ1218" s="130">
        <f t="shared" si="3137"/>
        <v>0</v>
      </c>
      <c r="AR1218" s="130">
        <f t="shared" si="3138"/>
        <v>0</v>
      </c>
      <c r="AS1218" s="130"/>
      <c r="AT1218" s="130">
        <f t="shared" si="3139"/>
        <v>0</v>
      </c>
      <c r="AU1218" s="130"/>
      <c r="AV1218" s="130">
        <f t="shared" si="3140"/>
        <v>0</v>
      </c>
      <c r="AW1218" s="130"/>
      <c r="AX1218" s="130">
        <f t="shared" si="3141"/>
        <v>0</v>
      </c>
      <c r="AY1218" s="130">
        <f t="shared" si="3142"/>
        <v>0</v>
      </c>
      <c r="AZ1218" s="130">
        <f t="shared" si="3143"/>
        <v>0</v>
      </c>
      <c r="BA1218" s="130">
        <f t="shared" si="3144"/>
        <v>0</v>
      </c>
      <c r="BB1218" s="130">
        <f t="shared" si="3145"/>
        <v>0</v>
      </c>
    </row>
    <row r="1219" spans="1:54" s="6" customFormat="1">
      <c r="A1219" s="492">
        <v>751</v>
      </c>
      <c r="B1219" s="14"/>
      <c r="C1219" s="39"/>
      <c r="D1219" s="14"/>
      <c r="E1219" s="16" t="s">
        <v>1387</v>
      </c>
      <c r="F1219" s="44" t="s">
        <v>944</v>
      </c>
      <c r="G1219" s="44" t="s">
        <v>1059</v>
      </c>
      <c r="H1219" s="264" t="s">
        <v>433</v>
      </c>
      <c r="I1219" s="232">
        <v>16.510000000000002</v>
      </c>
      <c r="J1219" s="239"/>
      <c r="K1219" s="232">
        <v>16.510000000000002</v>
      </c>
      <c r="L1219" s="239"/>
      <c r="M1219" s="232"/>
      <c r="N1219" s="239"/>
      <c r="O1219" s="232"/>
      <c r="P1219" s="239"/>
      <c r="Q1219" s="95">
        <f t="shared" si="3121"/>
        <v>0</v>
      </c>
      <c r="R1219" s="335">
        <f t="shared" si="3122"/>
        <v>0</v>
      </c>
      <c r="S1219" s="95"/>
      <c r="T1219" s="95">
        <f t="shared" si="3123"/>
        <v>0</v>
      </c>
      <c r="U1219" s="95"/>
      <c r="V1219" s="95">
        <f t="shared" si="3124"/>
        <v>0</v>
      </c>
      <c r="W1219" s="95"/>
      <c r="X1219" s="95">
        <f t="shared" si="3125"/>
        <v>0</v>
      </c>
      <c r="Y1219" s="95">
        <f t="shared" si="3126"/>
        <v>0</v>
      </c>
      <c r="Z1219" s="95">
        <f t="shared" si="3127"/>
        <v>0</v>
      </c>
      <c r="AA1219" s="95"/>
      <c r="AB1219" s="95">
        <f t="shared" si="3128"/>
        <v>0</v>
      </c>
      <c r="AC1219" s="95"/>
      <c r="AD1219" s="95">
        <f t="shared" si="3129"/>
        <v>0</v>
      </c>
      <c r="AE1219" s="95"/>
      <c r="AF1219" s="96">
        <f t="shared" si="3130"/>
        <v>0</v>
      </c>
      <c r="AG1219" s="95">
        <f t="shared" si="3131"/>
        <v>0</v>
      </c>
      <c r="AH1219" s="95">
        <f t="shared" si="3132"/>
        <v>0</v>
      </c>
      <c r="AI1219" s="95">
        <f t="shared" si="3133"/>
        <v>0</v>
      </c>
      <c r="AJ1219" s="95">
        <f t="shared" si="3134"/>
        <v>0</v>
      </c>
      <c r="AK1219" s="95"/>
      <c r="AL1219" s="95">
        <f t="shared" si="3135"/>
        <v>0</v>
      </c>
      <c r="AM1219" s="95"/>
      <c r="AN1219" s="95">
        <f t="shared" si="3136"/>
        <v>0</v>
      </c>
      <c r="AO1219" s="95"/>
      <c r="AP1219" s="95">
        <f t="shared" si="3249"/>
        <v>0</v>
      </c>
      <c r="AQ1219" s="95">
        <f t="shared" si="3137"/>
        <v>0</v>
      </c>
      <c r="AR1219" s="95">
        <f t="shared" si="3138"/>
        <v>0</v>
      </c>
      <c r="AS1219" s="95"/>
      <c r="AT1219" s="95">
        <f t="shared" si="3139"/>
        <v>0</v>
      </c>
      <c r="AU1219" s="95"/>
      <c r="AV1219" s="95">
        <f t="shared" si="3140"/>
        <v>0</v>
      </c>
      <c r="AW1219" s="95"/>
      <c r="AX1219" s="95">
        <f t="shared" si="3141"/>
        <v>0</v>
      </c>
      <c r="AY1219" s="95">
        <f t="shared" si="3142"/>
        <v>0</v>
      </c>
      <c r="AZ1219" s="95">
        <f t="shared" si="3143"/>
        <v>0</v>
      </c>
      <c r="BA1219" s="95">
        <f t="shared" si="3144"/>
        <v>0</v>
      </c>
      <c r="BB1219" s="95">
        <f t="shared" si="3145"/>
        <v>0</v>
      </c>
    </row>
    <row r="1220" spans="1:54" ht="12" customHeight="1">
      <c r="A1220" s="492">
        <v>749</v>
      </c>
      <c r="B1220" s="13"/>
      <c r="C1220" s="303"/>
      <c r="D1220" s="24"/>
      <c r="E1220" s="89" t="s">
        <v>1477</v>
      </c>
      <c r="F1220" s="424" t="s">
        <v>944</v>
      </c>
      <c r="G1220" s="424" t="s">
        <v>1059</v>
      </c>
      <c r="H1220" s="284" t="s">
        <v>433</v>
      </c>
      <c r="I1220" s="75">
        <v>21.51</v>
      </c>
      <c r="J1220" s="167"/>
      <c r="K1220" s="75">
        <v>21.51</v>
      </c>
      <c r="L1220" s="167"/>
      <c r="M1220" s="75"/>
      <c r="N1220" s="167"/>
      <c r="O1220" s="75"/>
      <c r="P1220" s="167"/>
      <c r="Q1220" s="130">
        <f t="shared" si="3121"/>
        <v>1</v>
      </c>
      <c r="R1220" s="347">
        <f t="shared" si="3122"/>
        <v>31.043636388000003</v>
      </c>
      <c r="S1220" s="130">
        <v>0.92</v>
      </c>
      <c r="T1220" s="130">
        <f t="shared" si="3123"/>
        <v>28.568678580000004</v>
      </c>
      <c r="U1220" s="130">
        <v>0.08</v>
      </c>
      <c r="V1220" s="130">
        <f t="shared" si="3124"/>
        <v>2.4749578080000001</v>
      </c>
      <c r="W1220" s="130"/>
      <c r="X1220" s="130">
        <f t="shared" si="3125"/>
        <v>0</v>
      </c>
      <c r="Y1220" s="130">
        <f t="shared" si="3126"/>
        <v>1</v>
      </c>
      <c r="Z1220" s="130">
        <f t="shared" si="3127"/>
        <v>31.043636388000003</v>
      </c>
      <c r="AA1220" s="130"/>
      <c r="AB1220" s="130">
        <f t="shared" si="3128"/>
        <v>0</v>
      </c>
      <c r="AC1220" s="130"/>
      <c r="AD1220" s="130">
        <f t="shared" si="3129"/>
        <v>0</v>
      </c>
      <c r="AE1220" s="130"/>
      <c r="AF1220" s="130">
        <f t="shared" si="3130"/>
        <v>0</v>
      </c>
      <c r="AG1220" s="130">
        <f t="shared" si="3131"/>
        <v>0</v>
      </c>
      <c r="AH1220" s="130">
        <f t="shared" si="3132"/>
        <v>0</v>
      </c>
      <c r="AI1220" s="130">
        <f t="shared" si="3133"/>
        <v>1</v>
      </c>
      <c r="AJ1220" s="130">
        <f t="shared" si="3134"/>
        <v>31.043636388000003</v>
      </c>
      <c r="AK1220" s="130"/>
      <c r="AL1220" s="130">
        <f t="shared" si="3135"/>
        <v>0</v>
      </c>
      <c r="AM1220" s="130"/>
      <c r="AN1220" s="130">
        <f t="shared" si="3136"/>
        <v>0</v>
      </c>
      <c r="AO1220" s="130"/>
      <c r="AP1220" s="130">
        <f t="shared" si="3249"/>
        <v>0</v>
      </c>
      <c r="AQ1220" s="130">
        <f t="shared" si="3137"/>
        <v>0</v>
      </c>
      <c r="AR1220" s="130">
        <f t="shared" si="3138"/>
        <v>0</v>
      </c>
      <c r="AS1220" s="130"/>
      <c r="AT1220" s="130">
        <f t="shared" si="3139"/>
        <v>0</v>
      </c>
      <c r="AU1220" s="130"/>
      <c r="AV1220" s="130">
        <f t="shared" si="3140"/>
        <v>0</v>
      </c>
      <c r="AW1220" s="130"/>
      <c r="AX1220" s="130">
        <f t="shared" si="3141"/>
        <v>0</v>
      </c>
      <c r="AY1220" s="130">
        <f t="shared" si="3142"/>
        <v>0</v>
      </c>
      <c r="AZ1220" s="130">
        <f t="shared" si="3143"/>
        <v>0</v>
      </c>
      <c r="BA1220" s="130">
        <f t="shared" si="3144"/>
        <v>0</v>
      </c>
      <c r="BB1220" s="130">
        <f t="shared" si="3145"/>
        <v>0</v>
      </c>
    </row>
    <row r="1221" spans="1:54">
      <c r="B1221" s="13"/>
      <c r="C1221" s="13"/>
      <c r="D1221" s="13"/>
      <c r="E1221" s="21" t="s">
        <v>1507</v>
      </c>
      <c r="F1221" s="44"/>
      <c r="G1221" s="22" t="s">
        <v>1056</v>
      </c>
      <c r="H1221" s="264" t="s">
        <v>362</v>
      </c>
      <c r="I1221" s="54">
        <v>19.600000000000001</v>
      </c>
      <c r="J1221" s="101"/>
      <c r="K1221" s="54">
        <v>19.600000000000001</v>
      </c>
      <c r="L1221" s="162"/>
      <c r="M1221" s="54"/>
      <c r="N1221" s="162"/>
      <c r="O1221" s="54"/>
      <c r="P1221" s="101"/>
      <c r="Q1221" s="96">
        <f t="shared" si="3121"/>
        <v>0.58799999999999997</v>
      </c>
      <c r="R1221" s="337">
        <f t="shared" si="3122"/>
        <v>16.968049671999999</v>
      </c>
      <c r="S1221" s="96">
        <v>0.14599999999999999</v>
      </c>
      <c r="T1221" s="96">
        <f t="shared" si="3123"/>
        <v>4.1311488400000007</v>
      </c>
      <c r="U1221" s="96">
        <v>0.14199999999999999</v>
      </c>
      <c r="V1221" s="176">
        <f t="shared" si="3124"/>
        <v>4.0029652320000002</v>
      </c>
      <c r="W1221" s="206">
        <v>0.3</v>
      </c>
      <c r="X1221" s="205">
        <f t="shared" si="3125"/>
        <v>8.8339355999999984</v>
      </c>
      <c r="Y1221" s="188">
        <f t="shared" si="3126"/>
        <v>0.58799999999999997</v>
      </c>
      <c r="Z1221" s="176">
        <f t="shared" si="3127"/>
        <v>16.968049671999999</v>
      </c>
      <c r="AA1221" s="206"/>
      <c r="AB1221" s="205">
        <f t="shared" si="3128"/>
        <v>0</v>
      </c>
      <c r="AC1221" s="206"/>
      <c r="AD1221" s="176">
        <f t="shared" si="3129"/>
        <v>0</v>
      </c>
      <c r="AE1221" s="206"/>
      <c r="AF1221" s="205">
        <f t="shared" si="3130"/>
        <v>0</v>
      </c>
      <c r="AG1221" s="188">
        <f t="shared" si="3131"/>
        <v>0</v>
      </c>
      <c r="AH1221" s="96">
        <f t="shared" si="3132"/>
        <v>0</v>
      </c>
      <c r="AI1221" s="96">
        <f t="shared" si="3133"/>
        <v>0.58799999999999997</v>
      </c>
      <c r="AJ1221" s="176">
        <f t="shared" si="3134"/>
        <v>16.968049671999999</v>
      </c>
      <c r="AK1221" s="206"/>
      <c r="AL1221" s="176">
        <f t="shared" si="3135"/>
        <v>0</v>
      </c>
      <c r="AM1221" s="243"/>
      <c r="AN1221" s="176">
        <f t="shared" si="3136"/>
        <v>0</v>
      </c>
      <c r="AO1221" s="206"/>
      <c r="AP1221" s="205">
        <f t="shared" si="3249"/>
        <v>0</v>
      </c>
      <c r="AQ1221" s="188">
        <f t="shared" si="3137"/>
        <v>0</v>
      </c>
      <c r="AR1221" s="96">
        <f t="shared" si="3138"/>
        <v>0</v>
      </c>
      <c r="AS1221" s="96"/>
      <c r="AT1221" s="176">
        <f t="shared" si="3139"/>
        <v>0</v>
      </c>
      <c r="AU1221" s="206"/>
      <c r="AV1221" s="176">
        <f t="shared" si="3140"/>
        <v>0</v>
      </c>
      <c r="AW1221" s="206"/>
      <c r="AX1221" s="205">
        <f t="shared" si="3141"/>
        <v>0</v>
      </c>
      <c r="AY1221" s="188">
        <f t="shared" si="3142"/>
        <v>0</v>
      </c>
      <c r="AZ1221" s="96">
        <f t="shared" si="3143"/>
        <v>0</v>
      </c>
      <c r="BA1221" s="96">
        <f t="shared" si="3144"/>
        <v>0</v>
      </c>
      <c r="BB1221" s="96">
        <f t="shared" si="3145"/>
        <v>0</v>
      </c>
    </row>
    <row r="1222" spans="1:54">
      <c r="A1222" s="492">
        <v>738</v>
      </c>
      <c r="B1222" s="13"/>
      <c r="C1222" s="234"/>
      <c r="D1222" s="13"/>
      <c r="E1222" s="21" t="s">
        <v>1508</v>
      </c>
      <c r="F1222" s="45"/>
      <c r="G1222" s="45" t="s">
        <v>1059</v>
      </c>
      <c r="H1222" s="265" t="s">
        <v>433</v>
      </c>
      <c r="I1222" s="54">
        <v>19.600000000000001</v>
      </c>
      <c r="J1222" s="162"/>
      <c r="K1222" s="54">
        <v>19.600000000000001</v>
      </c>
      <c r="L1222" s="162"/>
      <c r="M1222" s="54"/>
      <c r="N1222" s="162"/>
      <c r="O1222" s="54"/>
      <c r="P1222" s="162"/>
      <c r="Q1222" s="96">
        <f t="shared" si="3121"/>
        <v>0</v>
      </c>
      <c r="R1222" s="337">
        <f t="shared" si="3122"/>
        <v>0</v>
      </c>
      <c r="S1222" s="96"/>
      <c r="T1222" s="96">
        <f t="shared" si="3123"/>
        <v>0</v>
      </c>
      <c r="U1222" s="96"/>
      <c r="V1222" s="96">
        <f t="shared" si="3124"/>
        <v>0</v>
      </c>
      <c r="W1222" s="96"/>
      <c r="X1222" s="96">
        <f t="shared" si="3125"/>
        <v>0</v>
      </c>
      <c r="Y1222" s="96">
        <f t="shared" si="3126"/>
        <v>0</v>
      </c>
      <c r="Z1222" s="96">
        <f t="shared" si="3127"/>
        <v>0</v>
      </c>
      <c r="AA1222" s="96"/>
      <c r="AB1222" s="96">
        <f t="shared" si="3128"/>
        <v>0</v>
      </c>
      <c r="AC1222" s="96"/>
      <c r="AD1222" s="96">
        <f t="shared" si="3129"/>
        <v>0</v>
      </c>
      <c r="AE1222" s="96"/>
      <c r="AF1222" s="96">
        <f t="shared" si="3130"/>
        <v>0</v>
      </c>
      <c r="AG1222" s="96">
        <f t="shared" si="3131"/>
        <v>0</v>
      </c>
      <c r="AH1222" s="96">
        <f t="shared" si="3132"/>
        <v>0</v>
      </c>
      <c r="AI1222" s="96">
        <f t="shared" si="3133"/>
        <v>0</v>
      </c>
      <c r="AJ1222" s="96">
        <f t="shared" si="3134"/>
        <v>0</v>
      </c>
      <c r="AK1222" s="96"/>
      <c r="AL1222" s="96">
        <f t="shared" si="3135"/>
        <v>0</v>
      </c>
      <c r="AM1222" s="96"/>
      <c r="AN1222" s="96">
        <f t="shared" si="3136"/>
        <v>0</v>
      </c>
      <c r="AO1222" s="96"/>
      <c r="AP1222" s="96">
        <f t="shared" si="3249"/>
        <v>0</v>
      </c>
      <c r="AQ1222" s="96">
        <f t="shared" si="3137"/>
        <v>0</v>
      </c>
      <c r="AR1222" s="96">
        <f t="shared" si="3138"/>
        <v>0</v>
      </c>
      <c r="AS1222" s="96"/>
      <c r="AT1222" s="96">
        <f t="shared" si="3139"/>
        <v>0</v>
      </c>
      <c r="AU1222" s="96"/>
      <c r="AV1222" s="96">
        <f t="shared" si="3140"/>
        <v>0</v>
      </c>
      <c r="AW1222" s="96"/>
      <c r="AX1222" s="96">
        <f t="shared" si="3141"/>
        <v>0</v>
      </c>
      <c r="AY1222" s="96">
        <f t="shared" si="3142"/>
        <v>0</v>
      </c>
      <c r="AZ1222" s="96">
        <f t="shared" si="3143"/>
        <v>0</v>
      </c>
      <c r="BA1222" s="96">
        <f t="shared" si="3144"/>
        <v>0</v>
      </c>
      <c r="BB1222" s="96">
        <f t="shared" si="3145"/>
        <v>0</v>
      </c>
    </row>
    <row r="1223" spans="1:54">
      <c r="A1223" s="492">
        <v>739</v>
      </c>
      <c r="B1223" s="13"/>
      <c r="C1223" s="13"/>
      <c r="D1223" s="13"/>
      <c r="E1223" s="21" t="s">
        <v>1509</v>
      </c>
      <c r="F1223" s="45"/>
      <c r="G1223" s="45" t="s">
        <v>1059</v>
      </c>
      <c r="H1223" s="265" t="s">
        <v>433</v>
      </c>
      <c r="I1223" s="54">
        <v>21.46</v>
      </c>
      <c r="J1223" s="101"/>
      <c r="K1223" s="54">
        <v>21.46</v>
      </c>
      <c r="L1223" s="162"/>
      <c r="M1223" s="54"/>
      <c r="N1223" s="162"/>
      <c r="O1223" s="54"/>
      <c r="P1223" s="101"/>
      <c r="Q1223" s="96">
        <f t="shared" si="3121"/>
        <v>0.15</v>
      </c>
      <c r="R1223" s="337">
        <f t="shared" si="3122"/>
        <v>4.8361290299999995</v>
      </c>
      <c r="S1223" s="96"/>
      <c r="T1223" s="96">
        <f t="shared" si="3123"/>
        <v>0</v>
      </c>
      <c r="U1223" s="96"/>
      <c r="V1223" s="176">
        <f t="shared" si="3124"/>
        <v>0</v>
      </c>
      <c r="W1223" s="206">
        <v>0.15</v>
      </c>
      <c r="X1223" s="205">
        <f t="shared" si="3125"/>
        <v>4.8361290299999995</v>
      </c>
      <c r="Y1223" s="188">
        <f t="shared" si="3126"/>
        <v>0.15</v>
      </c>
      <c r="Z1223" s="176">
        <f t="shared" si="3127"/>
        <v>4.8361290299999995</v>
      </c>
      <c r="AA1223" s="206"/>
      <c r="AB1223" s="205">
        <f t="shared" si="3128"/>
        <v>0</v>
      </c>
      <c r="AC1223" s="206"/>
      <c r="AD1223" s="176">
        <f t="shared" si="3129"/>
        <v>0</v>
      </c>
      <c r="AE1223" s="206"/>
      <c r="AF1223" s="205">
        <f t="shared" si="3130"/>
        <v>0</v>
      </c>
      <c r="AG1223" s="188">
        <f t="shared" si="3131"/>
        <v>0</v>
      </c>
      <c r="AH1223" s="96">
        <f t="shared" si="3132"/>
        <v>0</v>
      </c>
      <c r="AI1223" s="96">
        <f t="shared" si="3133"/>
        <v>0.15</v>
      </c>
      <c r="AJ1223" s="176">
        <f t="shared" si="3134"/>
        <v>4.8361290299999995</v>
      </c>
      <c r="AK1223" s="206"/>
      <c r="AL1223" s="176">
        <f t="shared" si="3135"/>
        <v>0</v>
      </c>
      <c r="AM1223" s="243"/>
      <c r="AN1223" s="176">
        <f t="shared" si="3136"/>
        <v>0</v>
      </c>
      <c r="AO1223" s="206"/>
      <c r="AP1223" s="205">
        <f t="shared" si="3249"/>
        <v>0</v>
      </c>
      <c r="AQ1223" s="188">
        <f t="shared" si="3137"/>
        <v>0</v>
      </c>
      <c r="AR1223" s="96">
        <f t="shared" si="3138"/>
        <v>0</v>
      </c>
      <c r="AS1223" s="96"/>
      <c r="AT1223" s="176">
        <f t="shared" si="3139"/>
        <v>0</v>
      </c>
      <c r="AU1223" s="206"/>
      <c r="AV1223" s="176">
        <f t="shared" si="3140"/>
        <v>0</v>
      </c>
      <c r="AW1223" s="206"/>
      <c r="AX1223" s="205">
        <f t="shared" si="3141"/>
        <v>0</v>
      </c>
      <c r="AY1223" s="188">
        <f t="shared" si="3142"/>
        <v>0</v>
      </c>
      <c r="AZ1223" s="96">
        <f t="shared" si="3143"/>
        <v>0</v>
      </c>
      <c r="BA1223" s="96">
        <f t="shared" si="3144"/>
        <v>0</v>
      </c>
      <c r="BB1223" s="96">
        <f t="shared" si="3145"/>
        <v>0</v>
      </c>
    </row>
    <row r="1224" spans="1:54">
      <c r="B1224" s="13"/>
      <c r="C1224" s="13"/>
      <c r="D1224" s="13"/>
      <c r="E1224" s="21" t="s">
        <v>1510</v>
      </c>
      <c r="F1224" s="45"/>
      <c r="G1224" s="22" t="s">
        <v>1056</v>
      </c>
      <c r="H1224" s="264" t="s">
        <v>359</v>
      </c>
      <c r="I1224" s="54">
        <v>21.46</v>
      </c>
      <c r="J1224" s="101"/>
      <c r="K1224" s="54">
        <v>21.46</v>
      </c>
      <c r="L1224" s="162"/>
      <c r="M1224" s="54"/>
      <c r="N1224" s="162"/>
      <c r="O1224" s="54"/>
      <c r="P1224" s="101"/>
      <c r="Q1224" s="96">
        <f t="shared" ref="Q1224" si="3510">SUM(AI1224+BA1224)</f>
        <v>7.1999999999999995E-2</v>
      </c>
      <c r="R1224" s="337">
        <f t="shared" ref="R1224" si="3511">SUM(AJ1224+BB1224)</f>
        <v>2.2222842912000003</v>
      </c>
      <c r="S1224" s="96"/>
      <c r="T1224" s="96">
        <f t="shared" ref="T1224" si="3512">I1224*S1224*$T$2/1000</f>
        <v>0</v>
      </c>
      <c r="U1224" s="96">
        <v>7.1999999999999995E-2</v>
      </c>
      <c r="V1224" s="176">
        <f t="shared" ref="V1224" si="3513">I1224*U1224*$V$2/1000</f>
        <v>2.2222842912000003</v>
      </c>
      <c r="W1224" s="206"/>
      <c r="X1224" s="205">
        <f t="shared" ref="X1224" si="3514">I1224*W1224*$X$2/1000</f>
        <v>0</v>
      </c>
      <c r="Y1224" s="188">
        <f t="shared" ref="Y1224" si="3515">SUM(S1224+U1224+W1224)</f>
        <v>7.1999999999999995E-2</v>
      </c>
      <c r="Z1224" s="176">
        <f t="shared" ref="Z1224" si="3516">SUM(T1224+V1224+X1224)</f>
        <v>2.2222842912000003</v>
      </c>
      <c r="AA1224" s="206"/>
      <c r="AB1224" s="205">
        <f t="shared" ref="AB1224" si="3517">K1224*AA1224*$AB$2/1000</f>
        <v>0</v>
      </c>
      <c r="AC1224" s="206"/>
      <c r="AD1224" s="176">
        <f t="shared" ref="AD1224" si="3518">K1224*AC1224*$AD$2/1000</f>
        <v>0</v>
      </c>
      <c r="AE1224" s="206"/>
      <c r="AF1224" s="205">
        <f t="shared" ref="AF1224" si="3519">K1224*AE1224*$AF$2/1000</f>
        <v>0</v>
      </c>
      <c r="AG1224" s="188">
        <f t="shared" ref="AG1224" si="3520">SUM(AA1224+AC1224+AE1224)</f>
        <v>0</v>
      </c>
      <c r="AH1224" s="96">
        <f t="shared" ref="AH1224" si="3521">SUM(AB1224+AD1224+AF1224)</f>
        <v>0</v>
      </c>
      <c r="AI1224" s="96">
        <f t="shared" ref="AI1224" si="3522">SUM(Y1224+AG1224)</f>
        <v>7.1999999999999995E-2</v>
      </c>
      <c r="AJ1224" s="176">
        <f t="shared" ref="AJ1224" si="3523">SUM(Z1224,AH1224)</f>
        <v>2.2222842912000003</v>
      </c>
      <c r="AK1224" s="206"/>
      <c r="AL1224" s="176">
        <f t="shared" ref="AL1224" si="3524">M1224*AK1224*$AL$2/1000</f>
        <v>0</v>
      </c>
      <c r="AM1224" s="243"/>
      <c r="AN1224" s="176">
        <f t="shared" ref="AN1224" si="3525">M1224*AM1224*$AN$2/1000</f>
        <v>0</v>
      </c>
      <c r="AO1224" s="206"/>
      <c r="AP1224" s="205">
        <f t="shared" ref="AP1224" si="3526">M1224*AO1224*$AP$2/1000</f>
        <v>0</v>
      </c>
      <c r="AQ1224" s="188">
        <f t="shared" ref="AQ1224" si="3527">SUM(AK1224+AM1224+AO1224)</f>
        <v>0</v>
      </c>
      <c r="AR1224" s="96">
        <f t="shared" ref="AR1224" si="3528">SUM(AL1224+AN1224+AP1224)</f>
        <v>0</v>
      </c>
      <c r="AS1224" s="96"/>
      <c r="AT1224" s="176">
        <f t="shared" ref="AT1224" si="3529">O1224*AS1224*$AT$2/1000</f>
        <v>0</v>
      </c>
      <c r="AU1224" s="206"/>
      <c r="AV1224" s="176">
        <f t="shared" ref="AV1224" si="3530">O1224*AU1224*$AV$2/1000</f>
        <v>0</v>
      </c>
      <c r="AW1224" s="206"/>
      <c r="AX1224" s="205">
        <f t="shared" ref="AX1224" si="3531">O1224*AW1224*$AX$2/1000</f>
        <v>0</v>
      </c>
      <c r="AY1224" s="188">
        <f t="shared" ref="AY1224" si="3532">SUM(AS1224+AU1224+AW1224)</f>
        <v>0</v>
      </c>
      <c r="AZ1224" s="96">
        <f t="shared" ref="AZ1224" si="3533">SUM(AT1224+AV1224+AX1224)</f>
        <v>0</v>
      </c>
      <c r="BA1224" s="96">
        <f t="shared" ref="BA1224" si="3534">SUM(AQ1224+AY1224)</f>
        <v>0</v>
      </c>
      <c r="BB1224" s="96">
        <f t="shared" ref="BB1224" si="3535">SUM(AR1224,AZ1224)</f>
        <v>0</v>
      </c>
    </row>
    <row r="1225" spans="1:54">
      <c r="B1225" s="13"/>
      <c r="C1225" s="13"/>
      <c r="D1225" s="13"/>
      <c r="E1225" s="21" t="s">
        <v>2449</v>
      </c>
      <c r="F1225" s="45"/>
      <c r="G1225" s="22" t="s">
        <v>1056</v>
      </c>
      <c r="H1225" s="264" t="s">
        <v>362</v>
      </c>
      <c r="I1225" s="54">
        <v>21.03</v>
      </c>
      <c r="J1225" s="101"/>
      <c r="K1225" s="54">
        <v>21.03</v>
      </c>
      <c r="L1225" s="162"/>
      <c r="M1225" s="54"/>
      <c r="N1225" s="162"/>
      <c r="O1225" s="54"/>
      <c r="P1225" s="101"/>
      <c r="Q1225" s="96">
        <f t="shared" si="3121"/>
        <v>0.65</v>
      </c>
      <c r="R1225" s="337">
        <f t="shared" si="3122"/>
        <v>19.851037170000005</v>
      </c>
      <c r="S1225" s="96">
        <v>0.5</v>
      </c>
      <c r="T1225" s="96">
        <f t="shared" si="3123"/>
        <v>15.179979750000003</v>
      </c>
      <c r="U1225" s="96"/>
      <c r="V1225" s="176">
        <f t="shared" si="3124"/>
        <v>0</v>
      </c>
      <c r="W1225" s="206"/>
      <c r="X1225" s="205">
        <f t="shared" si="3125"/>
        <v>0</v>
      </c>
      <c r="Y1225" s="188">
        <f t="shared" si="3126"/>
        <v>0.5</v>
      </c>
      <c r="Z1225" s="176">
        <f t="shared" si="3127"/>
        <v>15.179979750000003</v>
      </c>
      <c r="AA1225" s="206">
        <v>0.15</v>
      </c>
      <c r="AB1225" s="205">
        <f t="shared" si="3128"/>
        <v>4.6710574200000003</v>
      </c>
      <c r="AC1225" s="206"/>
      <c r="AD1225" s="176">
        <f t="shared" si="3129"/>
        <v>0</v>
      </c>
      <c r="AE1225" s="206"/>
      <c r="AF1225" s="205">
        <f t="shared" si="3130"/>
        <v>0</v>
      </c>
      <c r="AG1225" s="188">
        <f t="shared" si="3131"/>
        <v>0.15</v>
      </c>
      <c r="AH1225" s="96">
        <f t="shared" si="3132"/>
        <v>4.6710574200000003</v>
      </c>
      <c r="AI1225" s="96">
        <f t="shared" si="3133"/>
        <v>0.65</v>
      </c>
      <c r="AJ1225" s="176">
        <f t="shared" si="3134"/>
        <v>19.851037170000005</v>
      </c>
      <c r="AK1225" s="206"/>
      <c r="AL1225" s="176">
        <f t="shared" si="3135"/>
        <v>0</v>
      </c>
      <c r="AM1225" s="243"/>
      <c r="AN1225" s="176">
        <f t="shared" si="3136"/>
        <v>0</v>
      </c>
      <c r="AO1225" s="206"/>
      <c r="AP1225" s="205">
        <f t="shared" si="3249"/>
        <v>0</v>
      </c>
      <c r="AQ1225" s="188">
        <f t="shared" si="3137"/>
        <v>0</v>
      </c>
      <c r="AR1225" s="96">
        <f t="shared" si="3138"/>
        <v>0</v>
      </c>
      <c r="AS1225" s="96"/>
      <c r="AT1225" s="176">
        <f t="shared" si="3139"/>
        <v>0</v>
      </c>
      <c r="AU1225" s="206"/>
      <c r="AV1225" s="176">
        <f t="shared" si="3140"/>
        <v>0</v>
      </c>
      <c r="AW1225" s="206"/>
      <c r="AX1225" s="205">
        <f t="shared" si="3141"/>
        <v>0</v>
      </c>
      <c r="AY1225" s="188">
        <f t="shared" si="3142"/>
        <v>0</v>
      </c>
      <c r="AZ1225" s="96">
        <f t="shared" si="3143"/>
        <v>0</v>
      </c>
      <c r="BA1225" s="96">
        <f t="shared" si="3144"/>
        <v>0</v>
      </c>
      <c r="BB1225" s="96">
        <f t="shared" si="3145"/>
        <v>0</v>
      </c>
    </row>
    <row r="1226" spans="1:54">
      <c r="B1226" s="13"/>
      <c r="C1226" s="13"/>
      <c r="D1226" s="13"/>
      <c r="E1226" s="21" t="s">
        <v>1511</v>
      </c>
      <c r="F1226" s="45"/>
      <c r="G1226" s="22" t="s">
        <v>1056</v>
      </c>
      <c r="H1226" s="264" t="s">
        <v>359</v>
      </c>
      <c r="I1226" s="54">
        <v>22.42</v>
      </c>
      <c r="J1226" s="101"/>
      <c r="K1226" s="54">
        <v>22.42</v>
      </c>
      <c r="L1226" s="162"/>
      <c r="M1226" s="54"/>
      <c r="N1226" s="162"/>
      <c r="O1226" s="54"/>
      <c r="P1226" s="101"/>
      <c r="Q1226" s="96">
        <f t="shared" si="3121"/>
        <v>0.54800000000000004</v>
      </c>
      <c r="R1226" s="337">
        <f t="shared" si="3122"/>
        <v>18.182973339199997</v>
      </c>
      <c r="S1226" s="96">
        <v>0.1</v>
      </c>
      <c r="T1226" s="96">
        <f t="shared" si="3123"/>
        <v>3.2366633000000005</v>
      </c>
      <c r="U1226" s="96">
        <v>0.1</v>
      </c>
      <c r="V1226" s="176">
        <f t="shared" si="3124"/>
        <v>3.2245789200000008</v>
      </c>
      <c r="W1226" s="206">
        <v>0.34799999999999998</v>
      </c>
      <c r="X1226" s="205">
        <f t="shared" si="3125"/>
        <v>11.721731119199998</v>
      </c>
      <c r="Y1226" s="188">
        <f t="shared" si="3126"/>
        <v>0.54800000000000004</v>
      </c>
      <c r="Z1226" s="176">
        <f t="shared" si="3127"/>
        <v>18.182973339199997</v>
      </c>
      <c r="AA1226" s="206"/>
      <c r="AB1226" s="205">
        <f t="shared" si="3128"/>
        <v>0</v>
      </c>
      <c r="AC1226" s="206"/>
      <c r="AD1226" s="176">
        <f t="shared" si="3129"/>
        <v>0</v>
      </c>
      <c r="AE1226" s="206"/>
      <c r="AF1226" s="205">
        <f t="shared" si="3130"/>
        <v>0</v>
      </c>
      <c r="AG1226" s="188">
        <f t="shared" si="3131"/>
        <v>0</v>
      </c>
      <c r="AH1226" s="96">
        <f t="shared" si="3132"/>
        <v>0</v>
      </c>
      <c r="AI1226" s="96">
        <f t="shared" si="3133"/>
        <v>0.54800000000000004</v>
      </c>
      <c r="AJ1226" s="176">
        <f t="shared" si="3134"/>
        <v>18.182973339199997</v>
      </c>
      <c r="AK1226" s="206"/>
      <c r="AL1226" s="176">
        <f t="shared" si="3135"/>
        <v>0</v>
      </c>
      <c r="AM1226" s="243"/>
      <c r="AN1226" s="176">
        <f t="shared" si="3136"/>
        <v>0</v>
      </c>
      <c r="AO1226" s="206"/>
      <c r="AP1226" s="205">
        <f t="shared" si="3249"/>
        <v>0</v>
      </c>
      <c r="AQ1226" s="188">
        <f t="shared" si="3137"/>
        <v>0</v>
      </c>
      <c r="AR1226" s="96">
        <f t="shared" si="3138"/>
        <v>0</v>
      </c>
      <c r="AS1226" s="96"/>
      <c r="AT1226" s="176">
        <f t="shared" si="3139"/>
        <v>0</v>
      </c>
      <c r="AU1226" s="206"/>
      <c r="AV1226" s="176">
        <f t="shared" si="3140"/>
        <v>0</v>
      </c>
      <c r="AW1226" s="206"/>
      <c r="AX1226" s="205">
        <f t="shared" si="3141"/>
        <v>0</v>
      </c>
      <c r="AY1226" s="188">
        <f t="shared" si="3142"/>
        <v>0</v>
      </c>
      <c r="AZ1226" s="96">
        <f t="shared" si="3143"/>
        <v>0</v>
      </c>
      <c r="BA1226" s="96">
        <f t="shared" si="3144"/>
        <v>0</v>
      </c>
      <c r="BB1226" s="96">
        <f t="shared" si="3145"/>
        <v>0</v>
      </c>
    </row>
    <row r="1227" spans="1:54">
      <c r="B1227" s="13"/>
      <c r="C1227" s="13"/>
      <c r="D1227" s="13"/>
      <c r="E1227" s="21" t="s">
        <v>2450</v>
      </c>
      <c r="F1227" s="45"/>
      <c r="G1227" s="22" t="s">
        <v>1056</v>
      </c>
      <c r="H1227" s="264" t="s">
        <v>359</v>
      </c>
      <c r="I1227" s="54">
        <v>22.42</v>
      </c>
      <c r="J1227" s="101"/>
      <c r="K1227" s="54">
        <v>22.42</v>
      </c>
      <c r="L1227" s="162"/>
      <c r="M1227" s="54"/>
      <c r="N1227" s="162"/>
      <c r="O1227" s="54"/>
      <c r="P1227" s="101"/>
      <c r="Q1227" s="96">
        <f t="shared" ref="Q1227" si="3536">SUM(AI1227+BA1227)</f>
        <v>0.5</v>
      </c>
      <c r="R1227" s="337">
        <f t="shared" ref="R1227" si="3537">SUM(AJ1227+BB1227)</f>
        <v>16.183316500000004</v>
      </c>
      <c r="S1227" s="96">
        <v>0.5</v>
      </c>
      <c r="T1227" s="96">
        <f t="shared" ref="T1227" si="3538">I1227*S1227*$T$2/1000</f>
        <v>16.183316500000004</v>
      </c>
      <c r="U1227" s="96"/>
      <c r="V1227" s="176">
        <f t="shared" ref="V1227" si="3539">I1227*U1227*$V$2/1000</f>
        <v>0</v>
      </c>
      <c r="W1227" s="206"/>
      <c r="X1227" s="205">
        <f t="shared" ref="X1227" si="3540">I1227*W1227*$X$2/1000</f>
        <v>0</v>
      </c>
      <c r="Y1227" s="188">
        <f t="shared" ref="Y1227" si="3541">SUM(S1227+U1227+W1227)</f>
        <v>0.5</v>
      </c>
      <c r="Z1227" s="176">
        <f t="shared" ref="Z1227" si="3542">SUM(T1227+V1227+X1227)</f>
        <v>16.183316500000004</v>
      </c>
      <c r="AA1227" s="206"/>
      <c r="AB1227" s="205">
        <f t="shared" ref="AB1227" si="3543">K1227*AA1227*$AB$2/1000</f>
        <v>0</v>
      </c>
      <c r="AC1227" s="206"/>
      <c r="AD1227" s="176">
        <f t="shared" ref="AD1227" si="3544">K1227*AC1227*$AD$2/1000</f>
        <v>0</v>
      </c>
      <c r="AE1227" s="206"/>
      <c r="AF1227" s="205">
        <f t="shared" ref="AF1227" si="3545">K1227*AE1227*$AF$2/1000</f>
        <v>0</v>
      </c>
      <c r="AG1227" s="188">
        <f t="shared" ref="AG1227" si="3546">SUM(AA1227+AC1227+AE1227)</f>
        <v>0</v>
      </c>
      <c r="AH1227" s="96">
        <f t="shared" ref="AH1227" si="3547">SUM(AB1227+AD1227+AF1227)</f>
        <v>0</v>
      </c>
      <c r="AI1227" s="96">
        <f t="shared" ref="AI1227" si="3548">SUM(Y1227+AG1227)</f>
        <v>0.5</v>
      </c>
      <c r="AJ1227" s="176">
        <f t="shared" ref="AJ1227" si="3549">SUM(Z1227,AH1227)</f>
        <v>16.183316500000004</v>
      </c>
      <c r="AK1227" s="206"/>
      <c r="AL1227" s="176">
        <f t="shared" ref="AL1227" si="3550">M1227*AK1227*$AL$2/1000</f>
        <v>0</v>
      </c>
      <c r="AM1227" s="243"/>
      <c r="AN1227" s="176">
        <f t="shared" ref="AN1227" si="3551">M1227*AM1227*$AN$2/1000</f>
        <v>0</v>
      </c>
      <c r="AO1227" s="206"/>
      <c r="AP1227" s="205">
        <f t="shared" ref="AP1227" si="3552">M1227*AO1227*$AP$2/1000</f>
        <v>0</v>
      </c>
      <c r="AQ1227" s="188">
        <f t="shared" ref="AQ1227" si="3553">SUM(AK1227+AM1227+AO1227)</f>
        <v>0</v>
      </c>
      <c r="AR1227" s="96">
        <f t="shared" ref="AR1227" si="3554">SUM(AL1227+AN1227+AP1227)</f>
        <v>0</v>
      </c>
      <c r="AS1227" s="96"/>
      <c r="AT1227" s="176">
        <f t="shared" ref="AT1227" si="3555">O1227*AS1227*$AT$2/1000</f>
        <v>0</v>
      </c>
      <c r="AU1227" s="206"/>
      <c r="AV1227" s="176">
        <f t="shared" ref="AV1227" si="3556">O1227*AU1227*$AV$2/1000</f>
        <v>0</v>
      </c>
      <c r="AW1227" s="206"/>
      <c r="AX1227" s="205">
        <f t="shared" ref="AX1227" si="3557">O1227*AW1227*$AX$2/1000</f>
        <v>0</v>
      </c>
      <c r="AY1227" s="188">
        <f t="shared" ref="AY1227" si="3558">SUM(AS1227+AU1227+AW1227)</f>
        <v>0</v>
      </c>
      <c r="AZ1227" s="96">
        <f t="shared" ref="AZ1227" si="3559">SUM(AT1227+AV1227+AX1227)</f>
        <v>0</v>
      </c>
      <c r="BA1227" s="96">
        <f t="shared" ref="BA1227" si="3560">SUM(AQ1227+AY1227)</f>
        <v>0</v>
      </c>
      <c r="BB1227" s="96">
        <f t="shared" ref="BB1227" si="3561">SUM(AR1227,AZ1227)</f>
        <v>0</v>
      </c>
    </row>
    <row r="1228" spans="1:54">
      <c r="B1228" s="13"/>
      <c r="C1228" s="13"/>
      <c r="D1228" s="13"/>
      <c r="E1228" s="21" t="s">
        <v>1702</v>
      </c>
      <c r="F1228" s="45"/>
      <c r="G1228" s="22" t="s">
        <v>1056</v>
      </c>
      <c r="H1228" s="264" t="s">
        <v>359</v>
      </c>
      <c r="I1228" s="54">
        <v>24.35</v>
      </c>
      <c r="J1228" s="101"/>
      <c r="K1228" s="54">
        <v>24.35</v>
      </c>
      <c r="L1228" s="162"/>
      <c r="M1228" s="54"/>
      <c r="N1228" s="162"/>
      <c r="O1228" s="54"/>
      <c r="P1228" s="101"/>
      <c r="Q1228" s="96">
        <f t="shared" si="3121"/>
        <v>0</v>
      </c>
      <c r="R1228" s="337">
        <f t="shared" si="3122"/>
        <v>0</v>
      </c>
      <c r="S1228" s="96"/>
      <c r="T1228" s="96">
        <f t="shared" si="3123"/>
        <v>0</v>
      </c>
      <c r="U1228" s="96"/>
      <c r="V1228" s="176">
        <f t="shared" si="3124"/>
        <v>0</v>
      </c>
      <c r="W1228" s="206"/>
      <c r="X1228" s="205">
        <f t="shared" si="3125"/>
        <v>0</v>
      </c>
      <c r="Y1228" s="188">
        <f t="shared" si="3126"/>
        <v>0</v>
      </c>
      <c r="Z1228" s="176">
        <f t="shared" si="3127"/>
        <v>0</v>
      </c>
      <c r="AA1228" s="206"/>
      <c r="AB1228" s="205">
        <f t="shared" si="3128"/>
        <v>0</v>
      </c>
      <c r="AC1228" s="206"/>
      <c r="AD1228" s="176">
        <f t="shared" si="3129"/>
        <v>0</v>
      </c>
      <c r="AE1228" s="206"/>
      <c r="AF1228" s="205">
        <f t="shared" si="3130"/>
        <v>0</v>
      </c>
      <c r="AG1228" s="188">
        <f t="shared" si="3131"/>
        <v>0</v>
      </c>
      <c r="AH1228" s="96">
        <f t="shared" si="3132"/>
        <v>0</v>
      </c>
      <c r="AI1228" s="96">
        <f t="shared" si="3133"/>
        <v>0</v>
      </c>
      <c r="AJ1228" s="176">
        <f t="shared" si="3134"/>
        <v>0</v>
      </c>
      <c r="AK1228" s="206"/>
      <c r="AL1228" s="176">
        <f t="shared" si="3135"/>
        <v>0</v>
      </c>
      <c r="AM1228" s="243"/>
      <c r="AN1228" s="176">
        <f t="shared" si="3136"/>
        <v>0</v>
      </c>
      <c r="AO1228" s="206"/>
      <c r="AP1228" s="205">
        <f t="shared" si="3249"/>
        <v>0</v>
      </c>
      <c r="AQ1228" s="188">
        <f t="shared" si="3137"/>
        <v>0</v>
      </c>
      <c r="AR1228" s="96">
        <f t="shared" si="3138"/>
        <v>0</v>
      </c>
      <c r="AS1228" s="96"/>
      <c r="AT1228" s="176">
        <f t="shared" si="3139"/>
        <v>0</v>
      </c>
      <c r="AU1228" s="206"/>
      <c r="AV1228" s="176">
        <f t="shared" si="3140"/>
        <v>0</v>
      </c>
      <c r="AW1228" s="206"/>
      <c r="AX1228" s="205">
        <f t="shared" si="3141"/>
        <v>0</v>
      </c>
      <c r="AY1228" s="188">
        <f t="shared" si="3142"/>
        <v>0</v>
      </c>
      <c r="AZ1228" s="96">
        <f t="shared" si="3143"/>
        <v>0</v>
      </c>
      <c r="BA1228" s="96">
        <f t="shared" si="3144"/>
        <v>0</v>
      </c>
      <c r="BB1228" s="96">
        <f t="shared" si="3145"/>
        <v>0</v>
      </c>
    </row>
    <row r="1229" spans="1:54">
      <c r="B1229" s="13"/>
      <c r="C1229" s="13"/>
      <c r="D1229" s="13"/>
      <c r="E1229" s="21" t="s">
        <v>1703</v>
      </c>
      <c r="F1229" s="45"/>
      <c r="G1229" s="22" t="s">
        <v>1056</v>
      </c>
      <c r="H1229" s="264" t="s">
        <v>362</v>
      </c>
      <c r="I1229" s="54">
        <v>24.02</v>
      </c>
      <c r="J1229" s="101"/>
      <c r="K1229" s="54">
        <v>24.02</v>
      </c>
      <c r="L1229" s="162"/>
      <c r="M1229" s="54"/>
      <c r="N1229" s="162"/>
      <c r="O1229" s="54"/>
      <c r="P1229" s="101"/>
      <c r="Q1229" s="96">
        <f t="shared" si="3121"/>
        <v>1</v>
      </c>
      <c r="R1229" s="337">
        <f t="shared" si="3122"/>
        <v>35.381700199999997</v>
      </c>
      <c r="S1229" s="96">
        <v>0.5</v>
      </c>
      <c r="T1229" s="96">
        <f t="shared" si="3123"/>
        <v>17.338236500000001</v>
      </c>
      <c r="U1229" s="96"/>
      <c r="V1229" s="176">
        <f t="shared" si="3124"/>
        <v>0</v>
      </c>
      <c r="W1229" s="206">
        <v>0.5</v>
      </c>
      <c r="X1229" s="205">
        <f t="shared" si="3125"/>
        <v>18.043463699999997</v>
      </c>
      <c r="Y1229" s="188">
        <f t="shared" si="3126"/>
        <v>1</v>
      </c>
      <c r="Z1229" s="176">
        <f t="shared" si="3127"/>
        <v>35.381700199999997</v>
      </c>
      <c r="AA1229" s="206"/>
      <c r="AB1229" s="205">
        <f t="shared" si="3128"/>
        <v>0</v>
      </c>
      <c r="AC1229" s="206"/>
      <c r="AD1229" s="176">
        <f t="shared" si="3129"/>
        <v>0</v>
      </c>
      <c r="AE1229" s="206"/>
      <c r="AF1229" s="205">
        <f t="shared" si="3130"/>
        <v>0</v>
      </c>
      <c r="AG1229" s="188">
        <f t="shared" si="3131"/>
        <v>0</v>
      </c>
      <c r="AH1229" s="96">
        <f t="shared" si="3132"/>
        <v>0</v>
      </c>
      <c r="AI1229" s="96">
        <f t="shared" si="3133"/>
        <v>1</v>
      </c>
      <c r="AJ1229" s="176">
        <f t="shared" si="3134"/>
        <v>35.381700199999997</v>
      </c>
      <c r="AK1229" s="206"/>
      <c r="AL1229" s="176">
        <f t="shared" si="3135"/>
        <v>0</v>
      </c>
      <c r="AM1229" s="243"/>
      <c r="AN1229" s="176">
        <f t="shared" si="3136"/>
        <v>0</v>
      </c>
      <c r="AO1229" s="206"/>
      <c r="AP1229" s="205">
        <f t="shared" si="3249"/>
        <v>0</v>
      </c>
      <c r="AQ1229" s="188">
        <f t="shared" si="3137"/>
        <v>0</v>
      </c>
      <c r="AR1229" s="96">
        <f t="shared" si="3138"/>
        <v>0</v>
      </c>
      <c r="AS1229" s="96"/>
      <c r="AT1229" s="176">
        <f t="shared" si="3139"/>
        <v>0</v>
      </c>
      <c r="AU1229" s="206"/>
      <c r="AV1229" s="176">
        <f t="shared" si="3140"/>
        <v>0</v>
      </c>
      <c r="AW1229" s="206"/>
      <c r="AX1229" s="205">
        <f t="shared" si="3141"/>
        <v>0</v>
      </c>
      <c r="AY1229" s="188">
        <f t="shared" si="3142"/>
        <v>0</v>
      </c>
      <c r="AZ1229" s="96">
        <f t="shared" si="3143"/>
        <v>0</v>
      </c>
      <c r="BA1229" s="96">
        <f t="shared" si="3144"/>
        <v>0</v>
      </c>
      <c r="BB1229" s="96">
        <f t="shared" si="3145"/>
        <v>0</v>
      </c>
    </row>
    <row r="1230" spans="1:54">
      <c r="A1230" s="492">
        <v>740</v>
      </c>
      <c r="B1230" s="13"/>
      <c r="C1230" s="13"/>
      <c r="D1230" s="13"/>
      <c r="E1230" s="21" t="s">
        <v>1512</v>
      </c>
      <c r="F1230" s="44"/>
      <c r="G1230" s="45" t="s">
        <v>1059</v>
      </c>
      <c r="H1230" s="265" t="s">
        <v>433</v>
      </c>
      <c r="I1230" s="54">
        <v>22.42</v>
      </c>
      <c r="J1230" s="101"/>
      <c r="K1230" s="54">
        <v>22.42</v>
      </c>
      <c r="L1230" s="162"/>
      <c r="M1230" s="54"/>
      <c r="N1230" s="162"/>
      <c r="O1230" s="54"/>
      <c r="P1230" s="101"/>
      <c r="Q1230" s="96">
        <f t="shared" si="3121"/>
        <v>0.77300000000000002</v>
      </c>
      <c r="R1230" s="337">
        <f t="shared" si="3122"/>
        <v>25.617944184199999</v>
      </c>
      <c r="S1230" s="96">
        <v>0.1</v>
      </c>
      <c r="T1230" s="96">
        <f t="shared" si="3123"/>
        <v>3.2366633000000005</v>
      </c>
      <c r="U1230" s="96">
        <v>0.2</v>
      </c>
      <c r="V1230" s="176">
        <f t="shared" si="3124"/>
        <v>6.4491578400000016</v>
      </c>
      <c r="W1230" s="206">
        <v>0.47299999999999998</v>
      </c>
      <c r="X1230" s="205">
        <f t="shared" si="3125"/>
        <v>15.932123044199999</v>
      </c>
      <c r="Y1230" s="188">
        <f t="shared" si="3126"/>
        <v>0.77300000000000002</v>
      </c>
      <c r="Z1230" s="176">
        <f t="shared" si="3127"/>
        <v>25.617944184199999</v>
      </c>
      <c r="AA1230" s="206"/>
      <c r="AB1230" s="205">
        <f t="shared" si="3128"/>
        <v>0</v>
      </c>
      <c r="AC1230" s="206"/>
      <c r="AD1230" s="176">
        <f t="shared" si="3129"/>
        <v>0</v>
      </c>
      <c r="AE1230" s="206"/>
      <c r="AF1230" s="205">
        <f t="shared" si="3130"/>
        <v>0</v>
      </c>
      <c r="AG1230" s="188">
        <f t="shared" si="3131"/>
        <v>0</v>
      </c>
      <c r="AH1230" s="96">
        <f t="shared" si="3132"/>
        <v>0</v>
      </c>
      <c r="AI1230" s="96">
        <f t="shared" si="3133"/>
        <v>0.77300000000000002</v>
      </c>
      <c r="AJ1230" s="176">
        <f t="shared" si="3134"/>
        <v>25.617944184199999</v>
      </c>
      <c r="AK1230" s="206"/>
      <c r="AL1230" s="176">
        <f t="shared" si="3135"/>
        <v>0</v>
      </c>
      <c r="AM1230" s="243"/>
      <c r="AN1230" s="176">
        <f t="shared" si="3136"/>
        <v>0</v>
      </c>
      <c r="AO1230" s="206"/>
      <c r="AP1230" s="205">
        <f t="shared" si="3249"/>
        <v>0</v>
      </c>
      <c r="AQ1230" s="188">
        <f t="shared" si="3137"/>
        <v>0</v>
      </c>
      <c r="AR1230" s="96">
        <f t="shared" si="3138"/>
        <v>0</v>
      </c>
      <c r="AS1230" s="96"/>
      <c r="AT1230" s="176">
        <f t="shared" si="3139"/>
        <v>0</v>
      </c>
      <c r="AU1230" s="206"/>
      <c r="AV1230" s="176">
        <f t="shared" si="3140"/>
        <v>0</v>
      </c>
      <c r="AW1230" s="206"/>
      <c r="AX1230" s="205">
        <f t="shared" si="3141"/>
        <v>0</v>
      </c>
      <c r="AY1230" s="188">
        <f t="shared" si="3142"/>
        <v>0</v>
      </c>
      <c r="AZ1230" s="96">
        <f t="shared" si="3143"/>
        <v>0</v>
      </c>
      <c r="BA1230" s="96">
        <f t="shared" si="3144"/>
        <v>0</v>
      </c>
      <c r="BB1230" s="96">
        <f t="shared" si="3145"/>
        <v>0</v>
      </c>
    </row>
    <row r="1231" spans="1:54" s="6" customFormat="1">
      <c r="A1231" s="492">
        <v>752</v>
      </c>
      <c r="B1231" s="14"/>
      <c r="C1231" s="452" t="s">
        <v>929</v>
      </c>
      <c r="D1231" s="451" t="s">
        <v>948</v>
      </c>
      <c r="E1231" s="16" t="s">
        <v>1150</v>
      </c>
      <c r="F1231" s="44"/>
      <c r="G1231" s="44" t="s">
        <v>1059</v>
      </c>
      <c r="H1231" s="264" t="s">
        <v>359</v>
      </c>
      <c r="I1231" s="232">
        <v>0.98</v>
      </c>
      <c r="J1231" s="239"/>
      <c r="K1231" s="232">
        <v>0.98</v>
      </c>
      <c r="L1231" s="239"/>
      <c r="M1231" s="232"/>
      <c r="N1231" s="239"/>
      <c r="O1231" s="232"/>
      <c r="P1231" s="239"/>
      <c r="Q1231" s="95">
        <f t="shared" si="3121"/>
        <v>0.6</v>
      </c>
      <c r="R1231" s="335">
        <f t="shared" si="3122"/>
        <v>0.84886620000000002</v>
      </c>
      <c r="S1231" s="95">
        <v>0.6</v>
      </c>
      <c r="T1231" s="95">
        <f t="shared" si="3123"/>
        <v>0.84886620000000002</v>
      </c>
      <c r="U1231" s="95"/>
      <c r="V1231" s="95">
        <f t="shared" si="3124"/>
        <v>0</v>
      </c>
      <c r="W1231" s="95"/>
      <c r="X1231" s="95">
        <f t="shared" si="3125"/>
        <v>0</v>
      </c>
      <c r="Y1231" s="95">
        <f t="shared" si="3126"/>
        <v>0.6</v>
      </c>
      <c r="Z1231" s="95">
        <f t="shared" si="3127"/>
        <v>0.84886620000000002</v>
      </c>
      <c r="AA1231" s="95"/>
      <c r="AB1231" s="95">
        <f t="shared" si="3128"/>
        <v>0</v>
      </c>
      <c r="AC1231" s="95"/>
      <c r="AD1231" s="95">
        <f t="shared" si="3129"/>
        <v>0</v>
      </c>
      <c r="AE1231" s="95"/>
      <c r="AF1231" s="96">
        <f t="shared" si="3130"/>
        <v>0</v>
      </c>
      <c r="AG1231" s="95">
        <f t="shared" si="3131"/>
        <v>0</v>
      </c>
      <c r="AH1231" s="95">
        <f t="shared" si="3132"/>
        <v>0</v>
      </c>
      <c r="AI1231" s="95">
        <f t="shared" si="3133"/>
        <v>0.6</v>
      </c>
      <c r="AJ1231" s="95">
        <f t="shared" si="3134"/>
        <v>0.84886620000000002</v>
      </c>
      <c r="AK1231" s="95"/>
      <c r="AL1231" s="95">
        <f t="shared" si="3135"/>
        <v>0</v>
      </c>
      <c r="AM1231" s="95"/>
      <c r="AN1231" s="95">
        <f t="shared" si="3136"/>
        <v>0</v>
      </c>
      <c r="AO1231" s="95"/>
      <c r="AP1231" s="95">
        <f t="shared" si="3249"/>
        <v>0</v>
      </c>
      <c r="AQ1231" s="95">
        <f t="shared" si="3137"/>
        <v>0</v>
      </c>
      <c r="AR1231" s="95">
        <f t="shared" si="3138"/>
        <v>0</v>
      </c>
      <c r="AS1231" s="95"/>
      <c r="AT1231" s="95">
        <f t="shared" si="3139"/>
        <v>0</v>
      </c>
      <c r="AU1231" s="95"/>
      <c r="AV1231" s="95">
        <f t="shared" si="3140"/>
        <v>0</v>
      </c>
      <c r="AW1231" s="95"/>
      <c r="AX1231" s="95">
        <f t="shared" si="3141"/>
        <v>0</v>
      </c>
      <c r="AY1231" s="95">
        <f t="shared" si="3142"/>
        <v>0</v>
      </c>
      <c r="AZ1231" s="95">
        <f t="shared" si="3143"/>
        <v>0</v>
      </c>
      <c r="BA1231" s="95">
        <f t="shared" si="3144"/>
        <v>0</v>
      </c>
      <c r="BB1231" s="95">
        <f t="shared" si="3145"/>
        <v>0</v>
      </c>
    </row>
    <row r="1232" spans="1:54">
      <c r="A1232" s="492" t="s">
        <v>1563</v>
      </c>
      <c r="B1232" s="13"/>
      <c r="C1232" s="299"/>
      <c r="D1232" s="432"/>
      <c r="E1232" s="21" t="s">
        <v>1564</v>
      </c>
      <c r="F1232" s="45"/>
      <c r="G1232" s="44" t="s">
        <v>1059</v>
      </c>
      <c r="H1232" s="265" t="s">
        <v>359</v>
      </c>
      <c r="I1232" s="54">
        <v>1.0900000000000001</v>
      </c>
      <c r="J1232" s="162"/>
      <c r="K1232" s="54">
        <v>1.0900000000000001</v>
      </c>
      <c r="L1232" s="162"/>
      <c r="M1232" s="54"/>
      <c r="N1232" s="162"/>
      <c r="O1232" s="54"/>
      <c r="P1232" s="162"/>
      <c r="Q1232" s="96">
        <f t="shared" si="3121"/>
        <v>0</v>
      </c>
      <c r="R1232" s="337">
        <f t="shared" si="3122"/>
        <v>0</v>
      </c>
      <c r="S1232" s="96"/>
      <c r="T1232" s="96">
        <f t="shared" si="3123"/>
        <v>0</v>
      </c>
      <c r="U1232" s="96"/>
      <c r="V1232" s="96">
        <f t="shared" si="3124"/>
        <v>0</v>
      </c>
      <c r="W1232" s="96"/>
      <c r="X1232" s="96">
        <f t="shared" si="3125"/>
        <v>0</v>
      </c>
      <c r="Y1232" s="96">
        <f t="shared" si="3126"/>
        <v>0</v>
      </c>
      <c r="Z1232" s="96">
        <f t="shared" si="3127"/>
        <v>0</v>
      </c>
      <c r="AA1232" s="96"/>
      <c r="AB1232" s="96">
        <f t="shared" si="3128"/>
        <v>0</v>
      </c>
      <c r="AC1232" s="96"/>
      <c r="AD1232" s="96">
        <f t="shared" si="3129"/>
        <v>0</v>
      </c>
      <c r="AE1232" s="96"/>
      <c r="AF1232" s="95">
        <f t="shared" si="3130"/>
        <v>0</v>
      </c>
      <c r="AG1232" s="96">
        <f t="shared" si="3131"/>
        <v>0</v>
      </c>
      <c r="AH1232" s="96">
        <f t="shared" si="3132"/>
        <v>0</v>
      </c>
      <c r="AI1232" s="96">
        <f t="shared" si="3133"/>
        <v>0</v>
      </c>
      <c r="AJ1232" s="96">
        <f t="shared" si="3134"/>
        <v>0</v>
      </c>
      <c r="AK1232" s="96"/>
      <c r="AL1232" s="96">
        <f t="shared" si="3135"/>
        <v>0</v>
      </c>
      <c r="AM1232" s="96"/>
      <c r="AN1232" s="96">
        <f t="shared" si="3136"/>
        <v>0</v>
      </c>
      <c r="AO1232" s="96"/>
      <c r="AP1232" s="96">
        <f t="shared" si="3249"/>
        <v>0</v>
      </c>
      <c r="AQ1232" s="96">
        <f t="shared" si="3137"/>
        <v>0</v>
      </c>
      <c r="AR1232" s="96">
        <f t="shared" si="3138"/>
        <v>0</v>
      </c>
      <c r="AS1232" s="96"/>
      <c r="AT1232" s="96">
        <f t="shared" si="3139"/>
        <v>0</v>
      </c>
      <c r="AU1232" s="96"/>
      <c r="AV1232" s="96">
        <f t="shared" si="3140"/>
        <v>0</v>
      </c>
      <c r="AW1232" s="96"/>
      <c r="AX1232" s="96">
        <f t="shared" si="3141"/>
        <v>0</v>
      </c>
      <c r="AY1232" s="96">
        <f t="shared" si="3142"/>
        <v>0</v>
      </c>
      <c r="AZ1232" s="96">
        <f t="shared" si="3143"/>
        <v>0</v>
      </c>
      <c r="BA1232" s="96">
        <f t="shared" si="3144"/>
        <v>0</v>
      </c>
      <c r="BB1232" s="96">
        <f t="shared" si="3145"/>
        <v>0</v>
      </c>
    </row>
    <row r="1233" spans="1:54">
      <c r="A1233" s="492">
        <v>753</v>
      </c>
      <c r="B1233" s="13"/>
      <c r="C1233" s="299"/>
      <c r="D1233" s="432"/>
      <c r="E1233" s="21" t="s">
        <v>986</v>
      </c>
      <c r="F1233" s="45"/>
      <c r="G1233" s="44" t="s">
        <v>1059</v>
      </c>
      <c r="H1233" s="265" t="s">
        <v>359</v>
      </c>
      <c r="I1233" s="54">
        <v>0.93</v>
      </c>
      <c r="J1233" s="162"/>
      <c r="K1233" s="54">
        <v>0.93</v>
      </c>
      <c r="L1233" s="162"/>
      <c r="M1233" s="54"/>
      <c r="N1233" s="162"/>
      <c r="O1233" s="54"/>
      <c r="P1233" s="162"/>
      <c r="Q1233" s="96">
        <f t="shared" si="3121"/>
        <v>0</v>
      </c>
      <c r="R1233" s="337">
        <f t="shared" si="3122"/>
        <v>0</v>
      </c>
      <c r="S1233" s="96"/>
      <c r="T1233" s="96">
        <f t="shared" si="3123"/>
        <v>0</v>
      </c>
      <c r="U1233" s="96"/>
      <c r="V1233" s="96">
        <f t="shared" si="3124"/>
        <v>0</v>
      </c>
      <c r="W1233" s="96"/>
      <c r="X1233" s="96">
        <f t="shared" si="3125"/>
        <v>0</v>
      </c>
      <c r="Y1233" s="96">
        <f t="shared" si="3126"/>
        <v>0</v>
      </c>
      <c r="Z1233" s="96">
        <f t="shared" si="3127"/>
        <v>0</v>
      </c>
      <c r="AA1233" s="96"/>
      <c r="AB1233" s="96">
        <f t="shared" si="3128"/>
        <v>0</v>
      </c>
      <c r="AC1233" s="96"/>
      <c r="AD1233" s="96">
        <f t="shared" si="3129"/>
        <v>0</v>
      </c>
      <c r="AE1233" s="96"/>
      <c r="AF1233" s="95">
        <f t="shared" si="3130"/>
        <v>0</v>
      </c>
      <c r="AG1233" s="96">
        <f t="shared" si="3131"/>
        <v>0</v>
      </c>
      <c r="AH1233" s="96">
        <f t="shared" si="3132"/>
        <v>0</v>
      </c>
      <c r="AI1233" s="96">
        <f t="shared" si="3133"/>
        <v>0</v>
      </c>
      <c r="AJ1233" s="96">
        <f t="shared" si="3134"/>
        <v>0</v>
      </c>
      <c r="AK1233" s="96"/>
      <c r="AL1233" s="96">
        <f t="shared" si="3135"/>
        <v>0</v>
      </c>
      <c r="AM1233" s="96"/>
      <c r="AN1233" s="96">
        <f t="shared" si="3136"/>
        <v>0</v>
      </c>
      <c r="AO1233" s="96"/>
      <c r="AP1233" s="96">
        <f t="shared" si="3249"/>
        <v>0</v>
      </c>
      <c r="AQ1233" s="96">
        <f t="shared" si="3137"/>
        <v>0</v>
      </c>
      <c r="AR1233" s="96">
        <f t="shared" si="3138"/>
        <v>0</v>
      </c>
      <c r="AS1233" s="96"/>
      <c r="AT1233" s="96">
        <f t="shared" si="3139"/>
        <v>0</v>
      </c>
      <c r="AU1233" s="96"/>
      <c r="AV1233" s="96">
        <f t="shared" si="3140"/>
        <v>0</v>
      </c>
      <c r="AW1233" s="96"/>
      <c r="AX1233" s="96">
        <f t="shared" si="3141"/>
        <v>0</v>
      </c>
      <c r="AY1233" s="96">
        <f t="shared" si="3142"/>
        <v>0</v>
      </c>
      <c r="AZ1233" s="96">
        <f t="shared" si="3143"/>
        <v>0</v>
      </c>
      <c r="BA1233" s="96">
        <f t="shared" si="3144"/>
        <v>0</v>
      </c>
      <c r="BB1233" s="96">
        <f t="shared" si="3145"/>
        <v>0</v>
      </c>
    </row>
    <row r="1234" spans="1:54" s="6" customFormat="1">
      <c r="A1234" s="492">
        <v>754</v>
      </c>
      <c r="B1234" s="14"/>
      <c r="C1234" s="39"/>
      <c r="D1234" s="14"/>
      <c r="E1234" s="16" t="s">
        <v>934</v>
      </c>
      <c r="F1234" s="44"/>
      <c r="G1234" s="44" t="s">
        <v>1059</v>
      </c>
      <c r="H1234" s="264" t="s">
        <v>359</v>
      </c>
      <c r="I1234" s="232">
        <v>0.98</v>
      </c>
      <c r="J1234" s="239"/>
      <c r="K1234" s="232">
        <v>0.98</v>
      </c>
      <c r="L1234" s="239"/>
      <c r="M1234" s="232"/>
      <c r="N1234" s="239"/>
      <c r="O1234" s="232"/>
      <c r="P1234" s="239"/>
      <c r="Q1234" s="95">
        <f t="shared" si="3121"/>
        <v>1.9</v>
      </c>
      <c r="R1234" s="335">
        <f t="shared" si="3122"/>
        <v>2.7334483399999998</v>
      </c>
      <c r="S1234" s="95">
        <v>0.6</v>
      </c>
      <c r="T1234" s="95">
        <f t="shared" si="3123"/>
        <v>0.84886620000000002</v>
      </c>
      <c r="U1234" s="95">
        <v>0.3</v>
      </c>
      <c r="V1234" s="95">
        <f t="shared" si="3124"/>
        <v>0.42284843999999999</v>
      </c>
      <c r="W1234" s="95">
        <v>0.5</v>
      </c>
      <c r="X1234" s="95">
        <f t="shared" si="3125"/>
        <v>0.73616130000000002</v>
      </c>
      <c r="Y1234" s="95">
        <f t="shared" si="3126"/>
        <v>1.4</v>
      </c>
      <c r="Z1234" s="95">
        <f t="shared" si="3127"/>
        <v>2.0078759399999999</v>
      </c>
      <c r="AA1234" s="95">
        <v>0.5</v>
      </c>
      <c r="AB1234" s="95">
        <f t="shared" si="3128"/>
        <v>0.72557240000000001</v>
      </c>
      <c r="AC1234" s="95"/>
      <c r="AD1234" s="95">
        <f t="shared" si="3129"/>
        <v>0</v>
      </c>
      <c r="AE1234" s="95"/>
      <c r="AF1234" s="96">
        <f t="shared" si="3130"/>
        <v>0</v>
      </c>
      <c r="AG1234" s="95">
        <f t="shared" si="3131"/>
        <v>0.5</v>
      </c>
      <c r="AH1234" s="95">
        <f t="shared" si="3132"/>
        <v>0.72557240000000001</v>
      </c>
      <c r="AI1234" s="95">
        <f t="shared" si="3133"/>
        <v>1.9</v>
      </c>
      <c r="AJ1234" s="95">
        <f t="shared" si="3134"/>
        <v>2.7334483399999998</v>
      </c>
      <c r="AK1234" s="95"/>
      <c r="AL1234" s="95">
        <f t="shared" si="3135"/>
        <v>0</v>
      </c>
      <c r="AM1234" s="95"/>
      <c r="AN1234" s="95">
        <f t="shared" si="3136"/>
        <v>0</v>
      </c>
      <c r="AO1234" s="95"/>
      <c r="AP1234" s="95">
        <f t="shared" si="3249"/>
        <v>0</v>
      </c>
      <c r="AQ1234" s="95">
        <f t="shared" si="3137"/>
        <v>0</v>
      </c>
      <c r="AR1234" s="95">
        <f t="shared" si="3138"/>
        <v>0</v>
      </c>
      <c r="AS1234" s="95"/>
      <c r="AT1234" s="95">
        <f t="shared" si="3139"/>
        <v>0</v>
      </c>
      <c r="AU1234" s="95"/>
      <c r="AV1234" s="95">
        <f t="shared" si="3140"/>
        <v>0</v>
      </c>
      <c r="AW1234" s="95"/>
      <c r="AX1234" s="95">
        <f t="shared" si="3141"/>
        <v>0</v>
      </c>
      <c r="AY1234" s="95">
        <f t="shared" si="3142"/>
        <v>0</v>
      </c>
      <c r="AZ1234" s="95">
        <f t="shared" si="3143"/>
        <v>0</v>
      </c>
      <c r="BA1234" s="95">
        <f t="shared" si="3144"/>
        <v>0</v>
      </c>
      <c r="BB1234" s="95">
        <f t="shared" si="3145"/>
        <v>0</v>
      </c>
    </row>
    <row r="1235" spans="1:54">
      <c r="A1235" s="492" t="s">
        <v>1563</v>
      </c>
      <c r="B1235" s="13"/>
      <c r="C1235" s="299"/>
      <c r="D1235" s="537"/>
      <c r="E1235" s="21" t="s">
        <v>1565</v>
      </c>
      <c r="F1235" s="45"/>
      <c r="G1235" s="44" t="s">
        <v>1059</v>
      </c>
      <c r="H1235" s="265" t="s">
        <v>359</v>
      </c>
      <c r="I1235" s="54">
        <v>1.0900000000000001</v>
      </c>
      <c r="J1235" s="162"/>
      <c r="K1235" s="54">
        <v>1.0900000000000001</v>
      </c>
      <c r="L1235" s="162"/>
      <c r="M1235" s="54"/>
      <c r="N1235" s="162"/>
      <c r="O1235" s="54"/>
      <c r="P1235" s="162"/>
      <c r="Q1235" s="96">
        <f t="shared" si="3121"/>
        <v>0</v>
      </c>
      <c r="R1235" s="337">
        <f t="shared" si="3122"/>
        <v>0</v>
      </c>
      <c r="S1235" s="96"/>
      <c r="T1235" s="96">
        <f t="shared" si="3123"/>
        <v>0</v>
      </c>
      <c r="U1235" s="96"/>
      <c r="V1235" s="96">
        <f t="shared" si="3124"/>
        <v>0</v>
      </c>
      <c r="W1235" s="96"/>
      <c r="X1235" s="96">
        <f t="shared" si="3125"/>
        <v>0</v>
      </c>
      <c r="Y1235" s="96">
        <f t="shared" si="3126"/>
        <v>0</v>
      </c>
      <c r="Z1235" s="96">
        <f t="shared" si="3127"/>
        <v>0</v>
      </c>
      <c r="AA1235" s="96"/>
      <c r="AB1235" s="96">
        <f t="shared" si="3128"/>
        <v>0</v>
      </c>
      <c r="AC1235" s="96"/>
      <c r="AD1235" s="96">
        <f t="shared" si="3129"/>
        <v>0</v>
      </c>
      <c r="AE1235" s="96"/>
      <c r="AF1235" s="95">
        <f t="shared" si="3130"/>
        <v>0</v>
      </c>
      <c r="AG1235" s="96">
        <f t="shared" si="3131"/>
        <v>0</v>
      </c>
      <c r="AH1235" s="96">
        <f t="shared" si="3132"/>
        <v>0</v>
      </c>
      <c r="AI1235" s="96">
        <f t="shared" si="3133"/>
        <v>0</v>
      </c>
      <c r="AJ1235" s="96">
        <f t="shared" si="3134"/>
        <v>0</v>
      </c>
      <c r="AK1235" s="96"/>
      <c r="AL1235" s="96">
        <f t="shared" si="3135"/>
        <v>0</v>
      </c>
      <c r="AM1235" s="96"/>
      <c r="AN1235" s="96">
        <f t="shared" si="3136"/>
        <v>0</v>
      </c>
      <c r="AO1235" s="96"/>
      <c r="AP1235" s="96">
        <f t="shared" si="3249"/>
        <v>0</v>
      </c>
      <c r="AQ1235" s="96">
        <f t="shared" si="3137"/>
        <v>0</v>
      </c>
      <c r="AR1235" s="96">
        <f t="shared" si="3138"/>
        <v>0</v>
      </c>
      <c r="AS1235" s="96"/>
      <c r="AT1235" s="96">
        <f t="shared" si="3139"/>
        <v>0</v>
      </c>
      <c r="AU1235" s="96"/>
      <c r="AV1235" s="96">
        <f t="shared" si="3140"/>
        <v>0</v>
      </c>
      <c r="AW1235" s="96"/>
      <c r="AX1235" s="96">
        <f t="shared" si="3141"/>
        <v>0</v>
      </c>
      <c r="AY1235" s="96">
        <f t="shared" si="3142"/>
        <v>0</v>
      </c>
      <c r="AZ1235" s="96">
        <f t="shared" si="3143"/>
        <v>0</v>
      </c>
      <c r="BA1235" s="96">
        <f t="shared" si="3144"/>
        <v>0</v>
      </c>
      <c r="BB1235" s="96">
        <f t="shared" si="3145"/>
        <v>0</v>
      </c>
    </row>
    <row r="1236" spans="1:54">
      <c r="A1236" s="492">
        <v>755</v>
      </c>
      <c r="B1236" s="13"/>
      <c r="C1236" s="234"/>
      <c r="D1236" s="52" t="s">
        <v>949</v>
      </c>
      <c r="E1236" s="21" t="s">
        <v>987</v>
      </c>
      <c r="F1236" s="45"/>
      <c r="G1236" s="44" t="s">
        <v>1059</v>
      </c>
      <c r="H1236" s="265" t="s">
        <v>433</v>
      </c>
      <c r="I1236" s="54">
        <v>1.02</v>
      </c>
      <c r="J1236" s="162"/>
      <c r="K1236" s="54">
        <v>1.02</v>
      </c>
      <c r="L1236" s="162"/>
      <c r="M1236" s="54"/>
      <c r="N1236" s="162"/>
      <c r="O1236" s="54"/>
      <c r="P1236" s="162"/>
      <c r="Q1236" s="96">
        <f t="shared" si="3121"/>
        <v>2.5</v>
      </c>
      <c r="R1236" s="337">
        <f t="shared" si="3122"/>
        <v>3.6947358000000001</v>
      </c>
      <c r="S1236" s="96">
        <v>1</v>
      </c>
      <c r="T1236" s="96">
        <f t="shared" si="3123"/>
        <v>1.4725230000000002</v>
      </c>
      <c r="U1236" s="96">
        <v>1</v>
      </c>
      <c r="V1236" s="96">
        <f t="shared" si="3124"/>
        <v>1.4670252000000001</v>
      </c>
      <c r="W1236" s="96"/>
      <c r="X1236" s="96">
        <f t="shared" si="3125"/>
        <v>0</v>
      </c>
      <c r="Y1236" s="96">
        <f t="shared" si="3126"/>
        <v>2</v>
      </c>
      <c r="Z1236" s="96">
        <f t="shared" si="3127"/>
        <v>2.9395482000000004</v>
      </c>
      <c r="AA1236" s="96">
        <v>0.5</v>
      </c>
      <c r="AB1236" s="96">
        <f t="shared" si="3128"/>
        <v>0.75518759999999996</v>
      </c>
      <c r="AC1236" s="96"/>
      <c r="AD1236" s="96">
        <f t="shared" si="3129"/>
        <v>0</v>
      </c>
      <c r="AE1236" s="96"/>
      <c r="AF1236" s="96">
        <f t="shared" si="3130"/>
        <v>0</v>
      </c>
      <c r="AG1236" s="96">
        <f t="shared" si="3131"/>
        <v>0.5</v>
      </c>
      <c r="AH1236" s="96">
        <f t="shared" si="3132"/>
        <v>0.75518759999999996</v>
      </c>
      <c r="AI1236" s="96">
        <f t="shared" si="3133"/>
        <v>2.5</v>
      </c>
      <c r="AJ1236" s="96">
        <f t="shared" si="3134"/>
        <v>3.6947358000000001</v>
      </c>
      <c r="AK1236" s="96"/>
      <c r="AL1236" s="96">
        <f t="shared" si="3135"/>
        <v>0</v>
      </c>
      <c r="AM1236" s="96"/>
      <c r="AN1236" s="96">
        <f t="shared" si="3136"/>
        <v>0</v>
      </c>
      <c r="AO1236" s="96"/>
      <c r="AP1236" s="96">
        <f t="shared" si="3249"/>
        <v>0</v>
      </c>
      <c r="AQ1236" s="96">
        <f t="shared" si="3137"/>
        <v>0</v>
      </c>
      <c r="AR1236" s="96">
        <f t="shared" si="3138"/>
        <v>0</v>
      </c>
      <c r="AS1236" s="96"/>
      <c r="AT1236" s="96">
        <f t="shared" si="3139"/>
        <v>0</v>
      </c>
      <c r="AU1236" s="96"/>
      <c r="AV1236" s="96">
        <f t="shared" si="3140"/>
        <v>0</v>
      </c>
      <c r="AW1236" s="96"/>
      <c r="AX1236" s="96">
        <f t="shared" si="3141"/>
        <v>0</v>
      </c>
      <c r="AY1236" s="96">
        <f t="shared" si="3142"/>
        <v>0</v>
      </c>
      <c r="AZ1236" s="96">
        <f t="shared" si="3143"/>
        <v>0</v>
      </c>
      <c r="BA1236" s="96">
        <f t="shared" si="3144"/>
        <v>0</v>
      </c>
      <c r="BB1236" s="96">
        <f t="shared" si="3145"/>
        <v>0</v>
      </c>
    </row>
    <row r="1237" spans="1:54">
      <c r="A1237" s="492">
        <v>753</v>
      </c>
      <c r="B1237" s="13"/>
      <c r="C1237" s="299"/>
      <c r="D1237" s="432"/>
      <c r="E1237" s="21" t="s">
        <v>1566</v>
      </c>
      <c r="F1237" s="45"/>
      <c r="G1237" s="44" t="s">
        <v>1059</v>
      </c>
      <c r="H1237" s="265" t="s">
        <v>359</v>
      </c>
      <c r="I1237" s="54">
        <v>1.1299999999999999</v>
      </c>
      <c r="J1237" s="162"/>
      <c r="K1237" s="54">
        <v>1.1299999999999999</v>
      </c>
      <c r="L1237" s="162"/>
      <c r="M1237" s="54"/>
      <c r="N1237" s="162"/>
      <c r="O1237" s="54"/>
      <c r="P1237" s="162"/>
      <c r="Q1237" s="96">
        <f t="shared" si="3121"/>
        <v>0</v>
      </c>
      <c r="R1237" s="337">
        <f t="shared" si="3122"/>
        <v>0</v>
      </c>
      <c r="S1237" s="96"/>
      <c r="T1237" s="96">
        <f t="shared" si="3123"/>
        <v>0</v>
      </c>
      <c r="U1237" s="96"/>
      <c r="V1237" s="96">
        <f t="shared" si="3124"/>
        <v>0</v>
      </c>
      <c r="W1237" s="96"/>
      <c r="X1237" s="96">
        <f t="shared" si="3125"/>
        <v>0</v>
      </c>
      <c r="Y1237" s="96">
        <f t="shared" si="3126"/>
        <v>0</v>
      </c>
      <c r="Z1237" s="96">
        <f t="shared" si="3127"/>
        <v>0</v>
      </c>
      <c r="AA1237" s="96"/>
      <c r="AB1237" s="96">
        <f t="shared" si="3128"/>
        <v>0</v>
      </c>
      <c r="AC1237" s="96"/>
      <c r="AD1237" s="96">
        <f t="shared" si="3129"/>
        <v>0</v>
      </c>
      <c r="AE1237" s="96"/>
      <c r="AF1237" s="95">
        <f t="shared" si="3130"/>
        <v>0</v>
      </c>
      <c r="AG1237" s="96">
        <f t="shared" si="3131"/>
        <v>0</v>
      </c>
      <c r="AH1237" s="96">
        <f t="shared" si="3132"/>
        <v>0</v>
      </c>
      <c r="AI1237" s="96">
        <f t="shared" si="3133"/>
        <v>0</v>
      </c>
      <c r="AJ1237" s="96">
        <f t="shared" si="3134"/>
        <v>0</v>
      </c>
      <c r="AK1237" s="96"/>
      <c r="AL1237" s="96">
        <f t="shared" si="3135"/>
        <v>0</v>
      </c>
      <c r="AM1237" s="96"/>
      <c r="AN1237" s="96">
        <f t="shared" si="3136"/>
        <v>0</v>
      </c>
      <c r="AO1237" s="96"/>
      <c r="AP1237" s="96">
        <f t="shared" si="3249"/>
        <v>0</v>
      </c>
      <c r="AQ1237" s="96">
        <f t="shared" si="3137"/>
        <v>0</v>
      </c>
      <c r="AR1237" s="96">
        <f t="shared" si="3138"/>
        <v>0</v>
      </c>
      <c r="AS1237" s="96"/>
      <c r="AT1237" s="96">
        <f t="shared" si="3139"/>
        <v>0</v>
      </c>
      <c r="AU1237" s="96"/>
      <c r="AV1237" s="96">
        <f t="shared" si="3140"/>
        <v>0</v>
      </c>
      <c r="AW1237" s="96"/>
      <c r="AX1237" s="96">
        <f t="shared" si="3141"/>
        <v>0</v>
      </c>
      <c r="AY1237" s="96">
        <f t="shared" si="3142"/>
        <v>0</v>
      </c>
      <c r="AZ1237" s="96">
        <f t="shared" si="3143"/>
        <v>0</v>
      </c>
      <c r="BA1237" s="96">
        <f t="shared" si="3144"/>
        <v>0</v>
      </c>
      <c r="BB1237" s="96">
        <f t="shared" si="3145"/>
        <v>0</v>
      </c>
    </row>
    <row r="1238" spans="1:54">
      <c r="A1238" s="492">
        <v>756</v>
      </c>
      <c r="B1238" s="13"/>
      <c r="C1238" s="299"/>
      <c r="D1238" s="432"/>
      <c r="E1238" s="21" t="s">
        <v>988</v>
      </c>
      <c r="F1238" s="45"/>
      <c r="G1238" s="44" t="s">
        <v>1059</v>
      </c>
      <c r="H1238" s="265" t="s">
        <v>359</v>
      </c>
      <c r="I1238" s="54">
        <v>0.97</v>
      </c>
      <c r="J1238" s="162"/>
      <c r="K1238" s="54">
        <v>0.97</v>
      </c>
      <c r="L1238" s="162"/>
      <c r="M1238" s="54"/>
      <c r="N1238" s="162"/>
      <c r="O1238" s="54"/>
      <c r="P1238" s="162"/>
      <c r="Q1238" s="96">
        <f t="shared" si="3121"/>
        <v>0</v>
      </c>
      <c r="R1238" s="337">
        <f t="shared" si="3122"/>
        <v>0</v>
      </c>
      <c r="S1238" s="96"/>
      <c r="T1238" s="96">
        <f t="shared" si="3123"/>
        <v>0</v>
      </c>
      <c r="U1238" s="96"/>
      <c r="V1238" s="96">
        <f t="shared" si="3124"/>
        <v>0</v>
      </c>
      <c r="W1238" s="96"/>
      <c r="X1238" s="96">
        <f t="shared" si="3125"/>
        <v>0</v>
      </c>
      <c r="Y1238" s="96">
        <f t="shared" si="3126"/>
        <v>0</v>
      </c>
      <c r="Z1238" s="96">
        <f t="shared" si="3127"/>
        <v>0</v>
      </c>
      <c r="AA1238" s="96"/>
      <c r="AB1238" s="96">
        <f t="shared" si="3128"/>
        <v>0</v>
      </c>
      <c r="AC1238" s="96"/>
      <c r="AD1238" s="96">
        <f t="shared" si="3129"/>
        <v>0</v>
      </c>
      <c r="AE1238" s="96"/>
      <c r="AF1238" s="95">
        <f t="shared" si="3130"/>
        <v>0</v>
      </c>
      <c r="AG1238" s="96">
        <f t="shared" si="3131"/>
        <v>0</v>
      </c>
      <c r="AH1238" s="96">
        <f t="shared" si="3132"/>
        <v>0</v>
      </c>
      <c r="AI1238" s="96">
        <f t="shared" si="3133"/>
        <v>0</v>
      </c>
      <c r="AJ1238" s="96">
        <f t="shared" si="3134"/>
        <v>0</v>
      </c>
      <c r="AK1238" s="96"/>
      <c r="AL1238" s="96">
        <f t="shared" si="3135"/>
        <v>0</v>
      </c>
      <c r="AM1238" s="96"/>
      <c r="AN1238" s="96">
        <f t="shared" si="3136"/>
        <v>0</v>
      </c>
      <c r="AO1238" s="96"/>
      <c r="AP1238" s="96">
        <f t="shared" si="3249"/>
        <v>0</v>
      </c>
      <c r="AQ1238" s="96">
        <f t="shared" si="3137"/>
        <v>0</v>
      </c>
      <c r="AR1238" s="96">
        <f t="shared" si="3138"/>
        <v>0</v>
      </c>
      <c r="AS1238" s="96"/>
      <c r="AT1238" s="96">
        <f t="shared" si="3139"/>
        <v>0</v>
      </c>
      <c r="AU1238" s="96"/>
      <c r="AV1238" s="96">
        <f t="shared" si="3140"/>
        <v>0</v>
      </c>
      <c r="AW1238" s="96"/>
      <c r="AX1238" s="96">
        <f t="shared" si="3141"/>
        <v>0</v>
      </c>
      <c r="AY1238" s="96">
        <f t="shared" si="3142"/>
        <v>0</v>
      </c>
      <c r="AZ1238" s="96">
        <f t="shared" si="3143"/>
        <v>0</v>
      </c>
      <c r="BA1238" s="96">
        <f t="shared" si="3144"/>
        <v>0</v>
      </c>
      <c r="BB1238" s="96">
        <f t="shared" si="3145"/>
        <v>0</v>
      </c>
    </row>
    <row r="1239" spans="1:54" s="6" customFormat="1" ht="11.25" customHeight="1">
      <c r="A1239" s="492">
        <v>757</v>
      </c>
      <c r="B1239" s="14"/>
      <c r="C1239" s="39"/>
      <c r="D1239" s="14"/>
      <c r="E1239" s="16" t="s">
        <v>935</v>
      </c>
      <c r="F1239" s="44"/>
      <c r="G1239" s="44" t="s">
        <v>1059</v>
      </c>
      <c r="H1239" s="264" t="s">
        <v>433</v>
      </c>
      <c r="I1239" s="232">
        <v>1.02</v>
      </c>
      <c r="J1239" s="239"/>
      <c r="K1239" s="232">
        <v>1.02</v>
      </c>
      <c r="L1239" s="239"/>
      <c r="M1239" s="232"/>
      <c r="N1239" s="239"/>
      <c r="O1239" s="232"/>
      <c r="P1239" s="239"/>
      <c r="Q1239" s="95">
        <f t="shared" si="3121"/>
        <v>3</v>
      </c>
      <c r="R1239" s="335">
        <f t="shared" si="3122"/>
        <v>4.4554212</v>
      </c>
      <c r="S1239" s="95">
        <v>2</v>
      </c>
      <c r="T1239" s="95">
        <f t="shared" si="3123"/>
        <v>2.9450460000000005</v>
      </c>
      <c r="U1239" s="95"/>
      <c r="V1239" s="95">
        <f t="shared" si="3124"/>
        <v>0</v>
      </c>
      <c r="W1239" s="95"/>
      <c r="X1239" s="95">
        <f t="shared" si="3125"/>
        <v>0</v>
      </c>
      <c r="Y1239" s="95">
        <f t="shared" si="3126"/>
        <v>2</v>
      </c>
      <c r="Z1239" s="95">
        <f t="shared" si="3127"/>
        <v>2.9450460000000005</v>
      </c>
      <c r="AA1239" s="95">
        <v>1</v>
      </c>
      <c r="AB1239" s="95">
        <f t="shared" si="3128"/>
        <v>1.5103751999999999</v>
      </c>
      <c r="AC1239" s="95"/>
      <c r="AD1239" s="95">
        <f t="shared" si="3129"/>
        <v>0</v>
      </c>
      <c r="AE1239" s="95"/>
      <c r="AF1239" s="96">
        <f t="shared" si="3130"/>
        <v>0</v>
      </c>
      <c r="AG1239" s="95">
        <f t="shared" si="3131"/>
        <v>1</v>
      </c>
      <c r="AH1239" s="95">
        <f t="shared" si="3132"/>
        <v>1.5103751999999999</v>
      </c>
      <c r="AI1239" s="95">
        <f t="shared" si="3133"/>
        <v>3</v>
      </c>
      <c r="AJ1239" s="95">
        <f t="shared" si="3134"/>
        <v>4.4554212</v>
      </c>
      <c r="AK1239" s="95"/>
      <c r="AL1239" s="95">
        <f t="shared" si="3135"/>
        <v>0</v>
      </c>
      <c r="AM1239" s="95"/>
      <c r="AN1239" s="95">
        <f t="shared" si="3136"/>
        <v>0</v>
      </c>
      <c r="AO1239" s="95"/>
      <c r="AP1239" s="95">
        <f t="shared" si="3249"/>
        <v>0</v>
      </c>
      <c r="AQ1239" s="95">
        <f t="shared" si="3137"/>
        <v>0</v>
      </c>
      <c r="AR1239" s="95">
        <f t="shared" si="3138"/>
        <v>0</v>
      </c>
      <c r="AS1239" s="95"/>
      <c r="AT1239" s="95">
        <f t="shared" si="3139"/>
        <v>0</v>
      </c>
      <c r="AU1239" s="95"/>
      <c r="AV1239" s="95">
        <f t="shared" si="3140"/>
        <v>0</v>
      </c>
      <c r="AW1239" s="95"/>
      <c r="AX1239" s="95">
        <f t="shared" si="3141"/>
        <v>0</v>
      </c>
      <c r="AY1239" s="95">
        <f t="shared" si="3142"/>
        <v>0</v>
      </c>
      <c r="AZ1239" s="95">
        <f t="shared" si="3143"/>
        <v>0</v>
      </c>
      <c r="BA1239" s="95">
        <f t="shared" si="3144"/>
        <v>0</v>
      </c>
      <c r="BB1239" s="95">
        <f t="shared" si="3145"/>
        <v>0</v>
      </c>
    </row>
    <row r="1240" spans="1:54">
      <c r="A1240" s="492">
        <v>753</v>
      </c>
      <c r="B1240" s="13"/>
      <c r="C1240" s="299"/>
      <c r="D1240" s="537"/>
      <c r="E1240" s="21" t="s">
        <v>1567</v>
      </c>
      <c r="F1240" s="45"/>
      <c r="G1240" s="44" t="s">
        <v>1059</v>
      </c>
      <c r="H1240" s="265" t="s">
        <v>359</v>
      </c>
      <c r="I1240" s="54">
        <v>1.1299999999999999</v>
      </c>
      <c r="J1240" s="162"/>
      <c r="K1240" s="54">
        <v>1.1299999999999999</v>
      </c>
      <c r="L1240" s="162"/>
      <c r="M1240" s="54"/>
      <c r="N1240" s="162"/>
      <c r="O1240" s="54"/>
      <c r="P1240" s="162"/>
      <c r="Q1240" s="96">
        <f t="shared" si="3121"/>
        <v>0</v>
      </c>
      <c r="R1240" s="337">
        <f t="shared" si="3122"/>
        <v>0</v>
      </c>
      <c r="S1240" s="96"/>
      <c r="T1240" s="96">
        <f t="shared" si="3123"/>
        <v>0</v>
      </c>
      <c r="U1240" s="96"/>
      <c r="V1240" s="96">
        <f t="shared" si="3124"/>
        <v>0</v>
      </c>
      <c r="W1240" s="96"/>
      <c r="X1240" s="96">
        <f t="shared" si="3125"/>
        <v>0</v>
      </c>
      <c r="Y1240" s="96">
        <f t="shared" si="3126"/>
        <v>0</v>
      </c>
      <c r="Z1240" s="96">
        <f t="shared" si="3127"/>
        <v>0</v>
      </c>
      <c r="AA1240" s="96"/>
      <c r="AB1240" s="96">
        <f t="shared" si="3128"/>
        <v>0</v>
      </c>
      <c r="AC1240" s="96"/>
      <c r="AD1240" s="96">
        <f t="shared" si="3129"/>
        <v>0</v>
      </c>
      <c r="AE1240" s="96"/>
      <c r="AF1240" s="95">
        <f t="shared" si="3130"/>
        <v>0</v>
      </c>
      <c r="AG1240" s="96">
        <f t="shared" si="3131"/>
        <v>0</v>
      </c>
      <c r="AH1240" s="96">
        <f t="shared" si="3132"/>
        <v>0</v>
      </c>
      <c r="AI1240" s="96">
        <f t="shared" si="3133"/>
        <v>0</v>
      </c>
      <c r="AJ1240" s="96">
        <f t="shared" si="3134"/>
        <v>0</v>
      </c>
      <c r="AK1240" s="96"/>
      <c r="AL1240" s="96">
        <f t="shared" si="3135"/>
        <v>0</v>
      </c>
      <c r="AM1240" s="96"/>
      <c r="AN1240" s="96">
        <f t="shared" si="3136"/>
        <v>0</v>
      </c>
      <c r="AO1240" s="96"/>
      <c r="AP1240" s="96">
        <f t="shared" si="3249"/>
        <v>0</v>
      </c>
      <c r="AQ1240" s="96">
        <f t="shared" si="3137"/>
        <v>0</v>
      </c>
      <c r="AR1240" s="96">
        <f t="shared" si="3138"/>
        <v>0</v>
      </c>
      <c r="AS1240" s="96"/>
      <c r="AT1240" s="96">
        <f t="shared" si="3139"/>
        <v>0</v>
      </c>
      <c r="AU1240" s="96"/>
      <c r="AV1240" s="96">
        <f t="shared" si="3140"/>
        <v>0</v>
      </c>
      <c r="AW1240" s="96"/>
      <c r="AX1240" s="96">
        <f t="shared" si="3141"/>
        <v>0</v>
      </c>
      <c r="AY1240" s="96">
        <f t="shared" si="3142"/>
        <v>0</v>
      </c>
      <c r="AZ1240" s="96">
        <f t="shared" si="3143"/>
        <v>0</v>
      </c>
      <c r="BA1240" s="96">
        <f t="shared" si="3144"/>
        <v>0</v>
      </c>
      <c r="BB1240" s="96">
        <f t="shared" si="3145"/>
        <v>0</v>
      </c>
    </row>
    <row r="1241" spans="1:54" s="6" customFormat="1">
      <c r="A1241" s="492">
        <v>758</v>
      </c>
      <c r="B1241" s="14"/>
      <c r="C1241" s="39"/>
      <c r="D1241" s="451" t="s">
        <v>950</v>
      </c>
      <c r="E1241" s="16" t="s">
        <v>989</v>
      </c>
      <c r="F1241" s="44"/>
      <c r="G1241" s="44" t="s">
        <v>1059</v>
      </c>
      <c r="H1241" s="264" t="s">
        <v>359</v>
      </c>
      <c r="I1241" s="232">
        <v>1.0900000000000001</v>
      </c>
      <c r="J1241" s="239"/>
      <c r="K1241" s="232">
        <v>1.0900000000000001</v>
      </c>
      <c r="L1241" s="239"/>
      <c r="M1241" s="232"/>
      <c r="N1241" s="239"/>
      <c r="O1241" s="232"/>
      <c r="P1241" s="239"/>
      <c r="Q1241" s="95">
        <f t="shared" ref="Q1241:Q1290" si="3562">SUM(AI1241+BA1241)</f>
        <v>0.7</v>
      </c>
      <c r="R1241" s="335">
        <f t="shared" ref="R1241:R1290" si="3563">SUM(AJ1241+BB1241)</f>
        <v>1.11254338</v>
      </c>
      <c r="S1241" s="95">
        <v>0.2</v>
      </c>
      <c r="T1241" s="95">
        <f t="shared" ref="T1241:T1290" si="3564">I1241*S1241*$T$2/1000</f>
        <v>0.3147157000000001</v>
      </c>
      <c r="U1241" s="95">
        <v>0.3</v>
      </c>
      <c r="V1241" s="95">
        <f t="shared" ref="V1241:V1290" si="3565">I1241*U1241*$V$2/1000</f>
        <v>0.47031102000000002</v>
      </c>
      <c r="W1241" s="95">
        <v>0.2</v>
      </c>
      <c r="X1241" s="95">
        <f t="shared" ref="X1241:X1290" si="3566">I1241*W1241*$X$2/1000</f>
        <v>0.32751666000000001</v>
      </c>
      <c r="Y1241" s="95">
        <f t="shared" ref="Y1241:Y1290" si="3567">SUM(S1241+U1241+W1241)</f>
        <v>0.7</v>
      </c>
      <c r="Z1241" s="95">
        <f t="shared" ref="Z1241:Z1290" si="3568">SUM(T1241+V1241+X1241)</f>
        <v>1.11254338</v>
      </c>
      <c r="AA1241" s="95"/>
      <c r="AB1241" s="95">
        <f t="shared" ref="AB1241:AB1290" si="3569">K1241*AA1241*$AB$2/1000</f>
        <v>0</v>
      </c>
      <c r="AC1241" s="95"/>
      <c r="AD1241" s="95">
        <f t="shared" ref="AD1241:AD1290" si="3570">K1241*AC1241*$AD$2/1000</f>
        <v>0</v>
      </c>
      <c r="AE1241" s="95"/>
      <c r="AF1241" s="96">
        <f t="shared" ref="AF1241:AF1290" si="3571">K1241*AE1241*$AF$2/1000</f>
        <v>0</v>
      </c>
      <c r="AG1241" s="95">
        <f t="shared" ref="AG1241:AG1290" si="3572">SUM(AA1241+AC1241+AE1241)</f>
        <v>0</v>
      </c>
      <c r="AH1241" s="95">
        <f t="shared" ref="AH1241:AH1290" si="3573">SUM(AB1241+AD1241+AF1241)</f>
        <v>0</v>
      </c>
      <c r="AI1241" s="95">
        <f t="shared" ref="AI1241:AI1290" si="3574">SUM(Y1241+AG1241)</f>
        <v>0.7</v>
      </c>
      <c r="AJ1241" s="95">
        <f t="shared" ref="AJ1241:AJ1290" si="3575">SUM(Z1241,AH1241)</f>
        <v>1.11254338</v>
      </c>
      <c r="AK1241" s="95"/>
      <c r="AL1241" s="95">
        <f t="shared" ref="AL1241:AL1290" si="3576">M1241*AK1241*$AL$2/1000</f>
        <v>0</v>
      </c>
      <c r="AM1241" s="95"/>
      <c r="AN1241" s="95">
        <f t="shared" ref="AN1241:AN1290" si="3577">M1241*AM1241*$AN$2/1000</f>
        <v>0</v>
      </c>
      <c r="AO1241" s="95"/>
      <c r="AP1241" s="95">
        <f t="shared" si="3249"/>
        <v>0</v>
      </c>
      <c r="AQ1241" s="95">
        <f t="shared" ref="AQ1241:AQ1290" si="3578">SUM(AK1241+AM1241+AO1241)</f>
        <v>0</v>
      </c>
      <c r="AR1241" s="95">
        <f t="shared" ref="AR1241:AR1290" si="3579">SUM(AL1241+AN1241+AP1241)</f>
        <v>0</v>
      </c>
      <c r="AS1241" s="95"/>
      <c r="AT1241" s="95">
        <f t="shared" ref="AT1241:AT1290" si="3580">O1241*AS1241*$AT$2/1000</f>
        <v>0</v>
      </c>
      <c r="AU1241" s="95"/>
      <c r="AV1241" s="95">
        <f t="shared" ref="AV1241:AV1290" si="3581">O1241*AU1241*$AV$2/1000</f>
        <v>0</v>
      </c>
      <c r="AW1241" s="95"/>
      <c r="AX1241" s="95">
        <f t="shared" ref="AX1241:AX1290" si="3582">O1241*AW1241*$AX$2/1000</f>
        <v>0</v>
      </c>
      <c r="AY1241" s="95">
        <f t="shared" ref="AY1241:AY1290" si="3583">SUM(AS1241+AU1241+AW1241)</f>
        <v>0</v>
      </c>
      <c r="AZ1241" s="95">
        <f t="shared" ref="AZ1241:AZ1290" si="3584">SUM(AT1241+AV1241+AX1241)</f>
        <v>0</v>
      </c>
      <c r="BA1241" s="95">
        <f t="shared" ref="BA1241:BA1290" si="3585">SUM(AQ1241+AY1241)</f>
        <v>0</v>
      </c>
      <c r="BB1241" s="95">
        <f t="shared" ref="BB1241:BB1290" si="3586">SUM(AR1241,AZ1241)</f>
        <v>0</v>
      </c>
    </row>
    <row r="1242" spans="1:54">
      <c r="A1242" s="492">
        <v>753</v>
      </c>
      <c r="B1242" s="13"/>
      <c r="C1242" s="299"/>
      <c r="D1242" s="432"/>
      <c r="E1242" s="21" t="s">
        <v>2626</v>
      </c>
      <c r="F1242" s="45"/>
      <c r="G1242" s="44" t="s">
        <v>1059</v>
      </c>
      <c r="H1242" s="265" t="s">
        <v>359</v>
      </c>
      <c r="I1242" s="54"/>
      <c r="J1242" s="162"/>
      <c r="K1242" s="54">
        <v>1.07</v>
      </c>
      <c r="L1242" s="162"/>
      <c r="M1242" s="54"/>
      <c r="N1242" s="162"/>
      <c r="O1242" s="54"/>
      <c r="P1242" s="162"/>
      <c r="Q1242" s="96">
        <f t="shared" si="3562"/>
        <v>0.3</v>
      </c>
      <c r="R1242" s="337">
        <f t="shared" si="3563"/>
        <v>0.47532395999999999</v>
      </c>
      <c r="S1242" s="96"/>
      <c r="T1242" s="96">
        <f t="shared" si="3564"/>
        <v>0</v>
      </c>
      <c r="U1242" s="96"/>
      <c r="V1242" s="96">
        <f t="shared" si="3565"/>
        <v>0</v>
      </c>
      <c r="W1242" s="96"/>
      <c r="X1242" s="96">
        <f t="shared" si="3566"/>
        <v>0</v>
      </c>
      <c r="Y1242" s="96">
        <f t="shared" si="3567"/>
        <v>0</v>
      </c>
      <c r="Z1242" s="96">
        <f t="shared" si="3568"/>
        <v>0</v>
      </c>
      <c r="AA1242" s="96">
        <v>0.3</v>
      </c>
      <c r="AB1242" s="96">
        <f t="shared" si="3569"/>
        <v>0.47532395999999999</v>
      </c>
      <c r="AC1242" s="96"/>
      <c r="AD1242" s="96">
        <f t="shared" si="3570"/>
        <v>0</v>
      </c>
      <c r="AE1242" s="96"/>
      <c r="AF1242" s="95">
        <f t="shared" si="3571"/>
        <v>0</v>
      </c>
      <c r="AG1242" s="96">
        <f t="shared" si="3572"/>
        <v>0.3</v>
      </c>
      <c r="AH1242" s="96">
        <f t="shared" si="3573"/>
        <v>0.47532395999999999</v>
      </c>
      <c r="AI1242" s="96">
        <f t="shared" si="3574"/>
        <v>0.3</v>
      </c>
      <c r="AJ1242" s="96">
        <f t="shared" si="3575"/>
        <v>0.47532395999999999</v>
      </c>
      <c r="AK1242" s="96"/>
      <c r="AL1242" s="96">
        <f t="shared" si="3576"/>
        <v>0</v>
      </c>
      <c r="AM1242" s="96"/>
      <c r="AN1242" s="96">
        <f t="shared" si="3577"/>
        <v>0</v>
      </c>
      <c r="AO1242" s="96"/>
      <c r="AP1242" s="96">
        <f t="shared" si="3249"/>
        <v>0</v>
      </c>
      <c r="AQ1242" s="96">
        <f t="shared" si="3578"/>
        <v>0</v>
      </c>
      <c r="AR1242" s="96">
        <f t="shared" si="3579"/>
        <v>0</v>
      </c>
      <c r="AS1242" s="96"/>
      <c r="AT1242" s="96">
        <f t="shared" si="3580"/>
        <v>0</v>
      </c>
      <c r="AU1242" s="96"/>
      <c r="AV1242" s="96">
        <f t="shared" si="3581"/>
        <v>0</v>
      </c>
      <c r="AW1242" s="96"/>
      <c r="AX1242" s="96">
        <f t="shared" si="3582"/>
        <v>0</v>
      </c>
      <c r="AY1242" s="96">
        <f t="shared" si="3583"/>
        <v>0</v>
      </c>
      <c r="AZ1242" s="96">
        <f t="shared" si="3584"/>
        <v>0</v>
      </c>
      <c r="BA1242" s="96">
        <f t="shared" si="3585"/>
        <v>0</v>
      </c>
      <c r="BB1242" s="96">
        <f t="shared" si="3586"/>
        <v>0</v>
      </c>
    </row>
    <row r="1243" spans="1:54">
      <c r="A1243" s="492">
        <v>759</v>
      </c>
      <c r="B1243" s="13"/>
      <c r="C1243" s="299"/>
      <c r="D1243" s="432"/>
      <c r="E1243" s="21" t="s">
        <v>990</v>
      </c>
      <c r="F1243" s="45"/>
      <c r="G1243" s="44" t="s">
        <v>1059</v>
      </c>
      <c r="H1243" s="265" t="s">
        <v>359</v>
      </c>
      <c r="I1243" s="54">
        <v>1.04</v>
      </c>
      <c r="J1243" s="162"/>
      <c r="K1243" s="54">
        <v>1.04</v>
      </c>
      <c r="L1243" s="162"/>
      <c r="M1243" s="54"/>
      <c r="N1243" s="162"/>
      <c r="O1243" s="54"/>
      <c r="P1243" s="162"/>
      <c r="Q1243" s="96">
        <f t="shared" si="3562"/>
        <v>0.5</v>
      </c>
      <c r="R1243" s="337">
        <f t="shared" si="3563"/>
        <v>0.74789520000000009</v>
      </c>
      <c r="S1243" s="96"/>
      <c r="T1243" s="96">
        <f t="shared" si="3564"/>
        <v>0</v>
      </c>
      <c r="U1243" s="96">
        <v>0.5</v>
      </c>
      <c r="V1243" s="96">
        <f t="shared" si="3565"/>
        <v>0.74789520000000009</v>
      </c>
      <c r="W1243" s="96"/>
      <c r="X1243" s="96">
        <f t="shared" si="3566"/>
        <v>0</v>
      </c>
      <c r="Y1243" s="96">
        <f t="shared" si="3567"/>
        <v>0.5</v>
      </c>
      <c r="Z1243" s="96">
        <f t="shared" si="3568"/>
        <v>0.74789520000000009</v>
      </c>
      <c r="AA1243" s="96"/>
      <c r="AB1243" s="96">
        <f t="shared" si="3569"/>
        <v>0</v>
      </c>
      <c r="AC1243" s="96"/>
      <c r="AD1243" s="96">
        <f t="shared" si="3570"/>
        <v>0</v>
      </c>
      <c r="AE1243" s="96"/>
      <c r="AF1243" s="95">
        <f t="shared" si="3571"/>
        <v>0</v>
      </c>
      <c r="AG1243" s="96">
        <f t="shared" si="3572"/>
        <v>0</v>
      </c>
      <c r="AH1243" s="96">
        <f t="shared" si="3573"/>
        <v>0</v>
      </c>
      <c r="AI1243" s="96">
        <f t="shared" si="3574"/>
        <v>0.5</v>
      </c>
      <c r="AJ1243" s="96">
        <f t="shared" si="3575"/>
        <v>0.74789520000000009</v>
      </c>
      <c r="AK1243" s="96"/>
      <c r="AL1243" s="96">
        <f t="shared" si="3576"/>
        <v>0</v>
      </c>
      <c r="AM1243" s="96"/>
      <c r="AN1243" s="96">
        <f t="shared" si="3577"/>
        <v>0</v>
      </c>
      <c r="AO1243" s="96"/>
      <c r="AP1243" s="96">
        <f t="shared" si="3249"/>
        <v>0</v>
      </c>
      <c r="AQ1243" s="96">
        <f t="shared" si="3578"/>
        <v>0</v>
      </c>
      <c r="AR1243" s="96">
        <f t="shared" si="3579"/>
        <v>0</v>
      </c>
      <c r="AS1243" s="96"/>
      <c r="AT1243" s="96">
        <f t="shared" si="3580"/>
        <v>0</v>
      </c>
      <c r="AU1243" s="96"/>
      <c r="AV1243" s="96">
        <f t="shared" si="3581"/>
        <v>0</v>
      </c>
      <c r="AW1243" s="96"/>
      <c r="AX1243" s="96">
        <f t="shared" si="3582"/>
        <v>0</v>
      </c>
      <c r="AY1243" s="96">
        <f t="shared" si="3583"/>
        <v>0</v>
      </c>
      <c r="AZ1243" s="96">
        <f t="shared" si="3584"/>
        <v>0</v>
      </c>
      <c r="BA1243" s="96">
        <f t="shared" si="3585"/>
        <v>0</v>
      </c>
      <c r="BB1243" s="96">
        <f t="shared" si="3586"/>
        <v>0</v>
      </c>
    </row>
    <row r="1244" spans="1:54">
      <c r="A1244" s="492">
        <v>760</v>
      </c>
      <c r="B1244" s="13"/>
      <c r="C1244" s="234"/>
      <c r="D1244" s="13"/>
      <c r="E1244" s="21" t="s">
        <v>936</v>
      </c>
      <c r="F1244" s="45"/>
      <c r="G1244" s="44" t="s">
        <v>1059</v>
      </c>
      <c r="H1244" s="265" t="s">
        <v>433</v>
      </c>
      <c r="I1244" s="54">
        <v>1.0900000000000001</v>
      </c>
      <c r="J1244" s="162"/>
      <c r="K1244" s="54">
        <v>1.0900000000000001</v>
      </c>
      <c r="L1244" s="162"/>
      <c r="M1244" s="54"/>
      <c r="N1244" s="162"/>
      <c r="O1244" s="54"/>
      <c r="P1244" s="162"/>
      <c r="Q1244" s="96">
        <f t="shared" si="3562"/>
        <v>2.2999999999999998</v>
      </c>
      <c r="R1244" s="337">
        <f t="shared" si="3563"/>
        <v>3.6549803700000005</v>
      </c>
      <c r="S1244" s="96">
        <v>0.5</v>
      </c>
      <c r="T1244" s="96">
        <f t="shared" si="3564"/>
        <v>0.78678925000000011</v>
      </c>
      <c r="U1244" s="96">
        <v>0.8</v>
      </c>
      <c r="V1244" s="96">
        <f t="shared" si="3565"/>
        <v>1.2541627200000001</v>
      </c>
      <c r="W1244" s="96"/>
      <c r="X1244" s="96">
        <f t="shared" si="3566"/>
        <v>0</v>
      </c>
      <c r="Y1244" s="96">
        <f t="shared" si="3567"/>
        <v>1.3</v>
      </c>
      <c r="Z1244" s="96">
        <f t="shared" si="3568"/>
        <v>2.0409519700000001</v>
      </c>
      <c r="AA1244" s="96">
        <v>1</v>
      </c>
      <c r="AB1244" s="96">
        <f t="shared" si="3569"/>
        <v>1.6140284000000003</v>
      </c>
      <c r="AC1244" s="96"/>
      <c r="AD1244" s="96">
        <f t="shared" si="3570"/>
        <v>0</v>
      </c>
      <c r="AE1244" s="96"/>
      <c r="AF1244" s="96">
        <f t="shared" si="3571"/>
        <v>0</v>
      </c>
      <c r="AG1244" s="96">
        <f t="shared" si="3572"/>
        <v>1</v>
      </c>
      <c r="AH1244" s="96">
        <f t="shared" si="3573"/>
        <v>1.6140284000000003</v>
      </c>
      <c r="AI1244" s="96">
        <f t="shared" si="3574"/>
        <v>2.2999999999999998</v>
      </c>
      <c r="AJ1244" s="96">
        <f t="shared" si="3575"/>
        <v>3.6549803700000005</v>
      </c>
      <c r="AK1244" s="96"/>
      <c r="AL1244" s="96">
        <f t="shared" si="3576"/>
        <v>0</v>
      </c>
      <c r="AM1244" s="96"/>
      <c r="AN1244" s="96">
        <f t="shared" si="3577"/>
        <v>0</v>
      </c>
      <c r="AO1244" s="96"/>
      <c r="AP1244" s="96">
        <f t="shared" si="3249"/>
        <v>0</v>
      </c>
      <c r="AQ1244" s="96">
        <f t="shared" si="3578"/>
        <v>0</v>
      </c>
      <c r="AR1244" s="96">
        <f t="shared" si="3579"/>
        <v>0</v>
      </c>
      <c r="AS1244" s="96"/>
      <c r="AT1244" s="96">
        <f t="shared" si="3580"/>
        <v>0</v>
      </c>
      <c r="AU1244" s="96"/>
      <c r="AV1244" s="96">
        <f t="shared" si="3581"/>
        <v>0</v>
      </c>
      <c r="AW1244" s="96"/>
      <c r="AX1244" s="96">
        <f t="shared" si="3582"/>
        <v>0</v>
      </c>
      <c r="AY1244" s="96">
        <f t="shared" si="3583"/>
        <v>0</v>
      </c>
      <c r="AZ1244" s="96">
        <f t="shared" si="3584"/>
        <v>0</v>
      </c>
      <c r="BA1244" s="96">
        <f t="shared" si="3585"/>
        <v>0</v>
      </c>
      <c r="BB1244" s="96">
        <f t="shared" si="3586"/>
        <v>0</v>
      </c>
    </row>
    <row r="1245" spans="1:54">
      <c r="A1245" s="492">
        <v>753</v>
      </c>
      <c r="B1245" s="13"/>
      <c r="C1245" s="299"/>
      <c r="D1245" s="537"/>
      <c r="E1245" s="21" t="s">
        <v>1568</v>
      </c>
      <c r="F1245" s="45"/>
      <c r="G1245" s="44" t="s">
        <v>1059</v>
      </c>
      <c r="H1245" s="265" t="s">
        <v>359</v>
      </c>
      <c r="I1245" s="54">
        <v>1.21</v>
      </c>
      <c r="J1245" s="162"/>
      <c r="K1245" s="54">
        <v>1.21</v>
      </c>
      <c r="L1245" s="162"/>
      <c r="M1245" s="54"/>
      <c r="N1245" s="162"/>
      <c r="O1245" s="54"/>
      <c r="P1245" s="162"/>
      <c r="Q1245" s="96">
        <f t="shared" si="3562"/>
        <v>0</v>
      </c>
      <c r="R1245" s="337">
        <f t="shared" si="3563"/>
        <v>0</v>
      </c>
      <c r="S1245" s="96"/>
      <c r="T1245" s="96">
        <f t="shared" si="3564"/>
        <v>0</v>
      </c>
      <c r="U1245" s="96"/>
      <c r="V1245" s="96">
        <f t="shared" si="3565"/>
        <v>0</v>
      </c>
      <c r="W1245" s="96"/>
      <c r="X1245" s="96">
        <f t="shared" si="3566"/>
        <v>0</v>
      </c>
      <c r="Y1245" s="96">
        <f t="shared" si="3567"/>
        <v>0</v>
      </c>
      <c r="Z1245" s="96">
        <f t="shared" si="3568"/>
        <v>0</v>
      </c>
      <c r="AA1245" s="96"/>
      <c r="AB1245" s="96">
        <f t="shared" si="3569"/>
        <v>0</v>
      </c>
      <c r="AC1245" s="96"/>
      <c r="AD1245" s="96">
        <f t="shared" si="3570"/>
        <v>0</v>
      </c>
      <c r="AE1245" s="96"/>
      <c r="AF1245" s="95">
        <f t="shared" si="3571"/>
        <v>0</v>
      </c>
      <c r="AG1245" s="96">
        <f t="shared" si="3572"/>
        <v>0</v>
      </c>
      <c r="AH1245" s="96">
        <f t="shared" si="3573"/>
        <v>0</v>
      </c>
      <c r="AI1245" s="96">
        <f t="shared" si="3574"/>
        <v>0</v>
      </c>
      <c r="AJ1245" s="96">
        <f t="shared" si="3575"/>
        <v>0</v>
      </c>
      <c r="AK1245" s="96"/>
      <c r="AL1245" s="96">
        <f t="shared" si="3576"/>
        <v>0</v>
      </c>
      <c r="AM1245" s="96"/>
      <c r="AN1245" s="96">
        <f t="shared" si="3577"/>
        <v>0</v>
      </c>
      <c r="AO1245" s="96"/>
      <c r="AP1245" s="96">
        <f t="shared" si="3249"/>
        <v>0</v>
      </c>
      <c r="AQ1245" s="96">
        <f t="shared" si="3578"/>
        <v>0</v>
      </c>
      <c r="AR1245" s="96">
        <f t="shared" si="3579"/>
        <v>0</v>
      </c>
      <c r="AS1245" s="96"/>
      <c r="AT1245" s="96">
        <f t="shared" si="3580"/>
        <v>0</v>
      </c>
      <c r="AU1245" s="96"/>
      <c r="AV1245" s="96">
        <f t="shared" si="3581"/>
        <v>0</v>
      </c>
      <c r="AW1245" s="96"/>
      <c r="AX1245" s="96">
        <f t="shared" si="3582"/>
        <v>0</v>
      </c>
      <c r="AY1245" s="96">
        <f t="shared" si="3583"/>
        <v>0</v>
      </c>
      <c r="AZ1245" s="96">
        <f t="shared" si="3584"/>
        <v>0</v>
      </c>
      <c r="BA1245" s="96">
        <f t="shared" si="3585"/>
        <v>0</v>
      </c>
      <c r="BB1245" s="96">
        <f t="shared" si="3586"/>
        <v>0</v>
      </c>
    </row>
    <row r="1246" spans="1:54" s="6" customFormat="1">
      <c r="A1246" s="492">
        <v>761</v>
      </c>
      <c r="B1246" s="14"/>
      <c r="C1246" s="39"/>
      <c r="D1246" s="451" t="s">
        <v>951</v>
      </c>
      <c r="E1246" s="16" t="s">
        <v>991</v>
      </c>
      <c r="F1246" s="44"/>
      <c r="G1246" s="44" t="s">
        <v>1059</v>
      </c>
      <c r="H1246" s="264" t="s">
        <v>359</v>
      </c>
      <c r="I1246" s="232">
        <v>1.1299999999999999</v>
      </c>
      <c r="J1246" s="239"/>
      <c r="K1246" s="232">
        <v>1.1299999999999999</v>
      </c>
      <c r="L1246" s="239"/>
      <c r="M1246" s="232"/>
      <c r="N1246" s="239"/>
      <c r="O1246" s="232"/>
      <c r="P1246" s="239"/>
      <c r="Q1246" s="95">
        <f t="shared" si="3562"/>
        <v>0.30000000000000004</v>
      </c>
      <c r="R1246" s="335">
        <f t="shared" si="3563"/>
        <v>0.49778420999999995</v>
      </c>
      <c r="S1246" s="95">
        <v>0.1</v>
      </c>
      <c r="T1246" s="95">
        <f t="shared" si="3564"/>
        <v>0.16313245000000001</v>
      </c>
      <c r="U1246" s="95"/>
      <c r="V1246" s="95">
        <f t="shared" si="3565"/>
        <v>0</v>
      </c>
      <c r="W1246" s="95"/>
      <c r="X1246" s="95">
        <f t="shared" si="3566"/>
        <v>0</v>
      </c>
      <c r="Y1246" s="95">
        <f t="shared" si="3567"/>
        <v>0.1</v>
      </c>
      <c r="Z1246" s="95">
        <f t="shared" si="3568"/>
        <v>0.16313245000000001</v>
      </c>
      <c r="AA1246" s="95">
        <v>0.2</v>
      </c>
      <c r="AB1246" s="95">
        <f t="shared" si="3569"/>
        <v>0.33465175999999996</v>
      </c>
      <c r="AC1246" s="95"/>
      <c r="AD1246" s="95">
        <f t="shared" si="3570"/>
        <v>0</v>
      </c>
      <c r="AE1246" s="95"/>
      <c r="AF1246" s="96">
        <f t="shared" si="3571"/>
        <v>0</v>
      </c>
      <c r="AG1246" s="95">
        <f t="shared" si="3572"/>
        <v>0.2</v>
      </c>
      <c r="AH1246" s="95">
        <f t="shared" si="3573"/>
        <v>0.33465175999999996</v>
      </c>
      <c r="AI1246" s="95">
        <f t="shared" si="3574"/>
        <v>0.30000000000000004</v>
      </c>
      <c r="AJ1246" s="95">
        <f t="shared" si="3575"/>
        <v>0.49778420999999995</v>
      </c>
      <c r="AK1246" s="95"/>
      <c r="AL1246" s="95">
        <f t="shared" si="3576"/>
        <v>0</v>
      </c>
      <c r="AM1246" s="95"/>
      <c r="AN1246" s="95">
        <f t="shared" si="3577"/>
        <v>0</v>
      </c>
      <c r="AO1246" s="95"/>
      <c r="AP1246" s="95">
        <f t="shared" si="3249"/>
        <v>0</v>
      </c>
      <c r="AQ1246" s="95">
        <f t="shared" si="3578"/>
        <v>0</v>
      </c>
      <c r="AR1246" s="95">
        <f t="shared" si="3579"/>
        <v>0</v>
      </c>
      <c r="AS1246" s="95"/>
      <c r="AT1246" s="95">
        <f t="shared" si="3580"/>
        <v>0</v>
      </c>
      <c r="AU1246" s="95"/>
      <c r="AV1246" s="95">
        <f t="shared" si="3581"/>
        <v>0</v>
      </c>
      <c r="AW1246" s="95"/>
      <c r="AX1246" s="95">
        <f t="shared" si="3582"/>
        <v>0</v>
      </c>
      <c r="AY1246" s="95">
        <f t="shared" si="3583"/>
        <v>0</v>
      </c>
      <c r="AZ1246" s="95">
        <f t="shared" si="3584"/>
        <v>0</v>
      </c>
      <c r="BA1246" s="95">
        <f t="shared" si="3585"/>
        <v>0</v>
      </c>
      <c r="BB1246" s="95">
        <f t="shared" si="3586"/>
        <v>0</v>
      </c>
    </row>
    <row r="1247" spans="1:54">
      <c r="A1247" s="492">
        <v>762</v>
      </c>
      <c r="B1247" s="13"/>
      <c r="C1247" s="299"/>
      <c r="D1247" s="432"/>
      <c r="E1247" s="21" t="s">
        <v>1569</v>
      </c>
      <c r="F1247" s="45"/>
      <c r="G1247" s="44" t="s">
        <v>1059</v>
      </c>
      <c r="H1247" s="265" t="s">
        <v>359</v>
      </c>
      <c r="I1247" s="54">
        <v>1.25</v>
      </c>
      <c r="J1247" s="162"/>
      <c r="K1247" s="54">
        <v>1.25</v>
      </c>
      <c r="L1247" s="162"/>
      <c r="M1247" s="54"/>
      <c r="N1247" s="162"/>
      <c r="O1247" s="54"/>
      <c r="P1247" s="162"/>
      <c r="Q1247" s="96">
        <f t="shared" si="3562"/>
        <v>0</v>
      </c>
      <c r="R1247" s="337">
        <f t="shared" si="3563"/>
        <v>0</v>
      </c>
      <c r="S1247" s="96"/>
      <c r="T1247" s="96">
        <f t="shared" si="3564"/>
        <v>0</v>
      </c>
      <c r="U1247" s="96"/>
      <c r="V1247" s="96">
        <f t="shared" si="3565"/>
        <v>0</v>
      </c>
      <c r="W1247" s="96"/>
      <c r="X1247" s="96">
        <f t="shared" si="3566"/>
        <v>0</v>
      </c>
      <c r="Y1247" s="96">
        <f t="shared" si="3567"/>
        <v>0</v>
      </c>
      <c r="Z1247" s="96">
        <f t="shared" si="3568"/>
        <v>0</v>
      </c>
      <c r="AA1247" s="96"/>
      <c r="AB1247" s="96">
        <f t="shared" si="3569"/>
        <v>0</v>
      </c>
      <c r="AC1247" s="96"/>
      <c r="AD1247" s="96">
        <f t="shared" si="3570"/>
        <v>0</v>
      </c>
      <c r="AE1247" s="96"/>
      <c r="AF1247" s="95">
        <f t="shared" si="3571"/>
        <v>0</v>
      </c>
      <c r="AG1247" s="96">
        <f t="shared" si="3572"/>
        <v>0</v>
      </c>
      <c r="AH1247" s="96">
        <f t="shared" si="3573"/>
        <v>0</v>
      </c>
      <c r="AI1247" s="96">
        <f t="shared" si="3574"/>
        <v>0</v>
      </c>
      <c r="AJ1247" s="96">
        <f t="shared" si="3575"/>
        <v>0</v>
      </c>
      <c r="AK1247" s="96"/>
      <c r="AL1247" s="96">
        <f t="shared" si="3576"/>
        <v>0</v>
      </c>
      <c r="AM1247" s="96"/>
      <c r="AN1247" s="96">
        <f t="shared" si="3577"/>
        <v>0</v>
      </c>
      <c r="AO1247" s="96"/>
      <c r="AP1247" s="96">
        <f t="shared" si="3249"/>
        <v>0</v>
      </c>
      <c r="AQ1247" s="96">
        <f t="shared" si="3578"/>
        <v>0</v>
      </c>
      <c r="AR1247" s="96">
        <f t="shared" si="3579"/>
        <v>0</v>
      </c>
      <c r="AS1247" s="96"/>
      <c r="AT1247" s="96">
        <f t="shared" si="3580"/>
        <v>0</v>
      </c>
      <c r="AU1247" s="96"/>
      <c r="AV1247" s="96">
        <f t="shared" si="3581"/>
        <v>0</v>
      </c>
      <c r="AW1247" s="96"/>
      <c r="AX1247" s="96">
        <f t="shared" si="3582"/>
        <v>0</v>
      </c>
      <c r="AY1247" s="96">
        <f t="shared" si="3583"/>
        <v>0</v>
      </c>
      <c r="AZ1247" s="96">
        <f t="shared" si="3584"/>
        <v>0</v>
      </c>
      <c r="BA1247" s="96">
        <f t="shared" si="3585"/>
        <v>0</v>
      </c>
      <c r="BB1247" s="96">
        <f t="shared" si="3586"/>
        <v>0</v>
      </c>
    </row>
    <row r="1248" spans="1:54">
      <c r="A1248" s="492">
        <v>762</v>
      </c>
      <c r="B1248" s="13"/>
      <c r="C1248" s="299"/>
      <c r="D1248" s="432"/>
      <c r="E1248" s="21" t="s">
        <v>1614</v>
      </c>
      <c r="F1248" s="45"/>
      <c r="G1248" s="44" t="s">
        <v>1059</v>
      </c>
      <c r="H1248" s="265" t="s">
        <v>359</v>
      </c>
      <c r="I1248" s="54">
        <v>1.39</v>
      </c>
      <c r="J1248" s="162"/>
      <c r="K1248" s="54">
        <v>1.39</v>
      </c>
      <c r="L1248" s="162"/>
      <c r="M1248" s="54"/>
      <c r="N1248" s="162"/>
      <c r="O1248" s="54"/>
      <c r="P1248" s="162"/>
      <c r="Q1248" s="96">
        <f t="shared" si="3562"/>
        <v>1.17</v>
      </c>
      <c r="R1248" s="337">
        <f t="shared" si="3563"/>
        <v>2.3752118449999995</v>
      </c>
      <c r="S1248" s="96">
        <v>7.0000000000000007E-2</v>
      </c>
      <c r="T1248" s="96">
        <f t="shared" si="3564"/>
        <v>0.14046714500000002</v>
      </c>
      <c r="U1248" s="96">
        <v>0.7</v>
      </c>
      <c r="V1248" s="96">
        <f t="shared" si="3565"/>
        <v>1.3994269799999997</v>
      </c>
      <c r="W1248" s="96">
        <v>0.4</v>
      </c>
      <c r="X1248" s="96">
        <f t="shared" si="3566"/>
        <v>0.83531771999999993</v>
      </c>
      <c r="Y1248" s="96">
        <f t="shared" si="3567"/>
        <v>1.17</v>
      </c>
      <c r="Z1248" s="96">
        <f t="shared" si="3568"/>
        <v>2.3752118449999995</v>
      </c>
      <c r="AA1248" s="96"/>
      <c r="AB1248" s="96">
        <f t="shared" si="3569"/>
        <v>0</v>
      </c>
      <c r="AC1248" s="96"/>
      <c r="AD1248" s="96">
        <f t="shared" si="3570"/>
        <v>0</v>
      </c>
      <c r="AE1248" s="96"/>
      <c r="AF1248" s="95">
        <f t="shared" si="3571"/>
        <v>0</v>
      </c>
      <c r="AG1248" s="96">
        <f t="shared" si="3572"/>
        <v>0</v>
      </c>
      <c r="AH1248" s="96">
        <f t="shared" si="3573"/>
        <v>0</v>
      </c>
      <c r="AI1248" s="96">
        <f t="shared" si="3574"/>
        <v>1.17</v>
      </c>
      <c r="AJ1248" s="96">
        <f t="shared" si="3575"/>
        <v>2.3752118449999995</v>
      </c>
      <c r="AK1248" s="96"/>
      <c r="AL1248" s="96">
        <f t="shared" si="3576"/>
        <v>0</v>
      </c>
      <c r="AM1248" s="96"/>
      <c r="AN1248" s="96">
        <f t="shared" si="3577"/>
        <v>0</v>
      </c>
      <c r="AO1248" s="96"/>
      <c r="AP1248" s="96">
        <f t="shared" si="3249"/>
        <v>0</v>
      </c>
      <c r="AQ1248" s="96">
        <f t="shared" si="3578"/>
        <v>0</v>
      </c>
      <c r="AR1248" s="96">
        <f t="shared" si="3579"/>
        <v>0</v>
      </c>
      <c r="AS1248" s="96"/>
      <c r="AT1248" s="96">
        <f t="shared" si="3580"/>
        <v>0</v>
      </c>
      <c r="AU1248" s="96"/>
      <c r="AV1248" s="96">
        <f t="shared" si="3581"/>
        <v>0</v>
      </c>
      <c r="AW1248" s="96"/>
      <c r="AX1248" s="96">
        <f t="shared" si="3582"/>
        <v>0</v>
      </c>
      <c r="AY1248" s="96">
        <f t="shared" si="3583"/>
        <v>0</v>
      </c>
      <c r="AZ1248" s="96">
        <f t="shared" si="3584"/>
        <v>0</v>
      </c>
      <c r="BA1248" s="96">
        <f t="shared" si="3585"/>
        <v>0</v>
      </c>
      <c r="BB1248" s="96">
        <f t="shared" si="3586"/>
        <v>0</v>
      </c>
    </row>
    <row r="1249" spans="1:54" s="6" customFormat="1">
      <c r="A1249" s="492">
        <v>763</v>
      </c>
      <c r="B1249" s="14"/>
      <c r="C1249" s="39"/>
      <c r="D1249" s="14"/>
      <c r="E1249" s="16" t="s">
        <v>937</v>
      </c>
      <c r="F1249" s="44"/>
      <c r="G1249" s="44" t="s">
        <v>1059</v>
      </c>
      <c r="H1249" s="264" t="s">
        <v>433</v>
      </c>
      <c r="I1249" s="232">
        <v>1.1299999999999999</v>
      </c>
      <c r="J1249" s="239"/>
      <c r="K1249" s="232">
        <v>1.1299999999999999</v>
      </c>
      <c r="L1249" s="239"/>
      <c r="M1249" s="232"/>
      <c r="N1249" s="239"/>
      <c r="O1249" s="232"/>
      <c r="P1249" s="239"/>
      <c r="Q1249" s="95">
        <f t="shared" si="3562"/>
        <v>0.8</v>
      </c>
      <c r="R1249" s="335">
        <f t="shared" si="3563"/>
        <v>1.3164217499999999</v>
      </c>
      <c r="S1249" s="95">
        <v>0.3</v>
      </c>
      <c r="T1249" s="95">
        <f t="shared" si="3564"/>
        <v>0.48939734999999995</v>
      </c>
      <c r="U1249" s="95">
        <v>0.2</v>
      </c>
      <c r="V1249" s="95">
        <f t="shared" si="3565"/>
        <v>0.32504675999999993</v>
      </c>
      <c r="W1249" s="95"/>
      <c r="X1249" s="95">
        <f t="shared" si="3566"/>
        <v>0</v>
      </c>
      <c r="Y1249" s="95">
        <f t="shared" si="3567"/>
        <v>0.5</v>
      </c>
      <c r="Z1249" s="95">
        <f t="shared" si="3568"/>
        <v>0.81444410999999994</v>
      </c>
      <c r="AA1249" s="95">
        <v>0.3</v>
      </c>
      <c r="AB1249" s="95">
        <f t="shared" si="3569"/>
        <v>0.50197764</v>
      </c>
      <c r="AC1249" s="95"/>
      <c r="AD1249" s="95">
        <f t="shared" si="3570"/>
        <v>0</v>
      </c>
      <c r="AE1249" s="95"/>
      <c r="AF1249" s="96">
        <f t="shared" si="3571"/>
        <v>0</v>
      </c>
      <c r="AG1249" s="95">
        <f t="shared" si="3572"/>
        <v>0.3</v>
      </c>
      <c r="AH1249" s="95">
        <f t="shared" si="3573"/>
        <v>0.50197764</v>
      </c>
      <c r="AI1249" s="95">
        <f t="shared" si="3574"/>
        <v>0.8</v>
      </c>
      <c r="AJ1249" s="95">
        <f t="shared" si="3575"/>
        <v>1.3164217499999999</v>
      </c>
      <c r="AK1249" s="95"/>
      <c r="AL1249" s="95">
        <f t="shared" si="3576"/>
        <v>0</v>
      </c>
      <c r="AM1249" s="95"/>
      <c r="AN1249" s="95">
        <f t="shared" si="3577"/>
        <v>0</v>
      </c>
      <c r="AO1249" s="95"/>
      <c r="AP1249" s="95">
        <f t="shared" si="3249"/>
        <v>0</v>
      </c>
      <c r="AQ1249" s="95">
        <f t="shared" si="3578"/>
        <v>0</v>
      </c>
      <c r="AR1249" s="95">
        <f t="shared" si="3579"/>
        <v>0</v>
      </c>
      <c r="AS1249" s="95"/>
      <c r="AT1249" s="95">
        <f t="shared" si="3580"/>
        <v>0</v>
      </c>
      <c r="AU1249" s="95"/>
      <c r="AV1249" s="95">
        <f t="shared" si="3581"/>
        <v>0</v>
      </c>
      <c r="AW1249" s="95"/>
      <c r="AX1249" s="95">
        <f t="shared" si="3582"/>
        <v>0</v>
      </c>
      <c r="AY1249" s="95">
        <f t="shared" si="3583"/>
        <v>0</v>
      </c>
      <c r="AZ1249" s="95">
        <f t="shared" si="3584"/>
        <v>0</v>
      </c>
      <c r="BA1249" s="95">
        <f t="shared" si="3585"/>
        <v>0</v>
      </c>
      <c r="BB1249" s="95">
        <f t="shared" si="3586"/>
        <v>0</v>
      </c>
    </row>
    <row r="1250" spans="1:54">
      <c r="A1250" s="492">
        <v>762</v>
      </c>
      <c r="B1250" s="13"/>
      <c r="C1250" s="299"/>
      <c r="D1250" s="432"/>
      <c r="E1250" s="21" t="s">
        <v>1570</v>
      </c>
      <c r="F1250" s="45"/>
      <c r="G1250" s="44" t="s">
        <v>1059</v>
      </c>
      <c r="H1250" s="265" t="s">
        <v>359</v>
      </c>
      <c r="I1250" s="54">
        <v>1.25</v>
      </c>
      <c r="J1250" s="162"/>
      <c r="K1250" s="54">
        <v>1.25</v>
      </c>
      <c r="L1250" s="162"/>
      <c r="M1250" s="54"/>
      <c r="N1250" s="162"/>
      <c r="O1250" s="54"/>
      <c r="P1250" s="162"/>
      <c r="Q1250" s="96">
        <f t="shared" si="3562"/>
        <v>0</v>
      </c>
      <c r="R1250" s="337">
        <f t="shared" si="3563"/>
        <v>0</v>
      </c>
      <c r="S1250" s="96"/>
      <c r="T1250" s="96">
        <f t="shared" si="3564"/>
        <v>0</v>
      </c>
      <c r="U1250" s="96"/>
      <c r="V1250" s="96">
        <f t="shared" si="3565"/>
        <v>0</v>
      </c>
      <c r="W1250" s="96"/>
      <c r="X1250" s="96">
        <f t="shared" si="3566"/>
        <v>0</v>
      </c>
      <c r="Y1250" s="96">
        <f t="shared" si="3567"/>
        <v>0</v>
      </c>
      <c r="Z1250" s="96">
        <f t="shared" si="3568"/>
        <v>0</v>
      </c>
      <c r="AA1250" s="96"/>
      <c r="AB1250" s="96">
        <f t="shared" si="3569"/>
        <v>0</v>
      </c>
      <c r="AC1250" s="96"/>
      <c r="AD1250" s="96">
        <f t="shared" si="3570"/>
        <v>0</v>
      </c>
      <c r="AE1250" s="96"/>
      <c r="AF1250" s="95">
        <f t="shared" si="3571"/>
        <v>0</v>
      </c>
      <c r="AG1250" s="96">
        <f t="shared" si="3572"/>
        <v>0</v>
      </c>
      <c r="AH1250" s="96">
        <f t="shared" si="3573"/>
        <v>0</v>
      </c>
      <c r="AI1250" s="96">
        <f t="shared" si="3574"/>
        <v>0</v>
      </c>
      <c r="AJ1250" s="96">
        <f t="shared" si="3575"/>
        <v>0</v>
      </c>
      <c r="AK1250" s="96"/>
      <c r="AL1250" s="96">
        <f t="shared" si="3576"/>
        <v>0</v>
      </c>
      <c r="AM1250" s="96"/>
      <c r="AN1250" s="96">
        <f t="shared" si="3577"/>
        <v>0</v>
      </c>
      <c r="AO1250" s="96"/>
      <c r="AP1250" s="96">
        <f t="shared" si="3249"/>
        <v>0</v>
      </c>
      <c r="AQ1250" s="96">
        <f t="shared" si="3578"/>
        <v>0</v>
      </c>
      <c r="AR1250" s="96">
        <f t="shared" si="3579"/>
        <v>0</v>
      </c>
      <c r="AS1250" s="96"/>
      <c r="AT1250" s="96">
        <f t="shared" si="3580"/>
        <v>0</v>
      </c>
      <c r="AU1250" s="96"/>
      <c r="AV1250" s="96">
        <f t="shared" si="3581"/>
        <v>0</v>
      </c>
      <c r="AW1250" s="96"/>
      <c r="AX1250" s="96">
        <f t="shared" si="3582"/>
        <v>0</v>
      </c>
      <c r="AY1250" s="96">
        <f t="shared" si="3583"/>
        <v>0</v>
      </c>
      <c r="AZ1250" s="96">
        <f t="shared" si="3584"/>
        <v>0</v>
      </c>
      <c r="BA1250" s="96">
        <f t="shared" si="3585"/>
        <v>0</v>
      </c>
      <c r="BB1250" s="96">
        <f t="shared" si="3586"/>
        <v>0</v>
      </c>
    </row>
    <row r="1251" spans="1:54" s="6" customFormat="1">
      <c r="A1251" s="492">
        <v>763</v>
      </c>
      <c r="B1251" s="14"/>
      <c r="C1251" s="39"/>
      <c r="D1251" s="14"/>
      <c r="E1251" s="16" t="s">
        <v>1478</v>
      </c>
      <c r="F1251" s="44"/>
      <c r="G1251" s="44" t="s">
        <v>1059</v>
      </c>
      <c r="H1251" s="264" t="s">
        <v>433</v>
      </c>
      <c r="I1251" s="232">
        <v>1.39</v>
      </c>
      <c r="J1251" s="239"/>
      <c r="K1251" s="232">
        <v>1.39</v>
      </c>
      <c r="L1251" s="239"/>
      <c r="M1251" s="232"/>
      <c r="N1251" s="239"/>
      <c r="O1251" s="232"/>
      <c r="P1251" s="239"/>
      <c r="Q1251" s="95">
        <f t="shared" si="3562"/>
        <v>0</v>
      </c>
      <c r="R1251" s="335">
        <f t="shared" si="3563"/>
        <v>0</v>
      </c>
      <c r="S1251" s="95"/>
      <c r="T1251" s="95">
        <f t="shared" si="3564"/>
        <v>0</v>
      </c>
      <c r="U1251" s="95"/>
      <c r="V1251" s="95">
        <f t="shared" si="3565"/>
        <v>0</v>
      </c>
      <c r="W1251" s="95"/>
      <c r="X1251" s="95">
        <f t="shared" si="3566"/>
        <v>0</v>
      </c>
      <c r="Y1251" s="95">
        <f t="shared" si="3567"/>
        <v>0</v>
      </c>
      <c r="Z1251" s="95">
        <f t="shared" si="3568"/>
        <v>0</v>
      </c>
      <c r="AA1251" s="95"/>
      <c r="AB1251" s="95">
        <f t="shared" si="3569"/>
        <v>0</v>
      </c>
      <c r="AC1251" s="95"/>
      <c r="AD1251" s="95">
        <f t="shared" si="3570"/>
        <v>0</v>
      </c>
      <c r="AE1251" s="95"/>
      <c r="AF1251" s="96">
        <f t="shared" si="3571"/>
        <v>0</v>
      </c>
      <c r="AG1251" s="95">
        <f t="shared" si="3572"/>
        <v>0</v>
      </c>
      <c r="AH1251" s="95">
        <f t="shared" si="3573"/>
        <v>0</v>
      </c>
      <c r="AI1251" s="95">
        <f t="shared" si="3574"/>
        <v>0</v>
      </c>
      <c r="AJ1251" s="95">
        <f t="shared" si="3575"/>
        <v>0</v>
      </c>
      <c r="AK1251" s="95"/>
      <c r="AL1251" s="95">
        <f t="shared" si="3576"/>
        <v>0</v>
      </c>
      <c r="AM1251" s="95"/>
      <c r="AN1251" s="95">
        <f t="shared" si="3577"/>
        <v>0</v>
      </c>
      <c r="AO1251" s="95"/>
      <c r="AP1251" s="95">
        <f t="shared" si="3249"/>
        <v>0</v>
      </c>
      <c r="AQ1251" s="95">
        <f t="shared" si="3578"/>
        <v>0</v>
      </c>
      <c r="AR1251" s="95">
        <f t="shared" si="3579"/>
        <v>0</v>
      </c>
      <c r="AS1251" s="95"/>
      <c r="AT1251" s="95">
        <f t="shared" si="3580"/>
        <v>0</v>
      </c>
      <c r="AU1251" s="95"/>
      <c r="AV1251" s="95">
        <f t="shared" si="3581"/>
        <v>0</v>
      </c>
      <c r="AW1251" s="95"/>
      <c r="AX1251" s="95">
        <f t="shared" si="3582"/>
        <v>0</v>
      </c>
      <c r="AY1251" s="95">
        <f t="shared" si="3583"/>
        <v>0</v>
      </c>
      <c r="AZ1251" s="95">
        <f t="shared" si="3584"/>
        <v>0</v>
      </c>
      <c r="BA1251" s="95">
        <f t="shared" si="3585"/>
        <v>0</v>
      </c>
      <c r="BB1251" s="95">
        <f t="shared" si="3586"/>
        <v>0</v>
      </c>
    </row>
    <row r="1252" spans="1:54" s="6" customFormat="1">
      <c r="A1252" s="492">
        <v>763</v>
      </c>
      <c r="B1252" s="14"/>
      <c r="C1252" s="39"/>
      <c r="D1252" s="14"/>
      <c r="E1252" s="16" t="s">
        <v>1430</v>
      </c>
      <c r="F1252" s="44"/>
      <c r="G1252" s="44" t="s">
        <v>1059</v>
      </c>
      <c r="H1252" s="264" t="s">
        <v>433</v>
      </c>
      <c r="I1252" s="232">
        <v>1.39</v>
      </c>
      <c r="J1252" s="239"/>
      <c r="K1252" s="232">
        <v>1.39</v>
      </c>
      <c r="L1252" s="239"/>
      <c r="M1252" s="232"/>
      <c r="N1252" s="239"/>
      <c r="O1252" s="232"/>
      <c r="P1252" s="239"/>
      <c r="Q1252" s="95">
        <f t="shared" si="3562"/>
        <v>3.7679999999999998</v>
      </c>
      <c r="R1252" s="335">
        <f t="shared" si="3563"/>
        <v>7.5857772151999994</v>
      </c>
      <c r="S1252" s="95">
        <v>1</v>
      </c>
      <c r="T1252" s="95">
        <f t="shared" si="3564"/>
        <v>2.0066734999999998</v>
      </c>
      <c r="U1252" s="95">
        <v>2</v>
      </c>
      <c r="V1252" s="95">
        <f t="shared" si="3565"/>
        <v>3.9983627999999998</v>
      </c>
      <c r="W1252" s="95"/>
      <c r="X1252" s="95">
        <f t="shared" si="3566"/>
        <v>0</v>
      </c>
      <c r="Y1252" s="95">
        <f t="shared" si="3567"/>
        <v>3</v>
      </c>
      <c r="Z1252" s="95">
        <f t="shared" si="3568"/>
        <v>6.0050362999999995</v>
      </c>
      <c r="AA1252" s="95">
        <v>0.76800000000000002</v>
      </c>
      <c r="AB1252" s="95">
        <f t="shared" si="3569"/>
        <v>1.5807409152</v>
      </c>
      <c r="AC1252" s="95"/>
      <c r="AD1252" s="95">
        <f t="shared" si="3570"/>
        <v>0</v>
      </c>
      <c r="AE1252" s="95"/>
      <c r="AF1252" s="96">
        <f t="shared" si="3571"/>
        <v>0</v>
      </c>
      <c r="AG1252" s="95">
        <f t="shared" si="3572"/>
        <v>0.76800000000000002</v>
      </c>
      <c r="AH1252" s="95">
        <f t="shared" si="3573"/>
        <v>1.5807409152</v>
      </c>
      <c r="AI1252" s="95">
        <f t="shared" si="3574"/>
        <v>3.7679999999999998</v>
      </c>
      <c r="AJ1252" s="95">
        <f t="shared" si="3575"/>
        <v>7.5857772151999994</v>
      </c>
      <c r="AK1252" s="95"/>
      <c r="AL1252" s="95">
        <f t="shared" si="3576"/>
        <v>0</v>
      </c>
      <c r="AM1252" s="95"/>
      <c r="AN1252" s="95">
        <f t="shared" si="3577"/>
        <v>0</v>
      </c>
      <c r="AO1252" s="95"/>
      <c r="AP1252" s="95">
        <f t="shared" si="3249"/>
        <v>0</v>
      </c>
      <c r="AQ1252" s="95">
        <f t="shared" si="3578"/>
        <v>0</v>
      </c>
      <c r="AR1252" s="95">
        <f t="shared" si="3579"/>
        <v>0</v>
      </c>
      <c r="AS1252" s="95"/>
      <c r="AT1252" s="95">
        <f t="shared" si="3580"/>
        <v>0</v>
      </c>
      <c r="AU1252" s="95"/>
      <c r="AV1252" s="95">
        <f t="shared" si="3581"/>
        <v>0</v>
      </c>
      <c r="AW1252" s="95"/>
      <c r="AX1252" s="95">
        <f t="shared" si="3582"/>
        <v>0</v>
      </c>
      <c r="AY1252" s="95">
        <f t="shared" si="3583"/>
        <v>0</v>
      </c>
      <c r="AZ1252" s="95">
        <f t="shared" si="3584"/>
        <v>0</v>
      </c>
      <c r="BA1252" s="95">
        <f t="shared" si="3585"/>
        <v>0</v>
      </c>
      <c r="BB1252" s="95">
        <f t="shared" si="3586"/>
        <v>0</v>
      </c>
    </row>
    <row r="1253" spans="1:54" s="6" customFormat="1">
      <c r="A1253" s="492">
        <v>763</v>
      </c>
      <c r="B1253" s="14"/>
      <c r="C1253" s="39"/>
      <c r="D1253" s="14"/>
      <c r="E1253" s="16" t="s">
        <v>1504</v>
      </c>
      <c r="F1253" s="44"/>
      <c r="G1253" s="44" t="s">
        <v>1059</v>
      </c>
      <c r="H1253" s="264" t="s">
        <v>433</v>
      </c>
      <c r="I1253" s="232">
        <v>1.65</v>
      </c>
      <c r="J1253" s="239"/>
      <c r="K1253" s="232">
        <v>1.65</v>
      </c>
      <c r="L1253" s="239"/>
      <c r="M1253" s="232"/>
      <c r="N1253" s="239"/>
      <c r="O1253" s="232"/>
      <c r="P1253" s="239"/>
      <c r="Q1253" s="95">
        <f t="shared" si="3562"/>
        <v>0</v>
      </c>
      <c r="R1253" s="335">
        <f t="shared" si="3563"/>
        <v>0</v>
      </c>
      <c r="S1253" s="95"/>
      <c r="T1253" s="95">
        <f t="shared" si="3564"/>
        <v>0</v>
      </c>
      <c r="U1253" s="95"/>
      <c r="V1253" s="95">
        <f t="shared" si="3565"/>
        <v>0</v>
      </c>
      <c r="W1253" s="95"/>
      <c r="X1253" s="95">
        <f t="shared" si="3566"/>
        <v>0</v>
      </c>
      <c r="Y1253" s="95">
        <f t="shared" si="3567"/>
        <v>0</v>
      </c>
      <c r="Z1253" s="95">
        <f t="shared" si="3568"/>
        <v>0</v>
      </c>
      <c r="AA1253" s="95"/>
      <c r="AB1253" s="95">
        <f t="shared" si="3569"/>
        <v>0</v>
      </c>
      <c r="AC1253" s="95"/>
      <c r="AD1253" s="95">
        <f t="shared" si="3570"/>
        <v>0</v>
      </c>
      <c r="AE1253" s="95"/>
      <c r="AF1253" s="96">
        <f t="shared" si="3571"/>
        <v>0</v>
      </c>
      <c r="AG1253" s="95">
        <f t="shared" si="3572"/>
        <v>0</v>
      </c>
      <c r="AH1253" s="95">
        <f t="shared" si="3573"/>
        <v>0</v>
      </c>
      <c r="AI1253" s="95">
        <f t="shared" si="3574"/>
        <v>0</v>
      </c>
      <c r="AJ1253" s="95">
        <f t="shared" si="3575"/>
        <v>0</v>
      </c>
      <c r="AK1253" s="95"/>
      <c r="AL1253" s="95">
        <f t="shared" si="3576"/>
        <v>0</v>
      </c>
      <c r="AM1253" s="95"/>
      <c r="AN1253" s="95">
        <f t="shared" si="3577"/>
        <v>0</v>
      </c>
      <c r="AO1253" s="95"/>
      <c r="AP1253" s="95">
        <f t="shared" si="3249"/>
        <v>0</v>
      </c>
      <c r="AQ1253" s="95">
        <f t="shared" si="3578"/>
        <v>0</v>
      </c>
      <c r="AR1253" s="95">
        <f t="shared" si="3579"/>
        <v>0</v>
      </c>
      <c r="AS1253" s="95"/>
      <c r="AT1253" s="95">
        <f t="shared" si="3580"/>
        <v>0</v>
      </c>
      <c r="AU1253" s="95"/>
      <c r="AV1253" s="95">
        <f t="shared" si="3581"/>
        <v>0</v>
      </c>
      <c r="AW1253" s="95"/>
      <c r="AX1253" s="95">
        <f t="shared" si="3582"/>
        <v>0</v>
      </c>
      <c r="AY1253" s="95">
        <f t="shared" si="3583"/>
        <v>0</v>
      </c>
      <c r="AZ1253" s="95">
        <f t="shared" si="3584"/>
        <v>0</v>
      </c>
      <c r="BA1253" s="95">
        <f t="shared" si="3585"/>
        <v>0</v>
      </c>
      <c r="BB1253" s="95">
        <f t="shared" si="3586"/>
        <v>0</v>
      </c>
    </row>
    <row r="1254" spans="1:54" s="6" customFormat="1">
      <c r="A1254" s="492">
        <v>763</v>
      </c>
      <c r="B1254" s="14"/>
      <c r="C1254" s="39"/>
      <c r="D1254" s="287"/>
      <c r="E1254" s="68" t="s">
        <v>1431</v>
      </c>
      <c r="F1254" s="506"/>
      <c r="G1254" s="505" t="s">
        <v>1059</v>
      </c>
      <c r="H1254" s="444" t="s">
        <v>433</v>
      </c>
      <c r="I1254" s="431">
        <v>1.63</v>
      </c>
      <c r="J1254" s="494"/>
      <c r="K1254" s="431">
        <v>1.63</v>
      </c>
      <c r="L1254" s="494"/>
      <c r="M1254" s="431"/>
      <c r="N1254" s="494"/>
      <c r="O1254" s="431"/>
      <c r="P1254" s="494"/>
      <c r="Q1254" s="405">
        <f t="shared" si="3562"/>
        <v>0</v>
      </c>
      <c r="R1254" s="464">
        <f t="shared" si="3563"/>
        <v>0</v>
      </c>
      <c r="S1254" s="405"/>
      <c r="T1254" s="405">
        <f t="shared" si="3564"/>
        <v>0</v>
      </c>
      <c r="U1254" s="405"/>
      <c r="V1254" s="405">
        <f t="shared" si="3565"/>
        <v>0</v>
      </c>
      <c r="W1254" s="405"/>
      <c r="X1254" s="405">
        <f t="shared" si="3566"/>
        <v>0</v>
      </c>
      <c r="Y1254" s="405">
        <f t="shared" si="3567"/>
        <v>0</v>
      </c>
      <c r="Z1254" s="405">
        <f t="shared" si="3568"/>
        <v>0</v>
      </c>
      <c r="AA1254" s="405"/>
      <c r="AB1254" s="405">
        <f t="shared" si="3569"/>
        <v>0</v>
      </c>
      <c r="AC1254" s="405"/>
      <c r="AD1254" s="405">
        <f t="shared" si="3570"/>
        <v>0</v>
      </c>
      <c r="AE1254" s="405"/>
      <c r="AF1254" s="133">
        <f t="shared" si="3571"/>
        <v>0</v>
      </c>
      <c r="AG1254" s="405">
        <f t="shared" si="3572"/>
        <v>0</v>
      </c>
      <c r="AH1254" s="405">
        <f t="shared" si="3573"/>
        <v>0</v>
      </c>
      <c r="AI1254" s="405">
        <f t="shared" si="3574"/>
        <v>0</v>
      </c>
      <c r="AJ1254" s="405">
        <f t="shared" si="3575"/>
        <v>0</v>
      </c>
      <c r="AK1254" s="405"/>
      <c r="AL1254" s="405">
        <f t="shared" si="3576"/>
        <v>0</v>
      </c>
      <c r="AM1254" s="405"/>
      <c r="AN1254" s="405">
        <f t="shared" si="3577"/>
        <v>0</v>
      </c>
      <c r="AO1254" s="405"/>
      <c r="AP1254" s="405">
        <f t="shared" si="3249"/>
        <v>0</v>
      </c>
      <c r="AQ1254" s="405">
        <f t="shared" si="3578"/>
        <v>0</v>
      </c>
      <c r="AR1254" s="405">
        <f t="shared" si="3579"/>
        <v>0</v>
      </c>
      <c r="AS1254" s="405"/>
      <c r="AT1254" s="405">
        <f t="shared" si="3580"/>
        <v>0</v>
      </c>
      <c r="AU1254" s="405"/>
      <c r="AV1254" s="405">
        <f t="shared" si="3581"/>
        <v>0</v>
      </c>
      <c r="AW1254" s="405"/>
      <c r="AX1254" s="405">
        <f t="shared" si="3582"/>
        <v>0</v>
      </c>
      <c r="AY1254" s="405">
        <f t="shared" si="3583"/>
        <v>0</v>
      </c>
      <c r="AZ1254" s="405">
        <f t="shared" si="3584"/>
        <v>0</v>
      </c>
      <c r="BA1254" s="405">
        <f t="shared" si="3585"/>
        <v>0</v>
      </c>
      <c r="BB1254" s="405">
        <f t="shared" si="3586"/>
        <v>0</v>
      </c>
    </row>
    <row r="1255" spans="1:54">
      <c r="A1255" s="492">
        <v>764</v>
      </c>
      <c r="B1255" s="13"/>
      <c r="C1255" s="302" t="s">
        <v>890</v>
      </c>
      <c r="D1255" s="432" t="s">
        <v>893</v>
      </c>
      <c r="E1255" s="31" t="s">
        <v>1390</v>
      </c>
      <c r="F1255" s="310"/>
      <c r="G1255" s="310" t="s">
        <v>1059</v>
      </c>
      <c r="H1255" s="271" t="s">
        <v>360</v>
      </c>
      <c r="I1255" s="61">
        <v>7.93</v>
      </c>
      <c r="J1255" s="163"/>
      <c r="K1255" s="61">
        <v>7.93</v>
      </c>
      <c r="L1255" s="163"/>
      <c r="M1255" s="61"/>
      <c r="N1255" s="163"/>
      <c r="O1255" s="61"/>
      <c r="P1255" s="163"/>
      <c r="Q1255" s="121">
        <f t="shared" si="3562"/>
        <v>0</v>
      </c>
      <c r="R1255" s="341">
        <f t="shared" si="3563"/>
        <v>0</v>
      </c>
      <c r="S1255" s="121"/>
      <c r="T1255" s="121">
        <f t="shared" si="3564"/>
        <v>0</v>
      </c>
      <c r="U1255" s="121"/>
      <c r="V1255" s="121">
        <f t="shared" si="3565"/>
        <v>0</v>
      </c>
      <c r="W1255" s="121"/>
      <c r="X1255" s="121">
        <f t="shared" si="3566"/>
        <v>0</v>
      </c>
      <c r="Y1255" s="121">
        <f t="shared" si="3567"/>
        <v>0</v>
      </c>
      <c r="Z1255" s="121">
        <f t="shared" si="3568"/>
        <v>0</v>
      </c>
      <c r="AA1255" s="121"/>
      <c r="AB1255" s="121">
        <f t="shared" si="3569"/>
        <v>0</v>
      </c>
      <c r="AC1255" s="121"/>
      <c r="AD1255" s="121">
        <f t="shared" si="3570"/>
        <v>0</v>
      </c>
      <c r="AE1255" s="121"/>
      <c r="AF1255" s="124">
        <f t="shared" si="3571"/>
        <v>0</v>
      </c>
      <c r="AG1255" s="121">
        <f t="shared" si="3572"/>
        <v>0</v>
      </c>
      <c r="AH1255" s="121">
        <f t="shared" si="3573"/>
        <v>0</v>
      </c>
      <c r="AI1255" s="121">
        <f t="shared" si="3574"/>
        <v>0</v>
      </c>
      <c r="AJ1255" s="121">
        <f t="shared" si="3575"/>
        <v>0</v>
      </c>
      <c r="AK1255" s="121"/>
      <c r="AL1255" s="121">
        <f t="shared" si="3576"/>
        <v>0</v>
      </c>
      <c r="AM1255" s="121"/>
      <c r="AN1255" s="121">
        <f t="shared" si="3577"/>
        <v>0</v>
      </c>
      <c r="AO1255" s="121"/>
      <c r="AP1255" s="121">
        <f t="shared" si="3249"/>
        <v>0</v>
      </c>
      <c r="AQ1255" s="121">
        <f t="shared" si="3578"/>
        <v>0</v>
      </c>
      <c r="AR1255" s="121">
        <f t="shared" si="3579"/>
        <v>0</v>
      </c>
      <c r="AS1255" s="121"/>
      <c r="AT1255" s="121">
        <f t="shared" si="3580"/>
        <v>0</v>
      </c>
      <c r="AU1255" s="121"/>
      <c r="AV1255" s="121">
        <f t="shared" si="3581"/>
        <v>0</v>
      </c>
      <c r="AW1255" s="121"/>
      <c r="AX1255" s="121">
        <f t="shared" si="3582"/>
        <v>0</v>
      </c>
      <c r="AY1255" s="121">
        <f t="shared" si="3583"/>
        <v>0</v>
      </c>
      <c r="AZ1255" s="121">
        <f t="shared" si="3584"/>
        <v>0</v>
      </c>
      <c r="BA1255" s="121">
        <f t="shared" si="3585"/>
        <v>0</v>
      </c>
      <c r="BB1255" s="121">
        <f t="shared" si="3586"/>
        <v>0</v>
      </c>
    </row>
    <row r="1256" spans="1:54">
      <c r="A1256" s="492">
        <v>765</v>
      </c>
      <c r="B1256" s="13"/>
      <c r="C1256" s="299"/>
      <c r="D1256" s="13"/>
      <c r="E1256" s="21" t="s">
        <v>1391</v>
      </c>
      <c r="F1256" s="45"/>
      <c r="G1256" s="45" t="s">
        <v>1059</v>
      </c>
      <c r="H1256" s="265" t="s">
        <v>360</v>
      </c>
      <c r="I1256" s="54">
        <v>7.93</v>
      </c>
      <c r="J1256" s="162"/>
      <c r="K1256" s="54">
        <v>7.93</v>
      </c>
      <c r="L1256" s="162"/>
      <c r="M1256" s="54"/>
      <c r="N1256" s="162"/>
      <c r="O1256" s="54"/>
      <c r="P1256" s="162"/>
      <c r="Q1256" s="96">
        <f t="shared" si="3562"/>
        <v>0</v>
      </c>
      <c r="R1256" s="337">
        <f t="shared" si="3563"/>
        <v>0</v>
      </c>
      <c r="S1256" s="96"/>
      <c r="T1256" s="96">
        <f t="shared" si="3564"/>
        <v>0</v>
      </c>
      <c r="U1256" s="96"/>
      <c r="V1256" s="96">
        <f t="shared" si="3565"/>
        <v>0</v>
      </c>
      <c r="W1256" s="96"/>
      <c r="X1256" s="96">
        <f t="shared" si="3566"/>
        <v>0</v>
      </c>
      <c r="Y1256" s="96">
        <f t="shared" si="3567"/>
        <v>0</v>
      </c>
      <c r="Z1256" s="96">
        <f t="shared" si="3568"/>
        <v>0</v>
      </c>
      <c r="AA1256" s="96"/>
      <c r="AB1256" s="96">
        <f t="shared" si="3569"/>
        <v>0</v>
      </c>
      <c r="AC1256" s="96"/>
      <c r="AD1256" s="96">
        <f t="shared" si="3570"/>
        <v>0</v>
      </c>
      <c r="AE1256" s="96"/>
      <c r="AF1256" s="95">
        <f t="shared" si="3571"/>
        <v>0</v>
      </c>
      <c r="AG1256" s="96">
        <f t="shared" si="3572"/>
        <v>0</v>
      </c>
      <c r="AH1256" s="96">
        <f t="shared" si="3573"/>
        <v>0</v>
      </c>
      <c r="AI1256" s="96">
        <f t="shared" si="3574"/>
        <v>0</v>
      </c>
      <c r="AJ1256" s="96">
        <f t="shared" si="3575"/>
        <v>0</v>
      </c>
      <c r="AK1256" s="96"/>
      <c r="AL1256" s="96">
        <f t="shared" si="3576"/>
        <v>0</v>
      </c>
      <c r="AM1256" s="96"/>
      <c r="AN1256" s="96">
        <f t="shared" si="3577"/>
        <v>0</v>
      </c>
      <c r="AO1256" s="96"/>
      <c r="AP1256" s="96">
        <f t="shared" si="3249"/>
        <v>0</v>
      </c>
      <c r="AQ1256" s="96">
        <f t="shared" si="3578"/>
        <v>0</v>
      </c>
      <c r="AR1256" s="96">
        <f t="shared" si="3579"/>
        <v>0</v>
      </c>
      <c r="AS1256" s="96"/>
      <c r="AT1256" s="96">
        <f t="shared" si="3580"/>
        <v>0</v>
      </c>
      <c r="AU1256" s="96"/>
      <c r="AV1256" s="96">
        <f t="shared" si="3581"/>
        <v>0</v>
      </c>
      <c r="AW1256" s="96"/>
      <c r="AX1256" s="96">
        <f t="shared" si="3582"/>
        <v>0</v>
      </c>
      <c r="AY1256" s="96">
        <f t="shared" si="3583"/>
        <v>0</v>
      </c>
      <c r="AZ1256" s="96">
        <f t="shared" si="3584"/>
        <v>0</v>
      </c>
      <c r="BA1256" s="96">
        <f t="shared" si="3585"/>
        <v>0</v>
      </c>
      <c r="BB1256" s="96">
        <f t="shared" si="3586"/>
        <v>0</v>
      </c>
    </row>
    <row r="1257" spans="1:54">
      <c r="A1257" s="492">
        <v>766</v>
      </c>
      <c r="B1257" s="13"/>
      <c r="C1257" s="299"/>
      <c r="D1257" s="13"/>
      <c r="E1257" s="21" t="s">
        <v>892</v>
      </c>
      <c r="F1257" s="45"/>
      <c r="G1257" s="45" t="s">
        <v>1059</v>
      </c>
      <c r="H1257" s="265" t="s">
        <v>360</v>
      </c>
      <c r="I1257" s="54">
        <v>7.19</v>
      </c>
      <c r="J1257" s="162"/>
      <c r="K1257" s="54">
        <v>7.19</v>
      </c>
      <c r="L1257" s="162"/>
      <c r="M1257" s="54"/>
      <c r="N1257" s="162"/>
      <c r="O1257" s="54"/>
      <c r="P1257" s="162"/>
      <c r="Q1257" s="96">
        <f t="shared" si="3562"/>
        <v>0</v>
      </c>
      <c r="R1257" s="337">
        <f t="shared" si="3563"/>
        <v>0</v>
      </c>
      <c r="S1257" s="96"/>
      <c r="T1257" s="96">
        <f t="shared" si="3564"/>
        <v>0</v>
      </c>
      <c r="U1257" s="96"/>
      <c r="V1257" s="96">
        <f t="shared" si="3565"/>
        <v>0</v>
      </c>
      <c r="W1257" s="96"/>
      <c r="X1257" s="96">
        <f t="shared" si="3566"/>
        <v>0</v>
      </c>
      <c r="Y1257" s="96">
        <f t="shared" si="3567"/>
        <v>0</v>
      </c>
      <c r="Z1257" s="96">
        <f t="shared" si="3568"/>
        <v>0</v>
      </c>
      <c r="AA1257" s="96"/>
      <c r="AB1257" s="96">
        <f t="shared" si="3569"/>
        <v>0</v>
      </c>
      <c r="AC1257" s="96"/>
      <c r="AD1257" s="96">
        <f t="shared" si="3570"/>
        <v>0</v>
      </c>
      <c r="AE1257" s="96"/>
      <c r="AF1257" s="95">
        <f t="shared" si="3571"/>
        <v>0</v>
      </c>
      <c r="AG1257" s="96">
        <f t="shared" si="3572"/>
        <v>0</v>
      </c>
      <c r="AH1257" s="96">
        <f t="shared" si="3573"/>
        <v>0</v>
      </c>
      <c r="AI1257" s="96">
        <f t="shared" si="3574"/>
        <v>0</v>
      </c>
      <c r="AJ1257" s="96">
        <f t="shared" si="3575"/>
        <v>0</v>
      </c>
      <c r="AK1257" s="96"/>
      <c r="AL1257" s="96">
        <f t="shared" si="3576"/>
        <v>0</v>
      </c>
      <c r="AM1257" s="96"/>
      <c r="AN1257" s="96">
        <f t="shared" si="3577"/>
        <v>0</v>
      </c>
      <c r="AO1257" s="96"/>
      <c r="AP1257" s="96">
        <f t="shared" si="3249"/>
        <v>0</v>
      </c>
      <c r="AQ1257" s="96">
        <f t="shared" si="3578"/>
        <v>0</v>
      </c>
      <c r="AR1257" s="96">
        <f t="shared" si="3579"/>
        <v>0</v>
      </c>
      <c r="AS1257" s="96"/>
      <c r="AT1257" s="96">
        <f t="shared" si="3580"/>
        <v>0</v>
      </c>
      <c r="AU1257" s="96"/>
      <c r="AV1257" s="96">
        <f t="shared" si="3581"/>
        <v>0</v>
      </c>
      <c r="AW1257" s="96"/>
      <c r="AX1257" s="96">
        <f t="shared" si="3582"/>
        <v>0</v>
      </c>
      <c r="AY1257" s="96">
        <f t="shared" si="3583"/>
        <v>0</v>
      </c>
      <c r="AZ1257" s="96">
        <f t="shared" si="3584"/>
        <v>0</v>
      </c>
      <c r="BA1257" s="96">
        <f t="shared" si="3585"/>
        <v>0</v>
      </c>
      <c r="BB1257" s="96">
        <f t="shared" si="3586"/>
        <v>0</v>
      </c>
    </row>
    <row r="1258" spans="1:54">
      <c r="A1258" s="492">
        <v>765</v>
      </c>
      <c r="B1258" s="13"/>
      <c r="C1258" s="299"/>
      <c r="D1258" s="24"/>
      <c r="E1258" s="21" t="s">
        <v>1236</v>
      </c>
      <c r="F1258" s="45"/>
      <c r="G1258" s="45" t="s">
        <v>1059</v>
      </c>
      <c r="H1258" s="265" t="s">
        <v>360</v>
      </c>
      <c r="I1258" s="54">
        <v>7.93</v>
      </c>
      <c r="J1258" s="162"/>
      <c r="K1258" s="54">
        <v>7.93</v>
      </c>
      <c r="L1258" s="162"/>
      <c r="M1258" s="54"/>
      <c r="N1258" s="162"/>
      <c r="O1258" s="54"/>
      <c r="P1258" s="162"/>
      <c r="Q1258" s="96">
        <f t="shared" si="3562"/>
        <v>0</v>
      </c>
      <c r="R1258" s="337">
        <f t="shared" si="3563"/>
        <v>0</v>
      </c>
      <c r="S1258" s="96"/>
      <c r="T1258" s="96">
        <f t="shared" si="3564"/>
        <v>0</v>
      </c>
      <c r="U1258" s="96"/>
      <c r="V1258" s="96">
        <f t="shared" si="3565"/>
        <v>0</v>
      </c>
      <c r="W1258" s="96"/>
      <c r="X1258" s="96">
        <f t="shared" si="3566"/>
        <v>0</v>
      </c>
      <c r="Y1258" s="96">
        <f t="shared" si="3567"/>
        <v>0</v>
      </c>
      <c r="Z1258" s="96">
        <f t="shared" si="3568"/>
        <v>0</v>
      </c>
      <c r="AA1258" s="96"/>
      <c r="AB1258" s="96">
        <f t="shared" si="3569"/>
        <v>0</v>
      </c>
      <c r="AC1258" s="96"/>
      <c r="AD1258" s="96">
        <f t="shared" si="3570"/>
        <v>0</v>
      </c>
      <c r="AE1258" s="96"/>
      <c r="AF1258" s="95">
        <f t="shared" si="3571"/>
        <v>0</v>
      </c>
      <c r="AG1258" s="96">
        <f t="shared" si="3572"/>
        <v>0</v>
      </c>
      <c r="AH1258" s="96">
        <f t="shared" si="3573"/>
        <v>0</v>
      </c>
      <c r="AI1258" s="96">
        <f t="shared" si="3574"/>
        <v>0</v>
      </c>
      <c r="AJ1258" s="96">
        <f t="shared" si="3575"/>
        <v>0</v>
      </c>
      <c r="AK1258" s="96"/>
      <c r="AL1258" s="96">
        <f t="shared" si="3576"/>
        <v>0</v>
      </c>
      <c r="AM1258" s="96"/>
      <c r="AN1258" s="96">
        <f t="shared" si="3577"/>
        <v>0</v>
      </c>
      <c r="AO1258" s="96"/>
      <c r="AP1258" s="96">
        <f t="shared" ref="AP1258:AP1290" si="3587">M1258*AO1258*$AP$2/1000</f>
        <v>0</v>
      </c>
      <c r="AQ1258" s="96">
        <f t="shared" si="3578"/>
        <v>0</v>
      </c>
      <c r="AR1258" s="96">
        <f t="shared" si="3579"/>
        <v>0</v>
      </c>
      <c r="AS1258" s="96"/>
      <c r="AT1258" s="96">
        <f t="shared" si="3580"/>
        <v>0</v>
      </c>
      <c r="AU1258" s="96"/>
      <c r="AV1258" s="96">
        <f t="shared" si="3581"/>
        <v>0</v>
      </c>
      <c r="AW1258" s="96"/>
      <c r="AX1258" s="96">
        <f t="shared" si="3582"/>
        <v>0</v>
      </c>
      <c r="AY1258" s="96">
        <f t="shared" si="3583"/>
        <v>0</v>
      </c>
      <c r="AZ1258" s="96">
        <f t="shared" si="3584"/>
        <v>0</v>
      </c>
      <c r="BA1258" s="96">
        <f t="shared" si="3585"/>
        <v>0</v>
      </c>
      <c r="BB1258" s="96">
        <f t="shared" si="3586"/>
        <v>0</v>
      </c>
    </row>
    <row r="1259" spans="1:54">
      <c r="A1259" s="492">
        <v>767</v>
      </c>
      <c r="B1259" s="13"/>
      <c r="C1259" s="299"/>
      <c r="D1259" s="432">
        <v>36</v>
      </c>
      <c r="E1259" s="21" t="s">
        <v>1457</v>
      </c>
      <c r="F1259" s="45"/>
      <c r="G1259" s="45" t="s">
        <v>1059</v>
      </c>
      <c r="H1259" s="265" t="s">
        <v>360</v>
      </c>
      <c r="I1259" s="54">
        <v>8.89</v>
      </c>
      <c r="J1259" s="162"/>
      <c r="K1259" s="54">
        <v>8.89</v>
      </c>
      <c r="L1259" s="162"/>
      <c r="M1259" s="54"/>
      <c r="N1259" s="162"/>
      <c r="O1259" s="54"/>
      <c r="P1259" s="162"/>
      <c r="Q1259" s="96">
        <f t="shared" si="3562"/>
        <v>0</v>
      </c>
      <c r="R1259" s="337">
        <f t="shared" si="3563"/>
        <v>0</v>
      </c>
      <c r="S1259" s="96"/>
      <c r="T1259" s="96">
        <f t="shared" si="3564"/>
        <v>0</v>
      </c>
      <c r="U1259" s="96"/>
      <c r="V1259" s="96">
        <f t="shared" si="3565"/>
        <v>0</v>
      </c>
      <c r="W1259" s="96"/>
      <c r="X1259" s="96">
        <f t="shared" si="3566"/>
        <v>0</v>
      </c>
      <c r="Y1259" s="96">
        <f t="shared" si="3567"/>
        <v>0</v>
      </c>
      <c r="Z1259" s="96">
        <f t="shared" si="3568"/>
        <v>0</v>
      </c>
      <c r="AA1259" s="96"/>
      <c r="AB1259" s="96">
        <f t="shared" si="3569"/>
        <v>0</v>
      </c>
      <c r="AC1259" s="96"/>
      <c r="AD1259" s="96">
        <f t="shared" si="3570"/>
        <v>0</v>
      </c>
      <c r="AE1259" s="96"/>
      <c r="AF1259" s="95">
        <f t="shared" si="3571"/>
        <v>0</v>
      </c>
      <c r="AG1259" s="96">
        <f t="shared" si="3572"/>
        <v>0</v>
      </c>
      <c r="AH1259" s="96">
        <f t="shared" si="3573"/>
        <v>0</v>
      </c>
      <c r="AI1259" s="96">
        <f t="shared" si="3574"/>
        <v>0</v>
      </c>
      <c r="AJ1259" s="96">
        <f t="shared" si="3575"/>
        <v>0</v>
      </c>
      <c r="AK1259" s="96"/>
      <c r="AL1259" s="96">
        <f t="shared" si="3576"/>
        <v>0</v>
      </c>
      <c r="AM1259" s="96"/>
      <c r="AN1259" s="96">
        <f t="shared" si="3577"/>
        <v>0</v>
      </c>
      <c r="AO1259" s="96"/>
      <c r="AP1259" s="96">
        <f t="shared" si="3587"/>
        <v>0</v>
      </c>
      <c r="AQ1259" s="96">
        <f t="shared" si="3578"/>
        <v>0</v>
      </c>
      <c r="AR1259" s="96">
        <f t="shared" si="3579"/>
        <v>0</v>
      </c>
      <c r="AS1259" s="96"/>
      <c r="AT1259" s="96">
        <f t="shared" si="3580"/>
        <v>0</v>
      </c>
      <c r="AU1259" s="96"/>
      <c r="AV1259" s="96">
        <f t="shared" si="3581"/>
        <v>0</v>
      </c>
      <c r="AW1259" s="96"/>
      <c r="AX1259" s="96">
        <f t="shared" si="3582"/>
        <v>0</v>
      </c>
      <c r="AY1259" s="96">
        <f t="shared" si="3583"/>
        <v>0</v>
      </c>
      <c r="AZ1259" s="96">
        <f t="shared" si="3584"/>
        <v>0</v>
      </c>
      <c r="BA1259" s="96">
        <f t="shared" si="3585"/>
        <v>0</v>
      </c>
      <c r="BB1259" s="96">
        <f t="shared" si="3586"/>
        <v>0</v>
      </c>
    </row>
    <row r="1260" spans="1:54">
      <c r="A1260" s="492">
        <v>768</v>
      </c>
      <c r="B1260" s="13"/>
      <c r="C1260" s="299"/>
      <c r="D1260" s="13"/>
      <c r="E1260" s="21" t="s">
        <v>1163</v>
      </c>
      <c r="F1260" s="45"/>
      <c r="G1260" s="45" t="s">
        <v>1059</v>
      </c>
      <c r="H1260" s="265" t="s">
        <v>360</v>
      </c>
      <c r="I1260" s="54">
        <v>8.3800000000000008</v>
      </c>
      <c r="J1260" s="162"/>
      <c r="K1260" s="54">
        <v>8.3800000000000008</v>
      </c>
      <c r="L1260" s="162"/>
      <c r="M1260" s="54"/>
      <c r="N1260" s="162"/>
      <c r="O1260" s="54"/>
      <c r="P1260" s="162"/>
      <c r="Q1260" s="96">
        <f t="shared" si="3562"/>
        <v>0</v>
      </c>
      <c r="R1260" s="337">
        <f t="shared" si="3563"/>
        <v>0</v>
      </c>
      <c r="S1260" s="96"/>
      <c r="T1260" s="96">
        <f t="shared" si="3564"/>
        <v>0</v>
      </c>
      <c r="U1260" s="96"/>
      <c r="V1260" s="96">
        <f t="shared" si="3565"/>
        <v>0</v>
      </c>
      <c r="W1260" s="96"/>
      <c r="X1260" s="96">
        <f t="shared" si="3566"/>
        <v>0</v>
      </c>
      <c r="Y1260" s="96">
        <f t="shared" si="3567"/>
        <v>0</v>
      </c>
      <c r="Z1260" s="96">
        <f t="shared" si="3568"/>
        <v>0</v>
      </c>
      <c r="AA1260" s="96"/>
      <c r="AB1260" s="96">
        <f t="shared" si="3569"/>
        <v>0</v>
      </c>
      <c r="AC1260" s="96"/>
      <c r="AD1260" s="96">
        <f t="shared" si="3570"/>
        <v>0</v>
      </c>
      <c r="AE1260" s="96"/>
      <c r="AF1260" s="95">
        <f t="shared" si="3571"/>
        <v>0</v>
      </c>
      <c r="AG1260" s="96">
        <f t="shared" si="3572"/>
        <v>0</v>
      </c>
      <c r="AH1260" s="96">
        <f t="shared" si="3573"/>
        <v>0</v>
      </c>
      <c r="AI1260" s="96">
        <f t="shared" si="3574"/>
        <v>0</v>
      </c>
      <c r="AJ1260" s="96">
        <f t="shared" si="3575"/>
        <v>0</v>
      </c>
      <c r="AK1260" s="96"/>
      <c r="AL1260" s="96">
        <f t="shared" si="3576"/>
        <v>0</v>
      </c>
      <c r="AM1260" s="96"/>
      <c r="AN1260" s="96">
        <f t="shared" si="3577"/>
        <v>0</v>
      </c>
      <c r="AO1260" s="96"/>
      <c r="AP1260" s="96">
        <f t="shared" si="3587"/>
        <v>0</v>
      </c>
      <c r="AQ1260" s="96">
        <f t="shared" si="3578"/>
        <v>0</v>
      </c>
      <c r="AR1260" s="96">
        <f t="shared" si="3579"/>
        <v>0</v>
      </c>
      <c r="AS1260" s="96"/>
      <c r="AT1260" s="96">
        <f t="shared" si="3580"/>
        <v>0</v>
      </c>
      <c r="AU1260" s="96"/>
      <c r="AV1260" s="96">
        <f t="shared" si="3581"/>
        <v>0</v>
      </c>
      <c r="AW1260" s="96"/>
      <c r="AX1260" s="96">
        <f t="shared" si="3582"/>
        <v>0</v>
      </c>
      <c r="AY1260" s="96">
        <f t="shared" si="3583"/>
        <v>0</v>
      </c>
      <c r="AZ1260" s="96">
        <f t="shared" si="3584"/>
        <v>0</v>
      </c>
      <c r="BA1260" s="96">
        <f t="shared" si="3585"/>
        <v>0</v>
      </c>
      <c r="BB1260" s="96">
        <f t="shared" si="3586"/>
        <v>0</v>
      </c>
    </row>
    <row r="1261" spans="1:54">
      <c r="A1261" s="492">
        <v>769</v>
      </c>
      <c r="B1261" s="13"/>
      <c r="C1261" s="299"/>
      <c r="D1261" s="13"/>
      <c r="E1261" s="21" t="s">
        <v>891</v>
      </c>
      <c r="F1261" s="45"/>
      <c r="G1261" s="45" t="s">
        <v>1059</v>
      </c>
      <c r="H1261" s="265" t="s">
        <v>360</v>
      </c>
      <c r="I1261" s="54">
        <v>7.94</v>
      </c>
      <c r="J1261" s="162"/>
      <c r="K1261" s="54">
        <v>7.94</v>
      </c>
      <c r="L1261" s="162"/>
      <c r="M1261" s="54"/>
      <c r="N1261" s="162"/>
      <c r="O1261" s="54"/>
      <c r="P1261" s="162"/>
      <c r="Q1261" s="96">
        <f t="shared" si="3562"/>
        <v>0</v>
      </c>
      <c r="R1261" s="337">
        <f t="shared" si="3563"/>
        <v>0</v>
      </c>
      <c r="S1261" s="96"/>
      <c r="T1261" s="96">
        <f t="shared" si="3564"/>
        <v>0</v>
      </c>
      <c r="U1261" s="96"/>
      <c r="V1261" s="96">
        <f t="shared" si="3565"/>
        <v>0</v>
      </c>
      <c r="W1261" s="96"/>
      <c r="X1261" s="96">
        <f t="shared" si="3566"/>
        <v>0</v>
      </c>
      <c r="Y1261" s="96">
        <f t="shared" si="3567"/>
        <v>0</v>
      </c>
      <c r="Z1261" s="96">
        <f t="shared" si="3568"/>
        <v>0</v>
      </c>
      <c r="AA1261" s="96"/>
      <c r="AB1261" s="96">
        <f t="shared" si="3569"/>
        <v>0</v>
      </c>
      <c r="AC1261" s="96"/>
      <c r="AD1261" s="96">
        <f t="shared" si="3570"/>
        <v>0</v>
      </c>
      <c r="AE1261" s="96"/>
      <c r="AF1261" s="95">
        <f t="shared" si="3571"/>
        <v>0</v>
      </c>
      <c r="AG1261" s="96">
        <f t="shared" si="3572"/>
        <v>0</v>
      </c>
      <c r="AH1261" s="96">
        <f t="shared" si="3573"/>
        <v>0</v>
      </c>
      <c r="AI1261" s="96">
        <f t="shared" si="3574"/>
        <v>0</v>
      </c>
      <c r="AJ1261" s="96">
        <f t="shared" si="3575"/>
        <v>0</v>
      </c>
      <c r="AK1261" s="96"/>
      <c r="AL1261" s="96">
        <f t="shared" si="3576"/>
        <v>0</v>
      </c>
      <c r="AM1261" s="96"/>
      <c r="AN1261" s="96">
        <f t="shared" si="3577"/>
        <v>0</v>
      </c>
      <c r="AO1261" s="96"/>
      <c r="AP1261" s="96">
        <f t="shared" si="3587"/>
        <v>0</v>
      </c>
      <c r="AQ1261" s="96">
        <f t="shared" si="3578"/>
        <v>0</v>
      </c>
      <c r="AR1261" s="96">
        <f t="shared" si="3579"/>
        <v>0</v>
      </c>
      <c r="AS1261" s="96"/>
      <c r="AT1261" s="96">
        <f t="shared" si="3580"/>
        <v>0</v>
      </c>
      <c r="AU1261" s="96"/>
      <c r="AV1261" s="96">
        <f t="shared" si="3581"/>
        <v>0</v>
      </c>
      <c r="AW1261" s="96"/>
      <c r="AX1261" s="96">
        <f t="shared" si="3582"/>
        <v>0</v>
      </c>
      <c r="AY1261" s="96">
        <f t="shared" si="3583"/>
        <v>0</v>
      </c>
      <c r="AZ1261" s="96">
        <f t="shared" si="3584"/>
        <v>0</v>
      </c>
      <c r="BA1261" s="96">
        <f t="shared" si="3585"/>
        <v>0</v>
      </c>
      <c r="BB1261" s="96">
        <f t="shared" si="3586"/>
        <v>0</v>
      </c>
    </row>
    <row r="1262" spans="1:54">
      <c r="B1262" s="13"/>
      <c r="C1262" s="13"/>
      <c r="D1262" s="13"/>
      <c r="E1262" s="21" t="s">
        <v>1306</v>
      </c>
      <c r="F1262" s="22"/>
      <c r="G1262" s="22" t="s">
        <v>1154</v>
      </c>
      <c r="H1262" s="265" t="s">
        <v>360</v>
      </c>
      <c r="I1262" s="54">
        <v>8.89</v>
      </c>
      <c r="J1262" s="101"/>
      <c r="K1262" s="54">
        <v>8.89</v>
      </c>
      <c r="L1262" s="162"/>
      <c r="M1262" s="54"/>
      <c r="N1262" s="162"/>
      <c r="O1262" s="54"/>
      <c r="P1262" s="101"/>
      <c r="Q1262" s="96">
        <f t="shared" si="3562"/>
        <v>0</v>
      </c>
      <c r="R1262" s="337">
        <f t="shared" si="3563"/>
        <v>0</v>
      </c>
      <c r="S1262" s="96"/>
      <c r="T1262" s="96">
        <f t="shared" si="3564"/>
        <v>0</v>
      </c>
      <c r="U1262" s="96"/>
      <c r="V1262" s="176">
        <f t="shared" si="3565"/>
        <v>0</v>
      </c>
      <c r="W1262" s="206"/>
      <c r="X1262" s="205">
        <f t="shared" si="3566"/>
        <v>0</v>
      </c>
      <c r="Y1262" s="188">
        <f t="shared" si="3567"/>
        <v>0</v>
      </c>
      <c r="Z1262" s="176">
        <f t="shared" si="3568"/>
        <v>0</v>
      </c>
      <c r="AA1262" s="206"/>
      <c r="AB1262" s="205">
        <f t="shared" si="3569"/>
        <v>0</v>
      </c>
      <c r="AC1262" s="206"/>
      <c r="AD1262" s="176">
        <f t="shared" si="3570"/>
        <v>0</v>
      </c>
      <c r="AE1262" s="206"/>
      <c r="AF1262" s="205">
        <f t="shared" si="3571"/>
        <v>0</v>
      </c>
      <c r="AG1262" s="188">
        <f t="shared" si="3572"/>
        <v>0</v>
      </c>
      <c r="AH1262" s="96">
        <f t="shared" si="3573"/>
        <v>0</v>
      </c>
      <c r="AI1262" s="96">
        <f t="shared" si="3574"/>
        <v>0</v>
      </c>
      <c r="AJ1262" s="176">
        <f t="shared" si="3575"/>
        <v>0</v>
      </c>
      <c r="AK1262" s="206"/>
      <c r="AL1262" s="176">
        <f t="shared" si="3576"/>
        <v>0</v>
      </c>
      <c r="AM1262" s="243"/>
      <c r="AN1262" s="176">
        <f t="shared" si="3577"/>
        <v>0</v>
      </c>
      <c r="AO1262" s="206"/>
      <c r="AP1262" s="205">
        <f t="shared" si="3587"/>
        <v>0</v>
      </c>
      <c r="AQ1262" s="188">
        <f t="shared" si="3578"/>
        <v>0</v>
      </c>
      <c r="AR1262" s="96">
        <f t="shared" si="3579"/>
        <v>0</v>
      </c>
      <c r="AS1262" s="96"/>
      <c r="AT1262" s="176">
        <f t="shared" si="3580"/>
        <v>0</v>
      </c>
      <c r="AU1262" s="206"/>
      <c r="AV1262" s="176">
        <f t="shared" si="3581"/>
        <v>0</v>
      </c>
      <c r="AW1262" s="206"/>
      <c r="AX1262" s="205">
        <f t="shared" si="3582"/>
        <v>0</v>
      </c>
      <c r="AY1262" s="188">
        <f t="shared" si="3583"/>
        <v>0</v>
      </c>
      <c r="AZ1262" s="96">
        <f t="shared" si="3584"/>
        <v>0</v>
      </c>
      <c r="BA1262" s="96">
        <f t="shared" si="3585"/>
        <v>0</v>
      </c>
      <c r="BB1262" s="96">
        <f t="shared" si="3586"/>
        <v>0</v>
      </c>
    </row>
    <row r="1263" spans="1:54">
      <c r="A1263" s="492">
        <v>770</v>
      </c>
      <c r="B1263" s="13"/>
      <c r="C1263" s="299"/>
      <c r="D1263" s="432">
        <v>55</v>
      </c>
      <c r="E1263" s="21" t="s">
        <v>1458</v>
      </c>
      <c r="F1263" s="45"/>
      <c r="G1263" s="45" t="s">
        <v>1059</v>
      </c>
      <c r="H1263" s="265" t="s">
        <v>359</v>
      </c>
      <c r="I1263" s="54">
        <v>9.7799999999999994</v>
      </c>
      <c r="J1263" s="162"/>
      <c r="K1263" s="54">
        <v>9.7799999999999994</v>
      </c>
      <c r="L1263" s="162"/>
      <c r="M1263" s="54"/>
      <c r="N1263" s="162"/>
      <c r="O1263" s="54"/>
      <c r="P1263" s="162"/>
      <c r="Q1263" s="96">
        <f t="shared" si="3562"/>
        <v>0</v>
      </c>
      <c r="R1263" s="337">
        <f t="shared" si="3563"/>
        <v>0</v>
      </c>
      <c r="S1263" s="96"/>
      <c r="T1263" s="96">
        <f t="shared" si="3564"/>
        <v>0</v>
      </c>
      <c r="U1263" s="96"/>
      <c r="V1263" s="96">
        <f t="shared" si="3565"/>
        <v>0</v>
      </c>
      <c r="W1263" s="96"/>
      <c r="X1263" s="96">
        <f t="shared" si="3566"/>
        <v>0</v>
      </c>
      <c r="Y1263" s="96">
        <f t="shared" si="3567"/>
        <v>0</v>
      </c>
      <c r="Z1263" s="96">
        <f t="shared" si="3568"/>
        <v>0</v>
      </c>
      <c r="AA1263" s="96"/>
      <c r="AB1263" s="96">
        <f t="shared" si="3569"/>
        <v>0</v>
      </c>
      <c r="AC1263" s="96"/>
      <c r="AD1263" s="96">
        <f t="shared" si="3570"/>
        <v>0</v>
      </c>
      <c r="AE1263" s="96"/>
      <c r="AF1263" s="95">
        <f t="shared" si="3571"/>
        <v>0</v>
      </c>
      <c r="AG1263" s="96">
        <f t="shared" si="3572"/>
        <v>0</v>
      </c>
      <c r="AH1263" s="96">
        <f t="shared" si="3573"/>
        <v>0</v>
      </c>
      <c r="AI1263" s="96">
        <f t="shared" si="3574"/>
        <v>0</v>
      </c>
      <c r="AJ1263" s="96">
        <f t="shared" si="3575"/>
        <v>0</v>
      </c>
      <c r="AK1263" s="96"/>
      <c r="AL1263" s="96">
        <f t="shared" si="3576"/>
        <v>0</v>
      </c>
      <c r="AM1263" s="96"/>
      <c r="AN1263" s="96">
        <f t="shared" si="3577"/>
        <v>0</v>
      </c>
      <c r="AO1263" s="96"/>
      <c r="AP1263" s="96">
        <f t="shared" si="3587"/>
        <v>0</v>
      </c>
      <c r="AQ1263" s="96">
        <f t="shared" si="3578"/>
        <v>0</v>
      </c>
      <c r="AR1263" s="96">
        <f t="shared" si="3579"/>
        <v>0</v>
      </c>
      <c r="AS1263" s="96"/>
      <c r="AT1263" s="96">
        <f t="shared" si="3580"/>
        <v>0</v>
      </c>
      <c r="AU1263" s="96"/>
      <c r="AV1263" s="96">
        <f t="shared" si="3581"/>
        <v>0</v>
      </c>
      <c r="AW1263" s="96"/>
      <c r="AX1263" s="96">
        <f t="shared" si="3582"/>
        <v>0</v>
      </c>
      <c r="AY1263" s="96">
        <f t="shared" si="3583"/>
        <v>0</v>
      </c>
      <c r="AZ1263" s="96">
        <f t="shared" si="3584"/>
        <v>0</v>
      </c>
      <c r="BA1263" s="96">
        <f t="shared" si="3585"/>
        <v>0</v>
      </c>
      <c r="BB1263" s="96">
        <f t="shared" si="3586"/>
        <v>0</v>
      </c>
    </row>
    <row r="1264" spans="1:54">
      <c r="A1264" s="492">
        <v>771</v>
      </c>
      <c r="B1264" s="13"/>
      <c r="C1264" s="299"/>
      <c r="D1264" s="13"/>
      <c r="E1264" s="13" t="s">
        <v>917</v>
      </c>
      <c r="F1264" s="23"/>
      <c r="G1264" s="23" t="s">
        <v>1059</v>
      </c>
      <c r="H1264" s="266" t="s">
        <v>360</v>
      </c>
      <c r="I1264" s="73">
        <v>8.74</v>
      </c>
      <c r="J1264" s="170"/>
      <c r="K1264" s="73">
        <v>8.74</v>
      </c>
      <c r="L1264" s="170"/>
      <c r="M1264" s="73"/>
      <c r="N1264" s="170"/>
      <c r="O1264" s="73"/>
      <c r="P1264" s="170"/>
      <c r="Q1264" s="118">
        <f t="shared" si="3562"/>
        <v>0</v>
      </c>
      <c r="R1264" s="344">
        <f t="shared" si="3563"/>
        <v>0</v>
      </c>
      <c r="S1264" s="118"/>
      <c r="T1264" s="118">
        <f t="shared" si="3564"/>
        <v>0</v>
      </c>
      <c r="U1264" s="118"/>
      <c r="V1264" s="118">
        <f t="shared" si="3565"/>
        <v>0</v>
      </c>
      <c r="W1264" s="118"/>
      <c r="X1264" s="118">
        <f t="shared" si="3566"/>
        <v>0</v>
      </c>
      <c r="Y1264" s="118">
        <f t="shared" si="3567"/>
        <v>0</v>
      </c>
      <c r="Z1264" s="118">
        <f t="shared" si="3568"/>
        <v>0</v>
      </c>
      <c r="AA1264" s="118"/>
      <c r="AB1264" s="118">
        <f t="shared" si="3569"/>
        <v>0</v>
      </c>
      <c r="AC1264" s="118"/>
      <c r="AD1264" s="118">
        <f t="shared" si="3570"/>
        <v>0</v>
      </c>
      <c r="AE1264" s="118"/>
      <c r="AF1264" s="515">
        <f t="shared" si="3571"/>
        <v>0</v>
      </c>
      <c r="AG1264" s="118">
        <f t="shared" si="3572"/>
        <v>0</v>
      </c>
      <c r="AH1264" s="118">
        <f t="shared" si="3573"/>
        <v>0</v>
      </c>
      <c r="AI1264" s="118">
        <f t="shared" si="3574"/>
        <v>0</v>
      </c>
      <c r="AJ1264" s="118">
        <f t="shared" si="3575"/>
        <v>0</v>
      </c>
      <c r="AK1264" s="118"/>
      <c r="AL1264" s="118">
        <f t="shared" si="3576"/>
        <v>0</v>
      </c>
      <c r="AM1264" s="118"/>
      <c r="AN1264" s="118">
        <f t="shared" si="3577"/>
        <v>0</v>
      </c>
      <c r="AO1264" s="118"/>
      <c r="AP1264" s="118">
        <f t="shared" si="3587"/>
        <v>0</v>
      </c>
      <c r="AQ1264" s="118">
        <f t="shared" si="3578"/>
        <v>0</v>
      </c>
      <c r="AR1264" s="118">
        <f t="shared" si="3579"/>
        <v>0</v>
      </c>
      <c r="AS1264" s="118"/>
      <c r="AT1264" s="118">
        <f t="shared" si="3580"/>
        <v>0</v>
      </c>
      <c r="AU1264" s="118"/>
      <c r="AV1264" s="118">
        <f t="shared" si="3581"/>
        <v>0</v>
      </c>
      <c r="AW1264" s="118"/>
      <c r="AX1264" s="118">
        <f t="shared" si="3582"/>
        <v>0</v>
      </c>
      <c r="AY1264" s="118">
        <f t="shared" si="3583"/>
        <v>0</v>
      </c>
      <c r="AZ1264" s="118">
        <f t="shared" si="3584"/>
        <v>0</v>
      </c>
      <c r="BA1264" s="118">
        <f t="shared" si="3585"/>
        <v>0</v>
      </c>
      <c r="BB1264" s="118">
        <f t="shared" si="3586"/>
        <v>0</v>
      </c>
    </row>
    <row r="1265" spans="1:54">
      <c r="A1265" s="492">
        <v>771</v>
      </c>
      <c r="B1265" s="13"/>
      <c r="C1265" s="299"/>
      <c r="D1265" s="13"/>
      <c r="E1265" s="21" t="s">
        <v>1468</v>
      </c>
      <c r="F1265" s="45"/>
      <c r="G1265" s="45" t="s">
        <v>1059</v>
      </c>
      <c r="H1265" s="265" t="s">
        <v>360</v>
      </c>
      <c r="I1265" s="54">
        <v>9.7799999999999994</v>
      </c>
      <c r="J1265" s="162"/>
      <c r="K1265" s="54">
        <v>9.7799999999999994</v>
      </c>
      <c r="L1265" s="162"/>
      <c r="M1265" s="54"/>
      <c r="N1265" s="162"/>
      <c r="O1265" s="54"/>
      <c r="P1265" s="162"/>
      <c r="Q1265" s="96">
        <f t="shared" si="3562"/>
        <v>0</v>
      </c>
      <c r="R1265" s="337">
        <f t="shared" si="3563"/>
        <v>0</v>
      </c>
      <c r="S1265" s="96"/>
      <c r="T1265" s="96">
        <f t="shared" si="3564"/>
        <v>0</v>
      </c>
      <c r="U1265" s="96"/>
      <c r="V1265" s="96">
        <f t="shared" si="3565"/>
        <v>0</v>
      </c>
      <c r="W1265" s="96"/>
      <c r="X1265" s="96">
        <f t="shared" si="3566"/>
        <v>0</v>
      </c>
      <c r="Y1265" s="96">
        <f t="shared" si="3567"/>
        <v>0</v>
      </c>
      <c r="Z1265" s="96">
        <f t="shared" si="3568"/>
        <v>0</v>
      </c>
      <c r="AA1265" s="96"/>
      <c r="AB1265" s="96">
        <f t="shared" si="3569"/>
        <v>0</v>
      </c>
      <c r="AC1265" s="96"/>
      <c r="AD1265" s="96">
        <f t="shared" si="3570"/>
        <v>0</v>
      </c>
      <c r="AE1265" s="96"/>
      <c r="AF1265" s="95">
        <f t="shared" si="3571"/>
        <v>0</v>
      </c>
      <c r="AG1265" s="96">
        <f t="shared" si="3572"/>
        <v>0</v>
      </c>
      <c r="AH1265" s="96">
        <f t="shared" si="3573"/>
        <v>0</v>
      </c>
      <c r="AI1265" s="96">
        <f t="shared" si="3574"/>
        <v>0</v>
      </c>
      <c r="AJ1265" s="96">
        <f t="shared" si="3575"/>
        <v>0</v>
      </c>
      <c r="AK1265" s="96"/>
      <c r="AL1265" s="96">
        <f t="shared" si="3576"/>
        <v>0</v>
      </c>
      <c r="AM1265" s="96"/>
      <c r="AN1265" s="96">
        <f t="shared" si="3577"/>
        <v>0</v>
      </c>
      <c r="AO1265" s="96"/>
      <c r="AP1265" s="96">
        <f t="shared" si="3587"/>
        <v>0</v>
      </c>
      <c r="AQ1265" s="96">
        <f t="shared" si="3578"/>
        <v>0</v>
      </c>
      <c r="AR1265" s="96">
        <f t="shared" si="3579"/>
        <v>0</v>
      </c>
      <c r="AS1265" s="96"/>
      <c r="AT1265" s="96">
        <f t="shared" si="3580"/>
        <v>0</v>
      </c>
      <c r="AU1265" s="96"/>
      <c r="AV1265" s="96">
        <f t="shared" si="3581"/>
        <v>0</v>
      </c>
      <c r="AW1265" s="96"/>
      <c r="AX1265" s="96">
        <f t="shared" si="3582"/>
        <v>0</v>
      </c>
      <c r="AY1265" s="96">
        <f t="shared" si="3583"/>
        <v>0</v>
      </c>
      <c r="AZ1265" s="96">
        <f t="shared" si="3584"/>
        <v>0</v>
      </c>
      <c r="BA1265" s="96">
        <f t="shared" si="3585"/>
        <v>0</v>
      </c>
      <c r="BB1265" s="96">
        <f t="shared" si="3586"/>
        <v>0</v>
      </c>
    </row>
    <row r="1266" spans="1:54">
      <c r="A1266" s="492">
        <v>772</v>
      </c>
      <c r="B1266" s="13"/>
      <c r="C1266" s="299"/>
      <c r="D1266" s="24"/>
      <c r="E1266" s="89" t="s">
        <v>1339</v>
      </c>
      <c r="F1266" s="424"/>
      <c r="G1266" s="424" t="s">
        <v>1059</v>
      </c>
      <c r="H1266" s="284" t="s">
        <v>359</v>
      </c>
      <c r="I1266" s="75">
        <v>9.59</v>
      </c>
      <c r="J1266" s="167"/>
      <c r="K1266" s="75">
        <v>9.59</v>
      </c>
      <c r="L1266" s="167"/>
      <c r="M1266" s="75"/>
      <c r="N1266" s="167"/>
      <c r="O1266" s="75"/>
      <c r="P1266" s="167"/>
      <c r="Q1266" s="130">
        <f t="shared" si="3562"/>
        <v>0</v>
      </c>
      <c r="R1266" s="347">
        <f t="shared" si="3563"/>
        <v>0</v>
      </c>
      <c r="S1266" s="130"/>
      <c r="T1266" s="130">
        <f t="shared" si="3564"/>
        <v>0</v>
      </c>
      <c r="U1266" s="130"/>
      <c r="V1266" s="130">
        <f t="shared" si="3565"/>
        <v>0</v>
      </c>
      <c r="W1266" s="130"/>
      <c r="X1266" s="130">
        <f t="shared" si="3566"/>
        <v>0</v>
      </c>
      <c r="Y1266" s="130">
        <f t="shared" si="3567"/>
        <v>0</v>
      </c>
      <c r="Z1266" s="130">
        <f t="shared" si="3568"/>
        <v>0</v>
      </c>
      <c r="AA1266" s="130"/>
      <c r="AB1266" s="130">
        <f t="shared" si="3569"/>
        <v>0</v>
      </c>
      <c r="AC1266" s="130"/>
      <c r="AD1266" s="130">
        <f t="shared" si="3570"/>
        <v>0</v>
      </c>
      <c r="AE1266" s="130"/>
      <c r="AF1266" s="428">
        <f t="shared" si="3571"/>
        <v>0</v>
      </c>
      <c r="AG1266" s="130">
        <f t="shared" si="3572"/>
        <v>0</v>
      </c>
      <c r="AH1266" s="130">
        <f t="shared" si="3573"/>
        <v>0</v>
      </c>
      <c r="AI1266" s="130">
        <f t="shared" si="3574"/>
        <v>0</v>
      </c>
      <c r="AJ1266" s="130">
        <f t="shared" si="3575"/>
        <v>0</v>
      </c>
      <c r="AK1266" s="130"/>
      <c r="AL1266" s="130">
        <f t="shared" si="3576"/>
        <v>0</v>
      </c>
      <c r="AM1266" s="130"/>
      <c r="AN1266" s="130">
        <f t="shared" si="3577"/>
        <v>0</v>
      </c>
      <c r="AO1266" s="130"/>
      <c r="AP1266" s="130">
        <f t="shared" si="3587"/>
        <v>0</v>
      </c>
      <c r="AQ1266" s="130">
        <f t="shared" si="3578"/>
        <v>0</v>
      </c>
      <c r="AR1266" s="130">
        <f t="shared" si="3579"/>
        <v>0</v>
      </c>
      <c r="AS1266" s="130"/>
      <c r="AT1266" s="130">
        <f t="shared" si="3580"/>
        <v>0</v>
      </c>
      <c r="AU1266" s="130"/>
      <c r="AV1266" s="130">
        <f t="shared" si="3581"/>
        <v>0</v>
      </c>
      <c r="AW1266" s="130"/>
      <c r="AX1266" s="130">
        <f t="shared" si="3582"/>
        <v>0</v>
      </c>
      <c r="AY1266" s="130">
        <f t="shared" si="3583"/>
        <v>0</v>
      </c>
      <c r="AZ1266" s="130">
        <f t="shared" si="3584"/>
        <v>0</v>
      </c>
      <c r="BA1266" s="130">
        <f t="shared" si="3585"/>
        <v>0</v>
      </c>
      <c r="BB1266" s="130">
        <f t="shared" si="3586"/>
        <v>0</v>
      </c>
    </row>
    <row r="1267" spans="1:54">
      <c r="A1267" s="492">
        <v>773</v>
      </c>
      <c r="B1267" s="13"/>
      <c r="C1267" s="299"/>
      <c r="D1267" s="432">
        <v>96</v>
      </c>
      <c r="E1267" s="21" t="s">
        <v>1347</v>
      </c>
      <c r="F1267" s="45"/>
      <c r="G1267" s="45" t="s">
        <v>1059</v>
      </c>
      <c r="H1267" s="265" t="s">
        <v>359</v>
      </c>
      <c r="I1267" s="54">
        <v>15.52</v>
      </c>
      <c r="J1267" s="162"/>
      <c r="K1267" s="54">
        <v>15.52</v>
      </c>
      <c r="L1267" s="162"/>
      <c r="M1267" s="54"/>
      <c r="N1267" s="162"/>
      <c r="O1267" s="54"/>
      <c r="P1267" s="162"/>
      <c r="Q1267" s="96">
        <f t="shared" si="3562"/>
        <v>0</v>
      </c>
      <c r="R1267" s="337">
        <f t="shared" si="3563"/>
        <v>0</v>
      </c>
      <c r="S1267" s="96"/>
      <c r="T1267" s="96">
        <f t="shared" si="3564"/>
        <v>0</v>
      </c>
      <c r="U1267" s="96"/>
      <c r="V1267" s="96">
        <f t="shared" si="3565"/>
        <v>0</v>
      </c>
      <c r="W1267" s="96"/>
      <c r="X1267" s="96">
        <f t="shared" si="3566"/>
        <v>0</v>
      </c>
      <c r="Y1267" s="96">
        <f t="shared" si="3567"/>
        <v>0</v>
      </c>
      <c r="Z1267" s="96">
        <f t="shared" si="3568"/>
        <v>0</v>
      </c>
      <c r="AA1267" s="96"/>
      <c r="AB1267" s="96">
        <f t="shared" si="3569"/>
        <v>0</v>
      </c>
      <c r="AC1267" s="96"/>
      <c r="AD1267" s="96">
        <f t="shared" si="3570"/>
        <v>0</v>
      </c>
      <c r="AE1267" s="96"/>
      <c r="AF1267" s="95">
        <f t="shared" si="3571"/>
        <v>0</v>
      </c>
      <c r="AG1267" s="96">
        <f t="shared" si="3572"/>
        <v>0</v>
      </c>
      <c r="AH1267" s="96">
        <f t="shared" si="3573"/>
        <v>0</v>
      </c>
      <c r="AI1267" s="96">
        <f t="shared" si="3574"/>
        <v>0</v>
      </c>
      <c r="AJ1267" s="96">
        <f t="shared" si="3575"/>
        <v>0</v>
      </c>
      <c r="AK1267" s="96"/>
      <c r="AL1267" s="96">
        <f t="shared" si="3576"/>
        <v>0</v>
      </c>
      <c r="AM1267" s="96"/>
      <c r="AN1267" s="96">
        <f t="shared" si="3577"/>
        <v>0</v>
      </c>
      <c r="AO1267" s="96"/>
      <c r="AP1267" s="96">
        <f t="shared" si="3587"/>
        <v>0</v>
      </c>
      <c r="AQ1267" s="96">
        <f t="shared" si="3578"/>
        <v>0</v>
      </c>
      <c r="AR1267" s="96">
        <f t="shared" si="3579"/>
        <v>0</v>
      </c>
      <c r="AS1267" s="96"/>
      <c r="AT1267" s="96">
        <f t="shared" si="3580"/>
        <v>0</v>
      </c>
      <c r="AU1267" s="96"/>
      <c r="AV1267" s="96">
        <f t="shared" si="3581"/>
        <v>0</v>
      </c>
      <c r="AW1267" s="96"/>
      <c r="AX1267" s="96">
        <f t="shared" si="3582"/>
        <v>0</v>
      </c>
      <c r="AY1267" s="96">
        <f t="shared" si="3583"/>
        <v>0</v>
      </c>
      <c r="AZ1267" s="96">
        <f t="shared" si="3584"/>
        <v>0</v>
      </c>
      <c r="BA1267" s="96">
        <f t="shared" si="3585"/>
        <v>0</v>
      </c>
      <c r="BB1267" s="96">
        <f t="shared" si="3586"/>
        <v>0</v>
      </c>
    </row>
    <row r="1268" spans="1:54">
      <c r="A1268" s="492">
        <v>774</v>
      </c>
      <c r="B1268" s="13"/>
      <c r="C1268" s="299"/>
      <c r="D1268" s="13"/>
      <c r="E1268" s="24" t="s">
        <v>1164</v>
      </c>
      <c r="F1268" s="366"/>
      <c r="G1268" s="366" t="s">
        <v>1059</v>
      </c>
      <c r="H1268" s="282" t="s">
        <v>360</v>
      </c>
      <c r="I1268" s="79">
        <v>14.92</v>
      </c>
      <c r="J1268" s="171"/>
      <c r="K1268" s="79">
        <v>14.92</v>
      </c>
      <c r="L1268" s="171"/>
      <c r="M1268" s="79"/>
      <c r="N1268" s="171"/>
      <c r="O1268" s="79"/>
      <c r="P1268" s="171"/>
      <c r="Q1268" s="133">
        <f t="shared" si="3562"/>
        <v>0</v>
      </c>
      <c r="R1268" s="342">
        <f t="shared" si="3563"/>
        <v>0</v>
      </c>
      <c r="S1268" s="133"/>
      <c r="T1268" s="133">
        <f t="shared" si="3564"/>
        <v>0</v>
      </c>
      <c r="U1268" s="133"/>
      <c r="V1268" s="133">
        <f t="shared" si="3565"/>
        <v>0</v>
      </c>
      <c r="W1268" s="133"/>
      <c r="X1268" s="133">
        <f t="shared" si="3566"/>
        <v>0</v>
      </c>
      <c r="Y1268" s="133">
        <f t="shared" si="3567"/>
        <v>0</v>
      </c>
      <c r="Z1268" s="133">
        <f t="shared" si="3568"/>
        <v>0</v>
      </c>
      <c r="AA1268" s="133"/>
      <c r="AB1268" s="133">
        <f t="shared" si="3569"/>
        <v>0</v>
      </c>
      <c r="AC1268" s="133"/>
      <c r="AD1268" s="133">
        <f t="shared" si="3570"/>
        <v>0</v>
      </c>
      <c r="AE1268" s="133"/>
      <c r="AF1268" s="405">
        <f t="shared" si="3571"/>
        <v>0</v>
      </c>
      <c r="AG1268" s="133">
        <f t="shared" si="3572"/>
        <v>0</v>
      </c>
      <c r="AH1268" s="133">
        <f t="shared" si="3573"/>
        <v>0</v>
      </c>
      <c r="AI1268" s="133">
        <f t="shared" si="3574"/>
        <v>0</v>
      </c>
      <c r="AJ1268" s="133">
        <f t="shared" si="3575"/>
        <v>0</v>
      </c>
      <c r="AK1268" s="133"/>
      <c r="AL1268" s="133">
        <f t="shared" si="3576"/>
        <v>0</v>
      </c>
      <c r="AM1268" s="133"/>
      <c r="AN1268" s="133">
        <f t="shared" si="3577"/>
        <v>0</v>
      </c>
      <c r="AO1268" s="133"/>
      <c r="AP1268" s="133">
        <f t="shared" si="3587"/>
        <v>0</v>
      </c>
      <c r="AQ1268" s="133">
        <f t="shared" si="3578"/>
        <v>0</v>
      </c>
      <c r="AR1268" s="133">
        <f t="shared" si="3579"/>
        <v>0</v>
      </c>
      <c r="AS1268" s="133"/>
      <c r="AT1268" s="133">
        <f t="shared" si="3580"/>
        <v>0</v>
      </c>
      <c r="AU1268" s="133"/>
      <c r="AV1268" s="133">
        <f t="shared" si="3581"/>
        <v>0</v>
      </c>
      <c r="AW1268" s="133"/>
      <c r="AX1268" s="133">
        <f t="shared" si="3582"/>
        <v>0</v>
      </c>
      <c r="AY1268" s="133">
        <f t="shared" si="3583"/>
        <v>0</v>
      </c>
      <c r="AZ1268" s="133">
        <f t="shared" si="3584"/>
        <v>0</v>
      </c>
      <c r="BA1268" s="133">
        <f t="shared" si="3585"/>
        <v>0</v>
      </c>
      <c r="BB1268" s="133">
        <f t="shared" si="3586"/>
        <v>0</v>
      </c>
    </row>
    <row r="1269" spans="1:54">
      <c r="A1269" s="492" t="s">
        <v>1624</v>
      </c>
      <c r="B1269" s="13"/>
      <c r="C1269" s="299"/>
      <c r="D1269" s="52"/>
      <c r="E1269" s="31" t="s">
        <v>1625</v>
      </c>
      <c r="F1269" s="310"/>
      <c r="G1269" s="310" t="s">
        <v>1059</v>
      </c>
      <c r="H1269" s="271" t="s">
        <v>359</v>
      </c>
      <c r="I1269" s="61">
        <v>8.18</v>
      </c>
      <c r="J1269" s="163"/>
      <c r="K1269" s="61">
        <v>8.18</v>
      </c>
      <c r="L1269" s="163"/>
      <c r="M1269" s="61"/>
      <c r="N1269" s="163"/>
      <c r="O1269" s="61"/>
      <c r="P1269" s="163"/>
      <c r="Q1269" s="121">
        <f t="shared" si="3562"/>
        <v>0</v>
      </c>
      <c r="R1269" s="341">
        <f t="shared" si="3563"/>
        <v>0</v>
      </c>
      <c r="S1269" s="121"/>
      <c r="T1269" s="121">
        <f t="shared" si="3564"/>
        <v>0</v>
      </c>
      <c r="U1269" s="121"/>
      <c r="V1269" s="121">
        <f t="shared" si="3565"/>
        <v>0</v>
      </c>
      <c r="W1269" s="121"/>
      <c r="X1269" s="121">
        <f t="shared" si="3566"/>
        <v>0</v>
      </c>
      <c r="Y1269" s="121">
        <f t="shared" si="3567"/>
        <v>0</v>
      </c>
      <c r="Z1269" s="121">
        <f t="shared" si="3568"/>
        <v>0</v>
      </c>
      <c r="AA1269" s="121"/>
      <c r="AB1269" s="121">
        <f t="shared" si="3569"/>
        <v>0</v>
      </c>
      <c r="AC1269" s="121"/>
      <c r="AD1269" s="121">
        <f t="shared" si="3570"/>
        <v>0</v>
      </c>
      <c r="AE1269" s="121"/>
      <c r="AF1269" s="124">
        <f t="shared" si="3571"/>
        <v>0</v>
      </c>
      <c r="AG1269" s="121">
        <f t="shared" si="3572"/>
        <v>0</v>
      </c>
      <c r="AH1269" s="121">
        <f t="shared" si="3573"/>
        <v>0</v>
      </c>
      <c r="AI1269" s="121">
        <f t="shared" si="3574"/>
        <v>0</v>
      </c>
      <c r="AJ1269" s="121">
        <f t="shared" si="3575"/>
        <v>0</v>
      </c>
      <c r="AK1269" s="121"/>
      <c r="AL1269" s="121">
        <f t="shared" si="3576"/>
        <v>0</v>
      </c>
      <c r="AM1269" s="121"/>
      <c r="AN1269" s="121">
        <f t="shared" si="3577"/>
        <v>0</v>
      </c>
      <c r="AO1269" s="121"/>
      <c r="AP1269" s="121">
        <f t="shared" si="3587"/>
        <v>0</v>
      </c>
      <c r="AQ1269" s="121">
        <f t="shared" si="3578"/>
        <v>0</v>
      </c>
      <c r="AR1269" s="121">
        <f t="shared" si="3579"/>
        <v>0</v>
      </c>
      <c r="AS1269" s="121"/>
      <c r="AT1269" s="121">
        <f t="shared" si="3580"/>
        <v>0</v>
      </c>
      <c r="AU1269" s="121"/>
      <c r="AV1269" s="121">
        <f t="shared" si="3581"/>
        <v>0</v>
      </c>
      <c r="AW1269" s="121"/>
      <c r="AX1269" s="121">
        <f t="shared" si="3582"/>
        <v>0</v>
      </c>
      <c r="AY1269" s="121">
        <f t="shared" si="3583"/>
        <v>0</v>
      </c>
      <c r="AZ1269" s="121">
        <f t="shared" si="3584"/>
        <v>0</v>
      </c>
      <c r="BA1269" s="121">
        <f t="shared" si="3585"/>
        <v>0</v>
      </c>
      <c r="BB1269" s="121">
        <f t="shared" si="3586"/>
        <v>0</v>
      </c>
    </row>
    <row r="1270" spans="1:54">
      <c r="A1270" s="492">
        <v>771</v>
      </c>
      <c r="B1270" s="13"/>
      <c r="C1270" s="299"/>
      <c r="D1270" s="13"/>
      <c r="E1270" s="21" t="s">
        <v>2153</v>
      </c>
      <c r="F1270" s="45"/>
      <c r="G1270" s="45" t="s">
        <v>1059</v>
      </c>
      <c r="H1270" s="265" t="s">
        <v>359</v>
      </c>
      <c r="I1270" s="54">
        <v>8.02</v>
      </c>
      <c r="J1270" s="162"/>
      <c r="K1270" s="54">
        <v>8.02</v>
      </c>
      <c r="L1270" s="162"/>
      <c r="M1270" s="54"/>
      <c r="N1270" s="162"/>
      <c r="O1270" s="54"/>
      <c r="P1270" s="162"/>
      <c r="Q1270" s="96">
        <f t="shared" ref="Q1270" si="3588">SUM(AI1270+BA1270)</f>
        <v>0.05</v>
      </c>
      <c r="R1270" s="337">
        <f t="shared" ref="R1270" si="3589">SUM(AJ1270+BB1270)</f>
        <v>0.60245037000000001</v>
      </c>
      <c r="S1270" s="96"/>
      <c r="T1270" s="96">
        <f t="shared" ref="T1270" si="3590">I1270*S1270*$T$2/1000</f>
        <v>0</v>
      </c>
      <c r="U1270" s="96"/>
      <c r="V1270" s="96">
        <f t="shared" ref="V1270" si="3591">I1270*U1270*$V$2/1000</f>
        <v>0</v>
      </c>
      <c r="W1270" s="96">
        <v>0.05</v>
      </c>
      <c r="X1270" s="96">
        <f t="shared" ref="X1270" si="3592">I1270*W1270*$X$2/1000</f>
        <v>0.60245037000000001</v>
      </c>
      <c r="Y1270" s="96">
        <f t="shared" ref="Y1270" si="3593">SUM(S1270+U1270+W1270)</f>
        <v>0.05</v>
      </c>
      <c r="Z1270" s="96">
        <f t="shared" ref="Z1270" si="3594">SUM(T1270+V1270+X1270)</f>
        <v>0.60245037000000001</v>
      </c>
      <c r="AA1270" s="96"/>
      <c r="AB1270" s="96">
        <f t="shared" ref="AB1270" si="3595">K1270*AA1270*$AB$2/1000</f>
        <v>0</v>
      </c>
      <c r="AC1270" s="96"/>
      <c r="AD1270" s="96">
        <f t="shared" ref="AD1270" si="3596">K1270*AC1270*$AD$2/1000</f>
        <v>0</v>
      </c>
      <c r="AE1270" s="96"/>
      <c r="AF1270" s="95">
        <f t="shared" ref="AF1270" si="3597">K1270*AE1270*$AF$2/1000</f>
        <v>0</v>
      </c>
      <c r="AG1270" s="96">
        <f t="shared" ref="AG1270" si="3598">SUM(AA1270+AC1270+AE1270)</f>
        <v>0</v>
      </c>
      <c r="AH1270" s="96">
        <f t="shared" ref="AH1270" si="3599">SUM(AB1270+AD1270+AF1270)</f>
        <v>0</v>
      </c>
      <c r="AI1270" s="96">
        <f t="shared" ref="AI1270" si="3600">SUM(Y1270+AG1270)</f>
        <v>0.05</v>
      </c>
      <c r="AJ1270" s="96">
        <f t="shared" ref="AJ1270" si="3601">SUM(Z1270,AH1270)</f>
        <v>0.60245037000000001</v>
      </c>
      <c r="AK1270" s="96"/>
      <c r="AL1270" s="96">
        <f t="shared" ref="AL1270" si="3602">M1270*AK1270*$AL$2/1000</f>
        <v>0</v>
      </c>
      <c r="AM1270" s="96"/>
      <c r="AN1270" s="96">
        <f t="shared" ref="AN1270" si="3603">M1270*AM1270*$AN$2/1000</f>
        <v>0</v>
      </c>
      <c r="AO1270" s="96"/>
      <c r="AP1270" s="96">
        <f t="shared" ref="AP1270" si="3604">M1270*AO1270*$AP$2/1000</f>
        <v>0</v>
      </c>
      <c r="AQ1270" s="96">
        <f t="shared" ref="AQ1270" si="3605">SUM(AK1270+AM1270+AO1270)</f>
        <v>0</v>
      </c>
      <c r="AR1270" s="96">
        <f t="shared" ref="AR1270" si="3606">SUM(AL1270+AN1270+AP1270)</f>
        <v>0</v>
      </c>
      <c r="AS1270" s="96"/>
      <c r="AT1270" s="96">
        <f t="shared" ref="AT1270" si="3607">O1270*AS1270*$AT$2/1000</f>
        <v>0</v>
      </c>
      <c r="AU1270" s="96"/>
      <c r="AV1270" s="96">
        <f t="shared" ref="AV1270" si="3608">O1270*AU1270*$AV$2/1000</f>
        <v>0</v>
      </c>
      <c r="AW1270" s="96"/>
      <c r="AX1270" s="96">
        <f t="shared" ref="AX1270" si="3609">O1270*AW1270*$AX$2/1000</f>
        <v>0</v>
      </c>
      <c r="AY1270" s="96">
        <f t="shared" ref="AY1270" si="3610">SUM(AS1270+AU1270+AW1270)</f>
        <v>0</v>
      </c>
      <c r="AZ1270" s="96">
        <f t="shared" ref="AZ1270" si="3611">SUM(AT1270+AV1270+AX1270)</f>
        <v>0</v>
      </c>
      <c r="BA1270" s="96">
        <f t="shared" ref="BA1270" si="3612">SUM(AQ1270+AY1270)</f>
        <v>0</v>
      </c>
      <c r="BB1270" s="96">
        <f t="shared" ref="BB1270" si="3613">SUM(AR1270,AZ1270)</f>
        <v>0</v>
      </c>
    </row>
    <row r="1271" spans="1:54">
      <c r="A1271" s="492">
        <v>771</v>
      </c>
      <c r="B1271" s="13"/>
      <c r="C1271" s="299"/>
      <c r="D1271" s="13"/>
      <c r="E1271" s="13" t="s">
        <v>1575</v>
      </c>
      <c r="F1271" s="23"/>
      <c r="G1271" s="23" t="s">
        <v>1059</v>
      </c>
      <c r="H1271" s="266" t="s">
        <v>359</v>
      </c>
      <c r="I1271" s="73">
        <v>8.02</v>
      </c>
      <c r="J1271" s="170"/>
      <c r="K1271" s="73">
        <v>8.02</v>
      </c>
      <c r="L1271" s="170"/>
      <c r="M1271" s="73"/>
      <c r="N1271" s="170"/>
      <c r="O1271" s="73"/>
      <c r="P1271" s="170"/>
      <c r="Q1271" s="118">
        <f t="shared" si="3562"/>
        <v>0</v>
      </c>
      <c r="R1271" s="344">
        <f t="shared" si="3563"/>
        <v>0</v>
      </c>
      <c r="S1271" s="118"/>
      <c r="T1271" s="118">
        <f t="shared" si="3564"/>
        <v>0</v>
      </c>
      <c r="U1271" s="118"/>
      <c r="V1271" s="118">
        <f t="shared" si="3565"/>
        <v>0</v>
      </c>
      <c r="W1271" s="118"/>
      <c r="X1271" s="118">
        <f t="shared" si="3566"/>
        <v>0</v>
      </c>
      <c r="Y1271" s="118">
        <f t="shared" si="3567"/>
        <v>0</v>
      </c>
      <c r="Z1271" s="118">
        <f t="shared" si="3568"/>
        <v>0</v>
      </c>
      <c r="AA1271" s="118"/>
      <c r="AB1271" s="118">
        <f t="shared" si="3569"/>
        <v>0</v>
      </c>
      <c r="AC1271" s="118"/>
      <c r="AD1271" s="118">
        <f t="shared" si="3570"/>
        <v>0</v>
      </c>
      <c r="AE1271" s="118"/>
      <c r="AF1271" s="515">
        <f t="shared" si="3571"/>
        <v>0</v>
      </c>
      <c r="AG1271" s="118">
        <f t="shared" si="3572"/>
        <v>0</v>
      </c>
      <c r="AH1271" s="118">
        <f t="shared" si="3573"/>
        <v>0</v>
      </c>
      <c r="AI1271" s="118">
        <f t="shared" si="3574"/>
        <v>0</v>
      </c>
      <c r="AJ1271" s="118">
        <f t="shared" si="3575"/>
        <v>0</v>
      </c>
      <c r="AK1271" s="118"/>
      <c r="AL1271" s="118">
        <f t="shared" si="3576"/>
        <v>0</v>
      </c>
      <c r="AM1271" s="118"/>
      <c r="AN1271" s="118">
        <f t="shared" si="3577"/>
        <v>0</v>
      </c>
      <c r="AO1271" s="118"/>
      <c r="AP1271" s="118">
        <f t="shared" si="3587"/>
        <v>0</v>
      </c>
      <c r="AQ1271" s="118">
        <f t="shared" si="3578"/>
        <v>0</v>
      </c>
      <c r="AR1271" s="118">
        <f t="shared" si="3579"/>
        <v>0</v>
      </c>
      <c r="AS1271" s="118"/>
      <c r="AT1271" s="118">
        <f t="shared" si="3580"/>
        <v>0</v>
      </c>
      <c r="AU1271" s="118"/>
      <c r="AV1271" s="118">
        <f t="shared" si="3581"/>
        <v>0</v>
      </c>
      <c r="AW1271" s="118"/>
      <c r="AX1271" s="118">
        <f t="shared" si="3582"/>
        <v>0</v>
      </c>
      <c r="AY1271" s="118">
        <f t="shared" si="3583"/>
        <v>0</v>
      </c>
      <c r="AZ1271" s="118">
        <f t="shared" si="3584"/>
        <v>0</v>
      </c>
      <c r="BA1271" s="118">
        <f t="shared" si="3585"/>
        <v>0</v>
      </c>
      <c r="BB1271" s="118">
        <f t="shared" si="3586"/>
        <v>0</v>
      </c>
    </row>
    <row r="1272" spans="1:54">
      <c r="A1272" s="492">
        <v>765</v>
      </c>
      <c r="B1272" s="13"/>
      <c r="C1272" s="299"/>
      <c r="D1272" s="13"/>
      <c r="E1272" s="21" t="s">
        <v>1513</v>
      </c>
      <c r="F1272" s="45"/>
      <c r="G1272" s="45" t="s">
        <v>1059</v>
      </c>
      <c r="H1272" s="265" t="s">
        <v>360</v>
      </c>
      <c r="I1272" s="54">
        <v>8.99</v>
      </c>
      <c r="J1272" s="162"/>
      <c r="K1272" s="54">
        <v>8.99</v>
      </c>
      <c r="L1272" s="162"/>
      <c r="M1272" s="54"/>
      <c r="N1272" s="162"/>
      <c r="O1272" s="54"/>
      <c r="P1272" s="162"/>
      <c r="Q1272" s="96">
        <f t="shared" si="3562"/>
        <v>2</v>
      </c>
      <c r="R1272" s="337">
        <f t="shared" si="3563"/>
        <v>26.1723173</v>
      </c>
      <c r="S1272" s="96">
        <v>0.5</v>
      </c>
      <c r="T1272" s="96">
        <f t="shared" si="3564"/>
        <v>6.4892067500000001</v>
      </c>
      <c r="U1272" s="96">
        <v>1</v>
      </c>
      <c r="V1272" s="96">
        <f t="shared" si="3565"/>
        <v>12.929957399999999</v>
      </c>
      <c r="W1272" s="96">
        <v>0.5</v>
      </c>
      <c r="X1272" s="96">
        <f t="shared" si="3566"/>
        <v>6.7531531500000002</v>
      </c>
      <c r="Y1272" s="96">
        <f t="shared" si="3567"/>
        <v>2</v>
      </c>
      <c r="Z1272" s="96">
        <f t="shared" si="3568"/>
        <v>26.1723173</v>
      </c>
      <c r="AA1272" s="96"/>
      <c r="AB1272" s="96">
        <f t="shared" si="3569"/>
        <v>0</v>
      </c>
      <c r="AC1272" s="96"/>
      <c r="AD1272" s="96">
        <f t="shared" si="3570"/>
        <v>0</v>
      </c>
      <c r="AE1272" s="96"/>
      <c r="AF1272" s="95">
        <f t="shared" si="3571"/>
        <v>0</v>
      </c>
      <c r="AG1272" s="96">
        <f t="shared" si="3572"/>
        <v>0</v>
      </c>
      <c r="AH1272" s="96">
        <f t="shared" si="3573"/>
        <v>0</v>
      </c>
      <c r="AI1272" s="96">
        <f t="shared" si="3574"/>
        <v>2</v>
      </c>
      <c r="AJ1272" s="96">
        <f t="shared" si="3575"/>
        <v>26.1723173</v>
      </c>
      <c r="AK1272" s="96"/>
      <c r="AL1272" s="96">
        <f t="shared" si="3576"/>
        <v>0</v>
      </c>
      <c r="AM1272" s="96"/>
      <c r="AN1272" s="96">
        <f t="shared" si="3577"/>
        <v>0</v>
      </c>
      <c r="AO1272" s="96"/>
      <c r="AP1272" s="96">
        <f t="shared" si="3587"/>
        <v>0</v>
      </c>
      <c r="AQ1272" s="96">
        <f t="shared" si="3578"/>
        <v>0</v>
      </c>
      <c r="AR1272" s="96">
        <f t="shared" si="3579"/>
        <v>0</v>
      </c>
      <c r="AS1272" s="96"/>
      <c r="AT1272" s="96">
        <f t="shared" si="3580"/>
        <v>0</v>
      </c>
      <c r="AU1272" s="96"/>
      <c r="AV1272" s="96">
        <f t="shared" si="3581"/>
        <v>0</v>
      </c>
      <c r="AW1272" s="96"/>
      <c r="AX1272" s="96">
        <f t="shared" si="3582"/>
        <v>0</v>
      </c>
      <c r="AY1272" s="96">
        <f t="shared" si="3583"/>
        <v>0</v>
      </c>
      <c r="AZ1272" s="96">
        <f t="shared" si="3584"/>
        <v>0</v>
      </c>
      <c r="BA1272" s="96">
        <f t="shared" si="3585"/>
        <v>0</v>
      </c>
      <c r="BB1272" s="96">
        <f t="shared" si="3586"/>
        <v>0</v>
      </c>
    </row>
    <row r="1273" spans="1:54">
      <c r="A1273" s="492">
        <v>766</v>
      </c>
      <c r="B1273" s="13"/>
      <c r="C1273" s="299"/>
      <c r="D1273" s="13"/>
      <c r="E1273" s="21" t="s">
        <v>2563</v>
      </c>
      <c r="F1273" s="45"/>
      <c r="G1273" s="45" t="s">
        <v>1059</v>
      </c>
      <c r="H1273" s="265" t="s">
        <v>359</v>
      </c>
      <c r="I1273" s="54">
        <v>8.81</v>
      </c>
      <c r="J1273" s="162"/>
      <c r="K1273" s="54">
        <v>8.81</v>
      </c>
      <c r="L1273" s="162"/>
      <c r="M1273" s="54"/>
      <c r="N1273" s="162"/>
      <c r="O1273" s="54"/>
      <c r="P1273" s="162"/>
      <c r="Q1273" s="96">
        <f t="shared" ref="Q1273" si="3614">SUM(AI1273+BA1273)</f>
        <v>0.15</v>
      </c>
      <c r="R1273" s="337">
        <f t="shared" ref="R1273" si="3615">SUM(AJ1273+BB1273)</f>
        <v>1.985381955</v>
      </c>
      <c r="S1273" s="96"/>
      <c r="T1273" s="96">
        <f t="shared" ref="T1273" si="3616">I1273*S1273*$T$2/1000</f>
        <v>0</v>
      </c>
      <c r="U1273" s="96"/>
      <c r="V1273" s="96">
        <f t="shared" ref="V1273" si="3617">I1273*U1273*$V$2/1000</f>
        <v>0</v>
      </c>
      <c r="W1273" s="96">
        <v>0.15</v>
      </c>
      <c r="X1273" s="96">
        <f t="shared" ref="X1273" si="3618">I1273*W1273*$X$2/1000</f>
        <v>1.985381955</v>
      </c>
      <c r="Y1273" s="96">
        <f t="shared" ref="Y1273" si="3619">SUM(S1273+U1273+W1273)</f>
        <v>0.15</v>
      </c>
      <c r="Z1273" s="96">
        <f t="shared" ref="Z1273" si="3620">SUM(T1273+V1273+X1273)</f>
        <v>1.985381955</v>
      </c>
      <c r="AA1273" s="96"/>
      <c r="AB1273" s="96">
        <f t="shared" ref="AB1273" si="3621">K1273*AA1273*$AB$2/1000</f>
        <v>0</v>
      </c>
      <c r="AC1273" s="96"/>
      <c r="AD1273" s="96">
        <f t="shared" ref="AD1273" si="3622">K1273*AC1273*$AD$2/1000</f>
        <v>0</v>
      </c>
      <c r="AE1273" s="96"/>
      <c r="AF1273" s="95">
        <f t="shared" ref="AF1273" si="3623">K1273*AE1273*$AF$2/1000</f>
        <v>0</v>
      </c>
      <c r="AG1273" s="96">
        <f t="shared" ref="AG1273" si="3624">SUM(AA1273+AC1273+AE1273)</f>
        <v>0</v>
      </c>
      <c r="AH1273" s="96">
        <f t="shared" ref="AH1273" si="3625">SUM(AB1273+AD1273+AF1273)</f>
        <v>0</v>
      </c>
      <c r="AI1273" s="96">
        <f t="shared" ref="AI1273" si="3626">SUM(Y1273+AG1273)</f>
        <v>0.15</v>
      </c>
      <c r="AJ1273" s="96">
        <f t="shared" ref="AJ1273" si="3627">SUM(Z1273,AH1273)</f>
        <v>1.985381955</v>
      </c>
      <c r="AK1273" s="96"/>
      <c r="AL1273" s="96">
        <f t="shared" ref="AL1273" si="3628">M1273*AK1273*$AL$2/1000</f>
        <v>0</v>
      </c>
      <c r="AM1273" s="96"/>
      <c r="AN1273" s="96">
        <f t="shared" ref="AN1273" si="3629">M1273*AM1273*$AN$2/1000</f>
        <v>0</v>
      </c>
      <c r="AO1273" s="96"/>
      <c r="AP1273" s="96">
        <f t="shared" ref="AP1273" si="3630">M1273*AO1273*$AP$2/1000</f>
        <v>0</v>
      </c>
      <c r="AQ1273" s="96">
        <f t="shared" ref="AQ1273" si="3631">SUM(AK1273+AM1273+AO1273)</f>
        <v>0</v>
      </c>
      <c r="AR1273" s="96">
        <f t="shared" ref="AR1273" si="3632">SUM(AL1273+AN1273+AP1273)</f>
        <v>0</v>
      </c>
      <c r="AS1273" s="96"/>
      <c r="AT1273" s="96">
        <f t="shared" ref="AT1273" si="3633">O1273*AS1273*$AT$2/1000</f>
        <v>0</v>
      </c>
      <c r="AU1273" s="96"/>
      <c r="AV1273" s="96">
        <f t="shared" ref="AV1273" si="3634">O1273*AU1273*$AV$2/1000</f>
        <v>0</v>
      </c>
      <c r="AW1273" s="96"/>
      <c r="AX1273" s="96">
        <f t="shared" ref="AX1273" si="3635">O1273*AW1273*$AX$2/1000</f>
        <v>0</v>
      </c>
      <c r="AY1273" s="96">
        <f t="shared" ref="AY1273" si="3636">SUM(AS1273+AU1273+AW1273)</f>
        <v>0</v>
      </c>
      <c r="AZ1273" s="96">
        <f t="shared" ref="AZ1273" si="3637">SUM(AT1273+AV1273+AX1273)</f>
        <v>0</v>
      </c>
      <c r="BA1273" s="96">
        <f t="shared" ref="BA1273" si="3638">SUM(AQ1273+AY1273)</f>
        <v>0</v>
      </c>
      <c r="BB1273" s="96">
        <f t="shared" ref="BB1273" si="3639">SUM(AR1273,AZ1273)</f>
        <v>0</v>
      </c>
    </row>
    <row r="1274" spans="1:54">
      <c r="A1274" s="492">
        <v>766</v>
      </c>
      <c r="B1274" s="13"/>
      <c r="C1274" s="299"/>
      <c r="D1274" s="13"/>
      <c r="E1274" s="21" t="s">
        <v>1514</v>
      </c>
      <c r="F1274" s="45"/>
      <c r="G1274" s="45" t="s">
        <v>1059</v>
      </c>
      <c r="H1274" s="265" t="s">
        <v>360</v>
      </c>
      <c r="I1274" s="54">
        <v>9.17</v>
      </c>
      <c r="J1274" s="162"/>
      <c r="K1274" s="54">
        <v>9.17</v>
      </c>
      <c r="L1274" s="162"/>
      <c r="M1274" s="54"/>
      <c r="N1274" s="162"/>
      <c r="O1274" s="54"/>
      <c r="P1274" s="162"/>
      <c r="Q1274" s="96">
        <f t="shared" si="3562"/>
        <v>0</v>
      </c>
      <c r="R1274" s="337">
        <f t="shared" si="3563"/>
        <v>0</v>
      </c>
      <c r="S1274" s="96"/>
      <c r="T1274" s="96">
        <f t="shared" si="3564"/>
        <v>0</v>
      </c>
      <c r="U1274" s="96"/>
      <c r="V1274" s="96">
        <f t="shared" si="3565"/>
        <v>0</v>
      </c>
      <c r="W1274" s="96"/>
      <c r="X1274" s="96">
        <f t="shared" si="3566"/>
        <v>0</v>
      </c>
      <c r="Y1274" s="96">
        <f t="shared" si="3567"/>
        <v>0</v>
      </c>
      <c r="Z1274" s="96">
        <f t="shared" si="3568"/>
        <v>0</v>
      </c>
      <c r="AA1274" s="96"/>
      <c r="AB1274" s="96">
        <f t="shared" si="3569"/>
        <v>0</v>
      </c>
      <c r="AC1274" s="96"/>
      <c r="AD1274" s="96">
        <f t="shared" si="3570"/>
        <v>0</v>
      </c>
      <c r="AE1274" s="96"/>
      <c r="AF1274" s="95">
        <f t="shared" si="3571"/>
        <v>0</v>
      </c>
      <c r="AG1274" s="96">
        <f t="shared" si="3572"/>
        <v>0</v>
      </c>
      <c r="AH1274" s="96">
        <f t="shared" si="3573"/>
        <v>0</v>
      </c>
      <c r="AI1274" s="96">
        <f t="shared" si="3574"/>
        <v>0</v>
      </c>
      <c r="AJ1274" s="96">
        <f t="shared" si="3575"/>
        <v>0</v>
      </c>
      <c r="AK1274" s="96"/>
      <c r="AL1274" s="96">
        <f t="shared" si="3576"/>
        <v>0</v>
      </c>
      <c r="AM1274" s="96"/>
      <c r="AN1274" s="96">
        <f t="shared" si="3577"/>
        <v>0</v>
      </c>
      <c r="AO1274" s="96"/>
      <c r="AP1274" s="96">
        <f t="shared" si="3587"/>
        <v>0</v>
      </c>
      <c r="AQ1274" s="96">
        <f t="shared" si="3578"/>
        <v>0</v>
      </c>
      <c r="AR1274" s="96">
        <f t="shared" si="3579"/>
        <v>0</v>
      </c>
      <c r="AS1274" s="96"/>
      <c r="AT1274" s="96">
        <f t="shared" si="3580"/>
        <v>0</v>
      </c>
      <c r="AU1274" s="96"/>
      <c r="AV1274" s="96">
        <f t="shared" si="3581"/>
        <v>0</v>
      </c>
      <c r="AW1274" s="96"/>
      <c r="AX1274" s="96">
        <f t="shared" si="3582"/>
        <v>0</v>
      </c>
      <c r="AY1274" s="96">
        <f t="shared" si="3583"/>
        <v>0</v>
      </c>
      <c r="AZ1274" s="96">
        <f t="shared" si="3584"/>
        <v>0</v>
      </c>
      <c r="BA1274" s="96">
        <f t="shared" si="3585"/>
        <v>0</v>
      </c>
      <c r="BB1274" s="96">
        <f t="shared" si="3586"/>
        <v>0</v>
      </c>
    </row>
    <row r="1275" spans="1:54">
      <c r="A1275" s="492">
        <v>765</v>
      </c>
      <c r="B1275" s="13"/>
      <c r="C1275" s="299"/>
      <c r="D1275" s="13"/>
      <c r="E1275" s="21" t="s">
        <v>1515</v>
      </c>
      <c r="F1275" s="45"/>
      <c r="G1275" s="45" t="s">
        <v>1059</v>
      </c>
      <c r="H1275" s="265" t="s">
        <v>360</v>
      </c>
      <c r="I1275" s="54">
        <v>8.99</v>
      </c>
      <c r="J1275" s="162"/>
      <c r="K1275" s="54">
        <v>8.99</v>
      </c>
      <c r="L1275" s="162"/>
      <c r="M1275" s="54"/>
      <c r="N1275" s="162"/>
      <c r="O1275" s="54"/>
      <c r="P1275" s="162"/>
      <c r="Q1275" s="96">
        <f t="shared" si="3562"/>
        <v>4.5</v>
      </c>
      <c r="R1275" s="337">
        <f t="shared" si="3563"/>
        <v>59.504090799999993</v>
      </c>
      <c r="S1275" s="96">
        <v>1.5</v>
      </c>
      <c r="T1275" s="96">
        <f t="shared" si="3564"/>
        <v>19.46762025</v>
      </c>
      <c r="U1275" s="96">
        <v>0.5</v>
      </c>
      <c r="V1275" s="96">
        <f t="shared" si="3565"/>
        <v>6.4649786999999996</v>
      </c>
      <c r="W1275" s="96">
        <v>1.5</v>
      </c>
      <c r="X1275" s="96">
        <f t="shared" si="3566"/>
        <v>20.259459449999998</v>
      </c>
      <c r="Y1275" s="96">
        <f t="shared" si="3567"/>
        <v>3.5</v>
      </c>
      <c r="Z1275" s="96">
        <f t="shared" si="3568"/>
        <v>46.192058399999993</v>
      </c>
      <c r="AA1275" s="96">
        <v>1</v>
      </c>
      <c r="AB1275" s="96">
        <f t="shared" si="3569"/>
        <v>13.3120324</v>
      </c>
      <c r="AC1275" s="96"/>
      <c r="AD1275" s="96">
        <f t="shared" si="3570"/>
        <v>0</v>
      </c>
      <c r="AE1275" s="96"/>
      <c r="AF1275" s="95">
        <f t="shared" si="3571"/>
        <v>0</v>
      </c>
      <c r="AG1275" s="96">
        <f t="shared" si="3572"/>
        <v>1</v>
      </c>
      <c r="AH1275" s="96">
        <f t="shared" si="3573"/>
        <v>13.3120324</v>
      </c>
      <c r="AI1275" s="96">
        <f t="shared" si="3574"/>
        <v>4.5</v>
      </c>
      <c r="AJ1275" s="96">
        <f t="shared" si="3575"/>
        <v>59.504090799999993</v>
      </c>
      <c r="AK1275" s="96"/>
      <c r="AL1275" s="96">
        <f t="shared" si="3576"/>
        <v>0</v>
      </c>
      <c r="AM1275" s="96"/>
      <c r="AN1275" s="96">
        <f t="shared" si="3577"/>
        <v>0</v>
      </c>
      <c r="AO1275" s="96"/>
      <c r="AP1275" s="96">
        <f t="shared" si="3587"/>
        <v>0</v>
      </c>
      <c r="AQ1275" s="96">
        <f t="shared" si="3578"/>
        <v>0</v>
      </c>
      <c r="AR1275" s="96">
        <f t="shared" si="3579"/>
        <v>0</v>
      </c>
      <c r="AS1275" s="96"/>
      <c r="AT1275" s="96">
        <f t="shared" si="3580"/>
        <v>0</v>
      </c>
      <c r="AU1275" s="96"/>
      <c r="AV1275" s="96">
        <f t="shared" si="3581"/>
        <v>0</v>
      </c>
      <c r="AW1275" s="96"/>
      <c r="AX1275" s="96">
        <f t="shared" si="3582"/>
        <v>0</v>
      </c>
      <c r="AY1275" s="96">
        <f t="shared" si="3583"/>
        <v>0</v>
      </c>
      <c r="AZ1275" s="96">
        <f t="shared" si="3584"/>
        <v>0</v>
      </c>
      <c r="BA1275" s="96">
        <f t="shared" si="3585"/>
        <v>0</v>
      </c>
      <c r="BB1275" s="96">
        <f t="shared" si="3586"/>
        <v>0</v>
      </c>
    </row>
    <row r="1276" spans="1:54">
      <c r="A1276" s="492">
        <v>771</v>
      </c>
      <c r="B1276" s="13"/>
      <c r="C1276" s="299"/>
      <c r="D1276" s="13"/>
      <c r="E1276" s="21" t="s">
        <v>1617</v>
      </c>
      <c r="F1276" s="45"/>
      <c r="G1276" s="45" t="s">
        <v>1059</v>
      </c>
      <c r="H1276" s="265" t="s">
        <v>359</v>
      </c>
      <c r="I1276" s="54">
        <v>9.86</v>
      </c>
      <c r="J1276" s="162"/>
      <c r="K1276" s="54">
        <v>9.86</v>
      </c>
      <c r="L1276" s="162"/>
      <c r="M1276" s="54"/>
      <c r="N1276" s="162"/>
      <c r="O1276" s="54"/>
      <c r="P1276" s="162"/>
      <c r="Q1276" s="96">
        <f t="shared" si="3562"/>
        <v>0</v>
      </c>
      <c r="R1276" s="337">
        <f t="shared" si="3563"/>
        <v>0</v>
      </c>
      <c r="S1276" s="96"/>
      <c r="T1276" s="96">
        <f t="shared" si="3564"/>
        <v>0</v>
      </c>
      <c r="U1276" s="96"/>
      <c r="V1276" s="96">
        <f t="shared" si="3565"/>
        <v>0</v>
      </c>
      <c r="W1276" s="96"/>
      <c r="X1276" s="96">
        <f t="shared" si="3566"/>
        <v>0</v>
      </c>
      <c r="Y1276" s="96">
        <f t="shared" si="3567"/>
        <v>0</v>
      </c>
      <c r="Z1276" s="96">
        <f t="shared" si="3568"/>
        <v>0</v>
      </c>
      <c r="AA1276" s="96"/>
      <c r="AB1276" s="96">
        <f t="shared" si="3569"/>
        <v>0</v>
      </c>
      <c r="AC1276" s="96"/>
      <c r="AD1276" s="96">
        <f t="shared" si="3570"/>
        <v>0</v>
      </c>
      <c r="AE1276" s="96"/>
      <c r="AF1276" s="95">
        <f t="shared" si="3571"/>
        <v>0</v>
      </c>
      <c r="AG1276" s="96">
        <f t="shared" si="3572"/>
        <v>0</v>
      </c>
      <c r="AH1276" s="96">
        <f t="shared" si="3573"/>
        <v>0</v>
      </c>
      <c r="AI1276" s="96">
        <f t="shared" si="3574"/>
        <v>0</v>
      </c>
      <c r="AJ1276" s="96">
        <f t="shared" si="3575"/>
        <v>0</v>
      </c>
      <c r="AK1276" s="96"/>
      <c r="AL1276" s="96">
        <f t="shared" si="3576"/>
        <v>0</v>
      </c>
      <c r="AM1276" s="96"/>
      <c r="AN1276" s="96">
        <f t="shared" si="3577"/>
        <v>0</v>
      </c>
      <c r="AO1276" s="96"/>
      <c r="AP1276" s="96">
        <f t="shared" si="3587"/>
        <v>0</v>
      </c>
      <c r="AQ1276" s="96">
        <f t="shared" si="3578"/>
        <v>0</v>
      </c>
      <c r="AR1276" s="96">
        <f t="shared" si="3579"/>
        <v>0</v>
      </c>
      <c r="AS1276" s="96"/>
      <c r="AT1276" s="96">
        <f t="shared" si="3580"/>
        <v>0</v>
      </c>
      <c r="AU1276" s="96"/>
      <c r="AV1276" s="96">
        <f t="shared" si="3581"/>
        <v>0</v>
      </c>
      <c r="AW1276" s="96"/>
      <c r="AX1276" s="96">
        <f t="shared" si="3582"/>
        <v>0</v>
      </c>
      <c r="AY1276" s="96">
        <f t="shared" si="3583"/>
        <v>0</v>
      </c>
      <c r="AZ1276" s="96">
        <f t="shared" si="3584"/>
        <v>0</v>
      </c>
      <c r="BA1276" s="96">
        <f t="shared" si="3585"/>
        <v>0</v>
      </c>
      <c r="BB1276" s="96">
        <f t="shared" si="3586"/>
        <v>0</v>
      </c>
    </row>
    <row r="1277" spans="1:54" s="563" customFormat="1">
      <c r="A1277" s="492">
        <v>771</v>
      </c>
      <c r="B1277" s="13"/>
      <c r="C1277" s="299"/>
      <c r="D1277" s="13"/>
      <c r="E1277" s="555" t="s">
        <v>2340</v>
      </c>
      <c r="F1277" s="556"/>
      <c r="G1277" s="556" t="s">
        <v>1059</v>
      </c>
      <c r="H1277" s="557" t="s">
        <v>359</v>
      </c>
      <c r="I1277" s="558">
        <v>9.67</v>
      </c>
      <c r="J1277" s="559"/>
      <c r="K1277" s="558">
        <v>9.67</v>
      </c>
      <c r="L1277" s="559"/>
      <c r="M1277" s="558"/>
      <c r="N1277" s="559"/>
      <c r="O1277" s="558"/>
      <c r="P1277" s="559"/>
      <c r="Q1277" s="560">
        <f t="shared" ref="Q1277" si="3640">SUM(AI1277+BA1277)</f>
        <v>6.4000000000000001E-2</v>
      </c>
      <c r="R1277" s="561">
        <f t="shared" ref="R1277" si="3641">SUM(AJ1277+BB1277)</f>
        <v>0.92978674559999985</v>
      </c>
      <c r="S1277" s="560"/>
      <c r="T1277" s="560">
        <f t="shared" ref="T1277" si="3642">I1277*S1277*$T$2/1000</f>
        <v>0</v>
      </c>
      <c r="U1277" s="560"/>
      <c r="V1277" s="560">
        <f t="shared" ref="V1277" si="3643">I1277*U1277*$V$2/1000</f>
        <v>0</v>
      </c>
      <c r="W1277" s="560">
        <v>6.4000000000000001E-2</v>
      </c>
      <c r="X1277" s="560">
        <f t="shared" ref="X1277" si="3644">I1277*W1277*$X$2/1000</f>
        <v>0.92978674559999985</v>
      </c>
      <c r="Y1277" s="560">
        <f t="shared" ref="Y1277" si="3645">SUM(S1277+U1277+W1277)</f>
        <v>6.4000000000000001E-2</v>
      </c>
      <c r="Z1277" s="560">
        <f t="shared" ref="Z1277" si="3646">SUM(T1277+V1277+X1277)</f>
        <v>0.92978674559999985</v>
      </c>
      <c r="AA1277" s="560"/>
      <c r="AB1277" s="560">
        <f t="shared" ref="AB1277" si="3647">K1277*AA1277*$AB$2/1000</f>
        <v>0</v>
      </c>
      <c r="AC1277" s="560"/>
      <c r="AD1277" s="560">
        <f t="shared" ref="AD1277" si="3648">K1277*AC1277*$AD$2/1000</f>
        <v>0</v>
      </c>
      <c r="AE1277" s="560"/>
      <c r="AF1277" s="562">
        <f t="shared" ref="AF1277" si="3649">K1277*AE1277*$AF$2/1000</f>
        <v>0</v>
      </c>
      <c r="AG1277" s="560">
        <f t="shared" ref="AG1277" si="3650">SUM(AA1277+AC1277+AE1277)</f>
        <v>0</v>
      </c>
      <c r="AH1277" s="560">
        <f t="shared" ref="AH1277" si="3651">SUM(AB1277+AD1277+AF1277)</f>
        <v>0</v>
      </c>
      <c r="AI1277" s="560">
        <f t="shared" ref="AI1277" si="3652">SUM(Y1277+AG1277)</f>
        <v>6.4000000000000001E-2</v>
      </c>
      <c r="AJ1277" s="560">
        <f t="shared" ref="AJ1277" si="3653">SUM(Z1277,AH1277)</f>
        <v>0.92978674559999985</v>
      </c>
      <c r="AK1277" s="560"/>
      <c r="AL1277" s="560">
        <f t="shared" ref="AL1277" si="3654">M1277*AK1277*$AL$2/1000</f>
        <v>0</v>
      </c>
      <c r="AM1277" s="560"/>
      <c r="AN1277" s="560">
        <f t="shared" ref="AN1277" si="3655">M1277*AM1277*$AN$2/1000</f>
        <v>0</v>
      </c>
      <c r="AO1277" s="560"/>
      <c r="AP1277" s="560">
        <f t="shared" ref="AP1277" si="3656">M1277*AO1277*$AP$2/1000</f>
        <v>0</v>
      </c>
      <c r="AQ1277" s="560">
        <f t="shared" ref="AQ1277" si="3657">SUM(AK1277+AM1277+AO1277)</f>
        <v>0</v>
      </c>
      <c r="AR1277" s="560">
        <f t="shared" ref="AR1277" si="3658">SUM(AL1277+AN1277+AP1277)</f>
        <v>0</v>
      </c>
      <c r="AS1277" s="560"/>
      <c r="AT1277" s="560">
        <f t="shared" ref="AT1277" si="3659">O1277*AS1277*$AT$2/1000</f>
        <v>0</v>
      </c>
      <c r="AU1277" s="560"/>
      <c r="AV1277" s="560">
        <f t="shared" ref="AV1277" si="3660">O1277*AU1277*$AV$2/1000</f>
        <v>0</v>
      </c>
      <c r="AW1277" s="560"/>
      <c r="AX1277" s="560">
        <f t="shared" ref="AX1277" si="3661">O1277*AW1277*$AX$2/1000</f>
        <v>0</v>
      </c>
      <c r="AY1277" s="560">
        <f t="shared" ref="AY1277" si="3662">SUM(AS1277+AU1277+AW1277)</f>
        <v>0</v>
      </c>
      <c r="AZ1277" s="560">
        <f t="shared" ref="AZ1277" si="3663">SUM(AT1277+AV1277+AX1277)</f>
        <v>0</v>
      </c>
      <c r="BA1277" s="560">
        <f t="shared" ref="BA1277" si="3664">SUM(AQ1277+AY1277)</f>
        <v>0</v>
      </c>
      <c r="BB1277" s="560">
        <f t="shared" ref="BB1277" si="3665">SUM(AR1277,AZ1277)</f>
        <v>0</v>
      </c>
    </row>
    <row r="1278" spans="1:54">
      <c r="A1278" s="492">
        <v>771</v>
      </c>
      <c r="B1278" s="13"/>
      <c r="C1278" s="299"/>
      <c r="D1278" s="13"/>
      <c r="E1278" s="13" t="s">
        <v>1618</v>
      </c>
      <c r="F1278" s="23"/>
      <c r="G1278" s="23" t="s">
        <v>1059</v>
      </c>
      <c r="H1278" s="266" t="s">
        <v>359</v>
      </c>
      <c r="I1278" s="73">
        <v>10.06</v>
      </c>
      <c r="J1278" s="170"/>
      <c r="K1278" s="73">
        <v>10.06</v>
      </c>
      <c r="L1278" s="170"/>
      <c r="M1278" s="73"/>
      <c r="N1278" s="170"/>
      <c r="O1278" s="73"/>
      <c r="P1278" s="170"/>
      <c r="Q1278" s="118">
        <f t="shared" si="3562"/>
        <v>0</v>
      </c>
      <c r="R1278" s="344">
        <f t="shared" si="3563"/>
        <v>0</v>
      </c>
      <c r="S1278" s="118"/>
      <c r="T1278" s="118">
        <f t="shared" si="3564"/>
        <v>0</v>
      </c>
      <c r="U1278" s="118"/>
      <c r="V1278" s="118">
        <f t="shared" si="3565"/>
        <v>0</v>
      </c>
      <c r="W1278" s="118"/>
      <c r="X1278" s="118">
        <f t="shared" si="3566"/>
        <v>0</v>
      </c>
      <c r="Y1278" s="118">
        <f t="shared" si="3567"/>
        <v>0</v>
      </c>
      <c r="Z1278" s="118">
        <f t="shared" si="3568"/>
        <v>0</v>
      </c>
      <c r="AA1278" s="118"/>
      <c r="AB1278" s="118">
        <f t="shared" si="3569"/>
        <v>0</v>
      </c>
      <c r="AC1278" s="118"/>
      <c r="AD1278" s="118">
        <f t="shared" si="3570"/>
        <v>0</v>
      </c>
      <c r="AE1278" s="118"/>
      <c r="AF1278" s="515">
        <f t="shared" si="3571"/>
        <v>0</v>
      </c>
      <c r="AG1278" s="118">
        <f t="shared" si="3572"/>
        <v>0</v>
      </c>
      <c r="AH1278" s="118">
        <f t="shared" si="3573"/>
        <v>0</v>
      </c>
      <c r="AI1278" s="118">
        <f t="shared" si="3574"/>
        <v>0</v>
      </c>
      <c r="AJ1278" s="118">
        <f t="shared" si="3575"/>
        <v>0</v>
      </c>
      <c r="AK1278" s="118"/>
      <c r="AL1278" s="118">
        <f t="shared" si="3576"/>
        <v>0</v>
      </c>
      <c r="AM1278" s="118"/>
      <c r="AN1278" s="118">
        <f t="shared" si="3577"/>
        <v>0</v>
      </c>
      <c r="AO1278" s="118"/>
      <c r="AP1278" s="118">
        <f t="shared" si="3587"/>
        <v>0</v>
      </c>
      <c r="AQ1278" s="118">
        <f t="shared" si="3578"/>
        <v>0</v>
      </c>
      <c r="AR1278" s="118">
        <f t="shared" si="3579"/>
        <v>0</v>
      </c>
      <c r="AS1278" s="118"/>
      <c r="AT1278" s="118">
        <f t="shared" si="3580"/>
        <v>0</v>
      </c>
      <c r="AU1278" s="118"/>
      <c r="AV1278" s="118">
        <f t="shared" si="3581"/>
        <v>0</v>
      </c>
      <c r="AW1278" s="118"/>
      <c r="AX1278" s="118">
        <f t="shared" si="3582"/>
        <v>0</v>
      </c>
      <c r="AY1278" s="118">
        <f t="shared" si="3583"/>
        <v>0</v>
      </c>
      <c r="AZ1278" s="118">
        <f t="shared" si="3584"/>
        <v>0</v>
      </c>
      <c r="BA1278" s="118">
        <f t="shared" si="3585"/>
        <v>0</v>
      </c>
      <c r="BB1278" s="118">
        <f t="shared" si="3586"/>
        <v>0</v>
      </c>
    </row>
    <row r="1279" spans="1:54">
      <c r="A1279" s="492">
        <v>766</v>
      </c>
      <c r="B1279" s="13"/>
      <c r="C1279" s="299"/>
      <c r="D1279" s="13"/>
      <c r="E1279" s="516" t="s">
        <v>1516</v>
      </c>
      <c r="F1279" s="518"/>
      <c r="G1279" s="518" t="s">
        <v>1059</v>
      </c>
      <c r="H1279" s="519" t="s">
        <v>360</v>
      </c>
      <c r="I1279" s="498">
        <v>10.06</v>
      </c>
      <c r="J1279" s="499"/>
      <c r="K1279" s="498">
        <v>10.06</v>
      </c>
      <c r="L1279" s="499"/>
      <c r="M1279" s="498"/>
      <c r="N1279" s="499"/>
      <c r="O1279" s="498"/>
      <c r="P1279" s="499"/>
      <c r="Q1279" s="521">
        <f t="shared" si="3562"/>
        <v>2</v>
      </c>
      <c r="R1279" s="522">
        <f t="shared" si="3563"/>
        <v>29.6062279</v>
      </c>
      <c r="S1279" s="521">
        <v>0.5</v>
      </c>
      <c r="T1279" s="521">
        <f t="shared" si="3564"/>
        <v>7.2615595000000015</v>
      </c>
      <c r="U1279" s="521"/>
      <c r="V1279" s="521">
        <f t="shared" si="3565"/>
        <v>0</v>
      </c>
      <c r="W1279" s="521"/>
      <c r="X1279" s="521">
        <f t="shared" si="3566"/>
        <v>0</v>
      </c>
      <c r="Y1279" s="521">
        <f t="shared" si="3567"/>
        <v>0.5</v>
      </c>
      <c r="Z1279" s="521">
        <f t="shared" si="3568"/>
        <v>7.2615595000000015</v>
      </c>
      <c r="AA1279" s="521">
        <v>1.5</v>
      </c>
      <c r="AB1279" s="521">
        <f t="shared" si="3569"/>
        <v>22.3446684</v>
      </c>
      <c r="AC1279" s="521"/>
      <c r="AD1279" s="521">
        <f t="shared" si="3570"/>
        <v>0</v>
      </c>
      <c r="AE1279" s="521"/>
      <c r="AF1279" s="536">
        <f t="shared" si="3571"/>
        <v>0</v>
      </c>
      <c r="AG1279" s="521">
        <f t="shared" si="3572"/>
        <v>1.5</v>
      </c>
      <c r="AH1279" s="521">
        <f t="shared" si="3573"/>
        <v>22.3446684</v>
      </c>
      <c r="AI1279" s="521">
        <f t="shared" si="3574"/>
        <v>2</v>
      </c>
      <c r="AJ1279" s="521">
        <f t="shared" si="3575"/>
        <v>29.6062279</v>
      </c>
      <c r="AK1279" s="521"/>
      <c r="AL1279" s="521">
        <f t="shared" si="3576"/>
        <v>0</v>
      </c>
      <c r="AM1279" s="521"/>
      <c r="AN1279" s="521">
        <f t="shared" si="3577"/>
        <v>0</v>
      </c>
      <c r="AO1279" s="521"/>
      <c r="AP1279" s="521">
        <f t="shared" si="3587"/>
        <v>0</v>
      </c>
      <c r="AQ1279" s="521">
        <f t="shared" si="3578"/>
        <v>0</v>
      </c>
      <c r="AR1279" s="521">
        <f t="shared" si="3579"/>
        <v>0</v>
      </c>
      <c r="AS1279" s="521"/>
      <c r="AT1279" s="521">
        <f t="shared" si="3580"/>
        <v>0</v>
      </c>
      <c r="AU1279" s="521"/>
      <c r="AV1279" s="521">
        <f t="shared" si="3581"/>
        <v>0</v>
      </c>
      <c r="AW1279" s="521"/>
      <c r="AX1279" s="521">
        <f t="shared" si="3582"/>
        <v>0</v>
      </c>
      <c r="AY1279" s="521">
        <f t="shared" si="3583"/>
        <v>0</v>
      </c>
      <c r="AZ1279" s="521">
        <f t="shared" si="3584"/>
        <v>0</v>
      </c>
      <c r="BA1279" s="521">
        <f t="shared" si="3585"/>
        <v>0</v>
      </c>
      <c r="BB1279" s="521">
        <f t="shared" si="3586"/>
        <v>0</v>
      </c>
    </row>
    <row r="1280" spans="1:54">
      <c r="A1280" s="492" t="s">
        <v>1624</v>
      </c>
      <c r="B1280" s="13"/>
      <c r="C1280" s="299"/>
      <c r="D1280" s="13"/>
      <c r="E1280" s="89" t="s">
        <v>1626</v>
      </c>
      <c r="F1280" s="424"/>
      <c r="G1280" s="424" t="s">
        <v>1059</v>
      </c>
      <c r="H1280" s="284" t="s">
        <v>359</v>
      </c>
      <c r="I1280" s="75">
        <v>10.06</v>
      </c>
      <c r="J1280" s="167"/>
      <c r="K1280" s="75">
        <v>10.06</v>
      </c>
      <c r="L1280" s="167"/>
      <c r="M1280" s="75"/>
      <c r="N1280" s="167"/>
      <c r="O1280" s="75"/>
      <c r="P1280" s="167"/>
      <c r="Q1280" s="130">
        <f t="shared" si="3562"/>
        <v>0</v>
      </c>
      <c r="R1280" s="347">
        <f t="shared" si="3563"/>
        <v>0</v>
      </c>
      <c r="S1280" s="130"/>
      <c r="T1280" s="130">
        <f t="shared" si="3564"/>
        <v>0</v>
      </c>
      <c r="U1280" s="130"/>
      <c r="V1280" s="130">
        <f t="shared" si="3565"/>
        <v>0</v>
      </c>
      <c r="W1280" s="130"/>
      <c r="X1280" s="130">
        <f t="shared" si="3566"/>
        <v>0</v>
      </c>
      <c r="Y1280" s="130">
        <f t="shared" si="3567"/>
        <v>0</v>
      </c>
      <c r="Z1280" s="130">
        <f t="shared" si="3568"/>
        <v>0</v>
      </c>
      <c r="AA1280" s="130"/>
      <c r="AB1280" s="130">
        <f t="shared" si="3569"/>
        <v>0</v>
      </c>
      <c r="AC1280" s="130"/>
      <c r="AD1280" s="130">
        <f t="shared" si="3570"/>
        <v>0</v>
      </c>
      <c r="AE1280" s="130"/>
      <c r="AF1280" s="428">
        <f t="shared" si="3571"/>
        <v>0</v>
      </c>
      <c r="AG1280" s="130">
        <f t="shared" si="3572"/>
        <v>0</v>
      </c>
      <c r="AH1280" s="130">
        <f t="shared" si="3573"/>
        <v>0</v>
      </c>
      <c r="AI1280" s="130">
        <f t="shared" si="3574"/>
        <v>0</v>
      </c>
      <c r="AJ1280" s="130">
        <f t="shared" si="3575"/>
        <v>0</v>
      </c>
      <c r="AK1280" s="130"/>
      <c r="AL1280" s="130">
        <f t="shared" si="3576"/>
        <v>0</v>
      </c>
      <c r="AM1280" s="130"/>
      <c r="AN1280" s="130">
        <f t="shared" si="3577"/>
        <v>0</v>
      </c>
      <c r="AO1280" s="130"/>
      <c r="AP1280" s="130">
        <f t="shared" si="3587"/>
        <v>0</v>
      </c>
      <c r="AQ1280" s="130">
        <f t="shared" si="3578"/>
        <v>0</v>
      </c>
      <c r="AR1280" s="130">
        <f t="shared" si="3579"/>
        <v>0</v>
      </c>
      <c r="AS1280" s="130"/>
      <c r="AT1280" s="130">
        <f t="shared" si="3580"/>
        <v>0</v>
      </c>
      <c r="AU1280" s="130"/>
      <c r="AV1280" s="130">
        <f t="shared" si="3581"/>
        <v>0</v>
      </c>
      <c r="AW1280" s="130"/>
      <c r="AX1280" s="130">
        <f t="shared" si="3582"/>
        <v>0</v>
      </c>
      <c r="AY1280" s="130">
        <f t="shared" si="3583"/>
        <v>0</v>
      </c>
      <c r="AZ1280" s="130">
        <f t="shared" si="3584"/>
        <v>0</v>
      </c>
      <c r="BA1280" s="130">
        <f t="shared" si="3585"/>
        <v>0</v>
      </c>
      <c r="BB1280" s="130">
        <f t="shared" si="3586"/>
        <v>0</v>
      </c>
    </row>
    <row r="1281" spans="1:54">
      <c r="A1281" s="492">
        <v>771</v>
      </c>
      <c r="B1281" s="13"/>
      <c r="C1281" s="299"/>
      <c r="D1281" s="24"/>
      <c r="E1281" s="13" t="s">
        <v>1587</v>
      </c>
      <c r="F1281" s="23"/>
      <c r="G1281" s="23" t="s">
        <v>1059</v>
      </c>
      <c r="H1281" s="266" t="s">
        <v>360</v>
      </c>
      <c r="I1281" s="73">
        <v>11.6</v>
      </c>
      <c r="J1281" s="170"/>
      <c r="K1281" s="73">
        <v>11.6</v>
      </c>
      <c r="L1281" s="170"/>
      <c r="M1281" s="73"/>
      <c r="N1281" s="170"/>
      <c r="O1281" s="73"/>
      <c r="P1281" s="170"/>
      <c r="Q1281" s="118">
        <f t="shared" si="3562"/>
        <v>0.3</v>
      </c>
      <c r="R1281" s="344">
        <f t="shared" si="3563"/>
        <v>5.0239019999999996</v>
      </c>
      <c r="S1281" s="118">
        <v>0.3</v>
      </c>
      <c r="T1281" s="118">
        <f t="shared" si="3564"/>
        <v>5.0239019999999996</v>
      </c>
      <c r="U1281" s="118"/>
      <c r="V1281" s="118">
        <f t="shared" si="3565"/>
        <v>0</v>
      </c>
      <c r="W1281" s="118"/>
      <c r="X1281" s="118">
        <f t="shared" si="3566"/>
        <v>0</v>
      </c>
      <c r="Y1281" s="118">
        <f t="shared" si="3567"/>
        <v>0.3</v>
      </c>
      <c r="Z1281" s="118">
        <f t="shared" si="3568"/>
        <v>5.0239019999999996</v>
      </c>
      <c r="AA1281" s="118"/>
      <c r="AB1281" s="118">
        <f t="shared" si="3569"/>
        <v>0</v>
      </c>
      <c r="AC1281" s="118"/>
      <c r="AD1281" s="118">
        <f t="shared" si="3570"/>
        <v>0</v>
      </c>
      <c r="AE1281" s="118"/>
      <c r="AF1281" s="515">
        <f t="shared" si="3571"/>
        <v>0</v>
      </c>
      <c r="AG1281" s="118">
        <f t="shared" si="3572"/>
        <v>0</v>
      </c>
      <c r="AH1281" s="118">
        <f t="shared" si="3573"/>
        <v>0</v>
      </c>
      <c r="AI1281" s="118">
        <f t="shared" si="3574"/>
        <v>0.3</v>
      </c>
      <c r="AJ1281" s="118">
        <f t="shared" si="3575"/>
        <v>5.0239019999999996</v>
      </c>
      <c r="AK1281" s="118"/>
      <c r="AL1281" s="118">
        <f t="shared" si="3576"/>
        <v>0</v>
      </c>
      <c r="AM1281" s="118"/>
      <c r="AN1281" s="118">
        <f t="shared" si="3577"/>
        <v>0</v>
      </c>
      <c r="AO1281" s="118"/>
      <c r="AP1281" s="118">
        <f t="shared" si="3587"/>
        <v>0</v>
      </c>
      <c r="AQ1281" s="118">
        <f t="shared" si="3578"/>
        <v>0</v>
      </c>
      <c r="AR1281" s="118">
        <f t="shared" si="3579"/>
        <v>0</v>
      </c>
      <c r="AS1281" s="118"/>
      <c r="AT1281" s="118">
        <f t="shared" si="3580"/>
        <v>0</v>
      </c>
      <c r="AU1281" s="118"/>
      <c r="AV1281" s="118">
        <f t="shared" si="3581"/>
        <v>0</v>
      </c>
      <c r="AW1281" s="118"/>
      <c r="AX1281" s="118">
        <f t="shared" si="3582"/>
        <v>0</v>
      </c>
      <c r="AY1281" s="118">
        <f t="shared" si="3583"/>
        <v>0</v>
      </c>
      <c r="AZ1281" s="118">
        <f t="shared" si="3584"/>
        <v>0</v>
      </c>
      <c r="BA1281" s="118">
        <f t="shared" si="3585"/>
        <v>0</v>
      </c>
      <c r="BB1281" s="118">
        <f t="shared" si="3586"/>
        <v>0</v>
      </c>
    </row>
    <row r="1282" spans="1:54">
      <c r="A1282" s="492">
        <v>775</v>
      </c>
      <c r="B1282" s="13"/>
      <c r="C1282" s="302" t="s">
        <v>491</v>
      </c>
      <c r="D1282" s="13" t="s">
        <v>389</v>
      </c>
      <c r="E1282" s="31" t="s">
        <v>390</v>
      </c>
      <c r="F1282" s="310" t="s">
        <v>391</v>
      </c>
      <c r="G1282" s="310" t="s">
        <v>1059</v>
      </c>
      <c r="H1282" s="271" t="s">
        <v>428</v>
      </c>
      <c r="I1282" s="61">
        <v>4.08</v>
      </c>
      <c r="J1282" s="163"/>
      <c r="K1282" s="61">
        <v>4.08</v>
      </c>
      <c r="L1282" s="163"/>
      <c r="M1282" s="61"/>
      <c r="N1282" s="163"/>
      <c r="O1282" s="61"/>
      <c r="P1282" s="163"/>
      <c r="Q1282" s="121">
        <f t="shared" si="3562"/>
        <v>0</v>
      </c>
      <c r="R1282" s="341">
        <f t="shared" si="3563"/>
        <v>0</v>
      </c>
      <c r="S1282" s="121"/>
      <c r="T1282" s="121">
        <f t="shared" si="3564"/>
        <v>0</v>
      </c>
      <c r="U1282" s="121"/>
      <c r="V1282" s="121">
        <f t="shared" si="3565"/>
        <v>0</v>
      </c>
      <c r="W1282" s="121"/>
      <c r="X1282" s="121">
        <f t="shared" si="3566"/>
        <v>0</v>
      </c>
      <c r="Y1282" s="121">
        <f t="shared" si="3567"/>
        <v>0</v>
      </c>
      <c r="Z1282" s="121">
        <f t="shared" si="3568"/>
        <v>0</v>
      </c>
      <c r="AA1282" s="121"/>
      <c r="AB1282" s="121">
        <f t="shared" si="3569"/>
        <v>0</v>
      </c>
      <c r="AC1282" s="121"/>
      <c r="AD1282" s="121">
        <f t="shared" si="3570"/>
        <v>0</v>
      </c>
      <c r="AE1282" s="121"/>
      <c r="AF1282" s="124">
        <f t="shared" si="3571"/>
        <v>0</v>
      </c>
      <c r="AG1282" s="121">
        <f t="shared" si="3572"/>
        <v>0</v>
      </c>
      <c r="AH1282" s="121">
        <f t="shared" si="3573"/>
        <v>0</v>
      </c>
      <c r="AI1282" s="121">
        <f t="shared" si="3574"/>
        <v>0</v>
      </c>
      <c r="AJ1282" s="121">
        <f t="shared" si="3575"/>
        <v>0</v>
      </c>
      <c r="AK1282" s="121"/>
      <c r="AL1282" s="121">
        <f t="shared" si="3576"/>
        <v>0</v>
      </c>
      <c r="AM1282" s="121"/>
      <c r="AN1282" s="121">
        <f t="shared" si="3577"/>
        <v>0</v>
      </c>
      <c r="AO1282" s="121"/>
      <c r="AP1282" s="121">
        <f t="shared" si="3587"/>
        <v>0</v>
      </c>
      <c r="AQ1282" s="121">
        <f t="shared" si="3578"/>
        <v>0</v>
      </c>
      <c r="AR1282" s="121">
        <f t="shared" si="3579"/>
        <v>0</v>
      </c>
      <c r="AS1282" s="121"/>
      <c r="AT1282" s="121">
        <f t="shared" si="3580"/>
        <v>0</v>
      </c>
      <c r="AU1282" s="121"/>
      <c r="AV1282" s="121">
        <f t="shared" si="3581"/>
        <v>0</v>
      </c>
      <c r="AW1282" s="121"/>
      <c r="AX1282" s="121">
        <f t="shared" si="3582"/>
        <v>0</v>
      </c>
      <c r="AY1282" s="121">
        <f t="shared" si="3583"/>
        <v>0</v>
      </c>
      <c r="AZ1282" s="121">
        <f t="shared" si="3584"/>
        <v>0</v>
      </c>
      <c r="BA1282" s="121">
        <f t="shared" si="3585"/>
        <v>0</v>
      </c>
      <c r="BB1282" s="121">
        <f t="shared" si="3586"/>
        <v>0</v>
      </c>
    </row>
    <row r="1283" spans="1:54">
      <c r="A1283" s="492">
        <v>776</v>
      </c>
      <c r="B1283" s="13"/>
      <c r="C1283" s="13"/>
      <c r="D1283" s="13" t="s">
        <v>1082</v>
      </c>
      <c r="E1283" s="21" t="s">
        <v>1083</v>
      </c>
      <c r="F1283" s="310" t="s">
        <v>391</v>
      </c>
      <c r="G1283" s="22" t="s">
        <v>1069</v>
      </c>
      <c r="H1283" s="265" t="s">
        <v>1073</v>
      </c>
      <c r="I1283" s="54">
        <v>4.08</v>
      </c>
      <c r="J1283" s="101"/>
      <c r="K1283" s="54">
        <v>4.08</v>
      </c>
      <c r="L1283" s="162"/>
      <c r="M1283" s="54"/>
      <c r="N1283" s="162"/>
      <c r="O1283" s="54"/>
      <c r="P1283" s="101"/>
      <c r="Q1283" s="96">
        <f t="shared" si="3562"/>
        <v>0</v>
      </c>
      <c r="R1283" s="337">
        <f t="shared" si="3563"/>
        <v>0</v>
      </c>
      <c r="S1283" s="96"/>
      <c r="T1283" s="96">
        <f t="shared" si="3564"/>
        <v>0</v>
      </c>
      <c r="U1283" s="96"/>
      <c r="V1283" s="176">
        <f t="shared" si="3565"/>
        <v>0</v>
      </c>
      <c r="W1283" s="206"/>
      <c r="X1283" s="205">
        <f t="shared" si="3566"/>
        <v>0</v>
      </c>
      <c r="Y1283" s="188">
        <f t="shared" si="3567"/>
        <v>0</v>
      </c>
      <c r="Z1283" s="176">
        <f t="shared" si="3568"/>
        <v>0</v>
      </c>
      <c r="AA1283" s="206"/>
      <c r="AB1283" s="205">
        <f t="shared" si="3569"/>
        <v>0</v>
      </c>
      <c r="AC1283" s="206"/>
      <c r="AD1283" s="176">
        <f t="shared" si="3570"/>
        <v>0</v>
      </c>
      <c r="AE1283" s="206"/>
      <c r="AF1283" s="205">
        <f t="shared" si="3571"/>
        <v>0</v>
      </c>
      <c r="AG1283" s="188">
        <f t="shared" si="3572"/>
        <v>0</v>
      </c>
      <c r="AH1283" s="96">
        <f t="shared" si="3573"/>
        <v>0</v>
      </c>
      <c r="AI1283" s="96">
        <f t="shared" si="3574"/>
        <v>0</v>
      </c>
      <c r="AJ1283" s="176">
        <f t="shared" si="3575"/>
        <v>0</v>
      </c>
      <c r="AK1283" s="206"/>
      <c r="AL1283" s="176">
        <f t="shared" si="3576"/>
        <v>0</v>
      </c>
      <c r="AM1283" s="243"/>
      <c r="AN1283" s="176">
        <f t="shared" si="3577"/>
        <v>0</v>
      </c>
      <c r="AO1283" s="206"/>
      <c r="AP1283" s="205">
        <f t="shared" si="3587"/>
        <v>0</v>
      </c>
      <c r="AQ1283" s="188">
        <f t="shared" si="3578"/>
        <v>0</v>
      </c>
      <c r="AR1283" s="96">
        <f t="shared" si="3579"/>
        <v>0</v>
      </c>
      <c r="AS1283" s="96"/>
      <c r="AT1283" s="176">
        <f t="shared" si="3580"/>
        <v>0</v>
      </c>
      <c r="AU1283" s="206"/>
      <c r="AV1283" s="176">
        <f t="shared" si="3581"/>
        <v>0</v>
      </c>
      <c r="AW1283" s="206"/>
      <c r="AX1283" s="205">
        <f t="shared" si="3582"/>
        <v>0</v>
      </c>
      <c r="AY1283" s="188">
        <f t="shared" si="3583"/>
        <v>0</v>
      </c>
      <c r="AZ1283" s="96">
        <f t="shared" si="3584"/>
        <v>0</v>
      </c>
      <c r="BA1283" s="96">
        <f t="shared" si="3585"/>
        <v>0</v>
      </c>
      <c r="BB1283" s="96">
        <f t="shared" si="3586"/>
        <v>0</v>
      </c>
    </row>
    <row r="1284" spans="1:54">
      <c r="A1284" s="492">
        <v>777</v>
      </c>
      <c r="B1284" s="13"/>
      <c r="C1284" s="299"/>
      <c r="D1284" s="13" t="s">
        <v>392</v>
      </c>
      <c r="E1284" s="21" t="s">
        <v>393</v>
      </c>
      <c r="F1284" s="45" t="s">
        <v>391</v>
      </c>
      <c r="G1284" s="45" t="s">
        <v>1059</v>
      </c>
      <c r="H1284" s="265" t="s">
        <v>428</v>
      </c>
      <c r="I1284" s="54">
        <v>4.08</v>
      </c>
      <c r="J1284" s="162"/>
      <c r="K1284" s="54">
        <v>4.08</v>
      </c>
      <c r="L1284" s="162"/>
      <c r="M1284" s="54"/>
      <c r="N1284" s="162"/>
      <c r="O1284" s="54"/>
      <c r="P1284" s="162"/>
      <c r="Q1284" s="96">
        <f t="shared" si="3562"/>
        <v>0</v>
      </c>
      <c r="R1284" s="337">
        <f t="shared" si="3563"/>
        <v>0</v>
      </c>
      <c r="S1284" s="96"/>
      <c r="T1284" s="96">
        <f t="shared" si="3564"/>
        <v>0</v>
      </c>
      <c r="U1284" s="96"/>
      <c r="V1284" s="96">
        <f t="shared" si="3565"/>
        <v>0</v>
      </c>
      <c r="W1284" s="96"/>
      <c r="X1284" s="96">
        <f t="shared" si="3566"/>
        <v>0</v>
      </c>
      <c r="Y1284" s="96">
        <f t="shared" si="3567"/>
        <v>0</v>
      </c>
      <c r="Z1284" s="96">
        <f t="shared" si="3568"/>
        <v>0</v>
      </c>
      <c r="AA1284" s="96"/>
      <c r="AB1284" s="96">
        <f t="shared" si="3569"/>
        <v>0</v>
      </c>
      <c r="AC1284" s="96"/>
      <c r="AD1284" s="96">
        <f t="shared" si="3570"/>
        <v>0</v>
      </c>
      <c r="AE1284" s="96"/>
      <c r="AF1284" s="95">
        <f t="shared" si="3571"/>
        <v>0</v>
      </c>
      <c r="AG1284" s="96">
        <f t="shared" si="3572"/>
        <v>0</v>
      </c>
      <c r="AH1284" s="96">
        <f t="shared" si="3573"/>
        <v>0</v>
      </c>
      <c r="AI1284" s="96">
        <f t="shared" si="3574"/>
        <v>0</v>
      </c>
      <c r="AJ1284" s="96">
        <f t="shared" si="3575"/>
        <v>0</v>
      </c>
      <c r="AK1284" s="96"/>
      <c r="AL1284" s="96">
        <f t="shared" si="3576"/>
        <v>0</v>
      </c>
      <c r="AM1284" s="96"/>
      <c r="AN1284" s="96">
        <f t="shared" si="3577"/>
        <v>0</v>
      </c>
      <c r="AO1284" s="96"/>
      <c r="AP1284" s="96">
        <f t="shared" si="3587"/>
        <v>0</v>
      </c>
      <c r="AQ1284" s="96">
        <f t="shared" si="3578"/>
        <v>0</v>
      </c>
      <c r="AR1284" s="96">
        <f t="shared" si="3579"/>
        <v>0</v>
      </c>
      <c r="AS1284" s="96"/>
      <c r="AT1284" s="96">
        <f t="shared" si="3580"/>
        <v>0</v>
      </c>
      <c r="AU1284" s="96"/>
      <c r="AV1284" s="96">
        <f t="shared" si="3581"/>
        <v>0</v>
      </c>
      <c r="AW1284" s="96"/>
      <c r="AX1284" s="96">
        <f t="shared" si="3582"/>
        <v>0</v>
      </c>
      <c r="AY1284" s="96">
        <f t="shared" si="3583"/>
        <v>0</v>
      </c>
      <c r="AZ1284" s="96">
        <f t="shared" si="3584"/>
        <v>0</v>
      </c>
      <c r="BA1284" s="96">
        <f t="shared" si="3585"/>
        <v>0</v>
      </c>
      <c r="BB1284" s="96">
        <f t="shared" si="3586"/>
        <v>0</v>
      </c>
    </row>
    <row r="1285" spans="1:54">
      <c r="A1285" s="492">
        <v>778</v>
      </c>
      <c r="B1285" s="13"/>
      <c r="C1285" s="299"/>
      <c r="D1285" s="13" t="s">
        <v>494</v>
      </c>
      <c r="E1285" s="21" t="s">
        <v>394</v>
      </c>
      <c r="F1285" s="45" t="s">
        <v>391</v>
      </c>
      <c r="G1285" s="45" t="s">
        <v>1059</v>
      </c>
      <c r="H1285" s="265" t="s">
        <v>428</v>
      </c>
      <c r="I1285" s="54">
        <v>4.08</v>
      </c>
      <c r="J1285" s="162"/>
      <c r="K1285" s="54">
        <v>4.08</v>
      </c>
      <c r="L1285" s="162"/>
      <c r="M1285" s="54"/>
      <c r="N1285" s="162"/>
      <c r="O1285" s="54"/>
      <c r="P1285" s="162"/>
      <c r="Q1285" s="96">
        <f t="shared" si="3562"/>
        <v>0</v>
      </c>
      <c r="R1285" s="337">
        <f t="shared" si="3563"/>
        <v>0</v>
      </c>
      <c r="S1285" s="96"/>
      <c r="T1285" s="96">
        <f t="shared" si="3564"/>
        <v>0</v>
      </c>
      <c r="U1285" s="96"/>
      <c r="V1285" s="96">
        <f t="shared" si="3565"/>
        <v>0</v>
      </c>
      <c r="W1285" s="96"/>
      <c r="X1285" s="96">
        <f t="shared" si="3566"/>
        <v>0</v>
      </c>
      <c r="Y1285" s="96">
        <f t="shared" si="3567"/>
        <v>0</v>
      </c>
      <c r="Z1285" s="96">
        <f t="shared" si="3568"/>
        <v>0</v>
      </c>
      <c r="AA1285" s="96"/>
      <c r="AB1285" s="96">
        <f t="shared" si="3569"/>
        <v>0</v>
      </c>
      <c r="AC1285" s="96"/>
      <c r="AD1285" s="96">
        <f t="shared" si="3570"/>
        <v>0</v>
      </c>
      <c r="AE1285" s="96"/>
      <c r="AF1285" s="95">
        <f t="shared" si="3571"/>
        <v>0</v>
      </c>
      <c r="AG1285" s="96">
        <f t="shared" si="3572"/>
        <v>0</v>
      </c>
      <c r="AH1285" s="96">
        <f t="shared" si="3573"/>
        <v>0</v>
      </c>
      <c r="AI1285" s="96">
        <f t="shared" si="3574"/>
        <v>0</v>
      </c>
      <c r="AJ1285" s="96">
        <f t="shared" si="3575"/>
        <v>0</v>
      </c>
      <c r="AK1285" s="96"/>
      <c r="AL1285" s="96">
        <f t="shared" si="3576"/>
        <v>0</v>
      </c>
      <c r="AM1285" s="96"/>
      <c r="AN1285" s="96">
        <f t="shared" si="3577"/>
        <v>0</v>
      </c>
      <c r="AO1285" s="96"/>
      <c r="AP1285" s="96">
        <f t="shared" si="3587"/>
        <v>0</v>
      </c>
      <c r="AQ1285" s="96">
        <f t="shared" si="3578"/>
        <v>0</v>
      </c>
      <c r="AR1285" s="96">
        <f t="shared" si="3579"/>
        <v>0</v>
      </c>
      <c r="AS1285" s="96"/>
      <c r="AT1285" s="96">
        <f t="shared" si="3580"/>
        <v>0</v>
      </c>
      <c r="AU1285" s="96"/>
      <c r="AV1285" s="96">
        <f t="shared" si="3581"/>
        <v>0</v>
      </c>
      <c r="AW1285" s="96"/>
      <c r="AX1285" s="96">
        <f t="shared" si="3582"/>
        <v>0</v>
      </c>
      <c r="AY1285" s="96">
        <f t="shared" si="3583"/>
        <v>0</v>
      </c>
      <c r="AZ1285" s="96">
        <f t="shared" si="3584"/>
        <v>0</v>
      </c>
      <c r="BA1285" s="96">
        <f t="shared" si="3585"/>
        <v>0</v>
      </c>
      <c r="BB1285" s="96">
        <f t="shared" si="3586"/>
        <v>0</v>
      </c>
    </row>
    <row r="1286" spans="1:54">
      <c r="A1286" s="492">
        <v>779</v>
      </c>
      <c r="B1286" s="13"/>
      <c r="C1286" s="299"/>
      <c r="D1286" s="13" t="s">
        <v>395</v>
      </c>
      <c r="E1286" s="21" t="s">
        <v>396</v>
      </c>
      <c r="F1286" s="45" t="s">
        <v>391</v>
      </c>
      <c r="G1286" s="45" t="s">
        <v>1059</v>
      </c>
      <c r="H1286" s="265" t="s">
        <v>428</v>
      </c>
      <c r="I1286" s="54">
        <v>4.5999999999999996</v>
      </c>
      <c r="J1286" s="162"/>
      <c r="K1286" s="54">
        <v>4.5999999999999996</v>
      </c>
      <c r="L1286" s="162"/>
      <c r="M1286" s="54"/>
      <c r="N1286" s="162"/>
      <c r="O1286" s="54"/>
      <c r="P1286" s="162"/>
      <c r="Q1286" s="96">
        <f t="shared" si="3562"/>
        <v>0</v>
      </c>
      <c r="R1286" s="337">
        <f t="shared" si="3563"/>
        <v>0</v>
      </c>
      <c r="S1286" s="96"/>
      <c r="T1286" s="96">
        <f t="shared" si="3564"/>
        <v>0</v>
      </c>
      <c r="U1286" s="96"/>
      <c r="V1286" s="96">
        <f t="shared" si="3565"/>
        <v>0</v>
      </c>
      <c r="W1286" s="96"/>
      <c r="X1286" s="96">
        <f t="shared" si="3566"/>
        <v>0</v>
      </c>
      <c r="Y1286" s="96">
        <f t="shared" si="3567"/>
        <v>0</v>
      </c>
      <c r="Z1286" s="96">
        <f t="shared" si="3568"/>
        <v>0</v>
      </c>
      <c r="AA1286" s="96"/>
      <c r="AB1286" s="96">
        <f t="shared" si="3569"/>
        <v>0</v>
      </c>
      <c r="AC1286" s="96"/>
      <c r="AD1286" s="96">
        <f t="shared" si="3570"/>
        <v>0</v>
      </c>
      <c r="AE1286" s="96"/>
      <c r="AF1286" s="95">
        <f t="shared" si="3571"/>
        <v>0</v>
      </c>
      <c r="AG1286" s="96">
        <f t="shared" si="3572"/>
        <v>0</v>
      </c>
      <c r="AH1286" s="96">
        <f t="shared" si="3573"/>
        <v>0</v>
      </c>
      <c r="AI1286" s="96">
        <f t="shared" si="3574"/>
        <v>0</v>
      </c>
      <c r="AJ1286" s="96">
        <f t="shared" si="3575"/>
        <v>0</v>
      </c>
      <c r="AK1286" s="96"/>
      <c r="AL1286" s="96">
        <f t="shared" si="3576"/>
        <v>0</v>
      </c>
      <c r="AM1286" s="96"/>
      <c r="AN1286" s="96">
        <f t="shared" si="3577"/>
        <v>0</v>
      </c>
      <c r="AO1286" s="96"/>
      <c r="AP1286" s="96">
        <f t="shared" si="3587"/>
        <v>0</v>
      </c>
      <c r="AQ1286" s="96">
        <f t="shared" si="3578"/>
        <v>0</v>
      </c>
      <c r="AR1286" s="96">
        <f t="shared" si="3579"/>
        <v>0</v>
      </c>
      <c r="AS1286" s="96"/>
      <c r="AT1286" s="96">
        <f t="shared" si="3580"/>
        <v>0</v>
      </c>
      <c r="AU1286" s="96"/>
      <c r="AV1286" s="96">
        <f t="shared" si="3581"/>
        <v>0</v>
      </c>
      <c r="AW1286" s="96"/>
      <c r="AX1286" s="96">
        <f t="shared" si="3582"/>
        <v>0</v>
      </c>
      <c r="AY1286" s="96">
        <f t="shared" si="3583"/>
        <v>0</v>
      </c>
      <c r="AZ1286" s="96">
        <f t="shared" si="3584"/>
        <v>0</v>
      </c>
      <c r="BA1286" s="96">
        <f t="shared" si="3585"/>
        <v>0</v>
      </c>
      <c r="BB1286" s="96">
        <f t="shared" si="3586"/>
        <v>0</v>
      </c>
    </row>
    <row r="1287" spans="1:54">
      <c r="A1287" s="492">
        <v>780</v>
      </c>
      <c r="B1287" s="13"/>
      <c r="C1287" s="299"/>
      <c r="D1287" s="13" t="s">
        <v>495</v>
      </c>
      <c r="E1287" s="21" t="s">
        <v>397</v>
      </c>
      <c r="F1287" s="45" t="s">
        <v>391</v>
      </c>
      <c r="G1287" s="45" t="s">
        <v>1059</v>
      </c>
      <c r="H1287" s="265" t="s">
        <v>428</v>
      </c>
      <c r="I1287" s="54">
        <v>4.5999999999999996</v>
      </c>
      <c r="J1287" s="162"/>
      <c r="K1287" s="54">
        <v>4.5999999999999996</v>
      </c>
      <c r="L1287" s="162"/>
      <c r="M1287" s="54"/>
      <c r="N1287" s="162"/>
      <c r="O1287" s="54"/>
      <c r="P1287" s="162"/>
      <c r="Q1287" s="96">
        <f t="shared" si="3562"/>
        <v>0</v>
      </c>
      <c r="R1287" s="337">
        <f t="shared" si="3563"/>
        <v>0</v>
      </c>
      <c r="S1287" s="96"/>
      <c r="T1287" s="96">
        <f t="shared" si="3564"/>
        <v>0</v>
      </c>
      <c r="U1287" s="96"/>
      <c r="V1287" s="96">
        <f t="shared" si="3565"/>
        <v>0</v>
      </c>
      <c r="W1287" s="96"/>
      <c r="X1287" s="96">
        <f t="shared" si="3566"/>
        <v>0</v>
      </c>
      <c r="Y1287" s="96">
        <f t="shared" si="3567"/>
        <v>0</v>
      </c>
      <c r="Z1287" s="96">
        <f t="shared" si="3568"/>
        <v>0</v>
      </c>
      <c r="AA1287" s="96"/>
      <c r="AB1287" s="96">
        <f t="shared" si="3569"/>
        <v>0</v>
      </c>
      <c r="AC1287" s="96"/>
      <c r="AD1287" s="96">
        <f t="shared" si="3570"/>
        <v>0</v>
      </c>
      <c r="AE1287" s="96"/>
      <c r="AF1287" s="95">
        <f t="shared" si="3571"/>
        <v>0</v>
      </c>
      <c r="AG1287" s="96">
        <f t="shared" si="3572"/>
        <v>0</v>
      </c>
      <c r="AH1287" s="96">
        <f t="shared" si="3573"/>
        <v>0</v>
      </c>
      <c r="AI1287" s="96">
        <f t="shared" si="3574"/>
        <v>0</v>
      </c>
      <c r="AJ1287" s="96">
        <f t="shared" si="3575"/>
        <v>0</v>
      </c>
      <c r="AK1287" s="96"/>
      <c r="AL1287" s="96">
        <f t="shared" si="3576"/>
        <v>0</v>
      </c>
      <c r="AM1287" s="96"/>
      <c r="AN1287" s="96">
        <f t="shared" si="3577"/>
        <v>0</v>
      </c>
      <c r="AO1287" s="96"/>
      <c r="AP1287" s="96">
        <f t="shared" si="3587"/>
        <v>0</v>
      </c>
      <c r="AQ1287" s="96">
        <f t="shared" si="3578"/>
        <v>0</v>
      </c>
      <c r="AR1287" s="96">
        <f t="shared" si="3579"/>
        <v>0</v>
      </c>
      <c r="AS1287" s="96"/>
      <c r="AT1287" s="96">
        <f t="shared" si="3580"/>
        <v>0</v>
      </c>
      <c r="AU1287" s="96"/>
      <c r="AV1287" s="96">
        <f t="shared" si="3581"/>
        <v>0</v>
      </c>
      <c r="AW1287" s="96"/>
      <c r="AX1287" s="96">
        <f t="shared" si="3582"/>
        <v>0</v>
      </c>
      <c r="AY1287" s="96">
        <f t="shared" si="3583"/>
        <v>0</v>
      </c>
      <c r="AZ1287" s="96">
        <f t="shared" si="3584"/>
        <v>0</v>
      </c>
      <c r="BA1287" s="96">
        <f t="shared" si="3585"/>
        <v>0</v>
      </c>
      <c r="BB1287" s="96">
        <f t="shared" si="3586"/>
        <v>0</v>
      </c>
    </row>
    <row r="1288" spans="1:54">
      <c r="A1288" s="492">
        <v>781</v>
      </c>
      <c r="B1288" s="13"/>
      <c r="C1288" s="299"/>
      <c r="D1288" s="13" t="s">
        <v>398</v>
      </c>
      <c r="E1288" s="21" t="s">
        <v>496</v>
      </c>
      <c r="F1288" s="45" t="s">
        <v>391</v>
      </c>
      <c r="G1288" s="45" t="s">
        <v>1059</v>
      </c>
      <c r="H1288" s="265" t="s">
        <v>428</v>
      </c>
      <c r="I1288" s="54">
        <v>5.69</v>
      </c>
      <c r="J1288" s="162"/>
      <c r="K1288" s="54">
        <v>5.69</v>
      </c>
      <c r="L1288" s="162"/>
      <c r="M1288" s="54"/>
      <c r="N1288" s="162"/>
      <c r="O1288" s="54"/>
      <c r="P1288" s="162"/>
      <c r="Q1288" s="96">
        <f t="shared" si="3562"/>
        <v>0.4</v>
      </c>
      <c r="R1288" s="337">
        <f t="shared" si="3563"/>
        <v>3.2857474000000009</v>
      </c>
      <c r="S1288" s="96">
        <v>0.4</v>
      </c>
      <c r="T1288" s="96">
        <f t="shared" si="3564"/>
        <v>3.2857474000000009</v>
      </c>
      <c r="U1288" s="96"/>
      <c r="V1288" s="96">
        <f t="shared" si="3565"/>
        <v>0</v>
      </c>
      <c r="W1288" s="96"/>
      <c r="X1288" s="96">
        <f t="shared" si="3566"/>
        <v>0</v>
      </c>
      <c r="Y1288" s="96">
        <f t="shared" si="3567"/>
        <v>0.4</v>
      </c>
      <c r="Z1288" s="96">
        <f t="shared" si="3568"/>
        <v>3.2857474000000009</v>
      </c>
      <c r="AA1288" s="96"/>
      <c r="AB1288" s="96">
        <f t="shared" si="3569"/>
        <v>0</v>
      </c>
      <c r="AC1288" s="96"/>
      <c r="AD1288" s="96">
        <f t="shared" si="3570"/>
        <v>0</v>
      </c>
      <c r="AE1288" s="96"/>
      <c r="AF1288" s="95">
        <f t="shared" si="3571"/>
        <v>0</v>
      </c>
      <c r="AG1288" s="96">
        <f t="shared" si="3572"/>
        <v>0</v>
      </c>
      <c r="AH1288" s="96">
        <f t="shared" si="3573"/>
        <v>0</v>
      </c>
      <c r="AI1288" s="96">
        <f t="shared" si="3574"/>
        <v>0.4</v>
      </c>
      <c r="AJ1288" s="96">
        <f t="shared" si="3575"/>
        <v>3.2857474000000009</v>
      </c>
      <c r="AK1288" s="96"/>
      <c r="AL1288" s="96">
        <f t="shared" si="3576"/>
        <v>0</v>
      </c>
      <c r="AM1288" s="96"/>
      <c r="AN1288" s="96">
        <f t="shared" si="3577"/>
        <v>0</v>
      </c>
      <c r="AO1288" s="96"/>
      <c r="AP1288" s="96">
        <f t="shared" si="3587"/>
        <v>0</v>
      </c>
      <c r="AQ1288" s="96">
        <f t="shared" si="3578"/>
        <v>0</v>
      </c>
      <c r="AR1288" s="96">
        <f t="shared" si="3579"/>
        <v>0</v>
      </c>
      <c r="AS1288" s="96"/>
      <c r="AT1288" s="96">
        <f t="shared" si="3580"/>
        <v>0</v>
      </c>
      <c r="AU1288" s="96"/>
      <c r="AV1288" s="96">
        <f t="shared" si="3581"/>
        <v>0</v>
      </c>
      <c r="AW1288" s="96"/>
      <c r="AX1288" s="96">
        <f t="shared" si="3582"/>
        <v>0</v>
      </c>
      <c r="AY1288" s="96">
        <f t="shared" si="3583"/>
        <v>0</v>
      </c>
      <c r="AZ1288" s="96">
        <f t="shared" si="3584"/>
        <v>0</v>
      </c>
      <c r="BA1288" s="96">
        <f t="shared" si="3585"/>
        <v>0</v>
      </c>
      <c r="BB1288" s="96">
        <f t="shared" si="3586"/>
        <v>0</v>
      </c>
    </row>
    <row r="1289" spans="1:54">
      <c r="A1289" s="492">
        <v>782</v>
      </c>
      <c r="B1289" s="13"/>
      <c r="C1289" s="299"/>
      <c r="D1289" s="13" t="s">
        <v>778</v>
      </c>
      <c r="E1289" s="21" t="s">
        <v>777</v>
      </c>
      <c r="F1289" s="45" t="s">
        <v>391</v>
      </c>
      <c r="G1289" s="45" t="s">
        <v>1059</v>
      </c>
      <c r="H1289" s="265" t="s">
        <v>359</v>
      </c>
      <c r="I1289" s="54">
        <v>5.58</v>
      </c>
      <c r="J1289" s="162"/>
      <c r="K1289" s="54">
        <v>5.58</v>
      </c>
      <c r="L1289" s="162"/>
      <c r="M1289" s="54"/>
      <c r="N1289" s="162"/>
      <c r="O1289" s="54"/>
      <c r="P1289" s="162"/>
      <c r="Q1289" s="96">
        <f t="shared" si="3562"/>
        <v>0</v>
      </c>
      <c r="R1289" s="337">
        <f t="shared" si="3563"/>
        <v>0</v>
      </c>
      <c r="S1289" s="96"/>
      <c r="T1289" s="96">
        <f t="shared" si="3564"/>
        <v>0</v>
      </c>
      <c r="U1289" s="96"/>
      <c r="V1289" s="96">
        <f t="shared" si="3565"/>
        <v>0</v>
      </c>
      <c r="W1289" s="96"/>
      <c r="X1289" s="96">
        <f t="shared" si="3566"/>
        <v>0</v>
      </c>
      <c r="Y1289" s="96">
        <f t="shared" si="3567"/>
        <v>0</v>
      </c>
      <c r="Z1289" s="96">
        <f t="shared" si="3568"/>
        <v>0</v>
      </c>
      <c r="AA1289" s="96"/>
      <c r="AB1289" s="96">
        <f t="shared" si="3569"/>
        <v>0</v>
      </c>
      <c r="AC1289" s="96"/>
      <c r="AD1289" s="96">
        <f t="shared" si="3570"/>
        <v>0</v>
      </c>
      <c r="AE1289" s="96"/>
      <c r="AF1289" s="95">
        <f t="shared" si="3571"/>
        <v>0</v>
      </c>
      <c r="AG1289" s="96">
        <f t="shared" si="3572"/>
        <v>0</v>
      </c>
      <c r="AH1289" s="96">
        <f t="shared" si="3573"/>
        <v>0</v>
      </c>
      <c r="AI1289" s="96">
        <f t="shared" si="3574"/>
        <v>0</v>
      </c>
      <c r="AJ1289" s="96">
        <f t="shared" si="3575"/>
        <v>0</v>
      </c>
      <c r="AK1289" s="96"/>
      <c r="AL1289" s="96">
        <f t="shared" si="3576"/>
        <v>0</v>
      </c>
      <c r="AM1289" s="96"/>
      <c r="AN1289" s="96">
        <f t="shared" si="3577"/>
        <v>0</v>
      </c>
      <c r="AO1289" s="96"/>
      <c r="AP1289" s="96">
        <f t="shared" si="3587"/>
        <v>0</v>
      </c>
      <c r="AQ1289" s="96">
        <f t="shared" si="3578"/>
        <v>0</v>
      </c>
      <c r="AR1289" s="96">
        <f t="shared" si="3579"/>
        <v>0</v>
      </c>
      <c r="AS1289" s="96"/>
      <c r="AT1289" s="96">
        <f t="shared" si="3580"/>
        <v>0</v>
      </c>
      <c r="AU1289" s="96"/>
      <c r="AV1289" s="96">
        <f t="shared" si="3581"/>
        <v>0</v>
      </c>
      <c r="AW1289" s="96"/>
      <c r="AX1289" s="96">
        <f t="shared" si="3582"/>
        <v>0</v>
      </c>
      <c r="AY1289" s="96">
        <f t="shared" si="3583"/>
        <v>0</v>
      </c>
      <c r="AZ1289" s="96">
        <f t="shared" si="3584"/>
        <v>0</v>
      </c>
      <c r="BA1289" s="96">
        <f t="shared" si="3585"/>
        <v>0</v>
      </c>
      <c r="BB1289" s="96">
        <f t="shared" si="3586"/>
        <v>0</v>
      </c>
    </row>
    <row r="1290" spans="1:54">
      <c r="A1290" s="492">
        <v>783</v>
      </c>
      <c r="B1290" s="13"/>
      <c r="C1290" s="299"/>
      <c r="D1290" s="24" t="s">
        <v>398</v>
      </c>
      <c r="E1290" s="24" t="s">
        <v>399</v>
      </c>
      <c r="F1290" s="366" t="s">
        <v>391</v>
      </c>
      <c r="G1290" s="366" t="s">
        <v>1059</v>
      </c>
      <c r="H1290" s="282" t="s">
        <v>428</v>
      </c>
      <c r="I1290" s="79"/>
      <c r="J1290" s="171"/>
      <c r="K1290" s="79"/>
      <c r="L1290" s="171"/>
      <c r="M1290" s="79"/>
      <c r="N1290" s="171"/>
      <c r="O1290" s="79"/>
      <c r="P1290" s="171"/>
      <c r="Q1290" s="133">
        <f t="shared" si="3562"/>
        <v>0</v>
      </c>
      <c r="R1290" s="342">
        <f t="shared" si="3563"/>
        <v>0</v>
      </c>
      <c r="S1290" s="133"/>
      <c r="T1290" s="133">
        <f t="shared" si="3564"/>
        <v>0</v>
      </c>
      <c r="U1290" s="133"/>
      <c r="V1290" s="133">
        <f t="shared" si="3565"/>
        <v>0</v>
      </c>
      <c r="W1290" s="133"/>
      <c r="X1290" s="133">
        <f t="shared" si="3566"/>
        <v>0</v>
      </c>
      <c r="Y1290" s="133">
        <f t="shared" si="3567"/>
        <v>0</v>
      </c>
      <c r="Z1290" s="133">
        <f t="shared" si="3568"/>
        <v>0</v>
      </c>
      <c r="AA1290" s="133"/>
      <c r="AB1290" s="133">
        <f t="shared" si="3569"/>
        <v>0</v>
      </c>
      <c r="AC1290" s="133"/>
      <c r="AD1290" s="133">
        <f t="shared" si="3570"/>
        <v>0</v>
      </c>
      <c r="AE1290" s="133"/>
      <c r="AF1290" s="405">
        <f t="shared" si="3571"/>
        <v>0</v>
      </c>
      <c r="AG1290" s="133">
        <f t="shared" si="3572"/>
        <v>0</v>
      </c>
      <c r="AH1290" s="133">
        <f t="shared" si="3573"/>
        <v>0</v>
      </c>
      <c r="AI1290" s="133">
        <f t="shared" si="3574"/>
        <v>0</v>
      </c>
      <c r="AJ1290" s="133">
        <f t="shared" si="3575"/>
        <v>0</v>
      </c>
      <c r="AK1290" s="133"/>
      <c r="AL1290" s="133">
        <f t="shared" si="3576"/>
        <v>0</v>
      </c>
      <c r="AM1290" s="133"/>
      <c r="AN1290" s="133">
        <f t="shared" si="3577"/>
        <v>0</v>
      </c>
      <c r="AO1290" s="133"/>
      <c r="AP1290" s="133">
        <f t="shared" si="3587"/>
        <v>0</v>
      </c>
      <c r="AQ1290" s="133">
        <f t="shared" si="3578"/>
        <v>0</v>
      </c>
      <c r="AR1290" s="133">
        <f t="shared" si="3579"/>
        <v>0</v>
      </c>
      <c r="AS1290" s="133"/>
      <c r="AT1290" s="133">
        <f t="shared" si="3580"/>
        <v>0</v>
      </c>
      <c r="AU1290" s="133"/>
      <c r="AV1290" s="133">
        <f t="shared" si="3581"/>
        <v>0</v>
      </c>
      <c r="AW1290" s="133"/>
      <c r="AX1290" s="133">
        <f t="shared" si="3582"/>
        <v>0</v>
      </c>
      <c r="AY1290" s="133">
        <f t="shared" si="3583"/>
        <v>0</v>
      </c>
      <c r="AZ1290" s="133">
        <f t="shared" si="3584"/>
        <v>0</v>
      </c>
      <c r="BA1290" s="133">
        <f t="shared" si="3585"/>
        <v>0</v>
      </c>
      <c r="BB1290" s="133">
        <f t="shared" si="3586"/>
        <v>0</v>
      </c>
    </row>
    <row r="1291" spans="1:54" ht="11.25" customHeight="1">
      <c r="A1291" s="492">
        <v>784</v>
      </c>
      <c r="B1291" s="26"/>
      <c r="C1291" s="27" t="s">
        <v>134</v>
      </c>
      <c r="D1291" s="28"/>
      <c r="E1291" s="550"/>
      <c r="F1291" s="550"/>
      <c r="G1291" s="550"/>
      <c r="H1291" s="273"/>
      <c r="I1291" s="326"/>
      <c r="J1291" s="327"/>
      <c r="K1291" s="325"/>
      <c r="L1291" s="328"/>
      <c r="M1291" s="325"/>
      <c r="N1291" s="328"/>
      <c r="O1291" s="326"/>
      <c r="P1291" s="327"/>
      <c r="Q1291" s="122">
        <f t="shared" ref="Q1291:BB1291" si="3666">SUM(Q1025:Q1290)</f>
        <v>141.69200000000006</v>
      </c>
      <c r="R1291" s="122">
        <f>SUM(R1025:R1290)</f>
        <v>2309.7839462515999</v>
      </c>
      <c r="S1291" s="122">
        <f t="shared" si="3666"/>
        <v>29.737000000000009</v>
      </c>
      <c r="T1291" s="122">
        <f t="shared" si="3666"/>
        <v>480.84967158799992</v>
      </c>
      <c r="U1291" s="122">
        <f t="shared" si="3666"/>
        <v>22.818999999999996</v>
      </c>
      <c r="V1291" s="122">
        <f t="shared" si="3666"/>
        <v>336.78428479920007</v>
      </c>
      <c r="W1291" s="122">
        <f t="shared" si="3666"/>
        <v>41.237999999999992</v>
      </c>
      <c r="X1291" s="122">
        <f t="shared" si="3666"/>
        <v>752.08479944040016</v>
      </c>
      <c r="Y1291" s="122">
        <f t="shared" si="3666"/>
        <v>93.793999999999997</v>
      </c>
      <c r="Z1291" s="122">
        <f t="shared" si="3666"/>
        <v>1569.7187558276003</v>
      </c>
      <c r="AA1291" s="122">
        <f t="shared" si="3666"/>
        <v>47.898000000000003</v>
      </c>
      <c r="AB1291" s="122">
        <f t="shared" si="3666"/>
        <v>740.06519042399998</v>
      </c>
      <c r="AC1291" s="122">
        <f t="shared" si="3666"/>
        <v>0</v>
      </c>
      <c r="AD1291" s="122">
        <f t="shared" si="3666"/>
        <v>0</v>
      </c>
      <c r="AE1291" s="122">
        <f t="shared" si="3666"/>
        <v>0</v>
      </c>
      <c r="AF1291" s="122">
        <f t="shared" si="3666"/>
        <v>0</v>
      </c>
      <c r="AG1291" s="122">
        <f t="shared" si="3666"/>
        <v>47.898000000000003</v>
      </c>
      <c r="AH1291" s="122">
        <f t="shared" si="3666"/>
        <v>740.06519042399998</v>
      </c>
      <c r="AI1291" s="122">
        <f t="shared" si="3666"/>
        <v>141.69200000000006</v>
      </c>
      <c r="AJ1291" s="122">
        <f t="shared" si="3666"/>
        <v>2309.7839462515999</v>
      </c>
      <c r="AK1291" s="122">
        <f t="shared" si="3666"/>
        <v>0</v>
      </c>
      <c r="AL1291" s="122">
        <f t="shared" si="3666"/>
        <v>0</v>
      </c>
      <c r="AM1291" s="122">
        <f t="shared" si="3666"/>
        <v>0</v>
      </c>
      <c r="AN1291" s="122">
        <f t="shared" si="3666"/>
        <v>0</v>
      </c>
      <c r="AO1291" s="122">
        <f t="shared" si="3666"/>
        <v>0</v>
      </c>
      <c r="AP1291" s="122">
        <f t="shared" si="3666"/>
        <v>0</v>
      </c>
      <c r="AQ1291" s="122">
        <f t="shared" si="3666"/>
        <v>0</v>
      </c>
      <c r="AR1291" s="122">
        <f t="shared" si="3666"/>
        <v>0</v>
      </c>
      <c r="AS1291" s="122">
        <f t="shared" si="3666"/>
        <v>0</v>
      </c>
      <c r="AT1291" s="122">
        <f t="shared" si="3666"/>
        <v>0</v>
      </c>
      <c r="AU1291" s="122">
        <f t="shared" si="3666"/>
        <v>0</v>
      </c>
      <c r="AV1291" s="122">
        <f t="shared" si="3666"/>
        <v>0</v>
      </c>
      <c r="AW1291" s="122">
        <f t="shared" si="3666"/>
        <v>0</v>
      </c>
      <c r="AX1291" s="122">
        <f t="shared" si="3666"/>
        <v>0</v>
      </c>
      <c r="AY1291" s="122">
        <f t="shared" si="3666"/>
        <v>0</v>
      </c>
      <c r="AZ1291" s="122">
        <f t="shared" si="3666"/>
        <v>0</v>
      </c>
      <c r="BA1291" s="122">
        <f t="shared" si="3666"/>
        <v>0</v>
      </c>
      <c r="BB1291" s="122">
        <f t="shared" si="3666"/>
        <v>0</v>
      </c>
    </row>
    <row r="1292" spans="1:54" hidden="1">
      <c r="A1292" s="492">
        <v>785</v>
      </c>
      <c r="B1292" s="13"/>
      <c r="C1292" s="303" t="s">
        <v>497</v>
      </c>
      <c r="D1292" s="261" t="s">
        <v>353</v>
      </c>
      <c r="E1292" s="31" t="s">
        <v>626</v>
      </c>
      <c r="F1292" s="310" t="s">
        <v>434</v>
      </c>
      <c r="G1292" s="310" t="s">
        <v>1059</v>
      </c>
      <c r="H1292" s="271" t="s">
        <v>433</v>
      </c>
      <c r="I1292" s="61">
        <v>47.81</v>
      </c>
      <c r="J1292" s="163"/>
      <c r="K1292" s="61"/>
      <c r="L1292" s="163"/>
      <c r="M1292" s="61"/>
      <c r="N1292" s="163"/>
      <c r="O1292" s="61"/>
      <c r="P1292" s="163"/>
      <c r="Q1292" s="121">
        <f t="shared" ref="Q1292:Q1300" si="3667">SUM(AI1292+BA1292)</f>
        <v>0</v>
      </c>
      <c r="R1292" s="341">
        <f t="shared" ref="R1292:R1300" si="3668">SUM(AJ1292+BB1292)</f>
        <v>0</v>
      </c>
      <c r="S1292" s="121"/>
      <c r="T1292" s="121">
        <f t="shared" ref="T1292:T1300" si="3669">I1292*S1292*$T$2/1000</f>
        <v>0</v>
      </c>
      <c r="U1292" s="121"/>
      <c r="V1292" s="121">
        <f t="shared" ref="V1292:V1300" si="3670">I1292*U1292*$V$2/1000</f>
        <v>0</v>
      </c>
      <c r="W1292" s="121"/>
      <c r="X1292" s="121">
        <f t="shared" ref="X1292:X1300" si="3671">I1292*W1292*$X$2/1000</f>
        <v>0</v>
      </c>
      <c r="Y1292" s="121">
        <f t="shared" ref="Y1292:Y1300" si="3672">SUM(S1292+U1292+W1292)</f>
        <v>0</v>
      </c>
      <c r="Z1292" s="121">
        <f t="shared" ref="Z1292:Z1300" si="3673">SUM(T1292+V1292+X1292)</f>
        <v>0</v>
      </c>
      <c r="AA1292" s="121"/>
      <c r="AB1292" s="121">
        <f t="shared" ref="AB1292:AB1300" si="3674">K1292*AA1292*$AB$2/1000</f>
        <v>0</v>
      </c>
      <c r="AC1292" s="121"/>
      <c r="AD1292" s="121">
        <f t="shared" ref="AD1292:AD1300" si="3675">K1292*AC1292*$AD$2/1000</f>
        <v>0</v>
      </c>
      <c r="AE1292" s="121"/>
      <c r="AF1292" s="121">
        <f t="shared" ref="AF1292:AF1300" si="3676">K1292*AE1292*$AF$2/1000</f>
        <v>0</v>
      </c>
      <c r="AG1292" s="121">
        <f t="shared" ref="AG1292:AG1300" si="3677">SUM(AA1292+AC1292+AE1292)</f>
        <v>0</v>
      </c>
      <c r="AH1292" s="121">
        <f t="shared" ref="AH1292:AH1300" si="3678">SUM(AB1292+AD1292+AF1292)</f>
        <v>0</v>
      </c>
      <c r="AI1292" s="121">
        <f t="shared" ref="AI1292:AI1300" si="3679">SUM(Y1292+AG1292)</f>
        <v>0</v>
      </c>
      <c r="AJ1292" s="121">
        <f t="shared" ref="AJ1292:AJ1300" si="3680">SUM(Z1292,AH1292)</f>
        <v>0</v>
      </c>
      <c r="AK1292" s="121"/>
      <c r="AL1292" s="121">
        <f t="shared" ref="AL1292:AL1300" si="3681">M1292*AK1292*$AL$2/1000</f>
        <v>0</v>
      </c>
      <c r="AM1292" s="121"/>
      <c r="AN1292" s="121">
        <f t="shared" ref="AN1292:AN1300" si="3682">M1292*AM1292*$AN$2/1000</f>
        <v>0</v>
      </c>
      <c r="AO1292" s="121"/>
      <c r="AP1292" s="121">
        <f t="shared" ref="AP1292:AP1300" si="3683">M1292*AO1292*$AP$2/1000</f>
        <v>0</v>
      </c>
      <c r="AQ1292" s="121">
        <f t="shared" ref="AQ1292:AQ1300" si="3684">SUM(AK1292+AM1292+AO1292)</f>
        <v>0</v>
      </c>
      <c r="AR1292" s="121">
        <f t="shared" ref="AR1292:AR1300" si="3685">SUM(AL1292+AN1292+AP1292)</f>
        <v>0</v>
      </c>
      <c r="AS1292" s="121"/>
      <c r="AT1292" s="121">
        <f t="shared" ref="AT1292:AT1300" si="3686">O1292*AS1292*$AT$2/1000</f>
        <v>0</v>
      </c>
      <c r="AU1292" s="121"/>
      <c r="AV1292" s="121">
        <f t="shared" ref="AV1292:AV1300" si="3687">O1292*AU1292*$AV$2/1000</f>
        <v>0</v>
      </c>
      <c r="AW1292" s="121"/>
      <c r="AX1292" s="121">
        <f t="shared" ref="AX1292:AX1300" si="3688">O1292*AW1292*$AX$2/1000</f>
        <v>0</v>
      </c>
      <c r="AY1292" s="121">
        <f t="shared" ref="AY1292:AY1300" si="3689">SUM(AS1292+AU1292+AW1292)</f>
        <v>0</v>
      </c>
      <c r="AZ1292" s="121">
        <f t="shared" ref="AZ1292:AZ1300" si="3690">SUM(AT1292+AV1292+AX1292)</f>
        <v>0</v>
      </c>
      <c r="BA1292" s="121">
        <f t="shared" ref="BA1292:BA1300" si="3691">SUM(AQ1292+AY1292)</f>
        <v>0</v>
      </c>
      <c r="BB1292" s="121">
        <f t="shared" ref="BB1292:BB1300" si="3692">SUM(AR1292,AZ1292)</f>
        <v>0</v>
      </c>
    </row>
    <row r="1293" spans="1:54" s="6" customFormat="1" hidden="1">
      <c r="A1293" s="492">
        <v>786</v>
      </c>
      <c r="B1293" s="14"/>
      <c r="C1293" s="39"/>
      <c r="D1293" s="14" t="s">
        <v>353</v>
      </c>
      <c r="E1293" s="16" t="s">
        <v>522</v>
      </c>
      <c r="F1293" s="44" t="s">
        <v>447</v>
      </c>
      <c r="G1293" s="44" t="s">
        <v>1059</v>
      </c>
      <c r="H1293" s="264" t="s">
        <v>433</v>
      </c>
      <c r="I1293" s="232">
        <v>51.21</v>
      </c>
      <c r="J1293" s="239"/>
      <c r="K1293" s="232"/>
      <c r="L1293" s="239"/>
      <c r="M1293" s="232"/>
      <c r="N1293" s="239"/>
      <c r="O1293" s="232"/>
      <c r="P1293" s="239"/>
      <c r="Q1293" s="95">
        <f t="shared" si="3667"/>
        <v>0</v>
      </c>
      <c r="R1293" s="335">
        <f t="shared" si="3668"/>
        <v>0</v>
      </c>
      <c r="S1293" s="95"/>
      <c r="T1293" s="95">
        <f t="shared" si="3669"/>
        <v>0</v>
      </c>
      <c r="U1293" s="95"/>
      <c r="V1293" s="95">
        <f t="shared" si="3670"/>
        <v>0</v>
      </c>
      <c r="W1293" s="95"/>
      <c r="X1293" s="95">
        <f t="shared" si="3671"/>
        <v>0</v>
      </c>
      <c r="Y1293" s="95">
        <f t="shared" si="3672"/>
        <v>0</v>
      </c>
      <c r="Z1293" s="95">
        <f t="shared" si="3673"/>
        <v>0</v>
      </c>
      <c r="AA1293" s="95"/>
      <c r="AB1293" s="95">
        <f t="shared" si="3674"/>
        <v>0</v>
      </c>
      <c r="AC1293" s="95"/>
      <c r="AD1293" s="95">
        <f t="shared" si="3675"/>
        <v>0</v>
      </c>
      <c r="AE1293" s="95"/>
      <c r="AF1293" s="96">
        <f t="shared" si="3676"/>
        <v>0</v>
      </c>
      <c r="AG1293" s="95">
        <f t="shared" si="3677"/>
        <v>0</v>
      </c>
      <c r="AH1293" s="95">
        <f t="shared" si="3678"/>
        <v>0</v>
      </c>
      <c r="AI1293" s="95">
        <f t="shared" si="3679"/>
        <v>0</v>
      </c>
      <c r="AJ1293" s="95">
        <f t="shared" si="3680"/>
        <v>0</v>
      </c>
      <c r="AK1293" s="95"/>
      <c r="AL1293" s="95">
        <f t="shared" si="3681"/>
        <v>0</v>
      </c>
      <c r="AM1293" s="95"/>
      <c r="AN1293" s="95">
        <f t="shared" si="3682"/>
        <v>0</v>
      </c>
      <c r="AO1293" s="95"/>
      <c r="AP1293" s="95">
        <f t="shared" si="3683"/>
        <v>0</v>
      </c>
      <c r="AQ1293" s="95">
        <f t="shared" si="3684"/>
        <v>0</v>
      </c>
      <c r="AR1293" s="95">
        <f t="shared" si="3685"/>
        <v>0</v>
      </c>
      <c r="AS1293" s="95"/>
      <c r="AT1293" s="95">
        <f t="shared" si="3686"/>
        <v>0</v>
      </c>
      <c r="AU1293" s="95"/>
      <c r="AV1293" s="95">
        <f t="shared" si="3687"/>
        <v>0</v>
      </c>
      <c r="AW1293" s="95"/>
      <c r="AX1293" s="95">
        <f t="shared" si="3688"/>
        <v>0</v>
      </c>
      <c r="AY1293" s="95">
        <f t="shared" si="3689"/>
        <v>0</v>
      </c>
      <c r="AZ1293" s="95">
        <f t="shared" si="3690"/>
        <v>0</v>
      </c>
      <c r="BA1293" s="95">
        <f t="shared" si="3691"/>
        <v>0</v>
      </c>
      <c r="BB1293" s="95">
        <f t="shared" si="3692"/>
        <v>0</v>
      </c>
    </row>
    <row r="1294" spans="1:54" s="6" customFormat="1" hidden="1">
      <c r="A1294" s="492">
        <v>787</v>
      </c>
      <c r="B1294" s="14"/>
      <c r="C1294" s="39"/>
      <c r="D1294" s="14" t="s">
        <v>353</v>
      </c>
      <c r="E1294" s="16" t="s">
        <v>475</v>
      </c>
      <c r="F1294" s="44" t="s">
        <v>476</v>
      </c>
      <c r="G1294" s="44" t="s">
        <v>1059</v>
      </c>
      <c r="H1294" s="264" t="s">
        <v>359</v>
      </c>
      <c r="I1294" s="232">
        <v>51.21</v>
      </c>
      <c r="J1294" s="239"/>
      <c r="K1294" s="232"/>
      <c r="L1294" s="239"/>
      <c r="M1294" s="232"/>
      <c r="N1294" s="239"/>
      <c r="O1294" s="232"/>
      <c r="P1294" s="239"/>
      <c r="Q1294" s="95">
        <f t="shared" si="3667"/>
        <v>0</v>
      </c>
      <c r="R1294" s="335">
        <f t="shared" si="3668"/>
        <v>0</v>
      </c>
      <c r="S1294" s="95"/>
      <c r="T1294" s="95">
        <f t="shared" si="3669"/>
        <v>0</v>
      </c>
      <c r="U1294" s="95"/>
      <c r="V1294" s="95">
        <f t="shared" si="3670"/>
        <v>0</v>
      </c>
      <c r="W1294" s="95"/>
      <c r="X1294" s="95">
        <f t="shared" si="3671"/>
        <v>0</v>
      </c>
      <c r="Y1294" s="95">
        <f t="shared" si="3672"/>
        <v>0</v>
      </c>
      <c r="Z1294" s="95">
        <f t="shared" si="3673"/>
        <v>0</v>
      </c>
      <c r="AA1294" s="95"/>
      <c r="AB1294" s="95">
        <f t="shared" si="3674"/>
        <v>0</v>
      </c>
      <c r="AC1294" s="95"/>
      <c r="AD1294" s="95">
        <f t="shared" si="3675"/>
        <v>0</v>
      </c>
      <c r="AE1294" s="95"/>
      <c r="AF1294" s="96">
        <f t="shared" si="3676"/>
        <v>0</v>
      </c>
      <c r="AG1294" s="95">
        <f t="shared" si="3677"/>
        <v>0</v>
      </c>
      <c r="AH1294" s="95">
        <f t="shared" si="3678"/>
        <v>0</v>
      </c>
      <c r="AI1294" s="95">
        <f t="shared" si="3679"/>
        <v>0</v>
      </c>
      <c r="AJ1294" s="95">
        <f t="shared" si="3680"/>
        <v>0</v>
      </c>
      <c r="AK1294" s="95"/>
      <c r="AL1294" s="95">
        <f t="shared" si="3681"/>
        <v>0</v>
      </c>
      <c r="AM1294" s="95"/>
      <c r="AN1294" s="95">
        <f t="shared" si="3682"/>
        <v>0</v>
      </c>
      <c r="AO1294" s="95"/>
      <c r="AP1294" s="95">
        <f t="shared" si="3683"/>
        <v>0</v>
      </c>
      <c r="AQ1294" s="95">
        <f t="shared" si="3684"/>
        <v>0</v>
      </c>
      <c r="AR1294" s="95">
        <f t="shared" si="3685"/>
        <v>0</v>
      </c>
      <c r="AS1294" s="95"/>
      <c r="AT1294" s="95">
        <f t="shared" si="3686"/>
        <v>0</v>
      </c>
      <c r="AU1294" s="95"/>
      <c r="AV1294" s="95">
        <f t="shared" si="3687"/>
        <v>0</v>
      </c>
      <c r="AW1294" s="95"/>
      <c r="AX1294" s="95">
        <f t="shared" si="3688"/>
        <v>0</v>
      </c>
      <c r="AY1294" s="95">
        <f t="shared" si="3689"/>
        <v>0</v>
      </c>
      <c r="AZ1294" s="95">
        <f t="shared" si="3690"/>
        <v>0</v>
      </c>
      <c r="BA1294" s="95">
        <f t="shared" si="3691"/>
        <v>0</v>
      </c>
      <c r="BB1294" s="95">
        <f t="shared" si="3692"/>
        <v>0</v>
      </c>
    </row>
    <row r="1295" spans="1:54" hidden="1">
      <c r="A1295" s="492">
        <v>788</v>
      </c>
      <c r="B1295" s="13"/>
      <c r="C1295" s="234"/>
      <c r="D1295" s="13" t="s">
        <v>354</v>
      </c>
      <c r="E1295" s="21" t="s">
        <v>435</v>
      </c>
      <c r="F1295" s="45" t="s">
        <v>434</v>
      </c>
      <c r="G1295" s="45" t="s">
        <v>1059</v>
      </c>
      <c r="H1295" s="265" t="s">
        <v>433</v>
      </c>
      <c r="I1295" s="54">
        <v>48.03</v>
      </c>
      <c r="J1295" s="162"/>
      <c r="K1295" s="54"/>
      <c r="L1295" s="162"/>
      <c r="M1295" s="54"/>
      <c r="N1295" s="162"/>
      <c r="O1295" s="54"/>
      <c r="P1295" s="162"/>
      <c r="Q1295" s="96">
        <f t="shared" si="3667"/>
        <v>0</v>
      </c>
      <c r="R1295" s="337">
        <f t="shared" si="3668"/>
        <v>0</v>
      </c>
      <c r="S1295" s="96"/>
      <c r="T1295" s="96">
        <f t="shared" si="3669"/>
        <v>0</v>
      </c>
      <c r="U1295" s="96"/>
      <c r="V1295" s="96">
        <f t="shared" si="3670"/>
        <v>0</v>
      </c>
      <c r="W1295" s="96"/>
      <c r="X1295" s="96">
        <f t="shared" si="3671"/>
        <v>0</v>
      </c>
      <c r="Y1295" s="96">
        <f t="shared" si="3672"/>
        <v>0</v>
      </c>
      <c r="Z1295" s="96">
        <f t="shared" si="3673"/>
        <v>0</v>
      </c>
      <c r="AA1295" s="96"/>
      <c r="AB1295" s="96">
        <f t="shared" si="3674"/>
        <v>0</v>
      </c>
      <c r="AC1295" s="96"/>
      <c r="AD1295" s="96">
        <f t="shared" si="3675"/>
        <v>0</v>
      </c>
      <c r="AE1295" s="96"/>
      <c r="AF1295" s="96">
        <f t="shared" si="3676"/>
        <v>0</v>
      </c>
      <c r="AG1295" s="96">
        <f t="shared" si="3677"/>
        <v>0</v>
      </c>
      <c r="AH1295" s="96">
        <f t="shared" si="3678"/>
        <v>0</v>
      </c>
      <c r="AI1295" s="96">
        <f t="shared" si="3679"/>
        <v>0</v>
      </c>
      <c r="AJ1295" s="96">
        <f t="shared" si="3680"/>
        <v>0</v>
      </c>
      <c r="AK1295" s="96"/>
      <c r="AL1295" s="96">
        <f t="shared" si="3681"/>
        <v>0</v>
      </c>
      <c r="AM1295" s="96"/>
      <c r="AN1295" s="96">
        <f t="shared" si="3682"/>
        <v>0</v>
      </c>
      <c r="AO1295" s="96"/>
      <c r="AP1295" s="96">
        <f t="shared" si="3683"/>
        <v>0</v>
      </c>
      <c r="AQ1295" s="96">
        <f t="shared" si="3684"/>
        <v>0</v>
      </c>
      <c r="AR1295" s="96">
        <f t="shared" si="3685"/>
        <v>0</v>
      </c>
      <c r="AS1295" s="96"/>
      <c r="AT1295" s="96">
        <f t="shared" si="3686"/>
        <v>0</v>
      </c>
      <c r="AU1295" s="96"/>
      <c r="AV1295" s="96">
        <f t="shared" si="3687"/>
        <v>0</v>
      </c>
      <c r="AW1295" s="96"/>
      <c r="AX1295" s="96">
        <f t="shared" si="3688"/>
        <v>0</v>
      </c>
      <c r="AY1295" s="96">
        <f t="shared" si="3689"/>
        <v>0</v>
      </c>
      <c r="AZ1295" s="96">
        <f t="shared" si="3690"/>
        <v>0</v>
      </c>
      <c r="BA1295" s="96">
        <f t="shared" si="3691"/>
        <v>0</v>
      </c>
      <c r="BB1295" s="96">
        <f t="shared" si="3692"/>
        <v>0</v>
      </c>
    </row>
    <row r="1296" spans="1:54" s="6" customFormat="1" hidden="1">
      <c r="A1296" s="492">
        <v>789</v>
      </c>
      <c r="B1296" s="14"/>
      <c r="C1296" s="39"/>
      <c r="D1296" s="14" t="s">
        <v>354</v>
      </c>
      <c r="E1296" s="16" t="s">
        <v>448</v>
      </c>
      <c r="F1296" s="44" t="s">
        <v>447</v>
      </c>
      <c r="G1296" s="44" t="s">
        <v>1059</v>
      </c>
      <c r="H1296" s="264" t="s">
        <v>433</v>
      </c>
      <c r="I1296" s="232">
        <v>51.43</v>
      </c>
      <c r="J1296" s="239"/>
      <c r="K1296" s="232"/>
      <c r="L1296" s="239"/>
      <c r="M1296" s="232"/>
      <c r="N1296" s="239"/>
      <c r="O1296" s="232"/>
      <c r="P1296" s="239"/>
      <c r="Q1296" s="95">
        <f t="shared" si="3667"/>
        <v>0</v>
      </c>
      <c r="R1296" s="335">
        <f t="shared" si="3668"/>
        <v>0</v>
      </c>
      <c r="S1296" s="95"/>
      <c r="T1296" s="95">
        <f t="shared" si="3669"/>
        <v>0</v>
      </c>
      <c r="U1296" s="95"/>
      <c r="V1296" s="95">
        <f t="shared" si="3670"/>
        <v>0</v>
      </c>
      <c r="W1296" s="95"/>
      <c r="X1296" s="95">
        <f t="shared" si="3671"/>
        <v>0</v>
      </c>
      <c r="Y1296" s="95">
        <f t="shared" si="3672"/>
        <v>0</v>
      </c>
      <c r="Z1296" s="95">
        <f t="shared" si="3673"/>
        <v>0</v>
      </c>
      <c r="AA1296" s="95"/>
      <c r="AB1296" s="95">
        <f t="shared" si="3674"/>
        <v>0</v>
      </c>
      <c r="AC1296" s="95"/>
      <c r="AD1296" s="95">
        <f t="shared" si="3675"/>
        <v>0</v>
      </c>
      <c r="AE1296" s="95"/>
      <c r="AF1296" s="96">
        <f t="shared" si="3676"/>
        <v>0</v>
      </c>
      <c r="AG1296" s="95">
        <f t="shared" si="3677"/>
        <v>0</v>
      </c>
      <c r="AH1296" s="95">
        <f t="shared" si="3678"/>
        <v>0</v>
      </c>
      <c r="AI1296" s="95">
        <f t="shared" si="3679"/>
        <v>0</v>
      </c>
      <c r="AJ1296" s="95">
        <f t="shared" si="3680"/>
        <v>0</v>
      </c>
      <c r="AK1296" s="95"/>
      <c r="AL1296" s="95">
        <f t="shared" si="3681"/>
        <v>0</v>
      </c>
      <c r="AM1296" s="95"/>
      <c r="AN1296" s="95">
        <f t="shared" si="3682"/>
        <v>0</v>
      </c>
      <c r="AO1296" s="95"/>
      <c r="AP1296" s="95">
        <f t="shared" si="3683"/>
        <v>0</v>
      </c>
      <c r="AQ1296" s="95">
        <f t="shared" si="3684"/>
        <v>0</v>
      </c>
      <c r="AR1296" s="95">
        <f t="shared" si="3685"/>
        <v>0</v>
      </c>
      <c r="AS1296" s="95"/>
      <c r="AT1296" s="95">
        <f t="shared" si="3686"/>
        <v>0</v>
      </c>
      <c r="AU1296" s="95"/>
      <c r="AV1296" s="95">
        <f t="shared" si="3687"/>
        <v>0</v>
      </c>
      <c r="AW1296" s="95"/>
      <c r="AX1296" s="95">
        <f t="shared" si="3688"/>
        <v>0</v>
      </c>
      <c r="AY1296" s="95">
        <f t="shared" si="3689"/>
        <v>0</v>
      </c>
      <c r="AZ1296" s="95">
        <f t="shared" si="3690"/>
        <v>0</v>
      </c>
      <c r="BA1296" s="95">
        <f t="shared" si="3691"/>
        <v>0</v>
      </c>
      <c r="BB1296" s="95">
        <f t="shared" si="3692"/>
        <v>0</v>
      </c>
    </row>
    <row r="1297" spans="1:54" s="6" customFormat="1" hidden="1">
      <c r="A1297" s="492">
        <v>790</v>
      </c>
      <c r="B1297" s="14"/>
      <c r="C1297" s="39"/>
      <c r="D1297" s="14" t="s">
        <v>354</v>
      </c>
      <c r="E1297" s="16" t="s">
        <v>477</v>
      </c>
      <c r="F1297" s="44" t="s">
        <v>478</v>
      </c>
      <c r="G1297" s="44" t="s">
        <v>1059</v>
      </c>
      <c r="H1297" s="264" t="s">
        <v>359</v>
      </c>
      <c r="I1297" s="232">
        <v>51.43</v>
      </c>
      <c r="J1297" s="239"/>
      <c r="K1297" s="232"/>
      <c r="L1297" s="239"/>
      <c r="M1297" s="232"/>
      <c r="N1297" s="239"/>
      <c r="O1297" s="232"/>
      <c r="P1297" s="239"/>
      <c r="Q1297" s="95">
        <f t="shared" si="3667"/>
        <v>0</v>
      </c>
      <c r="R1297" s="335">
        <f t="shared" si="3668"/>
        <v>0</v>
      </c>
      <c r="S1297" s="95"/>
      <c r="T1297" s="95">
        <f t="shared" si="3669"/>
        <v>0</v>
      </c>
      <c r="U1297" s="95"/>
      <c r="V1297" s="95">
        <f t="shared" si="3670"/>
        <v>0</v>
      </c>
      <c r="W1297" s="95"/>
      <c r="X1297" s="95">
        <f t="shared" si="3671"/>
        <v>0</v>
      </c>
      <c r="Y1297" s="95">
        <f t="shared" si="3672"/>
        <v>0</v>
      </c>
      <c r="Z1297" s="95">
        <f t="shared" si="3673"/>
        <v>0</v>
      </c>
      <c r="AA1297" s="95"/>
      <c r="AB1297" s="95">
        <f t="shared" si="3674"/>
        <v>0</v>
      </c>
      <c r="AC1297" s="95"/>
      <c r="AD1297" s="95">
        <f t="shared" si="3675"/>
        <v>0</v>
      </c>
      <c r="AE1297" s="95"/>
      <c r="AF1297" s="96">
        <f t="shared" si="3676"/>
        <v>0</v>
      </c>
      <c r="AG1297" s="95">
        <f t="shared" si="3677"/>
        <v>0</v>
      </c>
      <c r="AH1297" s="95">
        <f t="shared" si="3678"/>
        <v>0</v>
      </c>
      <c r="AI1297" s="95">
        <f t="shared" si="3679"/>
        <v>0</v>
      </c>
      <c r="AJ1297" s="95">
        <f t="shared" si="3680"/>
        <v>0</v>
      </c>
      <c r="AK1297" s="95"/>
      <c r="AL1297" s="95">
        <f t="shared" si="3681"/>
        <v>0</v>
      </c>
      <c r="AM1297" s="95"/>
      <c r="AN1297" s="95">
        <f t="shared" si="3682"/>
        <v>0</v>
      </c>
      <c r="AO1297" s="95"/>
      <c r="AP1297" s="95">
        <f t="shared" si="3683"/>
        <v>0</v>
      </c>
      <c r="AQ1297" s="95">
        <f t="shared" si="3684"/>
        <v>0</v>
      </c>
      <c r="AR1297" s="95">
        <f t="shared" si="3685"/>
        <v>0</v>
      </c>
      <c r="AS1297" s="95"/>
      <c r="AT1297" s="95">
        <f t="shared" si="3686"/>
        <v>0</v>
      </c>
      <c r="AU1297" s="95"/>
      <c r="AV1297" s="95">
        <f t="shared" si="3687"/>
        <v>0</v>
      </c>
      <c r="AW1297" s="95"/>
      <c r="AX1297" s="95">
        <f t="shared" si="3688"/>
        <v>0</v>
      </c>
      <c r="AY1297" s="95">
        <f t="shared" si="3689"/>
        <v>0</v>
      </c>
      <c r="AZ1297" s="95">
        <f t="shared" si="3690"/>
        <v>0</v>
      </c>
      <c r="BA1297" s="95">
        <f t="shared" si="3691"/>
        <v>0</v>
      </c>
      <c r="BB1297" s="95">
        <f t="shared" si="3692"/>
        <v>0</v>
      </c>
    </row>
    <row r="1298" spans="1:54" hidden="1">
      <c r="A1298" s="492">
        <v>791</v>
      </c>
      <c r="B1298" s="13"/>
      <c r="C1298" s="234"/>
      <c r="D1298" s="13" t="s">
        <v>355</v>
      </c>
      <c r="E1298" s="21" t="s">
        <v>627</v>
      </c>
      <c r="F1298" s="45" t="s">
        <v>434</v>
      </c>
      <c r="G1298" s="45" t="s">
        <v>1059</v>
      </c>
      <c r="H1298" s="265" t="s">
        <v>433</v>
      </c>
      <c r="I1298" s="54">
        <v>48.37</v>
      </c>
      <c r="J1298" s="162"/>
      <c r="K1298" s="54"/>
      <c r="L1298" s="162"/>
      <c r="M1298" s="54"/>
      <c r="N1298" s="162"/>
      <c r="O1298" s="54"/>
      <c r="P1298" s="162"/>
      <c r="Q1298" s="96">
        <f t="shared" si="3667"/>
        <v>0</v>
      </c>
      <c r="R1298" s="337">
        <f t="shared" si="3668"/>
        <v>0</v>
      </c>
      <c r="S1298" s="96"/>
      <c r="T1298" s="96">
        <f t="shared" si="3669"/>
        <v>0</v>
      </c>
      <c r="U1298" s="96"/>
      <c r="V1298" s="96">
        <f t="shared" si="3670"/>
        <v>0</v>
      </c>
      <c r="W1298" s="96"/>
      <c r="X1298" s="96">
        <f t="shared" si="3671"/>
        <v>0</v>
      </c>
      <c r="Y1298" s="96">
        <f t="shared" si="3672"/>
        <v>0</v>
      </c>
      <c r="Z1298" s="96">
        <f t="shared" si="3673"/>
        <v>0</v>
      </c>
      <c r="AA1298" s="96"/>
      <c r="AB1298" s="96">
        <f t="shared" si="3674"/>
        <v>0</v>
      </c>
      <c r="AC1298" s="96"/>
      <c r="AD1298" s="96">
        <f t="shared" si="3675"/>
        <v>0</v>
      </c>
      <c r="AE1298" s="96"/>
      <c r="AF1298" s="96">
        <f t="shared" si="3676"/>
        <v>0</v>
      </c>
      <c r="AG1298" s="96">
        <f t="shared" si="3677"/>
        <v>0</v>
      </c>
      <c r="AH1298" s="96">
        <f t="shared" si="3678"/>
        <v>0</v>
      </c>
      <c r="AI1298" s="96">
        <f t="shared" si="3679"/>
        <v>0</v>
      </c>
      <c r="AJ1298" s="96">
        <f t="shared" si="3680"/>
        <v>0</v>
      </c>
      <c r="AK1298" s="96"/>
      <c r="AL1298" s="96">
        <f t="shared" si="3681"/>
        <v>0</v>
      </c>
      <c r="AM1298" s="96"/>
      <c r="AN1298" s="96">
        <f t="shared" si="3682"/>
        <v>0</v>
      </c>
      <c r="AO1298" s="96"/>
      <c r="AP1298" s="96">
        <f t="shared" si="3683"/>
        <v>0</v>
      </c>
      <c r="AQ1298" s="96">
        <f t="shared" si="3684"/>
        <v>0</v>
      </c>
      <c r="AR1298" s="96">
        <f t="shared" si="3685"/>
        <v>0</v>
      </c>
      <c r="AS1298" s="96"/>
      <c r="AT1298" s="96">
        <f t="shared" si="3686"/>
        <v>0</v>
      </c>
      <c r="AU1298" s="96"/>
      <c r="AV1298" s="96">
        <f t="shared" si="3687"/>
        <v>0</v>
      </c>
      <c r="AW1298" s="96"/>
      <c r="AX1298" s="96">
        <f t="shared" si="3688"/>
        <v>0</v>
      </c>
      <c r="AY1298" s="96">
        <f t="shared" si="3689"/>
        <v>0</v>
      </c>
      <c r="AZ1298" s="96">
        <f t="shared" si="3690"/>
        <v>0</v>
      </c>
      <c r="BA1298" s="96">
        <f t="shared" si="3691"/>
        <v>0</v>
      </c>
      <c r="BB1298" s="96">
        <f t="shared" si="3692"/>
        <v>0</v>
      </c>
    </row>
    <row r="1299" spans="1:54" s="6" customFormat="1" hidden="1">
      <c r="A1299" s="492">
        <v>792</v>
      </c>
      <c r="B1299" s="14"/>
      <c r="C1299" s="39"/>
      <c r="D1299" s="14" t="s">
        <v>355</v>
      </c>
      <c r="E1299" s="16" t="s">
        <v>450</v>
      </c>
      <c r="F1299" s="44" t="s">
        <v>449</v>
      </c>
      <c r="G1299" s="44" t="s">
        <v>1059</v>
      </c>
      <c r="H1299" s="264" t="s">
        <v>359</v>
      </c>
      <c r="I1299" s="232">
        <v>51.77</v>
      </c>
      <c r="J1299" s="239"/>
      <c r="K1299" s="232"/>
      <c r="L1299" s="239"/>
      <c r="M1299" s="232"/>
      <c r="N1299" s="239"/>
      <c r="O1299" s="232"/>
      <c r="P1299" s="239"/>
      <c r="Q1299" s="95">
        <f t="shared" si="3667"/>
        <v>0</v>
      </c>
      <c r="R1299" s="335">
        <f t="shared" si="3668"/>
        <v>0</v>
      </c>
      <c r="S1299" s="95"/>
      <c r="T1299" s="95">
        <f t="shared" si="3669"/>
        <v>0</v>
      </c>
      <c r="U1299" s="95"/>
      <c r="V1299" s="95">
        <f t="shared" si="3670"/>
        <v>0</v>
      </c>
      <c r="W1299" s="95"/>
      <c r="X1299" s="95">
        <f t="shared" si="3671"/>
        <v>0</v>
      </c>
      <c r="Y1299" s="95">
        <f t="shared" si="3672"/>
        <v>0</v>
      </c>
      <c r="Z1299" s="95">
        <f t="shared" si="3673"/>
        <v>0</v>
      </c>
      <c r="AA1299" s="95"/>
      <c r="AB1299" s="95">
        <f t="shared" si="3674"/>
        <v>0</v>
      </c>
      <c r="AC1299" s="95"/>
      <c r="AD1299" s="95">
        <f t="shared" si="3675"/>
        <v>0</v>
      </c>
      <c r="AE1299" s="95"/>
      <c r="AF1299" s="96">
        <f t="shared" si="3676"/>
        <v>0</v>
      </c>
      <c r="AG1299" s="95">
        <f t="shared" si="3677"/>
        <v>0</v>
      </c>
      <c r="AH1299" s="95">
        <f t="shared" si="3678"/>
        <v>0</v>
      </c>
      <c r="AI1299" s="95">
        <f t="shared" si="3679"/>
        <v>0</v>
      </c>
      <c r="AJ1299" s="95">
        <f t="shared" si="3680"/>
        <v>0</v>
      </c>
      <c r="AK1299" s="95"/>
      <c r="AL1299" s="95">
        <f t="shared" si="3681"/>
        <v>0</v>
      </c>
      <c r="AM1299" s="95"/>
      <c r="AN1299" s="95">
        <f t="shared" si="3682"/>
        <v>0</v>
      </c>
      <c r="AO1299" s="95"/>
      <c r="AP1299" s="95">
        <f t="shared" si="3683"/>
        <v>0</v>
      </c>
      <c r="AQ1299" s="95">
        <f t="shared" si="3684"/>
        <v>0</v>
      </c>
      <c r="AR1299" s="95">
        <f t="shared" si="3685"/>
        <v>0</v>
      </c>
      <c r="AS1299" s="95"/>
      <c r="AT1299" s="95">
        <f t="shared" si="3686"/>
        <v>0</v>
      </c>
      <c r="AU1299" s="95"/>
      <c r="AV1299" s="95">
        <f t="shared" si="3687"/>
        <v>0</v>
      </c>
      <c r="AW1299" s="95"/>
      <c r="AX1299" s="95">
        <f t="shared" si="3688"/>
        <v>0</v>
      </c>
      <c r="AY1299" s="95">
        <f t="shared" si="3689"/>
        <v>0</v>
      </c>
      <c r="AZ1299" s="95">
        <f t="shared" si="3690"/>
        <v>0</v>
      </c>
      <c r="BA1299" s="95">
        <f t="shared" si="3691"/>
        <v>0</v>
      </c>
      <c r="BB1299" s="95">
        <f t="shared" si="3692"/>
        <v>0</v>
      </c>
    </row>
    <row r="1300" spans="1:54" s="6" customFormat="1" hidden="1">
      <c r="A1300" s="492">
        <v>793</v>
      </c>
      <c r="B1300" s="14"/>
      <c r="C1300" s="39"/>
      <c r="D1300" s="14" t="s">
        <v>355</v>
      </c>
      <c r="E1300" s="69" t="s">
        <v>479</v>
      </c>
      <c r="F1300" s="313" t="s">
        <v>478</v>
      </c>
      <c r="G1300" s="313" t="s">
        <v>1059</v>
      </c>
      <c r="H1300" s="267" t="s">
        <v>433</v>
      </c>
      <c r="I1300" s="322">
        <v>51.77</v>
      </c>
      <c r="J1300" s="323"/>
      <c r="K1300" s="322"/>
      <c r="L1300" s="323"/>
      <c r="M1300" s="322"/>
      <c r="N1300" s="323"/>
      <c r="O1300" s="322"/>
      <c r="P1300" s="323"/>
      <c r="Q1300" s="119">
        <f t="shared" si="3667"/>
        <v>0</v>
      </c>
      <c r="R1300" s="339">
        <f t="shared" si="3668"/>
        <v>0</v>
      </c>
      <c r="S1300" s="119"/>
      <c r="T1300" s="119">
        <f t="shared" si="3669"/>
        <v>0</v>
      </c>
      <c r="U1300" s="119"/>
      <c r="V1300" s="119">
        <f t="shared" si="3670"/>
        <v>0</v>
      </c>
      <c r="W1300" s="119"/>
      <c r="X1300" s="119">
        <f t="shared" si="3671"/>
        <v>0</v>
      </c>
      <c r="Y1300" s="119">
        <f t="shared" si="3672"/>
        <v>0</v>
      </c>
      <c r="Z1300" s="119">
        <f t="shared" si="3673"/>
        <v>0</v>
      </c>
      <c r="AA1300" s="119"/>
      <c r="AB1300" s="119">
        <f t="shared" si="3674"/>
        <v>0</v>
      </c>
      <c r="AC1300" s="119"/>
      <c r="AD1300" s="119">
        <f t="shared" si="3675"/>
        <v>0</v>
      </c>
      <c r="AE1300" s="119"/>
      <c r="AF1300" s="94">
        <f t="shared" si="3676"/>
        <v>0</v>
      </c>
      <c r="AG1300" s="119">
        <f t="shared" si="3677"/>
        <v>0</v>
      </c>
      <c r="AH1300" s="119">
        <f t="shared" si="3678"/>
        <v>0</v>
      </c>
      <c r="AI1300" s="119">
        <f t="shared" si="3679"/>
        <v>0</v>
      </c>
      <c r="AJ1300" s="119">
        <f t="shared" si="3680"/>
        <v>0</v>
      </c>
      <c r="AK1300" s="119"/>
      <c r="AL1300" s="119">
        <f t="shared" si="3681"/>
        <v>0</v>
      </c>
      <c r="AM1300" s="119"/>
      <c r="AN1300" s="119">
        <f t="shared" si="3682"/>
        <v>0</v>
      </c>
      <c r="AO1300" s="119"/>
      <c r="AP1300" s="119">
        <f t="shared" si="3683"/>
        <v>0</v>
      </c>
      <c r="AQ1300" s="119">
        <f t="shared" si="3684"/>
        <v>0</v>
      </c>
      <c r="AR1300" s="119">
        <f t="shared" si="3685"/>
        <v>0</v>
      </c>
      <c r="AS1300" s="119"/>
      <c r="AT1300" s="119">
        <f t="shared" si="3686"/>
        <v>0</v>
      </c>
      <c r="AU1300" s="119"/>
      <c r="AV1300" s="119">
        <f t="shared" si="3687"/>
        <v>0</v>
      </c>
      <c r="AW1300" s="119"/>
      <c r="AX1300" s="119">
        <f t="shared" si="3688"/>
        <v>0</v>
      </c>
      <c r="AY1300" s="119">
        <f t="shared" si="3689"/>
        <v>0</v>
      </c>
      <c r="AZ1300" s="119">
        <f t="shared" si="3690"/>
        <v>0</v>
      </c>
      <c r="BA1300" s="119">
        <f t="shared" si="3691"/>
        <v>0</v>
      </c>
      <c r="BB1300" s="119">
        <f t="shared" si="3692"/>
        <v>0</v>
      </c>
    </row>
    <row r="1301" spans="1:54" ht="11.25" hidden="1" customHeight="1">
      <c r="A1301" s="492">
        <v>794</v>
      </c>
      <c r="B1301" s="26"/>
      <c r="C1301" s="27" t="s">
        <v>134</v>
      </c>
      <c r="D1301" s="88"/>
      <c r="E1301" s="26"/>
      <c r="F1301" s="26"/>
      <c r="G1301" s="26"/>
      <c r="H1301" s="273"/>
      <c r="I1301" s="325"/>
      <c r="J1301" s="328"/>
      <c r="K1301" s="325"/>
      <c r="L1301" s="328"/>
      <c r="M1301" s="325"/>
      <c r="N1301" s="328"/>
      <c r="O1301" s="325"/>
      <c r="P1301" s="328"/>
      <c r="Q1301" s="122">
        <f t="shared" ref="Q1301:BB1301" si="3693">SUM(Q1292:Q1300)</f>
        <v>0</v>
      </c>
      <c r="R1301" s="122">
        <f t="shared" si="3693"/>
        <v>0</v>
      </c>
      <c r="S1301" s="122">
        <f t="shared" si="3693"/>
        <v>0</v>
      </c>
      <c r="T1301" s="122">
        <f t="shared" si="3693"/>
        <v>0</v>
      </c>
      <c r="U1301" s="122">
        <f t="shared" si="3693"/>
        <v>0</v>
      </c>
      <c r="V1301" s="122">
        <f t="shared" si="3693"/>
        <v>0</v>
      </c>
      <c r="W1301" s="122">
        <f t="shared" si="3693"/>
        <v>0</v>
      </c>
      <c r="X1301" s="122">
        <f t="shared" si="3693"/>
        <v>0</v>
      </c>
      <c r="Y1301" s="122">
        <f t="shared" si="3693"/>
        <v>0</v>
      </c>
      <c r="Z1301" s="122">
        <f t="shared" si="3693"/>
        <v>0</v>
      </c>
      <c r="AA1301" s="122">
        <f t="shared" si="3693"/>
        <v>0</v>
      </c>
      <c r="AB1301" s="122">
        <f t="shared" si="3693"/>
        <v>0</v>
      </c>
      <c r="AC1301" s="122">
        <f t="shared" si="3693"/>
        <v>0</v>
      </c>
      <c r="AD1301" s="122">
        <f t="shared" si="3693"/>
        <v>0</v>
      </c>
      <c r="AE1301" s="122">
        <f t="shared" si="3693"/>
        <v>0</v>
      </c>
      <c r="AF1301" s="122">
        <f t="shared" si="3693"/>
        <v>0</v>
      </c>
      <c r="AG1301" s="122">
        <f t="shared" si="3693"/>
        <v>0</v>
      </c>
      <c r="AH1301" s="122">
        <f t="shared" si="3693"/>
        <v>0</v>
      </c>
      <c r="AI1301" s="122">
        <f t="shared" si="3693"/>
        <v>0</v>
      </c>
      <c r="AJ1301" s="122">
        <f t="shared" si="3693"/>
        <v>0</v>
      </c>
      <c r="AK1301" s="122">
        <f t="shared" si="3693"/>
        <v>0</v>
      </c>
      <c r="AL1301" s="122">
        <f t="shared" si="3693"/>
        <v>0</v>
      </c>
      <c r="AM1301" s="122">
        <f t="shared" si="3693"/>
        <v>0</v>
      </c>
      <c r="AN1301" s="122">
        <f t="shared" si="3693"/>
        <v>0</v>
      </c>
      <c r="AO1301" s="122">
        <f t="shared" si="3693"/>
        <v>0</v>
      </c>
      <c r="AP1301" s="122">
        <f t="shared" si="3693"/>
        <v>0</v>
      </c>
      <c r="AQ1301" s="122">
        <f t="shared" si="3693"/>
        <v>0</v>
      </c>
      <c r="AR1301" s="122">
        <f t="shared" si="3693"/>
        <v>0</v>
      </c>
      <c r="AS1301" s="122">
        <f t="shared" si="3693"/>
        <v>0</v>
      </c>
      <c r="AT1301" s="122">
        <f t="shared" si="3693"/>
        <v>0</v>
      </c>
      <c r="AU1301" s="122">
        <f t="shared" si="3693"/>
        <v>0</v>
      </c>
      <c r="AV1301" s="122">
        <f t="shared" si="3693"/>
        <v>0</v>
      </c>
      <c r="AW1301" s="122">
        <f t="shared" si="3693"/>
        <v>0</v>
      </c>
      <c r="AX1301" s="122">
        <f t="shared" si="3693"/>
        <v>0</v>
      </c>
      <c r="AY1301" s="122">
        <f t="shared" si="3693"/>
        <v>0</v>
      </c>
      <c r="AZ1301" s="122">
        <f t="shared" si="3693"/>
        <v>0</v>
      </c>
      <c r="BA1301" s="122">
        <f t="shared" si="3693"/>
        <v>0</v>
      </c>
      <c r="BB1301" s="122">
        <f t="shared" si="3693"/>
        <v>0</v>
      </c>
    </row>
    <row r="1302" spans="1:54" hidden="1">
      <c r="A1302" s="492">
        <v>795</v>
      </c>
      <c r="B1302" s="13"/>
      <c r="C1302" s="13" t="s">
        <v>261</v>
      </c>
      <c r="D1302" s="52" t="s">
        <v>427</v>
      </c>
      <c r="E1302" s="31" t="s">
        <v>556</v>
      </c>
      <c r="F1302" s="310"/>
      <c r="G1302" s="310" t="s">
        <v>1059</v>
      </c>
      <c r="H1302" s="271" t="s">
        <v>428</v>
      </c>
      <c r="I1302" s="61">
        <v>4.7</v>
      </c>
      <c r="J1302" s="163"/>
      <c r="K1302" s="61"/>
      <c r="L1302" s="163"/>
      <c r="M1302" s="61"/>
      <c r="N1302" s="163"/>
      <c r="O1302" s="61"/>
      <c r="P1302" s="163"/>
      <c r="Q1302" s="121">
        <f t="shared" ref="Q1302:R1306" si="3694">SUM(AI1302+BA1302)</f>
        <v>0</v>
      </c>
      <c r="R1302" s="341">
        <f t="shared" si="3694"/>
        <v>0</v>
      </c>
      <c r="S1302" s="121"/>
      <c r="T1302" s="121">
        <f>I1302*S1302*$T$2/1000</f>
        <v>0</v>
      </c>
      <c r="U1302" s="121"/>
      <c r="V1302" s="121">
        <f>I1302*U1302*$V$2/1000</f>
        <v>0</v>
      </c>
      <c r="W1302" s="121"/>
      <c r="X1302" s="121">
        <f>I1302*W1302*$X$2/1000</f>
        <v>0</v>
      </c>
      <c r="Y1302" s="121">
        <f t="shared" ref="Y1302:Z1306" si="3695">SUM(S1302+U1302+W1302)</f>
        <v>0</v>
      </c>
      <c r="Z1302" s="121">
        <f t="shared" si="3695"/>
        <v>0</v>
      </c>
      <c r="AA1302" s="121"/>
      <c r="AB1302" s="121">
        <f>K1302*AA1302*$AB$2/1000</f>
        <v>0</v>
      </c>
      <c r="AC1302" s="121"/>
      <c r="AD1302" s="121">
        <f>K1302*AC1302*$AD$2/1000</f>
        <v>0</v>
      </c>
      <c r="AE1302" s="121"/>
      <c r="AF1302" s="121">
        <f>K1302*AE1302*$AF$2/1000</f>
        <v>0</v>
      </c>
      <c r="AG1302" s="121">
        <f t="shared" ref="AG1302:AH1306" si="3696">SUM(AA1302+AC1302+AE1302)</f>
        <v>0</v>
      </c>
      <c r="AH1302" s="121">
        <f t="shared" si="3696"/>
        <v>0</v>
      </c>
      <c r="AI1302" s="121"/>
      <c r="AJ1302" s="121">
        <f>SUM(Z1302,AH1302)</f>
        <v>0</v>
      </c>
      <c r="AK1302" s="121"/>
      <c r="AL1302" s="121">
        <f>M1302*AK1302*$AL$2/1000</f>
        <v>0</v>
      </c>
      <c r="AM1302" s="121"/>
      <c r="AN1302" s="121">
        <f>M1302*AM1302*$AN$2/1000</f>
        <v>0</v>
      </c>
      <c r="AO1302" s="121"/>
      <c r="AP1302" s="121">
        <f>M1302*AO1302*$AP$2/1000</f>
        <v>0</v>
      </c>
      <c r="AQ1302" s="121">
        <f t="shared" ref="AQ1302:AR1306" si="3697">SUM(AK1302+AM1302+AO1302)</f>
        <v>0</v>
      </c>
      <c r="AR1302" s="121">
        <f t="shared" si="3697"/>
        <v>0</v>
      </c>
      <c r="AS1302" s="121"/>
      <c r="AT1302" s="121">
        <f>O1302*AS1302*$AT$2/1000</f>
        <v>0</v>
      </c>
      <c r="AU1302" s="121"/>
      <c r="AV1302" s="121">
        <f>O1302*AU1302*$AV$2/1000</f>
        <v>0</v>
      </c>
      <c r="AW1302" s="121"/>
      <c r="AX1302" s="121">
        <f>O1302*AW1302*$AX$2/1000</f>
        <v>0</v>
      </c>
      <c r="AY1302" s="121">
        <f t="shared" ref="AY1302:AZ1306" si="3698">SUM(AS1302+AU1302+AW1302)</f>
        <v>0</v>
      </c>
      <c r="AZ1302" s="121">
        <f t="shared" si="3698"/>
        <v>0</v>
      </c>
      <c r="BA1302" s="121">
        <f>SUM(AQ1302+AY1302)</f>
        <v>0</v>
      </c>
      <c r="BB1302" s="121">
        <f>SUM(AR1302,AZ1302)</f>
        <v>0</v>
      </c>
    </row>
    <row r="1303" spans="1:54" hidden="1">
      <c r="A1303" s="492">
        <v>796</v>
      </c>
      <c r="B1303" s="13"/>
      <c r="C1303" s="13"/>
      <c r="D1303" s="13" t="s">
        <v>429</v>
      </c>
      <c r="E1303" s="21" t="s">
        <v>523</v>
      </c>
      <c r="F1303" s="45"/>
      <c r="G1303" s="45" t="s">
        <v>1059</v>
      </c>
      <c r="H1303" s="265" t="s">
        <v>428</v>
      </c>
      <c r="I1303" s="54">
        <v>7.35</v>
      </c>
      <c r="J1303" s="162"/>
      <c r="K1303" s="54"/>
      <c r="L1303" s="162"/>
      <c r="M1303" s="54"/>
      <c r="N1303" s="162"/>
      <c r="O1303" s="54"/>
      <c r="P1303" s="162"/>
      <c r="Q1303" s="96">
        <f t="shared" si="3694"/>
        <v>0</v>
      </c>
      <c r="R1303" s="337">
        <f t="shared" si="3694"/>
        <v>0</v>
      </c>
      <c r="S1303" s="96"/>
      <c r="T1303" s="96">
        <f>I1303*S1303*$T$2/1000</f>
        <v>0</v>
      </c>
      <c r="U1303" s="96"/>
      <c r="V1303" s="96">
        <f>I1303*U1303*$V$2/1000</f>
        <v>0</v>
      </c>
      <c r="W1303" s="96"/>
      <c r="X1303" s="96">
        <f>I1303*W1303*$X$2/1000</f>
        <v>0</v>
      </c>
      <c r="Y1303" s="96">
        <f t="shared" si="3695"/>
        <v>0</v>
      </c>
      <c r="Z1303" s="96">
        <f t="shared" si="3695"/>
        <v>0</v>
      </c>
      <c r="AA1303" s="96"/>
      <c r="AB1303" s="96">
        <f>K1303*AA1303*$AB$2/1000</f>
        <v>0</v>
      </c>
      <c r="AC1303" s="96"/>
      <c r="AD1303" s="96">
        <f>K1303*AC1303*$AD$2/1000</f>
        <v>0</v>
      </c>
      <c r="AE1303" s="96"/>
      <c r="AF1303" s="96">
        <f>K1303*AE1303*$AF$2/1000</f>
        <v>0</v>
      </c>
      <c r="AG1303" s="96">
        <f t="shared" si="3696"/>
        <v>0</v>
      </c>
      <c r="AH1303" s="96">
        <f t="shared" si="3696"/>
        <v>0</v>
      </c>
      <c r="AI1303" s="96"/>
      <c r="AJ1303" s="96">
        <f>SUM(Z1303,AH1303)</f>
        <v>0</v>
      </c>
      <c r="AK1303" s="96"/>
      <c r="AL1303" s="96">
        <f>M1303*AK1303*$AL$2/1000</f>
        <v>0</v>
      </c>
      <c r="AM1303" s="96"/>
      <c r="AN1303" s="96">
        <f>M1303*AM1303*$AN$2/1000</f>
        <v>0</v>
      </c>
      <c r="AO1303" s="96"/>
      <c r="AP1303" s="96">
        <f>M1303*AO1303*$AP$2/1000</f>
        <v>0</v>
      </c>
      <c r="AQ1303" s="96">
        <f t="shared" si="3697"/>
        <v>0</v>
      </c>
      <c r="AR1303" s="96">
        <f t="shared" si="3697"/>
        <v>0</v>
      </c>
      <c r="AS1303" s="96"/>
      <c r="AT1303" s="96">
        <f>O1303*AS1303*$AT$2/1000</f>
        <v>0</v>
      </c>
      <c r="AU1303" s="96"/>
      <c r="AV1303" s="96">
        <f>O1303*AU1303*$AV$2/1000</f>
        <v>0</v>
      </c>
      <c r="AW1303" s="96"/>
      <c r="AX1303" s="96">
        <f>O1303*AW1303*$AX$2/1000</f>
        <v>0</v>
      </c>
      <c r="AY1303" s="96">
        <f t="shared" si="3698"/>
        <v>0</v>
      </c>
      <c r="AZ1303" s="96">
        <f t="shared" si="3698"/>
        <v>0</v>
      </c>
      <c r="BA1303" s="96">
        <f>SUM(AQ1303+AY1303)</f>
        <v>0</v>
      </c>
      <c r="BB1303" s="96">
        <f>SUM(AR1303,AZ1303)</f>
        <v>0</v>
      </c>
    </row>
    <row r="1304" spans="1:54" hidden="1">
      <c r="A1304" s="492">
        <v>797</v>
      </c>
      <c r="B1304" s="13"/>
      <c r="C1304" s="13"/>
      <c r="D1304" s="13" t="s">
        <v>430</v>
      </c>
      <c r="E1304" s="21" t="s">
        <v>524</v>
      </c>
      <c r="F1304" s="45"/>
      <c r="G1304" s="45" t="s">
        <v>1059</v>
      </c>
      <c r="H1304" s="265" t="s">
        <v>428</v>
      </c>
      <c r="I1304" s="54">
        <v>7.35</v>
      </c>
      <c r="J1304" s="162"/>
      <c r="K1304" s="54"/>
      <c r="L1304" s="162"/>
      <c r="M1304" s="54"/>
      <c r="N1304" s="162"/>
      <c r="O1304" s="54"/>
      <c r="P1304" s="162"/>
      <c r="Q1304" s="96">
        <f t="shared" si="3694"/>
        <v>0</v>
      </c>
      <c r="R1304" s="337">
        <f t="shared" si="3694"/>
        <v>0</v>
      </c>
      <c r="S1304" s="96"/>
      <c r="T1304" s="96">
        <f>I1304*S1304*$T$2/1000</f>
        <v>0</v>
      </c>
      <c r="U1304" s="96"/>
      <c r="V1304" s="96">
        <f>I1304*U1304*$V$2/1000</f>
        <v>0</v>
      </c>
      <c r="W1304" s="96"/>
      <c r="X1304" s="96">
        <f>I1304*W1304*$X$2/1000</f>
        <v>0</v>
      </c>
      <c r="Y1304" s="96">
        <f t="shared" si="3695"/>
        <v>0</v>
      </c>
      <c r="Z1304" s="96">
        <f t="shared" si="3695"/>
        <v>0</v>
      </c>
      <c r="AA1304" s="96"/>
      <c r="AB1304" s="96">
        <f>K1304*AA1304*$AB$2/1000</f>
        <v>0</v>
      </c>
      <c r="AC1304" s="96"/>
      <c r="AD1304" s="96">
        <f>K1304*AC1304*$AD$2/1000</f>
        <v>0</v>
      </c>
      <c r="AE1304" s="96"/>
      <c r="AF1304" s="96">
        <f>K1304*AE1304*$AF$2/1000</f>
        <v>0</v>
      </c>
      <c r="AG1304" s="96">
        <f t="shared" si="3696"/>
        <v>0</v>
      </c>
      <c r="AH1304" s="96">
        <f t="shared" si="3696"/>
        <v>0</v>
      </c>
      <c r="AI1304" s="96"/>
      <c r="AJ1304" s="96">
        <f>SUM(Z1304,AH1304)</f>
        <v>0</v>
      </c>
      <c r="AK1304" s="96"/>
      <c r="AL1304" s="96">
        <f>M1304*AK1304*$AL$2/1000</f>
        <v>0</v>
      </c>
      <c r="AM1304" s="96"/>
      <c r="AN1304" s="96">
        <f>M1304*AM1304*$AN$2/1000</f>
        <v>0</v>
      </c>
      <c r="AO1304" s="96"/>
      <c r="AP1304" s="96">
        <f>M1304*AO1304*$AP$2/1000</f>
        <v>0</v>
      </c>
      <c r="AQ1304" s="96">
        <f t="shared" si="3697"/>
        <v>0</v>
      </c>
      <c r="AR1304" s="96">
        <f t="shared" si="3697"/>
        <v>0</v>
      </c>
      <c r="AS1304" s="96"/>
      <c r="AT1304" s="96">
        <f>O1304*AS1304*$AT$2/1000</f>
        <v>0</v>
      </c>
      <c r="AU1304" s="96"/>
      <c r="AV1304" s="96">
        <f>O1304*AU1304*$AV$2/1000</f>
        <v>0</v>
      </c>
      <c r="AW1304" s="96"/>
      <c r="AX1304" s="96">
        <f>O1304*AW1304*$AX$2/1000</f>
        <v>0</v>
      </c>
      <c r="AY1304" s="96">
        <f t="shared" si="3698"/>
        <v>0</v>
      </c>
      <c r="AZ1304" s="96">
        <f t="shared" si="3698"/>
        <v>0</v>
      </c>
      <c r="BA1304" s="96">
        <f>SUM(AQ1304+AY1304)</f>
        <v>0</v>
      </c>
      <c r="BB1304" s="96">
        <f>SUM(AR1304,AZ1304)</f>
        <v>0</v>
      </c>
    </row>
    <row r="1305" spans="1:54" hidden="1">
      <c r="A1305" s="492">
        <v>798</v>
      </c>
      <c r="B1305" s="13"/>
      <c r="C1305" s="13"/>
      <c r="D1305" s="13" t="s">
        <v>432</v>
      </c>
      <c r="E1305" s="21" t="s">
        <v>525</v>
      </c>
      <c r="F1305" s="45"/>
      <c r="G1305" s="45" t="s">
        <v>1059</v>
      </c>
      <c r="H1305" s="265" t="s">
        <v>433</v>
      </c>
      <c r="I1305" s="54">
        <v>3.85</v>
      </c>
      <c r="J1305" s="162"/>
      <c r="K1305" s="54"/>
      <c r="L1305" s="162"/>
      <c r="M1305" s="54"/>
      <c r="N1305" s="162"/>
      <c r="O1305" s="54"/>
      <c r="P1305" s="162"/>
      <c r="Q1305" s="96">
        <f t="shared" si="3694"/>
        <v>0</v>
      </c>
      <c r="R1305" s="337">
        <f t="shared" si="3694"/>
        <v>0</v>
      </c>
      <c r="S1305" s="96"/>
      <c r="T1305" s="96">
        <f>I1305*S1305*$T$2/1000</f>
        <v>0</v>
      </c>
      <c r="U1305" s="96"/>
      <c r="V1305" s="96">
        <f>I1305*U1305*$V$2/1000</f>
        <v>0</v>
      </c>
      <c r="W1305" s="96"/>
      <c r="X1305" s="96">
        <f>I1305*W1305*$X$2/1000</f>
        <v>0</v>
      </c>
      <c r="Y1305" s="96">
        <f t="shared" si="3695"/>
        <v>0</v>
      </c>
      <c r="Z1305" s="96">
        <f t="shared" si="3695"/>
        <v>0</v>
      </c>
      <c r="AA1305" s="96"/>
      <c r="AB1305" s="96">
        <f>K1305*AA1305*$AB$2/1000</f>
        <v>0</v>
      </c>
      <c r="AC1305" s="96"/>
      <c r="AD1305" s="96">
        <f>K1305*AC1305*$AD$2/1000</f>
        <v>0</v>
      </c>
      <c r="AE1305" s="96"/>
      <c r="AF1305" s="96">
        <f>K1305*AE1305*$AF$2/1000</f>
        <v>0</v>
      </c>
      <c r="AG1305" s="96">
        <f t="shared" si="3696"/>
        <v>0</v>
      </c>
      <c r="AH1305" s="96">
        <f t="shared" si="3696"/>
        <v>0</v>
      </c>
      <c r="AI1305" s="96"/>
      <c r="AJ1305" s="96">
        <f>SUM(Z1305,AH1305)</f>
        <v>0</v>
      </c>
      <c r="AK1305" s="96"/>
      <c r="AL1305" s="96">
        <f>M1305*AK1305*$AL$2/1000</f>
        <v>0</v>
      </c>
      <c r="AM1305" s="96"/>
      <c r="AN1305" s="96">
        <f>M1305*AM1305*$AN$2/1000</f>
        <v>0</v>
      </c>
      <c r="AO1305" s="96"/>
      <c r="AP1305" s="96">
        <f>M1305*AO1305*$AP$2/1000</f>
        <v>0</v>
      </c>
      <c r="AQ1305" s="96">
        <f t="shared" si="3697"/>
        <v>0</v>
      </c>
      <c r="AR1305" s="96">
        <f t="shared" si="3697"/>
        <v>0</v>
      </c>
      <c r="AS1305" s="96"/>
      <c r="AT1305" s="96">
        <f>O1305*AS1305*$AT$2/1000</f>
        <v>0</v>
      </c>
      <c r="AU1305" s="96"/>
      <c r="AV1305" s="96">
        <f>O1305*AU1305*$AV$2/1000</f>
        <v>0</v>
      </c>
      <c r="AW1305" s="96"/>
      <c r="AX1305" s="96">
        <f>O1305*AW1305*$AX$2/1000</f>
        <v>0</v>
      </c>
      <c r="AY1305" s="96">
        <f t="shared" si="3698"/>
        <v>0</v>
      </c>
      <c r="AZ1305" s="96">
        <f t="shared" si="3698"/>
        <v>0</v>
      </c>
      <c r="BA1305" s="96">
        <f>SUM(AQ1305+AY1305)</f>
        <v>0</v>
      </c>
      <c r="BB1305" s="96">
        <f>SUM(AR1305,AZ1305)</f>
        <v>0</v>
      </c>
    </row>
    <row r="1306" spans="1:54" hidden="1">
      <c r="A1306" s="492">
        <v>799</v>
      </c>
      <c r="B1306" s="13"/>
      <c r="C1306" s="13"/>
      <c r="D1306" s="24" t="s">
        <v>431</v>
      </c>
      <c r="E1306" s="50" t="s">
        <v>526</v>
      </c>
      <c r="F1306" s="64"/>
      <c r="G1306" s="64" t="s">
        <v>1059</v>
      </c>
      <c r="H1306" s="272" t="s">
        <v>428</v>
      </c>
      <c r="I1306" s="57">
        <v>9.1</v>
      </c>
      <c r="J1306" s="166"/>
      <c r="K1306" s="57"/>
      <c r="L1306" s="166"/>
      <c r="M1306" s="57"/>
      <c r="N1306" s="166"/>
      <c r="O1306" s="57"/>
      <c r="P1306" s="166"/>
      <c r="Q1306" s="94">
        <f t="shared" si="3694"/>
        <v>0</v>
      </c>
      <c r="R1306" s="338">
        <f t="shared" si="3694"/>
        <v>0</v>
      </c>
      <c r="S1306" s="94"/>
      <c r="T1306" s="94">
        <f>I1306*S1306*$T$2/1000</f>
        <v>0</v>
      </c>
      <c r="U1306" s="94"/>
      <c r="V1306" s="94">
        <f>I1306*U1306*$V$2/1000</f>
        <v>0</v>
      </c>
      <c r="W1306" s="94"/>
      <c r="X1306" s="94">
        <f>I1306*W1306*$X$2/1000</f>
        <v>0</v>
      </c>
      <c r="Y1306" s="94">
        <f t="shared" si="3695"/>
        <v>0</v>
      </c>
      <c r="Z1306" s="94">
        <f t="shared" si="3695"/>
        <v>0</v>
      </c>
      <c r="AA1306" s="94"/>
      <c r="AB1306" s="94">
        <f>K1306*AA1306*$AB$2/1000</f>
        <v>0</v>
      </c>
      <c r="AC1306" s="94"/>
      <c r="AD1306" s="94">
        <f>K1306*AC1306*$AD$2/1000</f>
        <v>0</v>
      </c>
      <c r="AE1306" s="94"/>
      <c r="AF1306" s="94">
        <f>K1306*AE1306*$AF$2/1000</f>
        <v>0</v>
      </c>
      <c r="AG1306" s="94">
        <f t="shared" si="3696"/>
        <v>0</v>
      </c>
      <c r="AH1306" s="94">
        <f t="shared" si="3696"/>
        <v>0</v>
      </c>
      <c r="AI1306" s="94"/>
      <c r="AJ1306" s="94">
        <f>SUM(Z1306,AH1306)</f>
        <v>0</v>
      </c>
      <c r="AK1306" s="94"/>
      <c r="AL1306" s="94">
        <f>M1306*AK1306*$AL$2/1000</f>
        <v>0</v>
      </c>
      <c r="AM1306" s="94"/>
      <c r="AN1306" s="94">
        <f>M1306*AM1306*$AN$2/1000</f>
        <v>0</v>
      </c>
      <c r="AO1306" s="94"/>
      <c r="AP1306" s="94">
        <f>M1306*AO1306*$AP$2/1000</f>
        <v>0</v>
      </c>
      <c r="AQ1306" s="94">
        <f t="shared" si="3697"/>
        <v>0</v>
      </c>
      <c r="AR1306" s="94">
        <f t="shared" si="3697"/>
        <v>0</v>
      </c>
      <c r="AS1306" s="94"/>
      <c r="AT1306" s="94">
        <f>O1306*AS1306*$AT$2/1000</f>
        <v>0</v>
      </c>
      <c r="AU1306" s="94"/>
      <c r="AV1306" s="94">
        <f>O1306*AU1306*$AV$2/1000</f>
        <v>0</v>
      </c>
      <c r="AW1306" s="94"/>
      <c r="AX1306" s="94">
        <f>O1306*AW1306*$AX$2/1000</f>
        <v>0</v>
      </c>
      <c r="AY1306" s="94">
        <f t="shared" si="3698"/>
        <v>0</v>
      </c>
      <c r="AZ1306" s="94">
        <f t="shared" si="3698"/>
        <v>0</v>
      </c>
      <c r="BA1306" s="94">
        <f>SUM(AQ1306+AY1306)</f>
        <v>0</v>
      </c>
      <c r="BB1306" s="94">
        <f>SUM(AR1306,AZ1306)</f>
        <v>0</v>
      </c>
    </row>
    <row r="1307" spans="1:54" hidden="1">
      <c r="A1307" s="492">
        <v>800</v>
      </c>
      <c r="B1307" s="26"/>
      <c r="C1307" s="27" t="s">
        <v>134</v>
      </c>
      <c r="D1307" s="28"/>
      <c r="E1307" s="28"/>
      <c r="F1307" s="28"/>
      <c r="G1307" s="28"/>
      <c r="H1307" s="269"/>
      <c r="I1307" s="150"/>
      <c r="J1307" s="117"/>
      <c r="K1307" s="72"/>
      <c r="L1307" s="173"/>
      <c r="M1307" s="72"/>
      <c r="N1307" s="173"/>
      <c r="O1307" s="150"/>
      <c r="P1307" s="117"/>
      <c r="Q1307" s="120">
        <f t="shared" ref="Q1307:BB1307" si="3699">SUM(Q1302:Q1306)</f>
        <v>0</v>
      </c>
      <c r="R1307" s="120">
        <f t="shared" si="3699"/>
        <v>0</v>
      </c>
      <c r="S1307" s="120">
        <f t="shared" si="3699"/>
        <v>0</v>
      </c>
      <c r="T1307" s="120">
        <f t="shared" si="3699"/>
        <v>0</v>
      </c>
      <c r="U1307" s="120">
        <f t="shared" si="3699"/>
        <v>0</v>
      </c>
      <c r="V1307" s="120">
        <f t="shared" si="3699"/>
        <v>0</v>
      </c>
      <c r="W1307" s="120">
        <f t="shared" si="3699"/>
        <v>0</v>
      </c>
      <c r="X1307" s="120">
        <f t="shared" si="3699"/>
        <v>0</v>
      </c>
      <c r="Y1307" s="120">
        <f t="shared" si="3699"/>
        <v>0</v>
      </c>
      <c r="Z1307" s="120">
        <f t="shared" si="3699"/>
        <v>0</v>
      </c>
      <c r="AA1307" s="120">
        <f t="shared" si="3699"/>
        <v>0</v>
      </c>
      <c r="AB1307" s="120">
        <f t="shared" si="3699"/>
        <v>0</v>
      </c>
      <c r="AC1307" s="120">
        <f t="shared" si="3699"/>
        <v>0</v>
      </c>
      <c r="AD1307" s="120">
        <f t="shared" si="3699"/>
        <v>0</v>
      </c>
      <c r="AE1307" s="120">
        <f t="shared" si="3699"/>
        <v>0</v>
      </c>
      <c r="AF1307" s="120">
        <f t="shared" si="3699"/>
        <v>0</v>
      </c>
      <c r="AG1307" s="120">
        <f t="shared" si="3699"/>
        <v>0</v>
      </c>
      <c r="AH1307" s="120">
        <f t="shared" si="3699"/>
        <v>0</v>
      </c>
      <c r="AI1307" s="120">
        <f t="shared" si="3699"/>
        <v>0</v>
      </c>
      <c r="AJ1307" s="120">
        <f t="shared" si="3699"/>
        <v>0</v>
      </c>
      <c r="AK1307" s="120">
        <f t="shared" si="3699"/>
        <v>0</v>
      </c>
      <c r="AL1307" s="120">
        <f t="shared" si="3699"/>
        <v>0</v>
      </c>
      <c r="AM1307" s="120">
        <f t="shared" si="3699"/>
        <v>0</v>
      </c>
      <c r="AN1307" s="120">
        <f t="shared" si="3699"/>
        <v>0</v>
      </c>
      <c r="AO1307" s="120">
        <f t="shared" si="3699"/>
        <v>0</v>
      </c>
      <c r="AP1307" s="120">
        <f t="shared" si="3699"/>
        <v>0</v>
      </c>
      <c r="AQ1307" s="120">
        <f t="shared" si="3699"/>
        <v>0</v>
      </c>
      <c r="AR1307" s="120">
        <f t="shared" si="3699"/>
        <v>0</v>
      </c>
      <c r="AS1307" s="120">
        <f t="shared" si="3699"/>
        <v>0</v>
      </c>
      <c r="AT1307" s="120">
        <f t="shared" si="3699"/>
        <v>0</v>
      </c>
      <c r="AU1307" s="120">
        <f t="shared" si="3699"/>
        <v>0</v>
      </c>
      <c r="AV1307" s="120">
        <f t="shared" si="3699"/>
        <v>0</v>
      </c>
      <c r="AW1307" s="120">
        <f t="shared" si="3699"/>
        <v>0</v>
      </c>
      <c r="AX1307" s="120">
        <f t="shared" si="3699"/>
        <v>0</v>
      </c>
      <c r="AY1307" s="120">
        <f t="shared" si="3699"/>
        <v>0</v>
      </c>
      <c r="AZ1307" s="120">
        <f t="shared" si="3699"/>
        <v>0</v>
      </c>
      <c r="BA1307" s="120">
        <f t="shared" si="3699"/>
        <v>0</v>
      </c>
      <c r="BB1307" s="120">
        <f t="shared" si="3699"/>
        <v>0</v>
      </c>
    </row>
    <row r="1308" spans="1:54">
      <c r="A1308" s="492">
        <v>801</v>
      </c>
      <c r="B1308" s="58" t="s">
        <v>153</v>
      </c>
      <c r="C1308" s="59"/>
      <c r="D1308" s="59"/>
      <c r="E1308" s="59"/>
      <c r="F1308" s="59"/>
      <c r="G1308" s="59"/>
      <c r="H1308" s="279"/>
      <c r="I1308" s="154"/>
      <c r="J1308" s="103"/>
      <c r="K1308" s="77"/>
      <c r="L1308" s="60"/>
      <c r="M1308" s="77"/>
      <c r="N1308" s="60"/>
      <c r="O1308" s="154"/>
      <c r="P1308" s="103"/>
      <c r="Q1308" s="126">
        <f t="shared" ref="Q1308:BB1308" si="3700">Q1024+Q1291+Q1307+Q1301</f>
        <v>164.07100000000005</v>
      </c>
      <c r="R1308" s="126">
        <f t="shared" si="3700"/>
        <v>2446.2738396805998</v>
      </c>
      <c r="S1308" s="126">
        <f t="shared" si="3700"/>
        <v>36.216000000000008</v>
      </c>
      <c r="T1308" s="126">
        <f t="shared" si="3700"/>
        <v>519.28145358699999</v>
      </c>
      <c r="U1308" s="126">
        <f t="shared" si="3700"/>
        <v>31.518999999999995</v>
      </c>
      <c r="V1308" s="126">
        <f t="shared" si="3700"/>
        <v>390.93333553920007</v>
      </c>
      <c r="W1308" s="126">
        <f t="shared" si="3700"/>
        <v>44.737999999999992</v>
      </c>
      <c r="X1308" s="126">
        <f t="shared" si="3700"/>
        <v>773.6062496904002</v>
      </c>
      <c r="Y1308" s="126">
        <f t="shared" si="3700"/>
        <v>112.473</v>
      </c>
      <c r="Z1308" s="126">
        <f t="shared" si="3700"/>
        <v>1683.8210388166003</v>
      </c>
      <c r="AA1308" s="126">
        <f t="shared" si="3700"/>
        <v>51.598000000000006</v>
      </c>
      <c r="AB1308" s="126">
        <f t="shared" si="3700"/>
        <v>762.45280086399998</v>
      </c>
      <c r="AC1308" s="126">
        <f t="shared" si="3700"/>
        <v>0</v>
      </c>
      <c r="AD1308" s="126">
        <f t="shared" si="3700"/>
        <v>0</v>
      </c>
      <c r="AE1308" s="126">
        <f t="shared" si="3700"/>
        <v>0</v>
      </c>
      <c r="AF1308" s="126">
        <f t="shared" si="3700"/>
        <v>0</v>
      </c>
      <c r="AG1308" s="126">
        <f t="shared" si="3700"/>
        <v>51.598000000000006</v>
      </c>
      <c r="AH1308" s="126">
        <f t="shared" si="3700"/>
        <v>762.45280086399998</v>
      </c>
      <c r="AI1308" s="126">
        <f t="shared" si="3700"/>
        <v>164.07100000000005</v>
      </c>
      <c r="AJ1308" s="126">
        <f t="shared" si="3700"/>
        <v>2446.2738396805998</v>
      </c>
      <c r="AK1308" s="126">
        <f t="shared" si="3700"/>
        <v>0</v>
      </c>
      <c r="AL1308" s="126">
        <f t="shared" si="3700"/>
        <v>0</v>
      </c>
      <c r="AM1308" s="126">
        <f t="shared" si="3700"/>
        <v>0</v>
      </c>
      <c r="AN1308" s="126">
        <f t="shared" si="3700"/>
        <v>0</v>
      </c>
      <c r="AO1308" s="126">
        <f t="shared" si="3700"/>
        <v>0</v>
      </c>
      <c r="AP1308" s="126">
        <f t="shared" si="3700"/>
        <v>0</v>
      </c>
      <c r="AQ1308" s="126">
        <f t="shared" si="3700"/>
        <v>0</v>
      </c>
      <c r="AR1308" s="126">
        <f t="shared" si="3700"/>
        <v>0</v>
      </c>
      <c r="AS1308" s="126">
        <f t="shared" si="3700"/>
        <v>0</v>
      </c>
      <c r="AT1308" s="126">
        <f t="shared" si="3700"/>
        <v>0</v>
      </c>
      <c r="AU1308" s="126">
        <f t="shared" si="3700"/>
        <v>0</v>
      </c>
      <c r="AV1308" s="126">
        <f t="shared" si="3700"/>
        <v>0</v>
      </c>
      <c r="AW1308" s="126">
        <f t="shared" si="3700"/>
        <v>0</v>
      </c>
      <c r="AX1308" s="126">
        <f t="shared" si="3700"/>
        <v>0</v>
      </c>
      <c r="AY1308" s="126">
        <f t="shared" si="3700"/>
        <v>0</v>
      </c>
      <c r="AZ1308" s="126">
        <f t="shared" si="3700"/>
        <v>0</v>
      </c>
      <c r="BA1308" s="126">
        <f t="shared" si="3700"/>
        <v>0</v>
      </c>
      <c r="BB1308" s="126">
        <f t="shared" si="3700"/>
        <v>0</v>
      </c>
    </row>
    <row r="1309" spans="1:54" hidden="1">
      <c r="A1309" s="492">
        <v>802</v>
      </c>
      <c r="B1309" s="13" t="s">
        <v>502</v>
      </c>
      <c r="C1309" s="52" t="s">
        <v>211</v>
      </c>
      <c r="D1309" s="52" t="s">
        <v>504</v>
      </c>
      <c r="E1309" s="50" t="s">
        <v>628</v>
      </c>
      <c r="F1309" s="64"/>
      <c r="G1309" s="64" t="s">
        <v>1059</v>
      </c>
      <c r="H1309" s="272" t="s">
        <v>358</v>
      </c>
      <c r="I1309" s="144"/>
      <c r="J1309" s="107"/>
      <c r="K1309" s="57"/>
      <c r="L1309" s="166"/>
      <c r="M1309" s="57"/>
      <c r="N1309" s="166"/>
      <c r="O1309" s="144"/>
      <c r="P1309" s="107"/>
      <c r="Q1309" s="94">
        <f>SUM(AI1309+BA1309)</f>
        <v>0</v>
      </c>
      <c r="R1309" s="338">
        <f>SUM(AJ1309+BB1309)</f>
        <v>0</v>
      </c>
      <c r="S1309" s="94"/>
      <c r="T1309" s="96">
        <f>I1309*S1309*$T$2/1000</f>
        <v>0</v>
      </c>
      <c r="U1309" s="94"/>
      <c r="V1309" s="180">
        <f>I1309*U1309*$V$2/1000</f>
        <v>0</v>
      </c>
      <c r="W1309" s="213"/>
      <c r="X1309" s="214">
        <f>I1309*W1309*$X$2/1000</f>
        <v>0</v>
      </c>
      <c r="Y1309" s="192">
        <f>SUM(S1309+U1309+W1309)</f>
        <v>0</v>
      </c>
      <c r="Z1309" s="180">
        <f>SUM(T1309+V1309+X1309)</f>
        <v>0</v>
      </c>
      <c r="AA1309" s="213"/>
      <c r="AB1309" s="214">
        <f>K1309*AA1309*$AB$2/1000</f>
        <v>0</v>
      </c>
      <c r="AC1309" s="213"/>
      <c r="AD1309" s="180">
        <f>K1309*AC1309*$AD$2/1000</f>
        <v>0</v>
      </c>
      <c r="AE1309" s="213"/>
      <c r="AF1309" s="214">
        <f>K1309*AE1309*$AF$2/1000</f>
        <v>0</v>
      </c>
      <c r="AG1309" s="192">
        <f>SUM(AA1309+AC1309+AE1309)</f>
        <v>0</v>
      </c>
      <c r="AH1309" s="94">
        <f>SUM(AB1309+AD1309+AF1309)</f>
        <v>0</v>
      </c>
      <c r="AI1309" s="94">
        <f>SUM(Y1309+AG1309)</f>
        <v>0</v>
      </c>
      <c r="AJ1309" s="180">
        <f>SUM(Z1309,AH1309)</f>
        <v>0</v>
      </c>
      <c r="AK1309" s="213"/>
      <c r="AL1309" s="180">
        <f>M1309*AK1309*$AL$2/1000</f>
        <v>0</v>
      </c>
      <c r="AM1309" s="247"/>
      <c r="AN1309" s="180">
        <f>M1309*AM1309*$AN$2/1000</f>
        <v>0</v>
      </c>
      <c r="AO1309" s="213"/>
      <c r="AP1309" s="214">
        <f>M1309*AO1309*$AP$2/1000</f>
        <v>0</v>
      </c>
      <c r="AQ1309" s="192">
        <f>SUM(AK1309+AM1309+AO1309)</f>
        <v>0</v>
      </c>
      <c r="AR1309" s="94">
        <f>SUM(AL1309+AN1309+AP1309)</f>
        <v>0</v>
      </c>
      <c r="AS1309" s="94"/>
      <c r="AT1309" s="180">
        <f>O1309*AS1309*$AT$2/1000</f>
        <v>0</v>
      </c>
      <c r="AU1309" s="213"/>
      <c r="AV1309" s="180">
        <f>O1309*AU1309*$AV$2/1000</f>
        <v>0</v>
      </c>
      <c r="AW1309" s="213"/>
      <c r="AX1309" s="214">
        <f>O1309*AW1309*$AX$2/1000</f>
        <v>0</v>
      </c>
      <c r="AY1309" s="192">
        <f>SUM(AS1309+AU1309+AW1309)</f>
        <v>0</v>
      </c>
      <c r="AZ1309" s="94">
        <f>SUM(AT1309+AV1309+AX1309)</f>
        <v>0</v>
      </c>
      <c r="BA1309" s="94">
        <f>SUM(AQ1309+AY1309)</f>
        <v>0</v>
      </c>
      <c r="BB1309" s="94">
        <f>SUM(AR1309,AZ1309)</f>
        <v>0</v>
      </c>
    </row>
    <row r="1310" spans="1:54" hidden="1">
      <c r="A1310" s="492">
        <v>803</v>
      </c>
      <c r="B1310" s="58" t="s">
        <v>153</v>
      </c>
      <c r="C1310" s="59"/>
      <c r="D1310" s="59"/>
      <c r="E1310" s="59"/>
      <c r="F1310" s="59"/>
      <c r="G1310" s="59"/>
      <c r="H1310" s="279"/>
      <c r="I1310" s="154"/>
      <c r="J1310" s="103"/>
      <c r="K1310" s="77"/>
      <c r="L1310" s="60"/>
      <c r="M1310" s="77"/>
      <c r="N1310" s="60"/>
      <c r="O1310" s="154"/>
      <c r="P1310" s="103"/>
      <c r="Q1310" s="126">
        <f>SUM(Q1309:Q1309)</f>
        <v>0</v>
      </c>
      <c r="R1310" s="126">
        <f>SUM(R1309:R1309)</f>
        <v>0</v>
      </c>
      <c r="S1310" s="126">
        <f>SUM(S1309:S1309)</f>
        <v>0</v>
      </c>
      <c r="T1310" s="126">
        <f>T1026+T1293+T1309+T1303</f>
        <v>0</v>
      </c>
      <c r="U1310" s="126">
        <f t="shared" ref="U1310:BB1310" si="3701">SUM(U1309:U1309)</f>
        <v>0</v>
      </c>
      <c r="V1310" s="126">
        <f t="shared" si="3701"/>
        <v>0</v>
      </c>
      <c r="W1310" s="126">
        <f t="shared" si="3701"/>
        <v>0</v>
      </c>
      <c r="X1310" s="126">
        <f t="shared" si="3701"/>
        <v>0</v>
      </c>
      <c r="Y1310" s="126">
        <f t="shared" si="3701"/>
        <v>0</v>
      </c>
      <c r="Z1310" s="126">
        <f t="shared" si="3701"/>
        <v>0</v>
      </c>
      <c r="AA1310" s="126">
        <f t="shared" si="3701"/>
        <v>0</v>
      </c>
      <c r="AB1310" s="126">
        <f t="shared" si="3701"/>
        <v>0</v>
      </c>
      <c r="AC1310" s="126">
        <f t="shared" si="3701"/>
        <v>0</v>
      </c>
      <c r="AD1310" s="126">
        <f t="shared" si="3701"/>
        <v>0</v>
      </c>
      <c r="AE1310" s="126">
        <f t="shared" si="3701"/>
        <v>0</v>
      </c>
      <c r="AF1310" s="126">
        <f t="shared" si="3701"/>
        <v>0</v>
      </c>
      <c r="AG1310" s="126">
        <f t="shared" si="3701"/>
        <v>0</v>
      </c>
      <c r="AH1310" s="126">
        <f t="shared" si="3701"/>
        <v>0</v>
      </c>
      <c r="AI1310" s="126">
        <f t="shared" si="3701"/>
        <v>0</v>
      </c>
      <c r="AJ1310" s="126">
        <f t="shared" si="3701"/>
        <v>0</v>
      </c>
      <c r="AK1310" s="126">
        <f t="shared" si="3701"/>
        <v>0</v>
      </c>
      <c r="AL1310" s="126">
        <f t="shared" si="3701"/>
        <v>0</v>
      </c>
      <c r="AM1310" s="126">
        <f t="shared" si="3701"/>
        <v>0</v>
      </c>
      <c r="AN1310" s="126">
        <f t="shared" si="3701"/>
        <v>0</v>
      </c>
      <c r="AO1310" s="126">
        <f t="shared" si="3701"/>
        <v>0</v>
      </c>
      <c r="AP1310" s="126">
        <f t="shared" si="3701"/>
        <v>0</v>
      </c>
      <c r="AQ1310" s="126">
        <f t="shared" si="3701"/>
        <v>0</v>
      </c>
      <c r="AR1310" s="126">
        <f t="shared" si="3701"/>
        <v>0</v>
      </c>
      <c r="AS1310" s="126">
        <f t="shared" si="3701"/>
        <v>0</v>
      </c>
      <c r="AT1310" s="126">
        <f t="shared" si="3701"/>
        <v>0</v>
      </c>
      <c r="AU1310" s="126">
        <f t="shared" si="3701"/>
        <v>0</v>
      </c>
      <c r="AV1310" s="126">
        <f t="shared" si="3701"/>
        <v>0</v>
      </c>
      <c r="AW1310" s="126">
        <f t="shared" si="3701"/>
        <v>0</v>
      </c>
      <c r="AX1310" s="126">
        <f t="shared" si="3701"/>
        <v>0</v>
      </c>
      <c r="AY1310" s="126">
        <f t="shared" si="3701"/>
        <v>0</v>
      </c>
      <c r="AZ1310" s="126">
        <f t="shared" si="3701"/>
        <v>0</v>
      </c>
      <c r="BA1310" s="126">
        <f t="shared" si="3701"/>
        <v>0</v>
      </c>
      <c r="BB1310" s="126">
        <f t="shared" si="3701"/>
        <v>0</v>
      </c>
    </row>
    <row r="1311" spans="1:54" hidden="1">
      <c r="A1311" s="492">
        <v>804</v>
      </c>
      <c r="B1311" s="13" t="s">
        <v>282</v>
      </c>
      <c r="C1311" s="52" t="s">
        <v>211</v>
      </c>
      <c r="D1311" s="52" t="s">
        <v>503</v>
      </c>
      <c r="E1311" s="31" t="s">
        <v>283</v>
      </c>
      <c r="F1311" s="32"/>
      <c r="G1311" s="32" t="s">
        <v>1059</v>
      </c>
      <c r="H1311" s="271" t="s">
        <v>357</v>
      </c>
      <c r="I1311" s="61"/>
      <c r="J1311" s="104"/>
      <c r="K1311" s="61"/>
      <c r="L1311" s="163"/>
      <c r="M1311" s="61"/>
      <c r="N1311" s="163"/>
      <c r="O1311" s="61"/>
      <c r="P1311" s="104"/>
      <c r="Q1311" s="121">
        <f t="shared" ref="Q1311:R1314" si="3702">SUM(AI1311+BA1311)</f>
        <v>0</v>
      </c>
      <c r="R1311" s="341">
        <f t="shared" si="3702"/>
        <v>0</v>
      </c>
      <c r="S1311" s="121"/>
      <c r="T1311" s="96">
        <f t="shared" ref="T1311:T1314" si="3703">I1311*S1311*$T$2/1000</f>
        <v>0</v>
      </c>
      <c r="U1311" s="121"/>
      <c r="V1311" s="179">
        <f>I1311*U1311*$V$2/1000</f>
        <v>0</v>
      </c>
      <c r="W1311" s="211"/>
      <c r="X1311" s="212">
        <f>I1311*W1311*$X$2/1000</f>
        <v>0</v>
      </c>
      <c r="Y1311" s="190">
        <f t="shared" ref="Y1311:Z1314" si="3704">SUM(S1311+U1311+W1311)</f>
        <v>0</v>
      </c>
      <c r="Z1311" s="179">
        <f t="shared" si="3704"/>
        <v>0</v>
      </c>
      <c r="AA1311" s="211"/>
      <c r="AB1311" s="212">
        <f>K1311*AA1311*$AB$2/1000</f>
        <v>0</v>
      </c>
      <c r="AC1311" s="211"/>
      <c r="AD1311" s="179">
        <f>K1311*AC1311*$AD$2/1000</f>
        <v>0</v>
      </c>
      <c r="AE1311" s="211"/>
      <c r="AF1311" s="212">
        <f>K1311*AE1311*$AF$2/1000</f>
        <v>0</v>
      </c>
      <c r="AG1311" s="190">
        <f t="shared" ref="AG1311:AH1314" si="3705">SUM(AA1311+AC1311+AE1311)</f>
        <v>0</v>
      </c>
      <c r="AH1311" s="121">
        <f t="shared" si="3705"/>
        <v>0</v>
      </c>
      <c r="AI1311" s="121">
        <f>SUM(Y1311+AG1311)</f>
        <v>0</v>
      </c>
      <c r="AJ1311" s="179">
        <f>SUM(Z1311,AH1311)</f>
        <v>0</v>
      </c>
      <c r="AK1311" s="211"/>
      <c r="AL1311" s="179">
        <f>M1311*AK1311*$AL$2/1000</f>
        <v>0</v>
      </c>
      <c r="AM1311" s="246"/>
      <c r="AN1311" s="179">
        <f>M1311*AM1311*$AN$2/1000</f>
        <v>0</v>
      </c>
      <c r="AO1311" s="211"/>
      <c r="AP1311" s="212">
        <f>M1311*AO1311*$AP$2/1000</f>
        <v>0</v>
      </c>
      <c r="AQ1311" s="190">
        <f t="shared" ref="AQ1311:AR1314" si="3706">SUM(AK1311+AM1311+AO1311)</f>
        <v>0</v>
      </c>
      <c r="AR1311" s="121">
        <f t="shared" si="3706"/>
        <v>0</v>
      </c>
      <c r="AS1311" s="121"/>
      <c r="AT1311" s="179">
        <f>O1311*AS1311*$AT$2/1000</f>
        <v>0</v>
      </c>
      <c r="AU1311" s="211"/>
      <c r="AV1311" s="179">
        <f>O1311*AU1311*$AV$2/1000</f>
        <v>0</v>
      </c>
      <c r="AW1311" s="211"/>
      <c r="AX1311" s="212">
        <f>O1311*AW1311*$AX$2/1000</f>
        <v>0</v>
      </c>
      <c r="AY1311" s="190">
        <f t="shared" ref="AY1311:AZ1314" si="3707">SUM(AS1311+AU1311+AW1311)</f>
        <v>0</v>
      </c>
      <c r="AZ1311" s="121">
        <f t="shared" si="3707"/>
        <v>0</v>
      </c>
      <c r="BA1311" s="121">
        <f>SUM(AQ1311+AY1311)</f>
        <v>0</v>
      </c>
      <c r="BB1311" s="121">
        <f>SUM(AR1311,AZ1311)</f>
        <v>0</v>
      </c>
    </row>
    <row r="1312" spans="1:54" hidden="1">
      <c r="A1312" s="492">
        <v>805</v>
      </c>
      <c r="B1312" s="13"/>
      <c r="C1312" s="13"/>
      <c r="D1312" s="13"/>
      <c r="E1312" s="21" t="s">
        <v>284</v>
      </c>
      <c r="F1312" s="22"/>
      <c r="G1312" s="22" t="s">
        <v>1059</v>
      </c>
      <c r="H1312" s="265" t="s">
        <v>357</v>
      </c>
      <c r="I1312" s="54"/>
      <c r="J1312" s="101"/>
      <c r="K1312" s="54"/>
      <c r="L1312" s="162"/>
      <c r="M1312" s="54"/>
      <c r="N1312" s="162"/>
      <c r="O1312" s="54"/>
      <c r="P1312" s="101"/>
      <c r="Q1312" s="96">
        <f t="shared" si="3702"/>
        <v>0</v>
      </c>
      <c r="R1312" s="337">
        <f t="shared" si="3702"/>
        <v>0</v>
      </c>
      <c r="S1312" s="96"/>
      <c r="T1312" s="96">
        <f t="shared" si="3703"/>
        <v>0</v>
      </c>
      <c r="U1312" s="96"/>
      <c r="V1312" s="176">
        <f>I1312*U1312*$V$2/1000</f>
        <v>0</v>
      </c>
      <c r="W1312" s="206"/>
      <c r="X1312" s="205">
        <f>I1312*W1312*$X$2/1000</f>
        <v>0</v>
      </c>
      <c r="Y1312" s="188">
        <f t="shared" si="3704"/>
        <v>0</v>
      </c>
      <c r="Z1312" s="176">
        <f t="shared" si="3704"/>
        <v>0</v>
      </c>
      <c r="AA1312" s="206"/>
      <c r="AB1312" s="205">
        <f>K1312*AA1312*$AB$2/1000</f>
        <v>0</v>
      </c>
      <c r="AC1312" s="206"/>
      <c r="AD1312" s="176">
        <f>K1312*AC1312*$AD$2/1000</f>
        <v>0</v>
      </c>
      <c r="AE1312" s="206"/>
      <c r="AF1312" s="205">
        <f>K1312*AE1312*$AF$2/1000</f>
        <v>0</v>
      </c>
      <c r="AG1312" s="188">
        <f t="shared" si="3705"/>
        <v>0</v>
      </c>
      <c r="AH1312" s="96">
        <f t="shared" si="3705"/>
        <v>0</v>
      </c>
      <c r="AI1312" s="96">
        <f>SUM(Y1312+AG1312)</f>
        <v>0</v>
      </c>
      <c r="AJ1312" s="176">
        <f>SUM(Z1312,AH1312)</f>
        <v>0</v>
      </c>
      <c r="AK1312" s="206"/>
      <c r="AL1312" s="176">
        <f>M1312*AK1312*$AL$2/1000</f>
        <v>0</v>
      </c>
      <c r="AM1312" s="243"/>
      <c r="AN1312" s="176">
        <f>M1312*AM1312*$AN$2/1000</f>
        <v>0</v>
      </c>
      <c r="AO1312" s="206"/>
      <c r="AP1312" s="205">
        <f>M1312*AO1312*$AP$2/1000</f>
        <v>0</v>
      </c>
      <c r="AQ1312" s="188">
        <f t="shared" si="3706"/>
        <v>0</v>
      </c>
      <c r="AR1312" s="96">
        <f t="shared" si="3706"/>
        <v>0</v>
      </c>
      <c r="AS1312" s="96"/>
      <c r="AT1312" s="176">
        <f>O1312*AS1312*$AT$2/1000</f>
        <v>0</v>
      </c>
      <c r="AU1312" s="206"/>
      <c r="AV1312" s="176">
        <f>O1312*AU1312*$AV$2/1000</f>
        <v>0</v>
      </c>
      <c r="AW1312" s="206"/>
      <c r="AX1312" s="205">
        <f>O1312*AW1312*$AX$2/1000</f>
        <v>0</v>
      </c>
      <c r="AY1312" s="188">
        <f t="shared" si="3707"/>
        <v>0</v>
      </c>
      <c r="AZ1312" s="96">
        <f t="shared" si="3707"/>
        <v>0</v>
      </c>
      <c r="BA1312" s="96">
        <f>SUM(AQ1312+AY1312)</f>
        <v>0</v>
      </c>
      <c r="BB1312" s="96">
        <f>SUM(AR1312,AZ1312)</f>
        <v>0</v>
      </c>
    </row>
    <row r="1313" spans="1:54" hidden="1">
      <c r="A1313" s="492">
        <v>806</v>
      </c>
      <c r="B1313" s="13"/>
      <c r="C1313" s="13"/>
      <c r="D1313" s="13"/>
      <c r="E1313" s="62" t="s">
        <v>285</v>
      </c>
      <c r="F1313" s="63"/>
      <c r="G1313" s="63" t="s">
        <v>1059</v>
      </c>
      <c r="H1313" s="281" t="s">
        <v>357</v>
      </c>
      <c r="I1313" s="66"/>
      <c r="J1313" s="106"/>
      <c r="K1313" s="66"/>
      <c r="L1313" s="165"/>
      <c r="M1313" s="66"/>
      <c r="N1313" s="165"/>
      <c r="O1313" s="66"/>
      <c r="P1313" s="106"/>
      <c r="Q1313" s="128">
        <f t="shared" si="3702"/>
        <v>0</v>
      </c>
      <c r="R1313" s="345">
        <f t="shared" si="3702"/>
        <v>0</v>
      </c>
      <c r="S1313" s="128"/>
      <c r="T1313" s="96">
        <f>I1313*S1313*$T$2/1000</f>
        <v>0</v>
      </c>
      <c r="U1313" s="128"/>
      <c r="V1313" s="183">
        <f>I1313*U1313*$V$2/1000</f>
        <v>0</v>
      </c>
      <c r="W1313" s="220"/>
      <c r="X1313" s="221">
        <f>I1313*W1313*$X$2/1000</f>
        <v>0</v>
      </c>
      <c r="Y1313" s="196">
        <f t="shared" si="3704"/>
        <v>0</v>
      </c>
      <c r="Z1313" s="183">
        <f t="shared" si="3704"/>
        <v>0</v>
      </c>
      <c r="AA1313" s="220"/>
      <c r="AB1313" s="221">
        <f>K1313*AA1313*$AB$2/1000</f>
        <v>0</v>
      </c>
      <c r="AC1313" s="220"/>
      <c r="AD1313" s="183">
        <f>K1313*AC1313*$AD$2/1000</f>
        <v>0</v>
      </c>
      <c r="AE1313" s="220"/>
      <c r="AF1313" s="205">
        <f>K1313*AE1313*$AF$2/1000</f>
        <v>0</v>
      </c>
      <c r="AG1313" s="196">
        <f t="shared" si="3705"/>
        <v>0</v>
      </c>
      <c r="AH1313" s="128">
        <f t="shared" si="3705"/>
        <v>0</v>
      </c>
      <c r="AI1313" s="128">
        <f>SUM(Y1313+AG1313)</f>
        <v>0</v>
      </c>
      <c r="AJ1313" s="183">
        <f>SUM(Z1313,AH1313)</f>
        <v>0</v>
      </c>
      <c r="AK1313" s="220"/>
      <c r="AL1313" s="183">
        <f>M1313*AK1313*$AL$2/1000</f>
        <v>0</v>
      </c>
      <c r="AM1313" s="251"/>
      <c r="AN1313" s="183">
        <f>M1313*AM1313*$AN$2/1000</f>
        <v>0</v>
      </c>
      <c r="AO1313" s="220"/>
      <c r="AP1313" s="221">
        <f>M1313*AO1313*$AP$2/1000</f>
        <v>0</v>
      </c>
      <c r="AQ1313" s="196">
        <f t="shared" si="3706"/>
        <v>0</v>
      </c>
      <c r="AR1313" s="128">
        <f t="shared" si="3706"/>
        <v>0</v>
      </c>
      <c r="AS1313" s="128"/>
      <c r="AT1313" s="183">
        <f>O1313*AS1313*$AT$2/1000</f>
        <v>0</v>
      </c>
      <c r="AU1313" s="220"/>
      <c r="AV1313" s="183">
        <f>O1313*AU1313*$AV$2/1000</f>
        <v>0</v>
      </c>
      <c r="AW1313" s="220"/>
      <c r="AX1313" s="221">
        <f>O1313*AW1313*$AX$2/1000</f>
        <v>0</v>
      </c>
      <c r="AY1313" s="196">
        <f t="shared" si="3707"/>
        <v>0</v>
      </c>
      <c r="AZ1313" s="128">
        <f t="shared" si="3707"/>
        <v>0</v>
      </c>
      <c r="BA1313" s="128">
        <f>SUM(AQ1313+AY1313)</f>
        <v>0</v>
      </c>
      <c r="BB1313" s="128">
        <f>SUM(AR1313,AZ1313)</f>
        <v>0</v>
      </c>
    </row>
    <row r="1314" spans="1:54" hidden="1">
      <c r="A1314" s="492">
        <v>807</v>
      </c>
      <c r="B1314" s="13"/>
      <c r="C1314" s="24"/>
      <c r="D1314" s="24"/>
      <c r="E1314" s="50" t="s">
        <v>286</v>
      </c>
      <c r="F1314" s="37"/>
      <c r="G1314" s="37" t="s">
        <v>1059</v>
      </c>
      <c r="H1314" s="272" t="s">
        <v>357</v>
      </c>
      <c r="I1314" s="57"/>
      <c r="J1314" s="107"/>
      <c r="K1314" s="57"/>
      <c r="L1314" s="166"/>
      <c r="M1314" s="57"/>
      <c r="N1314" s="166"/>
      <c r="O1314" s="57"/>
      <c r="P1314" s="107"/>
      <c r="Q1314" s="94">
        <f t="shared" si="3702"/>
        <v>0</v>
      </c>
      <c r="R1314" s="338">
        <f t="shared" si="3702"/>
        <v>0</v>
      </c>
      <c r="S1314" s="94"/>
      <c r="T1314" s="96">
        <f t="shared" si="3703"/>
        <v>0</v>
      </c>
      <c r="U1314" s="94"/>
      <c r="V1314" s="180">
        <f>I1314*U1314*$V$2/1000</f>
        <v>0</v>
      </c>
      <c r="W1314" s="213"/>
      <c r="X1314" s="214">
        <f>I1314*W1314*$X$2/1000</f>
        <v>0</v>
      </c>
      <c r="Y1314" s="192">
        <f t="shared" si="3704"/>
        <v>0</v>
      </c>
      <c r="Z1314" s="180">
        <f t="shared" si="3704"/>
        <v>0</v>
      </c>
      <c r="AA1314" s="213"/>
      <c r="AB1314" s="214">
        <f>K1314*AA1314*$AB$2/1000</f>
        <v>0</v>
      </c>
      <c r="AC1314" s="213"/>
      <c r="AD1314" s="180">
        <f>K1314*AC1314*$AD$2/1000</f>
        <v>0</v>
      </c>
      <c r="AE1314" s="213"/>
      <c r="AF1314" s="223">
        <f>K1314*AE1314*$AF$2/1000</f>
        <v>0</v>
      </c>
      <c r="AG1314" s="192">
        <f t="shared" si="3705"/>
        <v>0</v>
      </c>
      <c r="AH1314" s="94">
        <f t="shared" si="3705"/>
        <v>0</v>
      </c>
      <c r="AI1314" s="94">
        <f>SUM(Y1314+AG1314)</f>
        <v>0</v>
      </c>
      <c r="AJ1314" s="180">
        <f>SUM(Z1314,AH1314)</f>
        <v>0</v>
      </c>
      <c r="AK1314" s="213"/>
      <c r="AL1314" s="180">
        <f>M1314*AK1314*$AL$2/1000</f>
        <v>0</v>
      </c>
      <c r="AM1314" s="247"/>
      <c r="AN1314" s="180">
        <f>M1314*AM1314*$AN$2/1000</f>
        <v>0</v>
      </c>
      <c r="AO1314" s="213"/>
      <c r="AP1314" s="214">
        <f>M1314*AO1314*$AP$2/1000</f>
        <v>0</v>
      </c>
      <c r="AQ1314" s="192">
        <f t="shared" si="3706"/>
        <v>0</v>
      </c>
      <c r="AR1314" s="94">
        <f t="shared" si="3706"/>
        <v>0</v>
      </c>
      <c r="AS1314" s="94"/>
      <c r="AT1314" s="180">
        <f>O1314*AS1314*$AT$2/1000</f>
        <v>0</v>
      </c>
      <c r="AU1314" s="213"/>
      <c r="AV1314" s="180">
        <f>O1314*AU1314*$AV$2/1000</f>
        <v>0</v>
      </c>
      <c r="AW1314" s="213"/>
      <c r="AX1314" s="214">
        <f>O1314*AW1314*$AX$2/1000</f>
        <v>0</v>
      </c>
      <c r="AY1314" s="192">
        <f t="shared" si="3707"/>
        <v>0</v>
      </c>
      <c r="AZ1314" s="94">
        <f t="shared" si="3707"/>
        <v>0</v>
      </c>
      <c r="BA1314" s="94">
        <f>SUM(AQ1314+AY1314)</f>
        <v>0</v>
      </c>
      <c r="BB1314" s="94">
        <f>SUM(AR1314,AZ1314)</f>
        <v>0</v>
      </c>
    </row>
    <row r="1315" spans="1:54" hidden="1">
      <c r="A1315" s="492">
        <v>808</v>
      </c>
      <c r="B1315" s="200" t="s">
        <v>153</v>
      </c>
      <c r="C1315" s="80"/>
      <c r="D1315" s="80"/>
      <c r="E1315" s="80"/>
      <c r="F1315" s="80"/>
      <c r="G1315" s="80"/>
      <c r="H1315" s="285"/>
      <c r="I1315" s="156"/>
      <c r="J1315" s="135"/>
      <c r="K1315" s="134"/>
      <c r="L1315" s="174"/>
      <c r="M1315" s="134"/>
      <c r="N1315" s="174"/>
      <c r="O1315" s="156"/>
      <c r="P1315" s="135"/>
      <c r="Q1315" s="132">
        <f t="shared" ref="Q1315:BB1315" si="3708">SUM(Q1311:Q1314)</f>
        <v>0</v>
      </c>
      <c r="R1315" s="132">
        <f t="shared" si="3708"/>
        <v>0</v>
      </c>
      <c r="S1315" s="132">
        <f t="shared" si="3708"/>
        <v>0</v>
      </c>
      <c r="T1315" s="132">
        <f t="shared" si="3708"/>
        <v>0</v>
      </c>
      <c r="U1315" s="132">
        <f t="shared" si="3708"/>
        <v>0</v>
      </c>
      <c r="V1315" s="132">
        <f t="shared" si="3708"/>
        <v>0</v>
      </c>
      <c r="W1315" s="132">
        <f t="shared" si="3708"/>
        <v>0</v>
      </c>
      <c r="X1315" s="132">
        <f t="shared" si="3708"/>
        <v>0</v>
      </c>
      <c r="Y1315" s="132">
        <f t="shared" si="3708"/>
        <v>0</v>
      </c>
      <c r="Z1315" s="132">
        <f t="shared" si="3708"/>
        <v>0</v>
      </c>
      <c r="AA1315" s="132">
        <f t="shared" si="3708"/>
        <v>0</v>
      </c>
      <c r="AB1315" s="132">
        <f t="shared" si="3708"/>
        <v>0</v>
      </c>
      <c r="AC1315" s="132">
        <f t="shared" si="3708"/>
        <v>0</v>
      </c>
      <c r="AD1315" s="132">
        <f t="shared" si="3708"/>
        <v>0</v>
      </c>
      <c r="AE1315" s="132">
        <f t="shared" si="3708"/>
        <v>0</v>
      </c>
      <c r="AF1315" s="132">
        <f t="shared" si="3708"/>
        <v>0</v>
      </c>
      <c r="AG1315" s="132">
        <f t="shared" si="3708"/>
        <v>0</v>
      </c>
      <c r="AH1315" s="132">
        <f t="shared" si="3708"/>
        <v>0</v>
      </c>
      <c r="AI1315" s="132">
        <f t="shared" si="3708"/>
        <v>0</v>
      </c>
      <c r="AJ1315" s="132">
        <f t="shared" si="3708"/>
        <v>0</v>
      </c>
      <c r="AK1315" s="132">
        <f t="shared" si="3708"/>
        <v>0</v>
      </c>
      <c r="AL1315" s="132">
        <f t="shared" si="3708"/>
        <v>0</v>
      </c>
      <c r="AM1315" s="132">
        <f t="shared" si="3708"/>
        <v>0</v>
      </c>
      <c r="AN1315" s="132">
        <f t="shared" si="3708"/>
        <v>0</v>
      </c>
      <c r="AO1315" s="132">
        <f t="shared" si="3708"/>
        <v>0</v>
      </c>
      <c r="AP1315" s="132">
        <f t="shared" si="3708"/>
        <v>0</v>
      </c>
      <c r="AQ1315" s="132">
        <f t="shared" si="3708"/>
        <v>0</v>
      </c>
      <c r="AR1315" s="132">
        <f t="shared" si="3708"/>
        <v>0</v>
      </c>
      <c r="AS1315" s="132">
        <f t="shared" si="3708"/>
        <v>0</v>
      </c>
      <c r="AT1315" s="132">
        <f t="shared" si="3708"/>
        <v>0</v>
      </c>
      <c r="AU1315" s="132">
        <f t="shared" si="3708"/>
        <v>0</v>
      </c>
      <c r="AV1315" s="132">
        <f t="shared" si="3708"/>
        <v>0</v>
      </c>
      <c r="AW1315" s="132">
        <f t="shared" si="3708"/>
        <v>0</v>
      </c>
      <c r="AX1315" s="132">
        <f t="shared" si="3708"/>
        <v>0</v>
      </c>
      <c r="AY1315" s="132">
        <f t="shared" si="3708"/>
        <v>0</v>
      </c>
      <c r="AZ1315" s="132">
        <f t="shared" si="3708"/>
        <v>0</v>
      </c>
      <c r="BA1315" s="132">
        <f t="shared" si="3708"/>
        <v>0</v>
      </c>
      <c r="BB1315" s="132">
        <f t="shared" si="3708"/>
        <v>0</v>
      </c>
    </row>
    <row r="1316" spans="1:54">
      <c r="A1316" s="492">
        <v>812</v>
      </c>
      <c r="B1316" s="13" t="s">
        <v>1492</v>
      </c>
      <c r="C1316" s="13" t="s">
        <v>1493</v>
      </c>
      <c r="D1316" s="13" t="s">
        <v>1494</v>
      </c>
      <c r="E1316" s="21" t="s">
        <v>1495</v>
      </c>
      <c r="F1316" s="45"/>
      <c r="G1316" s="22" t="s">
        <v>1060</v>
      </c>
      <c r="H1316" s="265" t="s">
        <v>359</v>
      </c>
      <c r="I1316" s="142"/>
      <c r="J1316" s="162">
        <v>30100</v>
      </c>
      <c r="K1316" s="54"/>
      <c r="L1316" s="162">
        <v>31946</v>
      </c>
      <c r="M1316" s="54"/>
      <c r="N1316" s="162"/>
      <c r="O1316" s="142"/>
      <c r="P1316" s="162"/>
      <c r="Q1316" s="96">
        <f t="shared" ref="Q1316:R1321" si="3709">SUM(AI1316+BA1316)</f>
        <v>0</v>
      </c>
      <c r="R1316" s="337">
        <f t="shared" si="3709"/>
        <v>0</v>
      </c>
      <c r="S1316" s="96"/>
      <c r="T1316" s="96">
        <f t="shared" ref="T1316:T1321" si="3710">J1316*S1316/1000</f>
        <v>0</v>
      </c>
      <c r="U1316" s="96"/>
      <c r="V1316" s="96">
        <f t="shared" ref="V1316:V1321" si="3711">J1316*U1316/1000</f>
        <v>0</v>
      </c>
      <c r="W1316" s="206"/>
      <c r="X1316" s="96">
        <f t="shared" ref="X1316:X1321" si="3712">J1316*W1316/1000</f>
        <v>0</v>
      </c>
      <c r="Y1316" s="188">
        <f t="shared" ref="Y1316:Z1321" si="3713">SUM(S1316+U1316+W1316)</f>
        <v>0</v>
      </c>
      <c r="Z1316" s="176">
        <f t="shared" si="3713"/>
        <v>0</v>
      </c>
      <c r="AA1316" s="206"/>
      <c r="AB1316" s="205">
        <f t="shared" ref="AB1316:AB1321" si="3714">L1316*AA1316/1000</f>
        <v>0</v>
      </c>
      <c r="AC1316" s="206"/>
      <c r="AD1316" s="205">
        <f t="shared" ref="AD1316:AD1321" si="3715">L1316*AC1316/1000</f>
        <v>0</v>
      </c>
      <c r="AE1316" s="206"/>
      <c r="AF1316" s="205">
        <f t="shared" ref="AF1316:AF1321" si="3716">L1316*AE1316/1000</f>
        <v>0</v>
      </c>
      <c r="AG1316" s="188">
        <f t="shared" ref="AG1316:AH1321" si="3717">SUM(AA1316+AC1316+AE1316)</f>
        <v>0</v>
      </c>
      <c r="AH1316" s="96">
        <f t="shared" si="3717"/>
        <v>0</v>
      </c>
      <c r="AI1316" s="96">
        <f t="shared" ref="AI1316:AI1321" si="3718">SUM(Y1316+AG1316)</f>
        <v>0</v>
      </c>
      <c r="AJ1316" s="176">
        <f t="shared" ref="AJ1316:AJ1321" si="3719">SUM(Z1316,AH1316)</f>
        <v>0</v>
      </c>
      <c r="AK1316" s="206"/>
      <c r="AL1316" s="176">
        <f t="shared" ref="AL1316:AL1321" si="3720">N1316*AK1316/1000</f>
        <v>0</v>
      </c>
      <c r="AM1316" s="243"/>
      <c r="AN1316" s="176">
        <f t="shared" ref="AN1316:AN1321" si="3721">N1316*AM1316/1000</f>
        <v>0</v>
      </c>
      <c r="AO1316" s="206"/>
      <c r="AP1316" s="96">
        <f t="shared" ref="AP1316:AP1321" si="3722">N1316*AO1316/1000</f>
        <v>0</v>
      </c>
      <c r="AQ1316" s="188">
        <f t="shared" ref="AQ1316:AR1321" si="3723">SUM(AK1316+AM1316+AO1316)</f>
        <v>0</v>
      </c>
      <c r="AR1316" s="96">
        <f t="shared" si="3723"/>
        <v>0</v>
      </c>
      <c r="AS1316" s="96"/>
      <c r="AT1316" s="176">
        <f t="shared" ref="AT1316:AT1321" si="3724">P1316*AS1316/1000</f>
        <v>0</v>
      </c>
      <c r="AU1316" s="206"/>
      <c r="AV1316" s="176">
        <f t="shared" ref="AV1316:AV1321" si="3725">P1316*AU1316/1000</f>
        <v>0</v>
      </c>
      <c r="AW1316" s="206"/>
      <c r="AX1316" s="205">
        <f t="shared" ref="AX1316:AX1321" si="3726">P1316*AW1316/1000</f>
        <v>0</v>
      </c>
      <c r="AY1316" s="188">
        <f t="shared" ref="AY1316:AZ1321" si="3727">SUM(AS1316+AU1316+AW1316)</f>
        <v>0</v>
      </c>
      <c r="AZ1316" s="96">
        <f t="shared" si="3727"/>
        <v>0</v>
      </c>
      <c r="BA1316" s="96">
        <f t="shared" ref="BA1316:BA1321" si="3728">SUM(AQ1316+AY1316)</f>
        <v>0</v>
      </c>
      <c r="BB1316" s="96">
        <f t="shared" ref="BB1316:BB1321" si="3729">SUM(AR1316,AZ1316)</f>
        <v>0</v>
      </c>
    </row>
    <row r="1317" spans="1:54">
      <c r="A1317" s="492">
        <v>812</v>
      </c>
      <c r="B1317" s="13"/>
      <c r="C1317" s="13"/>
      <c r="D1317" s="13"/>
      <c r="E1317" s="21" t="s">
        <v>1552</v>
      </c>
      <c r="F1317" s="45"/>
      <c r="G1317" s="22" t="s">
        <v>1060</v>
      </c>
      <c r="H1317" s="265" t="s">
        <v>359</v>
      </c>
      <c r="I1317" s="142"/>
      <c r="J1317" s="162">
        <v>30100</v>
      </c>
      <c r="K1317" s="54"/>
      <c r="L1317" s="162">
        <v>31946</v>
      </c>
      <c r="M1317" s="54"/>
      <c r="N1317" s="162"/>
      <c r="O1317" s="142"/>
      <c r="P1317" s="162"/>
      <c r="Q1317" s="96">
        <f t="shared" si="3709"/>
        <v>1.1599999999999999</v>
      </c>
      <c r="R1317" s="337">
        <f t="shared" si="3709"/>
        <v>36.762</v>
      </c>
      <c r="S1317" s="96"/>
      <c r="T1317" s="96">
        <f t="shared" si="3710"/>
        <v>0</v>
      </c>
      <c r="U1317" s="96">
        <v>0.16</v>
      </c>
      <c r="V1317" s="96">
        <f t="shared" si="3711"/>
        <v>4.8159999999999998</v>
      </c>
      <c r="W1317" s="206"/>
      <c r="X1317" s="96">
        <f t="shared" si="3712"/>
        <v>0</v>
      </c>
      <c r="Y1317" s="188">
        <f t="shared" si="3713"/>
        <v>0.16</v>
      </c>
      <c r="Z1317" s="176">
        <f t="shared" si="3713"/>
        <v>4.8159999999999998</v>
      </c>
      <c r="AA1317" s="206">
        <v>1</v>
      </c>
      <c r="AB1317" s="205">
        <f t="shared" si="3714"/>
        <v>31.946000000000002</v>
      </c>
      <c r="AC1317" s="206"/>
      <c r="AD1317" s="205">
        <f t="shared" si="3715"/>
        <v>0</v>
      </c>
      <c r="AE1317" s="206"/>
      <c r="AF1317" s="205">
        <f t="shared" si="3716"/>
        <v>0</v>
      </c>
      <c r="AG1317" s="188">
        <f t="shared" si="3717"/>
        <v>1</v>
      </c>
      <c r="AH1317" s="96">
        <f t="shared" si="3717"/>
        <v>31.946000000000002</v>
      </c>
      <c r="AI1317" s="96">
        <f t="shared" si="3718"/>
        <v>1.1599999999999999</v>
      </c>
      <c r="AJ1317" s="176">
        <f t="shared" si="3719"/>
        <v>36.762</v>
      </c>
      <c r="AK1317" s="206"/>
      <c r="AL1317" s="176">
        <f t="shared" si="3720"/>
        <v>0</v>
      </c>
      <c r="AM1317" s="243"/>
      <c r="AN1317" s="176">
        <f t="shared" si="3721"/>
        <v>0</v>
      </c>
      <c r="AO1317" s="206"/>
      <c r="AP1317" s="96">
        <f t="shared" si="3722"/>
        <v>0</v>
      </c>
      <c r="AQ1317" s="188">
        <f t="shared" si="3723"/>
        <v>0</v>
      </c>
      <c r="AR1317" s="96">
        <f t="shared" si="3723"/>
        <v>0</v>
      </c>
      <c r="AS1317" s="96"/>
      <c r="AT1317" s="176">
        <f t="shared" si="3724"/>
        <v>0</v>
      </c>
      <c r="AU1317" s="206"/>
      <c r="AV1317" s="176">
        <f t="shared" si="3725"/>
        <v>0</v>
      </c>
      <c r="AW1317" s="206"/>
      <c r="AX1317" s="205">
        <f t="shared" si="3726"/>
        <v>0</v>
      </c>
      <c r="AY1317" s="188">
        <f t="shared" si="3727"/>
        <v>0</v>
      </c>
      <c r="AZ1317" s="96">
        <f t="shared" si="3727"/>
        <v>0</v>
      </c>
      <c r="BA1317" s="96">
        <f t="shared" si="3728"/>
        <v>0</v>
      </c>
      <c r="BB1317" s="96">
        <f t="shared" si="3729"/>
        <v>0</v>
      </c>
    </row>
    <row r="1318" spans="1:54">
      <c r="A1318" s="492">
        <v>812</v>
      </c>
      <c r="B1318" s="13"/>
      <c r="C1318" s="13"/>
      <c r="D1318" s="13" t="s">
        <v>217</v>
      </c>
      <c r="E1318" s="21" t="s">
        <v>1688</v>
      </c>
      <c r="F1318" s="45"/>
      <c r="G1318" s="22" t="s">
        <v>1060</v>
      </c>
      <c r="H1318" s="265" t="s">
        <v>359</v>
      </c>
      <c r="I1318" s="142"/>
      <c r="J1318" s="162">
        <v>31200</v>
      </c>
      <c r="K1318" s="54"/>
      <c r="L1318" s="162">
        <v>33115</v>
      </c>
      <c r="M1318" s="54"/>
      <c r="N1318" s="162"/>
      <c r="O1318" s="142"/>
      <c r="P1318" s="162"/>
      <c r="Q1318" s="96">
        <f t="shared" ref="Q1318:Q1320" si="3730">SUM(AI1318+BA1318)</f>
        <v>0</v>
      </c>
      <c r="R1318" s="337">
        <f t="shared" ref="R1318:R1320" si="3731">SUM(AJ1318+BB1318)</f>
        <v>0</v>
      </c>
      <c r="S1318" s="96"/>
      <c r="T1318" s="96">
        <f t="shared" si="3710"/>
        <v>0</v>
      </c>
      <c r="U1318" s="96"/>
      <c r="V1318" s="96">
        <f t="shared" si="3711"/>
        <v>0</v>
      </c>
      <c r="W1318" s="206"/>
      <c r="X1318" s="96">
        <f t="shared" si="3712"/>
        <v>0</v>
      </c>
      <c r="Y1318" s="188">
        <f>SUM(S1318+U1318+W1318)</f>
        <v>0</v>
      </c>
      <c r="Z1318" s="176">
        <f>SUM(T1318+V1318+X1318)</f>
        <v>0</v>
      </c>
      <c r="AA1318" s="206"/>
      <c r="AB1318" s="205">
        <f t="shared" si="3714"/>
        <v>0</v>
      </c>
      <c r="AC1318" s="206"/>
      <c r="AD1318" s="205">
        <f t="shared" si="3715"/>
        <v>0</v>
      </c>
      <c r="AE1318" s="206"/>
      <c r="AF1318" s="205">
        <f t="shared" si="3716"/>
        <v>0</v>
      </c>
      <c r="AG1318" s="188">
        <f t="shared" ref="AG1318:AG1320" si="3732">SUM(AA1318+AC1318+AE1318)</f>
        <v>0</v>
      </c>
      <c r="AH1318" s="96">
        <f t="shared" ref="AH1318:AH1320" si="3733">SUM(AB1318+AD1318+AF1318)</f>
        <v>0</v>
      </c>
      <c r="AI1318" s="96">
        <f t="shared" si="3718"/>
        <v>0</v>
      </c>
      <c r="AJ1318" s="176">
        <f t="shared" si="3719"/>
        <v>0</v>
      </c>
      <c r="AK1318" s="206"/>
      <c r="AL1318" s="176">
        <f t="shared" si="3720"/>
        <v>0</v>
      </c>
      <c r="AM1318" s="243"/>
      <c r="AN1318" s="176">
        <f t="shared" si="3721"/>
        <v>0</v>
      </c>
      <c r="AO1318" s="206"/>
      <c r="AP1318" s="96">
        <f t="shared" si="3722"/>
        <v>0</v>
      </c>
      <c r="AQ1318" s="188">
        <f t="shared" ref="AQ1318:AQ1320" si="3734">SUM(AK1318+AM1318+AO1318)</f>
        <v>0</v>
      </c>
      <c r="AR1318" s="96">
        <f t="shared" ref="AR1318:AR1320" si="3735">SUM(AL1318+AN1318+AP1318)</f>
        <v>0</v>
      </c>
      <c r="AS1318" s="96"/>
      <c r="AT1318" s="176">
        <f t="shared" si="3724"/>
        <v>0</v>
      </c>
      <c r="AU1318" s="206"/>
      <c r="AV1318" s="176">
        <f t="shared" si="3725"/>
        <v>0</v>
      </c>
      <c r="AW1318" s="206"/>
      <c r="AX1318" s="205">
        <f t="shared" si="3726"/>
        <v>0</v>
      </c>
      <c r="AY1318" s="188">
        <f t="shared" ref="AY1318:AY1320" si="3736">SUM(AS1318+AU1318+AW1318)</f>
        <v>0</v>
      </c>
      <c r="AZ1318" s="96">
        <f t="shared" ref="AZ1318:AZ1320" si="3737">SUM(AT1318+AV1318+AX1318)</f>
        <v>0</v>
      </c>
      <c r="BA1318" s="96">
        <f t="shared" si="3728"/>
        <v>0</v>
      </c>
      <c r="BB1318" s="96">
        <f t="shared" si="3729"/>
        <v>0</v>
      </c>
    </row>
    <row r="1319" spans="1:54">
      <c r="A1319" s="492">
        <v>812</v>
      </c>
      <c r="B1319" s="13"/>
      <c r="C1319" s="451" t="s">
        <v>211</v>
      </c>
      <c r="D1319" s="451" t="s">
        <v>2217</v>
      </c>
      <c r="E1319" s="21" t="s">
        <v>2218</v>
      </c>
      <c r="F1319" s="45"/>
      <c r="G1319" s="22" t="s">
        <v>1060</v>
      </c>
      <c r="H1319" s="265" t="s">
        <v>359</v>
      </c>
      <c r="I1319" s="142"/>
      <c r="J1319" s="162">
        <v>47100</v>
      </c>
      <c r="K1319" s="54"/>
      <c r="L1319" s="162">
        <v>49983</v>
      </c>
      <c r="M1319" s="54"/>
      <c r="N1319" s="162"/>
      <c r="O1319" s="142"/>
      <c r="P1319" s="162"/>
      <c r="Q1319" s="96">
        <f t="shared" ref="Q1319" si="3738">SUM(AI1319+BA1319)</f>
        <v>0</v>
      </c>
      <c r="R1319" s="337">
        <f t="shared" ref="R1319" si="3739">SUM(AJ1319+BB1319)</f>
        <v>0</v>
      </c>
      <c r="S1319" s="96"/>
      <c r="T1319" s="96">
        <f t="shared" si="3710"/>
        <v>0</v>
      </c>
      <c r="U1319" s="96"/>
      <c r="V1319" s="96">
        <f t="shared" si="3711"/>
        <v>0</v>
      </c>
      <c r="W1319" s="206"/>
      <c r="X1319" s="96">
        <f t="shared" si="3712"/>
        <v>0</v>
      </c>
      <c r="Y1319" s="188">
        <f t="shared" ref="Y1319" si="3740">SUM(S1319+U1319+W1319)</f>
        <v>0</v>
      </c>
      <c r="Z1319" s="176">
        <f t="shared" ref="Z1319" si="3741">SUM(T1319+V1319+X1319)</f>
        <v>0</v>
      </c>
      <c r="AA1319" s="206"/>
      <c r="AB1319" s="205">
        <f t="shared" si="3714"/>
        <v>0</v>
      </c>
      <c r="AC1319" s="206"/>
      <c r="AD1319" s="205">
        <f t="shared" si="3715"/>
        <v>0</v>
      </c>
      <c r="AE1319" s="206"/>
      <c r="AF1319" s="205">
        <f t="shared" si="3716"/>
        <v>0</v>
      </c>
      <c r="AG1319" s="188">
        <f t="shared" ref="AG1319" si="3742">SUM(AA1319+AC1319+AE1319)</f>
        <v>0</v>
      </c>
      <c r="AH1319" s="96">
        <f t="shared" ref="AH1319" si="3743">SUM(AB1319+AD1319+AF1319)</f>
        <v>0</v>
      </c>
      <c r="AI1319" s="96">
        <f t="shared" si="3718"/>
        <v>0</v>
      </c>
      <c r="AJ1319" s="176">
        <f t="shared" si="3719"/>
        <v>0</v>
      </c>
      <c r="AK1319" s="206"/>
      <c r="AL1319" s="176">
        <f t="shared" si="3720"/>
        <v>0</v>
      </c>
      <c r="AM1319" s="243"/>
      <c r="AN1319" s="176">
        <f t="shared" si="3721"/>
        <v>0</v>
      </c>
      <c r="AO1319" s="206"/>
      <c r="AP1319" s="96">
        <f t="shared" si="3722"/>
        <v>0</v>
      </c>
      <c r="AQ1319" s="188">
        <f t="shared" ref="AQ1319" si="3744">SUM(AK1319+AM1319+AO1319)</f>
        <v>0</v>
      </c>
      <c r="AR1319" s="96">
        <f t="shared" ref="AR1319" si="3745">SUM(AL1319+AN1319+AP1319)</f>
        <v>0</v>
      </c>
      <c r="AS1319" s="96"/>
      <c r="AT1319" s="176">
        <f t="shared" si="3724"/>
        <v>0</v>
      </c>
      <c r="AU1319" s="206"/>
      <c r="AV1319" s="176">
        <f t="shared" si="3725"/>
        <v>0</v>
      </c>
      <c r="AW1319" s="206"/>
      <c r="AX1319" s="205">
        <f t="shared" si="3726"/>
        <v>0</v>
      </c>
      <c r="AY1319" s="188">
        <f t="shared" ref="AY1319" si="3746">SUM(AS1319+AU1319+AW1319)</f>
        <v>0</v>
      </c>
      <c r="AZ1319" s="96">
        <f t="shared" ref="AZ1319" si="3747">SUM(AT1319+AV1319+AX1319)</f>
        <v>0</v>
      </c>
      <c r="BA1319" s="96">
        <f t="shared" si="3728"/>
        <v>0</v>
      </c>
      <c r="BB1319" s="96">
        <f t="shared" si="3729"/>
        <v>0</v>
      </c>
    </row>
    <row r="1320" spans="1:54">
      <c r="A1320" s="492">
        <v>812</v>
      </c>
      <c r="B1320" s="13"/>
      <c r="C1320" s="14"/>
      <c r="D1320" s="14"/>
      <c r="E1320" s="21" t="s">
        <v>2580</v>
      </c>
      <c r="F1320" s="45"/>
      <c r="G1320" s="22" t="s">
        <v>1060</v>
      </c>
      <c r="H1320" s="265" t="s">
        <v>359</v>
      </c>
      <c r="I1320" s="142"/>
      <c r="J1320" s="162"/>
      <c r="K1320" s="54"/>
      <c r="L1320" s="162">
        <v>49716</v>
      </c>
      <c r="M1320" s="54"/>
      <c r="N1320" s="162"/>
      <c r="O1320" s="142"/>
      <c r="P1320" s="162"/>
      <c r="Q1320" s="96">
        <f t="shared" si="3730"/>
        <v>3.1E-2</v>
      </c>
      <c r="R1320" s="337">
        <f t="shared" si="3731"/>
        <v>1.541196</v>
      </c>
      <c r="S1320" s="96"/>
      <c r="T1320" s="96">
        <f t="shared" si="3710"/>
        <v>0</v>
      </c>
      <c r="U1320" s="96"/>
      <c r="V1320" s="96">
        <f t="shared" si="3711"/>
        <v>0</v>
      </c>
      <c r="W1320" s="206"/>
      <c r="X1320" s="96">
        <f t="shared" si="3712"/>
        <v>0</v>
      </c>
      <c r="Y1320" s="188">
        <f t="shared" ref="Y1320" si="3748">SUM(S1320+U1320+W1320)</f>
        <v>0</v>
      </c>
      <c r="Z1320" s="176">
        <f t="shared" ref="Z1320" si="3749">SUM(T1320+V1320+X1320)</f>
        <v>0</v>
      </c>
      <c r="AA1320" s="206">
        <v>3.1E-2</v>
      </c>
      <c r="AB1320" s="205">
        <f t="shared" si="3714"/>
        <v>1.541196</v>
      </c>
      <c r="AC1320" s="206"/>
      <c r="AD1320" s="205">
        <f t="shared" si="3715"/>
        <v>0</v>
      </c>
      <c r="AE1320" s="206"/>
      <c r="AF1320" s="205">
        <f t="shared" si="3716"/>
        <v>0</v>
      </c>
      <c r="AG1320" s="188">
        <f t="shared" si="3732"/>
        <v>3.1E-2</v>
      </c>
      <c r="AH1320" s="96">
        <f t="shared" si="3733"/>
        <v>1.541196</v>
      </c>
      <c r="AI1320" s="96">
        <f t="shared" si="3718"/>
        <v>3.1E-2</v>
      </c>
      <c r="AJ1320" s="176">
        <f t="shared" si="3719"/>
        <v>1.541196</v>
      </c>
      <c r="AK1320" s="206"/>
      <c r="AL1320" s="176">
        <f t="shared" si="3720"/>
        <v>0</v>
      </c>
      <c r="AM1320" s="243"/>
      <c r="AN1320" s="176">
        <f t="shared" si="3721"/>
        <v>0</v>
      </c>
      <c r="AO1320" s="206"/>
      <c r="AP1320" s="96">
        <f t="shared" si="3722"/>
        <v>0</v>
      </c>
      <c r="AQ1320" s="188">
        <f t="shared" si="3734"/>
        <v>0</v>
      </c>
      <c r="AR1320" s="96">
        <f t="shared" si="3735"/>
        <v>0</v>
      </c>
      <c r="AS1320" s="96"/>
      <c r="AT1320" s="176">
        <f t="shared" si="3724"/>
        <v>0</v>
      </c>
      <c r="AU1320" s="206"/>
      <c r="AV1320" s="176">
        <f t="shared" si="3725"/>
        <v>0</v>
      </c>
      <c r="AW1320" s="206"/>
      <c r="AX1320" s="205">
        <f t="shared" si="3726"/>
        <v>0</v>
      </c>
      <c r="AY1320" s="188">
        <f t="shared" si="3736"/>
        <v>0</v>
      </c>
      <c r="AZ1320" s="96">
        <f t="shared" si="3737"/>
        <v>0</v>
      </c>
      <c r="BA1320" s="96">
        <f t="shared" si="3728"/>
        <v>0</v>
      </c>
      <c r="BB1320" s="96">
        <f t="shared" si="3729"/>
        <v>0</v>
      </c>
    </row>
    <row r="1321" spans="1:54">
      <c r="A1321" s="492">
        <v>812</v>
      </c>
      <c r="B1321" s="13"/>
      <c r="C1321" s="14"/>
      <c r="D1321" s="287"/>
      <c r="E1321" s="21" t="s">
        <v>2581</v>
      </c>
      <c r="F1321" s="45"/>
      <c r="G1321" s="22" t="s">
        <v>1060</v>
      </c>
      <c r="H1321" s="265" t="s">
        <v>359</v>
      </c>
      <c r="I1321" s="142"/>
      <c r="J1321" s="162"/>
      <c r="K1321" s="54"/>
      <c r="L1321" s="162">
        <v>49568</v>
      </c>
      <c r="M1321" s="54"/>
      <c r="N1321" s="162"/>
      <c r="O1321" s="142"/>
      <c r="P1321" s="162"/>
      <c r="Q1321" s="96">
        <f t="shared" si="3709"/>
        <v>2.5000000000000001E-2</v>
      </c>
      <c r="R1321" s="337">
        <f t="shared" si="3709"/>
        <v>1.2392000000000001</v>
      </c>
      <c r="S1321" s="96"/>
      <c r="T1321" s="96">
        <f t="shared" si="3710"/>
        <v>0</v>
      </c>
      <c r="U1321" s="96"/>
      <c r="V1321" s="96">
        <f t="shared" si="3711"/>
        <v>0</v>
      </c>
      <c r="W1321" s="206"/>
      <c r="X1321" s="96">
        <f t="shared" si="3712"/>
        <v>0</v>
      </c>
      <c r="Y1321" s="188">
        <f t="shared" si="3713"/>
        <v>0</v>
      </c>
      <c r="Z1321" s="176">
        <f t="shared" si="3713"/>
        <v>0</v>
      </c>
      <c r="AA1321" s="206">
        <v>2.5000000000000001E-2</v>
      </c>
      <c r="AB1321" s="205">
        <f t="shared" si="3714"/>
        <v>1.2392000000000001</v>
      </c>
      <c r="AC1321" s="206"/>
      <c r="AD1321" s="205">
        <f t="shared" si="3715"/>
        <v>0</v>
      </c>
      <c r="AE1321" s="206"/>
      <c r="AF1321" s="205">
        <f t="shared" si="3716"/>
        <v>0</v>
      </c>
      <c r="AG1321" s="188">
        <f t="shared" si="3717"/>
        <v>2.5000000000000001E-2</v>
      </c>
      <c r="AH1321" s="96">
        <f t="shared" si="3717"/>
        <v>1.2392000000000001</v>
      </c>
      <c r="AI1321" s="96">
        <f t="shared" si="3718"/>
        <v>2.5000000000000001E-2</v>
      </c>
      <c r="AJ1321" s="176">
        <f t="shared" si="3719"/>
        <v>1.2392000000000001</v>
      </c>
      <c r="AK1321" s="206"/>
      <c r="AL1321" s="176">
        <f t="shared" si="3720"/>
        <v>0</v>
      </c>
      <c r="AM1321" s="243"/>
      <c r="AN1321" s="176">
        <f t="shared" si="3721"/>
        <v>0</v>
      </c>
      <c r="AO1321" s="206"/>
      <c r="AP1321" s="96">
        <f t="shared" si="3722"/>
        <v>0</v>
      </c>
      <c r="AQ1321" s="188">
        <f t="shared" si="3723"/>
        <v>0</v>
      </c>
      <c r="AR1321" s="96">
        <f t="shared" si="3723"/>
        <v>0</v>
      </c>
      <c r="AS1321" s="96"/>
      <c r="AT1321" s="176">
        <f t="shared" si="3724"/>
        <v>0</v>
      </c>
      <c r="AU1321" s="206"/>
      <c r="AV1321" s="176">
        <f t="shared" si="3725"/>
        <v>0</v>
      </c>
      <c r="AW1321" s="206"/>
      <c r="AX1321" s="205">
        <f t="shared" si="3726"/>
        <v>0</v>
      </c>
      <c r="AY1321" s="188">
        <f t="shared" si="3727"/>
        <v>0</v>
      </c>
      <c r="AZ1321" s="96">
        <f t="shared" si="3727"/>
        <v>0</v>
      </c>
      <c r="BA1321" s="96">
        <f t="shared" si="3728"/>
        <v>0</v>
      </c>
      <c r="BB1321" s="96">
        <f t="shared" si="3729"/>
        <v>0</v>
      </c>
    </row>
    <row r="1322" spans="1:54">
      <c r="A1322" s="492">
        <v>810</v>
      </c>
      <c r="B1322" s="58" t="s">
        <v>153</v>
      </c>
      <c r="C1322" s="59"/>
      <c r="D1322" s="59"/>
      <c r="E1322" s="80"/>
      <c r="F1322" s="80"/>
      <c r="G1322" s="80"/>
      <c r="H1322" s="285"/>
      <c r="I1322" s="156"/>
      <c r="J1322" s="135"/>
      <c r="K1322" s="134"/>
      <c r="L1322" s="174"/>
      <c r="M1322" s="134"/>
      <c r="N1322" s="174"/>
      <c r="O1322" s="156"/>
      <c r="P1322" s="135"/>
      <c r="Q1322" s="132">
        <f t="shared" ref="Q1322:BB1322" si="3750">SUM(Q1316:Q1321)</f>
        <v>1.2159999999999997</v>
      </c>
      <c r="R1322" s="132">
        <f t="shared" si="3750"/>
        <v>39.542395999999997</v>
      </c>
      <c r="S1322" s="132">
        <f t="shared" si="3750"/>
        <v>0</v>
      </c>
      <c r="T1322" s="132">
        <f t="shared" si="3750"/>
        <v>0</v>
      </c>
      <c r="U1322" s="132">
        <f t="shared" si="3750"/>
        <v>0.16</v>
      </c>
      <c r="V1322" s="132">
        <f t="shared" si="3750"/>
        <v>4.8159999999999998</v>
      </c>
      <c r="W1322" s="132">
        <f t="shared" si="3750"/>
        <v>0</v>
      </c>
      <c r="X1322" s="132">
        <f t="shared" si="3750"/>
        <v>0</v>
      </c>
      <c r="Y1322" s="132">
        <f t="shared" si="3750"/>
        <v>0.16</v>
      </c>
      <c r="Z1322" s="132">
        <f t="shared" si="3750"/>
        <v>4.8159999999999998</v>
      </c>
      <c r="AA1322" s="132">
        <f t="shared" si="3750"/>
        <v>1.0559999999999998</v>
      </c>
      <c r="AB1322" s="132">
        <f t="shared" si="3750"/>
        <v>34.726396000000001</v>
      </c>
      <c r="AC1322" s="132">
        <f t="shared" si="3750"/>
        <v>0</v>
      </c>
      <c r="AD1322" s="132">
        <f t="shared" si="3750"/>
        <v>0</v>
      </c>
      <c r="AE1322" s="132">
        <f t="shared" si="3750"/>
        <v>0</v>
      </c>
      <c r="AF1322" s="132">
        <f t="shared" si="3750"/>
        <v>0</v>
      </c>
      <c r="AG1322" s="132">
        <f t="shared" si="3750"/>
        <v>1.0559999999999998</v>
      </c>
      <c r="AH1322" s="132">
        <f t="shared" si="3750"/>
        <v>34.726396000000001</v>
      </c>
      <c r="AI1322" s="132">
        <f t="shared" si="3750"/>
        <v>1.2159999999999997</v>
      </c>
      <c r="AJ1322" s="132">
        <f t="shared" si="3750"/>
        <v>39.542395999999997</v>
      </c>
      <c r="AK1322" s="132">
        <f t="shared" si="3750"/>
        <v>0</v>
      </c>
      <c r="AL1322" s="132">
        <f t="shared" si="3750"/>
        <v>0</v>
      </c>
      <c r="AM1322" s="132">
        <f t="shared" si="3750"/>
        <v>0</v>
      </c>
      <c r="AN1322" s="132">
        <f t="shared" si="3750"/>
        <v>0</v>
      </c>
      <c r="AO1322" s="132">
        <f t="shared" si="3750"/>
        <v>0</v>
      </c>
      <c r="AP1322" s="132">
        <f t="shared" si="3750"/>
        <v>0</v>
      </c>
      <c r="AQ1322" s="132">
        <f t="shared" si="3750"/>
        <v>0</v>
      </c>
      <c r="AR1322" s="132">
        <f t="shared" si="3750"/>
        <v>0</v>
      </c>
      <c r="AS1322" s="132">
        <f t="shared" si="3750"/>
        <v>0</v>
      </c>
      <c r="AT1322" s="132">
        <f t="shared" si="3750"/>
        <v>0</v>
      </c>
      <c r="AU1322" s="132">
        <f t="shared" si="3750"/>
        <v>0</v>
      </c>
      <c r="AV1322" s="132">
        <f t="shared" si="3750"/>
        <v>0</v>
      </c>
      <c r="AW1322" s="132">
        <f t="shared" si="3750"/>
        <v>0</v>
      </c>
      <c r="AX1322" s="132">
        <f t="shared" si="3750"/>
        <v>0</v>
      </c>
      <c r="AY1322" s="132">
        <f t="shared" si="3750"/>
        <v>0</v>
      </c>
      <c r="AZ1322" s="132">
        <f t="shared" si="3750"/>
        <v>0</v>
      </c>
      <c r="BA1322" s="132">
        <f t="shared" si="3750"/>
        <v>0</v>
      </c>
      <c r="BB1322" s="132">
        <f t="shared" si="3750"/>
        <v>0</v>
      </c>
    </row>
    <row r="1323" spans="1:54">
      <c r="A1323" s="492">
        <v>811</v>
      </c>
      <c r="B1323" s="13" t="s">
        <v>629</v>
      </c>
      <c r="C1323" s="52" t="s">
        <v>630</v>
      </c>
      <c r="D1323" s="52" t="s">
        <v>631</v>
      </c>
      <c r="E1323" s="31" t="s">
        <v>792</v>
      </c>
      <c r="F1323" s="310"/>
      <c r="G1323" s="32" t="s">
        <v>1060</v>
      </c>
      <c r="H1323" s="271" t="s">
        <v>359</v>
      </c>
      <c r="I1323" s="146"/>
      <c r="J1323" s="163">
        <v>50000</v>
      </c>
      <c r="K1323" s="61"/>
      <c r="L1323" s="163">
        <v>50000</v>
      </c>
      <c r="M1323" s="61"/>
      <c r="N1323" s="163"/>
      <c r="O1323" s="146"/>
      <c r="P1323" s="163"/>
      <c r="Q1323" s="121">
        <f t="shared" ref="Q1323:R1328" si="3751">SUM(AI1323+BA1323)</f>
        <v>0</v>
      </c>
      <c r="R1323" s="341">
        <f t="shared" si="3751"/>
        <v>0</v>
      </c>
      <c r="S1323" s="121"/>
      <c r="T1323" s="121">
        <f t="shared" ref="T1323:T1328" si="3752">J1323*S1323/1000</f>
        <v>0</v>
      </c>
      <c r="U1323" s="121"/>
      <c r="V1323" s="121">
        <f t="shared" ref="V1323:V1328" si="3753">J1323*U1323/1000</f>
        <v>0</v>
      </c>
      <c r="W1323" s="211"/>
      <c r="X1323" s="121">
        <f t="shared" ref="X1323:X1328" si="3754">J1323*W1323/1000</f>
        <v>0</v>
      </c>
      <c r="Y1323" s="190">
        <f t="shared" ref="Y1323:Z1328" si="3755">SUM(S1323+U1323+W1323)</f>
        <v>0</v>
      </c>
      <c r="Z1323" s="179">
        <f t="shared" si="3755"/>
        <v>0</v>
      </c>
      <c r="AA1323" s="211"/>
      <c r="AB1323" s="212">
        <f t="shared" ref="AB1323:AB1328" si="3756">L1323*AA1323/1000</f>
        <v>0</v>
      </c>
      <c r="AC1323" s="211"/>
      <c r="AD1323" s="212">
        <f t="shared" ref="AD1323:AD1328" si="3757">L1323*AC1323/1000</f>
        <v>0</v>
      </c>
      <c r="AE1323" s="211"/>
      <c r="AF1323" s="212">
        <f t="shared" ref="AF1323:AF1328" si="3758">L1323*AE1323/1000</f>
        <v>0</v>
      </c>
      <c r="AG1323" s="190">
        <f t="shared" ref="AG1323:AH1328" si="3759">SUM(AA1323+AC1323+AE1323)</f>
        <v>0</v>
      </c>
      <c r="AH1323" s="121">
        <f t="shared" si="3759"/>
        <v>0</v>
      </c>
      <c r="AI1323" s="121">
        <f t="shared" ref="AI1323:AI1328" si="3760">SUM(Y1323+AG1323)</f>
        <v>0</v>
      </c>
      <c r="AJ1323" s="179">
        <f t="shared" ref="AJ1323:AJ1328" si="3761">SUM(Z1323,AH1323)</f>
        <v>0</v>
      </c>
      <c r="AK1323" s="211"/>
      <c r="AL1323" s="179">
        <f t="shared" ref="AL1323:AL1328" si="3762">N1323*AK1323/1000</f>
        <v>0</v>
      </c>
      <c r="AM1323" s="246"/>
      <c r="AN1323" s="179">
        <f t="shared" ref="AN1323:AN1328" si="3763">N1323*AM1323/1000</f>
        <v>0</v>
      </c>
      <c r="AO1323" s="211"/>
      <c r="AP1323" s="121">
        <f t="shared" ref="AP1323:AP1328" si="3764">N1323*AO1323/1000</f>
        <v>0</v>
      </c>
      <c r="AQ1323" s="190">
        <f t="shared" ref="AQ1323:AR1328" si="3765">SUM(AK1323+AM1323+AO1323)</f>
        <v>0</v>
      </c>
      <c r="AR1323" s="121">
        <f t="shared" si="3765"/>
        <v>0</v>
      </c>
      <c r="AS1323" s="121"/>
      <c r="AT1323" s="179">
        <f t="shared" ref="AT1323:AT1328" si="3766">P1323*AS1323/1000</f>
        <v>0</v>
      </c>
      <c r="AU1323" s="211"/>
      <c r="AV1323" s="179">
        <f t="shared" ref="AV1323:AV1328" si="3767">P1323*AU1323/1000</f>
        <v>0</v>
      </c>
      <c r="AW1323" s="211"/>
      <c r="AX1323" s="212">
        <f t="shared" ref="AX1323:AX1328" si="3768">P1323*AW1323/1000</f>
        <v>0</v>
      </c>
      <c r="AY1323" s="190">
        <f t="shared" ref="AY1323:AZ1328" si="3769">SUM(AS1323+AU1323+AW1323)</f>
        <v>0</v>
      </c>
      <c r="AZ1323" s="121">
        <f t="shared" si="3769"/>
        <v>0</v>
      </c>
      <c r="BA1323" s="121">
        <f t="shared" ref="BA1323:BA1328" si="3770">SUM(AQ1323+AY1323)</f>
        <v>0</v>
      </c>
      <c r="BB1323" s="121">
        <f t="shared" ref="BB1323:BB1328" si="3771">SUM(AR1323,AZ1323)</f>
        <v>0</v>
      </c>
    </row>
    <row r="1324" spans="1:54">
      <c r="A1324" s="492">
        <v>812</v>
      </c>
      <c r="B1324" s="13"/>
      <c r="C1324" s="13"/>
      <c r="D1324" s="13" t="s">
        <v>683</v>
      </c>
      <c r="E1324" s="21" t="s">
        <v>1108</v>
      </c>
      <c r="F1324" s="45"/>
      <c r="G1324" s="22" t="s">
        <v>1061</v>
      </c>
      <c r="H1324" s="265" t="s">
        <v>359</v>
      </c>
      <c r="I1324" s="142"/>
      <c r="J1324" s="162">
        <v>130000</v>
      </c>
      <c r="K1324" s="54"/>
      <c r="L1324" s="162">
        <v>130000</v>
      </c>
      <c r="M1324" s="54"/>
      <c r="N1324" s="162"/>
      <c r="O1324" s="142"/>
      <c r="P1324" s="162"/>
      <c r="Q1324" s="96">
        <f t="shared" si="3751"/>
        <v>0</v>
      </c>
      <c r="R1324" s="337">
        <f t="shared" si="3751"/>
        <v>0</v>
      </c>
      <c r="S1324" s="96"/>
      <c r="T1324" s="96">
        <f t="shared" si="3752"/>
        <v>0</v>
      </c>
      <c r="U1324" s="96"/>
      <c r="V1324" s="96">
        <f t="shared" si="3753"/>
        <v>0</v>
      </c>
      <c r="W1324" s="206"/>
      <c r="X1324" s="96">
        <f t="shared" si="3754"/>
        <v>0</v>
      </c>
      <c r="Y1324" s="188">
        <f t="shared" si="3755"/>
        <v>0</v>
      </c>
      <c r="Z1324" s="176">
        <f t="shared" si="3755"/>
        <v>0</v>
      </c>
      <c r="AA1324" s="206"/>
      <c r="AB1324" s="205">
        <f t="shared" si="3756"/>
        <v>0</v>
      </c>
      <c r="AC1324" s="206"/>
      <c r="AD1324" s="205">
        <f t="shared" si="3757"/>
        <v>0</v>
      </c>
      <c r="AE1324" s="206"/>
      <c r="AF1324" s="205">
        <f t="shared" si="3758"/>
        <v>0</v>
      </c>
      <c r="AG1324" s="188">
        <f t="shared" si="3759"/>
        <v>0</v>
      </c>
      <c r="AH1324" s="96">
        <f t="shared" si="3759"/>
        <v>0</v>
      </c>
      <c r="AI1324" s="96">
        <f t="shared" si="3760"/>
        <v>0</v>
      </c>
      <c r="AJ1324" s="176">
        <f t="shared" si="3761"/>
        <v>0</v>
      </c>
      <c r="AK1324" s="206"/>
      <c r="AL1324" s="176">
        <f t="shared" si="3762"/>
        <v>0</v>
      </c>
      <c r="AM1324" s="243"/>
      <c r="AN1324" s="176">
        <f t="shared" si="3763"/>
        <v>0</v>
      </c>
      <c r="AO1324" s="206"/>
      <c r="AP1324" s="96">
        <f t="shared" si="3764"/>
        <v>0</v>
      </c>
      <c r="AQ1324" s="188">
        <f t="shared" si="3765"/>
        <v>0</v>
      </c>
      <c r="AR1324" s="96">
        <f t="shared" si="3765"/>
        <v>0</v>
      </c>
      <c r="AS1324" s="96"/>
      <c r="AT1324" s="176">
        <f t="shared" si="3766"/>
        <v>0</v>
      </c>
      <c r="AU1324" s="206"/>
      <c r="AV1324" s="176">
        <f t="shared" si="3767"/>
        <v>0</v>
      </c>
      <c r="AW1324" s="206"/>
      <c r="AX1324" s="205">
        <f t="shared" si="3768"/>
        <v>0</v>
      </c>
      <c r="AY1324" s="188">
        <f t="shared" si="3769"/>
        <v>0</v>
      </c>
      <c r="AZ1324" s="96">
        <f t="shared" si="3769"/>
        <v>0</v>
      </c>
      <c r="BA1324" s="96">
        <f t="shared" si="3770"/>
        <v>0</v>
      </c>
      <c r="BB1324" s="96">
        <f t="shared" si="3771"/>
        <v>0</v>
      </c>
    </row>
    <row r="1325" spans="1:54">
      <c r="A1325" s="492">
        <v>813</v>
      </c>
      <c r="B1325" s="13"/>
      <c r="C1325" s="13"/>
      <c r="D1325" s="13" t="s">
        <v>632</v>
      </c>
      <c r="E1325" s="21" t="s">
        <v>633</v>
      </c>
      <c r="F1325" s="45"/>
      <c r="G1325" s="22" t="s">
        <v>1061</v>
      </c>
      <c r="H1325" s="265" t="s">
        <v>359</v>
      </c>
      <c r="I1325" s="142"/>
      <c r="J1325" s="162">
        <v>250000</v>
      </c>
      <c r="K1325" s="54"/>
      <c r="L1325" s="162">
        <v>250000</v>
      </c>
      <c r="M1325" s="54"/>
      <c r="N1325" s="162"/>
      <c r="O1325" s="142"/>
      <c r="P1325" s="162"/>
      <c r="Q1325" s="96">
        <f t="shared" si="3751"/>
        <v>0</v>
      </c>
      <c r="R1325" s="337">
        <f t="shared" si="3751"/>
        <v>0</v>
      </c>
      <c r="S1325" s="96"/>
      <c r="T1325" s="96">
        <f t="shared" si="3752"/>
        <v>0</v>
      </c>
      <c r="U1325" s="96"/>
      <c r="V1325" s="96">
        <f t="shared" si="3753"/>
        <v>0</v>
      </c>
      <c r="W1325" s="206"/>
      <c r="X1325" s="96">
        <f t="shared" si="3754"/>
        <v>0</v>
      </c>
      <c r="Y1325" s="188">
        <f t="shared" si="3755"/>
        <v>0</v>
      </c>
      <c r="Z1325" s="176">
        <f t="shared" si="3755"/>
        <v>0</v>
      </c>
      <c r="AA1325" s="206"/>
      <c r="AB1325" s="205">
        <f t="shared" si="3756"/>
        <v>0</v>
      </c>
      <c r="AC1325" s="206"/>
      <c r="AD1325" s="205">
        <f t="shared" si="3757"/>
        <v>0</v>
      </c>
      <c r="AE1325" s="206"/>
      <c r="AF1325" s="205">
        <f t="shared" si="3758"/>
        <v>0</v>
      </c>
      <c r="AG1325" s="188">
        <f t="shared" si="3759"/>
        <v>0</v>
      </c>
      <c r="AH1325" s="96">
        <f t="shared" si="3759"/>
        <v>0</v>
      </c>
      <c r="AI1325" s="96">
        <f t="shared" si="3760"/>
        <v>0</v>
      </c>
      <c r="AJ1325" s="176">
        <f t="shared" si="3761"/>
        <v>0</v>
      </c>
      <c r="AK1325" s="206"/>
      <c r="AL1325" s="176">
        <f t="shared" si="3762"/>
        <v>0</v>
      </c>
      <c r="AM1325" s="243"/>
      <c r="AN1325" s="176">
        <f t="shared" si="3763"/>
        <v>0</v>
      </c>
      <c r="AO1325" s="206"/>
      <c r="AP1325" s="96">
        <f t="shared" si="3764"/>
        <v>0</v>
      </c>
      <c r="AQ1325" s="188">
        <f t="shared" si="3765"/>
        <v>0</v>
      </c>
      <c r="AR1325" s="96">
        <f t="shared" si="3765"/>
        <v>0</v>
      </c>
      <c r="AS1325" s="96"/>
      <c r="AT1325" s="176">
        <f t="shared" si="3766"/>
        <v>0</v>
      </c>
      <c r="AU1325" s="206"/>
      <c r="AV1325" s="176">
        <f t="shared" si="3767"/>
        <v>0</v>
      </c>
      <c r="AW1325" s="206"/>
      <c r="AX1325" s="205">
        <f t="shared" si="3768"/>
        <v>0</v>
      </c>
      <c r="AY1325" s="188">
        <f t="shared" si="3769"/>
        <v>0</v>
      </c>
      <c r="AZ1325" s="96">
        <f t="shared" si="3769"/>
        <v>0</v>
      </c>
      <c r="BA1325" s="96">
        <f t="shared" si="3770"/>
        <v>0</v>
      </c>
      <c r="BB1325" s="96">
        <f t="shared" si="3771"/>
        <v>0</v>
      </c>
    </row>
    <row r="1326" spans="1:54" ht="12.75" customHeight="1">
      <c r="A1326" s="492">
        <v>814</v>
      </c>
      <c r="B1326" s="13"/>
      <c r="C1326" s="13"/>
      <c r="D1326" s="13" t="s">
        <v>684</v>
      </c>
      <c r="E1326" s="21" t="s">
        <v>685</v>
      </c>
      <c r="F1326" s="45"/>
      <c r="G1326" s="22" t="s">
        <v>1061</v>
      </c>
      <c r="H1326" s="265" t="s">
        <v>359</v>
      </c>
      <c r="I1326" s="142"/>
      <c r="J1326" s="162">
        <v>300000</v>
      </c>
      <c r="K1326" s="54"/>
      <c r="L1326" s="162">
        <v>300000</v>
      </c>
      <c r="M1326" s="54"/>
      <c r="N1326" s="162"/>
      <c r="O1326" s="142"/>
      <c r="P1326" s="162"/>
      <c r="Q1326" s="96">
        <f t="shared" si="3751"/>
        <v>0</v>
      </c>
      <c r="R1326" s="337">
        <f t="shared" si="3751"/>
        <v>0</v>
      </c>
      <c r="S1326" s="96"/>
      <c r="T1326" s="96">
        <f t="shared" si="3752"/>
        <v>0</v>
      </c>
      <c r="U1326" s="96"/>
      <c r="V1326" s="96">
        <f t="shared" si="3753"/>
        <v>0</v>
      </c>
      <c r="W1326" s="206"/>
      <c r="X1326" s="96">
        <f t="shared" si="3754"/>
        <v>0</v>
      </c>
      <c r="Y1326" s="188">
        <f t="shared" si="3755"/>
        <v>0</v>
      </c>
      <c r="Z1326" s="176">
        <f t="shared" si="3755"/>
        <v>0</v>
      </c>
      <c r="AA1326" s="206"/>
      <c r="AB1326" s="205">
        <f t="shared" si="3756"/>
        <v>0</v>
      </c>
      <c r="AC1326" s="206"/>
      <c r="AD1326" s="205">
        <f t="shared" si="3757"/>
        <v>0</v>
      </c>
      <c r="AE1326" s="206"/>
      <c r="AF1326" s="205">
        <f t="shared" si="3758"/>
        <v>0</v>
      </c>
      <c r="AG1326" s="188">
        <f t="shared" si="3759"/>
        <v>0</v>
      </c>
      <c r="AH1326" s="96">
        <f t="shared" si="3759"/>
        <v>0</v>
      </c>
      <c r="AI1326" s="96">
        <f t="shared" si="3760"/>
        <v>0</v>
      </c>
      <c r="AJ1326" s="176">
        <f t="shared" si="3761"/>
        <v>0</v>
      </c>
      <c r="AK1326" s="206"/>
      <c r="AL1326" s="176">
        <f t="shared" si="3762"/>
        <v>0</v>
      </c>
      <c r="AM1326" s="243"/>
      <c r="AN1326" s="176">
        <f t="shared" si="3763"/>
        <v>0</v>
      </c>
      <c r="AO1326" s="206"/>
      <c r="AP1326" s="96">
        <f t="shared" si="3764"/>
        <v>0</v>
      </c>
      <c r="AQ1326" s="188">
        <f t="shared" si="3765"/>
        <v>0</v>
      </c>
      <c r="AR1326" s="96">
        <f t="shared" si="3765"/>
        <v>0</v>
      </c>
      <c r="AS1326" s="96"/>
      <c r="AT1326" s="176">
        <f t="shared" si="3766"/>
        <v>0</v>
      </c>
      <c r="AU1326" s="206"/>
      <c r="AV1326" s="176">
        <f t="shared" si="3767"/>
        <v>0</v>
      </c>
      <c r="AW1326" s="206"/>
      <c r="AX1326" s="205">
        <f t="shared" si="3768"/>
        <v>0</v>
      </c>
      <c r="AY1326" s="188">
        <f t="shared" si="3769"/>
        <v>0</v>
      </c>
      <c r="AZ1326" s="96">
        <f t="shared" si="3769"/>
        <v>0</v>
      </c>
      <c r="BA1326" s="96">
        <f t="shared" si="3770"/>
        <v>0</v>
      </c>
      <c r="BB1326" s="96">
        <f t="shared" si="3771"/>
        <v>0</v>
      </c>
    </row>
    <row r="1327" spans="1:54">
      <c r="A1327" s="492">
        <v>815</v>
      </c>
      <c r="B1327" s="13"/>
      <c r="C1327" s="13"/>
      <c r="D1327" s="13" t="s">
        <v>634</v>
      </c>
      <c r="E1327" s="21" t="s">
        <v>635</v>
      </c>
      <c r="F1327" s="45"/>
      <c r="G1327" s="22" t="s">
        <v>1061</v>
      </c>
      <c r="H1327" s="265" t="s">
        <v>359</v>
      </c>
      <c r="I1327" s="479"/>
      <c r="J1327" s="478">
        <v>1100000</v>
      </c>
      <c r="K1327" s="477"/>
      <c r="L1327" s="478">
        <v>1100000</v>
      </c>
      <c r="M1327" s="477"/>
      <c r="N1327" s="478"/>
      <c r="O1327" s="479"/>
      <c r="P1327" s="478"/>
      <c r="Q1327" s="96">
        <f t="shared" si="3751"/>
        <v>0</v>
      </c>
      <c r="R1327" s="337">
        <f t="shared" si="3751"/>
        <v>0</v>
      </c>
      <c r="S1327" s="96"/>
      <c r="T1327" s="96">
        <f t="shared" si="3752"/>
        <v>0</v>
      </c>
      <c r="U1327" s="96"/>
      <c r="V1327" s="96">
        <f t="shared" si="3753"/>
        <v>0</v>
      </c>
      <c r="W1327" s="206"/>
      <c r="X1327" s="96">
        <f t="shared" si="3754"/>
        <v>0</v>
      </c>
      <c r="Y1327" s="188">
        <f t="shared" si="3755"/>
        <v>0</v>
      </c>
      <c r="Z1327" s="176">
        <f t="shared" si="3755"/>
        <v>0</v>
      </c>
      <c r="AA1327" s="206"/>
      <c r="AB1327" s="205">
        <f t="shared" si="3756"/>
        <v>0</v>
      </c>
      <c r="AC1327" s="206"/>
      <c r="AD1327" s="205">
        <f t="shared" si="3757"/>
        <v>0</v>
      </c>
      <c r="AE1327" s="206"/>
      <c r="AF1327" s="205">
        <f t="shared" si="3758"/>
        <v>0</v>
      </c>
      <c r="AG1327" s="188">
        <f t="shared" si="3759"/>
        <v>0</v>
      </c>
      <c r="AH1327" s="96">
        <f t="shared" si="3759"/>
        <v>0</v>
      </c>
      <c r="AI1327" s="96">
        <f t="shared" si="3760"/>
        <v>0</v>
      </c>
      <c r="AJ1327" s="176">
        <f t="shared" si="3761"/>
        <v>0</v>
      </c>
      <c r="AK1327" s="206"/>
      <c r="AL1327" s="176">
        <f t="shared" si="3762"/>
        <v>0</v>
      </c>
      <c r="AM1327" s="243"/>
      <c r="AN1327" s="176">
        <f t="shared" si="3763"/>
        <v>0</v>
      </c>
      <c r="AO1327" s="206"/>
      <c r="AP1327" s="96">
        <f t="shared" si="3764"/>
        <v>0</v>
      </c>
      <c r="AQ1327" s="188">
        <f t="shared" si="3765"/>
        <v>0</v>
      </c>
      <c r="AR1327" s="96">
        <f t="shared" si="3765"/>
        <v>0</v>
      </c>
      <c r="AS1327" s="96"/>
      <c r="AT1327" s="176">
        <f t="shared" si="3766"/>
        <v>0</v>
      </c>
      <c r="AU1327" s="206"/>
      <c r="AV1327" s="176">
        <f t="shared" si="3767"/>
        <v>0</v>
      </c>
      <c r="AW1327" s="206"/>
      <c r="AX1327" s="205">
        <f t="shared" si="3768"/>
        <v>0</v>
      </c>
      <c r="AY1327" s="188">
        <f t="shared" si="3769"/>
        <v>0</v>
      </c>
      <c r="AZ1327" s="96">
        <f t="shared" si="3769"/>
        <v>0</v>
      </c>
      <c r="BA1327" s="96">
        <f t="shared" si="3770"/>
        <v>0</v>
      </c>
      <c r="BB1327" s="96">
        <f t="shared" si="3771"/>
        <v>0</v>
      </c>
    </row>
    <row r="1328" spans="1:54">
      <c r="A1328" s="492">
        <v>816</v>
      </c>
      <c r="B1328" s="13"/>
      <c r="C1328" s="24"/>
      <c r="D1328" s="24" t="s">
        <v>1033</v>
      </c>
      <c r="E1328" s="50" t="s">
        <v>985</v>
      </c>
      <c r="F1328" s="64"/>
      <c r="G1328" s="37" t="s">
        <v>1057</v>
      </c>
      <c r="H1328" s="272"/>
      <c r="I1328" s="144"/>
      <c r="J1328" s="166">
        <v>100000</v>
      </c>
      <c r="K1328" s="57"/>
      <c r="L1328" s="166">
        <v>100000</v>
      </c>
      <c r="M1328" s="57"/>
      <c r="N1328" s="166"/>
      <c r="O1328" s="144"/>
      <c r="P1328" s="166"/>
      <c r="Q1328" s="94">
        <f t="shared" si="3751"/>
        <v>0</v>
      </c>
      <c r="R1328" s="338">
        <f t="shared" si="3751"/>
        <v>0</v>
      </c>
      <c r="S1328" s="94"/>
      <c r="T1328" s="94">
        <f t="shared" si="3752"/>
        <v>0</v>
      </c>
      <c r="U1328" s="94"/>
      <c r="V1328" s="94">
        <f t="shared" si="3753"/>
        <v>0</v>
      </c>
      <c r="W1328" s="213"/>
      <c r="X1328" s="94">
        <f t="shared" si="3754"/>
        <v>0</v>
      </c>
      <c r="Y1328" s="192">
        <f t="shared" si="3755"/>
        <v>0</v>
      </c>
      <c r="Z1328" s="180">
        <f t="shared" si="3755"/>
        <v>0</v>
      </c>
      <c r="AA1328" s="213"/>
      <c r="AB1328" s="214">
        <f t="shared" si="3756"/>
        <v>0</v>
      </c>
      <c r="AC1328" s="213"/>
      <c r="AD1328" s="214">
        <f t="shared" si="3757"/>
        <v>0</v>
      </c>
      <c r="AE1328" s="213"/>
      <c r="AF1328" s="214">
        <f t="shared" si="3758"/>
        <v>0</v>
      </c>
      <c r="AG1328" s="192">
        <f t="shared" si="3759"/>
        <v>0</v>
      </c>
      <c r="AH1328" s="94">
        <f t="shared" si="3759"/>
        <v>0</v>
      </c>
      <c r="AI1328" s="94">
        <f t="shared" si="3760"/>
        <v>0</v>
      </c>
      <c r="AJ1328" s="180">
        <f t="shared" si="3761"/>
        <v>0</v>
      </c>
      <c r="AK1328" s="213"/>
      <c r="AL1328" s="180">
        <f t="shared" si="3762"/>
        <v>0</v>
      </c>
      <c r="AM1328" s="247"/>
      <c r="AN1328" s="180">
        <f t="shared" si="3763"/>
        <v>0</v>
      </c>
      <c r="AO1328" s="213"/>
      <c r="AP1328" s="94">
        <f t="shared" si="3764"/>
        <v>0</v>
      </c>
      <c r="AQ1328" s="192">
        <f t="shared" si="3765"/>
        <v>0</v>
      </c>
      <c r="AR1328" s="94">
        <f t="shared" si="3765"/>
        <v>0</v>
      </c>
      <c r="AS1328" s="94"/>
      <c r="AT1328" s="180">
        <f t="shared" si="3766"/>
        <v>0</v>
      </c>
      <c r="AU1328" s="213"/>
      <c r="AV1328" s="180">
        <f t="shared" si="3767"/>
        <v>0</v>
      </c>
      <c r="AW1328" s="213"/>
      <c r="AX1328" s="214">
        <f t="shared" si="3768"/>
        <v>0</v>
      </c>
      <c r="AY1328" s="192">
        <f t="shared" si="3769"/>
        <v>0</v>
      </c>
      <c r="AZ1328" s="94">
        <f t="shared" si="3769"/>
        <v>0</v>
      </c>
      <c r="BA1328" s="94">
        <f t="shared" si="3770"/>
        <v>0</v>
      </c>
      <c r="BB1328" s="94">
        <f t="shared" si="3771"/>
        <v>0</v>
      </c>
    </row>
    <row r="1329" spans="1:54">
      <c r="A1329" s="492">
        <v>817</v>
      </c>
      <c r="B1329" s="200" t="s">
        <v>153</v>
      </c>
      <c r="C1329" s="365"/>
      <c r="D1329" s="365"/>
      <c r="E1329" s="59"/>
      <c r="F1329" s="59"/>
      <c r="G1329" s="59"/>
      <c r="H1329" s="279"/>
      <c r="I1329" s="156"/>
      <c r="J1329" s="135"/>
      <c r="K1329" s="81"/>
      <c r="L1329" s="67"/>
      <c r="M1329" s="81"/>
      <c r="N1329" s="67"/>
      <c r="O1329" s="156"/>
      <c r="P1329" s="135"/>
      <c r="Q1329" s="126">
        <f t="shared" ref="Q1329:BB1329" si="3772">SUM(Q1323:Q1328)</f>
        <v>0</v>
      </c>
      <c r="R1329" s="126">
        <f t="shared" si="3772"/>
        <v>0</v>
      </c>
      <c r="S1329" s="126">
        <f t="shared" si="3772"/>
        <v>0</v>
      </c>
      <c r="T1329" s="126">
        <f t="shared" si="3772"/>
        <v>0</v>
      </c>
      <c r="U1329" s="126">
        <f t="shared" si="3772"/>
        <v>0</v>
      </c>
      <c r="V1329" s="126">
        <f t="shared" si="3772"/>
        <v>0</v>
      </c>
      <c r="W1329" s="126">
        <f t="shared" si="3772"/>
        <v>0</v>
      </c>
      <c r="X1329" s="126">
        <f t="shared" si="3772"/>
        <v>0</v>
      </c>
      <c r="Y1329" s="126">
        <f t="shared" si="3772"/>
        <v>0</v>
      </c>
      <c r="Z1329" s="126">
        <f t="shared" si="3772"/>
        <v>0</v>
      </c>
      <c r="AA1329" s="126">
        <f t="shared" si="3772"/>
        <v>0</v>
      </c>
      <c r="AB1329" s="126">
        <f t="shared" si="3772"/>
        <v>0</v>
      </c>
      <c r="AC1329" s="126">
        <f t="shared" si="3772"/>
        <v>0</v>
      </c>
      <c r="AD1329" s="126">
        <f t="shared" si="3772"/>
        <v>0</v>
      </c>
      <c r="AE1329" s="126">
        <f t="shared" si="3772"/>
        <v>0</v>
      </c>
      <c r="AF1329" s="126">
        <f t="shared" si="3772"/>
        <v>0</v>
      </c>
      <c r="AG1329" s="126">
        <f t="shared" si="3772"/>
        <v>0</v>
      </c>
      <c r="AH1329" s="126">
        <f t="shared" si="3772"/>
        <v>0</v>
      </c>
      <c r="AI1329" s="126">
        <f t="shared" si="3772"/>
        <v>0</v>
      </c>
      <c r="AJ1329" s="126">
        <f t="shared" si="3772"/>
        <v>0</v>
      </c>
      <c r="AK1329" s="126">
        <f t="shared" si="3772"/>
        <v>0</v>
      </c>
      <c r="AL1329" s="126">
        <f t="shared" si="3772"/>
        <v>0</v>
      </c>
      <c r="AM1329" s="126">
        <f t="shared" si="3772"/>
        <v>0</v>
      </c>
      <c r="AN1329" s="126">
        <f t="shared" si="3772"/>
        <v>0</v>
      </c>
      <c r="AO1329" s="126">
        <f t="shared" si="3772"/>
        <v>0</v>
      </c>
      <c r="AP1329" s="126">
        <f t="shared" si="3772"/>
        <v>0</v>
      </c>
      <c r="AQ1329" s="126">
        <f t="shared" si="3772"/>
        <v>0</v>
      </c>
      <c r="AR1329" s="126">
        <f t="shared" si="3772"/>
        <v>0</v>
      </c>
      <c r="AS1329" s="126">
        <f t="shared" si="3772"/>
        <v>0</v>
      </c>
      <c r="AT1329" s="126">
        <f t="shared" si="3772"/>
        <v>0</v>
      </c>
      <c r="AU1329" s="126">
        <f t="shared" si="3772"/>
        <v>0</v>
      </c>
      <c r="AV1329" s="126">
        <f t="shared" si="3772"/>
        <v>0</v>
      </c>
      <c r="AW1329" s="126">
        <f t="shared" si="3772"/>
        <v>0</v>
      </c>
      <c r="AX1329" s="126">
        <f t="shared" si="3772"/>
        <v>0</v>
      </c>
      <c r="AY1329" s="126">
        <f t="shared" si="3772"/>
        <v>0</v>
      </c>
      <c r="AZ1329" s="126">
        <f t="shared" si="3772"/>
        <v>0</v>
      </c>
      <c r="BA1329" s="126">
        <f t="shared" si="3772"/>
        <v>0</v>
      </c>
      <c r="BB1329" s="126">
        <f t="shared" si="3772"/>
        <v>0</v>
      </c>
    </row>
    <row r="1330" spans="1:54">
      <c r="A1330" s="492">
        <v>301</v>
      </c>
      <c r="B1330" s="13" t="s">
        <v>1760</v>
      </c>
      <c r="C1330" s="13" t="s">
        <v>1761</v>
      </c>
      <c r="D1330" s="13"/>
      <c r="E1330" s="21" t="s">
        <v>1762</v>
      </c>
      <c r="F1330" s="253"/>
      <c r="G1330" s="23"/>
      <c r="H1330" s="265" t="s">
        <v>358</v>
      </c>
      <c r="I1330" s="142"/>
      <c r="J1330" s="163">
        <v>1834</v>
      </c>
      <c r="K1330" s="54"/>
      <c r="L1330" s="163">
        <v>1858</v>
      </c>
      <c r="M1330" s="54"/>
      <c r="N1330" s="163"/>
      <c r="O1330" s="142"/>
      <c r="P1330" s="163"/>
      <c r="Q1330" s="96">
        <f t="shared" ref="Q1330:R1332" si="3773">SUM(AI1330+BA1330)</f>
        <v>448</v>
      </c>
      <c r="R1330" s="337">
        <f t="shared" si="3773"/>
        <v>824.31999999999994</v>
      </c>
      <c r="S1330" s="96">
        <v>112</v>
      </c>
      <c r="T1330" s="96">
        <f>J1330*S1330/1000</f>
        <v>205.40799999999999</v>
      </c>
      <c r="U1330" s="96">
        <v>112</v>
      </c>
      <c r="V1330" s="176">
        <f>J1330*U1330/1000</f>
        <v>205.40799999999999</v>
      </c>
      <c r="W1330" s="206">
        <v>112</v>
      </c>
      <c r="X1330" s="205">
        <f>J1330*W1330/1000</f>
        <v>205.40799999999999</v>
      </c>
      <c r="Y1330" s="188">
        <f t="shared" ref="Y1330:Z1332" si="3774">SUM(S1330+U1330+W1330)</f>
        <v>336</v>
      </c>
      <c r="Z1330" s="176">
        <f t="shared" si="3774"/>
        <v>616.22399999999993</v>
      </c>
      <c r="AA1330" s="206">
        <v>112</v>
      </c>
      <c r="AB1330" s="205">
        <f>L1330*AA1330/1000</f>
        <v>208.096</v>
      </c>
      <c r="AC1330" s="206"/>
      <c r="AD1330" s="176">
        <f>L1330*AC1330/1000</f>
        <v>0</v>
      </c>
      <c r="AE1330" s="206"/>
      <c r="AF1330" s="219">
        <f>L1330*AE1330/1000</f>
        <v>0</v>
      </c>
      <c r="AG1330" s="188">
        <f t="shared" ref="AG1330:AH1332" si="3775">SUM(AA1330+AC1330+AE1330)</f>
        <v>112</v>
      </c>
      <c r="AH1330" s="96">
        <f t="shared" si="3775"/>
        <v>208.096</v>
      </c>
      <c r="AI1330" s="96">
        <f>SUM(Y1330+AG1330)</f>
        <v>448</v>
      </c>
      <c r="AJ1330" s="176">
        <f>SUM(Z1330,AH1330)</f>
        <v>824.31999999999994</v>
      </c>
      <c r="AK1330" s="206"/>
      <c r="AL1330" s="176">
        <f>N1330*AK1330/1000</f>
        <v>0</v>
      </c>
      <c r="AM1330" s="243"/>
      <c r="AN1330" s="176">
        <f>N1330*AM1330/1000</f>
        <v>0</v>
      </c>
      <c r="AO1330" s="206"/>
      <c r="AP1330" s="205">
        <f>N1330*AO1330/1000</f>
        <v>0</v>
      </c>
      <c r="AQ1330" s="188">
        <f t="shared" ref="AQ1330:AR1332" si="3776">SUM(AK1330+AM1330+AO1330)</f>
        <v>0</v>
      </c>
      <c r="AR1330" s="96">
        <f t="shared" si="3776"/>
        <v>0</v>
      </c>
      <c r="AS1330" s="96"/>
      <c r="AT1330" s="176">
        <f>P1330*AS1330/1000</f>
        <v>0</v>
      </c>
      <c r="AU1330" s="206"/>
      <c r="AV1330" s="176">
        <f>P1330*AU1330/1000</f>
        <v>0</v>
      </c>
      <c r="AW1330" s="206"/>
      <c r="AX1330" s="205">
        <f>P1330*AW1330/1000</f>
        <v>0</v>
      </c>
      <c r="AY1330" s="188">
        <f t="shared" ref="AY1330:AZ1332" si="3777">SUM(AS1330+AU1330+AW1330)</f>
        <v>0</v>
      </c>
      <c r="AZ1330" s="96">
        <f t="shared" si="3777"/>
        <v>0</v>
      </c>
      <c r="BA1330" s="96">
        <f>SUM(AQ1330+AY1330)</f>
        <v>0</v>
      </c>
      <c r="BB1330" s="96">
        <f>SUM(AR1330,AZ1330)</f>
        <v>0</v>
      </c>
    </row>
    <row r="1331" spans="1:54">
      <c r="A1331" s="492">
        <v>302</v>
      </c>
      <c r="B1331" s="13"/>
      <c r="C1331" s="13"/>
      <c r="D1331" s="13"/>
      <c r="E1331" s="92" t="s">
        <v>1763</v>
      </c>
      <c r="F1331" s="549"/>
      <c r="G1331" s="93"/>
      <c r="H1331" s="275" t="s">
        <v>358</v>
      </c>
      <c r="I1331" s="155"/>
      <c r="J1331" s="168">
        <v>6638</v>
      </c>
      <c r="K1331" s="78"/>
      <c r="L1331" s="168">
        <v>6638</v>
      </c>
      <c r="M1331" s="78"/>
      <c r="N1331" s="168"/>
      <c r="O1331" s="155"/>
      <c r="P1331" s="168"/>
      <c r="Q1331" s="131">
        <f t="shared" si="3773"/>
        <v>0</v>
      </c>
      <c r="R1331" s="346">
        <f t="shared" si="3773"/>
        <v>0</v>
      </c>
      <c r="S1331" s="131"/>
      <c r="T1331" s="131">
        <f>J1331*S1331/1000</f>
        <v>0</v>
      </c>
      <c r="U1331" s="131"/>
      <c r="V1331" s="185">
        <f>J1331*U1331/1000</f>
        <v>0</v>
      </c>
      <c r="W1331" s="224"/>
      <c r="X1331" s="225">
        <f>L1331*W1331/1000</f>
        <v>0</v>
      </c>
      <c r="Y1331" s="198">
        <f t="shared" si="3774"/>
        <v>0</v>
      </c>
      <c r="Z1331" s="185">
        <f t="shared" si="3774"/>
        <v>0</v>
      </c>
      <c r="AA1331" s="224"/>
      <c r="AB1331" s="225">
        <f>L1331*AA1331/1000</f>
        <v>0</v>
      </c>
      <c r="AC1331" s="224"/>
      <c r="AD1331" s="185">
        <f>L1331*AC1331/1000</f>
        <v>0</v>
      </c>
      <c r="AE1331" s="224"/>
      <c r="AF1331" s="225">
        <f>L1331*AE1331/1000</f>
        <v>0</v>
      </c>
      <c r="AG1331" s="198">
        <f t="shared" si="3775"/>
        <v>0</v>
      </c>
      <c r="AH1331" s="131">
        <f t="shared" si="3775"/>
        <v>0</v>
      </c>
      <c r="AI1331" s="131">
        <f>SUM(Y1331+AG1331)</f>
        <v>0</v>
      </c>
      <c r="AJ1331" s="185">
        <f>SUM(Z1331,AH1331)</f>
        <v>0</v>
      </c>
      <c r="AK1331" s="224"/>
      <c r="AL1331" s="185">
        <f>N1331*AK1331/1000</f>
        <v>0</v>
      </c>
      <c r="AM1331" s="248"/>
      <c r="AN1331" s="185">
        <f>N1331*AM1331/1000</f>
        <v>0</v>
      </c>
      <c r="AO1331" s="224"/>
      <c r="AP1331" s="225">
        <f>N1331*AO1331/1000</f>
        <v>0</v>
      </c>
      <c r="AQ1331" s="198">
        <f t="shared" si="3776"/>
        <v>0</v>
      </c>
      <c r="AR1331" s="131">
        <f t="shared" si="3776"/>
        <v>0</v>
      </c>
      <c r="AS1331" s="131"/>
      <c r="AT1331" s="185">
        <f>P1331*AS1331/1000</f>
        <v>0</v>
      </c>
      <c r="AU1331" s="224"/>
      <c r="AV1331" s="185">
        <f>P1331*AU1331/1000</f>
        <v>0</v>
      </c>
      <c r="AW1331" s="224"/>
      <c r="AX1331" s="225">
        <f>P1331*AW1331/1000</f>
        <v>0</v>
      </c>
      <c r="AY1331" s="198">
        <f t="shared" si="3777"/>
        <v>0</v>
      </c>
      <c r="AZ1331" s="131">
        <f t="shared" si="3777"/>
        <v>0</v>
      </c>
      <c r="BA1331" s="131">
        <f>SUM(AQ1331+AY1331)</f>
        <v>0</v>
      </c>
      <c r="BB1331" s="131">
        <f>SUM(AR1331,AZ1331)</f>
        <v>0</v>
      </c>
    </row>
    <row r="1332" spans="1:54">
      <c r="A1332" s="492">
        <v>302</v>
      </c>
      <c r="B1332" s="13"/>
      <c r="C1332" s="13"/>
      <c r="D1332" s="13"/>
      <c r="E1332" s="92" t="s">
        <v>1764</v>
      </c>
      <c r="F1332" s="549"/>
      <c r="G1332" s="93"/>
      <c r="H1332" s="275" t="s">
        <v>358</v>
      </c>
      <c r="I1332" s="155"/>
      <c r="J1332" s="168">
        <v>5718</v>
      </c>
      <c r="K1332" s="78"/>
      <c r="L1332" s="168">
        <v>5718</v>
      </c>
      <c r="M1332" s="78"/>
      <c r="N1332" s="168"/>
      <c r="O1332" s="155"/>
      <c r="P1332" s="168"/>
      <c r="Q1332" s="131">
        <f t="shared" si="3773"/>
        <v>0</v>
      </c>
      <c r="R1332" s="346">
        <f t="shared" si="3773"/>
        <v>0</v>
      </c>
      <c r="S1332" s="131"/>
      <c r="T1332" s="131">
        <f>J1332*S1332/1000</f>
        <v>0</v>
      </c>
      <c r="U1332" s="131"/>
      <c r="V1332" s="185">
        <f>J1332*U1332/1000</f>
        <v>0</v>
      </c>
      <c r="W1332" s="224"/>
      <c r="X1332" s="225">
        <f>L1332*W1332/1000</f>
        <v>0</v>
      </c>
      <c r="Y1332" s="198">
        <f t="shared" si="3774"/>
        <v>0</v>
      </c>
      <c r="Z1332" s="185">
        <f t="shared" si="3774"/>
        <v>0</v>
      </c>
      <c r="AA1332" s="224"/>
      <c r="AB1332" s="225">
        <f>L1332*AA1332/1000</f>
        <v>0</v>
      </c>
      <c r="AC1332" s="224"/>
      <c r="AD1332" s="185">
        <f>L1332*AC1332/1000</f>
        <v>0</v>
      </c>
      <c r="AE1332" s="224"/>
      <c r="AF1332" s="225">
        <f>L1332*AE1332/1000</f>
        <v>0</v>
      </c>
      <c r="AG1332" s="198">
        <f t="shared" si="3775"/>
        <v>0</v>
      </c>
      <c r="AH1332" s="131">
        <f t="shared" si="3775"/>
        <v>0</v>
      </c>
      <c r="AI1332" s="131">
        <f>SUM(Y1332+AG1332)</f>
        <v>0</v>
      </c>
      <c r="AJ1332" s="185">
        <f>SUM(Z1332,AH1332)</f>
        <v>0</v>
      </c>
      <c r="AK1332" s="224"/>
      <c r="AL1332" s="185">
        <f>N1332*AK1332/1000</f>
        <v>0</v>
      </c>
      <c r="AM1332" s="248"/>
      <c r="AN1332" s="185">
        <f>N1332*AM1332/1000</f>
        <v>0</v>
      </c>
      <c r="AO1332" s="224"/>
      <c r="AP1332" s="225">
        <f>N1332*AO1332/1000</f>
        <v>0</v>
      </c>
      <c r="AQ1332" s="198">
        <f t="shared" si="3776"/>
        <v>0</v>
      </c>
      <c r="AR1332" s="131">
        <f t="shared" si="3776"/>
        <v>0</v>
      </c>
      <c r="AS1332" s="131"/>
      <c r="AT1332" s="185">
        <f>P1332*AS1332/1000</f>
        <v>0</v>
      </c>
      <c r="AU1332" s="224"/>
      <c r="AV1332" s="185">
        <f>P1332*AU1332/1000</f>
        <v>0</v>
      </c>
      <c r="AW1332" s="224"/>
      <c r="AX1332" s="225">
        <f>P1332*AW1332/1000</f>
        <v>0</v>
      </c>
      <c r="AY1332" s="198">
        <f t="shared" si="3777"/>
        <v>0</v>
      </c>
      <c r="AZ1332" s="131">
        <f t="shared" si="3777"/>
        <v>0</v>
      </c>
      <c r="BA1332" s="131">
        <f>SUM(AQ1332+AY1332)</f>
        <v>0</v>
      </c>
      <c r="BB1332" s="131">
        <f>SUM(AR1332,AZ1332)</f>
        <v>0</v>
      </c>
    </row>
    <row r="1333" spans="1:54">
      <c r="A1333" s="492">
        <v>303</v>
      </c>
      <c r="B1333" s="58" t="s">
        <v>153</v>
      </c>
      <c r="C1333" s="59"/>
      <c r="D1333" s="59"/>
      <c r="E1333" s="59"/>
      <c r="F1333" s="59"/>
      <c r="G1333" s="59"/>
      <c r="H1333" s="279"/>
      <c r="I1333" s="154"/>
      <c r="J1333" s="103"/>
      <c r="K1333" s="77"/>
      <c r="L1333" s="60"/>
      <c r="M1333" s="77"/>
      <c r="N1333" s="60"/>
      <c r="O1333" s="154"/>
      <c r="P1333" s="103"/>
      <c r="Q1333" s="126">
        <f t="shared" ref="Q1333:BB1333" si="3778">SUM(Q1330:Q1332)</f>
        <v>448</v>
      </c>
      <c r="R1333" s="126">
        <f t="shared" si="3778"/>
        <v>824.31999999999994</v>
      </c>
      <c r="S1333" s="126">
        <f t="shared" si="3778"/>
        <v>112</v>
      </c>
      <c r="T1333" s="126">
        <f t="shared" si="3778"/>
        <v>205.40799999999999</v>
      </c>
      <c r="U1333" s="126">
        <f t="shared" si="3778"/>
        <v>112</v>
      </c>
      <c r="V1333" s="126">
        <f t="shared" si="3778"/>
        <v>205.40799999999999</v>
      </c>
      <c r="W1333" s="126">
        <f t="shared" si="3778"/>
        <v>112</v>
      </c>
      <c r="X1333" s="126">
        <f t="shared" si="3778"/>
        <v>205.40799999999999</v>
      </c>
      <c r="Y1333" s="126">
        <f t="shared" si="3778"/>
        <v>336</v>
      </c>
      <c r="Z1333" s="126">
        <f t="shared" si="3778"/>
        <v>616.22399999999993</v>
      </c>
      <c r="AA1333" s="126">
        <f t="shared" si="3778"/>
        <v>112</v>
      </c>
      <c r="AB1333" s="126">
        <f t="shared" si="3778"/>
        <v>208.096</v>
      </c>
      <c r="AC1333" s="126">
        <f t="shared" si="3778"/>
        <v>0</v>
      </c>
      <c r="AD1333" s="126">
        <f t="shared" si="3778"/>
        <v>0</v>
      </c>
      <c r="AE1333" s="126">
        <f t="shared" si="3778"/>
        <v>0</v>
      </c>
      <c r="AF1333" s="126">
        <f t="shared" si="3778"/>
        <v>0</v>
      </c>
      <c r="AG1333" s="126">
        <f t="shared" si="3778"/>
        <v>112</v>
      </c>
      <c r="AH1333" s="126">
        <f t="shared" si="3778"/>
        <v>208.096</v>
      </c>
      <c r="AI1333" s="126">
        <f t="shared" si="3778"/>
        <v>448</v>
      </c>
      <c r="AJ1333" s="126">
        <f t="shared" si="3778"/>
        <v>824.31999999999994</v>
      </c>
      <c r="AK1333" s="126">
        <f t="shared" si="3778"/>
        <v>0</v>
      </c>
      <c r="AL1333" s="126">
        <f t="shared" si="3778"/>
        <v>0</v>
      </c>
      <c r="AM1333" s="126">
        <f t="shared" si="3778"/>
        <v>0</v>
      </c>
      <c r="AN1333" s="126">
        <f t="shared" si="3778"/>
        <v>0</v>
      </c>
      <c r="AO1333" s="126">
        <f t="shared" si="3778"/>
        <v>0</v>
      </c>
      <c r="AP1333" s="126">
        <f t="shared" si="3778"/>
        <v>0</v>
      </c>
      <c r="AQ1333" s="126">
        <f t="shared" si="3778"/>
        <v>0</v>
      </c>
      <c r="AR1333" s="126">
        <f t="shared" si="3778"/>
        <v>0</v>
      </c>
      <c r="AS1333" s="126">
        <f t="shared" si="3778"/>
        <v>0</v>
      </c>
      <c r="AT1333" s="126">
        <f t="shared" si="3778"/>
        <v>0</v>
      </c>
      <c r="AU1333" s="126">
        <f t="shared" si="3778"/>
        <v>0</v>
      </c>
      <c r="AV1333" s="126">
        <f t="shared" si="3778"/>
        <v>0</v>
      </c>
      <c r="AW1333" s="126">
        <f t="shared" si="3778"/>
        <v>0</v>
      </c>
      <c r="AX1333" s="126">
        <f t="shared" si="3778"/>
        <v>0</v>
      </c>
      <c r="AY1333" s="126">
        <f t="shared" si="3778"/>
        <v>0</v>
      </c>
      <c r="AZ1333" s="126">
        <f t="shared" si="3778"/>
        <v>0</v>
      </c>
      <c r="BA1333" s="126">
        <f t="shared" si="3778"/>
        <v>0</v>
      </c>
      <c r="BB1333" s="126">
        <f t="shared" si="3778"/>
        <v>0</v>
      </c>
    </row>
    <row r="1334" spans="1:54">
      <c r="A1334" s="492">
        <v>804</v>
      </c>
      <c r="B1334" s="13" t="s">
        <v>2343</v>
      </c>
      <c r="C1334" s="52" t="s">
        <v>2354</v>
      </c>
      <c r="D1334" s="52" t="s">
        <v>2355</v>
      </c>
      <c r="E1334" s="31" t="s">
        <v>2344</v>
      </c>
      <c r="F1334" s="32"/>
      <c r="G1334" s="32" t="s">
        <v>1059</v>
      </c>
      <c r="H1334" s="271" t="s">
        <v>357</v>
      </c>
      <c r="I1334" s="61">
        <v>2.4</v>
      </c>
      <c r="J1334" s="104"/>
      <c r="K1334" s="61">
        <v>2.4</v>
      </c>
      <c r="L1334" s="163"/>
      <c r="M1334" s="61"/>
      <c r="N1334" s="163"/>
      <c r="O1334" s="61"/>
      <c r="P1334" s="104"/>
      <c r="Q1334" s="121">
        <f t="shared" ref="Q1334:Q1345" si="3779">SUM(AI1334+BA1334)</f>
        <v>61.92</v>
      </c>
      <c r="R1334" s="341">
        <f t="shared" ref="R1334:R1345" si="3780">SUM(AJ1334+BB1334)</f>
        <v>218.21108659200002</v>
      </c>
      <c r="S1334" s="121">
        <v>35.856000000000002</v>
      </c>
      <c r="T1334" s="96">
        <f t="shared" ref="T1334:T1335" si="3781">I1334*S1334*$T$2/1000</f>
        <v>124.23243456000002</v>
      </c>
      <c r="U1334" s="121"/>
      <c r="V1334" s="179">
        <f t="shared" ref="V1334:V1345" si="3782">I1334*U1334*$V$2/1000</f>
        <v>0</v>
      </c>
      <c r="W1334" s="211">
        <v>26.064</v>
      </c>
      <c r="X1334" s="212">
        <f t="shared" ref="X1334:X1345" si="3783">I1334*W1334*$X$2/1000</f>
        <v>93.978652031999985</v>
      </c>
      <c r="Y1334" s="190">
        <f t="shared" ref="Y1334:Y1345" si="3784">SUM(S1334+U1334+W1334)</f>
        <v>61.92</v>
      </c>
      <c r="Z1334" s="179">
        <f t="shared" ref="Z1334:Z1345" si="3785">SUM(T1334+V1334+X1334)</f>
        <v>218.21108659200002</v>
      </c>
      <c r="AA1334" s="211"/>
      <c r="AB1334" s="212">
        <f t="shared" ref="AB1334:AB1345" si="3786">K1334*AA1334*$AB$2/1000</f>
        <v>0</v>
      </c>
      <c r="AC1334" s="211"/>
      <c r="AD1334" s="179">
        <f t="shared" ref="AD1334:AD1345" si="3787">K1334*AC1334*$AD$2/1000</f>
        <v>0</v>
      </c>
      <c r="AE1334" s="211"/>
      <c r="AF1334" s="212">
        <f t="shared" ref="AF1334:AF1345" si="3788">K1334*AE1334*$AF$2/1000</f>
        <v>0</v>
      </c>
      <c r="AG1334" s="190">
        <f t="shared" ref="AG1334:AG1345" si="3789">SUM(AA1334+AC1334+AE1334)</f>
        <v>0</v>
      </c>
      <c r="AH1334" s="121">
        <f t="shared" ref="AH1334:AH1345" si="3790">SUM(AB1334+AD1334+AF1334)</f>
        <v>0</v>
      </c>
      <c r="AI1334" s="121">
        <f t="shared" ref="AI1334:AI1345" si="3791">SUM(Y1334+AG1334)</f>
        <v>61.92</v>
      </c>
      <c r="AJ1334" s="179">
        <f t="shared" ref="AJ1334:AJ1345" si="3792">SUM(Z1334,AH1334)</f>
        <v>218.21108659200002</v>
      </c>
      <c r="AK1334" s="211"/>
      <c r="AL1334" s="179">
        <f t="shared" ref="AL1334:AL1345" si="3793">M1334*AK1334*$AL$2/1000</f>
        <v>0</v>
      </c>
      <c r="AM1334" s="246"/>
      <c r="AN1334" s="179">
        <f t="shared" ref="AN1334:AN1345" si="3794">M1334*AM1334*$AN$2/1000</f>
        <v>0</v>
      </c>
      <c r="AO1334" s="211"/>
      <c r="AP1334" s="212">
        <f t="shared" ref="AP1334:AP1345" si="3795">M1334*AO1334*$AP$2/1000</f>
        <v>0</v>
      </c>
      <c r="AQ1334" s="190">
        <f t="shared" ref="AQ1334:AQ1345" si="3796">SUM(AK1334+AM1334+AO1334)</f>
        <v>0</v>
      </c>
      <c r="AR1334" s="121">
        <f t="shared" ref="AR1334:AR1345" si="3797">SUM(AL1334+AN1334+AP1334)</f>
        <v>0</v>
      </c>
      <c r="AS1334" s="121"/>
      <c r="AT1334" s="179">
        <f t="shared" ref="AT1334:AT1345" si="3798">O1334*AS1334*$AT$2/1000</f>
        <v>0</v>
      </c>
      <c r="AU1334" s="211"/>
      <c r="AV1334" s="179">
        <f t="shared" ref="AV1334:AV1345" si="3799">O1334*AU1334*$AV$2/1000</f>
        <v>0</v>
      </c>
      <c r="AW1334" s="211"/>
      <c r="AX1334" s="212">
        <f t="shared" ref="AX1334:AX1345" si="3800">O1334*AW1334*$AX$2/1000</f>
        <v>0</v>
      </c>
      <c r="AY1334" s="190">
        <f t="shared" ref="AY1334:AY1345" si="3801">SUM(AS1334+AU1334+AW1334)</f>
        <v>0</v>
      </c>
      <c r="AZ1334" s="121">
        <f t="shared" ref="AZ1334:AZ1345" si="3802">SUM(AT1334+AV1334+AX1334)</f>
        <v>0</v>
      </c>
      <c r="BA1334" s="121">
        <f t="shared" ref="BA1334:BA1345" si="3803">SUM(AQ1334+AY1334)</f>
        <v>0</v>
      </c>
      <c r="BB1334" s="121">
        <f t="shared" ref="BB1334:BB1345" si="3804">SUM(AR1334,AZ1334)</f>
        <v>0</v>
      </c>
    </row>
    <row r="1335" spans="1:54">
      <c r="A1335" s="492">
        <v>805</v>
      </c>
      <c r="B1335" s="13"/>
      <c r="C1335" s="13"/>
      <c r="D1335" s="13" t="s">
        <v>2356</v>
      </c>
      <c r="E1335" s="21" t="s">
        <v>2345</v>
      </c>
      <c r="F1335" s="22"/>
      <c r="G1335" s="22" t="s">
        <v>1059</v>
      </c>
      <c r="H1335" s="265" t="s">
        <v>357</v>
      </c>
      <c r="I1335" s="54">
        <v>2.4</v>
      </c>
      <c r="J1335" s="101"/>
      <c r="K1335" s="54">
        <v>2.4</v>
      </c>
      <c r="L1335" s="162"/>
      <c r="M1335" s="54"/>
      <c r="N1335" s="162"/>
      <c r="O1335" s="54"/>
      <c r="P1335" s="101"/>
      <c r="Q1335" s="96">
        <f t="shared" si="3779"/>
        <v>62.112000000000002</v>
      </c>
      <c r="R1335" s="337">
        <f t="shared" si="3780"/>
        <v>218.87632051200001</v>
      </c>
      <c r="S1335" s="96">
        <v>36.048000000000002</v>
      </c>
      <c r="T1335" s="96">
        <f t="shared" si="3781"/>
        <v>124.89766848000002</v>
      </c>
      <c r="U1335" s="96"/>
      <c r="V1335" s="176">
        <f t="shared" si="3782"/>
        <v>0</v>
      </c>
      <c r="W1335" s="206">
        <v>26.064</v>
      </c>
      <c r="X1335" s="205">
        <f t="shared" si="3783"/>
        <v>93.978652031999985</v>
      </c>
      <c r="Y1335" s="188">
        <f t="shared" si="3784"/>
        <v>62.112000000000002</v>
      </c>
      <c r="Z1335" s="176">
        <f t="shared" si="3785"/>
        <v>218.87632051200001</v>
      </c>
      <c r="AA1335" s="206"/>
      <c r="AB1335" s="205">
        <f t="shared" si="3786"/>
        <v>0</v>
      </c>
      <c r="AC1335" s="206"/>
      <c r="AD1335" s="176">
        <f t="shared" si="3787"/>
        <v>0</v>
      </c>
      <c r="AE1335" s="206"/>
      <c r="AF1335" s="205">
        <f t="shared" si="3788"/>
        <v>0</v>
      </c>
      <c r="AG1335" s="188">
        <f t="shared" si="3789"/>
        <v>0</v>
      </c>
      <c r="AH1335" s="96">
        <f t="shared" si="3790"/>
        <v>0</v>
      </c>
      <c r="AI1335" s="96">
        <f t="shared" si="3791"/>
        <v>62.112000000000002</v>
      </c>
      <c r="AJ1335" s="176">
        <f t="shared" si="3792"/>
        <v>218.87632051200001</v>
      </c>
      <c r="AK1335" s="206"/>
      <c r="AL1335" s="176">
        <f t="shared" si="3793"/>
        <v>0</v>
      </c>
      <c r="AM1335" s="243"/>
      <c r="AN1335" s="176">
        <f t="shared" si="3794"/>
        <v>0</v>
      </c>
      <c r="AO1335" s="206"/>
      <c r="AP1335" s="205">
        <f t="shared" si="3795"/>
        <v>0</v>
      </c>
      <c r="AQ1335" s="188">
        <f t="shared" si="3796"/>
        <v>0</v>
      </c>
      <c r="AR1335" s="96">
        <f t="shared" si="3797"/>
        <v>0</v>
      </c>
      <c r="AS1335" s="96"/>
      <c r="AT1335" s="176">
        <f t="shared" si="3798"/>
        <v>0</v>
      </c>
      <c r="AU1335" s="206"/>
      <c r="AV1335" s="176">
        <f t="shared" si="3799"/>
        <v>0</v>
      </c>
      <c r="AW1335" s="206"/>
      <c r="AX1335" s="205">
        <f t="shared" si="3800"/>
        <v>0</v>
      </c>
      <c r="AY1335" s="188">
        <f t="shared" si="3801"/>
        <v>0</v>
      </c>
      <c r="AZ1335" s="96">
        <f t="shared" si="3802"/>
        <v>0</v>
      </c>
      <c r="BA1335" s="96">
        <f t="shared" si="3803"/>
        <v>0</v>
      </c>
      <c r="BB1335" s="96">
        <f t="shared" si="3804"/>
        <v>0</v>
      </c>
    </row>
    <row r="1336" spans="1:54">
      <c r="A1336" s="492">
        <v>806</v>
      </c>
      <c r="B1336" s="13"/>
      <c r="C1336" s="13"/>
      <c r="D1336" s="13" t="s">
        <v>2357</v>
      </c>
      <c r="E1336" s="62" t="s">
        <v>2346</v>
      </c>
      <c r="F1336" s="63"/>
      <c r="G1336" s="63" t="s">
        <v>1059</v>
      </c>
      <c r="H1336" s="281" t="s">
        <v>357</v>
      </c>
      <c r="I1336" s="66">
        <v>2.4</v>
      </c>
      <c r="J1336" s="106"/>
      <c r="K1336" s="66">
        <v>2.4</v>
      </c>
      <c r="L1336" s="165"/>
      <c r="M1336" s="66"/>
      <c r="N1336" s="165"/>
      <c r="O1336" s="66"/>
      <c r="P1336" s="106"/>
      <c r="Q1336" s="128">
        <f t="shared" si="3779"/>
        <v>76.367999999999995</v>
      </c>
      <c r="R1336" s="345">
        <f t="shared" si="3780"/>
        <v>270.24518591999998</v>
      </c>
      <c r="S1336" s="128">
        <v>36.287999999999997</v>
      </c>
      <c r="T1336" s="96">
        <f>I1336*S1336*$T$2/1000</f>
        <v>125.72921087999998</v>
      </c>
      <c r="U1336" s="128"/>
      <c r="V1336" s="183">
        <f t="shared" si="3782"/>
        <v>0</v>
      </c>
      <c r="W1336" s="220">
        <v>40.08</v>
      </c>
      <c r="X1336" s="221">
        <f t="shared" si="3783"/>
        <v>144.51597504</v>
      </c>
      <c r="Y1336" s="196">
        <f t="shared" si="3784"/>
        <v>76.367999999999995</v>
      </c>
      <c r="Z1336" s="183">
        <f t="shared" si="3785"/>
        <v>270.24518591999998</v>
      </c>
      <c r="AA1336" s="220"/>
      <c r="AB1336" s="221">
        <f t="shared" si="3786"/>
        <v>0</v>
      </c>
      <c r="AC1336" s="220"/>
      <c r="AD1336" s="183">
        <f t="shared" si="3787"/>
        <v>0</v>
      </c>
      <c r="AE1336" s="220"/>
      <c r="AF1336" s="205">
        <f t="shared" si="3788"/>
        <v>0</v>
      </c>
      <c r="AG1336" s="196">
        <f t="shared" si="3789"/>
        <v>0</v>
      </c>
      <c r="AH1336" s="128">
        <f t="shared" si="3790"/>
        <v>0</v>
      </c>
      <c r="AI1336" s="128">
        <f t="shared" si="3791"/>
        <v>76.367999999999995</v>
      </c>
      <c r="AJ1336" s="183">
        <f t="shared" si="3792"/>
        <v>270.24518591999998</v>
      </c>
      <c r="AK1336" s="220"/>
      <c r="AL1336" s="183">
        <f t="shared" si="3793"/>
        <v>0</v>
      </c>
      <c r="AM1336" s="251"/>
      <c r="AN1336" s="183">
        <f t="shared" si="3794"/>
        <v>0</v>
      </c>
      <c r="AO1336" s="220"/>
      <c r="AP1336" s="221">
        <f t="shared" si="3795"/>
        <v>0</v>
      </c>
      <c r="AQ1336" s="196">
        <f t="shared" si="3796"/>
        <v>0</v>
      </c>
      <c r="AR1336" s="128">
        <f t="shared" si="3797"/>
        <v>0</v>
      </c>
      <c r="AS1336" s="128"/>
      <c r="AT1336" s="183">
        <f t="shared" si="3798"/>
        <v>0</v>
      </c>
      <c r="AU1336" s="220"/>
      <c r="AV1336" s="183">
        <f t="shared" si="3799"/>
        <v>0</v>
      </c>
      <c r="AW1336" s="220"/>
      <c r="AX1336" s="221">
        <f t="shared" si="3800"/>
        <v>0</v>
      </c>
      <c r="AY1336" s="196">
        <f t="shared" si="3801"/>
        <v>0</v>
      </c>
      <c r="AZ1336" s="128">
        <f t="shared" si="3802"/>
        <v>0</v>
      </c>
      <c r="BA1336" s="128">
        <f t="shared" si="3803"/>
        <v>0</v>
      </c>
      <c r="BB1336" s="128">
        <f t="shared" si="3804"/>
        <v>0</v>
      </c>
    </row>
    <row r="1337" spans="1:54">
      <c r="A1337" s="492">
        <v>805</v>
      </c>
      <c r="B1337" s="13"/>
      <c r="C1337" s="13" t="s">
        <v>2360</v>
      </c>
      <c r="D1337" s="13" t="s">
        <v>2358</v>
      </c>
      <c r="E1337" s="21" t="s">
        <v>2347</v>
      </c>
      <c r="F1337" s="22"/>
      <c r="G1337" s="22" t="s">
        <v>1059</v>
      </c>
      <c r="H1337" s="265" t="s">
        <v>357</v>
      </c>
      <c r="I1337" s="54">
        <v>2</v>
      </c>
      <c r="J1337" s="101"/>
      <c r="K1337" s="54">
        <v>2</v>
      </c>
      <c r="L1337" s="162"/>
      <c r="M1337" s="54"/>
      <c r="N1337" s="162"/>
      <c r="O1337" s="54"/>
      <c r="P1337" s="101"/>
      <c r="Q1337" s="96">
        <f t="shared" ref="Q1337:Q1341" si="3805">SUM(AI1337+BA1337)</f>
        <v>45.143999999999998</v>
      </c>
      <c r="R1337" s="337">
        <f t="shared" ref="R1337:R1341" si="3806">SUM(AJ1337+BB1337)</f>
        <v>130.01983632</v>
      </c>
      <c r="S1337" s="96">
        <v>15.048</v>
      </c>
      <c r="T1337" s="96">
        <f t="shared" ref="T1337" si="3807">I1337*S1337*$T$2/1000</f>
        <v>43.448090399999998</v>
      </c>
      <c r="U1337" s="96">
        <v>30.096</v>
      </c>
      <c r="V1337" s="176">
        <f t="shared" si="3782"/>
        <v>86.571745919999998</v>
      </c>
      <c r="W1337" s="206"/>
      <c r="X1337" s="205">
        <f t="shared" si="3783"/>
        <v>0</v>
      </c>
      <c r="Y1337" s="188">
        <f t="shared" ref="Y1337:Y1341" si="3808">SUM(S1337+U1337+W1337)</f>
        <v>45.143999999999998</v>
      </c>
      <c r="Z1337" s="176">
        <f t="shared" ref="Z1337:Z1341" si="3809">SUM(T1337+V1337+X1337)</f>
        <v>130.01983632</v>
      </c>
      <c r="AA1337" s="206"/>
      <c r="AB1337" s="205">
        <f t="shared" si="3786"/>
        <v>0</v>
      </c>
      <c r="AC1337" s="206"/>
      <c r="AD1337" s="176">
        <f t="shared" si="3787"/>
        <v>0</v>
      </c>
      <c r="AE1337" s="206"/>
      <c r="AF1337" s="205">
        <f t="shared" si="3788"/>
        <v>0</v>
      </c>
      <c r="AG1337" s="188">
        <f t="shared" ref="AG1337:AG1341" si="3810">SUM(AA1337+AC1337+AE1337)</f>
        <v>0</v>
      </c>
      <c r="AH1337" s="96">
        <f t="shared" ref="AH1337:AH1341" si="3811">SUM(AB1337+AD1337+AF1337)</f>
        <v>0</v>
      </c>
      <c r="AI1337" s="96">
        <f t="shared" si="3791"/>
        <v>45.143999999999998</v>
      </c>
      <c r="AJ1337" s="176">
        <f t="shared" si="3792"/>
        <v>130.01983632</v>
      </c>
      <c r="AK1337" s="206"/>
      <c r="AL1337" s="176">
        <f t="shared" si="3793"/>
        <v>0</v>
      </c>
      <c r="AM1337" s="243"/>
      <c r="AN1337" s="176">
        <f t="shared" si="3794"/>
        <v>0</v>
      </c>
      <c r="AO1337" s="206"/>
      <c r="AP1337" s="205">
        <f t="shared" si="3795"/>
        <v>0</v>
      </c>
      <c r="AQ1337" s="188">
        <f t="shared" ref="AQ1337:AQ1341" si="3812">SUM(AK1337+AM1337+AO1337)</f>
        <v>0</v>
      </c>
      <c r="AR1337" s="96">
        <f t="shared" ref="AR1337:AR1341" si="3813">SUM(AL1337+AN1337+AP1337)</f>
        <v>0</v>
      </c>
      <c r="AS1337" s="96"/>
      <c r="AT1337" s="176">
        <f t="shared" si="3798"/>
        <v>0</v>
      </c>
      <c r="AU1337" s="206"/>
      <c r="AV1337" s="176">
        <f t="shared" si="3799"/>
        <v>0</v>
      </c>
      <c r="AW1337" s="206"/>
      <c r="AX1337" s="205">
        <f t="shared" si="3800"/>
        <v>0</v>
      </c>
      <c r="AY1337" s="188">
        <f t="shared" ref="AY1337:AY1341" si="3814">SUM(AS1337+AU1337+AW1337)</f>
        <v>0</v>
      </c>
      <c r="AZ1337" s="96">
        <f t="shared" ref="AZ1337:AZ1341" si="3815">SUM(AT1337+AV1337+AX1337)</f>
        <v>0</v>
      </c>
      <c r="BA1337" s="96">
        <f t="shared" si="3803"/>
        <v>0</v>
      </c>
      <c r="BB1337" s="96">
        <f t="shared" si="3804"/>
        <v>0</v>
      </c>
    </row>
    <row r="1338" spans="1:54">
      <c r="A1338" s="492">
        <v>806</v>
      </c>
      <c r="B1338" s="13"/>
      <c r="C1338" s="13"/>
      <c r="D1338" s="13" t="s">
        <v>2359</v>
      </c>
      <c r="E1338" s="62" t="s">
        <v>2348</v>
      </c>
      <c r="F1338" s="63"/>
      <c r="G1338" s="63" t="s">
        <v>1059</v>
      </c>
      <c r="H1338" s="281" t="s">
        <v>357</v>
      </c>
      <c r="I1338" s="66">
        <v>2.33</v>
      </c>
      <c r="J1338" s="106"/>
      <c r="K1338" s="66">
        <v>2.33</v>
      </c>
      <c r="L1338" s="165"/>
      <c r="M1338" s="66"/>
      <c r="N1338" s="165"/>
      <c r="O1338" s="66"/>
      <c r="P1338" s="106"/>
      <c r="Q1338" s="128">
        <f t="shared" si="3805"/>
        <v>50.111999999999995</v>
      </c>
      <c r="R1338" s="345">
        <f t="shared" si="3806"/>
        <v>168.62038623839999</v>
      </c>
      <c r="S1338" s="128">
        <v>15.023999999999999</v>
      </c>
      <c r="T1338" s="96">
        <f>I1338*S1338*$T$2/1000</f>
        <v>50.536296407999991</v>
      </c>
      <c r="U1338" s="128">
        <v>30.047999999999998</v>
      </c>
      <c r="V1338" s="183">
        <f t="shared" si="3782"/>
        <v>100.6952289984</v>
      </c>
      <c r="W1338" s="220"/>
      <c r="X1338" s="221">
        <f t="shared" si="3783"/>
        <v>0</v>
      </c>
      <c r="Y1338" s="196">
        <f t="shared" si="3808"/>
        <v>45.071999999999996</v>
      </c>
      <c r="Z1338" s="183">
        <f t="shared" si="3809"/>
        <v>151.23152540639998</v>
      </c>
      <c r="AA1338" s="220">
        <v>5.04</v>
      </c>
      <c r="AB1338" s="221">
        <f t="shared" si="3786"/>
        <v>17.388860831999999</v>
      </c>
      <c r="AC1338" s="220"/>
      <c r="AD1338" s="183">
        <f t="shared" si="3787"/>
        <v>0</v>
      </c>
      <c r="AE1338" s="220"/>
      <c r="AF1338" s="205">
        <f t="shared" si="3788"/>
        <v>0</v>
      </c>
      <c r="AG1338" s="196">
        <f t="shared" si="3810"/>
        <v>5.04</v>
      </c>
      <c r="AH1338" s="128">
        <f t="shared" si="3811"/>
        <v>17.388860831999999</v>
      </c>
      <c r="AI1338" s="128">
        <f t="shared" si="3791"/>
        <v>50.111999999999995</v>
      </c>
      <c r="AJ1338" s="183">
        <f t="shared" si="3792"/>
        <v>168.62038623839999</v>
      </c>
      <c r="AK1338" s="220"/>
      <c r="AL1338" s="183">
        <f t="shared" si="3793"/>
        <v>0</v>
      </c>
      <c r="AM1338" s="251"/>
      <c r="AN1338" s="183">
        <f t="shared" si="3794"/>
        <v>0</v>
      </c>
      <c r="AO1338" s="220"/>
      <c r="AP1338" s="221">
        <f t="shared" si="3795"/>
        <v>0</v>
      </c>
      <c r="AQ1338" s="196">
        <f t="shared" si="3812"/>
        <v>0</v>
      </c>
      <c r="AR1338" s="128">
        <f t="shared" si="3813"/>
        <v>0</v>
      </c>
      <c r="AS1338" s="128"/>
      <c r="AT1338" s="183">
        <f t="shared" si="3798"/>
        <v>0</v>
      </c>
      <c r="AU1338" s="220"/>
      <c r="AV1338" s="183">
        <f t="shared" si="3799"/>
        <v>0</v>
      </c>
      <c r="AW1338" s="220"/>
      <c r="AX1338" s="221">
        <f t="shared" si="3800"/>
        <v>0</v>
      </c>
      <c r="AY1338" s="196">
        <f t="shared" si="3814"/>
        <v>0</v>
      </c>
      <c r="AZ1338" s="128">
        <f t="shared" si="3815"/>
        <v>0</v>
      </c>
      <c r="BA1338" s="128">
        <f t="shared" si="3803"/>
        <v>0</v>
      </c>
      <c r="BB1338" s="128">
        <f t="shared" si="3804"/>
        <v>0</v>
      </c>
    </row>
    <row r="1339" spans="1:54">
      <c r="A1339" s="492">
        <v>805</v>
      </c>
      <c r="B1339" s="13"/>
      <c r="C1339" s="13" t="s">
        <v>2361</v>
      </c>
      <c r="D1339" s="13" t="s">
        <v>2362</v>
      </c>
      <c r="E1339" s="21" t="s">
        <v>2349</v>
      </c>
      <c r="F1339" s="22"/>
      <c r="G1339" s="22" t="s">
        <v>1059</v>
      </c>
      <c r="H1339" s="265" t="s">
        <v>357</v>
      </c>
      <c r="I1339" s="54">
        <v>1.75</v>
      </c>
      <c r="J1339" s="101"/>
      <c r="K1339" s="54">
        <v>1.82</v>
      </c>
      <c r="L1339" s="162"/>
      <c r="M1339" s="54"/>
      <c r="N1339" s="162"/>
      <c r="O1339" s="54"/>
      <c r="P1339" s="101"/>
      <c r="Q1339" s="96">
        <f t="shared" si="3805"/>
        <v>61.424999999999997</v>
      </c>
      <c r="R1339" s="337">
        <f t="shared" si="3806"/>
        <v>158.8719593475</v>
      </c>
      <c r="S1339" s="96">
        <v>15.074999999999999</v>
      </c>
      <c r="T1339" s="96">
        <f t="shared" ref="T1339" si="3816">I1339*S1339*$T$2/1000</f>
        <v>38.085291562500004</v>
      </c>
      <c r="U1339" s="96">
        <v>23.175000000000001</v>
      </c>
      <c r="V1339" s="176">
        <f t="shared" si="3782"/>
        <v>58.330432125000002</v>
      </c>
      <c r="W1339" s="206"/>
      <c r="X1339" s="205">
        <f t="shared" si="3783"/>
        <v>0</v>
      </c>
      <c r="Y1339" s="188">
        <f t="shared" si="3808"/>
        <v>38.25</v>
      </c>
      <c r="Z1339" s="176">
        <f t="shared" si="3809"/>
        <v>96.415723687500005</v>
      </c>
      <c r="AA1339" s="206">
        <v>23.175000000000001</v>
      </c>
      <c r="AB1339" s="205">
        <f t="shared" si="3786"/>
        <v>62.456235659999997</v>
      </c>
      <c r="AC1339" s="206"/>
      <c r="AD1339" s="176">
        <f t="shared" si="3787"/>
        <v>0</v>
      </c>
      <c r="AE1339" s="206"/>
      <c r="AF1339" s="205">
        <f t="shared" si="3788"/>
        <v>0</v>
      </c>
      <c r="AG1339" s="188">
        <f t="shared" si="3810"/>
        <v>23.175000000000001</v>
      </c>
      <c r="AH1339" s="96">
        <f t="shared" si="3811"/>
        <v>62.456235659999997</v>
      </c>
      <c r="AI1339" s="96">
        <f t="shared" si="3791"/>
        <v>61.424999999999997</v>
      </c>
      <c r="AJ1339" s="176">
        <f t="shared" si="3792"/>
        <v>158.8719593475</v>
      </c>
      <c r="AK1339" s="206"/>
      <c r="AL1339" s="176">
        <f t="shared" si="3793"/>
        <v>0</v>
      </c>
      <c r="AM1339" s="243"/>
      <c r="AN1339" s="176">
        <f t="shared" si="3794"/>
        <v>0</v>
      </c>
      <c r="AO1339" s="206"/>
      <c r="AP1339" s="205">
        <f t="shared" si="3795"/>
        <v>0</v>
      </c>
      <c r="AQ1339" s="188">
        <f t="shared" si="3812"/>
        <v>0</v>
      </c>
      <c r="AR1339" s="96">
        <f t="shared" si="3813"/>
        <v>0</v>
      </c>
      <c r="AS1339" s="96"/>
      <c r="AT1339" s="176">
        <f t="shared" si="3798"/>
        <v>0</v>
      </c>
      <c r="AU1339" s="206"/>
      <c r="AV1339" s="176">
        <f t="shared" si="3799"/>
        <v>0</v>
      </c>
      <c r="AW1339" s="206"/>
      <c r="AX1339" s="205">
        <f t="shared" si="3800"/>
        <v>0</v>
      </c>
      <c r="AY1339" s="188">
        <f t="shared" si="3814"/>
        <v>0</v>
      </c>
      <c r="AZ1339" s="96">
        <f t="shared" si="3815"/>
        <v>0</v>
      </c>
      <c r="BA1339" s="96">
        <f t="shared" si="3803"/>
        <v>0</v>
      </c>
      <c r="BB1339" s="96">
        <f t="shared" si="3804"/>
        <v>0</v>
      </c>
    </row>
    <row r="1340" spans="1:54">
      <c r="A1340" s="492">
        <v>806</v>
      </c>
      <c r="B1340" s="13"/>
      <c r="C1340" s="13"/>
      <c r="D1340" s="13" t="s">
        <v>2363</v>
      </c>
      <c r="E1340" s="62" t="s">
        <v>2350</v>
      </c>
      <c r="F1340" s="63"/>
      <c r="G1340" s="63" t="s">
        <v>1059</v>
      </c>
      <c r="H1340" s="281" t="s">
        <v>357</v>
      </c>
      <c r="I1340" s="66">
        <v>1.75</v>
      </c>
      <c r="J1340" s="106"/>
      <c r="K1340" s="66">
        <v>1.82</v>
      </c>
      <c r="L1340" s="165"/>
      <c r="M1340" s="66"/>
      <c r="N1340" s="165"/>
      <c r="O1340" s="66"/>
      <c r="P1340" s="106"/>
      <c r="Q1340" s="128">
        <f t="shared" si="3805"/>
        <v>40.274999999999999</v>
      </c>
      <c r="R1340" s="345">
        <f t="shared" si="3806"/>
        <v>101.51255756250001</v>
      </c>
      <c r="S1340" s="128">
        <v>15.074999999999999</v>
      </c>
      <c r="T1340" s="96">
        <f>I1340*S1340*$T$2/1000</f>
        <v>38.085291562500004</v>
      </c>
      <c r="U1340" s="128">
        <v>25.2</v>
      </c>
      <c r="V1340" s="183">
        <f t="shared" si="3782"/>
        <v>63.427266000000003</v>
      </c>
      <c r="W1340" s="220"/>
      <c r="X1340" s="221">
        <f t="shared" si="3783"/>
        <v>0</v>
      </c>
      <c r="Y1340" s="196">
        <f t="shared" si="3808"/>
        <v>40.274999999999999</v>
      </c>
      <c r="Z1340" s="183">
        <f t="shared" si="3809"/>
        <v>101.51255756250001</v>
      </c>
      <c r="AA1340" s="220"/>
      <c r="AB1340" s="221">
        <f t="shared" si="3786"/>
        <v>0</v>
      </c>
      <c r="AC1340" s="220"/>
      <c r="AD1340" s="183">
        <f t="shared" si="3787"/>
        <v>0</v>
      </c>
      <c r="AE1340" s="220"/>
      <c r="AF1340" s="205">
        <f t="shared" si="3788"/>
        <v>0</v>
      </c>
      <c r="AG1340" s="196">
        <f t="shared" si="3810"/>
        <v>0</v>
      </c>
      <c r="AH1340" s="128">
        <f t="shared" si="3811"/>
        <v>0</v>
      </c>
      <c r="AI1340" s="128">
        <f t="shared" si="3791"/>
        <v>40.274999999999999</v>
      </c>
      <c r="AJ1340" s="183">
        <f t="shared" si="3792"/>
        <v>101.51255756250001</v>
      </c>
      <c r="AK1340" s="220"/>
      <c r="AL1340" s="183">
        <f t="shared" si="3793"/>
        <v>0</v>
      </c>
      <c r="AM1340" s="251"/>
      <c r="AN1340" s="183">
        <f t="shared" si="3794"/>
        <v>0</v>
      </c>
      <c r="AO1340" s="220"/>
      <c r="AP1340" s="221">
        <f t="shared" si="3795"/>
        <v>0</v>
      </c>
      <c r="AQ1340" s="196">
        <f t="shared" si="3812"/>
        <v>0</v>
      </c>
      <c r="AR1340" s="128">
        <f t="shared" si="3813"/>
        <v>0</v>
      </c>
      <c r="AS1340" s="128"/>
      <c r="AT1340" s="183">
        <f t="shared" si="3798"/>
        <v>0</v>
      </c>
      <c r="AU1340" s="220"/>
      <c r="AV1340" s="183">
        <f t="shared" si="3799"/>
        <v>0</v>
      </c>
      <c r="AW1340" s="220"/>
      <c r="AX1340" s="221">
        <f t="shared" si="3800"/>
        <v>0</v>
      </c>
      <c r="AY1340" s="196">
        <f t="shared" si="3814"/>
        <v>0</v>
      </c>
      <c r="AZ1340" s="128">
        <f t="shared" si="3815"/>
        <v>0</v>
      </c>
      <c r="BA1340" s="128">
        <f t="shared" si="3803"/>
        <v>0</v>
      </c>
      <c r="BB1340" s="128">
        <f t="shared" si="3804"/>
        <v>0</v>
      </c>
    </row>
    <row r="1341" spans="1:54">
      <c r="A1341" s="492">
        <v>805</v>
      </c>
      <c r="B1341" s="13"/>
      <c r="C1341" s="13" t="s">
        <v>2364</v>
      </c>
      <c r="D1341" s="13" t="s">
        <v>2365</v>
      </c>
      <c r="E1341" s="21" t="s">
        <v>2351</v>
      </c>
      <c r="F1341" s="22"/>
      <c r="G1341" s="22" t="s">
        <v>1059</v>
      </c>
      <c r="H1341" s="265" t="s">
        <v>357</v>
      </c>
      <c r="I1341" s="54">
        <v>1.62</v>
      </c>
      <c r="J1341" s="101"/>
      <c r="K1341" s="54">
        <v>1.62</v>
      </c>
      <c r="L1341" s="162"/>
      <c r="M1341" s="54"/>
      <c r="N1341" s="162"/>
      <c r="O1341" s="54"/>
      <c r="P1341" s="101"/>
      <c r="Q1341" s="96">
        <f t="shared" si="3805"/>
        <v>45</v>
      </c>
      <c r="R1341" s="337">
        <f t="shared" si="3806"/>
        <v>104.980131</v>
      </c>
      <c r="S1341" s="96">
        <v>15</v>
      </c>
      <c r="T1341" s="96">
        <f t="shared" ref="T1341" si="3817">I1341*S1341*$T$2/1000</f>
        <v>35.080694999999999</v>
      </c>
      <c r="U1341" s="96">
        <v>30</v>
      </c>
      <c r="V1341" s="176">
        <f t="shared" si="3782"/>
        <v>69.899436000000009</v>
      </c>
      <c r="W1341" s="206"/>
      <c r="X1341" s="205">
        <f t="shared" si="3783"/>
        <v>0</v>
      </c>
      <c r="Y1341" s="188">
        <f t="shared" si="3808"/>
        <v>45</v>
      </c>
      <c r="Z1341" s="176">
        <f t="shared" si="3809"/>
        <v>104.980131</v>
      </c>
      <c r="AA1341" s="206"/>
      <c r="AB1341" s="205">
        <f t="shared" si="3786"/>
        <v>0</v>
      </c>
      <c r="AC1341" s="206"/>
      <c r="AD1341" s="176">
        <f t="shared" si="3787"/>
        <v>0</v>
      </c>
      <c r="AE1341" s="206"/>
      <c r="AF1341" s="205">
        <f t="shared" si="3788"/>
        <v>0</v>
      </c>
      <c r="AG1341" s="188">
        <f t="shared" si="3810"/>
        <v>0</v>
      </c>
      <c r="AH1341" s="96">
        <f t="shared" si="3811"/>
        <v>0</v>
      </c>
      <c r="AI1341" s="96">
        <f t="shared" si="3791"/>
        <v>45</v>
      </c>
      <c r="AJ1341" s="176">
        <f t="shared" si="3792"/>
        <v>104.980131</v>
      </c>
      <c r="AK1341" s="206"/>
      <c r="AL1341" s="176">
        <f t="shared" si="3793"/>
        <v>0</v>
      </c>
      <c r="AM1341" s="243"/>
      <c r="AN1341" s="176">
        <f t="shared" si="3794"/>
        <v>0</v>
      </c>
      <c r="AO1341" s="206"/>
      <c r="AP1341" s="205">
        <f t="shared" si="3795"/>
        <v>0</v>
      </c>
      <c r="AQ1341" s="188">
        <f t="shared" si="3812"/>
        <v>0</v>
      </c>
      <c r="AR1341" s="96">
        <f t="shared" si="3813"/>
        <v>0</v>
      </c>
      <c r="AS1341" s="96"/>
      <c r="AT1341" s="176">
        <f t="shared" si="3798"/>
        <v>0</v>
      </c>
      <c r="AU1341" s="206"/>
      <c r="AV1341" s="176">
        <f t="shared" si="3799"/>
        <v>0</v>
      </c>
      <c r="AW1341" s="206"/>
      <c r="AX1341" s="205">
        <f t="shared" si="3800"/>
        <v>0</v>
      </c>
      <c r="AY1341" s="188">
        <f t="shared" si="3814"/>
        <v>0</v>
      </c>
      <c r="AZ1341" s="96">
        <f t="shared" si="3815"/>
        <v>0</v>
      </c>
      <c r="BA1341" s="96">
        <f t="shared" si="3803"/>
        <v>0</v>
      </c>
      <c r="BB1341" s="96">
        <f t="shared" si="3804"/>
        <v>0</v>
      </c>
    </row>
    <row r="1342" spans="1:54">
      <c r="A1342" s="492">
        <v>805</v>
      </c>
      <c r="B1342" s="13"/>
      <c r="C1342" s="13"/>
      <c r="D1342" s="13" t="s">
        <v>2366</v>
      </c>
      <c r="E1342" s="21" t="s">
        <v>2352</v>
      </c>
      <c r="F1342" s="22"/>
      <c r="G1342" s="22" t="s">
        <v>1059</v>
      </c>
      <c r="H1342" s="265" t="s">
        <v>357</v>
      </c>
      <c r="I1342" s="54">
        <v>1.62</v>
      </c>
      <c r="J1342" s="101"/>
      <c r="K1342" s="54">
        <v>1.62</v>
      </c>
      <c r="L1342" s="162"/>
      <c r="M1342" s="54"/>
      <c r="N1342" s="162"/>
      <c r="O1342" s="54"/>
      <c r="P1342" s="101"/>
      <c r="Q1342" s="96">
        <f t="shared" ref="Q1342:Q1343" si="3818">SUM(AI1342+BA1342)</f>
        <v>45</v>
      </c>
      <c r="R1342" s="337">
        <f t="shared" ref="R1342:R1343" si="3819">SUM(AJ1342+BB1342)</f>
        <v>104.980131</v>
      </c>
      <c r="S1342" s="96">
        <v>15</v>
      </c>
      <c r="T1342" s="96">
        <f t="shared" ref="T1342" si="3820">I1342*S1342*$T$2/1000</f>
        <v>35.080694999999999</v>
      </c>
      <c r="U1342" s="96">
        <v>30</v>
      </c>
      <c r="V1342" s="176">
        <f t="shared" si="3782"/>
        <v>69.899436000000009</v>
      </c>
      <c r="W1342" s="206"/>
      <c r="X1342" s="205">
        <f t="shared" si="3783"/>
        <v>0</v>
      </c>
      <c r="Y1342" s="188">
        <f t="shared" ref="Y1342:Y1343" si="3821">SUM(S1342+U1342+W1342)</f>
        <v>45</v>
      </c>
      <c r="Z1342" s="176">
        <f t="shared" ref="Z1342:Z1343" si="3822">SUM(T1342+V1342+X1342)</f>
        <v>104.980131</v>
      </c>
      <c r="AA1342" s="206"/>
      <c r="AB1342" s="205">
        <f t="shared" si="3786"/>
        <v>0</v>
      </c>
      <c r="AC1342" s="206"/>
      <c r="AD1342" s="176">
        <f t="shared" si="3787"/>
        <v>0</v>
      </c>
      <c r="AE1342" s="206"/>
      <c r="AF1342" s="205">
        <f t="shared" si="3788"/>
        <v>0</v>
      </c>
      <c r="AG1342" s="188">
        <f t="shared" ref="AG1342:AG1343" si="3823">SUM(AA1342+AC1342+AE1342)</f>
        <v>0</v>
      </c>
      <c r="AH1342" s="96">
        <f t="shared" ref="AH1342:AH1343" si="3824">SUM(AB1342+AD1342+AF1342)</f>
        <v>0</v>
      </c>
      <c r="AI1342" s="96">
        <f t="shared" si="3791"/>
        <v>45</v>
      </c>
      <c r="AJ1342" s="176">
        <f t="shared" si="3792"/>
        <v>104.980131</v>
      </c>
      <c r="AK1342" s="206"/>
      <c r="AL1342" s="176">
        <f t="shared" si="3793"/>
        <v>0</v>
      </c>
      <c r="AM1342" s="243"/>
      <c r="AN1342" s="176">
        <f t="shared" si="3794"/>
        <v>0</v>
      </c>
      <c r="AO1342" s="206"/>
      <c r="AP1342" s="205">
        <f t="shared" si="3795"/>
        <v>0</v>
      </c>
      <c r="AQ1342" s="188">
        <f t="shared" ref="AQ1342:AQ1343" si="3825">SUM(AK1342+AM1342+AO1342)</f>
        <v>0</v>
      </c>
      <c r="AR1342" s="96">
        <f t="shared" ref="AR1342:AR1343" si="3826">SUM(AL1342+AN1342+AP1342)</f>
        <v>0</v>
      </c>
      <c r="AS1342" s="96"/>
      <c r="AT1342" s="176">
        <f t="shared" si="3798"/>
        <v>0</v>
      </c>
      <c r="AU1342" s="206"/>
      <c r="AV1342" s="176">
        <f t="shared" si="3799"/>
        <v>0</v>
      </c>
      <c r="AW1342" s="206"/>
      <c r="AX1342" s="205">
        <f t="shared" si="3800"/>
        <v>0</v>
      </c>
      <c r="AY1342" s="188">
        <f t="shared" ref="AY1342:AY1343" si="3827">SUM(AS1342+AU1342+AW1342)</f>
        <v>0</v>
      </c>
      <c r="AZ1342" s="96">
        <f t="shared" ref="AZ1342:AZ1343" si="3828">SUM(AT1342+AV1342+AX1342)</f>
        <v>0</v>
      </c>
      <c r="BA1342" s="96">
        <f t="shared" si="3803"/>
        <v>0</v>
      </c>
      <c r="BB1342" s="96">
        <f t="shared" si="3804"/>
        <v>0</v>
      </c>
    </row>
    <row r="1343" spans="1:54">
      <c r="A1343" s="492">
        <v>806</v>
      </c>
      <c r="B1343" s="13"/>
      <c r="C1343" s="13"/>
      <c r="D1343" s="13" t="s">
        <v>2367</v>
      </c>
      <c r="E1343" s="62" t="s">
        <v>2393</v>
      </c>
      <c r="F1343" s="63"/>
      <c r="G1343" s="63" t="s">
        <v>1059</v>
      </c>
      <c r="H1343" s="281" t="s">
        <v>357</v>
      </c>
      <c r="I1343" s="66">
        <v>1.62</v>
      </c>
      <c r="J1343" s="106"/>
      <c r="K1343" s="66">
        <v>1.62</v>
      </c>
      <c r="L1343" s="165"/>
      <c r="M1343" s="66"/>
      <c r="N1343" s="165"/>
      <c r="O1343" s="66"/>
      <c r="P1343" s="106"/>
      <c r="Q1343" s="128">
        <f t="shared" si="3818"/>
        <v>45</v>
      </c>
      <c r="R1343" s="345">
        <f t="shared" si="3819"/>
        <v>104.980131</v>
      </c>
      <c r="S1343" s="128">
        <v>15</v>
      </c>
      <c r="T1343" s="96">
        <f>I1343*S1343*$T$2/1000</f>
        <v>35.080694999999999</v>
      </c>
      <c r="U1343" s="128">
        <v>30</v>
      </c>
      <c r="V1343" s="183">
        <f t="shared" si="3782"/>
        <v>69.899436000000009</v>
      </c>
      <c r="W1343" s="220"/>
      <c r="X1343" s="221">
        <f t="shared" si="3783"/>
        <v>0</v>
      </c>
      <c r="Y1343" s="196">
        <f t="shared" si="3821"/>
        <v>45</v>
      </c>
      <c r="Z1343" s="183">
        <f t="shared" si="3822"/>
        <v>104.980131</v>
      </c>
      <c r="AA1343" s="220"/>
      <c r="AB1343" s="221">
        <f t="shared" si="3786"/>
        <v>0</v>
      </c>
      <c r="AC1343" s="220"/>
      <c r="AD1343" s="183">
        <f t="shared" si="3787"/>
        <v>0</v>
      </c>
      <c r="AE1343" s="220"/>
      <c r="AF1343" s="205">
        <f t="shared" si="3788"/>
        <v>0</v>
      </c>
      <c r="AG1343" s="196">
        <f t="shared" si="3823"/>
        <v>0</v>
      </c>
      <c r="AH1343" s="128">
        <f t="shared" si="3824"/>
        <v>0</v>
      </c>
      <c r="AI1343" s="128">
        <f t="shared" si="3791"/>
        <v>45</v>
      </c>
      <c r="AJ1343" s="183">
        <f t="shared" si="3792"/>
        <v>104.980131</v>
      </c>
      <c r="AK1343" s="220"/>
      <c r="AL1343" s="183">
        <f t="shared" si="3793"/>
        <v>0</v>
      </c>
      <c r="AM1343" s="251"/>
      <c r="AN1343" s="183">
        <f t="shared" si="3794"/>
        <v>0</v>
      </c>
      <c r="AO1343" s="220"/>
      <c r="AP1343" s="221">
        <f t="shared" si="3795"/>
        <v>0</v>
      </c>
      <c r="AQ1343" s="196">
        <f t="shared" si="3825"/>
        <v>0</v>
      </c>
      <c r="AR1343" s="128">
        <f t="shared" si="3826"/>
        <v>0</v>
      </c>
      <c r="AS1343" s="128"/>
      <c r="AT1343" s="183">
        <f t="shared" si="3798"/>
        <v>0</v>
      </c>
      <c r="AU1343" s="220"/>
      <c r="AV1343" s="183">
        <f t="shared" si="3799"/>
        <v>0</v>
      </c>
      <c r="AW1343" s="220"/>
      <c r="AX1343" s="221">
        <f t="shared" si="3800"/>
        <v>0</v>
      </c>
      <c r="AY1343" s="196">
        <f t="shared" si="3827"/>
        <v>0</v>
      </c>
      <c r="AZ1343" s="128">
        <f t="shared" si="3828"/>
        <v>0</v>
      </c>
      <c r="BA1343" s="128">
        <f t="shared" si="3803"/>
        <v>0</v>
      </c>
      <c r="BB1343" s="128">
        <f t="shared" si="3804"/>
        <v>0</v>
      </c>
    </row>
    <row r="1344" spans="1:54">
      <c r="A1344" s="492">
        <v>807</v>
      </c>
      <c r="B1344" s="13"/>
      <c r="C1344" s="13"/>
      <c r="D1344" s="13" t="s">
        <v>2368</v>
      </c>
      <c r="E1344" s="62" t="s">
        <v>2353</v>
      </c>
      <c r="F1344" s="63"/>
      <c r="G1344" s="63" t="s">
        <v>1059</v>
      </c>
      <c r="H1344" s="281" t="s">
        <v>357</v>
      </c>
      <c r="I1344" s="66">
        <v>1.62</v>
      </c>
      <c r="J1344" s="106"/>
      <c r="K1344" s="66">
        <v>1.62</v>
      </c>
      <c r="L1344" s="165"/>
      <c r="M1344" s="66"/>
      <c r="N1344" s="165"/>
      <c r="O1344" s="66"/>
      <c r="P1344" s="106"/>
      <c r="Q1344" s="128">
        <f t="shared" si="3779"/>
        <v>45</v>
      </c>
      <c r="R1344" s="345">
        <f t="shared" si="3780"/>
        <v>104.980131</v>
      </c>
      <c r="S1344" s="128">
        <v>15</v>
      </c>
      <c r="T1344" s="128">
        <f t="shared" ref="T1344:T1345" si="3829">I1344*S1344*$T$2/1000</f>
        <v>35.080694999999999</v>
      </c>
      <c r="U1344" s="128">
        <v>30</v>
      </c>
      <c r="V1344" s="183">
        <f t="shared" si="3782"/>
        <v>69.899436000000009</v>
      </c>
      <c r="W1344" s="220"/>
      <c r="X1344" s="221">
        <f t="shared" si="3783"/>
        <v>0</v>
      </c>
      <c r="Y1344" s="196">
        <f t="shared" si="3784"/>
        <v>45</v>
      </c>
      <c r="Z1344" s="183">
        <f t="shared" si="3785"/>
        <v>104.980131</v>
      </c>
      <c r="AA1344" s="220"/>
      <c r="AB1344" s="221">
        <f t="shared" si="3786"/>
        <v>0</v>
      </c>
      <c r="AC1344" s="220"/>
      <c r="AD1344" s="183">
        <f t="shared" si="3787"/>
        <v>0</v>
      </c>
      <c r="AE1344" s="220"/>
      <c r="AF1344" s="208">
        <f t="shared" si="3788"/>
        <v>0</v>
      </c>
      <c r="AG1344" s="196">
        <f t="shared" si="3789"/>
        <v>0</v>
      </c>
      <c r="AH1344" s="128">
        <f t="shared" si="3790"/>
        <v>0</v>
      </c>
      <c r="AI1344" s="128">
        <f t="shared" si="3791"/>
        <v>45</v>
      </c>
      <c r="AJ1344" s="183">
        <f t="shared" si="3792"/>
        <v>104.980131</v>
      </c>
      <c r="AK1344" s="220"/>
      <c r="AL1344" s="183">
        <f t="shared" si="3793"/>
        <v>0</v>
      </c>
      <c r="AM1344" s="251"/>
      <c r="AN1344" s="183">
        <f t="shared" si="3794"/>
        <v>0</v>
      </c>
      <c r="AO1344" s="220"/>
      <c r="AP1344" s="221">
        <f t="shared" si="3795"/>
        <v>0</v>
      </c>
      <c r="AQ1344" s="196">
        <f t="shared" si="3796"/>
        <v>0</v>
      </c>
      <c r="AR1344" s="128">
        <f t="shared" si="3797"/>
        <v>0</v>
      </c>
      <c r="AS1344" s="128"/>
      <c r="AT1344" s="183">
        <f t="shared" si="3798"/>
        <v>0</v>
      </c>
      <c r="AU1344" s="220"/>
      <c r="AV1344" s="183">
        <f t="shared" si="3799"/>
        <v>0</v>
      </c>
      <c r="AW1344" s="220"/>
      <c r="AX1344" s="221">
        <f t="shared" si="3800"/>
        <v>0</v>
      </c>
      <c r="AY1344" s="196">
        <f t="shared" si="3801"/>
        <v>0</v>
      </c>
      <c r="AZ1344" s="128">
        <f t="shared" si="3802"/>
        <v>0</v>
      </c>
      <c r="BA1344" s="128">
        <f t="shared" si="3803"/>
        <v>0</v>
      </c>
      <c r="BB1344" s="128">
        <f t="shared" si="3804"/>
        <v>0</v>
      </c>
    </row>
    <row r="1345" spans="1:54">
      <c r="A1345" s="492">
        <v>782</v>
      </c>
      <c r="B1345" s="13"/>
      <c r="C1345" s="13" t="s">
        <v>2629</v>
      </c>
      <c r="D1345" s="13"/>
      <c r="E1345" s="21" t="s">
        <v>2628</v>
      </c>
      <c r="F1345" s="45"/>
      <c r="G1345" s="45" t="s">
        <v>1059</v>
      </c>
      <c r="H1345" s="265" t="s">
        <v>359</v>
      </c>
      <c r="I1345" s="54"/>
      <c r="J1345" s="162"/>
      <c r="K1345" s="54">
        <v>2.16</v>
      </c>
      <c r="L1345" s="162"/>
      <c r="M1345" s="54"/>
      <c r="N1345" s="162"/>
      <c r="O1345" s="54"/>
      <c r="P1345" s="162"/>
      <c r="Q1345" s="96">
        <f t="shared" si="3779"/>
        <v>22.896000000000001</v>
      </c>
      <c r="R1345" s="337">
        <f t="shared" si="3780"/>
        <v>73.23151887360001</v>
      </c>
      <c r="S1345" s="96"/>
      <c r="T1345" s="96">
        <f t="shared" si="3829"/>
        <v>0</v>
      </c>
      <c r="U1345" s="96"/>
      <c r="V1345" s="96">
        <f t="shared" si="3782"/>
        <v>0</v>
      </c>
      <c r="W1345" s="96"/>
      <c r="X1345" s="96">
        <f t="shared" si="3783"/>
        <v>0</v>
      </c>
      <c r="Y1345" s="96">
        <f t="shared" si="3784"/>
        <v>0</v>
      </c>
      <c r="Z1345" s="96">
        <f t="shared" si="3785"/>
        <v>0</v>
      </c>
      <c r="AA1345" s="96">
        <v>22.896000000000001</v>
      </c>
      <c r="AB1345" s="96">
        <f t="shared" si="3786"/>
        <v>73.23151887360001</v>
      </c>
      <c r="AC1345" s="96"/>
      <c r="AD1345" s="96">
        <f t="shared" si="3787"/>
        <v>0</v>
      </c>
      <c r="AE1345" s="96"/>
      <c r="AF1345" s="95">
        <f t="shared" si="3788"/>
        <v>0</v>
      </c>
      <c r="AG1345" s="96">
        <f t="shared" si="3789"/>
        <v>22.896000000000001</v>
      </c>
      <c r="AH1345" s="96">
        <f t="shared" si="3790"/>
        <v>73.23151887360001</v>
      </c>
      <c r="AI1345" s="96">
        <f t="shared" si="3791"/>
        <v>22.896000000000001</v>
      </c>
      <c r="AJ1345" s="96">
        <f t="shared" si="3792"/>
        <v>73.23151887360001</v>
      </c>
      <c r="AK1345" s="96"/>
      <c r="AL1345" s="96">
        <f t="shared" si="3793"/>
        <v>0</v>
      </c>
      <c r="AM1345" s="96"/>
      <c r="AN1345" s="96">
        <f t="shared" si="3794"/>
        <v>0</v>
      </c>
      <c r="AO1345" s="96"/>
      <c r="AP1345" s="96">
        <f t="shared" si="3795"/>
        <v>0</v>
      </c>
      <c r="AQ1345" s="96">
        <f t="shared" si="3796"/>
        <v>0</v>
      </c>
      <c r="AR1345" s="96">
        <f t="shared" si="3797"/>
        <v>0</v>
      </c>
      <c r="AS1345" s="96"/>
      <c r="AT1345" s="96">
        <f t="shared" si="3798"/>
        <v>0</v>
      </c>
      <c r="AU1345" s="96"/>
      <c r="AV1345" s="96">
        <f t="shared" si="3799"/>
        <v>0</v>
      </c>
      <c r="AW1345" s="96"/>
      <c r="AX1345" s="96">
        <f t="shared" si="3800"/>
        <v>0</v>
      </c>
      <c r="AY1345" s="96">
        <f t="shared" si="3801"/>
        <v>0</v>
      </c>
      <c r="AZ1345" s="96">
        <f t="shared" si="3802"/>
        <v>0</v>
      </c>
      <c r="BA1345" s="96">
        <f t="shared" si="3803"/>
        <v>0</v>
      </c>
      <c r="BB1345" s="96">
        <f t="shared" si="3804"/>
        <v>0</v>
      </c>
    </row>
    <row r="1346" spans="1:54">
      <c r="A1346" s="492">
        <v>808</v>
      </c>
      <c r="B1346" s="200" t="s">
        <v>153</v>
      </c>
      <c r="C1346" s="80"/>
      <c r="D1346" s="80"/>
      <c r="E1346" s="80"/>
      <c r="F1346" s="80"/>
      <c r="G1346" s="80"/>
      <c r="H1346" s="285"/>
      <c r="I1346" s="156"/>
      <c r="J1346" s="135"/>
      <c r="K1346" s="134"/>
      <c r="L1346" s="174"/>
      <c r="M1346" s="134"/>
      <c r="N1346" s="174"/>
      <c r="O1346" s="156"/>
      <c r="P1346" s="135"/>
      <c r="Q1346" s="132">
        <f>SUM(Q1334:Q1345)</f>
        <v>600.25199999999995</v>
      </c>
      <c r="R1346" s="132">
        <f>SUM(R1334:R1345)</f>
        <v>1759.5093753660001</v>
      </c>
      <c r="S1346" s="132">
        <f>SUM(S1334:S1345)</f>
        <v>228.41399999999996</v>
      </c>
      <c r="T1346" s="132">
        <f t="shared" ref="T1346:BA1346" si="3830">SUM(T1334:T1345)</f>
        <v>685.33706385300002</v>
      </c>
      <c r="U1346" s="132">
        <f t="shared" si="3830"/>
        <v>228.51900000000001</v>
      </c>
      <c r="V1346" s="132">
        <f t="shared" si="3830"/>
        <v>588.62241704340011</v>
      </c>
      <c r="W1346" s="132">
        <f t="shared" si="3830"/>
        <v>92.207999999999998</v>
      </c>
      <c r="X1346" s="132">
        <f t="shared" si="3830"/>
        <v>332.47327910399997</v>
      </c>
      <c r="Y1346" s="132">
        <f t="shared" si="3830"/>
        <v>549.14099999999996</v>
      </c>
      <c r="Z1346" s="132">
        <f t="shared" si="3830"/>
        <v>1606.4327600004001</v>
      </c>
      <c r="AA1346" s="132">
        <f t="shared" si="3830"/>
        <v>51.111000000000004</v>
      </c>
      <c r="AB1346" s="132">
        <f t="shared" si="3830"/>
        <v>153.07661536559999</v>
      </c>
      <c r="AC1346" s="132">
        <f t="shared" si="3830"/>
        <v>0</v>
      </c>
      <c r="AD1346" s="132">
        <f t="shared" si="3830"/>
        <v>0</v>
      </c>
      <c r="AE1346" s="132">
        <f t="shared" si="3830"/>
        <v>0</v>
      </c>
      <c r="AF1346" s="132">
        <f t="shared" si="3830"/>
        <v>0</v>
      </c>
      <c r="AG1346" s="132">
        <f t="shared" si="3830"/>
        <v>51.111000000000004</v>
      </c>
      <c r="AH1346" s="132">
        <f t="shared" si="3830"/>
        <v>153.07661536559999</v>
      </c>
      <c r="AI1346" s="132">
        <f t="shared" si="3830"/>
        <v>600.25199999999995</v>
      </c>
      <c r="AJ1346" s="132">
        <f t="shared" si="3830"/>
        <v>1759.5093753660001</v>
      </c>
      <c r="AK1346" s="132">
        <f t="shared" si="3830"/>
        <v>0</v>
      </c>
      <c r="AL1346" s="132">
        <f t="shared" si="3830"/>
        <v>0</v>
      </c>
      <c r="AM1346" s="132">
        <f t="shared" si="3830"/>
        <v>0</v>
      </c>
      <c r="AN1346" s="132">
        <f t="shared" si="3830"/>
        <v>0</v>
      </c>
      <c r="AO1346" s="132">
        <f t="shared" si="3830"/>
        <v>0</v>
      </c>
      <c r="AP1346" s="132">
        <f t="shared" si="3830"/>
        <v>0</v>
      </c>
      <c r="AQ1346" s="132">
        <f t="shared" si="3830"/>
        <v>0</v>
      </c>
      <c r="AR1346" s="132">
        <f t="shared" si="3830"/>
        <v>0</v>
      </c>
      <c r="AS1346" s="132">
        <f t="shared" si="3830"/>
        <v>0</v>
      </c>
      <c r="AT1346" s="132">
        <f t="shared" si="3830"/>
        <v>0</v>
      </c>
      <c r="AU1346" s="132">
        <f t="shared" si="3830"/>
        <v>0</v>
      </c>
      <c r="AV1346" s="132">
        <f t="shared" si="3830"/>
        <v>0</v>
      </c>
      <c r="AW1346" s="132">
        <f t="shared" si="3830"/>
        <v>0</v>
      </c>
      <c r="AX1346" s="132">
        <f t="shared" si="3830"/>
        <v>0</v>
      </c>
      <c r="AY1346" s="132">
        <f t="shared" si="3830"/>
        <v>0</v>
      </c>
      <c r="AZ1346" s="132">
        <f t="shared" si="3830"/>
        <v>0</v>
      </c>
      <c r="BA1346" s="132">
        <f t="shared" si="3830"/>
        <v>0</v>
      </c>
      <c r="BB1346" s="132">
        <f>SUM(BB1334:BB1345)</f>
        <v>0</v>
      </c>
    </row>
    <row r="1347" spans="1:54">
      <c r="A1347" s="492">
        <v>818</v>
      </c>
      <c r="B1347" s="82" t="s">
        <v>287</v>
      </c>
      <c r="C1347" s="24"/>
      <c r="D1347" s="24"/>
      <c r="E1347" s="24"/>
      <c r="F1347" s="83"/>
      <c r="G1347" s="83"/>
      <c r="H1347" s="282"/>
      <c r="I1347" s="79"/>
      <c r="J1347" s="171"/>
      <c r="K1347" s="79"/>
      <c r="L1347" s="171"/>
      <c r="M1347" s="79"/>
      <c r="N1347" s="171"/>
      <c r="O1347" s="56"/>
      <c r="P1347" s="172"/>
      <c r="Q1347" s="133">
        <f>SUM(S1347+U1347+W1347+AA1347+AC1347+AE1347+AK1347+AM1347+AO1347+AS1347+AU1347+AW1347)</f>
        <v>0</v>
      </c>
      <c r="R1347" s="348">
        <f>SUM(T1347+V1347+X1347+AB1347+AD1347+AF1347+AL1347+AN1347+AP1347+AT1347+AV1347+AX1347)</f>
        <v>76.033014000000009</v>
      </c>
      <c r="S1347" s="133"/>
      <c r="T1347" s="133">
        <v>47.193480999999998</v>
      </c>
      <c r="U1347" s="133"/>
      <c r="V1347" s="186">
        <v>5.2653819999999998</v>
      </c>
      <c r="W1347" s="227"/>
      <c r="X1347" s="228">
        <v>8.0184899999999999</v>
      </c>
      <c r="Y1347" s="199">
        <f>SUM(S1347+U1347+W1347)</f>
        <v>0</v>
      </c>
      <c r="Z1347" s="186">
        <f>T1347+V1347+X1347</f>
        <v>60.477353000000001</v>
      </c>
      <c r="AA1347" s="227"/>
      <c r="AB1347" s="228">
        <v>15.555661000000001</v>
      </c>
      <c r="AC1347" s="227"/>
      <c r="AD1347" s="233"/>
      <c r="AE1347" s="227"/>
      <c r="AF1347" s="228"/>
      <c r="AG1347" s="199">
        <f>SUM(AA1347+AC1347+AE1347)</f>
        <v>0</v>
      </c>
      <c r="AH1347" s="186">
        <f>AB1347+AD1347+AF1347</f>
        <v>15.555661000000001</v>
      </c>
      <c r="AI1347" s="133">
        <f>SUM(Y1347+AG1347)</f>
        <v>0</v>
      </c>
      <c r="AJ1347" s="133">
        <f>SUM(Z1347+AH1347)</f>
        <v>76.033014000000009</v>
      </c>
      <c r="AK1347" s="227"/>
      <c r="AL1347" s="233"/>
      <c r="AM1347" s="252"/>
      <c r="AN1347" s="184"/>
      <c r="AO1347" s="227"/>
      <c r="AP1347" s="228"/>
      <c r="AQ1347" s="133">
        <f>AK1347+AM1347+AO1347</f>
        <v>0</v>
      </c>
      <c r="AR1347" s="133">
        <f>AL1347+AN1347+AP1347</f>
        <v>0</v>
      </c>
      <c r="AS1347" s="133"/>
      <c r="AT1347" s="186"/>
      <c r="AU1347" s="227"/>
      <c r="AV1347" s="233"/>
      <c r="AW1347" s="227"/>
      <c r="AX1347" s="228"/>
      <c r="AY1347" s="133">
        <f>AS1347+AU1347+AW1347</f>
        <v>0</v>
      </c>
      <c r="AZ1347" s="133">
        <f>AT1347+AV1347+AX1347</f>
        <v>0</v>
      </c>
      <c r="BA1347" s="133">
        <f>SUM(AQ1347+AY1347)</f>
        <v>0</v>
      </c>
      <c r="BB1347" s="133">
        <f>SUM(AR1347+AZ1347)</f>
        <v>0</v>
      </c>
    </row>
    <row r="1348" spans="1:54">
      <c r="B1348" s="472"/>
      <c r="C1348" s="472"/>
      <c r="D1348" s="472"/>
      <c r="E1348" s="472"/>
      <c r="F1348" s="473"/>
      <c r="G1348" s="473"/>
      <c r="H1348" s="474"/>
      <c r="I1348" s="470"/>
      <c r="J1348" s="471"/>
      <c r="K1348" s="470"/>
      <c r="L1348" s="471"/>
      <c r="M1348" s="470"/>
      <c r="N1348" s="471"/>
      <c r="O1348" s="470"/>
      <c r="P1348" s="471"/>
      <c r="Q1348" s="475"/>
      <c r="R1348" s="476"/>
      <c r="S1348" s="475"/>
      <c r="T1348" s="475"/>
      <c r="U1348" s="475"/>
      <c r="V1348" s="475"/>
      <c r="W1348" s="475"/>
      <c r="X1348" s="475"/>
      <c r="Y1348" s="475"/>
      <c r="Z1348" s="475"/>
      <c r="AA1348" s="475"/>
      <c r="AB1348" s="475"/>
      <c r="AC1348" s="475"/>
      <c r="AD1348" s="475"/>
      <c r="AE1348" s="475"/>
      <c r="AF1348" s="475"/>
      <c r="AG1348" s="475"/>
      <c r="AH1348" s="475"/>
      <c r="AI1348" s="475"/>
      <c r="AJ1348" s="475"/>
      <c r="AK1348" s="475"/>
      <c r="AL1348" s="475"/>
      <c r="AM1348" s="475"/>
      <c r="AN1348" s="475"/>
      <c r="AO1348" s="475"/>
      <c r="AP1348" s="475"/>
      <c r="AQ1348" s="475"/>
      <c r="AR1348" s="475"/>
      <c r="AS1348" s="475"/>
      <c r="AT1348" s="475"/>
      <c r="AU1348" s="475"/>
      <c r="AV1348" s="475"/>
      <c r="AW1348" s="475"/>
      <c r="AX1348" s="475"/>
      <c r="AY1348" s="475"/>
      <c r="AZ1348" s="475"/>
      <c r="BA1348" s="475"/>
      <c r="BB1348" s="475"/>
    </row>
    <row r="1349" spans="1:54">
      <c r="B1349" s="472"/>
      <c r="C1349" s="472"/>
      <c r="D1349" s="472"/>
      <c r="E1349" s="472"/>
      <c r="F1349" s="473"/>
      <c r="G1349" s="473"/>
      <c r="H1349" s="474"/>
      <c r="I1349" s="470"/>
      <c r="J1349" s="471"/>
      <c r="K1349" s="470"/>
      <c r="L1349" s="471"/>
      <c r="M1349" s="470"/>
      <c r="N1349" s="471"/>
      <c r="O1349" s="470"/>
      <c r="P1349" s="471"/>
      <c r="Q1349" s="475"/>
      <c r="R1349" s="476"/>
      <c r="S1349" s="475"/>
      <c r="T1349" s="475"/>
      <c r="U1349" s="475"/>
      <c r="V1349" s="475"/>
      <c r="W1349" s="475"/>
      <c r="X1349" s="475"/>
      <c r="Y1349" s="475"/>
      <c r="Z1349" s="475"/>
      <c r="AA1349" s="475"/>
      <c r="AB1349" s="475"/>
      <c r="AC1349" s="475"/>
      <c r="AD1349" s="475"/>
      <c r="AE1349" s="475"/>
      <c r="AF1349" s="475"/>
      <c r="AG1349" s="475"/>
      <c r="AH1349" s="475"/>
      <c r="AI1349" s="475"/>
      <c r="AJ1349" s="475"/>
      <c r="AK1349" s="475"/>
      <c r="AL1349" s="475"/>
      <c r="AM1349" s="475"/>
      <c r="AN1349" s="475"/>
      <c r="AO1349" s="475"/>
      <c r="AP1349" s="475"/>
      <c r="AQ1349" s="475"/>
      <c r="AR1349" s="475"/>
      <c r="AS1349" s="475"/>
      <c r="AT1349" s="475"/>
      <c r="AU1349" s="475"/>
      <c r="AV1349" s="475"/>
      <c r="AW1349" s="475"/>
      <c r="AX1349" s="475"/>
      <c r="AY1349" s="475"/>
      <c r="AZ1349" s="475"/>
      <c r="BA1349" s="475"/>
      <c r="BB1349" s="475"/>
    </row>
    <row r="1350" spans="1:54">
      <c r="A1350" s="1" t="s">
        <v>1065</v>
      </c>
      <c r="B1350" s="21"/>
      <c r="C1350" s="21"/>
      <c r="D1350" s="21"/>
      <c r="E1350" s="21"/>
      <c r="F1350" s="22"/>
      <c r="G1350" s="22"/>
      <c r="H1350" s="265"/>
      <c r="I1350" s="54">
        <v>11.3</v>
      </c>
      <c r="J1350" s="101"/>
      <c r="K1350" s="54"/>
      <c r="L1350" s="162"/>
      <c r="M1350" s="54"/>
      <c r="N1350" s="162"/>
      <c r="O1350" s="142"/>
      <c r="P1350" s="101"/>
      <c r="Q1350" s="96">
        <f t="shared" ref="Q1350" si="3831">SUM(AI1350+BA1350)</f>
        <v>0</v>
      </c>
      <c r="R1350" s="337">
        <f t="shared" ref="R1350" si="3832">SUM(AJ1350+BB1350)</f>
        <v>0</v>
      </c>
      <c r="S1350" s="96"/>
      <c r="T1350" s="96">
        <f>I1350*S1350*$T$2/1000</f>
        <v>0</v>
      </c>
      <c r="U1350" s="96"/>
      <c r="V1350" s="176">
        <f>I1350*U1350*$V$2/1000</f>
        <v>0</v>
      </c>
      <c r="W1350" s="206"/>
      <c r="X1350" s="205">
        <f>I1350*W1350*$X$2/1000</f>
        <v>0</v>
      </c>
      <c r="Y1350" s="188">
        <f t="shared" ref="Y1350" si="3833">SUM(S1350+U1350+W1350)</f>
        <v>0</v>
      </c>
      <c r="Z1350" s="176">
        <f t="shared" ref="Z1350" si="3834">SUM(T1350+V1350+X1350)</f>
        <v>0</v>
      </c>
      <c r="AA1350" s="206"/>
      <c r="AB1350" s="205">
        <f>K1350*AA1350*$AB$2/1000</f>
        <v>0</v>
      </c>
      <c r="AC1350" s="206"/>
      <c r="AD1350" s="176">
        <f>K1350*AC1350*$AD$2/1000</f>
        <v>0</v>
      </c>
      <c r="AE1350" s="206"/>
      <c r="AF1350" s="205">
        <f t="shared" ref="AF1350" si="3835">K1350*AE1350*$AF$2/1000</f>
        <v>0</v>
      </c>
      <c r="AG1350" s="188">
        <f t="shared" ref="AG1350" si="3836">SUM(AA1350+AC1350+AE1350)</f>
        <v>0</v>
      </c>
      <c r="AH1350" s="96">
        <f t="shared" ref="AH1350" si="3837">SUM(AB1350+AD1350+AF1350)</f>
        <v>0</v>
      </c>
      <c r="AI1350" s="96">
        <f t="shared" ref="AI1350" si="3838">SUM(Y1350+AG1350)</f>
        <v>0</v>
      </c>
      <c r="AJ1350" s="176">
        <f t="shared" ref="AJ1350" si="3839">SUM(Z1350,AH1350)</f>
        <v>0</v>
      </c>
      <c r="AK1350" s="206"/>
      <c r="AL1350" s="176">
        <f t="shared" ref="AL1350" si="3840">M1350*AK1350*$AL$2/1000</f>
        <v>0</v>
      </c>
      <c r="AM1350" s="243"/>
      <c r="AN1350" s="176">
        <f t="shared" ref="AN1350" si="3841">M1350*AM1350*$AN$2/1000</f>
        <v>0</v>
      </c>
      <c r="AO1350" s="206"/>
      <c r="AP1350" s="205">
        <f t="shared" ref="AP1350" si="3842">M1350*AO1350*$AP$2/1000</f>
        <v>0</v>
      </c>
      <c r="AQ1350" s="188">
        <f t="shared" ref="AQ1350" si="3843">SUM(AK1350+AM1350+AO1350)</f>
        <v>0</v>
      </c>
      <c r="AR1350" s="96">
        <f t="shared" ref="AR1350" si="3844">SUM(AL1350+AN1350+AP1350)</f>
        <v>0</v>
      </c>
      <c r="AS1350" s="96"/>
      <c r="AT1350" s="176">
        <f t="shared" ref="AT1350" si="3845">O1350*AS1350*$AT$2/1000</f>
        <v>0</v>
      </c>
      <c r="AU1350" s="206"/>
      <c r="AV1350" s="176">
        <f t="shared" ref="AV1350" si="3846">O1350*AU1350*$AV$2/1000</f>
        <v>0</v>
      </c>
      <c r="AW1350" s="206"/>
      <c r="AX1350" s="205">
        <f t="shared" ref="AX1350" si="3847">O1350*AW1350*$AX$2/1000</f>
        <v>0</v>
      </c>
      <c r="AY1350" s="188">
        <f t="shared" ref="AY1350" si="3848">SUM(AS1350+AU1350+AW1350)</f>
        <v>0</v>
      </c>
      <c r="AZ1350" s="96">
        <f t="shared" ref="AZ1350" si="3849">SUM(AT1350+AV1350+AX1350)</f>
        <v>0</v>
      </c>
      <c r="BA1350" s="96">
        <f t="shared" ref="BA1350" si="3850">SUM(AQ1350+AY1350)</f>
        <v>0</v>
      </c>
      <c r="BB1350" s="96">
        <f t="shared" ref="BB1350" si="3851">SUM(AR1350,AZ1350)</f>
        <v>0</v>
      </c>
    </row>
    <row r="1352" spans="1:54">
      <c r="A1352" s="1" t="s">
        <v>1066</v>
      </c>
      <c r="B1352" s="82"/>
      <c r="C1352" s="82"/>
      <c r="D1352" s="82"/>
      <c r="E1352" s="82"/>
      <c r="F1352" s="468"/>
      <c r="G1352" s="468"/>
      <c r="H1352" s="278"/>
      <c r="I1352" s="56"/>
      <c r="J1352" s="469">
        <v>1000000</v>
      </c>
      <c r="K1352" s="56"/>
      <c r="L1352" s="172"/>
      <c r="M1352" s="56"/>
      <c r="N1352" s="172"/>
      <c r="O1352" s="56"/>
      <c r="P1352" s="172"/>
      <c r="Q1352" s="97">
        <f t="shared" ref="Q1352" si="3852">SUM(AI1352+BA1352)</f>
        <v>0</v>
      </c>
      <c r="R1352" s="359">
        <f t="shared" ref="R1352" si="3853">SUM(AJ1352+BB1352)</f>
        <v>0</v>
      </c>
      <c r="S1352" s="97"/>
      <c r="T1352" s="97">
        <f t="shared" ref="T1352" si="3854">J1352*S1352/1000</f>
        <v>0</v>
      </c>
      <c r="U1352" s="97"/>
      <c r="V1352" s="97">
        <f t="shared" ref="V1352" si="3855">J1352*U1352/1000</f>
        <v>0</v>
      </c>
      <c r="W1352" s="97"/>
      <c r="X1352" s="97">
        <f t="shared" ref="X1352" si="3856">J1352*W1352/1000</f>
        <v>0</v>
      </c>
      <c r="Y1352" s="97">
        <f t="shared" ref="Y1352" si="3857">SUM(S1352+U1352+W1352)</f>
        <v>0</v>
      </c>
      <c r="Z1352" s="97">
        <f t="shared" ref="Z1352" si="3858">SUM(T1352+V1352+X1352)</f>
        <v>0</v>
      </c>
      <c r="AA1352" s="97"/>
      <c r="AB1352" s="97">
        <f t="shared" ref="AB1352" si="3859">L1352*AA1352/1000</f>
        <v>0</v>
      </c>
      <c r="AC1352" s="97"/>
      <c r="AD1352" s="97">
        <f t="shared" ref="AD1352" si="3860">L1352*AC1352/1000</f>
        <v>0</v>
      </c>
      <c r="AE1352" s="97"/>
      <c r="AF1352" s="97">
        <f t="shared" ref="AF1352" si="3861">L1352*AE1352/1000</f>
        <v>0</v>
      </c>
      <c r="AG1352" s="97">
        <f t="shared" ref="AG1352" si="3862">SUM(AA1352+AC1352+AE1352)</f>
        <v>0</v>
      </c>
      <c r="AH1352" s="97">
        <f t="shared" ref="AH1352" si="3863">SUM(AB1352+AD1352+AF1352)</f>
        <v>0</v>
      </c>
      <c r="AI1352" s="97">
        <f t="shared" ref="AI1352" si="3864">SUM(Y1352+AG1352)</f>
        <v>0</v>
      </c>
      <c r="AJ1352" s="97">
        <f t="shared" ref="AJ1352" si="3865">SUM(Z1352,AH1352)</f>
        <v>0</v>
      </c>
      <c r="AK1352" s="97"/>
      <c r="AL1352" s="97">
        <f t="shared" ref="AL1352" si="3866">N1352*AK1352/1000</f>
        <v>0</v>
      </c>
      <c r="AM1352" s="97"/>
      <c r="AN1352" s="97">
        <f t="shared" ref="AN1352" si="3867">N1352*AM1352/1000</f>
        <v>0</v>
      </c>
      <c r="AO1352" s="97"/>
      <c r="AP1352" s="97">
        <f t="shared" ref="AP1352" si="3868">N1352*AO1352/1000</f>
        <v>0</v>
      </c>
      <c r="AQ1352" s="97">
        <f t="shared" ref="AQ1352" si="3869">SUM(AK1352+AM1352+AO1352)</f>
        <v>0</v>
      </c>
      <c r="AR1352" s="97">
        <f t="shared" ref="AR1352" si="3870">SUM(AL1352+AN1352+AP1352)</f>
        <v>0</v>
      </c>
      <c r="AS1352" s="97"/>
      <c r="AT1352" s="97">
        <f t="shared" ref="AT1352" si="3871">P1352*AS1352/1000</f>
        <v>0</v>
      </c>
      <c r="AU1352" s="97"/>
      <c r="AV1352" s="97">
        <f t="shared" ref="AV1352" si="3872">P1352*AU1352/1000</f>
        <v>0</v>
      </c>
      <c r="AW1352" s="97"/>
      <c r="AX1352" s="97">
        <f t="shared" ref="AX1352" si="3873">P1352*AW1352/1000</f>
        <v>0</v>
      </c>
      <c r="AY1352" s="97">
        <f t="shared" ref="AY1352" si="3874">SUM(AS1352+AU1352+AW1352)</f>
        <v>0</v>
      </c>
      <c r="AZ1352" s="97">
        <f t="shared" ref="AZ1352" si="3875">SUM(AT1352+AV1352+AX1352)</f>
        <v>0</v>
      </c>
      <c r="BA1352" s="97">
        <f t="shared" ref="BA1352" si="3876">SUM(AQ1352+AY1352)</f>
        <v>0</v>
      </c>
      <c r="BB1352" s="97">
        <f t="shared" ref="BB1352" si="3877">SUM(AR1352,AZ1352)</f>
        <v>0</v>
      </c>
    </row>
    <row r="1354" spans="1:54" hidden="1" outlineLevel="1"/>
    <row r="1355" spans="1:54" ht="12.75" hidden="1" outlineLevel="1" thickBot="1">
      <c r="D1355" s="7"/>
      <c r="E1355" s="7"/>
      <c r="Q1355" s="1"/>
      <c r="R1355" s="295" t="e">
        <f>Q1357-R6</f>
        <v>#REF!</v>
      </c>
      <c r="S1355" s="1"/>
      <c r="T1355" s="295" t="e">
        <f>S1357-T6</f>
        <v>#REF!</v>
      </c>
      <c r="U1355" s="1"/>
      <c r="V1355" s="295" t="e">
        <f>U1357-V6</f>
        <v>#REF!</v>
      </c>
      <c r="X1355" s="295" t="e">
        <f>W1357-X6</f>
        <v>#REF!</v>
      </c>
      <c r="Z1355" s="295" t="e">
        <f>Y1357-Z6</f>
        <v>#REF!</v>
      </c>
      <c r="AB1355" s="295" t="e">
        <f>AA1357-AB6</f>
        <v>#REF!</v>
      </c>
      <c r="AD1355" s="295" t="e">
        <f>AC1357-AD6</f>
        <v>#REF!</v>
      </c>
      <c r="AF1355" s="295" t="e">
        <f>AE1357-AF6</f>
        <v>#REF!</v>
      </c>
      <c r="AH1355" s="295" t="e">
        <f>AG1357-AH6</f>
        <v>#REF!</v>
      </c>
      <c r="AJ1355" s="295" t="e">
        <f>AI1357-AJ6</f>
        <v>#REF!</v>
      </c>
      <c r="AL1355" s="295" t="e">
        <f>AK1357-AL6</f>
        <v>#REF!</v>
      </c>
      <c r="AN1355" s="295" t="e">
        <f>AM1357-AN6</f>
        <v>#REF!</v>
      </c>
      <c r="AP1355" s="295" t="e">
        <f>AO1357-AP6</f>
        <v>#REF!</v>
      </c>
      <c r="AR1355" s="295" t="e">
        <f>AQ1357-AR6</f>
        <v>#REF!</v>
      </c>
      <c r="AT1355" s="295" t="e">
        <f>AS1357-AT6</f>
        <v>#REF!</v>
      </c>
      <c r="AV1355" s="295" t="e">
        <f>AU1357-AV6</f>
        <v>#REF!</v>
      </c>
      <c r="AX1355" s="295" t="e">
        <f>AW1357-AX6</f>
        <v>#REF!</v>
      </c>
      <c r="AZ1355" s="295" t="e">
        <f>AY1357-AZ6</f>
        <v>#REF!</v>
      </c>
      <c r="BB1355" s="295" t="e">
        <f>BA1357-BB6</f>
        <v>#REF!</v>
      </c>
    </row>
    <row r="1356" spans="1:54" ht="14.25" hidden="1" outlineLevel="1" thickBot="1">
      <c r="D1356" s="595" t="s">
        <v>761</v>
      </c>
      <c r="E1356" s="596"/>
      <c r="F1356" s="596"/>
      <c r="G1356" s="596"/>
      <c r="H1356" s="597"/>
      <c r="Q1356" s="603" t="str">
        <f>Q3</f>
        <v>년계</v>
      </c>
      <c r="R1356" s="604"/>
      <c r="S1356" s="605" t="str">
        <f>S3</f>
        <v>1월</v>
      </c>
      <c r="T1356" s="585"/>
      <c r="U1356" s="584" t="str">
        <f>U3</f>
        <v>2월</v>
      </c>
      <c r="V1356" s="585"/>
      <c r="W1356" s="584" t="str">
        <f>W3</f>
        <v>3월</v>
      </c>
      <c r="X1356" s="585"/>
      <c r="Y1356" s="584" t="str">
        <f>Y3</f>
        <v>1분기</v>
      </c>
      <c r="Z1356" s="585"/>
      <c r="AA1356" s="584" t="str">
        <f>AA3</f>
        <v>4월</v>
      </c>
      <c r="AB1356" s="585"/>
      <c r="AC1356" s="584" t="str">
        <f>AC3</f>
        <v>5월</v>
      </c>
      <c r="AD1356" s="585"/>
      <c r="AE1356" s="584" t="str">
        <f>AE3</f>
        <v>6월</v>
      </c>
      <c r="AF1356" s="585"/>
      <c r="AG1356" s="584" t="str">
        <f>AG3</f>
        <v>2분기</v>
      </c>
      <c r="AH1356" s="585"/>
      <c r="AI1356" s="584" t="str">
        <f>AI3</f>
        <v>상반기</v>
      </c>
      <c r="AJ1356" s="585"/>
      <c r="AK1356" s="584" t="str">
        <f>AK3</f>
        <v>7월</v>
      </c>
      <c r="AL1356" s="585"/>
      <c r="AM1356" s="584" t="str">
        <f>AM3</f>
        <v>8월</v>
      </c>
      <c r="AN1356" s="585"/>
      <c r="AO1356" s="584" t="str">
        <f>AO3</f>
        <v>9월</v>
      </c>
      <c r="AP1356" s="585"/>
      <c r="AQ1356" s="584" t="str">
        <f>AQ3</f>
        <v>3분기</v>
      </c>
      <c r="AR1356" s="585"/>
      <c r="AS1356" s="584" t="str">
        <f>AS3</f>
        <v>10월</v>
      </c>
      <c r="AT1356" s="585"/>
      <c r="AU1356" s="584" t="str">
        <f>AU3</f>
        <v>11월</v>
      </c>
      <c r="AV1356" s="585"/>
      <c r="AW1356" s="584" t="str">
        <f>AW3</f>
        <v>12월</v>
      </c>
      <c r="AX1356" s="585"/>
      <c r="AY1356" s="584" t="str">
        <f>AY3</f>
        <v>4분기</v>
      </c>
      <c r="AZ1356" s="585"/>
      <c r="BA1356" s="584" t="str">
        <f>BA3</f>
        <v>하반기</v>
      </c>
      <c r="BB1356" s="585"/>
    </row>
    <row r="1357" spans="1:54" s="380" customFormat="1" ht="17.25" hidden="1" customHeight="1" outlineLevel="1" thickBot="1">
      <c r="D1357" s="386"/>
      <c r="E1357" s="387" t="s">
        <v>760</v>
      </c>
      <c r="F1357" s="387"/>
      <c r="G1357" s="387"/>
      <c r="H1357" s="387"/>
      <c r="I1357" s="388"/>
      <c r="J1357" s="388"/>
      <c r="K1357" s="388"/>
      <c r="L1357" s="388"/>
      <c r="M1357" s="388"/>
      <c r="N1357" s="388"/>
      <c r="O1357" s="388"/>
      <c r="P1357" s="388"/>
      <c r="Q1357" s="613" t="e">
        <f t="shared" ref="Q1357" si="3878">R1368+R1372+R1376+R1381+R1384+R1385+R1386+R1387</f>
        <v>#REF!</v>
      </c>
      <c r="R1357" s="614"/>
      <c r="S1357" s="598" t="e">
        <f t="shared" ref="S1357" si="3879">T1368+T1372+T1376+T1381+T1384+T1385+T1386+T1387</f>
        <v>#REF!</v>
      </c>
      <c r="T1357" s="583"/>
      <c r="U1357" s="582" t="e">
        <f t="shared" ref="U1357" si="3880">V1368+V1372+V1376+V1381+V1384+V1385+V1386+V1387</f>
        <v>#REF!</v>
      </c>
      <c r="V1357" s="583"/>
      <c r="W1357" s="582" t="e">
        <f t="shared" ref="W1357" si="3881">X1368+X1372+X1376+X1381+X1384+X1385+X1386+X1387</f>
        <v>#REF!</v>
      </c>
      <c r="X1357" s="583"/>
      <c r="Y1357" s="582" t="e">
        <f t="shared" ref="Y1357" si="3882">Z1368+Z1372+Z1376+Z1381+Z1384+Z1385+Z1386+Z1387</f>
        <v>#REF!</v>
      </c>
      <c r="Z1357" s="583"/>
      <c r="AA1357" s="582" t="e">
        <f t="shared" ref="AA1357" si="3883">AB1368+AB1372+AB1376+AB1381+AB1384+AB1385+AB1386+AB1387</f>
        <v>#REF!</v>
      </c>
      <c r="AB1357" s="583"/>
      <c r="AC1357" s="582" t="e">
        <f t="shared" ref="AC1357" si="3884">AD1368+AD1372+AD1376+AD1381+AD1384+AD1385+AD1386+AD1387</f>
        <v>#REF!</v>
      </c>
      <c r="AD1357" s="583"/>
      <c r="AE1357" s="582" t="e">
        <f>AF1368+AF1372+AF1376+AF1381+AF1384+AF1385+AF1386+AF1387</f>
        <v>#REF!</v>
      </c>
      <c r="AF1357" s="583"/>
      <c r="AG1357" s="582" t="e">
        <f t="shared" ref="AG1357" si="3885">AH1368+AH1372+AH1376+AH1381+AH1384+AH1385+AH1386+AH1387</f>
        <v>#REF!</v>
      </c>
      <c r="AH1357" s="583"/>
      <c r="AI1357" s="582" t="e">
        <f t="shared" ref="AI1357" si="3886">AJ1368+AJ1372+AJ1376+AJ1381+AJ1384+AJ1385+AJ1386+AJ1387</f>
        <v>#REF!</v>
      </c>
      <c r="AJ1357" s="583"/>
      <c r="AK1357" s="582" t="e">
        <f t="shared" ref="AK1357" si="3887">AL1368+AL1372+AL1376+AL1381+AL1384+AL1385+AL1386+AL1387</f>
        <v>#REF!</v>
      </c>
      <c r="AL1357" s="583"/>
      <c r="AM1357" s="582" t="e">
        <f t="shared" ref="AM1357" si="3888">AN1368+AN1372+AN1376+AN1381+AN1384+AN1385+AN1386+AN1387</f>
        <v>#REF!</v>
      </c>
      <c r="AN1357" s="583"/>
      <c r="AO1357" s="582" t="e">
        <f t="shared" ref="AO1357" si="3889">AP1368+AP1372+AP1376+AP1381+AP1384+AP1385+AP1386+AP1387</f>
        <v>#REF!</v>
      </c>
      <c r="AP1357" s="583"/>
      <c r="AQ1357" s="582" t="e">
        <f t="shared" ref="AQ1357" si="3890">AR1368+AR1372+AR1376+AR1381+AR1384+AR1385+AR1386+AR1387</f>
        <v>#REF!</v>
      </c>
      <c r="AR1357" s="583"/>
      <c r="AS1357" s="582" t="e">
        <f t="shared" ref="AS1357" si="3891">AT1368+AT1372+AT1376+AT1381+AT1384+AT1385+AT1386+AT1387</f>
        <v>#REF!</v>
      </c>
      <c r="AT1357" s="583"/>
      <c r="AU1357" s="582" t="e">
        <f t="shared" ref="AU1357" si="3892">AV1368+AV1372+AV1376+AV1381+AV1384+AV1385+AV1386+AV1387</f>
        <v>#REF!</v>
      </c>
      <c r="AV1357" s="583"/>
      <c r="AW1357" s="582" t="e">
        <f t="shared" ref="AW1357" si="3893">AX1368+AX1372+AX1376+AX1381+AX1384+AX1385+AX1386+AX1387</f>
        <v>#REF!</v>
      </c>
      <c r="AX1357" s="583"/>
      <c r="AY1357" s="582" t="e">
        <f t="shared" ref="AY1357" si="3894">AZ1368+AZ1372+AZ1376+AZ1381+AZ1384+AZ1385+AZ1386+AZ1387</f>
        <v>#REF!</v>
      </c>
      <c r="AZ1357" s="583"/>
      <c r="BA1357" s="582" t="e">
        <f t="shared" ref="BA1357" si="3895">BB1368+BB1372+BB1376+BB1381+BB1384+BB1385+BB1386+BB1387</f>
        <v>#REF!</v>
      </c>
      <c r="BB1357" s="583"/>
    </row>
    <row r="1358" spans="1:54" ht="13.5" hidden="1" outlineLevel="1">
      <c r="D1358" s="373" t="s">
        <v>748</v>
      </c>
      <c r="E1358" s="373" t="s">
        <v>749</v>
      </c>
      <c r="F1358" s="589" t="s">
        <v>750</v>
      </c>
      <c r="G1358" s="590"/>
      <c r="H1358" s="590"/>
      <c r="Q1358" s="394">
        <f t="shared" ref="Q1358:BB1358" si="3896">Q29</f>
        <v>45.231999999999999</v>
      </c>
      <c r="R1358" s="395">
        <f t="shared" si="3896"/>
        <v>721.00759811969999</v>
      </c>
      <c r="S1358" s="389">
        <f t="shared" si="3896"/>
        <v>15.030000000000001</v>
      </c>
      <c r="T1358" s="385">
        <f t="shared" si="3896"/>
        <v>225.65540123100004</v>
      </c>
      <c r="U1358" s="385">
        <f t="shared" si="3896"/>
        <v>13.573</v>
      </c>
      <c r="V1358" s="385">
        <f t="shared" si="3896"/>
        <v>217.2947802246</v>
      </c>
      <c r="W1358" s="385">
        <f t="shared" si="3896"/>
        <v>14.057</v>
      </c>
      <c r="X1358" s="385">
        <f t="shared" si="3896"/>
        <v>235.47674133449996</v>
      </c>
      <c r="Y1358" s="385">
        <f t="shared" si="3896"/>
        <v>42.66</v>
      </c>
      <c r="Z1358" s="385">
        <f t="shared" si="3896"/>
        <v>678.42692279009998</v>
      </c>
      <c r="AA1358" s="385">
        <f t="shared" si="3896"/>
        <v>2.5720000000000001</v>
      </c>
      <c r="AB1358" s="385">
        <f t="shared" si="3896"/>
        <v>42.580675329600005</v>
      </c>
      <c r="AC1358" s="385">
        <f t="shared" si="3896"/>
        <v>0</v>
      </c>
      <c r="AD1358" s="385">
        <f t="shared" si="3896"/>
        <v>0</v>
      </c>
      <c r="AE1358" s="385">
        <f t="shared" si="3896"/>
        <v>0</v>
      </c>
      <c r="AF1358" s="385">
        <f t="shared" si="3896"/>
        <v>0</v>
      </c>
      <c r="AG1358" s="385">
        <f t="shared" si="3896"/>
        <v>2.5720000000000001</v>
      </c>
      <c r="AH1358" s="385">
        <f t="shared" si="3896"/>
        <v>42.580675329600005</v>
      </c>
      <c r="AI1358" s="385">
        <f t="shared" si="3896"/>
        <v>45.231999999999999</v>
      </c>
      <c r="AJ1358" s="385">
        <f t="shared" si="3896"/>
        <v>721.00759811969999</v>
      </c>
      <c r="AK1358" s="385">
        <f t="shared" si="3896"/>
        <v>0</v>
      </c>
      <c r="AL1358" s="385">
        <f t="shared" si="3896"/>
        <v>0</v>
      </c>
      <c r="AM1358" s="385">
        <f t="shared" si="3896"/>
        <v>0</v>
      </c>
      <c r="AN1358" s="385">
        <f t="shared" si="3896"/>
        <v>0</v>
      </c>
      <c r="AO1358" s="385">
        <f t="shared" si="3896"/>
        <v>0</v>
      </c>
      <c r="AP1358" s="385">
        <f t="shared" si="3896"/>
        <v>0</v>
      </c>
      <c r="AQ1358" s="385">
        <f t="shared" si="3896"/>
        <v>0</v>
      </c>
      <c r="AR1358" s="385">
        <f t="shared" si="3896"/>
        <v>0</v>
      </c>
      <c r="AS1358" s="385">
        <f t="shared" si="3896"/>
        <v>0</v>
      </c>
      <c r="AT1358" s="385">
        <f t="shared" si="3896"/>
        <v>0</v>
      </c>
      <c r="AU1358" s="385">
        <f t="shared" si="3896"/>
        <v>0</v>
      </c>
      <c r="AV1358" s="385">
        <f t="shared" si="3896"/>
        <v>0</v>
      </c>
      <c r="AW1358" s="385">
        <f t="shared" si="3896"/>
        <v>0</v>
      </c>
      <c r="AX1358" s="385">
        <f t="shared" si="3896"/>
        <v>0</v>
      </c>
      <c r="AY1358" s="385">
        <f t="shared" si="3896"/>
        <v>0</v>
      </c>
      <c r="AZ1358" s="385">
        <f t="shared" si="3896"/>
        <v>0</v>
      </c>
      <c r="BA1358" s="385">
        <f t="shared" si="3896"/>
        <v>0</v>
      </c>
      <c r="BB1358" s="385">
        <f t="shared" si="3896"/>
        <v>0</v>
      </c>
    </row>
    <row r="1359" spans="1:54" ht="13.5" hidden="1" outlineLevel="1">
      <c r="D1359" s="373"/>
      <c r="E1359" s="373"/>
      <c r="F1359" s="586" t="s">
        <v>751</v>
      </c>
      <c r="G1359" s="587"/>
      <c r="H1359" s="588"/>
      <c r="Q1359" s="396">
        <f t="shared" ref="Q1359:BB1359" si="3897">Q70+Q115</f>
        <v>780.59100000000012</v>
      </c>
      <c r="R1359" s="397">
        <f t="shared" si="3897"/>
        <v>12314.392618823002</v>
      </c>
      <c r="S1359" s="390">
        <f t="shared" si="3897"/>
        <v>296.50600000000009</v>
      </c>
      <c r="T1359" s="379">
        <f t="shared" si="3897"/>
        <v>4398.7207777825006</v>
      </c>
      <c r="U1359" s="379">
        <f t="shared" si="3897"/>
        <v>257.64999999999998</v>
      </c>
      <c r="V1359" s="379">
        <f t="shared" si="3897"/>
        <v>4712.7925519374012</v>
      </c>
      <c r="W1359" s="379">
        <f t="shared" si="3897"/>
        <v>175.13699999999997</v>
      </c>
      <c r="X1359" s="379">
        <f t="shared" si="3897"/>
        <v>2546.2167210710995</v>
      </c>
      <c r="Y1359" s="379">
        <f t="shared" si="3897"/>
        <v>729.29300000000001</v>
      </c>
      <c r="Z1359" s="379">
        <f t="shared" si="3897"/>
        <v>11657.730050791</v>
      </c>
      <c r="AA1359" s="379">
        <f t="shared" si="3897"/>
        <v>51.298000000000002</v>
      </c>
      <c r="AB1359" s="379">
        <f t="shared" si="3897"/>
        <v>656.66256803200008</v>
      </c>
      <c r="AC1359" s="379">
        <f t="shared" si="3897"/>
        <v>0</v>
      </c>
      <c r="AD1359" s="379">
        <f t="shared" si="3897"/>
        <v>0</v>
      </c>
      <c r="AE1359" s="379">
        <f t="shared" si="3897"/>
        <v>0</v>
      </c>
      <c r="AF1359" s="379">
        <f t="shared" si="3897"/>
        <v>0</v>
      </c>
      <c r="AG1359" s="379">
        <f t="shared" si="3897"/>
        <v>51.298000000000002</v>
      </c>
      <c r="AH1359" s="379">
        <f t="shared" si="3897"/>
        <v>656.66256803200008</v>
      </c>
      <c r="AI1359" s="379">
        <f t="shared" si="3897"/>
        <v>780.59100000000012</v>
      </c>
      <c r="AJ1359" s="379">
        <f t="shared" si="3897"/>
        <v>12314.392618823002</v>
      </c>
      <c r="AK1359" s="379">
        <f t="shared" si="3897"/>
        <v>0</v>
      </c>
      <c r="AL1359" s="379">
        <f t="shared" si="3897"/>
        <v>0</v>
      </c>
      <c r="AM1359" s="379">
        <f t="shared" si="3897"/>
        <v>0</v>
      </c>
      <c r="AN1359" s="379">
        <f t="shared" si="3897"/>
        <v>0</v>
      </c>
      <c r="AO1359" s="379">
        <f t="shared" si="3897"/>
        <v>0</v>
      </c>
      <c r="AP1359" s="379">
        <f t="shared" si="3897"/>
        <v>0</v>
      </c>
      <c r="AQ1359" s="379">
        <f t="shared" si="3897"/>
        <v>0</v>
      </c>
      <c r="AR1359" s="379">
        <f t="shared" si="3897"/>
        <v>0</v>
      </c>
      <c r="AS1359" s="379">
        <f t="shared" si="3897"/>
        <v>0</v>
      </c>
      <c r="AT1359" s="379">
        <f t="shared" si="3897"/>
        <v>0</v>
      </c>
      <c r="AU1359" s="379">
        <f t="shared" si="3897"/>
        <v>0</v>
      </c>
      <c r="AV1359" s="379">
        <f t="shared" si="3897"/>
        <v>0</v>
      </c>
      <c r="AW1359" s="379">
        <f t="shared" si="3897"/>
        <v>0</v>
      </c>
      <c r="AX1359" s="379">
        <f t="shared" si="3897"/>
        <v>0</v>
      </c>
      <c r="AY1359" s="379">
        <f t="shared" si="3897"/>
        <v>0</v>
      </c>
      <c r="AZ1359" s="379">
        <f t="shared" si="3897"/>
        <v>0</v>
      </c>
      <c r="BA1359" s="379">
        <f t="shared" si="3897"/>
        <v>0</v>
      </c>
      <c r="BB1359" s="379">
        <f t="shared" si="3897"/>
        <v>0</v>
      </c>
    </row>
    <row r="1360" spans="1:54" s="380" customFormat="1" ht="13.5" hidden="1" outlineLevel="1">
      <c r="D1360" s="376"/>
      <c r="E1360" s="378"/>
      <c r="F1360" s="593" t="s">
        <v>752</v>
      </c>
      <c r="G1360" s="593"/>
      <c r="H1360" s="594"/>
      <c r="Q1360" s="398">
        <f t="shared" ref="Q1360:AE1360" si="3898">SUM(Q1358:Q1359)</f>
        <v>825.82300000000009</v>
      </c>
      <c r="R1360" s="399">
        <f t="shared" si="3898"/>
        <v>13035.400216942702</v>
      </c>
      <c r="S1360" s="391">
        <f t="shared" si="3898"/>
        <v>311.53600000000006</v>
      </c>
      <c r="T1360" s="383">
        <f t="shared" si="3898"/>
        <v>4624.3761790135004</v>
      </c>
      <c r="U1360" s="383">
        <f t="shared" si="3898"/>
        <v>271.22299999999996</v>
      </c>
      <c r="V1360" s="383">
        <f t="shared" si="3898"/>
        <v>4930.0873321620011</v>
      </c>
      <c r="W1360" s="383">
        <f t="shared" si="3898"/>
        <v>189.19399999999996</v>
      </c>
      <c r="X1360" s="383">
        <f t="shared" si="3898"/>
        <v>2781.6934624055993</v>
      </c>
      <c r="Y1360" s="383">
        <f t="shared" si="3898"/>
        <v>771.95299999999997</v>
      </c>
      <c r="Z1360" s="383">
        <f t="shared" si="3898"/>
        <v>12336.156973581101</v>
      </c>
      <c r="AA1360" s="383">
        <f t="shared" si="3898"/>
        <v>53.870000000000005</v>
      </c>
      <c r="AB1360" s="383">
        <f t="shared" si="3898"/>
        <v>699.24324336160009</v>
      </c>
      <c r="AC1360" s="383">
        <f t="shared" si="3898"/>
        <v>0</v>
      </c>
      <c r="AD1360" s="383">
        <f t="shared" si="3898"/>
        <v>0</v>
      </c>
      <c r="AE1360" s="383">
        <f t="shared" si="3898"/>
        <v>0</v>
      </c>
      <c r="AF1360" s="383">
        <f>SUM(AF1358:AF1359)</f>
        <v>0</v>
      </c>
      <c r="AG1360" s="383">
        <f t="shared" ref="AG1360:BB1360" si="3899">SUM(AG1358:AG1359)</f>
        <v>53.870000000000005</v>
      </c>
      <c r="AH1360" s="383">
        <f t="shared" si="3899"/>
        <v>699.24324336160009</v>
      </c>
      <c r="AI1360" s="383">
        <f t="shared" si="3899"/>
        <v>825.82300000000009</v>
      </c>
      <c r="AJ1360" s="383">
        <f t="shared" si="3899"/>
        <v>13035.400216942702</v>
      </c>
      <c r="AK1360" s="383">
        <f t="shared" si="3899"/>
        <v>0</v>
      </c>
      <c r="AL1360" s="383">
        <f t="shared" si="3899"/>
        <v>0</v>
      </c>
      <c r="AM1360" s="383">
        <f t="shared" si="3899"/>
        <v>0</v>
      </c>
      <c r="AN1360" s="383">
        <f t="shared" si="3899"/>
        <v>0</v>
      </c>
      <c r="AO1360" s="383">
        <f t="shared" si="3899"/>
        <v>0</v>
      </c>
      <c r="AP1360" s="383">
        <f t="shared" si="3899"/>
        <v>0</v>
      </c>
      <c r="AQ1360" s="383">
        <f t="shared" si="3899"/>
        <v>0</v>
      </c>
      <c r="AR1360" s="383">
        <f t="shared" si="3899"/>
        <v>0</v>
      </c>
      <c r="AS1360" s="383">
        <f t="shared" si="3899"/>
        <v>0</v>
      </c>
      <c r="AT1360" s="383">
        <f t="shared" si="3899"/>
        <v>0</v>
      </c>
      <c r="AU1360" s="383">
        <f t="shared" si="3899"/>
        <v>0</v>
      </c>
      <c r="AV1360" s="383">
        <f t="shared" si="3899"/>
        <v>0</v>
      </c>
      <c r="AW1360" s="383">
        <f t="shared" si="3899"/>
        <v>0</v>
      </c>
      <c r="AX1360" s="383">
        <f t="shared" si="3899"/>
        <v>0</v>
      </c>
      <c r="AY1360" s="383">
        <f t="shared" si="3899"/>
        <v>0</v>
      </c>
      <c r="AZ1360" s="383">
        <f t="shared" si="3899"/>
        <v>0</v>
      </c>
      <c r="BA1360" s="383">
        <f t="shared" si="3899"/>
        <v>0</v>
      </c>
      <c r="BB1360" s="383">
        <f t="shared" si="3899"/>
        <v>0</v>
      </c>
    </row>
    <row r="1361" spans="4:54" ht="13.5" hidden="1" outlineLevel="1">
      <c r="D1361" s="373"/>
      <c r="E1361" s="373" t="s">
        <v>753</v>
      </c>
      <c r="F1361" s="589" t="s">
        <v>751</v>
      </c>
      <c r="G1361" s="590"/>
      <c r="H1361" s="590"/>
      <c r="Q1361" s="396">
        <f t="shared" ref="Q1361:BB1361" si="3900">Q110</f>
        <v>283.92499999999995</v>
      </c>
      <c r="R1361" s="397">
        <f t="shared" si="3900"/>
        <v>1595.3149641159998</v>
      </c>
      <c r="S1361" s="390">
        <f t="shared" si="3900"/>
        <v>98.885000000000005</v>
      </c>
      <c r="T1361" s="379">
        <f t="shared" si="3900"/>
        <v>540.07557163950003</v>
      </c>
      <c r="U1361" s="379">
        <f t="shared" si="3900"/>
        <v>70.260000000000005</v>
      </c>
      <c r="V1361" s="379">
        <f t="shared" si="3900"/>
        <v>385.33332640319998</v>
      </c>
      <c r="W1361" s="379">
        <f t="shared" si="3900"/>
        <v>93.472999999999999</v>
      </c>
      <c r="X1361" s="379">
        <f t="shared" si="3900"/>
        <v>537.69258911249995</v>
      </c>
      <c r="Y1361" s="379">
        <f t="shared" si="3900"/>
        <v>262.61799999999994</v>
      </c>
      <c r="Z1361" s="379">
        <f t="shared" si="3900"/>
        <v>1463.1014871551997</v>
      </c>
      <c r="AA1361" s="379">
        <f t="shared" si="3900"/>
        <v>21.306999999999999</v>
      </c>
      <c r="AB1361" s="379">
        <f t="shared" si="3900"/>
        <v>132.21347696080002</v>
      </c>
      <c r="AC1361" s="379">
        <f t="shared" si="3900"/>
        <v>0</v>
      </c>
      <c r="AD1361" s="379">
        <f t="shared" si="3900"/>
        <v>0</v>
      </c>
      <c r="AE1361" s="379">
        <f t="shared" si="3900"/>
        <v>0</v>
      </c>
      <c r="AF1361" s="379">
        <f t="shared" si="3900"/>
        <v>0</v>
      </c>
      <c r="AG1361" s="379">
        <f t="shared" si="3900"/>
        <v>21.306999999999999</v>
      </c>
      <c r="AH1361" s="379">
        <f t="shared" si="3900"/>
        <v>132.21347696080002</v>
      </c>
      <c r="AI1361" s="379">
        <f t="shared" si="3900"/>
        <v>283.92499999999995</v>
      </c>
      <c r="AJ1361" s="379">
        <f t="shared" si="3900"/>
        <v>1595.3149641159998</v>
      </c>
      <c r="AK1361" s="379">
        <f t="shared" si="3900"/>
        <v>0</v>
      </c>
      <c r="AL1361" s="379">
        <f t="shared" si="3900"/>
        <v>0</v>
      </c>
      <c r="AM1361" s="379">
        <f t="shared" si="3900"/>
        <v>0</v>
      </c>
      <c r="AN1361" s="379">
        <f t="shared" si="3900"/>
        <v>0</v>
      </c>
      <c r="AO1361" s="379">
        <f t="shared" si="3900"/>
        <v>0</v>
      </c>
      <c r="AP1361" s="379">
        <f t="shared" si="3900"/>
        <v>0</v>
      </c>
      <c r="AQ1361" s="379">
        <f t="shared" si="3900"/>
        <v>0</v>
      </c>
      <c r="AR1361" s="379">
        <f t="shared" si="3900"/>
        <v>0</v>
      </c>
      <c r="AS1361" s="379">
        <f t="shared" si="3900"/>
        <v>0</v>
      </c>
      <c r="AT1361" s="379">
        <f t="shared" si="3900"/>
        <v>0</v>
      </c>
      <c r="AU1361" s="379">
        <f t="shared" si="3900"/>
        <v>0</v>
      </c>
      <c r="AV1361" s="379">
        <f t="shared" si="3900"/>
        <v>0</v>
      </c>
      <c r="AW1361" s="379">
        <f t="shared" si="3900"/>
        <v>0</v>
      </c>
      <c r="AX1361" s="379">
        <f t="shared" si="3900"/>
        <v>0</v>
      </c>
      <c r="AY1361" s="379">
        <f t="shared" si="3900"/>
        <v>0</v>
      </c>
      <c r="AZ1361" s="379">
        <f t="shared" si="3900"/>
        <v>0</v>
      </c>
      <c r="BA1361" s="379">
        <f t="shared" si="3900"/>
        <v>0</v>
      </c>
      <c r="BB1361" s="379">
        <f t="shared" si="3900"/>
        <v>0</v>
      </c>
    </row>
    <row r="1362" spans="4:54" ht="13.5" hidden="1" outlineLevel="1">
      <c r="D1362" s="373"/>
      <c r="E1362" s="373"/>
      <c r="F1362" s="586" t="s">
        <v>754</v>
      </c>
      <c r="G1362" s="587"/>
      <c r="H1362" s="588"/>
      <c r="Q1362" s="396" t="e">
        <f>Q149+Q250+Q291+Q292+Q293+#REF!+Q295+Q306+#REF!+Q310+Q313</f>
        <v>#REF!</v>
      </c>
      <c r="R1362" s="397" t="e">
        <f>R149+R250+R291+R292+R293+#REF!+R295+R306+#REF!+R310+R313</f>
        <v>#REF!</v>
      </c>
      <c r="S1362" s="390" t="e">
        <f>S149+S250+S291+S292+S293+#REF!+S295+S306+#REF!+S310+S313</f>
        <v>#REF!</v>
      </c>
      <c r="T1362" s="379" t="e">
        <f>T149+T250+T291+T292+T293+#REF!+T295+T306+#REF!+T310+T313</f>
        <v>#REF!</v>
      </c>
      <c r="U1362" s="379" t="e">
        <f>U149+U250+U291+U292+U293+#REF!+U295+U306+#REF!+U310+U313</f>
        <v>#REF!</v>
      </c>
      <c r="V1362" s="379" t="e">
        <f>V149+V250+V291+V292+V293+#REF!+V295+V306+#REF!+V310+V313</f>
        <v>#REF!</v>
      </c>
      <c r="W1362" s="379" t="e">
        <f>W149+W250+W291+W292+W293+#REF!+W295+W306+#REF!+W310+W313</f>
        <v>#REF!</v>
      </c>
      <c r="X1362" s="379" t="e">
        <f>X149+X250+X291+X292+X293+#REF!+X295+X306+#REF!+X310+X313</f>
        <v>#REF!</v>
      </c>
      <c r="Y1362" s="379" t="e">
        <f>Y149+Y250+Y291+Y292+Y293+#REF!+Y295+Y306+#REF!+Y310+Y313</f>
        <v>#REF!</v>
      </c>
      <c r="Z1362" s="379" t="e">
        <f>Z149+Z250+Z291+Z292+Z293+#REF!+Z295+Z306+#REF!+Z310+Z313</f>
        <v>#REF!</v>
      </c>
      <c r="AA1362" s="379" t="e">
        <f>AA149+AA250+AA291+AA292+AA293+#REF!+AA295+AA306+#REF!+AA310+AA313</f>
        <v>#REF!</v>
      </c>
      <c r="AB1362" s="379" t="e">
        <f>AB149+AB250+AB291+AB292+AB293+#REF!+AB295+AB306+#REF!+AB310+AB313</f>
        <v>#REF!</v>
      </c>
      <c r="AC1362" s="379" t="e">
        <f>AC149+AC250+AC291+AC292+AC293+#REF!+AC295+AC306+#REF!+AC310+AC313</f>
        <v>#REF!</v>
      </c>
      <c r="AD1362" s="379" t="e">
        <f>AD149+AD250+AD291+AD292+AD293+#REF!+AD295+AD306+#REF!+AD310+AD313</f>
        <v>#REF!</v>
      </c>
      <c r="AE1362" s="379" t="e">
        <f>AE149+AE250+AE291+AE292+AE293+#REF!+AE295+AE306+#REF!+AE310+AE313</f>
        <v>#REF!</v>
      </c>
      <c r="AF1362" s="379" t="e">
        <f>AF149+AF250+AF291+AF292+AF293+#REF!+AF295+AF306+#REF!+AF310+AF313</f>
        <v>#REF!</v>
      </c>
      <c r="AG1362" s="379" t="e">
        <f>AG149+AG250+AG291+AG292+AG293+#REF!+AG295+AG306+#REF!+AG310+AG313</f>
        <v>#REF!</v>
      </c>
      <c r="AH1362" s="379" t="e">
        <f>AH149+AH250+AH291+AH292+AH293+#REF!+AH295+AH306+#REF!+AH310+AH313</f>
        <v>#REF!</v>
      </c>
      <c r="AI1362" s="379" t="e">
        <f>AI149+AI250+AI291+AI292+AI293+#REF!+AI295+AI306+#REF!+AI310+AI313</f>
        <v>#REF!</v>
      </c>
      <c r="AJ1362" s="379" t="e">
        <f>AJ149+AJ250+AJ291+AJ292+AJ293+#REF!+AJ295+AJ306+#REF!+AJ310+AJ313</f>
        <v>#REF!</v>
      </c>
      <c r="AK1362" s="379" t="e">
        <f>AK149+AK250+AK291+AK292+AK293+#REF!+AK295+AK306+#REF!+AK310+AK313</f>
        <v>#REF!</v>
      </c>
      <c r="AL1362" s="379" t="e">
        <f>AL149+AL250+AL291+AL292+AL293+#REF!+AL295+AL306+#REF!+AL310+AL313</f>
        <v>#REF!</v>
      </c>
      <c r="AM1362" s="379" t="e">
        <f>AM149+AM250+AM291+AM292+AM293+#REF!+AM295+AM306+#REF!+AM310+AM313</f>
        <v>#REF!</v>
      </c>
      <c r="AN1362" s="379" t="e">
        <f>AN149+AN250+AN291+AN292+AN293+#REF!+AN295+AN306+#REF!+AN310+AN313</f>
        <v>#REF!</v>
      </c>
      <c r="AO1362" s="379" t="e">
        <f>AO149+AO250+AO291+AO292+AO293+#REF!+AO295+AO306+#REF!+AO310+AO313</f>
        <v>#REF!</v>
      </c>
      <c r="AP1362" s="379" t="e">
        <f>AP149+AP250+AP291+AP292+AP293+#REF!+AP295+AP306+#REF!+AP310+AP313</f>
        <v>#REF!</v>
      </c>
      <c r="AQ1362" s="379" t="e">
        <f>AQ149+AQ250+AQ291+AQ292+AQ293+#REF!+AQ295+AQ306+#REF!+AQ310+AQ313</f>
        <v>#REF!</v>
      </c>
      <c r="AR1362" s="379" t="e">
        <f>AR149+AR250+AR291+AR292+AR293+#REF!+AR295+AR306+#REF!+AR310+AR313</f>
        <v>#REF!</v>
      </c>
      <c r="AS1362" s="379" t="e">
        <f>AS149+AS250+AS291+AS292+AS293+#REF!+AS295+AS306+#REF!+AS310+AS313</f>
        <v>#REF!</v>
      </c>
      <c r="AT1362" s="379" t="e">
        <f>AT149+AT250+AT291+AT292+AT293+#REF!+AT295+AT306+#REF!+AT310+AT313</f>
        <v>#REF!</v>
      </c>
      <c r="AU1362" s="379" t="e">
        <f>AU149+AU250+AU291+AU292+AU293+#REF!+AU295+AU306+#REF!+AU310+AU313</f>
        <v>#REF!</v>
      </c>
      <c r="AV1362" s="379" t="e">
        <f>AV149+AV250+AV291+AV292+AV293+#REF!+AV295+AV306+#REF!+AV310+AV313</f>
        <v>#REF!</v>
      </c>
      <c r="AW1362" s="379" t="e">
        <f>AW149+AW250+AW291+AW292+AW293+#REF!+AW295+AW306+#REF!+AW310+AW313</f>
        <v>#REF!</v>
      </c>
      <c r="AX1362" s="379" t="e">
        <f>AX149+AX250+AX291+AX292+AX293+#REF!+AX295+AX306+#REF!+AX310+AX313</f>
        <v>#REF!</v>
      </c>
      <c r="AY1362" s="379" t="e">
        <f>AY149+AY250+AY291+AY292+AY293+#REF!+AY295+AY306+#REF!+AY310+AY313</f>
        <v>#REF!</v>
      </c>
      <c r="AZ1362" s="379" t="e">
        <f>AZ149+AZ250+AZ291+AZ292+AZ293+#REF!+AZ295+AZ306+#REF!+AZ310+AZ313</f>
        <v>#REF!</v>
      </c>
      <c r="BA1362" s="379" t="e">
        <f>BA149+BA250+BA291+BA292+BA293+#REF!+BA295+BA306+#REF!+BA310+BA313</f>
        <v>#REF!</v>
      </c>
      <c r="BB1362" s="379" t="e">
        <f>BB149+BB250+BB291+BB292+BB293+#REF!+BB295+BB306+#REF!+BB310+BB313</f>
        <v>#REF!</v>
      </c>
    </row>
    <row r="1363" spans="4:54" s="380" customFormat="1" ht="13.5" hidden="1" outlineLevel="1">
      <c r="D1363" s="376"/>
      <c r="E1363" s="378"/>
      <c r="F1363" s="593" t="s">
        <v>755</v>
      </c>
      <c r="G1363" s="593"/>
      <c r="H1363" s="594"/>
      <c r="Q1363" s="400" t="e">
        <f t="shared" ref="Q1363:AE1363" si="3901">SUM(Q1361:Q1362)</f>
        <v>#REF!</v>
      </c>
      <c r="R1363" s="401" t="e">
        <f t="shared" si="3901"/>
        <v>#REF!</v>
      </c>
      <c r="S1363" s="392" t="e">
        <f t="shared" si="3901"/>
        <v>#REF!</v>
      </c>
      <c r="T1363" s="384" t="e">
        <f t="shared" si="3901"/>
        <v>#REF!</v>
      </c>
      <c r="U1363" s="384" t="e">
        <f t="shared" si="3901"/>
        <v>#REF!</v>
      </c>
      <c r="V1363" s="384" t="e">
        <f t="shared" si="3901"/>
        <v>#REF!</v>
      </c>
      <c r="W1363" s="384" t="e">
        <f t="shared" si="3901"/>
        <v>#REF!</v>
      </c>
      <c r="X1363" s="384" t="e">
        <f t="shared" si="3901"/>
        <v>#REF!</v>
      </c>
      <c r="Y1363" s="384" t="e">
        <f t="shared" si="3901"/>
        <v>#REF!</v>
      </c>
      <c r="Z1363" s="384" t="e">
        <f t="shared" si="3901"/>
        <v>#REF!</v>
      </c>
      <c r="AA1363" s="384" t="e">
        <f t="shared" si="3901"/>
        <v>#REF!</v>
      </c>
      <c r="AB1363" s="384" t="e">
        <f t="shared" si="3901"/>
        <v>#REF!</v>
      </c>
      <c r="AC1363" s="384" t="e">
        <f t="shared" si="3901"/>
        <v>#REF!</v>
      </c>
      <c r="AD1363" s="384" t="e">
        <f t="shared" si="3901"/>
        <v>#REF!</v>
      </c>
      <c r="AE1363" s="384" t="e">
        <f t="shared" si="3901"/>
        <v>#REF!</v>
      </c>
      <c r="AF1363" s="384" t="e">
        <f>SUM(AF1361:AF1362)</f>
        <v>#REF!</v>
      </c>
      <c r="AG1363" s="384" t="e">
        <f t="shared" ref="AG1363:BB1363" si="3902">SUM(AG1361:AG1362)</f>
        <v>#REF!</v>
      </c>
      <c r="AH1363" s="384" t="e">
        <f t="shared" si="3902"/>
        <v>#REF!</v>
      </c>
      <c r="AI1363" s="384" t="e">
        <f t="shared" si="3902"/>
        <v>#REF!</v>
      </c>
      <c r="AJ1363" s="384" t="e">
        <f t="shared" si="3902"/>
        <v>#REF!</v>
      </c>
      <c r="AK1363" s="384" t="e">
        <f t="shared" si="3902"/>
        <v>#REF!</v>
      </c>
      <c r="AL1363" s="384" t="e">
        <f t="shared" si="3902"/>
        <v>#REF!</v>
      </c>
      <c r="AM1363" s="384" t="e">
        <f t="shared" si="3902"/>
        <v>#REF!</v>
      </c>
      <c r="AN1363" s="384" t="e">
        <f t="shared" si="3902"/>
        <v>#REF!</v>
      </c>
      <c r="AO1363" s="384" t="e">
        <f t="shared" si="3902"/>
        <v>#REF!</v>
      </c>
      <c r="AP1363" s="384" t="e">
        <f t="shared" si="3902"/>
        <v>#REF!</v>
      </c>
      <c r="AQ1363" s="384" t="e">
        <f t="shared" si="3902"/>
        <v>#REF!</v>
      </c>
      <c r="AR1363" s="384" t="e">
        <f t="shared" si="3902"/>
        <v>#REF!</v>
      </c>
      <c r="AS1363" s="384" t="e">
        <f t="shared" si="3902"/>
        <v>#REF!</v>
      </c>
      <c r="AT1363" s="384" t="e">
        <f t="shared" si="3902"/>
        <v>#REF!</v>
      </c>
      <c r="AU1363" s="384" t="e">
        <f t="shared" si="3902"/>
        <v>#REF!</v>
      </c>
      <c r="AV1363" s="384" t="e">
        <f t="shared" si="3902"/>
        <v>#REF!</v>
      </c>
      <c r="AW1363" s="384" t="e">
        <f t="shared" si="3902"/>
        <v>#REF!</v>
      </c>
      <c r="AX1363" s="384" t="e">
        <f t="shared" si="3902"/>
        <v>#REF!</v>
      </c>
      <c r="AY1363" s="384" t="e">
        <f t="shared" si="3902"/>
        <v>#REF!</v>
      </c>
      <c r="AZ1363" s="384" t="e">
        <f t="shared" si="3902"/>
        <v>#REF!</v>
      </c>
      <c r="BA1363" s="384" t="e">
        <f t="shared" si="3902"/>
        <v>#REF!</v>
      </c>
      <c r="BB1363" s="384" t="e">
        <f t="shared" si="3902"/>
        <v>#REF!</v>
      </c>
    </row>
    <row r="1364" spans="4:54" ht="13.5" hidden="1" outlineLevel="1">
      <c r="D1364" s="373"/>
      <c r="E1364" s="373" t="s">
        <v>756</v>
      </c>
      <c r="F1364" s="589" t="s">
        <v>751</v>
      </c>
      <c r="G1364" s="590"/>
      <c r="H1364" s="590"/>
      <c r="Q1364" s="396" t="e">
        <f>Q143+Q352+Q355+Q363+#REF!+Q386+Q387+Q388+Q389+Q395+Q390+#REF!</f>
        <v>#REF!</v>
      </c>
      <c r="R1364" s="397" t="e">
        <f>R143+R352+R355+R363+#REF!+R386+R387+R388+R389+R395+R390+#REF!</f>
        <v>#REF!</v>
      </c>
      <c r="S1364" s="390" t="e">
        <f>S143+S352+S355+S363+#REF!+S386+S387+S388+S389+S395+S390+#REF!</f>
        <v>#REF!</v>
      </c>
      <c r="T1364" s="379" t="e">
        <f>T143+T352+T355+T363+#REF!+T386+T387+T388+T389+T395+T390+#REF!</f>
        <v>#REF!</v>
      </c>
      <c r="U1364" s="379" t="e">
        <f>U143+U352+U355+U363+#REF!+U386+U387+U388+U389+U395+U390+#REF!</f>
        <v>#REF!</v>
      </c>
      <c r="V1364" s="379" t="e">
        <f>V143+V352+V355+V363+#REF!+V386+V387+V388+V389+V395+V390+#REF!</f>
        <v>#REF!</v>
      </c>
      <c r="W1364" s="379" t="e">
        <f>W143+W352+W355+W363+#REF!+W386+W387+W388+W389+W395+W390+#REF!</f>
        <v>#REF!</v>
      </c>
      <c r="X1364" s="379" t="e">
        <f>X143+X352+X355+X363+#REF!+X386+X387+X388+X389+X395+X390+#REF!</f>
        <v>#REF!</v>
      </c>
      <c r="Y1364" s="379" t="e">
        <f>Y143+Y352+Y355+Y363+#REF!+Y386+Y387+Y388+Y389+Y395+Y390+#REF!</f>
        <v>#REF!</v>
      </c>
      <c r="Z1364" s="379" t="e">
        <f>Z143+Z352+Z355+Z363+#REF!+Z386+Z387+Z388+Z389+Z395+Z390+#REF!</f>
        <v>#REF!</v>
      </c>
      <c r="AA1364" s="379" t="e">
        <f>AA143+AA352+AA355+AA363+#REF!+AA386+AA387+AA388+AA389+AA395+AA390+#REF!</f>
        <v>#REF!</v>
      </c>
      <c r="AB1364" s="379" t="e">
        <f>AB143+AB352+AB355+AB363+#REF!+AB386+AB387+AB388+AB389+AB395+AB390+#REF!</f>
        <v>#REF!</v>
      </c>
      <c r="AC1364" s="379" t="e">
        <f>AC143+AC352+AC355+AC363+#REF!+AC386+AC387+AC388+AC389+AC395+AC390+#REF!</f>
        <v>#REF!</v>
      </c>
      <c r="AD1364" s="379" t="e">
        <f>AD143+AD352+AD355+AD363+#REF!+AD386+AD387+AD388+AD389+AD395+AD390+#REF!</f>
        <v>#REF!</v>
      </c>
      <c r="AE1364" s="379" t="e">
        <f>AE143+AE352+AE355+AE363+#REF!+AE386+AE387+AE388+AE389+AE395+AE390+#REF!</f>
        <v>#REF!</v>
      </c>
      <c r="AF1364" s="379" t="e">
        <f>AF143+AF352+AF355+AF363+#REF!+AF386+AF387+AF388+AF389+AF395+AF390+#REF!</f>
        <v>#REF!</v>
      </c>
      <c r="AG1364" s="379" t="e">
        <f>AG143+AG352+AG355+AG363+#REF!+AG386+AG387+AG388+AG389+AG395+AG390+#REF!</f>
        <v>#REF!</v>
      </c>
      <c r="AH1364" s="379" t="e">
        <f>AH143+AH352+AH355+AH363+#REF!+AH386+AH387+AH388+AH389+AH395+AH390+#REF!</f>
        <v>#REF!</v>
      </c>
      <c r="AI1364" s="379" t="e">
        <f>AI143+AI352+AI355+AI363+#REF!+AI386+AI387+AI388+AI389+AI395+AI390+#REF!</f>
        <v>#REF!</v>
      </c>
      <c r="AJ1364" s="379" t="e">
        <f>AJ143+AJ352+AJ355+AJ363+#REF!+AJ386+AJ387+AJ388+AJ389+AJ395+AJ390+#REF!</f>
        <v>#REF!</v>
      </c>
      <c r="AK1364" s="379" t="e">
        <f>AK143+AK352+AK355+AK363+#REF!+AK386+AK387+AK388+AK389+AK395+AK390+#REF!</f>
        <v>#REF!</v>
      </c>
      <c r="AL1364" s="379" t="e">
        <f>AL143+AL352+AL355+AL363+#REF!+AL386+AL387+AL388+AL389+AL395+AL390+#REF!</f>
        <v>#REF!</v>
      </c>
      <c r="AM1364" s="379" t="e">
        <f>AM143+AM352+AM355+AM363+#REF!+AM386+AM387+AM388+AM389+AM395+AM390+#REF!</f>
        <v>#REF!</v>
      </c>
      <c r="AN1364" s="379" t="e">
        <f>AN143+AN352+AN355+AN363+#REF!+AN386+AN387+AN388+AN389+AN395+AN390+#REF!</f>
        <v>#REF!</v>
      </c>
      <c r="AO1364" s="379" t="e">
        <f>AO143+AO352+AO355+AO363+#REF!+AO386+AO387+AO388+AO389+AO395+AO390+#REF!</f>
        <v>#REF!</v>
      </c>
      <c r="AP1364" s="379" t="e">
        <f>AP143+AP352+AP355+AP363+#REF!+AP386+AP387+AP388+AP389+AP395+AP390+#REF!</f>
        <v>#REF!</v>
      </c>
      <c r="AQ1364" s="379" t="e">
        <f>AQ143+AQ352+AQ355+AQ363+#REF!+AQ386+AQ387+AQ388+AQ389+AQ395+AQ390+#REF!</f>
        <v>#REF!</v>
      </c>
      <c r="AR1364" s="379" t="e">
        <f>AR143+AR352+AR355+AR363+#REF!+AR386+AR387+AR388+AR389+AR395+AR390+#REF!</f>
        <v>#REF!</v>
      </c>
      <c r="AS1364" s="379" t="e">
        <f>AS143+AS352+AS355+AS363+#REF!+AS386+AS387+AS388+AS389+AS395+AS390+#REF!</f>
        <v>#REF!</v>
      </c>
      <c r="AT1364" s="379" t="e">
        <f>AT143+AT352+AT355+AT363+#REF!+AT386+AT387+AT388+AT389+AT395+AT390+#REF!</f>
        <v>#REF!</v>
      </c>
      <c r="AU1364" s="379" t="e">
        <f>AU143+AU352+AU355+AU363+#REF!+AU386+AU387+AU388+AU389+AU395+AU390+#REF!</f>
        <v>#REF!</v>
      </c>
      <c r="AV1364" s="379" t="e">
        <f>AV143+AV352+AV355+AV363+#REF!+AV386+AV387+AV388+AV389+AV395+AV390+#REF!</f>
        <v>#REF!</v>
      </c>
      <c r="AW1364" s="379" t="e">
        <f>AW143+AW352+AW355+AW363+#REF!+AW386+AW387+AW388+AW389+AW395+AW390+#REF!</f>
        <v>#REF!</v>
      </c>
      <c r="AX1364" s="379" t="e">
        <f>AX143+AX352+AX355+AX363+#REF!+AX386+AX387+AX388+AX389+AX395+AX390+#REF!</f>
        <v>#REF!</v>
      </c>
      <c r="AY1364" s="379" t="e">
        <f>AY143+AY352+AY355+AY363+#REF!+AY386+AY387+AY388+AY389+AY395+AY390+#REF!</f>
        <v>#REF!</v>
      </c>
      <c r="AZ1364" s="379" t="e">
        <f>AZ143+AZ352+AZ355+AZ363+#REF!+AZ386+AZ387+AZ388+AZ389+AZ395+AZ390+#REF!</f>
        <v>#REF!</v>
      </c>
      <c r="BA1364" s="379" t="e">
        <f>BA143+BA352+BA355+BA363+#REF!+BA386+BA387+BA388+BA389+BA395+BA390+#REF!</f>
        <v>#REF!</v>
      </c>
      <c r="BB1364" s="379" t="e">
        <f>BB143+BB352+BB355+BB363+#REF!+BB386+BB387+BB388+BB389+BB395+BB390+#REF!</f>
        <v>#REF!</v>
      </c>
    </row>
    <row r="1365" spans="4:54" ht="13.5" hidden="1" outlineLevel="1">
      <c r="D1365" s="373"/>
      <c r="E1365" s="373"/>
      <c r="F1365" s="586" t="s">
        <v>754</v>
      </c>
      <c r="G1365" s="587"/>
      <c r="H1365" s="588"/>
      <c r="Q1365" s="396" t="e">
        <f>Q267+Q359+#REF!+#REF!+#REF!+#REF!+#REF!+#REF!+#REF!+#REF!</f>
        <v>#REF!</v>
      </c>
      <c r="R1365" s="397" t="e">
        <f>R267+R359+#REF!+#REF!+#REF!+#REF!+#REF!+#REF!+#REF!+#REF!</f>
        <v>#REF!</v>
      </c>
      <c r="S1365" s="390" t="e">
        <f>S267+S359+#REF!+#REF!+#REF!+#REF!+#REF!+#REF!+#REF!+#REF!</f>
        <v>#REF!</v>
      </c>
      <c r="T1365" s="379" t="e">
        <f>T267+T359+#REF!+#REF!+#REF!+#REF!+#REF!+#REF!+#REF!+#REF!</f>
        <v>#REF!</v>
      </c>
      <c r="U1365" s="379" t="e">
        <f>U267+U359+#REF!+#REF!+#REF!+#REF!+#REF!+#REF!+#REF!+#REF!</f>
        <v>#REF!</v>
      </c>
      <c r="V1365" s="379" t="e">
        <f>V267+V359+#REF!+#REF!+#REF!+#REF!+#REF!+#REF!+#REF!+#REF!</f>
        <v>#REF!</v>
      </c>
      <c r="W1365" s="379" t="e">
        <f>W267+W359+#REF!+#REF!+#REF!+#REF!+#REF!+#REF!+#REF!+#REF!</f>
        <v>#REF!</v>
      </c>
      <c r="X1365" s="379" t="e">
        <f>X267+X359+#REF!+#REF!+#REF!+#REF!+#REF!+#REF!+#REF!+#REF!</f>
        <v>#REF!</v>
      </c>
      <c r="Y1365" s="379" t="e">
        <f>Y267+Y359+#REF!+#REF!+#REF!+#REF!+#REF!+#REF!+#REF!+#REF!</f>
        <v>#REF!</v>
      </c>
      <c r="Z1365" s="379" t="e">
        <f>Z267+Z359+#REF!+#REF!+#REF!+#REF!+#REF!+#REF!+#REF!+#REF!</f>
        <v>#REF!</v>
      </c>
      <c r="AA1365" s="379" t="e">
        <f>AA267+AA359+#REF!+#REF!+#REF!+#REF!+#REF!+#REF!+#REF!+#REF!</f>
        <v>#REF!</v>
      </c>
      <c r="AB1365" s="379" t="e">
        <f>AB267+AB359+#REF!+#REF!+#REF!+#REF!+#REF!+#REF!+#REF!+#REF!</f>
        <v>#REF!</v>
      </c>
      <c r="AC1365" s="379" t="e">
        <f>AC267+AC359+#REF!+#REF!+#REF!+#REF!+#REF!+#REF!+#REF!+#REF!</f>
        <v>#REF!</v>
      </c>
      <c r="AD1365" s="379" t="e">
        <f>AD267+AD359+#REF!+#REF!+#REF!+#REF!+#REF!+#REF!+#REF!+#REF!</f>
        <v>#REF!</v>
      </c>
      <c r="AE1365" s="379" t="e">
        <f>AE267+AE359+#REF!+#REF!+#REF!+#REF!+#REF!+#REF!+#REF!+#REF!</f>
        <v>#REF!</v>
      </c>
      <c r="AF1365" s="379" t="e">
        <f>AF267+AF359+#REF!+#REF!+#REF!+#REF!+#REF!+#REF!+#REF!+#REF!</f>
        <v>#REF!</v>
      </c>
      <c r="AG1365" s="379" t="e">
        <f>AG267+AG359+#REF!+#REF!+#REF!+#REF!+#REF!+#REF!+#REF!+#REF!</f>
        <v>#REF!</v>
      </c>
      <c r="AH1365" s="379" t="e">
        <f>AH267+AH359+#REF!+#REF!+#REF!+#REF!+#REF!+#REF!+#REF!+#REF!</f>
        <v>#REF!</v>
      </c>
      <c r="AI1365" s="379" t="e">
        <f>AI267+AI359+#REF!+#REF!+#REF!+#REF!+#REF!+#REF!+#REF!+#REF!</f>
        <v>#REF!</v>
      </c>
      <c r="AJ1365" s="379" t="e">
        <f>AJ267+AJ359+#REF!+#REF!+#REF!+#REF!+#REF!+#REF!+#REF!+#REF!</f>
        <v>#REF!</v>
      </c>
      <c r="AK1365" s="379" t="e">
        <f>AK267+AK359+#REF!+#REF!+#REF!+#REF!+#REF!+#REF!+#REF!+#REF!</f>
        <v>#REF!</v>
      </c>
      <c r="AL1365" s="379" t="e">
        <f>AL267+AL359+#REF!+#REF!+#REF!+#REF!+#REF!+#REF!+#REF!+#REF!</f>
        <v>#REF!</v>
      </c>
      <c r="AM1365" s="379" t="e">
        <f>AM267+AM359+#REF!+#REF!+#REF!+#REF!+#REF!+#REF!+#REF!+#REF!</f>
        <v>#REF!</v>
      </c>
      <c r="AN1365" s="379" t="e">
        <f>AN267+AN359+#REF!+#REF!+#REF!+#REF!+#REF!+#REF!+#REF!+#REF!</f>
        <v>#REF!</v>
      </c>
      <c r="AO1365" s="379" t="e">
        <f>AO267+AO359+#REF!+#REF!+#REF!+#REF!+#REF!+#REF!+#REF!+#REF!</f>
        <v>#REF!</v>
      </c>
      <c r="AP1365" s="379" t="e">
        <f>AP267+AP359+#REF!+#REF!+#REF!+#REF!+#REF!+#REF!+#REF!+#REF!</f>
        <v>#REF!</v>
      </c>
      <c r="AQ1365" s="379" t="e">
        <f>AQ267+AQ359+#REF!+#REF!+#REF!+#REF!+#REF!+#REF!+#REF!+#REF!</f>
        <v>#REF!</v>
      </c>
      <c r="AR1365" s="379" t="e">
        <f>AR267+AR359+#REF!+#REF!+#REF!+#REF!+#REF!+#REF!+#REF!+#REF!</f>
        <v>#REF!</v>
      </c>
      <c r="AS1365" s="379" t="e">
        <f>AS267+AS359+#REF!+#REF!+#REF!+#REF!+#REF!+#REF!+#REF!+#REF!</f>
        <v>#REF!</v>
      </c>
      <c r="AT1365" s="379" t="e">
        <f>AT267+AT359+#REF!+#REF!+#REF!+#REF!+#REF!+#REF!+#REF!+#REF!</f>
        <v>#REF!</v>
      </c>
      <c r="AU1365" s="379" t="e">
        <f>AU267+AU359+#REF!+#REF!+#REF!+#REF!+#REF!+#REF!+#REF!+#REF!</f>
        <v>#REF!</v>
      </c>
      <c r="AV1365" s="379" t="e">
        <f>AV267+AV359+#REF!+#REF!+#REF!+#REF!+#REF!+#REF!+#REF!+#REF!</f>
        <v>#REF!</v>
      </c>
      <c r="AW1365" s="379" t="e">
        <f>AW267+AW359+#REF!+#REF!+#REF!+#REF!+#REF!+#REF!+#REF!+#REF!</f>
        <v>#REF!</v>
      </c>
      <c r="AX1365" s="379" t="e">
        <f>AX267+AX359+#REF!+#REF!+#REF!+#REF!+#REF!+#REF!+#REF!+#REF!</f>
        <v>#REF!</v>
      </c>
      <c r="AY1365" s="379" t="e">
        <f>AY267+AY359+#REF!+#REF!+#REF!+#REF!+#REF!+#REF!+#REF!+#REF!</f>
        <v>#REF!</v>
      </c>
      <c r="AZ1365" s="379" t="e">
        <f>AZ267+AZ359+#REF!+#REF!+#REF!+#REF!+#REF!+#REF!+#REF!+#REF!</f>
        <v>#REF!</v>
      </c>
      <c r="BA1365" s="379" t="e">
        <f>BA267+BA359+#REF!+#REF!+#REF!+#REF!+#REF!+#REF!+#REF!+#REF!</f>
        <v>#REF!</v>
      </c>
      <c r="BB1365" s="379" t="e">
        <f>BB267+BB359+#REF!+#REF!+#REF!+#REF!+#REF!+#REF!+#REF!+#REF!</f>
        <v>#REF!</v>
      </c>
    </row>
    <row r="1366" spans="4:54" s="380" customFormat="1" ht="13.5" hidden="1" outlineLevel="1">
      <c r="D1366" s="376"/>
      <c r="E1366" s="378"/>
      <c r="F1366" s="593" t="s">
        <v>755</v>
      </c>
      <c r="G1366" s="593"/>
      <c r="H1366" s="594"/>
      <c r="Q1366" s="398" t="e">
        <f t="shared" ref="Q1366:AE1366" si="3903">SUM(Q1364:Q1365)</f>
        <v>#REF!</v>
      </c>
      <c r="R1366" s="399" t="e">
        <f t="shared" si="3903"/>
        <v>#REF!</v>
      </c>
      <c r="S1366" s="391" t="e">
        <f t="shared" si="3903"/>
        <v>#REF!</v>
      </c>
      <c r="T1366" s="383" t="e">
        <f t="shared" si="3903"/>
        <v>#REF!</v>
      </c>
      <c r="U1366" s="383" t="e">
        <f t="shared" si="3903"/>
        <v>#REF!</v>
      </c>
      <c r="V1366" s="383" t="e">
        <f t="shared" si="3903"/>
        <v>#REF!</v>
      </c>
      <c r="W1366" s="383" t="e">
        <f t="shared" si="3903"/>
        <v>#REF!</v>
      </c>
      <c r="X1366" s="383" t="e">
        <f t="shared" si="3903"/>
        <v>#REF!</v>
      </c>
      <c r="Y1366" s="383" t="e">
        <f t="shared" si="3903"/>
        <v>#REF!</v>
      </c>
      <c r="Z1366" s="383" t="e">
        <f t="shared" si="3903"/>
        <v>#REF!</v>
      </c>
      <c r="AA1366" s="383" t="e">
        <f t="shared" si="3903"/>
        <v>#REF!</v>
      </c>
      <c r="AB1366" s="383" t="e">
        <f t="shared" si="3903"/>
        <v>#REF!</v>
      </c>
      <c r="AC1366" s="383" t="e">
        <f t="shared" si="3903"/>
        <v>#REF!</v>
      </c>
      <c r="AD1366" s="383" t="e">
        <f t="shared" si="3903"/>
        <v>#REF!</v>
      </c>
      <c r="AE1366" s="383" t="e">
        <f t="shared" si="3903"/>
        <v>#REF!</v>
      </c>
      <c r="AF1366" s="383" t="e">
        <f>SUM(AF1364:AF1365)</f>
        <v>#REF!</v>
      </c>
      <c r="AG1366" s="383" t="e">
        <f t="shared" ref="AG1366:BB1366" si="3904">SUM(AG1364:AG1365)</f>
        <v>#REF!</v>
      </c>
      <c r="AH1366" s="383" t="e">
        <f t="shared" si="3904"/>
        <v>#REF!</v>
      </c>
      <c r="AI1366" s="383" t="e">
        <f t="shared" si="3904"/>
        <v>#REF!</v>
      </c>
      <c r="AJ1366" s="383" t="e">
        <f t="shared" si="3904"/>
        <v>#REF!</v>
      </c>
      <c r="AK1366" s="383" t="e">
        <f t="shared" si="3904"/>
        <v>#REF!</v>
      </c>
      <c r="AL1366" s="383" t="e">
        <f t="shared" si="3904"/>
        <v>#REF!</v>
      </c>
      <c r="AM1366" s="383" t="e">
        <f t="shared" si="3904"/>
        <v>#REF!</v>
      </c>
      <c r="AN1366" s="383" t="e">
        <f t="shared" si="3904"/>
        <v>#REF!</v>
      </c>
      <c r="AO1366" s="383" t="e">
        <f t="shared" si="3904"/>
        <v>#REF!</v>
      </c>
      <c r="AP1366" s="383" t="e">
        <f t="shared" si="3904"/>
        <v>#REF!</v>
      </c>
      <c r="AQ1366" s="383" t="e">
        <f t="shared" si="3904"/>
        <v>#REF!</v>
      </c>
      <c r="AR1366" s="383" t="e">
        <f t="shared" si="3904"/>
        <v>#REF!</v>
      </c>
      <c r="AS1366" s="383" t="e">
        <f t="shared" si="3904"/>
        <v>#REF!</v>
      </c>
      <c r="AT1366" s="383" t="e">
        <f t="shared" si="3904"/>
        <v>#REF!</v>
      </c>
      <c r="AU1366" s="383" t="e">
        <f t="shared" si="3904"/>
        <v>#REF!</v>
      </c>
      <c r="AV1366" s="383" t="e">
        <f t="shared" si="3904"/>
        <v>#REF!</v>
      </c>
      <c r="AW1366" s="383" t="e">
        <f t="shared" si="3904"/>
        <v>#REF!</v>
      </c>
      <c r="AX1366" s="383" t="e">
        <f t="shared" si="3904"/>
        <v>#REF!</v>
      </c>
      <c r="AY1366" s="383" t="e">
        <f t="shared" si="3904"/>
        <v>#REF!</v>
      </c>
      <c r="AZ1366" s="383" t="e">
        <f t="shared" si="3904"/>
        <v>#REF!</v>
      </c>
      <c r="BA1366" s="383" t="e">
        <f t="shared" si="3904"/>
        <v>#REF!</v>
      </c>
      <c r="BB1366" s="383" t="e">
        <f t="shared" si="3904"/>
        <v>#REF!</v>
      </c>
    </row>
    <row r="1367" spans="4:54" ht="13.5" hidden="1" outlineLevel="1">
      <c r="D1367" s="373"/>
      <c r="E1367" s="373" t="s">
        <v>757</v>
      </c>
      <c r="F1367" s="589" t="s">
        <v>754</v>
      </c>
      <c r="G1367" s="590"/>
      <c r="H1367" s="590"/>
      <c r="Q1367" s="396">
        <f>Q281+Q314+Q315+Q331+Q606</f>
        <v>0</v>
      </c>
      <c r="R1367" s="396">
        <f>R281+R314+R315+R331+R606</f>
        <v>0</v>
      </c>
      <c r="S1367" s="390">
        <f t="shared" ref="S1367:BB1367" si="3905">S281+S314+S315+S331+S603</f>
        <v>0</v>
      </c>
      <c r="T1367" s="390">
        <f t="shared" si="3905"/>
        <v>0</v>
      </c>
      <c r="U1367" s="390">
        <f t="shared" si="3905"/>
        <v>0</v>
      </c>
      <c r="V1367" s="390">
        <f t="shared" si="3905"/>
        <v>0</v>
      </c>
      <c r="W1367" s="390">
        <f t="shared" si="3905"/>
        <v>0</v>
      </c>
      <c r="X1367" s="390">
        <f t="shared" si="3905"/>
        <v>0</v>
      </c>
      <c r="Y1367" s="390">
        <f t="shared" si="3905"/>
        <v>0</v>
      </c>
      <c r="Z1367" s="390">
        <f t="shared" si="3905"/>
        <v>0</v>
      </c>
      <c r="AA1367" s="390">
        <f t="shared" si="3905"/>
        <v>0</v>
      </c>
      <c r="AB1367" s="390">
        <f t="shared" si="3905"/>
        <v>0</v>
      </c>
      <c r="AC1367" s="390">
        <f t="shared" si="3905"/>
        <v>0</v>
      </c>
      <c r="AD1367" s="390">
        <f t="shared" si="3905"/>
        <v>0</v>
      </c>
      <c r="AE1367" s="390">
        <f t="shared" si="3905"/>
        <v>0</v>
      </c>
      <c r="AF1367" s="390">
        <f t="shared" si="3905"/>
        <v>0</v>
      </c>
      <c r="AG1367" s="390">
        <f t="shared" si="3905"/>
        <v>0</v>
      </c>
      <c r="AH1367" s="390">
        <f t="shared" si="3905"/>
        <v>0</v>
      </c>
      <c r="AI1367" s="390">
        <f t="shared" si="3905"/>
        <v>0</v>
      </c>
      <c r="AJ1367" s="390">
        <f t="shared" si="3905"/>
        <v>0</v>
      </c>
      <c r="AK1367" s="390">
        <f t="shared" si="3905"/>
        <v>0</v>
      </c>
      <c r="AL1367" s="390">
        <f t="shared" si="3905"/>
        <v>0</v>
      </c>
      <c r="AM1367" s="390">
        <f t="shared" si="3905"/>
        <v>0</v>
      </c>
      <c r="AN1367" s="390">
        <f t="shared" si="3905"/>
        <v>0</v>
      </c>
      <c r="AO1367" s="390">
        <f t="shared" si="3905"/>
        <v>0</v>
      </c>
      <c r="AP1367" s="390">
        <f t="shared" si="3905"/>
        <v>0</v>
      </c>
      <c r="AQ1367" s="390">
        <f t="shared" si="3905"/>
        <v>0</v>
      </c>
      <c r="AR1367" s="390">
        <f t="shared" si="3905"/>
        <v>0</v>
      </c>
      <c r="AS1367" s="390">
        <f t="shared" si="3905"/>
        <v>0</v>
      </c>
      <c r="AT1367" s="390">
        <f t="shared" si="3905"/>
        <v>0</v>
      </c>
      <c r="AU1367" s="390">
        <f t="shared" si="3905"/>
        <v>0</v>
      </c>
      <c r="AV1367" s="390">
        <f t="shared" si="3905"/>
        <v>0</v>
      </c>
      <c r="AW1367" s="390">
        <f t="shared" si="3905"/>
        <v>0</v>
      </c>
      <c r="AX1367" s="390">
        <f t="shared" si="3905"/>
        <v>0</v>
      </c>
      <c r="AY1367" s="390">
        <f t="shared" si="3905"/>
        <v>0</v>
      </c>
      <c r="AZ1367" s="390">
        <f t="shared" si="3905"/>
        <v>0</v>
      </c>
      <c r="BA1367" s="390">
        <f t="shared" si="3905"/>
        <v>0</v>
      </c>
      <c r="BB1367" s="390">
        <f t="shared" si="3905"/>
        <v>0</v>
      </c>
    </row>
    <row r="1368" spans="4:54" s="380" customFormat="1" ht="13.5" hidden="1" outlineLevel="1">
      <c r="D1368" s="374"/>
      <c r="E1368" s="591" t="s">
        <v>758</v>
      </c>
      <c r="F1368" s="591"/>
      <c r="G1368" s="591"/>
      <c r="H1368" s="592"/>
      <c r="I1368" s="381"/>
      <c r="J1368" s="381"/>
      <c r="K1368" s="381"/>
      <c r="L1368" s="381"/>
      <c r="M1368" s="381"/>
      <c r="N1368" s="381"/>
      <c r="O1368" s="381"/>
      <c r="P1368" s="381"/>
      <c r="Q1368" s="402" t="e">
        <f t="shared" ref="Q1368:AE1368" si="3906">Q1360+Q1363+Q1366+Q1367</f>
        <v>#REF!</v>
      </c>
      <c r="R1368" s="403" t="e">
        <f t="shared" si="3906"/>
        <v>#REF!</v>
      </c>
      <c r="S1368" s="393" t="e">
        <f t="shared" si="3906"/>
        <v>#REF!</v>
      </c>
      <c r="T1368" s="382" t="e">
        <f t="shared" si="3906"/>
        <v>#REF!</v>
      </c>
      <c r="U1368" s="382" t="e">
        <f t="shared" si="3906"/>
        <v>#REF!</v>
      </c>
      <c r="V1368" s="382" t="e">
        <f t="shared" si="3906"/>
        <v>#REF!</v>
      </c>
      <c r="W1368" s="382" t="e">
        <f t="shared" si="3906"/>
        <v>#REF!</v>
      </c>
      <c r="X1368" s="382" t="e">
        <f t="shared" si="3906"/>
        <v>#REF!</v>
      </c>
      <c r="Y1368" s="382" t="e">
        <f t="shared" si="3906"/>
        <v>#REF!</v>
      </c>
      <c r="Z1368" s="382" t="e">
        <f t="shared" si="3906"/>
        <v>#REF!</v>
      </c>
      <c r="AA1368" s="382" t="e">
        <f t="shared" si="3906"/>
        <v>#REF!</v>
      </c>
      <c r="AB1368" s="382" t="e">
        <f t="shared" si="3906"/>
        <v>#REF!</v>
      </c>
      <c r="AC1368" s="382" t="e">
        <f t="shared" si="3906"/>
        <v>#REF!</v>
      </c>
      <c r="AD1368" s="382" t="e">
        <f t="shared" si="3906"/>
        <v>#REF!</v>
      </c>
      <c r="AE1368" s="382" t="e">
        <f t="shared" si="3906"/>
        <v>#REF!</v>
      </c>
      <c r="AF1368" s="382" t="e">
        <f>AF1360+AF1363+AF1366+AF1367</f>
        <v>#REF!</v>
      </c>
      <c r="AG1368" s="382" t="e">
        <f t="shared" ref="AG1368:BB1368" si="3907">AG1360+AG1363+AG1366+AG1367</f>
        <v>#REF!</v>
      </c>
      <c r="AH1368" s="382" t="e">
        <f t="shared" si="3907"/>
        <v>#REF!</v>
      </c>
      <c r="AI1368" s="382" t="e">
        <f t="shared" si="3907"/>
        <v>#REF!</v>
      </c>
      <c r="AJ1368" s="382" t="e">
        <f t="shared" si="3907"/>
        <v>#REF!</v>
      </c>
      <c r="AK1368" s="382" t="e">
        <f t="shared" si="3907"/>
        <v>#REF!</v>
      </c>
      <c r="AL1368" s="382" t="e">
        <f t="shared" si="3907"/>
        <v>#REF!</v>
      </c>
      <c r="AM1368" s="382" t="e">
        <f t="shared" si="3907"/>
        <v>#REF!</v>
      </c>
      <c r="AN1368" s="382" t="e">
        <f t="shared" si="3907"/>
        <v>#REF!</v>
      </c>
      <c r="AO1368" s="382" t="e">
        <f t="shared" si="3907"/>
        <v>#REF!</v>
      </c>
      <c r="AP1368" s="382" t="e">
        <f t="shared" si="3907"/>
        <v>#REF!</v>
      </c>
      <c r="AQ1368" s="382" t="e">
        <f t="shared" si="3907"/>
        <v>#REF!</v>
      </c>
      <c r="AR1368" s="382" t="e">
        <f t="shared" si="3907"/>
        <v>#REF!</v>
      </c>
      <c r="AS1368" s="382" t="e">
        <f t="shared" si="3907"/>
        <v>#REF!</v>
      </c>
      <c r="AT1368" s="382" t="e">
        <f t="shared" si="3907"/>
        <v>#REF!</v>
      </c>
      <c r="AU1368" s="382" t="e">
        <f t="shared" si="3907"/>
        <v>#REF!</v>
      </c>
      <c r="AV1368" s="382" t="e">
        <f t="shared" si="3907"/>
        <v>#REF!</v>
      </c>
      <c r="AW1368" s="382" t="e">
        <f t="shared" si="3907"/>
        <v>#REF!</v>
      </c>
      <c r="AX1368" s="382" t="e">
        <f t="shared" si="3907"/>
        <v>#REF!</v>
      </c>
      <c r="AY1368" s="382" t="e">
        <f t="shared" si="3907"/>
        <v>#REF!</v>
      </c>
      <c r="AZ1368" s="382" t="e">
        <f t="shared" si="3907"/>
        <v>#REF!</v>
      </c>
      <c r="BA1368" s="382" t="e">
        <f t="shared" si="3907"/>
        <v>#REF!</v>
      </c>
      <c r="BB1368" s="382" t="e">
        <f t="shared" si="3907"/>
        <v>#REF!</v>
      </c>
    </row>
    <row r="1369" spans="4:54" ht="13.5" hidden="1" outlineLevel="1">
      <c r="D1369" s="371" t="s">
        <v>728</v>
      </c>
      <c r="E1369" s="373" t="s">
        <v>729</v>
      </c>
      <c r="F1369" s="589" t="s">
        <v>730</v>
      </c>
      <c r="G1369" s="590"/>
      <c r="H1369" s="590"/>
      <c r="Q1369" s="396">
        <f t="shared" ref="Q1369:BB1369" si="3908">Q468</f>
        <v>150.364</v>
      </c>
      <c r="R1369" s="397">
        <f t="shared" si="3908"/>
        <v>1009.9067200000002</v>
      </c>
      <c r="S1369" s="390">
        <f t="shared" si="3908"/>
        <v>37.821999999999996</v>
      </c>
      <c r="T1369" s="379">
        <f t="shared" si="3908"/>
        <v>252.97183999999999</v>
      </c>
      <c r="U1369" s="379">
        <f t="shared" si="3908"/>
        <v>40.770000000000003</v>
      </c>
      <c r="V1369" s="379">
        <f t="shared" si="3908"/>
        <v>278.39712000000003</v>
      </c>
      <c r="W1369" s="379">
        <f t="shared" si="3908"/>
        <v>40.372</v>
      </c>
      <c r="X1369" s="379">
        <f t="shared" si="3908"/>
        <v>276.63616000000002</v>
      </c>
      <c r="Y1369" s="379">
        <f t="shared" si="3908"/>
        <v>118.964</v>
      </c>
      <c r="Z1369" s="379">
        <f t="shared" si="3908"/>
        <v>808.00512000000003</v>
      </c>
      <c r="AA1369" s="379">
        <f t="shared" si="3908"/>
        <v>31.4</v>
      </c>
      <c r="AB1369" s="379">
        <f t="shared" si="3908"/>
        <v>201.9016</v>
      </c>
      <c r="AC1369" s="379">
        <f t="shared" si="3908"/>
        <v>0</v>
      </c>
      <c r="AD1369" s="379">
        <f t="shared" si="3908"/>
        <v>0</v>
      </c>
      <c r="AE1369" s="379">
        <f t="shared" si="3908"/>
        <v>0</v>
      </c>
      <c r="AF1369" s="379">
        <f t="shared" si="3908"/>
        <v>0</v>
      </c>
      <c r="AG1369" s="379">
        <f t="shared" si="3908"/>
        <v>31.4</v>
      </c>
      <c r="AH1369" s="379">
        <f t="shared" si="3908"/>
        <v>201.9016</v>
      </c>
      <c r="AI1369" s="379">
        <f t="shared" si="3908"/>
        <v>150.364</v>
      </c>
      <c r="AJ1369" s="379">
        <f t="shared" si="3908"/>
        <v>1009.9067200000002</v>
      </c>
      <c r="AK1369" s="379">
        <f t="shared" si="3908"/>
        <v>0</v>
      </c>
      <c r="AL1369" s="379">
        <f t="shared" si="3908"/>
        <v>0</v>
      </c>
      <c r="AM1369" s="379">
        <f t="shared" si="3908"/>
        <v>0</v>
      </c>
      <c r="AN1369" s="379">
        <f t="shared" si="3908"/>
        <v>0</v>
      </c>
      <c r="AO1369" s="379">
        <f t="shared" si="3908"/>
        <v>0</v>
      </c>
      <c r="AP1369" s="379">
        <f t="shared" si="3908"/>
        <v>0</v>
      </c>
      <c r="AQ1369" s="379">
        <f t="shared" si="3908"/>
        <v>0</v>
      </c>
      <c r="AR1369" s="379">
        <f t="shared" si="3908"/>
        <v>0</v>
      </c>
      <c r="AS1369" s="379">
        <f t="shared" si="3908"/>
        <v>0</v>
      </c>
      <c r="AT1369" s="379">
        <f t="shared" si="3908"/>
        <v>0</v>
      </c>
      <c r="AU1369" s="379">
        <f t="shared" si="3908"/>
        <v>0</v>
      </c>
      <c r="AV1369" s="379">
        <f t="shared" si="3908"/>
        <v>0</v>
      </c>
      <c r="AW1369" s="379">
        <f t="shared" si="3908"/>
        <v>0</v>
      </c>
      <c r="AX1369" s="379">
        <f t="shared" si="3908"/>
        <v>0</v>
      </c>
      <c r="AY1369" s="379">
        <f t="shared" si="3908"/>
        <v>0</v>
      </c>
      <c r="AZ1369" s="379">
        <f t="shared" si="3908"/>
        <v>0</v>
      </c>
      <c r="BA1369" s="379">
        <f t="shared" si="3908"/>
        <v>0</v>
      </c>
      <c r="BB1369" s="379">
        <f t="shared" si="3908"/>
        <v>0</v>
      </c>
    </row>
    <row r="1370" spans="4:54" ht="13.5" hidden="1" outlineLevel="1">
      <c r="D1370" s="373"/>
      <c r="E1370" s="372" t="s">
        <v>759</v>
      </c>
      <c r="F1370" s="586" t="s">
        <v>726</v>
      </c>
      <c r="G1370" s="587"/>
      <c r="H1370" s="588"/>
      <c r="Q1370" s="396">
        <f t="shared" ref="Q1370:BB1370" si="3909">Q535</f>
        <v>328.37900000000008</v>
      </c>
      <c r="R1370" s="397">
        <f t="shared" si="3909"/>
        <v>2636.3320406335001</v>
      </c>
      <c r="S1370" s="390">
        <f t="shared" si="3909"/>
        <v>80.039999999999992</v>
      </c>
      <c r="T1370" s="379">
        <f t="shared" si="3909"/>
        <v>626.72586469500004</v>
      </c>
      <c r="U1370" s="379">
        <f t="shared" si="3909"/>
        <v>87.804999999999993</v>
      </c>
      <c r="V1370" s="379">
        <f t="shared" si="3909"/>
        <v>697.80961171320007</v>
      </c>
      <c r="W1370" s="379">
        <f t="shared" si="3909"/>
        <v>65.846000000000004</v>
      </c>
      <c r="X1370" s="379">
        <f t="shared" si="3909"/>
        <v>545.95953213649989</v>
      </c>
      <c r="Y1370" s="379">
        <f t="shared" si="3909"/>
        <v>233.69099999999997</v>
      </c>
      <c r="Z1370" s="379">
        <f t="shared" si="3909"/>
        <v>1870.4950085446999</v>
      </c>
      <c r="AA1370" s="379">
        <f t="shared" si="3909"/>
        <v>94.687999999999988</v>
      </c>
      <c r="AB1370" s="379">
        <f t="shared" si="3909"/>
        <v>765.8370320887999</v>
      </c>
      <c r="AC1370" s="379">
        <f t="shared" si="3909"/>
        <v>0</v>
      </c>
      <c r="AD1370" s="379">
        <f t="shared" si="3909"/>
        <v>0</v>
      </c>
      <c r="AE1370" s="379">
        <f t="shared" si="3909"/>
        <v>0</v>
      </c>
      <c r="AF1370" s="379">
        <f t="shared" si="3909"/>
        <v>0</v>
      </c>
      <c r="AG1370" s="379">
        <f t="shared" si="3909"/>
        <v>94.687999999999988</v>
      </c>
      <c r="AH1370" s="379">
        <f t="shared" si="3909"/>
        <v>765.8370320887999</v>
      </c>
      <c r="AI1370" s="379">
        <f t="shared" si="3909"/>
        <v>328.37900000000008</v>
      </c>
      <c r="AJ1370" s="379">
        <f t="shared" si="3909"/>
        <v>2636.3320406335001</v>
      </c>
      <c r="AK1370" s="379">
        <f t="shared" si="3909"/>
        <v>0</v>
      </c>
      <c r="AL1370" s="379">
        <f t="shared" si="3909"/>
        <v>0</v>
      </c>
      <c r="AM1370" s="379">
        <f t="shared" si="3909"/>
        <v>0</v>
      </c>
      <c r="AN1370" s="379">
        <f t="shared" si="3909"/>
        <v>0</v>
      </c>
      <c r="AO1370" s="379">
        <f t="shared" si="3909"/>
        <v>0</v>
      </c>
      <c r="AP1370" s="379">
        <f t="shared" si="3909"/>
        <v>0</v>
      </c>
      <c r="AQ1370" s="379">
        <f t="shared" si="3909"/>
        <v>0</v>
      </c>
      <c r="AR1370" s="379">
        <f t="shared" si="3909"/>
        <v>0</v>
      </c>
      <c r="AS1370" s="379">
        <f t="shared" si="3909"/>
        <v>0</v>
      </c>
      <c r="AT1370" s="379">
        <f t="shared" si="3909"/>
        <v>0</v>
      </c>
      <c r="AU1370" s="379">
        <f t="shared" si="3909"/>
        <v>0</v>
      </c>
      <c r="AV1370" s="379">
        <f t="shared" si="3909"/>
        <v>0</v>
      </c>
      <c r="AW1370" s="379">
        <f t="shared" si="3909"/>
        <v>0</v>
      </c>
      <c r="AX1370" s="379">
        <f t="shared" si="3909"/>
        <v>0</v>
      </c>
      <c r="AY1370" s="379">
        <f t="shared" si="3909"/>
        <v>0</v>
      </c>
      <c r="AZ1370" s="379">
        <f t="shared" si="3909"/>
        <v>0</v>
      </c>
      <c r="BA1370" s="379">
        <f t="shared" si="3909"/>
        <v>0</v>
      </c>
      <c r="BB1370" s="379">
        <f t="shared" si="3909"/>
        <v>0</v>
      </c>
    </row>
    <row r="1371" spans="4:54" ht="13.5" hidden="1" outlineLevel="1">
      <c r="D1371" s="373"/>
      <c r="E1371" s="373" t="s">
        <v>731</v>
      </c>
      <c r="F1371" s="589" t="s">
        <v>725</v>
      </c>
      <c r="G1371" s="590"/>
      <c r="H1371" s="590"/>
      <c r="Q1371" s="396">
        <f t="shared" ref="Q1371:BB1371" si="3910">Q543</f>
        <v>288.6819999999999</v>
      </c>
      <c r="R1371" s="397">
        <f t="shared" si="3910"/>
        <v>1229.040600736</v>
      </c>
      <c r="S1371" s="390">
        <f t="shared" si="3910"/>
        <v>101.556</v>
      </c>
      <c r="T1371" s="379">
        <f t="shared" si="3910"/>
        <v>375.20101656000003</v>
      </c>
      <c r="U1371" s="379">
        <f t="shared" si="3910"/>
        <v>65.207999999999998</v>
      </c>
      <c r="V1371" s="379">
        <f t="shared" si="3910"/>
        <v>299.93119968799999</v>
      </c>
      <c r="W1371" s="379">
        <f t="shared" si="3910"/>
        <v>37.714000000000006</v>
      </c>
      <c r="X1371" s="379">
        <f t="shared" si="3910"/>
        <v>198.86068759999998</v>
      </c>
      <c r="Y1371" s="379">
        <f t="shared" si="3910"/>
        <v>204.47799999999998</v>
      </c>
      <c r="Z1371" s="379">
        <f t="shared" si="3910"/>
        <v>873.99290384800008</v>
      </c>
      <c r="AA1371" s="379">
        <f t="shared" si="3910"/>
        <v>84.203999999999994</v>
      </c>
      <c r="AB1371" s="379">
        <f t="shared" si="3910"/>
        <v>355.04769688800002</v>
      </c>
      <c r="AC1371" s="379">
        <f t="shared" si="3910"/>
        <v>0</v>
      </c>
      <c r="AD1371" s="379">
        <f t="shared" si="3910"/>
        <v>0</v>
      </c>
      <c r="AE1371" s="379">
        <f t="shared" si="3910"/>
        <v>0</v>
      </c>
      <c r="AF1371" s="379">
        <f t="shared" si="3910"/>
        <v>0</v>
      </c>
      <c r="AG1371" s="379">
        <f t="shared" si="3910"/>
        <v>84.203999999999994</v>
      </c>
      <c r="AH1371" s="379">
        <f t="shared" si="3910"/>
        <v>355.04769688800002</v>
      </c>
      <c r="AI1371" s="379">
        <f t="shared" si="3910"/>
        <v>288.6819999999999</v>
      </c>
      <c r="AJ1371" s="379">
        <f t="shared" si="3910"/>
        <v>1229.040600736</v>
      </c>
      <c r="AK1371" s="379">
        <f t="shared" si="3910"/>
        <v>0</v>
      </c>
      <c r="AL1371" s="379">
        <f t="shared" si="3910"/>
        <v>0</v>
      </c>
      <c r="AM1371" s="379">
        <f t="shared" si="3910"/>
        <v>0</v>
      </c>
      <c r="AN1371" s="379">
        <f t="shared" si="3910"/>
        <v>0</v>
      </c>
      <c r="AO1371" s="379">
        <f t="shared" si="3910"/>
        <v>0</v>
      </c>
      <c r="AP1371" s="379">
        <f t="shared" si="3910"/>
        <v>0</v>
      </c>
      <c r="AQ1371" s="379">
        <f t="shared" si="3910"/>
        <v>0</v>
      </c>
      <c r="AR1371" s="379">
        <f t="shared" si="3910"/>
        <v>0</v>
      </c>
      <c r="AS1371" s="379">
        <f t="shared" si="3910"/>
        <v>0</v>
      </c>
      <c r="AT1371" s="379">
        <f t="shared" si="3910"/>
        <v>0</v>
      </c>
      <c r="AU1371" s="379">
        <f t="shared" si="3910"/>
        <v>0</v>
      </c>
      <c r="AV1371" s="379">
        <f t="shared" si="3910"/>
        <v>0</v>
      </c>
      <c r="AW1371" s="379">
        <f t="shared" si="3910"/>
        <v>0</v>
      </c>
      <c r="AX1371" s="379">
        <f t="shared" si="3910"/>
        <v>0</v>
      </c>
      <c r="AY1371" s="379">
        <f t="shared" si="3910"/>
        <v>0</v>
      </c>
      <c r="AZ1371" s="379">
        <f t="shared" si="3910"/>
        <v>0</v>
      </c>
      <c r="BA1371" s="379">
        <f t="shared" si="3910"/>
        <v>0</v>
      </c>
      <c r="BB1371" s="379">
        <f t="shared" si="3910"/>
        <v>0</v>
      </c>
    </row>
    <row r="1372" spans="4:54" s="380" customFormat="1" ht="13.5" hidden="1" outlineLevel="1">
      <c r="D1372" s="374"/>
      <c r="E1372" s="591" t="s">
        <v>727</v>
      </c>
      <c r="F1372" s="591"/>
      <c r="G1372" s="591"/>
      <c r="H1372" s="592"/>
      <c r="I1372" s="381"/>
      <c r="J1372" s="381"/>
      <c r="K1372" s="381"/>
      <c r="L1372" s="381"/>
      <c r="M1372" s="381"/>
      <c r="N1372" s="381"/>
      <c r="O1372" s="381"/>
      <c r="P1372" s="381"/>
      <c r="Q1372" s="402">
        <f t="shared" ref="Q1372:AE1372" si="3911">SUM(Q1369:Q1371)</f>
        <v>767.42499999999995</v>
      </c>
      <c r="R1372" s="403">
        <f t="shared" si="3911"/>
        <v>4875.2793613695003</v>
      </c>
      <c r="S1372" s="393">
        <f t="shared" si="3911"/>
        <v>219.41800000000001</v>
      </c>
      <c r="T1372" s="382">
        <f t="shared" si="3911"/>
        <v>1254.8987212550001</v>
      </c>
      <c r="U1372" s="382">
        <f t="shared" si="3911"/>
        <v>193.78299999999999</v>
      </c>
      <c r="V1372" s="382">
        <f t="shared" si="3911"/>
        <v>1276.1379314012001</v>
      </c>
      <c r="W1372" s="382">
        <f t="shared" si="3911"/>
        <v>143.93200000000002</v>
      </c>
      <c r="X1372" s="382">
        <f t="shared" si="3911"/>
        <v>1021.4563797364999</v>
      </c>
      <c r="Y1372" s="382">
        <f t="shared" si="3911"/>
        <v>557.13299999999992</v>
      </c>
      <c r="Z1372" s="382">
        <f t="shared" si="3911"/>
        <v>3552.4930323926997</v>
      </c>
      <c r="AA1372" s="382">
        <f t="shared" si="3911"/>
        <v>210.29199999999997</v>
      </c>
      <c r="AB1372" s="382">
        <f t="shared" si="3911"/>
        <v>1322.7863289768</v>
      </c>
      <c r="AC1372" s="382">
        <f t="shared" si="3911"/>
        <v>0</v>
      </c>
      <c r="AD1372" s="382">
        <f t="shared" si="3911"/>
        <v>0</v>
      </c>
      <c r="AE1372" s="382">
        <f t="shared" si="3911"/>
        <v>0</v>
      </c>
      <c r="AF1372" s="382">
        <f>SUM(AF1369:AF1371)</f>
        <v>0</v>
      </c>
      <c r="AG1372" s="382">
        <f t="shared" ref="AG1372:BB1372" si="3912">SUM(AG1369:AG1371)</f>
        <v>210.29199999999997</v>
      </c>
      <c r="AH1372" s="382">
        <f t="shared" si="3912"/>
        <v>1322.7863289768</v>
      </c>
      <c r="AI1372" s="382">
        <f t="shared" si="3912"/>
        <v>767.42499999999995</v>
      </c>
      <c r="AJ1372" s="382">
        <f t="shared" si="3912"/>
        <v>4875.2793613695003</v>
      </c>
      <c r="AK1372" s="382">
        <f t="shared" si="3912"/>
        <v>0</v>
      </c>
      <c r="AL1372" s="382">
        <f t="shared" si="3912"/>
        <v>0</v>
      </c>
      <c r="AM1372" s="382">
        <f t="shared" si="3912"/>
        <v>0</v>
      </c>
      <c r="AN1372" s="382">
        <f t="shared" si="3912"/>
        <v>0</v>
      </c>
      <c r="AO1372" s="382">
        <f t="shared" si="3912"/>
        <v>0</v>
      </c>
      <c r="AP1372" s="382">
        <f t="shared" si="3912"/>
        <v>0</v>
      </c>
      <c r="AQ1372" s="382">
        <f t="shared" si="3912"/>
        <v>0</v>
      </c>
      <c r="AR1372" s="382">
        <f t="shared" si="3912"/>
        <v>0</v>
      </c>
      <c r="AS1372" s="382">
        <f t="shared" si="3912"/>
        <v>0</v>
      </c>
      <c r="AT1372" s="382">
        <f t="shared" si="3912"/>
        <v>0</v>
      </c>
      <c r="AU1372" s="382">
        <f t="shared" si="3912"/>
        <v>0</v>
      </c>
      <c r="AV1372" s="382">
        <f t="shared" si="3912"/>
        <v>0</v>
      </c>
      <c r="AW1372" s="382">
        <f t="shared" si="3912"/>
        <v>0</v>
      </c>
      <c r="AX1372" s="382">
        <f t="shared" si="3912"/>
        <v>0</v>
      </c>
      <c r="AY1372" s="382">
        <f t="shared" si="3912"/>
        <v>0</v>
      </c>
      <c r="AZ1372" s="382">
        <f t="shared" si="3912"/>
        <v>0</v>
      </c>
      <c r="BA1372" s="382">
        <f t="shared" si="3912"/>
        <v>0</v>
      </c>
      <c r="BB1372" s="382">
        <f t="shared" si="3912"/>
        <v>0</v>
      </c>
    </row>
    <row r="1373" spans="4:54" ht="13.5" hidden="1" outlineLevel="1">
      <c r="D1373" s="371" t="s">
        <v>732</v>
      </c>
      <c r="E1373" s="373" t="s">
        <v>733</v>
      </c>
      <c r="F1373" s="589" t="s">
        <v>730</v>
      </c>
      <c r="G1373" s="590"/>
      <c r="H1373" s="590"/>
      <c r="Q1373" s="396">
        <f t="shared" ref="Q1373:BB1373" si="3913">Q572</f>
        <v>42.128999999999998</v>
      </c>
      <c r="R1373" s="397">
        <f t="shared" si="3913"/>
        <v>484.74452643879999</v>
      </c>
      <c r="S1373" s="390">
        <f t="shared" si="3913"/>
        <v>11.411999999999999</v>
      </c>
      <c r="T1373" s="379">
        <f t="shared" si="3913"/>
        <v>140.01025864800002</v>
      </c>
      <c r="U1373" s="379">
        <f t="shared" si="3913"/>
        <v>8.5690000000000008</v>
      </c>
      <c r="V1373" s="379">
        <f t="shared" si="3913"/>
        <v>100.8498419484</v>
      </c>
      <c r="W1373" s="379">
        <f t="shared" si="3913"/>
        <v>13.956</v>
      </c>
      <c r="X1373" s="379">
        <f t="shared" si="3913"/>
        <v>140.81870256479999</v>
      </c>
      <c r="Y1373" s="379">
        <f t="shared" si="3913"/>
        <v>33.937000000000005</v>
      </c>
      <c r="Z1373" s="379">
        <f t="shared" si="3913"/>
        <v>381.67880316119999</v>
      </c>
      <c r="AA1373" s="379">
        <f t="shared" si="3913"/>
        <v>8.1920000000000002</v>
      </c>
      <c r="AB1373" s="379">
        <f t="shared" si="3913"/>
        <v>103.0657232776</v>
      </c>
      <c r="AC1373" s="379">
        <f t="shared" si="3913"/>
        <v>0</v>
      </c>
      <c r="AD1373" s="379">
        <f t="shared" si="3913"/>
        <v>0</v>
      </c>
      <c r="AE1373" s="379">
        <f t="shared" si="3913"/>
        <v>0</v>
      </c>
      <c r="AF1373" s="379">
        <f t="shared" si="3913"/>
        <v>0</v>
      </c>
      <c r="AG1373" s="379">
        <f t="shared" si="3913"/>
        <v>8.1920000000000002</v>
      </c>
      <c r="AH1373" s="379">
        <f t="shared" si="3913"/>
        <v>103.0657232776</v>
      </c>
      <c r="AI1373" s="379">
        <f t="shared" si="3913"/>
        <v>42.128999999999998</v>
      </c>
      <c r="AJ1373" s="379">
        <f t="shared" si="3913"/>
        <v>484.74452643879999</v>
      </c>
      <c r="AK1373" s="379">
        <f t="shared" si="3913"/>
        <v>0</v>
      </c>
      <c r="AL1373" s="379">
        <f t="shared" si="3913"/>
        <v>0</v>
      </c>
      <c r="AM1373" s="379">
        <f t="shared" si="3913"/>
        <v>0</v>
      </c>
      <c r="AN1373" s="379">
        <f t="shared" si="3913"/>
        <v>0</v>
      </c>
      <c r="AO1373" s="379">
        <f t="shared" si="3913"/>
        <v>0</v>
      </c>
      <c r="AP1373" s="379">
        <f t="shared" si="3913"/>
        <v>0</v>
      </c>
      <c r="AQ1373" s="379">
        <f t="shared" si="3913"/>
        <v>0</v>
      </c>
      <c r="AR1373" s="379">
        <f t="shared" si="3913"/>
        <v>0</v>
      </c>
      <c r="AS1373" s="379">
        <f t="shared" si="3913"/>
        <v>0</v>
      </c>
      <c r="AT1373" s="379">
        <f t="shared" si="3913"/>
        <v>0</v>
      </c>
      <c r="AU1373" s="379">
        <f t="shared" si="3913"/>
        <v>0</v>
      </c>
      <c r="AV1373" s="379">
        <f t="shared" si="3913"/>
        <v>0</v>
      </c>
      <c r="AW1373" s="379">
        <f t="shared" si="3913"/>
        <v>0</v>
      </c>
      <c r="AX1373" s="379">
        <f t="shared" si="3913"/>
        <v>0</v>
      </c>
      <c r="AY1373" s="379">
        <f t="shared" si="3913"/>
        <v>0</v>
      </c>
      <c r="AZ1373" s="379">
        <f t="shared" si="3913"/>
        <v>0</v>
      </c>
      <c r="BA1373" s="379">
        <f t="shared" si="3913"/>
        <v>0</v>
      </c>
      <c r="BB1373" s="379">
        <f t="shared" si="3913"/>
        <v>0</v>
      </c>
    </row>
    <row r="1374" spans="4:54" ht="13.5" hidden="1" outlineLevel="1">
      <c r="D1374" s="373"/>
      <c r="E1374" s="373"/>
      <c r="F1374" s="586" t="s">
        <v>734</v>
      </c>
      <c r="G1374" s="587"/>
      <c r="H1374" s="588"/>
      <c r="Q1374" s="396">
        <f t="shared" ref="Q1374:BB1374" si="3914">Q594</f>
        <v>92.707000000000008</v>
      </c>
      <c r="R1374" s="397">
        <f t="shared" si="3914"/>
        <v>1157.1601343217999</v>
      </c>
      <c r="S1374" s="390">
        <f t="shared" si="3914"/>
        <v>23.838000000000001</v>
      </c>
      <c r="T1374" s="379">
        <f t="shared" si="3914"/>
        <v>283.53323534899999</v>
      </c>
      <c r="U1374" s="379">
        <f t="shared" si="3914"/>
        <v>18.383000000000003</v>
      </c>
      <c r="V1374" s="379">
        <f t="shared" si="3914"/>
        <v>228.7919861604</v>
      </c>
      <c r="W1374" s="379">
        <f t="shared" si="3914"/>
        <v>25.868000000000002</v>
      </c>
      <c r="X1374" s="379">
        <f t="shared" si="3914"/>
        <v>336.08191174919995</v>
      </c>
      <c r="Y1374" s="379">
        <f t="shared" si="3914"/>
        <v>68.088999999999999</v>
      </c>
      <c r="Z1374" s="379">
        <f t="shared" si="3914"/>
        <v>848.40713325859997</v>
      </c>
      <c r="AA1374" s="379">
        <f t="shared" si="3914"/>
        <v>24.618000000000006</v>
      </c>
      <c r="AB1374" s="379">
        <f t="shared" si="3914"/>
        <v>308.75300106320003</v>
      </c>
      <c r="AC1374" s="379">
        <f t="shared" si="3914"/>
        <v>0</v>
      </c>
      <c r="AD1374" s="379">
        <f t="shared" si="3914"/>
        <v>0</v>
      </c>
      <c r="AE1374" s="379">
        <f t="shared" si="3914"/>
        <v>0</v>
      </c>
      <c r="AF1374" s="379">
        <f t="shared" si="3914"/>
        <v>0</v>
      </c>
      <c r="AG1374" s="379">
        <f t="shared" si="3914"/>
        <v>24.618000000000006</v>
      </c>
      <c r="AH1374" s="379">
        <f t="shared" si="3914"/>
        <v>308.75300106320003</v>
      </c>
      <c r="AI1374" s="379">
        <f t="shared" si="3914"/>
        <v>92.707000000000008</v>
      </c>
      <c r="AJ1374" s="379">
        <f t="shared" si="3914"/>
        <v>1157.1601343217999</v>
      </c>
      <c r="AK1374" s="379">
        <f t="shared" si="3914"/>
        <v>0</v>
      </c>
      <c r="AL1374" s="379">
        <f t="shared" si="3914"/>
        <v>0</v>
      </c>
      <c r="AM1374" s="379">
        <f t="shared" si="3914"/>
        <v>0</v>
      </c>
      <c r="AN1374" s="379">
        <f t="shared" si="3914"/>
        <v>0</v>
      </c>
      <c r="AO1374" s="379">
        <f t="shared" si="3914"/>
        <v>0</v>
      </c>
      <c r="AP1374" s="379">
        <f t="shared" si="3914"/>
        <v>0</v>
      </c>
      <c r="AQ1374" s="379">
        <f t="shared" si="3914"/>
        <v>0</v>
      </c>
      <c r="AR1374" s="379">
        <f t="shared" si="3914"/>
        <v>0</v>
      </c>
      <c r="AS1374" s="379">
        <f t="shared" si="3914"/>
        <v>0</v>
      </c>
      <c r="AT1374" s="379">
        <f t="shared" si="3914"/>
        <v>0</v>
      </c>
      <c r="AU1374" s="379">
        <f t="shared" si="3914"/>
        <v>0</v>
      </c>
      <c r="AV1374" s="379">
        <f t="shared" si="3914"/>
        <v>0</v>
      </c>
      <c r="AW1374" s="379">
        <f t="shared" si="3914"/>
        <v>0</v>
      </c>
      <c r="AX1374" s="379">
        <f t="shared" si="3914"/>
        <v>0</v>
      </c>
      <c r="AY1374" s="379">
        <f t="shared" si="3914"/>
        <v>0</v>
      </c>
      <c r="AZ1374" s="379">
        <f t="shared" si="3914"/>
        <v>0</v>
      </c>
      <c r="BA1374" s="379">
        <f t="shared" si="3914"/>
        <v>0</v>
      </c>
      <c r="BB1374" s="379">
        <f t="shared" si="3914"/>
        <v>0</v>
      </c>
    </row>
    <row r="1375" spans="4:54" ht="13.5" hidden="1" outlineLevel="1">
      <c r="D1375" s="373"/>
      <c r="E1375" s="373"/>
      <c r="F1375" s="589" t="s">
        <v>735</v>
      </c>
      <c r="G1375" s="590"/>
      <c r="H1375" s="590"/>
      <c r="Q1375" s="396">
        <f t="shared" ref="Q1375:BB1375" si="3915">Q597</f>
        <v>0</v>
      </c>
      <c r="R1375" s="397">
        <f t="shared" si="3915"/>
        <v>0</v>
      </c>
      <c r="S1375" s="390">
        <f t="shared" si="3915"/>
        <v>0</v>
      </c>
      <c r="T1375" s="379">
        <f t="shared" si="3915"/>
        <v>0</v>
      </c>
      <c r="U1375" s="379">
        <f t="shared" si="3915"/>
        <v>0</v>
      </c>
      <c r="V1375" s="379">
        <f t="shared" si="3915"/>
        <v>0</v>
      </c>
      <c r="W1375" s="379">
        <f t="shared" si="3915"/>
        <v>0</v>
      </c>
      <c r="X1375" s="379">
        <f t="shared" si="3915"/>
        <v>0</v>
      </c>
      <c r="Y1375" s="379">
        <f t="shared" si="3915"/>
        <v>0</v>
      </c>
      <c r="Z1375" s="379">
        <f t="shared" si="3915"/>
        <v>0</v>
      </c>
      <c r="AA1375" s="379">
        <f t="shared" si="3915"/>
        <v>0</v>
      </c>
      <c r="AB1375" s="379">
        <f t="shared" si="3915"/>
        <v>0</v>
      </c>
      <c r="AC1375" s="379">
        <f t="shared" si="3915"/>
        <v>0</v>
      </c>
      <c r="AD1375" s="379">
        <f t="shared" si="3915"/>
        <v>0</v>
      </c>
      <c r="AE1375" s="379">
        <f t="shared" si="3915"/>
        <v>0</v>
      </c>
      <c r="AF1375" s="379">
        <f t="shared" si="3915"/>
        <v>0</v>
      </c>
      <c r="AG1375" s="379">
        <f t="shared" si="3915"/>
        <v>0</v>
      </c>
      <c r="AH1375" s="379">
        <f t="shared" si="3915"/>
        <v>0</v>
      </c>
      <c r="AI1375" s="379">
        <f t="shared" si="3915"/>
        <v>0</v>
      </c>
      <c r="AJ1375" s="379">
        <f t="shared" si="3915"/>
        <v>0</v>
      </c>
      <c r="AK1375" s="379">
        <f t="shared" si="3915"/>
        <v>0</v>
      </c>
      <c r="AL1375" s="379">
        <f t="shared" si="3915"/>
        <v>0</v>
      </c>
      <c r="AM1375" s="379">
        <f t="shared" si="3915"/>
        <v>0</v>
      </c>
      <c r="AN1375" s="379">
        <f t="shared" si="3915"/>
        <v>0</v>
      </c>
      <c r="AO1375" s="379">
        <f t="shared" si="3915"/>
        <v>0</v>
      </c>
      <c r="AP1375" s="379">
        <f t="shared" si="3915"/>
        <v>0</v>
      </c>
      <c r="AQ1375" s="379">
        <f t="shared" si="3915"/>
        <v>0</v>
      </c>
      <c r="AR1375" s="379">
        <f t="shared" si="3915"/>
        <v>0</v>
      </c>
      <c r="AS1375" s="379">
        <f t="shared" si="3915"/>
        <v>0</v>
      </c>
      <c r="AT1375" s="379">
        <f t="shared" si="3915"/>
        <v>0</v>
      </c>
      <c r="AU1375" s="379">
        <f t="shared" si="3915"/>
        <v>0</v>
      </c>
      <c r="AV1375" s="379">
        <f t="shared" si="3915"/>
        <v>0</v>
      </c>
      <c r="AW1375" s="379">
        <f t="shared" si="3915"/>
        <v>0</v>
      </c>
      <c r="AX1375" s="379">
        <f t="shared" si="3915"/>
        <v>0</v>
      </c>
      <c r="AY1375" s="379">
        <f t="shared" si="3915"/>
        <v>0</v>
      </c>
      <c r="AZ1375" s="379">
        <f t="shared" si="3915"/>
        <v>0</v>
      </c>
      <c r="BA1375" s="379">
        <f t="shared" si="3915"/>
        <v>0</v>
      </c>
      <c r="BB1375" s="379">
        <f t="shared" si="3915"/>
        <v>0</v>
      </c>
    </row>
    <row r="1376" spans="4:54" s="380" customFormat="1" ht="13.5" hidden="1" outlineLevel="1">
      <c r="D1376" s="374"/>
      <c r="E1376" s="591" t="s">
        <v>727</v>
      </c>
      <c r="F1376" s="591"/>
      <c r="G1376" s="591"/>
      <c r="H1376" s="592"/>
      <c r="I1376" s="381"/>
      <c r="J1376" s="381"/>
      <c r="K1376" s="381"/>
      <c r="L1376" s="381"/>
      <c r="M1376" s="381"/>
      <c r="N1376" s="381"/>
      <c r="O1376" s="381"/>
      <c r="P1376" s="381"/>
      <c r="Q1376" s="402">
        <f t="shared" ref="Q1376:AE1376" si="3916">SUM(Q1373:Q1375)</f>
        <v>134.83600000000001</v>
      </c>
      <c r="R1376" s="403">
        <f t="shared" si="3916"/>
        <v>1641.9046607605999</v>
      </c>
      <c r="S1376" s="393">
        <f t="shared" si="3916"/>
        <v>35.25</v>
      </c>
      <c r="T1376" s="382">
        <f t="shared" si="3916"/>
        <v>423.54349399700004</v>
      </c>
      <c r="U1376" s="382">
        <f t="shared" si="3916"/>
        <v>26.952000000000005</v>
      </c>
      <c r="V1376" s="382">
        <f t="shared" si="3916"/>
        <v>329.64182810879998</v>
      </c>
      <c r="W1376" s="382">
        <f t="shared" si="3916"/>
        <v>39.823999999999998</v>
      </c>
      <c r="X1376" s="382">
        <f t="shared" si="3916"/>
        <v>476.90061431399994</v>
      </c>
      <c r="Y1376" s="382">
        <f t="shared" si="3916"/>
        <v>102.02600000000001</v>
      </c>
      <c r="Z1376" s="382">
        <f t="shared" si="3916"/>
        <v>1230.0859364198</v>
      </c>
      <c r="AA1376" s="382">
        <f t="shared" si="3916"/>
        <v>32.81</v>
      </c>
      <c r="AB1376" s="382">
        <f t="shared" si="3916"/>
        <v>411.81872434080003</v>
      </c>
      <c r="AC1376" s="382">
        <f t="shared" si="3916"/>
        <v>0</v>
      </c>
      <c r="AD1376" s="382">
        <f t="shared" si="3916"/>
        <v>0</v>
      </c>
      <c r="AE1376" s="382">
        <f t="shared" si="3916"/>
        <v>0</v>
      </c>
      <c r="AF1376" s="382">
        <f>SUM(AF1373:AF1375)</f>
        <v>0</v>
      </c>
      <c r="AG1376" s="382">
        <f t="shared" ref="AG1376:BB1376" si="3917">SUM(AG1373:AG1375)</f>
        <v>32.81</v>
      </c>
      <c r="AH1376" s="382">
        <f t="shared" si="3917"/>
        <v>411.81872434080003</v>
      </c>
      <c r="AI1376" s="382">
        <f t="shared" si="3917"/>
        <v>134.83600000000001</v>
      </c>
      <c r="AJ1376" s="382">
        <f t="shared" si="3917"/>
        <v>1641.9046607605999</v>
      </c>
      <c r="AK1376" s="382">
        <f t="shared" si="3917"/>
        <v>0</v>
      </c>
      <c r="AL1376" s="382">
        <f t="shared" si="3917"/>
        <v>0</v>
      </c>
      <c r="AM1376" s="382">
        <f t="shared" si="3917"/>
        <v>0</v>
      </c>
      <c r="AN1376" s="382">
        <f t="shared" si="3917"/>
        <v>0</v>
      </c>
      <c r="AO1376" s="382">
        <f t="shared" si="3917"/>
        <v>0</v>
      </c>
      <c r="AP1376" s="382">
        <f t="shared" si="3917"/>
        <v>0</v>
      </c>
      <c r="AQ1376" s="382">
        <f t="shared" si="3917"/>
        <v>0</v>
      </c>
      <c r="AR1376" s="382">
        <f t="shared" si="3917"/>
        <v>0</v>
      </c>
      <c r="AS1376" s="382">
        <f t="shared" si="3917"/>
        <v>0</v>
      </c>
      <c r="AT1376" s="382">
        <f t="shared" si="3917"/>
        <v>0</v>
      </c>
      <c r="AU1376" s="382">
        <f t="shared" si="3917"/>
        <v>0</v>
      </c>
      <c r="AV1376" s="382">
        <f t="shared" si="3917"/>
        <v>0</v>
      </c>
      <c r="AW1376" s="382">
        <f t="shared" si="3917"/>
        <v>0</v>
      </c>
      <c r="AX1376" s="382">
        <f t="shared" si="3917"/>
        <v>0</v>
      </c>
      <c r="AY1376" s="382">
        <f t="shared" si="3917"/>
        <v>0</v>
      </c>
      <c r="AZ1376" s="382">
        <f t="shared" si="3917"/>
        <v>0</v>
      </c>
      <c r="BA1376" s="382">
        <f t="shared" si="3917"/>
        <v>0</v>
      </c>
      <c r="BB1376" s="382">
        <f t="shared" si="3917"/>
        <v>0</v>
      </c>
    </row>
    <row r="1377" spans="4:54" ht="13.5" hidden="1" outlineLevel="1">
      <c r="D1377" s="371" t="s">
        <v>736</v>
      </c>
      <c r="E1377" s="375" t="s">
        <v>58</v>
      </c>
      <c r="F1377" s="589" t="s">
        <v>725</v>
      </c>
      <c r="G1377" s="590"/>
      <c r="H1377" s="590"/>
      <c r="Q1377" s="396">
        <f t="shared" ref="Q1377:BB1377" si="3918">Q737</f>
        <v>569.45999999999992</v>
      </c>
      <c r="R1377" s="397">
        <f t="shared" si="3918"/>
        <v>7701.9224985248047</v>
      </c>
      <c r="S1377" s="390">
        <f t="shared" si="3918"/>
        <v>132.05600000000001</v>
      </c>
      <c r="T1377" s="379">
        <f t="shared" si="3918"/>
        <v>1907.1167660319995</v>
      </c>
      <c r="U1377" s="379">
        <f t="shared" si="3918"/>
        <v>121.03199999999998</v>
      </c>
      <c r="V1377" s="379">
        <f t="shared" si="3918"/>
        <v>1541.0286739055996</v>
      </c>
      <c r="W1377" s="379">
        <f t="shared" si="3918"/>
        <v>148.63999999999996</v>
      </c>
      <c r="X1377" s="379">
        <f t="shared" si="3918"/>
        <v>1952.3041255872001</v>
      </c>
      <c r="Y1377" s="379">
        <f t="shared" si="3918"/>
        <v>401.72800000000001</v>
      </c>
      <c r="Z1377" s="379">
        <f t="shared" si="3918"/>
        <v>5400.4495655247993</v>
      </c>
      <c r="AA1377" s="379">
        <f t="shared" si="3918"/>
        <v>167.73200000000006</v>
      </c>
      <c r="AB1377" s="379">
        <f t="shared" si="3918"/>
        <v>2301.4729330000005</v>
      </c>
      <c r="AC1377" s="379">
        <f t="shared" si="3918"/>
        <v>0</v>
      </c>
      <c r="AD1377" s="379">
        <f t="shared" si="3918"/>
        <v>0</v>
      </c>
      <c r="AE1377" s="379">
        <f t="shared" si="3918"/>
        <v>0</v>
      </c>
      <c r="AF1377" s="379">
        <f t="shared" si="3918"/>
        <v>0</v>
      </c>
      <c r="AG1377" s="379">
        <f t="shared" si="3918"/>
        <v>167.73200000000006</v>
      </c>
      <c r="AH1377" s="379">
        <f t="shared" si="3918"/>
        <v>2301.4729330000005</v>
      </c>
      <c r="AI1377" s="379">
        <f t="shared" si="3918"/>
        <v>569.45999999999992</v>
      </c>
      <c r="AJ1377" s="379">
        <f t="shared" si="3918"/>
        <v>7701.9224985248047</v>
      </c>
      <c r="AK1377" s="379">
        <f t="shared" si="3918"/>
        <v>0</v>
      </c>
      <c r="AL1377" s="379">
        <f t="shared" si="3918"/>
        <v>0</v>
      </c>
      <c r="AM1377" s="379">
        <f t="shared" si="3918"/>
        <v>0</v>
      </c>
      <c r="AN1377" s="379">
        <f t="shared" si="3918"/>
        <v>0</v>
      </c>
      <c r="AO1377" s="379">
        <f t="shared" si="3918"/>
        <v>0</v>
      </c>
      <c r="AP1377" s="379">
        <f t="shared" si="3918"/>
        <v>0</v>
      </c>
      <c r="AQ1377" s="379">
        <f t="shared" si="3918"/>
        <v>0</v>
      </c>
      <c r="AR1377" s="379">
        <f t="shared" si="3918"/>
        <v>0</v>
      </c>
      <c r="AS1377" s="379">
        <f t="shared" si="3918"/>
        <v>0</v>
      </c>
      <c r="AT1377" s="379">
        <f t="shared" si="3918"/>
        <v>0</v>
      </c>
      <c r="AU1377" s="379">
        <f t="shared" si="3918"/>
        <v>0</v>
      </c>
      <c r="AV1377" s="379">
        <f t="shared" si="3918"/>
        <v>0</v>
      </c>
      <c r="AW1377" s="379">
        <f t="shared" si="3918"/>
        <v>0</v>
      </c>
      <c r="AX1377" s="379">
        <f t="shared" si="3918"/>
        <v>0</v>
      </c>
      <c r="AY1377" s="379">
        <f t="shared" si="3918"/>
        <v>0</v>
      </c>
      <c r="AZ1377" s="379">
        <f t="shared" si="3918"/>
        <v>0</v>
      </c>
      <c r="BA1377" s="379">
        <f t="shared" si="3918"/>
        <v>0</v>
      </c>
      <c r="BB1377" s="379">
        <f t="shared" si="3918"/>
        <v>0</v>
      </c>
    </row>
    <row r="1378" spans="4:54" ht="13.5" hidden="1" outlineLevel="1">
      <c r="D1378" s="373"/>
      <c r="E1378" s="372" t="s">
        <v>220</v>
      </c>
      <c r="F1378" s="586" t="s">
        <v>725</v>
      </c>
      <c r="G1378" s="587"/>
      <c r="H1378" s="588"/>
      <c r="Q1378" s="396">
        <f t="shared" ref="Q1378:BB1378" si="3919">Q764</f>
        <v>193.28999999999996</v>
      </c>
      <c r="R1378" s="397">
        <f t="shared" si="3919"/>
        <v>3049.8306780000003</v>
      </c>
      <c r="S1378" s="390">
        <f t="shared" si="3919"/>
        <v>49.133999999999993</v>
      </c>
      <c r="T1378" s="379">
        <f t="shared" si="3919"/>
        <v>777.93138499999998</v>
      </c>
      <c r="U1378" s="379">
        <f t="shared" si="3919"/>
        <v>46.810999999999993</v>
      </c>
      <c r="V1378" s="379">
        <f t="shared" si="3919"/>
        <v>712.18405399999995</v>
      </c>
      <c r="W1378" s="379">
        <f t="shared" si="3919"/>
        <v>56.498999999999988</v>
      </c>
      <c r="X1378" s="379">
        <f t="shared" si="3919"/>
        <v>884.65890300000012</v>
      </c>
      <c r="Y1378" s="379">
        <f t="shared" si="3919"/>
        <v>152.44399999999999</v>
      </c>
      <c r="Z1378" s="379">
        <f t="shared" si="3919"/>
        <v>2374.7743419999997</v>
      </c>
      <c r="AA1378" s="379">
        <f t="shared" si="3919"/>
        <v>40.845999999999997</v>
      </c>
      <c r="AB1378" s="379">
        <f t="shared" si="3919"/>
        <v>675.0563360000001</v>
      </c>
      <c r="AC1378" s="379">
        <f t="shared" si="3919"/>
        <v>0</v>
      </c>
      <c r="AD1378" s="379">
        <f t="shared" si="3919"/>
        <v>0</v>
      </c>
      <c r="AE1378" s="379">
        <f t="shared" si="3919"/>
        <v>0</v>
      </c>
      <c r="AF1378" s="379">
        <f t="shared" si="3919"/>
        <v>0</v>
      </c>
      <c r="AG1378" s="379">
        <f t="shared" si="3919"/>
        <v>40.845999999999997</v>
      </c>
      <c r="AH1378" s="379">
        <f t="shared" si="3919"/>
        <v>675.0563360000001</v>
      </c>
      <c r="AI1378" s="379">
        <f t="shared" si="3919"/>
        <v>193.28999999999996</v>
      </c>
      <c r="AJ1378" s="379">
        <f t="shared" si="3919"/>
        <v>3049.8306780000003</v>
      </c>
      <c r="AK1378" s="379">
        <f t="shared" si="3919"/>
        <v>0</v>
      </c>
      <c r="AL1378" s="379">
        <f t="shared" si="3919"/>
        <v>0</v>
      </c>
      <c r="AM1378" s="379">
        <f t="shared" si="3919"/>
        <v>0</v>
      </c>
      <c r="AN1378" s="379">
        <f t="shared" si="3919"/>
        <v>0</v>
      </c>
      <c r="AO1378" s="379">
        <f t="shared" si="3919"/>
        <v>0</v>
      </c>
      <c r="AP1378" s="379">
        <f t="shared" si="3919"/>
        <v>0</v>
      </c>
      <c r="AQ1378" s="379">
        <f t="shared" si="3919"/>
        <v>0</v>
      </c>
      <c r="AR1378" s="379">
        <f t="shared" si="3919"/>
        <v>0</v>
      </c>
      <c r="AS1378" s="379">
        <f t="shared" si="3919"/>
        <v>0</v>
      </c>
      <c r="AT1378" s="379">
        <f t="shared" si="3919"/>
        <v>0</v>
      </c>
      <c r="AU1378" s="379">
        <f t="shared" si="3919"/>
        <v>0</v>
      </c>
      <c r="AV1378" s="379">
        <f t="shared" si="3919"/>
        <v>0</v>
      </c>
      <c r="AW1378" s="379">
        <f t="shared" si="3919"/>
        <v>0</v>
      </c>
      <c r="AX1378" s="379">
        <f t="shared" si="3919"/>
        <v>0</v>
      </c>
      <c r="AY1378" s="379">
        <f t="shared" si="3919"/>
        <v>0</v>
      </c>
      <c r="AZ1378" s="379">
        <f t="shared" si="3919"/>
        <v>0</v>
      </c>
      <c r="BA1378" s="379">
        <f t="shared" si="3919"/>
        <v>0</v>
      </c>
      <c r="BB1378" s="379">
        <f t="shared" si="3919"/>
        <v>0</v>
      </c>
    </row>
    <row r="1379" spans="4:54" ht="13.5" hidden="1" outlineLevel="1">
      <c r="D1379" s="373"/>
      <c r="E1379" s="371" t="s">
        <v>737</v>
      </c>
      <c r="F1379" s="589" t="s">
        <v>725</v>
      </c>
      <c r="G1379" s="590"/>
      <c r="H1379" s="590"/>
      <c r="Q1379" s="396">
        <f t="shared" ref="Q1379:BB1379" si="3920">Q869</f>
        <v>235.786</v>
      </c>
      <c r="R1379" s="397">
        <f t="shared" si="3920"/>
        <v>1858.4558527018</v>
      </c>
      <c r="S1379" s="390">
        <f t="shared" si="3920"/>
        <v>66.344999999999999</v>
      </c>
      <c r="T1379" s="379">
        <f t="shared" si="3920"/>
        <v>519.19492458599996</v>
      </c>
      <c r="U1379" s="379">
        <f t="shared" si="3920"/>
        <v>45.414999999999999</v>
      </c>
      <c r="V1379" s="379">
        <f t="shared" si="3920"/>
        <v>379.36976107639998</v>
      </c>
      <c r="W1379" s="379">
        <f t="shared" si="3920"/>
        <v>69.768000000000001</v>
      </c>
      <c r="X1379" s="379">
        <f t="shared" si="3920"/>
        <v>561.55447672099979</v>
      </c>
      <c r="Y1379" s="379">
        <f t="shared" si="3920"/>
        <v>181.52800000000005</v>
      </c>
      <c r="Z1379" s="379">
        <f t="shared" si="3920"/>
        <v>1460.1191623834</v>
      </c>
      <c r="AA1379" s="379">
        <f t="shared" si="3920"/>
        <v>54.257999999999996</v>
      </c>
      <c r="AB1379" s="379">
        <f t="shared" si="3920"/>
        <v>398.33669031840003</v>
      </c>
      <c r="AC1379" s="379">
        <f t="shared" si="3920"/>
        <v>0</v>
      </c>
      <c r="AD1379" s="379">
        <f t="shared" si="3920"/>
        <v>0</v>
      </c>
      <c r="AE1379" s="379">
        <f t="shared" si="3920"/>
        <v>0</v>
      </c>
      <c r="AF1379" s="379">
        <f t="shared" si="3920"/>
        <v>0</v>
      </c>
      <c r="AG1379" s="379">
        <f t="shared" si="3920"/>
        <v>54.257999999999996</v>
      </c>
      <c r="AH1379" s="379">
        <f t="shared" si="3920"/>
        <v>398.33669031840003</v>
      </c>
      <c r="AI1379" s="379">
        <f t="shared" si="3920"/>
        <v>235.786</v>
      </c>
      <c r="AJ1379" s="379">
        <f t="shared" si="3920"/>
        <v>1858.4558527018</v>
      </c>
      <c r="AK1379" s="379">
        <f t="shared" si="3920"/>
        <v>0</v>
      </c>
      <c r="AL1379" s="379">
        <f t="shared" si="3920"/>
        <v>0</v>
      </c>
      <c r="AM1379" s="379">
        <f t="shared" si="3920"/>
        <v>0</v>
      </c>
      <c r="AN1379" s="379">
        <f t="shared" si="3920"/>
        <v>0</v>
      </c>
      <c r="AO1379" s="379">
        <f t="shared" si="3920"/>
        <v>0</v>
      </c>
      <c r="AP1379" s="379">
        <f t="shared" si="3920"/>
        <v>0</v>
      </c>
      <c r="AQ1379" s="379">
        <f t="shared" si="3920"/>
        <v>0</v>
      </c>
      <c r="AR1379" s="379">
        <f t="shared" si="3920"/>
        <v>0</v>
      </c>
      <c r="AS1379" s="379">
        <f t="shared" si="3920"/>
        <v>0</v>
      </c>
      <c r="AT1379" s="379">
        <f t="shared" si="3920"/>
        <v>0</v>
      </c>
      <c r="AU1379" s="379">
        <f t="shared" si="3920"/>
        <v>0</v>
      </c>
      <c r="AV1379" s="379">
        <f t="shared" si="3920"/>
        <v>0</v>
      </c>
      <c r="AW1379" s="379">
        <f t="shared" si="3920"/>
        <v>0</v>
      </c>
      <c r="AX1379" s="379">
        <f t="shared" si="3920"/>
        <v>0</v>
      </c>
      <c r="AY1379" s="379">
        <f t="shared" si="3920"/>
        <v>0</v>
      </c>
      <c r="AZ1379" s="379">
        <f t="shared" si="3920"/>
        <v>0</v>
      </c>
      <c r="BA1379" s="379">
        <f t="shared" si="3920"/>
        <v>0</v>
      </c>
      <c r="BB1379" s="379">
        <f t="shared" si="3920"/>
        <v>0</v>
      </c>
    </row>
    <row r="1380" spans="4:54" ht="13.5" hidden="1" outlineLevel="1">
      <c r="D1380" s="377"/>
      <c r="E1380" s="606" t="s">
        <v>224</v>
      </c>
      <c r="F1380" s="611"/>
      <c r="G1380" s="611"/>
      <c r="H1380" s="612"/>
      <c r="Q1380" s="396">
        <f t="shared" ref="Q1380:BB1380" si="3921">Q873+Q889</f>
        <v>87.182999999999993</v>
      </c>
      <c r="R1380" s="397">
        <f t="shared" si="3921"/>
        <v>344.80511799999999</v>
      </c>
      <c r="S1380" s="390">
        <f t="shared" si="3921"/>
        <v>23.018000000000001</v>
      </c>
      <c r="T1380" s="379">
        <f t="shared" si="3921"/>
        <v>102.991454</v>
      </c>
      <c r="U1380" s="379">
        <f t="shared" si="3921"/>
        <v>10.119</v>
      </c>
      <c r="V1380" s="379">
        <f t="shared" si="3921"/>
        <v>43.302148000000003</v>
      </c>
      <c r="W1380" s="379">
        <f t="shared" si="3921"/>
        <v>38.848999999999997</v>
      </c>
      <c r="X1380" s="379">
        <f t="shared" si="3921"/>
        <v>120.69553599999999</v>
      </c>
      <c r="Y1380" s="379">
        <f t="shared" si="3921"/>
        <v>71.98599999999999</v>
      </c>
      <c r="Z1380" s="379">
        <f t="shared" si="3921"/>
        <v>266.98913799999997</v>
      </c>
      <c r="AA1380" s="379">
        <f t="shared" si="3921"/>
        <v>15.197000000000001</v>
      </c>
      <c r="AB1380" s="379">
        <f t="shared" si="3921"/>
        <v>77.815979999999996</v>
      </c>
      <c r="AC1380" s="379">
        <f t="shared" si="3921"/>
        <v>0</v>
      </c>
      <c r="AD1380" s="379">
        <f t="shared" si="3921"/>
        <v>0</v>
      </c>
      <c r="AE1380" s="379">
        <f t="shared" si="3921"/>
        <v>0</v>
      </c>
      <c r="AF1380" s="379">
        <f t="shared" si="3921"/>
        <v>0</v>
      </c>
      <c r="AG1380" s="379">
        <f t="shared" si="3921"/>
        <v>15.197000000000001</v>
      </c>
      <c r="AH1380" s="379">
        <f t="shared" si="3921"/>
        <v>77.815979999999996</v>
      </c>
      <c r="AI1380" s="379">
        <f t="shared" si="3921"/>
        <v>87.182999999999993</v>
      </c>
      <c r="AJ1380" s="379">
        <f t="shared" si="3921"/>
        <v>344.80511799999999</v>
      </c>
      <c r="AK1380" s="379">
        <f t="shared" si="3921"/>
        <v>0</v>
      </c>
      <c r="AL1380" s="379">
        <f t="shared" si="3921"/>
        <v>0</v>
      </c>
      <c r="AM1380" s="379">
        <f t="shared" si="3921"/>
        <v>0</v>
      </c>
      <c r="AN1380" s="379">
        <f t="shared" si="3921"/>
        <v>0</v>
      </c>
      <c r="AO1380" s="379">
        <f t="shared" si="3921"/>
        <v>0</v>
      </c>
      <c r="AP1380" s="379">
        <f t="shared" si="3921"/>
        <v>0</v>
      </c>
      <c r="AQ1380" s="379">
        <f t="shared" si="3921"/>
        <v>0</v>
      </c>
      <c r="AR1380" s="379">
        <f t="shared" si="3921"/>
        <v>0</v>
      </c>
      <c r="AS1380" s="379">
        <f t="shared" si="3921"/>
        <v>0</v>
      </c>
      <c r="AT1380" s="379">
        <f t="shared" si="3921"/>
        <v>0</v>
      </c>
      <c r="AU1380" s="379">
        <f t="shared" si="3921"/>
        <v>0</v>
      </c>
      <c r="AV1380" s="379">
        <f t="shared" si="3921"/>
        <v>0</v>
      </c>
      <c r="AW1380" s="379">
        <f t="shared" si="3921"/>
        <v>0</v>
      </c>
      <c r="AX1380" s="379">
        <f t="shared" si="3921"/>
        <v>0</v>
      </c>
      <c r="AY1380" s="379">
        <f t="shared" si="3921"/>
        <v>0</v>
      </c>
      <c r="AZ1380" s="379">
        <f t="shared" si="3921"/>
        <v>0</v>
      </c>
      <c r="BA1380" s="379">
        <f t="shared" si="3921"/>
        <v>0</v>
      </c>
      <c r="BB1380" s="379">
        <f t="shared" si="3921"/>
        <v>0</v>
      </c>
    </row>
    <row r="1381" spans="4:54" s="380" customFormat="1" ht="13.5" hidden="1" outlineLevel="1">
      <c r="D1381" s="374"/>
      <c r="E1381" s="591" t="s">
        <v>727</v>
      </c>
      <c r="F1381" s="591"/>
      <c r="G1381" s="591"/>
      <c r="H1381" s="592"/>
      <c r="I1381" s="381"/>
      <c r="J1381" s="381"/>
      <c r="K1381" s="381"/>
      <c r="L1381" s="381"/>
      <c r="M1381" s="381"/>
      <c r="N1381" s="381"/>
      <c r="O1381" s="381"/>
      <c r="P1381" s="381"/>
      <c r="Q1381" s="402">
        <f t="shared" ref="Q1381:AE1381" si="3922">SUM(Q1377:Q1380)</f>
        <v>1085.7189999999998</v>
      </c>
      <c r="R1381" s="403">
        <f t="shared" si="3922"/>
        <v>12955.014147226606</v>
      </c>
      <c r="S1381" s="393">
        <f t="shared" si="3922"/>
        <v>270.553</v>
      </c>
      <c r="T1381" s="382">
        <f t="shared" si="3922"/>
        <v>3307.2345296179997</v>
      </c>
      <c r="U1381" s="382">
        <f t="shared" si="3922"/>
        <v>223.37699999999995</v>
      </c>
      <c r="V1381" s="382">
        <f t="shared" si="3922"/>
        <v>2675.8846369819998</v>
      </c>
      <c r="W1381" s="382">
        <f t="shared" si="3922"/>
        <v>313.75599999999991</v>
      </c>
      <c r="X1381" s="382">
        <f t="shared" si="3922"/>
        <v>3519.2130413082004</v>
      </c>
      <c r="Y1381" s="382">
        <f t="shared" si="3922"/>
        <v>807.68600000000004</v>
      </c>
      <c r="Z1381" s="382">
        <f t="shared" si="3922"/>
        <v>9502.3322079081991</v>
      </c>
      <c r="AA1381" s="382">
        <f t="shared" si="3922"/>
        <v>278.03300000000007</v>
      </c>
      <c r="AB1381" s="382">
        <f t="shared" si="3922"/>
        <v>3452.6819393184005</v>
      </c>
      <c r="AC1381" s="382">
        <f t="shared" si="3922"/>
        <v>0</v>
      </c>
      <c r="AD1381" s="382">
        <f t="shared" si="3922"/>
        <v>0</v>
      </c>
      <c r="AE1381" s="382">
        <f t="shared" si="3922"/>
        <v>0</v>
      </c>
      <c r="AF1381" s="382">
        <f>SUM(AF1377:AF1380)</f>
        <v>0</v>
      </c>
      <c r="AG1381" s="382">
        <f t="shared" ref="AG1381:BB1381" si="3923">SUM(AG1377:AG1380)</f>
        <v>278.03300000000007</v>
      </c>
      <c r="AH1381" s="382">
        <f t="shared" si="3923"/>
        <v>3452.6819393184005</v>
      </c>
      <c r="AI1381" s="382">
        <f t="shared" si="3923"/>
        <v>1085.7189999999998</v>
      </c>
      <c r="AJ1381" s="382">
        <f t="shared" si="3923"/>
        <v>12955.014147226606</v>
      </c>
      <c r="AK1381" s="382">
        <f t="shared" si="3923"/>
        <v>0</v>
      </c>
      <c r="AL1381" s="382">
        <f t="shared" si="3923"/>
        <v>0</v>
      </c>
      <c r="AM1381" s="382">
        <f t="shared" si="3923"/>
        <v>0</v>
      </c>
      <c r="AN1381" s="382">
        <f t="shared" si="3923"/>
        <v>0</v>
      </c>
      <c r="AO1381" s="382">
        <f t="shared" si="3923"/>
        <v>0</v>
      </c>
      <c r="AP1381" s="382">
        <f t="shared" si="3923"/>
        <v>0</v>
      </c>
      <c r="AQ1381" s="382">
        <f t="shared" si="3923"/>
        <v>0</v>
      </c>
      <c r="AR1381" s="382">
        <f t="shared" si="3923"/>
        <v>0</v>
      </c>
      <c r="AS1381" s="382">
        <f t="shared" si="3923"/>
        <v>0</v>
      </c>
      <c r="AT1381" s="382">
        <f t="shared" si="3923"/>
        <v>0</v>
      </c>
      <c r="AU1381" s="382">
        <f t="shared" si="3923"/>
        <v>0</v>
      </c>
      <c r="AV1381" s="382">
        <f t="shared" si="3923"/>
        <v>0</v>
      </c>
      <c r="AW1381" s="382">
        <f t="shared" si="3923"/>
        <v>0</v>
      </c>
      <c r="AX1381" s="382">
        <f t="shared" si="3923"/>
        <v>0</v>
      </c>
      <c r="AY1381" s="382">
        <f t="shared" si="3923"/>
        <v>0</v>
      </c>
      <c r="AZ1381" s="382">
        <f t="shared" si="3923"/>
        <v>0</v>
      </c>
      <c r="BA1381" s="382">
        <f t="shared" si="3923"/>
        <v>0</v>
      </c>
      <c r="BB1381" s="382">
        <f t="shared" si="3923"/>
        <v>0</v>
      </c>
    </row>
    <row r="1382" spans="4:54" ht="13.5" hidden="1" outlineLevel="1">
      <c r="D1382" s="371" t="s">
        <v>738</v>
      </c>
      <c r="E1382" s="373" t="s">
        <v>739</v>
      </c>
      <c r="F1382" s="589" t="s">
        <v>725</v>
      </c>
      <c r="G1382" s="590"/>
      <c r="H1382" s="590"/>
      <c r="Q1382" s="396">
        <f t="shared" ref="Q1382:BB1382" si="3924">Q1024</f>
        <v>22.379000000000001</v>
      </c>
      <c r="R1382" s="397">
        <f t="shared" si="3924"/>
        <v>136.48989342900001</v>
      </c>
      <c r="S1382" s="390">
        <f t="shared" si="3924"/>
        <v>6.4790000000000001</v>
      </c>
      <c r="T1382" s="379">
        <f t="shared" si="3924"/>
        <v>38.431781999000009</v>
      </c>
      <c r="U1382" s="379">
        <f t="shared" si="3924"/>
        <v>8.6999999999999993</v>
      </c>
      <c r="V1382" s="379">
        <f t="shared" si="3924"/>
        <v>54.149050740000007</v>
      </c>
      <c r="W1382" s="379">
        <f t="shared" si="3924"/>
        <v>3.5</v>
      </c>
      <c r="X1382" s="379">
        <f t="shared" si="3924"/>
        <v>21.521450250000001</v>
      </c>
      <c r="Y1382" s="379">
        <f t="shared" si="3924"/>
        <v>18.679000000000002</v>
      </c>
      <c r="Z1382" s="379">
        <f t="shared" si="3924"/>
        <v>114.10228298900002</v>
      </c>
      <c r="AA1382" s="379">
        <f t="shared" si="3924"/>
        <v>3.7</v>
      </c>
      <c r="AB1382" s="379">
        <f t="shared" si="3924"/>
        <v>22.387610440000003</v>
      </c>
      <c r="AC1382" s="379">
        <f t="shared" si="3924"/>
        <v>0</v>
      </c>
      <c r="AD1382" s="379">
        <f t="shared" si="3924"/>
        <v>0</v>
      </c>
      <c r="AE1382" s="379">
        <f t="shared" si="3924"/>
        <v>0</v>
      </c>
      <c r="AF1382" s="379">
        <f t="shared" si="3924"/>
        <v>0</v>
      </c>
      <c r="AG1382" s="379">
        <f t="shared" si="3924"/>
        <v>3.7</v>
      </c>
      <c r="AH1382" s="379">
        <f t="shared" si="3924"/>
        <v>22.387610440000003</v>
      </c>
      <c r="AI1382" s="379">
        <f t="shared" si="3924"/>
        <v>22.379000000000001</v>
      </c>
      <c r="AJ1382" s="379">
        <f t="shared" si="3924"/>
        <v>136.48989342900001</v>
      </c>
      <c r="AK1382" s="379">
        <f t="shared" si="3924"/>
        <v>0</v>
      </c>
      <c r="AL1382" s="379">
        <f t="shared" si="3924"/>
        <v>0</v>
      </c>
      <c r="AM1382" s="379">
        <f t="shared" si="3924"/>
        <v>0</v>
      </c>
      <c r="AN1382" s="379">
        <f t="shared" si="3924"/>
        <v>0</v>
      </c>
      <c r="AO1382" s="379">
        <f t="shared" si="3924"/>
        <v>0</v>
      </c>
      <c r="AP1382" s="379">
        <f t="shared" si="3924"/>
        <v>0</v>
      </c>
      <c r="AQ1382" s="379">
        <f t="shared" si="3924"/>
        <v>0</v>
      </c>
      <c r="AR1382" s="379">
        <f t="shared" si="3924"/>
        <v>0</v>
      </c>
      <c r="AS1382" s="379">
        <f t="shared" si="3924"/>
        <v>0</v>
      </c>
      <c r="AT1382" s="379">
        <f t="shared" si="3924"/>
        <v>0</v>
      </c>
      <c r="AU1382" s="379">
        <f t="shared" si="3924"/>
        <v>0</v>
      </c>
      <c r="AV1382" s="379">
        <f t="shared" si="3924"/>
        <v>0</v>
      </c>
      <c r="AW1382" s="379">
        <f t="shared" si="3924"/>
        <v>0</v>
      </c>
      <c r="AX1382" s="379">
        <f t="shared" si="3924"/>
        <v>0</v>
      </c>
      <c r="AY1382" s="379">
        <f t="shared" si="3924"/>
        <v>0</v>
      </c>
      <c r="AZ1382" s="379">
        <f t="shared" si="3924"/>
        <v>0</v>
      </c>
      <c r="BA1382" s="379">
        <f t="shared" si="3924"/>
        <v>0</v>
      </c>
      <c r="BB1382" s="379">
        <f t="shared" si="3924"/>
        <v>0</v>
      </c>
    </row>
    <row r="1383" spans="4:54" ht="13.5" hidden="1" outlineLevel="1">
      <c r="D1383" s="373"/>
      <c r="E1383" s="375"/>
      <c r="F1383" s="586" t="s">
        <v>740</v>
      </c>
      <c r="G1383" s="587"/>
      <c r="H1383" s="588"/>
      <c r="Q1383" s="396">
        <f t="shared" ref="Q1383:BB1383" si="3925">Q1308-Q1024</f>
        <v>141.69200000000006</v>
      </c>
      <c r="R1383" s="397">
        <f t="shared" si="3925"/>
        <v>2309.7839462515999</v>
      </c>
      <c r="S1383" s="390">
        <f t="shared" si="3925"/>
        <v>29.737000000000009</v>
      </c>
      <c r="T1383" s="379">
        <f t="shared" si="3925"/>
        <v>480.84967158799998</v>
      </c>
      <c r="U1383" s="379">
        <f t="shared" si="3925"/>
        <v>22.818999999999996</v>
      </c>
      <c r="V1383" s="379">
        <f t="shared" si="3925"/>
        <v>336.78428479920007</v>
      </c>
      <c r="W1383" s="379">
        <f t="shared" si="3925"/>
        <v>41.237999999999992</v>
      </c>
      <c r="X1383" s="379">
        <f t="shared" si="3925"/>
        <v>752.08479944040016</v>
      </c>
      <c r="Y1383" s="379">
        <f t="shared" si="3925"/>
        <v>93.793999999999997</v>
      </c>
      <c r="Z1383" s="379">
        <f t="shared" si="3925"/>
        <v>1569.7187558276003</v>
      </c>
      <c r="AA1383" s="379">
        <f t="shared" si="3925"/>
        <v>47.898000000000003</v>
      </c>
      <c r="AB1383" s="379">
        <f t="shared" si="3925"/>
        <v>740.06519042399998</v>
      </c>
      <c r="AC1383" s="379">
        <f t="shared" si="3925"/>
        <v>0</v>
      </c>
      <c r="AD1383" s="379">
        <f t="shared" si="3925"/>
        <v>0</v>
      </c>
      <c r="AE1383" s="379">
        <f t="shared" si="3925"/>
        <v>0</v>
      </c>
      <c r="AF1383" s="379">
        <f t="shared" si="3925"/>
        <v>0</v>
      </c>
      <c r="AG1383" s="379">
        <f t="shared" si="3925"/>
        <v>47.898000000000003</v>
      </c>
      <c r="AH1383" s="379">
        <f t="shared" si="3925"/>
        <v>740.06519042399998</v>
      </c>
      <c r="AI1383" s="379">
        <f t="shared" si="3925"/>
        <v>141.69200000000006</v>
      </c>
      <c r="AJ1383" s="379">
        <f t="shared" si="3925"/>
        <v>2309.7839462515999</v>
      </c>
      <c r="AK1383" s="379">
        <f t="shared" si="3925"/>
        <v>0</v>
      </c>
      <c r="AL1383" s="379">
        <f t="shared" si="3925"/>
        <v>0</v>
      </c>
      <c r="AM1383" s="379">
        <f t="shared" si="3925"/>
        <v>0</v>
      </c>
      <c r="AN1383" s="379">
        <f t="shared" si="3925"/>
        <v>0</v>
      </c>
      <c r="AO1383" s="379">
        <f t="shared" si="3925"/>
        <v>0</v>
      </c>
      <c r="AP1383" s="379">
        <f t="shared" si="3925"/>
        <v>0</v>
      </c>
      <c r="AQ1383" s="379">
        <f t="shared" si="3925"/>
        <v>0</v>
      </c>
      <c r="AR1383" s="379">
        <f t="shared" si="3925"/>
        <v>0</v>
      </c>
      <c r="AS1383" s="379">
        <f t="shared" si="3925"/>
        <v>0</v>
      </c>
      <c r="AT1383" s="379">
        <f t="shared" si="3925"/>
        <v>0</v>
      </c>
      <c r="AU1383" s="379">
        <f t="shared" si="3925"/>
        <v>0</v>
      </c>
      <c r="AV1383" s="379">
        <f t="shared" si="3925"/>
        <v>0</v>
      </c>
      <c r="AW1383" s="379">
        <f t="shared" si="3925"/>
        <v>0</v>
      </c>
      <c r="AX1383" s="379">
        <f t="shared" si="3925"/>
        <v>0</v>
      </c>
      <c r="AY1383" s="379">
        <f t="shared" si="3925"/>
        <v>0</v>
      </c>
      <c r="AZ1383" s="379">
        <f t="shared" si="3925"/>
        <v>0</v>
      </c>
      <c r="BA1383" s="379">
        <f t="shared" si="3925"/>
        <v>0</v>
      </c>
      <c r="BB1383" s="379">
        <f t="shared" si="3925"/>
        <v>0</v>
      </c>
    </row>
    <row r="1384" spans="4:54" s="380" customFormat="1" ht="13.5" hidden="1" outlineLevel="1">
      <c r="D1384" s="374"/>
      <c r="E1384" s="609" t="s">
        <v>727</v>
      </c>
      <c r="F1384" s="609"/>
      <c r="G1384" s="609"/>
      <c r="H1384" s="610"/>
      <c r="I1384" s="381"/>
      <c r="J1384" s="381"/>
      <c r="K1384" s="381"/>
      <c r="L1384" s="381"/>
      <c r="M1384" s="381"/>
      <c r="N1384" s="381"/>
      <c r="O1384" s="381"/>
      <c r="P1384" s="381"/>
      <c r="Q1384" s="402">
        <f t="shared" ref="Q1384:AE1384" si="3926">SUM(Q1382:Q1383)</f>
        <v>164.07100000000005</v>
      </c>
      <c r="R1384" s="403">
        <f t="shared" si="3926"/>
        <v>2446.2738396805998</v>
      </c>
      <c r="S1384" s="393">
        <f t="shared" si="3926"/>
        <v>36.216000000000008</v>
      </c>
      <c r="T1384" s="382">
        <f t="shared" si="3926"/>
        <v>519.28145358699999</v>
      </c>
      <c r="U1384" s="382">
        <f t="shared" si="3926"/>
        <v>31.518999999999995</v>
      </c>
      <c r="V1384" s="382">
        <f t="shared" si="3926"/>
        <v>390.93333553920007</v>
      </c>
      <c r="W1384" s="382">
        <f t="shared" si="3926"/>
        <v>44.737999999999992</v>
      </c>
      <c r="X1384" s="382">
        <f t="shared" si="3926"/>
        <v>773.6062496904002</v>
      </c>
      <c r="Y1384" s="382">
        <f t="shared" si="3926"/>
        <v>112.473</v>
      </c>
      <c r="Z1384" s="382">
        <f t="shared" si="3926"/>
        <v>1683.8210388166003</v>
      </c>
      <c r="AA1384" s="382">
        <f t="shared" si="3926"/>
        <v>51.598000000000006</v>
      </c>
      <c r="AB1384" s="382">
        <f t="shared" si="3926"/>
        <v>762.45280086399998</v>
      </c>
      <c r="AC1384" s="382">
        <f t="shared" si="3926"/>
        <v>0</v>
      </c>
      <c r="AD1384" s="382">
        <f t="shared" si="3926"/>
        <v>0</v>
      </c>
      <c r="AE1384" s="382">
        <f t="shared" si="3926"/>
        <v>0</v>
      </c>
      <c r="AF1384" s="382">
        <f>SUM(AF1382:AF1383)</f>
        <v>0</v>
      </c>
      <c r="AG1384" s="382">
        <f t="shared" ref="AG1384:BB1384" si="3927">SUM(AG1382:AG1383)</f>
        <v>51.598000000000006</v>
      </c>
      <c r="AH1384" s="382">
        <f t="shared" si="3927"/>
        <v>762.45280086399998</v>
      </c>
      <c r="AI1384" s="382">
        <f t="shared" si="3927"/>
        <v>164.07100000000005</v>
      </c>
      <c r="AJ1384" s="382">
        <f t="shared" si="3927"/>
        <v>2446.2738396805998</v>
      </c>
      <c r="AK1384" s="382">
        <f t="shared" si="3927"/>
        <v>0</v>
      </c>
      <c r="AL1384" s="382">
        <f t="shared" si="3927"/>
        <v>0</v>
      </c>
      <c r="AM1384" s="382">
        <f t="shared" si="3927"/>
        <v>0</v>
      </c>
      <c r="AN1384" s="382">
        <f t="shared" si="3927"/>
        <v>0</v>
      </c>
      <c r="AO1384" s="382">
        <f t="shared" si="3927"/>
        <v>0</v>
      </c>
      <c r="AP1384" s="382">
        <f t="shared" si="3927"/>
        <v>0</v>
      </c>
      <c r="AQ1384" s="382">
        <f t="shared" si="3927"/>
        <v>0</v>
      </c>
      <c r="AR1384" s="382">
        <f t="shared" si="3927"/>
        <v>0</v>
      </c>
      <c r="AS1384" s="382">
        <f t="shared" si="3927"/>
        <v>0</v>
      </c>
      <c r="AT1384" s="382">
        <f t="shared" si="3927"/>
        <v>0</v>
      </c>
      <c r="AU1384" s="382">
        <f t="shared" si="3927"/>
        <v>0</v>
      </c>
      <c r="AV1384" s="382">
        <f t="shared" si="3927"/>
        <v>0</v>
      </c>
      <c r="AW1384" s="382">
        <f t="shared" si="3927"/>
        <v>0</v>
      </c>
      <c r="AX1384" s="382">
        <f t="shared" si="3927"/>
        <v>0</v>
      </c>
      <c r="AY1384" s="382">
        <f t="shared" si="3927"/>
        <v>0</v>
      </c>
      <c r="AZ1384" s="382">
        <f t="shared" si="3927"/>
        <v>0</v>
      </c>
      <c r="BA1384" s="382">
        <f t="shared" si="3927"/>
        <v>0</v>
      </c>
      <c r="BB1384" s="382">
        <f t="shared" si="3927"/>
        <v>0</v>
      </c>
    </row>
    <row r="1385" spans="4:54" ht="13.5" hidden="1" outlineLevel="1">
      <c r="D1385" s="372" t="s">
        <v>741</v>
      </c>
      <c r="E1385" s="373" t="s">
        <v>742</v>
      </c>
      <c r="F1385" s="589" t="s">
        <v>743</v>
      </c>
      <c r="G1385" s="590"/>
      <c r="H1385" s="590"/>
      <c r="Q1385" s="396">
        <f t="shared" ref="Q1385:BB1385" si="3928">Q626</f>
        <v>18.053999999999998</v>
      </c>
      <c r="R1385" s="397">
        <f t="shared" si="3928"/>
        <v>503.95598414700004</v>
      </c>
      <c r="S1385" s="390">
        <f t="shared" si="3928"/>
        <v>3.6640000000000001</v>
      </c>
      <c r="T1385" s="379">
        <f t="shared" si="3928"/>
        <v>102.10763211999999</v>
      </c>
      <c r="U1385" s="379">
        <f t="shared" si="3928"/>
        <v>4.9559999999999995</v>
      </c>
      <c r="V1385" s="379">
        <f t="shared" si="3928"/>
        <v>131.65213588199998</v>
      </c>
      <c r="W1385" s="379">
        <f t="shared" si="3928"/>
        <v>2.09</v>
      </c>
      <c r="X1385" s="379">
        <f t="shared" si="3928"/>
        <v>56.456210096999996</v>
      </c>
      <c r="Y1385" s="379">
        <f t="shared" si="3928"/>
        <v>10.71</v>
      </c>
      <c r="Z1385" s="379">
        <f t="shared" si="3928"/>
        <v>290.21597809899993</v>
      </c>
      <c r="AA1385" s="379">
        <f t="shared" si="3928"/>
        <v>7.3440000000000003</v>
      </c>
      <c r="AB1385" s="379">
        <f t="shared" si="3928"/>
        <v>213.74000604799997</v>
      </c>
      <c r="AC1385" s="379">
        <f t="shared" si="3928"/>
        <v>0</v>
      </c>
      <c r="AD1385" s="379">
        <f t="shared" si="3928"/>
        <v>0</v>
      </c>
      <c r="AE1385" s="379">
        <f t="shared" si="3928"/>
        <v>0</v>
      </c>
      <c r="AF1385" s="379">
        <f t="shared" si="3928"/>
        <v>0</v>
      </c>
      <c r="AG1385" s="379">
        <f t="shared" si="3928"/>
        <v>7.3440000000000003</v>
      </c>
      <c r="AH1385" s="379">
        <f t="shared" si="3928"/>
        <v>213.74000604799997</v>
      </c>
      <c r="AI1385" s="379">
        <f t="shared" si="3928"/>
        <v>18.053999999999998</v>
      </c>
      <c r="AJ1385" s="379">
        <f t="shared" si="3928"/>
        <v>503.95598414700004</v>
      </c>
      <c r="AK1385" s="379">
        <f t="shared" si="3928"/>
        <v>0</v>
      </c>
      <c r="AL1385" s="379">
        <f t="shared" si="3928"/>
        <v>0</v>
      </c>
      <c r="AM1385" s="379">
        <f t="shared" si="3928"/>
        <v>0</v>
      </c>
      <c r="AN1385" s="379">
        <f t="shared" si="3928"/>
        <v>0</v>
      </c>
      <c r="AO1385" s="379">
        <f t="shared" si="3928"/>
        <v>0</v>
      </c>
      <c r="AP1385" s="379">
        <f t="shared" si="3928"/>
        <v>0</v>
      </c>
      <c r="AQ1385" s="379">
        <f t="shared" si="3928"/>
        <v>0</v>
      </c>
      <c r="AR1385" s="379">
        <f t="shared" si="3928"/>
        <v>0</v>
      </c>
      <c r="AS1385" s="379">
        <f t="shared" si="3928"/>
        <v>0</v>
      </c>
      <c r="AT1385" s="379">
        <f t="shared" si="3928"/>
        <v>0</v>
      </c>
      <c r="AU1385" s="379">
        <f t="shared" si="3928"/>
        <v>0</v>
      </c>
      <c r="AV1385" s="379">
        <f t="shared" si="3928"/>
        <v>0</v>
      </c>
      <c r="AW1385" s="379">
        <f t="shared" si="3928"/>
        <v>0</v>
      </c>
      <c r="AX1385" s="379">
        <f t="shared" si="3928"/>
        <v>0</v>
      </c>
      <c r="AY1385" s="379">
        <f t="shared" si="3928"/>
        <v>0</v>
      </c>
      <c r="AZ1385" s="379">
        <f t="shared" si="3928"/>
        <v>0</v>
      </c>
      <c r="BA1385" s="379">
        <f t="shared" si="3928"/>
        <v>0</v>
      </c>
      <c r="BB1385" s="379">
        <f t="shared" si="3928"/>
        <v>0</v>
      </c>
    </row>
    <row r="1386" spans="4:54" ht="13.5" hidden="1" outlineLevel="1">
      <c r="D1386" s="371" t="s">
        <v>744</v>
      </c>
      <c r="E1386" s="372" t="s">
        <v>745</v>
      </c>
      <c r="F1386" s="586" t="s">
        <v>746</v>
      </c>
      <c r="G1386" s="587"/>
      <c r="H1386" s="588"/>
      <c r="Q1386" s="396">
        <f t="shared" ref="Q1386:BB1386" si="3929">Q1329</f>
        <v>0</v>
      </c>
      <c r="R1386" s="397">
        <f t="shared" si="3929"/>
        <v>0</v>
      </c>
      <c r="S1386" s="390">
        <f t="shared" si="3929"/>
        <v>0</v>
      </c>
      <c r="T1386" s="379">
        <f t="shared" si="3929"/>
        <v>0</v>
      </c>
      <c r="U1386" s="379">
        <f t="shared" si="3929"/>
        <v>0</v>
      </c>
      <c r="V1386" s="379">
        <f t="shared" si="3929"/>
        <v>0</v>
      </c>
      <c r="W1386" s="379">
        <f t="shared" si="3929"/>
        <v>0</v>
      </c>
      <c r="X1386" s="379">
        <f t="shared" si="3929"/>
        <v>0</v>
      </c>
      <c r="Y1386" s="379">
        <f t="shared" si="3929"/>
        <v>0</v>
      </c>
      <c r="Z1386" s="379">
        <f t="shared" si="3929"/>
        <v>0</v>
      </c>
      <c r="AA1386" s="379">
        <f t="shared" si="3929"/>
        <v>0</v>
      </c>
      <c r="AB1386" s="379">
        <f t="shared" si="3929"/>
        <v>0</v>
      </c>
      <c r="AC1386" s="379">
        <f t="shared" si="3929"/>
        <v>0</v>
      </c>
      <c r="AD1386" s="379">
        <f t="shared" si="3929"/>
        <v>0</v>
      </c>
      <c r="AE1386" s="379">
        <f t="shared" si="3929"/>
        <v>0</v>
      </c>
      <c r="AF1386" s="379">
        <f t="shared" si="3929"/>
        <v>0</v>
      </c>
      <c r="AG1386" s="379">
        <f t="shared" si="3929"/>
        <v>0</v>
      </c>
      <c r="AH1386" s="379">
        <f t="shared" si="3929"/>
        <v>0</v>
      </c>
      <c r="AI1386" s="379">
        <f t="shared" si="3929"/>
        <v>0</v>
      </c>
      <c r="AJ1386" s="379">
        <f t="shared" si="3929"/>
        <v>0</v>
      </c>
      <c r="AK1386" s="379">
        <f t="shared" si="3929"/>
        <v>0</v>
      </c>
      <c r="AL1386" s="379">
        <f t="shared" si="3929"/>
        <v>0</v>
      </c>
      <c r="AM1386" s="379">
        <f t="shared" si="3929"/>
        <v>0</v>
      </c>
      <c r="AN1386" s="379">
        <f t="shared" si="3929"/>
        <v>0</v>
      </c>
      <c r="AO1386" s="379">
        <f t="shared" si="3929"/>
        <v>0</v>
      </c>
      <c r="AP1386" s="379">
        <f t="shared" si="3929"/>
        <v>0</v>
      </c>
      <c r="AQ1386" s="379">
        <f t="shared" si="3929"/>
        <v>0</v>
      </c>
      <c r="AR1386" s="379">
        <f t="shared" si="3929"/>
        <v>0</v>
      </c>
      <c r="AS1386" s="379">
        <f t="shared" si="3929"/>
        <v>0</v>
      </c>
      <c r="AT1386" s="379">
        <f t="shared" si="3929"/>
        <v>0</v>
      </c>
      <c r="AU1386" s="379">
        <f t="shared" si="3929"/>
        <v>0</v>
      </c>
      <c r="AV1386" s="379">
        <f t="shared" si="3929"/>
        <v>0</v>
      </c>
      <c r="AW1386" s="379">
        <f t="shared" si="3929"/>
        <v>0</v>
      </c>
      <c r="AX1386" s="379">
        <f t="shared" si="3929"/>
        <v>0</v>
      </c>
      <c r="AY1386" s="379">
        <f t="shared" si="3929"/>
        <v>0</v>
      </c>
      <c r="AZ1386" s="379">
        <f t="shared" si="3929"/>
        <v>0</v>
      </c>
      <c r="BA1386" s="379">
        <f t="shared" si="3929"/>
        <v>0</v>
      </c>
      <c r="BB1386" s="379">
        <f t="shared" si="3929"/>
        <v>0</v>
      </c>
    </row>
    <row r="1387" spans="4:54" ht="14.25" hidden="1" outlineLevel="1" thickBot="1">
      <c r="D1387" s="606" t="s">
        <v>747</v>
      </c>
      <c r="E1387" s="607"/>
      <c r="F1387" s="607"/>
      <c r="G1387" s="607"/>
      <c r="H1387" s="608"/>
      <c r="Q1387" s="404">
        <f t="shared" ref="Q1387:BB1387" si="3930">Q1347+Q289+Q1322+Q1315+Q1310+Q547+Q950+Q284</f>
        <v>33.384</v>
      </c>
      <c r="R1387" s="404">
        <f t="shared" si="3930"/>
        <v>206.208338</v>
      </c>
      <c r="S1387" s="390">
        <f t="shared" si="3930"/>
        <v>9.5280000000000005</v>
      </c>
      <c r="T1387" s="390">
        <f t="shared" si="3930"/>
        <v>72.740161000000001</v>
      </c>
      <c r="U1387" s="379">
        <f t="shared" si="3930"/>
        <v>0.16</v>
      </c>
      <c r="V1387" s="379">
        <f t="shared" si="3930"/>
        <v>10.081382</v>
      </c>
      <c r="W1387" s="379">
        <f t="shared" si="3930"/>
        <v>0</v>
      </c>
      <c r="X1387" s="379">
        <f t="shared" si="3930"/>
        <v>8.0184899999999999</v>
      </c>
      <c r="Y1387" s="379">
        <f t="shared" si="3930"/>
        <v>9.6880000000000006</v>
      </c>
      <c r="Z1387" s="379">
        <f t="shared" si="3930"/>
        <v>90.840032999999991</v>
      </c>
      <c r="AA1387" s="379">
        <f t="shared" si="3930"/>
        <v>23.696000000000002</v>
      </c>
      <c r="AB1387" s="379">
        <f t="shared" si="3930"/>
        <v>115.36830499999999</v>
      </c>
      <c r="AC1387" s="379">
        <f t="shared" si="3930"/>
        <v>0</v>
      </c>
      <c r="AD1387" s="379">
        <f t="shared" si="3930"/>
        <v>0</v>
      </c>
      <c r="AE1387" s="379">
        <f t="shared" si="3930"/>
        <v>0</v>
      </c>
      <c r="AF1387" s="379">
        <f t="shared" si="3930"/>
        <v>0</v>
      </c>
      <c r="AG1387" s="379">
        <f t="shared" si="3930"/>
        <v>23.696000000000002</v>
      </c>
      <c r="AH1387" s="379">
        <f t="shared" si="3930"/>
        <v>115.36830499999999</v>
      </c>
      <c r="AI1387" s="379">
        <f t="shared" si="3930"/>
        <v>33.384</v>
      </c>
      <c r="AJ1387" s="379">
        <f t="shared" si="3930"/>
        <v>206.208338</v>
      </c>
      <c r="AK1387" s="379">
        <f t="shared" si="3930"/>
        <v>0</v>
      </c>
      <c r="AL1387" s="379">
        <f t="shared" si="3930"/>
        <v>0</v>
      </c>
      <c r="AM1387" s="379">
        <f t="shared" si="3930"/>
        <v>0</v>
      </c>
      <c r="AN1387" s="379">
        <f t="shared" si="3930"/>
        <v>0</v>
      </c>
      <c r="AO1387" s="379">
        <f t="shared" si="3930"/>
        <v>0</v>
      </c>
      <c r="AP1387" s="379">
        <f t="shared" si="3930"/>
        <v>0</v>
      </c>
      <c r="AQ1387" s="379">
        <f t="shared" si="3930"/>
        <v>0</v>
      </c>
      <c r="AR1387" s="379">
        <f t="shared" si="3930"/>
        <v>0</v>
      </c>
      <c r="AS1387" s="379">
        <f t="shared" si="3930"/>
        <v>0</v>
      </c>
      <c r="AT1387" s="379">
        <f t="shared" si="3930"/>
        <v>0</v>
      </c>
      <c r="AU1387" s="379">
        <f t="shared" si="3930"/>
        <v>0</v>
      </c>
      <c r="AV1387" s="379">
        <f t="shared" si="3930"/>
        <v>0</v>
      </c>
      <c r="AW1387" s="379">
        <f t="shared" si="3930"/>
        <v>0</v>
      </c>
      <c r="AX1387" s="379">
        <f t="shared" si="3930"/>
        <v>0</v>
      </c>
      <c r="AY1387" s="379">
        <f t="shared" si="3930"/>
        <v>0</v>
      </c>
      <c r="AZ1387" s="379">
        <f t="shared" si="3930"/>
        <v>0</v>
      </c>
      <c r="BA1387" s="379">
        <f t="shared" si="3930"/>
        <v>0</v>
      </c>
      <c r="BB1387" s="379">
        <f t="shared" si="3930"/>
        <v>0</v>
      </c>
    </row>
    <row r="1388" spans="4:54" collapsed="1"/>
    <row r="1389" spans="4:54">
      <c r="E1389" s="7"/>
    </row>
    <row r="1390" spans="4:54">
      <c r="E1390" s="7"/>
    </row>
    <row r="1393" spans="4:5">
      <c r="D1393" s="7"/>
      <c r="E1393" s="7"/>
    </row>
  </sheetData>
  <autoFilter ref="A7:BG1347" xr:uid="{00000000-0009-0000-0000-000000000000}"/>
  <mergeCells count="101">
    <mergeCell ref="BA3:BB3"/>
    <mergeCell ref="AK3:AL3"/>
    <mergeCell ref="AM3:AN3"/>
    <mergeCell ref="AO3:AP3"/>
    <mergeCell ref="AQ3:AR3"/>
    <mergeCell ref="AS3:AT3"/>
    <mergeCell ref="AU3:AV3"/>
    <mergeCell ref="AW3:AX3"/>
    <mergeCell ref="AY3:AZ3"/>
    <mergeCell ref="B3:B5"/>
    <mergeCell ref="C3:C5"/>
    <mergeCell ref="D3:D5"/>
    <mergeCell ref="Q3:R3"/>
    <mergeCell ref="H3:H5"/>
    <mergeCell ref="M4:N4"/>
    <mergeCell ref="O4:P4"/>
    <mergeCell ref="I3:P3"/>
    <mergeCell ref="E3:E5"/>
    <mergeCell ref="F3:F5"/>
    <mergeCell ref="I4:J4"/>
    <mergeCell ref="K4:L4"/>
    <mergeCell ref="G3:G5"/>
    <mergeCell ref="AI3:AJ3"/>
    <mergeCell ref="Y3:Z3"/>
    <mergeCell ref="AA3:AB3"/>
    <mergeCell ref="AC3:AD3"/>
    <mergeCell ref="AE3:AF3"/>
    <mergeCell ref="AG3:AH3"/>
    <mergeCell ref="S3:T3"/>
    <mergeCell ref="U3:V3"/>
    <mergeCell ref="W3:X3"/>
    <mergeCell ref="F1378:H1378"/>
    <mergeCell ref="F1377:H1377"/>
    <mergeCell ref="E1376:H1376"/>
    <mergeCell ref="F1375:H1375"/>
    <mergeCell ref="F1374:H1374"/>
    <mergeCell ref="Q1357:R1357"/>
    <mergeCell ref="F1373:H1373"/>
    <mergeCell ref="E1372:H1372"/>
    <mergeCell ref="F1371:H1371"/>
    <mergeCell ref="D1387:H1387"/>
    <mergeCell ref="F1386:H1386"/>
    <mergeCell ref="F1385:H1385"/>
    <mergeCell ref="E1384:H1384"/>
    <mergeCell ref="F1383:H1383"/>
    <mergeCell ref="F1382:H1382"/>
    <mergeCell ref="E1381:H1381"/>
    <mergeCell ref="E1380:H1380"/>
    <mergeCell ref="F1379:H1379"/>
    <mergeCell ref="B6:F6"/>
    <mergeCell ref="Q1356:R1356"/>
    <mergeCell ref="U1356:V1356"/>
    <mergeCell ref="W1356:X1356"/>
    <mergeCell ref="Y1356:Z1356"/>
    <mergeCell ref="AA1356:AB1356"/>
    <mergeCell ref="AC1356:AD1356"/>
    <mergeCell ref="AE1356:AF1356"/>
    <mergeCell ref="AG1356:AH1356"/>
    <mergeCell ref="S1356:T1356"/>
    <mergeCell ref="AI1356:AJ1356"/>
    <mergeCell ref="AK1356:AL1356"/>
    <mergeCell ref="AM1356:AN1356"/>
    <mergeCell ref="AO1356:AP1356"/>
    <mergeCell ref="AQ1356:AR1356"/>
    <mergeCell ref="AS1356:AT1356"/>
    <mergeCell ref="AU1356:AV1356"/>
    <mergeCell ref="AW1356:AX1356"/>
    <mergeCell ref="AY1356:AZ1356"/>
    <mergeCell ref="BA1356:BB1356"/>
    <mergeCell ref="F1370:H1370"/>
    <mergeCell ref="F1369:H1369"/>
    <mergeCell ref="E1368:H1368"/>
    <mergeCell ref="F1367:H1367"/>
    <mergeCell ref="F1366:H1366"/>
    <mergeCell ref="F1365:H1365"/>
    <mergeCell ref="F1364:H1364"/>
    <mergeCell ref="F1363:H1363"/>
    <mergeCell ref="F1362:H1362"/>
    <mergeCell ref="F1361:H1361"/>
    <mergeCell ref="F1360:H1360"/>
    <mergeCell ref="F1359:H1359"/>
    <mergeCell ref="F1358:H1358"/>
    <mergeCell ref="D1356:H1356"/>
    <mergeCell ref="S1357:T1357"/>
    <mergeCell ref="U1357:V1357"/>
    <mergeCell ref="AY1357:AZ1357"/>
    <mergeCell ref="BA1357:BB1357"/>
    <mergeCell ref="AK1357:AL1357"/>
    <mergeCell ref="AM1357:AN1357"/>
    <mergeCell ref="AO1357:AP1357"/>
    <mergeCell ref="AQ1357:AR1357"/>
    <mergeCell ref="AS1357:AT1357"/>
    <mergeCell ref="W1357:X1357"/>
    <mergeCell ref="Y1357:Z1357"/>
    <mergeCell ref="AA1357:AB1357"/>
    <mergeCell ref="AC1357:AD1357"/>
    <mergeCell ref="AE1357:AF1357"/>
    <mergeCell ref="AG1357:AH1357"/>
    <mergeCell ref="AI1357:AJ1357"/>
    <mergeCell ref="AU1357:AV1357"/>
    <mergeCell ref="AW1357:AX1357"/>
  </mergeCells>
  <phoneticPr fontId="12" type="noConversion"/>
  <pageMargins left="0.7" right="0.7" top="0.75" bottom="0.75" header="0.3" footer="0.3"/>
  <pageSetup paperSize="9" orientation="portrait" r:id="rId1"/>
  <ignoredErrors>
    <ignoredError sqref="AT770 Q537 R537 AL537 AN537 AP537:AR537 AV662 AX662 AT537 AV537 AX537:AY537 T537 V537 T662 X662 AB662 AD662 AF662 AL662 AN662 AP662 AT662 V662 X537:Z537 AB537:AJ53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2EB-6E79-400A-967A-D5169B1A7B1F}">
  <dimension ref="B1:L4579"/>
  <sheetViews>
    <sheetView workbookViewId="0">
      <pane ySplit="2" topLeftCell="A3" activePane="bottomLeft" state="frozen"/>
      <selection activeCell="G1" sqref="G1"/>
      <selection pane="bottomLeft" activeCell="F1511" sqref="F1511"/>
    </sheetView>
  </sheetViews>
  <sheetFormatPr defaultRowHeight="16.5"/>
  <cols>
    <col min="1" max="1" width="4.625" customWidth="1"/>
    <col min="2" max="2" width="9" style="545"/>
    <col min="3" max="3" width="13" style="545" bestFit="1" customWidth="1"/>
    <col min="4" max="4" width="21.125" bestFit="1" customWidth="1"/>
    <col min="5" max="6" width="25.625" bestFit="1" customWidth="1"/>
    <col min="7" max="7" width="11.375" customWidth="1"/>
    <col min="8" max="8" width="10.625" bestFit="1" customWidth="1"/>
    <col min="9" max="9" width="13.125" bestFit="1" customWidth="1"/>
  </cols>
  <sheetData>
    <row r="1" spans="2:10">
      <c r="H1">
        <f>SUBTOTAL(9,H3:H10000)</f>
        <v>8887247</v>
      </c>
      <c r="I1">
        <f>SUBTOTAL(9,I3:I10000)</f>
        <v>87034.485684052721</v>
      </c>
    </row>
    <row r="2" spans="2:10">
      <c r="B2" s="545" t="s">
        <v>1950</v>
      </c>
      <c r="C2" s="545" t="s">
        <v>1960</v>
      </c>
      <c r="D2" t="s">
        <v>1770</v>
      </c>
      <c r="E2" t="s">
        <v>2196</v>
      </c>
      <c r="F2" t="s">
        <v>1771</v>
      </c>
      <c r="G2" t="s">
        <v>2198</v>
      </c>
      <c r="H2" t="s">
        <v>1772</v>
      </c>
      <c r="I2" t="s">
        <v>1773</v>
      </c>
      <c r="J2" t="s">
        <v>2401</v>
      </c>
    </row>
    <row r="3" spans="2:10">
      <c r="B3" s="545">
        <v>1</v>
      </c>
      <c r="C3" s="545" t="str">
        <f>VLOOKUP(D3,기본!$B$3:$C$90,2,0)</f>
        <v>AV JDM</v>
      </c>
      <c r="D3" t="s">
        <v>2327</v>
      </c>
      <c r="E3" t="s">
        <v>1775</v>
      </c>
      <c r="F3" t="s">
        <v>1621</v>
      </c>
      <c r="G3" t="e">
        <f>VLOOKUP(E3,기본!$F$3:$G$320,2,0)</f>
        <v>#N/A</v>
      </c>
      <c r="H3" s="544">
        <v>12880</v>
      </c>
      <c r="I3">
        <v>122.5238256</v>
      </c>
    </row>
    <row r="4" spans="2:10">
      <c r="B4" s="545">
        <v>1</v>
      </c>
      <c r="C4" s="545" t="str">
        <f>VLOOKUP(D4,기본!$B$3:$C$90,2,0)</f>
        <v>AV JDM</v>
      </c>
      <c r="D4" t="s">
        <v>2327</v>
      </c>
      <c r="E4" t="s">
        <v>1961</v>
      </c>
      <c r="F4" t="s">
        <v>1962</v>
      </c>
      <c r="G4" t="e">
        <f>VLOOKUP(E4,기본!$F$3:$G$320,2,0)</f>
        <v>#N/A</v>
      </c>
      <c r="H4" s="544">
        <v>404</v>
      </c>
      <c r="I4">
        <v>4.1331217200000001</v>
      </c>
    </row>
    <row r="5" spans="2:10">
      <c r="B5" s="545">
        <v>1</v>
      </c>
      <c r="C5" s="545" t="str">
        <f>VLOOKUP(D5,기본!$B$3:$C$90,2,0)</f>
        <v>AV JDM</v>
      </c>
      <c r="D5" t="s">
        <v>2327</v>
      </c>
      <c r="E5" t="s">
        <v>1597</v>
      </c>
      <c r="F5" t="s">
        <v>1597</v>
      </c>
      <c r="G5" t="str">
        <f>VLOOKUP(E5,기본!$F$3:$G$320,2,0)</f>
        <v>MNT</v>
      </c>
      <c r="H5" s="544">
        <v>12376</v>
      </c>
      <c r="I5">
        <v>104.60749152</v>
      </c>
    </row>
    <row r="6" spans="2:10">
      <c r="B6" s="545">
        <v>1</v>
      </c>
      <c r="C6" s="545" t="str">
        <f>VLOOKUP(D6,기본!$B$3:$C$90,2,0)</f>
        <v>AV JDM</v>
      </c>
      <c r="D6" t="s">
        <v>2327</v>
      </c>
      <c r="E6" t="s">
        <v>1599</v>
      </c>
      <c r="F6" t="s">
        <v>1599</v>
      </c>
      <c r="G6" t="str">
        <f>VLOOKUP(E6,기본!$F$3:$G$320,2,0)</f>
        <v>MNT</v>
      </c>
      <c r="H6" s="544">
        <v>7056</v>
      </c>
      <c r="I6">
        <v>64.360169999999997</v>
      </c>
    </row>
    <row r="7" spans="2:10">
      <c r="B7" s="545">
        <v>1</v>
      </c>
      <c r="C7" s="545" t="str">
        <f>VLOOKUP(D7,기본!$B$3:$C$90,2,0)</f>
        <v>AV JDM</v>
      </c>
      <c r="D7" t="s">
        <v>2327</v>
      </c>
      <c r="E7" t="s">
        <v>1600</v>
      </c>
      <c r="F7" t="s">
        <v>1600</v>
      </c>
      <c r="G7" t="e">
        <f>VLOOKUP(E7,기본!$F$3:$G$320,2,0)</f>
        <v>#N/A</v>
      </c>
      <c r="H7" s="544">
        <v>1848</v>
      </c>
      <c r="I7">
        <v>17.666591879999999</v>
      </c>
    </row>
    <row r="8" spans="2:10">
      <c r="B8" s="545">
        <v>1</v>
      </c>
      <c r="C8" s="545" t="str">
        <f>VLOOKUP(D8,기본!$B$3:$C$90,2,0)</f>
        <v>AV JDM</v>
      </c>
      <c r="D8" t="s">
        <v>2327</v>
      </c>
      <c r="E8" t="s">
        <v>1601</v>
      </c>
      <c r="F8" t="s">
        <v>1601</v>
      </c>
      <c r="G8" t="str">
        <f>VLOOKUP(E8,기본!$F$3:$G$320,2,0)</f>
        <v>MNT</v>
      </c>
      <c r="H8" s="544">
        <v>2268</v>
      </c>
      <c r="I8">
        <v>22.218341759999998</v>
      </c>
    </row>
    <row r="9" spans="2:10">
      <c r="B9" s="545">
        <v>1</v>
      </c>
      <c r="C9" s="545" t="str">
        <f>VLOOKUP(D9,기본!$B$3:$C$90,2,0)</f>
        <v>AV JDM</v>
      </c>
      <c r="D9" t="s">
        <v>2327</v>
      </c>
      <c r="E9" t="s">
        <v>1598</v>
      </c>
      <c r="F9" t="s">
        <v>1598</v>
      </c>
      <c r="G9" t="e">
        <f>VLOOKUP(E9,기본!$F$3:$G$320,2,0)</f>
        <v>#N/A</v>
      </c>
      <c r="H9" s="544">
        <v>1008</v>
      </c>
      <c r="I9">
        <v>9.0328946400000003</v>
      </c>
    </row>
    <row r="10" spans="2:10">
      <c r="B10" s="545">
        <v>1</v>
      </c>
      <c r="C10" s="545" t="str">
        <f>VLOOKUP(D10,기본!$B$3:$C$90,2,0)</f>
        <v>AV JDM</v>
      </c>
      <c r="D10" t="s">
        <v>2327</v>
      </c>
      <c r="E10" t="s">
        <v>2005</v>
      </c>
      <c r="F10" t="s">
        <v>2005</v>
      </c>
      <c r="G10" t="e">
        <f>VLOOKUP(E10,기본!$F$3:$G$320,2,0)</f>
        <v>#N/A</v>
      </c>
      <c r="H10" s="544">
        <v>224</v>
      </c>
      <c r="I10">
        <v>2.2037747200000002</v>
      </c>
    </row>
    <row r="11" spans="2:10">
      <c r="B11" s="545">
        <v>1</v>
      </c>
      <c r="C11" s="545" t="str">
        <f>VLOOKUP(D11,기본!$B$3:$C$90,2,0)</f>
        <v>AV JDM</v>
      </c>
      <c r="D11" t="s">
        <v>2327</v>
      </c>
      <c r="E11" t="s">
        <v>1986</v>
      </c>
      <c r="F11" t="s">
        <v>1986</v>
      </c>
      <c r="G11" t="e">
        <f>VLOOKUP(E11,기본!$F$3:$G$320,2,0)</f>
        <v>#N/A</v>
      </c>
      <c r="H11" s="544">
        <v>703</v>
      </c>
      <c r="I11">
        <v>7.2816708250000008</v>
      </c>
    </row>
    <row r="12" spans="2:10">
      <c r="B12" s="545">
        <v>1</v>
      </c>
      <c r="C12" s="545" t="str">
        <f>VLOOKUP(D12,기본!$B$3:$C$90,2,0)</f>
        <v>AV JDM</v>
      </c>
      <c r="D12" t="s">
        <v>2327</v>
      </c>
      <c r="E12" t="s">
        <v>1803</v>
      </c>
      <c r="F12" t="s">
        <v>1181</v>
      </c>
      <c r="G12" t="e">
        <f>VLOOKUP(E12,기본!$F$3:$G$320,2,0)</f>
        <v>#N/A</v>
      </c>
      <c r="H12" s="544">
        <v>4242</v>
      </c>
      <c r="I12">
        <v>37.091369280000002</v>
      </c>
    </row>
    <row r="13" spans="2:10">
      <c r="B13" s="545">
        <v>1</v>
      </c>
      <c r="C13" s="545" t="str">
        <f>VLOOKUP(D13,기본!$B$3:$C$90,2,0)</f>
        <v>AV JDM</v>
      </c>
      <c r="D13" t="s">
        <v>2327</v>
      </c>
      <c r="E13" t="s">
        <v>1776</v>
      </c>
      <c r="F13" t="s">
        <v>1287</v>
      </c>
      <c r="G13" t="e">
        <f>VLOOKUP(E13,기본!$F$3:$G$320,2,0)</f>
        <v>#N/A</v>
      </c>
      <c r="H13" s="544">
        <v>6888</v>
      </c>
      <c r="I13">
        <v>75.262341504000005</v>
      </c>
    </row>
    <row r="14" spans="2:10">
      <c r="B14" s="545">
        <v>1</v>
      </c>
      <c r="C14" s="545" t="str">
        <f>VLOOKUP(D14,기본!$B$3:$C$90,2,0)</f>
        <v>AV JDM</v>
      </c>
      <c r="D14" t="s">
        <v>2327</v>
      </c>
      <c r="E14" t="s">
        <v>1777</v>
      </c>
      <c r="F14" t="s">
        <v>1283</v>
      </c>
      <c r="G14" t="e">
        <f>VLOOKUP(E14,기본!$F$3:$G$320,2,0)</f>
        <v>#N/A</v>
      </c>
      <c r="H14" s="544">
        <v>7000</v>
      </c>
      <c r="I14">
        <v>68.695662799999994</v>
      </c>
    </row>
    <row r="15" spans="2:10">
      <c r="B15" s="545">
        <v>1</v>
      </c>
      <c r="C15" s="545" t="str">
        <f>VLOOKUP(D15,기본!$B$3:$C$90,2,0)</f>
        <v>AV JDM</v>
      </c>
      <c r="D15" t="s">
        <v>2327</v>
      </c>
      <c r="E15" t="s">
        <v>973</v>
      </c>
      <c r="F15" t="s">
        <v>973</v>
      </c>
      <c r="G15" t="e">
        <f>VLOOKUP(E15,기본!$F$3:$G$320,2,0)</f>
        <v>#N/A</v>
      </c>
      <c r="H15" s="544">
        <v>20608</v>
      </c>
      <c r="I15">
        <v>182.99078092800002</v>
      </c>
    </row>
    <row r="16" spans="2:10">
      <c r="B16" s="545">
        <v>1</v>
      </c>
      <c r="C16" s="545" t="str">
        <f>VLOOKUP(D16,기본!$B$3:$C$90,2,0)</f>
        <v>AV JDM</v>
      </c>
      <c r="D16" t="s">
        <v>2327</v>
      </c>
      <c r="E16" t="s">
        <v>2456</v>
      </c>
      <c r="F16" t="s">
        <v>2456</v>
      </c>
      <c r="G16" t="str">
        <f>VLOOKUP(E16,기본!$F$3:$G$320,2,0)</f>
        <v>AV</v>
      </c>
      <c r="H16" s="544">
        <v>30</v>
      </c>
      <c r="I16">
        <v>0.30836400000000003</v>
      </c>
    </row>
    <row r="17" spans="2:9">
      <c r="B17" s="545">
        <v>1</v>
      </c>
      <c r="C17" s="545" t="str">
        <f>VLOOKUP(D17,기본!$B$3:$C$90,2,0)</f>
        <v>AV JDM</v>
      </c>
      <c r="D17" t="s">
        <v>2327</v>
      </c>
      <c r="E17" t="s">
        <v>2457</v>
      </c>
      <c r="F17" t="s">
        <v>2457</v>
      </c>
      <c r="G17" t="str">
        <f>VLOOKUP(E17,기본!$F$3:$G$320,2,0)</f>
        <v>AV</v>
      </c>
      <c r="H17" s="544">
        <v>30</v>
      </c>
      <c r="I17">
        <v>0.30836400000000003</v>
      </c>
    </row>
    <row r="18" spans="2:9">
      <c r="B18" s="545">
        <v>1</v>
      </c>
      <c r="C18" s="545" t="str">
        <f>VLOOKUP(D18,기본!$B$3:$C$90,2,0)</f>
        <v>AV JDM</v>
      </c>
      <c r="D18" t="s">
        <v>2327</v>
      </c>
      <c r="E18" t="s">
        <v>2026</v>
      </c>
      <c r="F18" t="s">
        <v>2026</v>
      </c>
      <c r="G18" t="str">
        <f>VLOOKUP(E18,기본!$F$3:$G$320,2,0)</f>
        <v>AV</v>
      </c>
      <c r="H18" s="544">
        <v>7995</v>
      </c>
      <c r="I18">
        <v>74.947232749999998</v>
      </c>
    </row>
    <row r="19" spans="2:9">
      <c r="B19" s="545">
        <v>1</v>
      </c>
      <c r="C19" s="545" t="str">
        <f>VLOOKUP(D19,기본!$B$3:$C$90,2,0)</f>
        <v>AV JDM</v>
      </c>
      <c r="D19" t="s">
        <v>2327</v>
      </c>
      <c r="E19" t="s">
        <v>2175</v>
      </c>
      <c r="F19" t="s">
        <v>2175</v>
      </c>
      <c r="G19" t="str">
        <f>VLOOKUP(E19,기본!$F$3:$G$320,2,0)</f>
        <v>AV</v>
      </c>
      <c r="H19" s="544">
        <v>195</v>
      </c>
      <c r="I19">
        <v>1.9614153000000001</v>
      </c>
    </row>
    <row r="20" spans="2:9">
      <c r="B20" s="545">
        <v>1</v>
      </c>
      <c r="C20" s="545" t="str">
        <f>VLOOKUP(D20,기본!$B$3:$C$90,2,0)</f>
        <v>AV JDM</v>
      </c>
      <c r="D20" t="s">
        <v>2327</v>
      </c>
      <c r="E20" t="s">
        <v>2027</v>
      </c>
      <c r="F20" t="s">
        <v>2027</v>
      </c>
      <c r="G20" t="str">
        <f>VLOOKUP(E20,기본!$F$3:$G$320,2,0)</f>
        <v>AV</v>
      </c>
      <c r="H20" s="544">
        <v>10098</v>
      </c>
      <c r="I20">
        <v>125.41971852</v>
      </c>
    </row>
    <row r="21" spans="2:9">
      <c r="B21" s="545">
        <v>1</v>
      </c>
      <c r="C21" s="545" t="str">
        <f>VLOOKUP(D21,기본!$B$3:$C$90,2,0)</f>
        <v>삼성 VD</v>
      </c>
      <c r="D21" t="s">
        <v>1778</v>
      </c>
      <c r="E21" t="s">
        <v>1118</v>
      </c>
      <c r="F21" t="s">
        <v>1779</v>
      </c>
      <c r="G21" t="str">
        <f>VLOOKUP(E21,기본!$F$3:$G$320,2,0)</f>
        <v>TV</v>
      </c>
      <c r="H21" s="544">
        <v>6480</v>
      </c>
      <c r="I21">
        <v>179.36135208000002</v>
      </c>
    </row>
    <row r="22" spans="2:9">
      <c r="B22" s="545">
        <v>1</v>
      </c>
      <c r="C22" s="545" t="str">
        <f>VLOOKUP(D22,기본!$B$3:$C$90,2,0)</f>
        <v>삼성 VD</v>
      </c>
      <c r="D22" t="s">
        <v>1778</v>
      </c>
      <c r="E22" t="s">
        <v>1117</v>
      </c>
      <c r="F22" t="s">
        <v>1116</v>
      </c>
      <c r="G22" t="str">
        <f>VLOOKUP(E22,기본!$F$3:$G$320,2,0)</f>
        <v>TV</v>
      </c>
      <c r="H22" s="544">
        <v>14614</v>
      </c>
      <c r="I22">
        <v>306.20326539600001</v>
      </c>
    </row>
    <row r="23" spans="2:9">
      <c r="B23" s="545">
        <v>1</v>
      </c>
      <c r="C23" s="545" t="str">
        <f>VLOOKUP(D23,기본!$B$3:$C$90,2,0)</f>
        <v>삼성 VD</v>
      </c>
      <c r="D23" t="s">
        <v>1778</v>
      </c>
      <c r="E23" t="s">
        <v>1792</v>
      </c>
      <c r="F23" t="s">
        <v>1793</v>
      </c>
      <c r="G23" t="str">
        <f>VLOOKUP(E23,기본!$F$3:$G$320,2,0)</f>
        <v>TV</v>
      </c>
      <c r="H23" s="544">
        <v>9407</v>
      </c>
      <c r="I23">
        <v>139.47316771000001</v>
      </c>
    </row>
    <row r="24" spans="2:9">
      <c r="B24" s="545">
        <v>1</v>
      </c>
      <c r="C24" s="545" t="str">
        <f>VLOOKUP(D24,기본!$B$3:$C$90,2,0)</f>
        <v>삼성 VD</v>
      </c>
      <c r="D24" t="s">
        <v>1778</v>
      </c>
      <c r="E24" t="s">
        <v>1258</v>
      </c>
      <c r="F24" t="s">
        <v>1257</v>
      </c>
      <c r="G24" t="str">
        <f>VLOOKUP(E24,기본!$F$3:$G$320,2,0)</f>
        <v>MNT</v>
      </c>
      <c r="H24" s="544">
        <v>96</v>
      </c>
      <c r="I24">
        <v>2.1644736</v>
      </c>
    </row>
    <row r="25" spans="2:9">
      <c r="B25" s="545">
        <v>1</v>
      </c>
      <c r="C25" s="545" t="str">
        <f>VLOOKUP(D25,기본!$B$3:$C$90,2,0)</f>
        <v>삼성 VD</v>
      </c>
      <c r="D25" t="s">
        <v>1778</v>
      </c>
      <c r="E25" t="s">
        <v>1262</v>
      </c>
      <c r="F25" t="s">
        <v>1261</v>
      </c>
      <c r="G25" t="str">
        <f>VLOOKUP(E25,기본!$F$3:$G$320,2,0)</f>
        <v>MNT</v>
      </c>
      <c r="H25" s="544">
        <v>288</v>
      </c>
      <c r="I25">
        <v>6.6467681279999997</v>
      </c>
    </row>
    <row r="26" spans="2:9">
      <c r="B26" s="545">
        <v>1</v>
      </c>
      <c r="C26" s="545" t="str">
        <f>VLOOKUP(D26,기본!$B$3:$C$90,2,0)</f>
        <v>삼성 VD</v>
      </c>
      <c r="D26" t="s">
        <v>1778</v>
      </c>
      <c r="E26" t="s">
        <v>1787</v>
      </c>
      <c r="F26" t="s">
        <v>1788</v>
      </c>
      <c r="G26" t="str">
        <f>VLOOKUP(E26,기본!$F$3:$G$320,2,0)</f>
        <v>MNT</v>
      </c>
      <c r="H26" s="544">
        <v>2340</v>
      </c>
      <c r="I26">
        <v>89.986277520000002</v>
      </c>
    </row>
    <row r="27" spans="2:9">
      <c r="B27" s="545">
        <v>1</v>
      </c>
      <c r="C27" s="545" t="str">
        <f>VLOOKUP(D27,기본!$B$3:$C$90,2,0)</f>
        <v>삼성 VD</v>
      </c>
      <c r="D27" t="s">
        <v>1778</v>
      </c>
      <c r="E27" t="s">
        <v>1723</v>
      </c>
      <c r="F27" t="s">
        <v>1821</v>
      </c>
      <c r="G27" t="str">
        <f>VLOOKUP(E27,기본!$F$3:$G$320,2,0)</f>
        <v>TV</v>
      </c>
      <c r="H27" s="544">
        <v>3040</v>
      </c>
      <c r="I27">
        <v>36.96311824</v>
      </c>
    </row>
    <row r="28" spans="2:9">
      <c r="B28" s="545">
        <v>1</v>
      </c>
      <c r="C28" s="545" t="str">
        <f>VLOOKUP(D28,기본!$B$3:$C$90,2,0)</f>
        <v>삼성 VD</v>
      </c>
      <c r="D28" t="s">
        <v>1778</v>
      </c>
      <c r="E28" t="s">
        <v>2051</v>
      </c>
      <c r="F28" t="s">
        <v>2020</v>
      </c>
      <c r="G28" t="str">
        <f>VLOOKUP(E28,기본!$F$3:$G$320,2,0)</f>
        <v>MNT</v>
      </c>
      <c r="H28" s="544">
        <v>36201</v>
      </c>
      <c r="I28">
        <v>189.44788499999999</v>
      </c>
    </row>
    <row r="29" spans="2:9">
      <c r="B29" s="545">
        <v>1</v>
      </c>
      <c r="C29" s="545" t="str">
        <f>VLOOKUP(D29,기본!$B$3:$C$90,2,0)</f>
        <v>삼성 VD</v>
      </c>
      <c r="D29" t="s">
        <v>1778</v>
      </c>
      <c r="E29" t="s">
        <v>2106</v>
      </c>
      <c r="F29" t="s">
        <v>1748</v>
      </c>
      <c r="G29" t="str">
        <f>VLOOKUP(E29,기본!$F$3:$G$320,2,0)</f>
        <v>MNT</v>
      </c>
      <c r="H29" s="544">
        <v>576</v>
      </c>
      <c r="I29">
        <v>6.5436932159999994</v>
      </c>
    </row>
    <row r="30" spans="2:9">
      <c r="B30" s="545">
        <v>1</v>
      </c>
      <c r="C30" s="545" t="str">
        <f>VLOOKUP(D30,기본!$B$3:$C$90,2,0)</f>
        <v>삼성 VD</v>
      </c>
      <c r="D30" t="s">
        <v>1778</v>
      </c>
      <c r="E30" t="s">
        <v>2070</v>
      </c>
      <c r="F30" t="s">
        <v>1746</v>
      </c>
      <c r="G30" t="str">
        <f>VLOOKUP(E30,기본!$F$3:$G$320,2,0)</f>
        <v>MNT</v>
      </c>
      <c r="H30" s="544">
        <v>13608</v>
      </c>
      <c r="I30">
        <v>92.626798319999992</v>
      </c>
    </row>
    <row r="31" spans="2:9">
      <c r="B31" s="545">
        <v>1</v>
      </c>
      <c r="C31" s="545" t="str">
        <f>VLOOKUP(D31,기본!$B$3:$C$90,2,0)</f>
        <v>삼성 VD</v>
      </c>
      <c r="D31" t="s">
        <v>1778</v>
      </c>
      <c r="E31" t="s">
        <v>2414</v>
      </c>
      <c r="F31" t="s">
        <v>2415</v>
      </c>
      <c r="G31" t="str">
        <f>VLOOKUP(E31,기본!$F$3:$G$320,2,0)</f>
        <v>TV</v>
      </c>
      <c r="H31" s="544">
        <v>57960</v>
      </c>
      <c r="I31">
        <v>736.10938799999997</v>
      </c>
    </row>
    <row r="32" spans="2:9">
      <c r="B32" s="545">
        <v>1</v>
      </c>
      <c r="C32" s="545" t="str">
        <f>VLOOKUP(D32,기본!$B$3:$C$90,2,0)</f>
        <v>삼성 VD</v>
      </c>
      <c r="D32" t="s">
        <v>1778</v>
      </c>
      <c r="E32" t="s">
        <v>2010</v>
      </c>
      <c r="F32" t="s">
        <v>2011</v>
      </c>
      <c r="G32" t="str">
        <f>VLOOKUP(E32,기본!$F$3:$G$320,2,0)</f>
        <v>MNT</v>
      </c>
      <c r="H32" s="544">
        <v>12232</v>
      </c>
      <c r="I32">
        <v>55.708228312000003</v>
      </c>
    </row>
    <row r="33" spans="2:9">
      <c r="B33" s="545">
        <v>1</v>
      </c>
      <c r="C33" s="545" t="str">
        <f>VLOOKUP(D33,기본!$B$3:$C$90,2,0)</f>
        <v>삼성 VD</v>
      </c>
      <c r="D33" t="s">
        <v>1778</v>
      </c>
      <c r="E33" t="s">
        <v>2458</v>
      </c>
      <c r="F33" t="s">
        <v>2440</v>
      </c>
      <c r="G33" t="str">
        <f>VLOOKUP(E33,기본!$F$3:$G$320,2,0)</f>
        <v>TV</v>
      </c>
      <c r="H33" s="544">
        <v>9744</v>
      </c>
      <c r="I33">
        <v>213.43696079999998</v>
      </c>
    </row>
    <row r="34" spans="2:9">
      <c r="B34" s="545">
        <v>1</v>
      </c>
      <c r="C34" s="545" t="str">
        <f>VLOOKUP(D34,기본!$B$3:$C$90,2,0)</f>
        <v>삼성 VD</v>
      </c>
      <c r="D34" t="s">
        <v>1791</v>
      </c>
      <c r="E34" t="s">
        <v>1118</v>
      </c>
      <c r="F34" t="s">
        <v>1779</v>
      </c>
      <c r="G34" t="str">
        <f>VLOOKUP(E34,기본!$F$3:$G$320,2,0)</f>
        <v>TV</v>
      </c>
      <c r="H34" s="544">
        <v>4320</v>
      </c>
      <c r="I34">
        <v>119.57423472000001</v>
      </c>
    </row>
    <row r="35" spans="2:9">
      <c r="B35" s="545">
        <v>1</v>
      </c>
      <c r="C35" s="545" t="str">
        <f>VLOOKUP(D35,기본!$B$3:$C$90,2,0)</f>
        <v>삼성 VD</v>
      </c>
      <c r="D35" t="s">
        <v>1791</v>
      </c>
      <c r="E35" t="s">
        <v>1781</v>
      </c>
      <c r="F35" t="s">
        <v>1782</v>
      </c>
      <c r="G35" t="str">
        <f>VLOOKUP(E35,기본!$F$3:$G$320,2,0)</f>
        <v>TV</v>
      </c>
      <c r="H35" s="544">
        <v>4320</v>
      </c>
      <c r="I35">
        <v>57.152640960000006</v>
      </c>
    </row>
    <row r="36" spans="2:9">
      <c r="B36" s="545">
        <v>1</v>
      </c>
      <c r="C36" s="545" t="str">
        <f>VLOOKUP(D36,기본!$B$3:$C$90,2,0)</f>
        <v>삼성 VD</v>
      </c>
      <c r="D36" t="s">
        <v>1791</v>
      </c>
      <c r="E36" t="s">
        <v>1792</v>
      </c>
      <c r="F36" t="s">
        <v>1793</v>
      </c>
      <c r="G36" t="str">
        <f>VLOOKUP(E36,기본!$F$3:$G$320,2,0)</f>
        <v>TV</v>
      </c>
      <c r="H36" s="544">
        <v>2185</v>
      </c>
      <c r="I36">
        <v>33.262234300000003</v>
      </c>
    </row>
    <row r="37" spans="2:9">
      <c r="B37" s="545">
        <v>1</v>
      </c>
      <c r="C37" s="545" t="str">
        <f>VLOOKUP(D37,기본!$B$3:$C$90,2,0)</f>
        <v>삼성 VD</v>
      </c>
      <c r="D37" t="s">
        <v>1791</v>
      </c>
      <c r="E37" t="s">
        <v>2112</v>
      </c>
      <c r="F37" t="s">
        <v>1748</v>
      </c>
      <c r="G37" t="str">
        <f>VLOOKUP(E37,기본!$F$3:$G$320,2,0)</f>
        <v>MNT</v>
      </c>
      <c r="H37" s="544">
        <v>6552</v>
      </c>
      <c r="I37">
        <v>73.410907968000004</v>
      </c>
    </row>
    <row r="38" spans="2:9">
      <c r="B38" s="545">
        <v>1</v>
      </c>
      <c r="C38" s="545" t="str">
        <f>VLOOKUP(D38,기본!$B$3:$C$90,2,0)</f>
        <v>삼성 VD</v>
      </c>
      <c r="D38" t="s">
        <v>1791</v>
      </c>
      <c r="E38" t="s">
        <v>2120</v>
      </c>
      <c r="F38" t="s">
        <v>1748</v>
      </c>
      <c r="G38" t="str">
        <f>VLOOKUP(E38,기본!$F$3:$G$320,2,0)</f>
        <v>MNT</v>
      </c>
      <c r="H38" s="544">
        <v>114</v>
      </c>
      <c r="I38">
        <v>1.3146507359999999</v>
      </c>
    </row>
    <row r="39" spans="2:9">
      <c r="B39" s="545">
        <v>1</v>
      </c>
      <c r="C39" s="545" t="str">
        <f>VLOOKUP(D39,기본!$B$3:$C$90,2,0)</f>
        <v>삼성 VD</v>
      </c>
      <c r="D39" t="s">
        <v>1796</v>
      </c>
      <c r="E39" t="s">
        <v>1119</v>
      </c>
      <c r="F39" t="s">
        <v>1798</v>
      </c>
      <c r="G39" t="str">
        <f>VLOOKUP(E39,기본!$F$3:$G$320,2,0)</f>
        <v>TV</v>
      </c>
      <c r="H39" s="544">
        <v>3456</v>
      </c>
      <c r="I39">
        <v>109.41183000000002</v>
      </c>
    </row>
    <row r="40" spans="2:9">
      <c r="B40" s="545">
        <v>1</v>
      </c>
      <c r="C40" s="545" t="str">
        <f>VLOOKUP(D40,기본!$B$3:$C$90,2,0)</f>
        <v>삼성 VD</v>
      </c>
      <c r="D40" t="s">
        <v>1796</v>
      </c>
      <c r="E40" t="s">
        <v>1118</v>
      </c>
      <c r="F40" t="s">
        <v>1779</v>
      </c>
      <c r="G40" t="str">
        <f>VLOOKUP(E40,기본!$F$3:$G$320,2,0)</f>
        <v>TV</v>
      </c>
      <c r="H40" s="544">
        <v>4320</v>
      </c>
      <c r="I40">
        <v>119.57423472000001</v>
      </c>
    </row>
    <row r="41" spans="2:9">
      <c r="B41" s="545">
        <v>1</v>
      </c>
      <c r="C41" s="545" t="str">
        <f>VLOOKUP(D41,기본!$B$3:$C$90,2,0)</f>
        <v>삼성 VD</v>
      </c>
      <c r="D41" t="s">
        <v>1796</v>
      </c>
      <c r="E41" t="s">
        <v>1783</v>
      </c>
      <c r="F41" t="s">
        <v>1784</v>
      </c>
      <c r="G41" t="str">
        <f>VLOOKUP(E41,기본!$F$3:$G$320,2,0)</f>
        <v>TV</v>
      </c>
      <c r="H41" s="544">
        <v>5451</v>
      </c>
      <c r="I41">
        <v>77.248287047999995</v>
      </c>
    </row>
    <row r="42" spans="2:9">
      <c r="B42" s="545">
        <v>1</v>
      </c>
      <c r="C42" s="545" t="str">
        <f>VLOOKUP(D42,기본!$B$3:$C$90,2,0)</f>
        <v>삼성 VD</v>
      </c>
      <c r="D42" t="s">
        <v>1796</v>
      </c>
      <c r="E42" t="s">
        <v>2112</v>
      </c>
      <c r="F42" t="s">
        <v>1748</v>
      </c>
      <c r="G42" t="str">
        <f>VLOOKUP(E42,기본!$F$3:$G$320,2,0)</f>
        <v>MNT</v>
      </c>
      <c r="H42" s="544">
        <v>6264</v>
      </c>
      <c r="I42">
        <v>69.951791807999996</v>
      </c>
    </row>
    <row r="43" spans="2:9">
      <c r="B43" s="545">
        <v>1</v>
      </c>
      <c r="C43" s="545" t="str">
        <f>VLOOKUP(D43,기본!$B$3:$C$90,2,0)</f>
        <v>삼성 VD</v>
      </c>
      <c r="D43" t="s">
        <v>1796</v>
      </c>
      <c r="E43" t="s">
        <v>2414</v>
      </c>
      <c r="F43" t="s">
        <v>2415</v>
      </c>
      <c r="G43" t="str">
        <f>VLOOKUP(E43,기본!$F$3:$G$320,2,0)</f>
        <v>TV</v>
      </c>
      <c r="H43" s="544">
        <v>28896</v>
      </c>
      <c r="I43">
        <v>367.67192279999995</v>
      </c>
    </row>
    <row r="44" spans="2:9">
      <c r="B44" s="545">
        <v>1</v>
      </c>
      <c r="C44" s="545" t="str">
        <f>VLOOKUP(D44,기본!$B$3:$C$90,2,0)</f>
        <v>삼성 VD</v>
      </c>
      <c r="D44" t="s">
        <v>1797</v>
      </c>
      <c r="E44" t="s">
        <v>1119</v>
      </c>
      <c r="F44" t="s">
        <v>1798</v>
      </c>
      <c r="G44" t="str">
        <f>VLOOKUP(E44,기본!$F$3:$G$320,2,0)</f>
        <v>TV</v>
      </c>
      <c r="H44" s="544">
        <v>120</v>
      </c>
      <c r="I44">
        <v>3.8316893999999997</v>
      </c>
    </row>
    <row r="45" spans="2:9">
      <c r="B45" s="545">
        <v>1</v>
      </c>
      <c r="C45" s="545" t="str">
        <f>VLOOKUP(D45,기본!$B$3:$C$90,2,0)</f>
        <v>삼성 VD</v>
      </c>
      <c r="D45" t="s">
        <v>1797</v>
      </c>
      <c r="E45" t="s">
        <v>1783</v>
      </c>
      <c r="F45" t="s">
        <v>1784</v>
      </c>
      <c r="G45" t="str">
        <f>VLOOKUP(E45,기본!$F$3:$G$320,2,0)</f>
        <v>TV</v>
      </c>
      <c r="H45" s="544">
        <v>23</v>
      </c>
      <c r="I45">
        <v>0.331110185</v>
      </c>
    </row>
    <row r="46" spans="2:9">
      <c r="B46" s="545">
        <v>1</v>
      </c>
      <c r="C46" s="545" t="str">
        <f>VLOOKUP(D46,기본!$B$3:$C$90,2,0)</f>
        <v>삼성 VD</v>
      </c>
      <c r="D46" t="s">
        <v>1797</v>
      </c>
      <c r="E46" t="s">
        <v>1792</v>
      </c>
      <c r="F46" t="s">
        <v>1793</v>
      </c>
      <c r="G46" t="str">
        <f>VLOOKUP(E46,기본!$F$3:$G$320,2,0)</f>
        <v>TV</v>
      </c>
      <c r="H46" s="544">
        <v>46</v>
      </c>
      <c r="I46">
        <v>0.70424459000000006</v>
      </c>
    </row>
    <row r="47" spans="2:9">
      <c r="B47" s="545">
        <v>1</v>
      </c>
      <c r="C47" s="545" t="str">
        <f>VLOOKUP(D47,기본!$B$3:$C$90,2,0)</f>
        <v>삼성 VD</v>
      </c>
      <c r="D47" t="s">
        <v>1797</v>
      </c>
      <c r="E47" t="s">
        <v>1712</v>
      </c>
      <c r="F47" t="s">
        <v>1613</v>
      </c>
      <c r="G47" t="str">
        <f>VLOOKUP(E47,기본!$F$3:$G$320,2,0)</f>
        <v>TV</v>
      </c>
      <c r="H47" s="544">
        <v>680</v>
      </c>
      <c r="I47">
        <v>8.0313433199999995</v>
      </c>
    </row>
    <row r="48" spans="2:9">
      <c r="B48" s="545">
        <v>1</v>
      </c>
      <c r="C48" s="545" t="str">
        <f>VLOOKUP(D48,기본!$B$3:$C$90,2,0)</f>
        <v>삼성 VD</v>
      </c>
      <c r="D48" t="s">
        <v>1797</v>
      </c>
      <c r="E48" t="s">
        <v>1713</v>
      </c>
      <c r="F48" t="s">
        <v>1827</v>
      </c>
      <c r="G48" t="str">
        <f>VLOOKUP(E48,기본!$F$3:$G$320,2,0)</f>
        <v>TV</v>
      </c>
      <c r="H48" s="544">
        <v>1560</v>
      </c>
      <c r="I48">
        <v>21.179527799999999</v>
      </c>
    </row>
    <row r="49" spans="2:9">
      <c r="B49" s="545">
        <v>1</v>
      </c>
      <c r="C49" s="545" t="str">
        <f>VLOOKUP(D49,기본!$B$3:$C$90,2,0)</f>
        <v>삼성 VD</v>
      </c>
      <c r="D49" t="s">
        <v>1797</v>
      </c>
      <c r="E49" t="s">
        <v>1714</v>
      </c>
      <c r="F49" t="s">
        <v>1828</v>
      </c>
      <c r="G49" t="str">
        <f>VLOOKUP(E49,기본!$F$3:$G$320,2,0)</f>
        <v>TV</v>
      </c>
      <c r="H49" s="544">
        <v>324</v>
      </c>
      <c r="I49">
        <v>4.8587337000000002</v>
      </c>
    </row>
    <row r="50" spans="2:9">
      <c r="B50" s="545">
        <v>1</v>
      </c>
      <c r="C50" s="545" t="str">
        <f>VLOOKUP(D50,기본!$B$3:$C$90,2,0)</f>
        <v>기타</v>
      </c>
      <c r="D50" t="s">
        <v>1799</v>
      </c>
      <c r="E50" t="s">
        <v>224</v>
      </c>
      <c r="F50" t="s">
        <v>224</v>
      </c>
      <c r="G50" t="str">
        <f>VLOOKUP(E50,기본!$F$3:$G$320,2,0)</f>
        <v>기타</v>
      </c>
      <c r="H50" s="544">
        <v>0</v>
      </c>
      <c r="I50">
        <v>0.28494900000000001</v>
      </c>
    </row>
    <row r="51" spans="2:9">
      <c r="B51" s="545">
        <v>1</v>
      </c>
      <c r="C51" s="545" t="str">
        <f>VLOOKUP(D51,기본!$B$3:$C$90,2,0)</f>
        <v>코웨이</v>
      </c>
      <c r="D51" t="s">
        <v>2260</v>
      </c>
      <c r="E51" t="s">
        <v>1021</v>
      </c>
      <c r="F51" t="s">
        <v>1021</v>
      </c>
      <c r="G51" t="e">
        <f>VLOOKUP(E51,기본!$F$3:$G$320,2,0)</f>
        <v>#N/A</v>
      </c>
      <c r="H51" s="544">
        <v>2304</v>
      </c>
      <c r="I51">
        <v>16.166847168</v>
      </c>
    </row>
    <row r="52" spans="2:9">
      <c r="B52" s="545">
        <v>1</v>
      </c>
      <c r="C52" s="545" t="str">
        <f>VLOOKUP(D52,기본!$B$3:$C$90,2,0)</f>
        <v>코웨이</v>
      </c>
      <c r="D52" t="s">
        <v>2260</v>
      </c>
      <c r="E52" t="s">
        <v>1020</v>
      </c>
      <c r="F52" t="s">
        <v>1020</v>
      </c>
      <c r="G52" t="e">
        <f>VLOOKUP(E52,기본!$F$3:$G$320,2,0)</f>
        <v>#N/A</v>
      </c>
      <c r="H52" s="544">
        <v>1536</v>
      </c>
      <c r="I52">
        <v>13.45187424</v>
      </c>
    </row>
    <row r="53" spans="2:9">
      <c r="B53" s="545">
        <v>1</v>
      </c>
      <c r="C53" s="545" t="str">
        <f>VLOOKUP(D53,기본!$B$3:$C$90,2,0)</f>
        <v>MNT JDM</v>
      </c>
      <c r="D53" t="s">
        <v>1963</v>
      </c>
      <c r="E53" t="s">
        <v>676</v>
      </c>
      <c r="F53" t="s">
        <v>1964</v>
      </c>
      <c r="G53" t="str">
        <f>VLOOKUP(E53,기본!$F$3:$G$320,2,0)</f>
        <v>MNT</v>
      </c>
      <c r="H53" s="544">
        <v>6644</v>
      </c>
      <c r="I53">
        <v>31.287260399999994</v>
      </c>
    </row>
    <row r="54" spans="2:9">
      <c r="B54" s="545">
        <v>1</v>
      </c>
      <c r="C54" s="545" t="str">
        <f>VLOOKUP(D54,기본!$B$3:$C$90,2,0)</f>
        <v>MNT JDM</v>
      </c>
      <c r="D54" t="s">
        <v>1963</v>
      </c>
      <c r="E54" t="s">
        <v>1110</v>
      </c>
      <c r="F54" t="s">
        <v>1728</v>
      </c>
      <c r="G54" t="str">
        <f>VLOOKUP(E54,기본!$F$3:$G$320,2,0)</f>
        <v>MNT</v>
      </c>
      <c r="H54" s="544">
        <v>43296</v>
      </c>
      <c r="I54">
        <v>254.44195391999997</v>
      </c>
    </row>
    <row r="55" spans="2:9">
      <c r="B55" s="545">
        <v>1</v>
      </c>
      <c r="C55" s="545" t="str">
        <f>VLOOKUP(D55,기본!$B$3:$C$90,2,0)</f>
        <v>AV JDM</v>
      </c>
      <c r="D55" t="s">
        <v>2176</v>
      </c>
      <c r="E55" t="s">
        <v>2416</v>
      </c>
      <c r="F55" t="s">
        <v>2417</v>
      </c>
      <c r="G55" t="e">
        <f>VLOOKUP(E55,기본!$F$3:$G$320,2,0)</f>
        <v>#N/A</v>
      </c>
      <c r="H55" s="544">
        <v>1000</v>
      </c>
      <c r="I55">
        <v>8.4287399999999995</v>
      </c>
    </row>
    <row r="56" spans="2:9">
      <c r="B56" s="545">
        <v>1</v>
      </c>
      <c r="C56" s="545" t="str">
        <f>VLOOKUP(D56,기본!$B$3:$C$90,2,0)</f>
        <v>AV JDM</v>
      </c>
      <c r="D56" t="s">
        <v>2176</v>
      </c>
      <c r="E56" t="s">
        <v>2418</v>
      </c>
      <c r="F56" t="s">
        <v>2419</v>
      </c>
      <c r="G56" t="e">
        <f>VLOOKUP(E56,기본!$F$3:$G$320,2,0)</f>
        <v>#N/A</v>
      </c>
      <c r="H56" s="544">
        <v>500</v>
      </c>
      <c r="I56">
        <v>4.1072249999999997</v>
      </c>
    </row>
    <row r="57" spans="2:9">
      <c r="B57" s="545">
        <v>1</v>
      </c>
      <c r="C57" s="545" t="str">
        <f>VLOOKUP(D57,기본!$B$3:$C$90,2,0)</f>
        <v>AV JDM</v>
      </c>
      <c r="D57" t="s">
        <v>2176</v>
      </c>
      <c r="E57" t="s">
        <v>2177</v>
      </c>
      <c r="F57" t="s">
        <v>2177</v>
      </c>
      <c r="G57" t="e">
        <f>VLOOKUP(E57,기본!$F$3:$G$320,2,0)</f>
        <v>#N/A</v>
      </c>
      <c r="H57" s="544">
        <v>2960</v>
      </c>
      <c r="I57">
        <v>21.3690952</v>
      </c>
    </row>
    <row r="58" spans="2:9">
      <c r="B58" s="545">
        <v>1</v>
      </c>
      <c r="C58" s="545" t="str">
        <f>VLOOKUP(D58,기본!$B$3:$C$90,2,0)</f>
        <v>코웨이</v>
      </c>
      <c r="D58" t="s">
        <v>2178</v>
      </c>
      <c r="E58" t="s">
        <v>2328</v>
      </c>
      <c r="F58" t="s">
        <v>2328</v>
      </c>
      <c r="G58" t="e">
        <f>VLOOKUP(E58,기본!$F$3:$G$320,2,0)</f>
        <v>#N/A</v>
      </c>
      <c r="H58" s="544">
        <v>14688</v>
      </c>
      <c r="I58">
        <v>39.201008831999999</v>
      </c>
    </row>
    <row r="59" spans="2:9">
      <c r="B59" s="545">
        <v>1</v>
      </c>
      <c r="C59" s="545" t="str">
        <f>VLOOKUP(D59,기본!$B$3:$C$90,2,0)</f>
        <v>코웨이</v>
      </c>
      <c r="D59" t="s">
        <v>2178</v>
      </c>
      <c r="E59" t="s">
        <v>1897</v>
      </c>
      <c r="F59" t="s">
        <v>1897</v>
      </c>
      <c r="G59" t="e">
        <f>VLOOKUP(E59,기본!$F$3:$G$320,2,0)</f>
        <v>#N/A</v>
      </c>
      <c r="H59" s="544">
        <v>15120</v>
      </c>
      <c r="I59">
        <v>233.245289232</v>
      </c>
    </row>
    <row r="60" spans="2:9">
      <c r="B60" s="545">
        <v>1</v>
      </c>
      <c r="C60" s="545" t="str">
        <f>VLOOKUP(D60,기본!$B$3:$C$90,2,0)</f>
        <v>MNT JDM</v>
      </c>
      <c r="D60" t="s">
        <v>154</v>
      </c>
      <c r="E60" t="s">
        <v>676</v>
      </c>
      <c r="F60" t="s">
        <v>1801</v>
      </c>
      <c r="G60" t="str">
        <f>VLOOKUP(E60,기본!$F$3:$G$320,2,0)</f>
        <v>MNT</v>
      </c>
      <c r="H60" s="544">
        <v>12672</v>
      </c>
      <c r="I60">
        <v>59.712681599999996</v>
      </c>
    </row>
    <row r="61" spans="2:9">
      <c r="B61" s="545">
        <v>1</v>
      </c>
      <c r="C61" s="545" t="str">
        <f>VLOOKUP(D61,기본!$B$3:$C$90,2,0)</f>
        <v>MNT JDM</v>
      </c>
      <c r="D61" t="s">
        <v>154</v>
      </c>
      <c r="E61" t="s">
        <v>677</v>
      </c>
      <c r="F61" t="s">
        <v>2291</v>
      </c>
      <c r="G61" t="str">
        <f>VLOOKUP(E61,기본!$F$3:$G$320,2,0)</f>
        <v>MNT</v>
      </c>
      <c r="H61" s="544">
        <v>7392</v>
      </c>
      <c r="I61">
        <v>42.350187263999999</v>
      </c>
    </row>
    <row r="62" spans="2:9">
      <c r="B62" s="545">
        <v>1</v>
      </c>
      <c r="C62" s="545" t="str">
        <f>VLOOKUP(D62,기본!$B$3:$C$90,2,0)</f>
        <v>MNT JDM</v>
      </c>
      <c r="D62" t="s">
        <v>154</v>
      </c>
      <c r="E62" t="s">
        <v>1110</v>
      </c>
      <c r="F62" t="s">
        <v>1730</v>
      </c>
      <c r="G62" t="str">
        <f>VLOOKUP(E62,기본!$F$3:$G$320,2,0)</f>
        <v>MNT</v>
      </c>
      <c r="H62" s="544">
        <v>440</v>
      </c>
      <c r="I62">
        <v>2.5921280000000002</v>
      </c>
    </row>
    <row r="63" spans="2:9">
      <c r="B63" s="545">
        <v>1</v>
      </c>
      <c r="C63" s="545" t="str">
        <f>VLOOKUP(D63,기본!$B$3:$C$90,2,0)</f>
        <v>AV JDM</v>
      </c>
      <c r="D63" t="s">
        <v>2329</v>
      </c>
      <c r="E63" t="s">
        <v>1775</v>
      </c>
      <c r="F63" t="s">
        <v>1621</v>
      </c>
      <c r="G63" t="e">
        <f>VLOOKUP(E63,기본!$F$3:$G$320,2,0)</f>
        <v>#N/A</v>
      </c>
      <c r="H63" s="544">
        <v>5400</v>
      </c>
      <c r="I63">
        <v>51.650940000000006</v>
      </c>
    </row>
    <row r="64" spans="2:9">
      <c r="B64" s="545">
        <v>1</v>
      </c>
      <c r="C64" s="545" t="str">
        <f>VLOOKUP(D64,기본!$B$3:$C$90,2,0)</f>
        <v>AV JDM</v>
      </c>
      <c r="D64" t="s">
        <v>2329</v>
      </c>
      <c r="E64" t="s">
        <v>104</v>
      </c>
      <c r="F64" t="s">
        <v>103</v>
      </c>
      <c r="G64" t="e">
        <f>VLOOKUP(E64,기본!$F$3:$G$320,2,0)</f>
        <v>#N/A</v>
      </c>
      <c r="H64" s="544">
        <v>3480</v>
      </c>
      <c r="I64">
        <v>36.619682400000002</v>
      </c>
    </row>
    <row r="65" spans="2:9">
      <c r="B65" s="545">
        <v>1</v>
      </c>
      <c r="C65" s="545" t="str">
        <f>VLOOKUP(D65,기본!$B$3:$C$90,2,0)</f>
        <v>AV JDM</v>
      </c>
      <c r="D65" t="s">
        <v>2329</v>
      </c>
      <c r="E65" t="s">
        <v>1601</v>
      </c>
      <c r="F65" t="s">
        <v>1601</v>
      </c>
      <c r="G65" t="str">
        <f>VLOOKUP(E65,기본!$F$3:$G$320,2,0)</f>
        <v>MNT</v>
      </c>
      <c r="H65" s="544">
        <v>612</v>
      </c>
      <c r="I65">
        <v>6.1058995199999995</v>
      </c>
    </row>
    <row r="66" spans="2:9">
      <c r="B66" s="545">
        <v>1</v>
      </c>
      <c r="C66" s="545" t="str">
        <f>VLOOKUP(D66,기본!$B$3:$C$90,2,0)</f>
        <v>AV JDM</v>
      </c>
      <c r="D66" t="s">
        <v>2329</v>
      </c>
      <c r="E66" t="s">
        <v>1803</v>
      </c>
      <c r="F66" t="s">
        <v>1804</v>
      </c>
      <c r="G66" t="e">
        <f>VLOOKUP(E66,기본!$F$3:$G$320,2,0)</f>
        <v>#N/A</v>
      </c>
      <c r="H66" s="544">
        <v>485</v>
      </c>
      <c r="I66">
        <v>4.0384029400000001</v>
      </c>
    </row>
    <row r="67" spans="2:9">
      <c r="B67" s="545">
        <v>1</v>
      </c>
      <c r="C67" s="545" t="str">
        <f>VLOOKUP(D67,기본!$B$3:$C$90,2,0)</f>
        <v>AV JDM</v>
      </c>
      <c r="D67" t="s">
        <v>2329</v>
      </c>
      <c r="E67" t="s">
        <v>1776</v>
      </c>
      <c r="F67" t="s">
        <v>1287</v>
      </c>
      <c r="G67" t="e">
        <f>VLOOKUP(E67,기본!$F$3:$G$320,2,0)</f>
        <v>#N/A</v>
      </c>
      <c r="H67" s="544">
        <v>32844</v>
      </c>
      <c r="I67">
        <v>354.11952156000007</v>
      </c>
    </row>
    <row r="68" spans="2:9">
      <c r="B68" s="545">
        <v>1</v>
      </c>
      <c r="C68" s="545" t="str">
        <f>VLOOKUP(D68,기본!$B$3:$C$90,2,0)</f>
        <v>AV JDM</v>
      </c>
      <c r="D68" t="s">
        <v>2329</v>
      </c>
      <c r="E68" t="s">
        <v>1777</v>
      </c>
      <c r="F68" t="s">
        <v>1283</v>
      </c>
      <c r="G68" t="e">
        <f>VLOOKUP(E68,기본!$F$3:$G$320,2,0)</f>
        <v>#N/A</v>
      </c>
      <c r="H68" s="544">
        <v>35000</v>
      </c>
      <c r="I68">
        <v>331.73442432000007</v>
      </c>
    </row>
    <row r="69" spans="2:9">
      <c r="B69" s="545">
        <v>1</v>
      </c>
      <c r="C69" s="545" t="str">
        <f>VLOOKUP(D69,기본!$B$3:$C$90,2,0)</f>
        <v>AV JDM</v>
      </c>
      <c r="D69" t="s">
        <v>2329</v>
      </c>
      <c r="E69" t="s">
        <v>972</v>
      </c>
      <c r="F69" t="s">
        <v>972</v>
      </c>
      <c r="G69" t="e">
        <f>VLOOKUP(E69,기본!$F$3:$G$320,2,0)</f>
        <v>#N/A</v>
      </c>
      <c r="H69" s="544">
        <v>38208</v>
      </c>
      <c r="I69">
        <v>270.34557984000003</v>
      </c>
    </row>
    <row r="70" spans="2:9">
      <c r="B70" s="545">
        <v>1</v>
      </c>
      <c r="C70" s="545" t="str">
        <f>VLOOKUP(D70,기본!$B$3:$C$90,2,0)</f>
        <v>AV JDM</v>
      </c>
      <c r="D70" t="s">
        <v>2329</v>
      </c>
      <c r="E70" t="s">
        <v>2052</v>
      </c>
      <c r="F70" t="s">
        <v>2052</v>
      </c>
      <c r="G70" t="e">
        <f>VLOOKUP(E70,기본!$F$3:$G$320,2,0)</f>
        <v>#N/A</v>
      </c>
      <c r="H70" s="544">
        <v>22512</v>
      </c>
      <c r="I70">
        <v>124.64198208000001</v>
      </c>
    </row>
    <row r="71" spans="2:9">
      <c r="B71" s="545">
        <v>1</v>
      </c>
      <c r="C71" s="545" t="str">
        <f>VLOOKUP(D71,기본!$B$3:$C$90,2,0)</f>
        <v>AV JDM</v>
      </c>
      <c r="D71" t="s">
        <v>2329</v>
      </c>
      <c r="E71" t="s">
        <v>2179</v>
      </c>
      <c r="F71" t="s">
        <v>2179</v>
      </c>
      <c r="G71" t="e">
        <f>VLOOKUP(E71,기본!$F$3:$G$320,2,0)</f>
        <v>#N/A</v>
      </c>
      <c r="H71" s="544">
        <v>6552</v>
      </c>
      <c r="I71">
        <v>40.069118879999998</v>
      </c>
    </row>
    <row r="72" spans="2:9">
      <c r="B72" s="545">
        <v>1</v>
      </c>
      <c r="C72" s="545" t="str">
        <f>VLOOKUP(D72,기본!$B$3:$C$90,2,0)</f>
        <v>AV JDM</v>
      </c>
      <c r="D72" t="s">
        <v>2329</v>
      </c>
      <c r="E72" t="s">
        <v>973</v>
      </c>
      <c r="F72" t="s">
        <v>973</v>
      </c>
      <c r="G72" t="e">
        <f>VLOOKUP(E72,기본!$F$3:$G$320,2,0)</f>
        <v>#N/A</v>
      </c>
      <c r="H72" s="544">
        <v>30848</v>
      </c>
      <c r="I72">
        <v>258.58558771200001</v>
      </c>
    </row>
    <row r="73" spans="2:9">
      <c r="B73" s="545">
        <v>1</v>
      </c>
      <c r="C73" s="545" t="str">
        <f>VLOOKUP(D73,기본!$B$3:$C$90,2,0)</f>
        <v>AV JDM</v>
      </c>
      <c r="D73" t="s">
        <v>2329</v>
      </c>
      <c r="E73" t="s">
        <v>1004</v>
      </c>
      <c r="F73" t="s">
        <v>1004</v>
      </c>
      <c r="G73" t="e">
        <f>VLOOKUP(E73,기본!$F$3:$G$320,2,0)</f>
        <v>#N/A</v>
      </c>
      <c r="H73" s="544">
        <v>5120</v>
      </c>
      <c r="I73">
        <v>49.023763200000005</v>
      </c>
    </row>
    <row r="74" spans="2:9">
      <c r="B74" s="545">
        <v>1</v>
      </c>
      <c r="C74" s="545" t="str">
        <f>VLOOKUP(D74,기본!$B$3:$C$90,2,0)</f>
        <v>AV JDM</v>
      </c>
      <c r="D74" t="s">
        <v>2329</v>
      </c>
      <c r="E74" t="s">
        <v>2053</v>
      </c>
      <c r="F74" t="s">
        <v>2053</v>
      </c>
      <c r="G74" t="e">
        <f>VLOOKUP(E74,기본!$F$3:$G$320,2,0)</f>
        <v>#N/A</v>
      </c>
      <c r="H74" s="544">
        <v>14467</v>
      </c>
      <c r="I74">
        <v>82.816017975000008</v>
      </c>
    </row>
    <row r="75" spans="2:9">
      <c r="B75" s="545">
        <v>1</v>
      </c>
      <c r="C75" s="545" t="str">
        <f>VLOOKUP(D75,기본!$B$3:$C$90,2,0)</f>
        <v>AV JDM</v>
      </c>
      <c r="D75" t="s">
        <v>2329</v>
      </c>
      <c r="E75" t="s">
        <v>2180</v>
      </c>
      <c r="F75" t="s">
        <v>2180</v>
      </c>
      <c r="G75" t="e">
        <f>VLOOKUP(E75,기본!$F$3:$G$320,2,0)</f>
        <v>#N/A</v>
      </c>
      <c r="H75" s="544">
        <v>1428</v>
      </c>
      <c r="I75">
        <v>9.0559274399999996</v>
      </c>
    </row>
    <row r="76" spans="2:9">
      <c r="B76" s="545">
        <v>1</v>
      </c>
      <c r="C76" s="545" t="str">
        <f>VLOOKUP(D76,기본!$B$3:$C$90,2,0)</f>
        <v>AV JDM</v>
      </c>
      <c r="D76" t="s">
        <v>2329</v>
      </c>
      <c r="E76" t="s">
        <v>2402</v>
      </c>
      <c r="F76" t="s">
        <v>2402</v>
      </c>
      <c r="G76" t="str">
        <f>VLOOKUP(E76,기본!$F$3:$G$320,2,0)</f>
        <v>AV</v>
      </c>
      <c r="H76" s="544">
        <v>8226</v>
      </c>
      <c r="I76">
        <v>93.454770240000002</v>
      </c>
    </row>
    <row r="77" spans="2:9">
      <c r="B77" s="545">
        <v>1</v>
      </c>
      <c r="C77" s="545" t="str">
        <f>VLOOKUP(D77,기본!$B$3:$C$90,2,0)</f>
        <v>AV JDM</v>
      </c>
      <c r="D77" t="s">
        <v>2329</v>
      </c>
      <c r="E77" t="s">
        <v>2026</v>
      </c>
      <c r="F77" t="s">
        <v>2026</v>
      </c>
      <c r="G77" t="str">
        <f>VLOOKUP(E77,기본!$F$3:$G$320,2,0)</f>
        <v>AV</v>
      </c>
      <c r="H77" s="544">
        <v>4160</v>
      </c>
      <c r="I77">
        <v>41.762884800000002</v>
      </c>
    </row>
    <row r="78" spans="2:9">
      <c r="B78" s="545">
        <v>1</v>
      </c>
      <c r="C78" s="545" t="str">
        <f>VLOOKUP(D78,기본!$B$3:$C$90,2,0)</f>
        <v>AV JDM</v>
      </c>
      <c r="D78" t="s">
        <v>2329</v>
      </c>
      <c r="E78" t="s">
        <v>1805</v>
      </c>
      <c r="F78" t="s">
        <v>1805</v>
      </c>
      <c r="G78" t="e">
        <f>VLOOKUP(E78,기본!$F$3:$G$320,2,0)</f>
        <v>#N/A</v>
      </c>
      <c r="H78" s="544">
        <v>22800</v>
      </c>
      <c r="I78">
        <v>170.13467399999999</v>
      </c>
    </row>
    <row r="79" spans="2:9">
      <c r="B79" s="545">
        <v>1</v>
      </c>
      <c r="C79" s="545" t="str">
        <f>VLOOKUP(D79,기본!$B$3:$C$90,2,0)</f>
        <v>AV JDM</v>
      </c>
      <c r="D79" t="s">
        <v>2329</v>
      </c>
      <c r="E79" t="s">
        <v>1987</v>
      </c>
      <c r="F79" t="s">
        <v>1987</v>
      </c>
      <c r="G79" t="e">
        <f>VLOOKUP(E79,기본!$F$3:$G$320,2,0)</f>
        <v>#N/A</v>
      </c>
      <c r="H79" s="544">
        <v>3000</v>
      </c>
      <c r="I79">
        <v>23.420159999999999</v>
      </c>
    </row>
    <row r="80" spans="2:9">
      <c r="B80" s="545">
        <v>1</v>
      </c>
      <c r="C80" s="545" t="str">
        <f>VLOOKUP(D80,기본!$B$3:$C$90,2,0)</f>
        <v>AV JDM</v>
      </c>
      <c r="D80" t="s">
        <v>2329</v>
      </c>
      <c r="E80" t="s">
        <v>2027</v>
      </c>
      <c r="F80" t="s">
        <v>2027</v>
      </c>
      <c r="G80" t="str">
        <f>VLOOKUP(E80,기본!$F$3:$G$320,2,0)</f>
        <v>AV</v>
      </c>
      <c r="H80" s="544">
        <v>15660</v>
      </c>
      <c r="I80">
        <v>192.12619343399996</v>
      </c>
    </row>
    <row r="81" spans="2:9">
      <c r="B81" s="545">
        <v>1</v>
      </c>
      <c r="C81" s="545" t="str">
        <f>VLOOKUP(D81,기본!$B$3:$C$90,2,0)</f>
        <v>AV JDM</v>
      </c>
      <c r="D81" t="s">
        <v>2329</v>
      </c>
      <c r="E81" t="s">
        <v>2403</v>
      </c>
      <c r="F81" t="s">
        <v>2403</v>
      </c>
      <c r="G81" t="e">
        <f>VLOOKUP(E81,기본!$F$3:$G$320,2,0)</f>
        <v>#N/A</v>
      </c>
      <c r="H81" s="544">
        <v>2832</v>
      </c>
      <c r="I81">
        <v>52.32245567999999</v>
      </c>
    </row>
    <row r="82" spans="2:9">
      <c r="B82" s="545">
        <v>1</v>
      </c>
      <c r="C82" s="545" t="str">
        <f>VLOOKUP(D82,기본!$B$3:$C$90,2,0)</f>
        <v>JDM</v>
      </c>
      <c r="D82" t="s">
        <v>1806</v>
      </c>
      <c r="E82" t="s">
        <v>2031</v>
      </c>
      <c r="F82" t="s">
        <v>1807</v>
      </c>
      <c r="G82" t="str">
        <f>VLOOKUP(E82,기본!$F$3:$G$320,2,0)</f>
        <v>기타</v>
      </c>
      <c r="H82" s="544">
        <v>240</v>
      </c>
      <c r="I82">
        <v>7.1951543999999998</v>
      </c>
    </row>
    <row r="83" spans="2:9">
      <c r="B83" s="545">
        <v>1</v>
      </c>
      <c r="C83" s="545" t="str">
        <f>VLOOKUP(D83,기본!$B$3:$C$90,2,0)</f>
        <v>MNT JDM</v>
      </c>
      <c r="D83" t="s">
        <v>1810</v>
      </c>
      <c r="E83" t="s">
        <v>1110</v>
      </c>
      <c r="F83" t="s">
        <v>1965</v>
      </c>
      <c r="G83" t="str">
        <f>VLOOKUP(E83,기본!$F$3:$G$320,2,0)</f>
        <v>MNT</v>
      </c>
      <c r="H83" s="544">
        <v>6336</v>
      </c>
      <c r="I83">
        <v>36.566323199999992</v>
      </c>
    </row>
    <row r="84" spans="2:9">
      <c r="B84" s="545">
        <v>1</v>
      </c>
      <c r="C84" s="545" t="str">
        <f>VLOOKUP(D84,기본!$B$3:$C$90,2,0)</f>
        <v>한화비전</v>
      </c>
      <c r="D84" t="s">
        <v>1811</v>
      </c>
      <c r="E84" t="s">
        <v>1966</v>
      </c>
      <c r="F84" t="s">
        <v>1967</v>
      </c>
      <c r="G84" t="e">
        <f>VLOOKUP(E84,기본!$F$3:$G$320,2,0)</f>
        <v>#N/A</v>
      </c>
      <c r="H84" s="544">
        <v>1120</v>
      </c>
      <c r="I84">
        <v>4.3746572800000001</v>
      </c>
    </row>
    <row r="85" spans="2:9">
      <c r="B85" s="545">
        <v>1</v>
      </c>
      <c r="C85" s="545" t="str">
        <f>VLOOKUP(D85,기본!$B$3:$C$90,2,0)</f>
        <v>한화비전</v>
      </c>
      <c r="D85" t="s">
        <v>1811</v>
      </c>
      <c r="E85" t="s">
        <v>2333</v>
      </c>
      <c r="F85" t="s">
        <v>2334</v>
      </c>
      <c r="G85" t="e">
        <f>VLOOKUP(E85,기본!$F$3:$G$320,2,0)</f>
        <v>#N/A</v>
      </c>
      <c r="H85" s="544">
        <v>600</v>
      </c>
      <c r="I85">
        <v>25.550160000000002</v>
      </c>
    </row>
    <row r="86" spans="2:9">
      <c r="B86" s="545">
        <v>1</v>
      </c>
      <c r="C86" s="545" t="str">
        <f>VLOOKUP(D86,기본!$B$3:$C$90,2,0)</f>
        <v>한화비전</v>
      </c>
      <c r="D86" t="s">
        <v>1811</v>
      </c>
      <c r="E86" t="s">
        <v>1812</v>
      </c>
      <c r="F86" t="s">
        <v>1813</v>
      </c>
      <c r="G86" t="e">
        <f>VLOOKUP(E86,기본!$F$3:$G$320,2,0)</f>
        <v>#N/A</v>
      </c>
      <c r="H86" s="544">
        <v>1944</v>
      </c>
      <c r="I86">
        <v>73.933352639999995</v>
      </c>
    </row>
    <row r="87" spans="2:9">
      <c r="B87" s="545">
        <v>1</v>
      </c>
      <c r="C87" s="545" t="str">
        <f>VLOOKUP(D87,기본!$B$3:$C$90,2,0)</f>
        <v>코웨이</v>
      </c>
      <c r="D87" t="s">
        <v>1815</v>
      </c>
      <c r="E87" t="s">
        <v>1816</v>
      </c>
      <c r="F87" t="s">
        <v>1816</v>
      </c>
      <c r="G87" t="e">
        <f>VLOOKUP(E87,기본!$F$3:$G$320,2,0)</f>
        <v>#N/A</v>
      </c>
      <c r="H87" s="544">
        <v>2120</v>
      </c>
      <c r="I87">
        <v>14.772740880000002</v>
      </c>
    </row>
    <row r="88" spans="2:9">
      <c r="B88" s="545">
        <v>1</v>
      </c>
      <c r="C88" s="545" t="str">
        <f>VLOOKUP(D88,기본!$B$3:$C$90,2,0)</f>
        <v>코웨이</v>
      </c>
      <c r="D88" t="s">
        <v>1815</v>
      </c>
      <c r="E88" t="s">
        <v>1817</v>
      </c>
      <c r="F88" t="s">
        <v>1817</v>
      </c>
      <c r="G88" t="e">
        <f>VLOOKUP(E88,기본!$F$3:$G$320,2,0)</f>
        <v>#N/A</v>
      </c>
      <c r="H88" s="544">
        <v>890</v>
      </c>
      <c r="I88">
        <v>7.0638347700000006</v>
      </c>
    </row>
    <row r="89" spans="2:9">
      <c r="B89" s="545">
        <v>1</v>
      </c>
      <c r="C89" s="545" t="str">
        <f>VLOOKUP(D89,기본!$B$3:$C$90,2,0)</f>
        <v>코웨이</v>
      </c>
      <c r="D89" t="s">
        <v>1815</v>
      </c>
      <c r="E89" t="s">
        <v>1818</v>
      </c>
      <c r="F89" t="s">
        <v>1818</v>
      </c>
      <c r="G89" t="e">
        <f>VLOOKUP(E89,기본!$F$3:$G$320,2,0)</f>
        <v>#N/A</v>
      </c>
      <c r="H89" s="544">
        <v>2846</v>
      </c>
      <c r="I89">
        <v>17.364017490000002</v>
      </c>
    </row>
    <row r="90" spans="2:9">
      <c r="B90" s="545">
        <v>1</v>
      </c>
      <c r="C90" s="545" t="str">
        <f>VLOOKUP(D90,기본!$B$3:$C$90,2,0)</f>
        <v>코웨이</v>
      </c>
      <c r="D90" t="s">
        <v>1815</v>
      </c>
      <c r="E90" t="s">
        <v>1988</v>
      </c>
      <c r="F90" t="s">
        <v>1988</v>
      </c>
      <c r="G90" t="e">
        <f>VLOOKUP(E90,기본!$F$3:$G$320,2,0)</f>
        <v>#N/A</v>
      </c>
      <c r="H90" s="544">
        <v>9920</v>
      </c>
      <c r="I90">
        <v>67.133596800000007</v>
      </c>
    </row>
    <row r="91" spans="2:9">
      <c r="B91" s="545">
        <v>1</v>
      </c>
      <c r="C91" s="545" t="str">
        <f>VLOOKUP(D91,기본!$B$3:$C$90,2,0)</f>
        <v>코웨이</v>
      </c>
      <c r="D91" t="s">
        <v>1815</v>
      </c>
      <c r="E91" t="s">
        <v>1819</v>
      </c>
      <c r="F91" t="s">
        <v>1819</v>
      </c>
      <c r="G91" t="e">
        <f>VLOOKUP(E91,기본!$F$3:$G$320,2,0)</f>
        <v>#N/A</v>
      </c>
      <c r="H91" s="544">
        <v>3365</v>
      </c>
      <c r="I91">
        <v>21.91729488</v>
      </c>
    </row>
    <row r="92" spans="2:9">
      <c r="B92" s="545">
        <v>1</v>
      </c>
      <c r="C92" s="545" t="str">
        <f>VLOOKUP(D92,기본!$B$3:$C$90,2,0)</f>
        <v>삼성 VD</v>
      </c>
      <c r="D92" t="s">
        <v>1820</v>
      </c>
      <c r="E92" t="s">
        <v>1118</v>
      </c>
      <c r="F92" t="s">
        <v>1779</v>
      </c>
      <c r="G92" t="str">
        <f>VLOOKUP(E92,기본!$F$3:$G$320,2,0)</f>
        <v>TV</v>
      </c>
      <c r="H92" s="544">
        <v>756</v>
      </c>
      <c r="I92">
        <v>21.195489348000002</v>
      </c>
    </row>
    <row r="93" spans="2:9">
      <c r="B93" s="545">
        <v>1</v>
      </c>
      <c r="C93" s="545" t="str">
        <f>VLOOKUP(D93,기본!$B$3:$C$90,2,0)</f>
        <v>삼성 VD</v>
      </c>
      <c r="D93" t="s">
        <v>1820</v>
      </c>
      <c r="E93" t="s">
        <v>1787</v>
      </c>
      <c r="F93" t="s">
        <v>1788</v>
      </c>
      <c r="G93" t="str">
        <f>VLOOKUP(E93,기본!$F$3:$G$320,2,0)</f>
        <v>MNT</v>
      </c>
      <c r="H93" s="544">
        <v>168</v>
      </c>
      <c r="I93">
        <v>6.4584878400000001</v>
      </c>
    </row>
    <row r="94" spans="2:9">
      <c r="B94" s="545">
        <v>1</v>
      </c>
      <c r="C94" s="545" t="str">
        <f>VLOOKUP(D94,기본!$B$3:$C$90,2,0)</f>
        <v>삼성 VD</v>
      </c>
      <c r="D94" t="s">
        <v>1820</v>
      </c>
      <c r="E94" t="s">
        <v>1723</v>
      </c>
      <c r="F94" t="s">
        <v>1821</v>
      </c>
      <c r="G94" t="str">
        <f>VLOOKUP(E94,기본!$F$3:$G$320,2,0)</f>
        <v>TV</v>
      </c>
      <c r="H94" s="544">
        <v>100560</v>
      </c>
      <c r="I94">
        <v>1211.8493179200002</v>
      </c>
    </row>
    <row r="95" spans="2:9">
      <c r="B95" s="545">
        <v>1</v>
      </c>
      <c r="C95" s="545" t="str">
        <f>VLOOKUP(D95,기본!$B$3:$C$90,2,0)</f>
        <v>삼성 VD</v>
      </c>
      <c r="D95" t="s">
        <v>1820</v>
      </c>
      <c r="E95" t="s">
        <v>1725</v>
      </c>
      <c r="F95" t="s">
        <v>1822</v>
      </c>
      <c r="G95" t="str">
        <f>VLOOKUP(E95,기본!$F$3:$G$320,2,0)</f>
        <v>TV</v>
      </c>
      <c r="H95" s="544">
        <v>13644</v>
      </c>
      <c r="I95">
        <v>182.51261452799997</v>
      </c>
    </row>
    <row r="96" spans="2:9">
      <c r="B96" s="545">
        <v>1</v>
      </c>
      <c r="C96" s="545" t="str">
        <f>VLOOKUP(D96,기본!$B$3:$C$90,2,0)</f>
        <v>삼성 VD</v>
      </c>
      <c r="D96" t="s">
        <v>1820</v>
      </c>
      <c r="E96" t="s">
        <v>1727</v>
      </c>
      <c r="F96" t="s">
        <v>1823</v>
      </c>
      <c r="G96" t="str">
        <f>VLOOKUP(E96,기본!$F$3:$G$320,2,0)</f>
        <v>TV</v>
      </c>
      <c r="H96" s="544">
        <v>6360</v>
      </c>
      <c r="I96">
        <v>113.82512458000001</v>
      </c>
    </row>
    <row r="97" spans="2:9">
      <c r="B97" s="545">
        <v>1</v>
      </c>
      <c r="C97" s="545" t="str">
        <f>VLOOKUP(D97,기본!$B$3:$C$90,2,0)</f>
        <v>삼성 VD</v>
      </c>
      <c r="D97" t="s">
        <v>1820</v>
      </c>
      <c r="E97" t="s">
        <v>1829</v>
      </c>
      <c r="F97" t="s">
        <v>1830</v>
      </c>
      <c r="G97" t="str">
        <f>VLOOKUP(E97,기본!$F$3:$G$320,2,0)</f>
        <v>TV</v>
      </c>
      <c r="H97" s="544">
        <v>5360</v>
      </c>
      <c r="I97">
        <v>126.83420400000001</v>
      </c>
    </row>
    <row r="98" spans="2:9">
      <c r="B98" s="545">
        <v>1</v>
      </c>
      <c r="C98" s="545" t="str">
        <f>VLOOKUP(D98,기본!$B$3:$C$90,2,0)</f>
        <v>삼성 VD</v>
      </c>
      <c r="D98" t="s">
        <v>1820</v>
      </c>
      <c r="E98" t="s">
        <v>2182</v>
      </c>
      <c r="F98" t="s">
        <v>2183</v>
      </c>
      <c r="G98" t="str">
        <f>VLOOKUP(E98,기본!$F$3:$G$320,2,0)</f>
        <v>MNT</v>
      </c>
      <c r="H98" s="544">
        <v>5673</v>
      </c>
      <c r="I98">
        <v>29.817963086999999</v>
      </c>
    </row>
    <row r="99" spans="2:9">
      <c r="B99" s="545">
        <v>1</v>
      </c>
      <c r="C99" s="545" t="str">
        <f>VLOOKUP(D99,기본!$B$3:$C$90,2,0)</f>
        <v>삼성 VD</v>
      </c>
      <c r="D99" t="s">
        <v>1824</v>
      </c>
      <c r="E99" t="s">
        <v>1792</v>
      </c>
      <c r="F99" t="s">
        <v>1793</v>
      </c>
      <c r="G99" t="str">
        <f>VLOOKUP(E99,기본!$F$3:$G$320,2,0)</f>
        <v>TV</v>
      </c>
      <c r="H99" s="544">
        <v>46</v>
      </c>
      <c r="I99">
        <v>0.69243947200000011</v>
      </c>
    </row>
    <row r="100" spans="2:9">
      <c r="B100" s="545">
        <v>1</v>
      </c>
      <c r="C100" s="545" t="str">
        <f>VLOOKUP(D100,기본!$B$3:$C$90,2,0)</f>
        <v>삼성 VD</v>
      </c>
      <c r="D100" t="s">
        <v>1824</v>
      </c>
      <c r="E100" t="s">
        <v>2441</v>
      </c>
      <c r="F100" t="s">
        <v>2438</v>
      </c>
      <c r="G100" t="str">
        <f>VLOOKUP(E100,기본!$F$3:$G$320,2,0)</f>
        <v>TV</v>
      </c>
      <c r="H100" s="544">
        <v>966</v>
      </c>
      <c r="I100">
        <v>12.886671839999998</v>
      </c>
    </row>
    <row r="101" spans="2:9">
      <c r="B101" s="545">
        <v>1</v>
      </c>
      <c r="C101" s="545" t="str">
        <f>VLOOKUP(D101,기본!$B$3:$C$90,2,0)</f>
        <v>삼성 VD</v>
      </c>
      <c r="D101" t="s">
        <v>1833</v>
      </c>
      <c r="E101" t="s">
        <v>1968</v>
      </c>
      <c r="F101" t="s">
        <v>1969</v>
      </c>
      <c r="G101" t="str">
        <f>VLOOKUP(E101,기본!$F$3:$G$320,2,0)</f>
        <v>MNT</v>
      </c>
      <c r="H101" s="544">
        <v>18576</v>
      </c>
      <c r="I101">
        <v>376.94029248000004</v>
      </c>
    </row>
    <row r="102" spans="2:9">
      <c r="B102" s="545">
        <v>1</v>
      </c>
      <c r="C102" s="545" t="str">
        <f>VLOOKUP(D102,기본!$B$3:$C$90,2,0)</f>
        <v>삼성 VD</v>
      </c>
      <c r="D102" t="s">
        <v>1833</v>
      </c>
      <c r="E102" t="s">
        <v>1970</v>
      </c>
      <c r="F102" t="s">
        <v>835</v>
      </c>
      <c r="G102" t="str">
        <f>VLOOKUP(E102,기본!$F$3:$G$320,2,0)</f>
        <v>MNT</v>
      </c>
      <c r="H102" s="544">
        <v>291</v>
      </c>
      <c r="I102">
        <v>6.1306340280000002</v>
      </c>
    </row>
    <row r="103" spans="2:9">
      <c r="B103" s="545">
        <v>1</v>
      </c>
      <c r="C103" s="545" t="str">
        <f>VLOOKUP(D103,기본!$B$3:$C$90,2,0)</f>
        <v>삼성 VD</v>
      </c>
      <c r="D103" t="s">
        <v>1833</v>
      </c>
      <c r="E103" t="s">
        <v>1118</v>
      </c>
      <c r="F103" t="s">
        <v>1779</v>
      </c>
      <c r="G103" t="str">
        <f>VLOOKUP(E103,기본!$F$3:$G$320,2,0)</f>
        <v>TV</v>
      </c>
      <c r="H103" s="544">
        <v>1116</v>
      </c>
      <c r="I103">
        <v>31.127995223999996</v>
      </c>
    </row>
    <row r="104" spans="2:9">
      <c r="B104" s="545">
        <v>1</v>
      </c>
      <c r="C104" s="545" t="str">
        <f>VLOOKUP(D104,기본!$B$3:$C$90,2,0)</f>
        <v>삼성 VD</v>
      </c>
      <c r="D104" t="s">
        <v>1833</v>
      </c>
      <c r="E104" t="s">
        <v>1825</v>
      </c>
      <c r="F104" t="s">
        <v>1826</v>
      </c>
      <c r="G104" t="str">
        <f>VLOOKUP(E104,기본!$F$3:$G$320,2,0)</f>
        <v>MNT</v>
      </c>
      <c r="H104" s="544">
        <v>20</v>
      </c>
      <c r="I104">
        <v>0.18000359999999999</v>
      </c>
    </row>
    <row r="105" spans="2:9">
      <c r="B105" s="545">
        <v>1</v>
      </c>
      <c r="C105" s="545" t="str">
        <f>VLOOKUP(D105,기본!$B$3:$C$90,2,0)</f>
        <v>삼성 VD</v>
      </c>
      <c r="D105" t="s">
        <v>1833</v>
      </c>
      <c r="E105" t="s">
        <v>1781</v>
      </c>
      <c r="F105" t="s">
        <v>1782</v>
      </c>
      <c r="G105" t="str">
        <f>VLOOKUP(E105,기본!$F$3:$G$320,2,0)</f>
        <v>TV</v>
      </c>
      <c r="H105" s="544">
        <v>150</v>
      </c>
      <c r="I105">
        <v>1.98499224</v>
      </c>
    </row>
    <row r="106" spans="2:9">
      <c r="B106" s="545">
        <v>1</v>
      </c>
      <c r="C106" s="545" t="str">
        <f>VLOOKUP(D106,기본!$B$3:$C$90,2,0)</f>
        <v>삼성 VD</v>
      </c>
      <c r="D106" t="s">
        <v>1833</v>
      </c>
      <c r="E106" t="s">
        <v>1783</v>
      </c>
      <c r="F106" t="s">
        <v>1784</v>
      </c>
      <c r="G106" t="str">
        <f>VLOOKUP(E106,기본!$F$3:$G$320,2,0)</f>
        <v>TV</v>
      </c>
      <c r="H106" s="544">
        <v>69</v>
      </c>
      <c r="I106">
        <v>0.96198351000000004</v>
      </c>
    </row>
    <row r="107" spans="2:9">
      <c r="B107" s="545">
        <v>1</v>
      </c>
      <c r="C107" s="545" t="str">
        <f>VLOOKUP(D107,기본!$B$3:$C$90,2,0)</f>
        <v>삼성 VD</v>
      </c>
      <c r="D107" t="s">
        <v>1833</v>
      </c>
      <c r="E107" t="s">
        <v>1792</v>
      </c>
      <c r="F107" t="s">
        <v>1793</v>
      </c>
      <c r="G107" t="str">
        <f>VLOOKUP(E107,기본!$F$3:$G$320,2,0)</f>
        <v>TV</v>
      </c>
      <c r="H107" s="544">
        <v>483</v>
      </c>
      <c r="I107">
        <v>7.1908940640000001</v>
      </c>
    </row>
    <row r="108" spans="2:9">
      <c r="B108" s="545">
        <v>1</v>
      </c>
      <c r="C108" s="545" t="str">
        <f>VLOOKUP(D108,기본!$B$3:$C$90,2,0)</f>
        <v>삼성 VD</v>
      </c>
      <c r="D108" t="s">
        <v>1833</v>
      </c>
      <c r="E108" t="s">
        <v>1834</v>
      </c>
      <c r="F108" t="s">
        <v>1835</v>
      </c>
      <c r="G108" t="str">
        <f>VLOOKUP(E108,기본!$F$3:$G$320,2,0)</f>
        <v>MNT</v>
      </c>
      <c r="H108" s="544">
        <v>3870</v>
      </c>
      <c r="I108">
        <v>40.30547039999999</v>
      </c>
    </row>
    <row r="109" spans="2:9">
      <c r="B109" s="545">
        <v>1</v>
      </c>
      <c r="C109" s="545" t="str">
        <f>VLOOKUP(D109,기본!$B$3:$C$90,2,0)</f>
        <v>삼성 VD</v>
      </c>
      <c r="D109" t="s">
        <v>1833</v>
      </c>
      <c r="E109" t="s">
        <v>993</v>
      </c>
      <c r="F109" t="s">
        <v>992</v>
      </c>
      <c r="G109" t="str">
        <f>VLOOKUP(E109,기본!$F$3:$G$320,2,0)</f>
        <v>MNT</v>
      </c>
      <c r="H109" s="544">
        <v>450</v>
      </c>
      <c r="I109">
        <v>5.0504959200000004</v>
      </c>
    </row>
    <row r="110" spans="2:9">
      <c r="B110" s="545">
        <v>1</v>
      </c>
      <c r="C110" s="545" t="str">
        <f>VLOOKUP(D110,기본!$B$3:$C$90,2,0)</f>
        <v>삼성 VD</v>
      </c>
      <c r="D110" t="s">
        <v>1833</v>
      </c>
      <c r="E110" t="s">
        <v>1785</v>
      </c>
      <c r="F110" t="s">
        <v>1786</v>
      </c>
      <c r="G110" t="str">
        <f>VLOOKUP(E110,기본!$F$3:$G$320,2,0)</f>
        <v>MNT</v>
      </c>
      <c r="H110" s="544">
        <v>1872</v>
      </c>
      <c r="I110">
        <v>33.928994879999998</v>
      </c>
    </row>
    <row r="111" spans="2:9">
      <c r="B111" s="545">
        <v>1</v>
      </c>
      <c r="C111" s="545" t="str">
        <f>VLOOKUP(D111,기본!$B$3:$C$90,2,0)</f>
        <v>삼성 VD</v>
      </c>
      <c r="D111" t="s">
        <v>1833</v>
      </c>
      <c r="E111" t="s">
        <v>1258</v>
      </c>
      <c r="F111" t="s">
        <v>1257</v>
      </c>
      <c r="G111" t="str">
        <f>VLOOKUP(E111,기본!$F$3:$G$320,2,0)</f>
        <v>MNT</v>
      </c>
      <c r="H111" s="544">
        <v>3576</v>
      </c>
      <c r="I111">
        <v>81.823245119999996</v>
      </c>
    </row>
    <row r="112" spans="2:9">
      <c r="B112" s="545">
        <v>1</v>
      </c>
      <c r="C112" s="545" t="str">
        <f>VLOOKUP(D112,기본!$B$3:$C$90,2,0)</f>
        <v>삼성 VD</v>
      </c>
      <c r="D112" t="s">
        <v>1833</v>
      </c>
      <c r="E112" t="s">
        <v>1262</v>
      </c>
      <c r="F112" t="s">
        <v>1261</v>
      </c>
      <c r="G112" t="str">
        <f>VLOOKUP(E112,기본!$F$3:$G$320,2,0)</f>
        <v>MNT</v>
      </c>
      <c r="H112" s="544">
        <v>264</v>
      </c>
      <c r="I112">
        <v>6.1161260159999999</v>
      </c>
    </row>
    <row r="113" spans="2:9">
      <c r="B113" s="545">
        <v>1</v>
      </c>
      <c r="C113" s="545" t="str">
        <f>VLOOKUP(D113,기본!$B$3:$C$90,2,0)</f>
        <v>삼성 VD</v>
      </c>
      <c r="D113" t="s">
        <v>1833</v>
      </c>
      <c r="E113" t="s">
        <v>1787</v>
      </c>
      <c r="F113" t="s">
        <v>1788</v>
      </c>
      <c r="G113" t="str">
        <f>VLOOKUP(E113,기본!$F$3:$G$320,2,0)</f>
        <v>MNT</v>
      </c>
      <c r="H113" s="544">
        <v>11904</v>
      </c>
      <c r="I113">
        <v>466.41661216</v>
      </c>
    </row>
    <row r="114" spans="2:9">
      <c r="B114" s="545">
        <v>1</v>
      </c>
      <c r="C114" s="545" t="str">
        <f>VLOOKUP(D114,기본!$B$3:$C$90,2,0)</f>
        <v>삼성 VD</v>
      </c>
      <c r="D114" t="s">
        <v>1833</v>
      </c>
      <c r="E114" t="s">
        <v>1837</v>
      </c>
      <c r="F114" t="s">
        <v>1838</v>
      </c>
      <c r="G114" t="str">
        <f>VLOOKUP(E114,기본!$F$3:$G$320,2,0)</f>
        <v>MNT</v>
      </c>
      <c r="H114" s="544">
        <v>10332</v>
      </c>
      <c r="I114">
        <v>174.03670562399998</v>
      </c>
    </row>
    <row r="115" spans="2:9">
      <c r="B115" s="545">
        <v>1</v>
      </c>
      <c r="C115" s="545" t="str">
        <f>VLOOKUP(D115,기본!$B$3:$C$90,2,0)</f>
        <v>삼성 VD</v>
      </c>
      <c r="D115" t="s">
        <v>1833</v>
      </c>
      <c r="E115" t="s">
        <v>2051</v>
      </c>
      <c r="F115" t="s">
        <v>2020</v>
      </c>
      <c r="G115" t="str">
        <f>VLOOKUP(E115,기본!$F$3:$G$320,2,0)</f>
        <v>MNT</v>
      </c>
      <c r="H115" s="544">
        <v>44220</v>
      </c>
      <c r="I115">
        <v>230.50726112699999</v>
      </c>
    </row>
    <row r="116" spans="2:9">
      <c r="B116" s="545">
        <v>1</v>
      </c>
      <c r="C116" s="545" t="str">
        <f>VLOOKUP(D116,기본!$B$3:$C$90,2,0)</f>
        <v>삼성 VD</v>
      </c>
      <c r="D116" t="s">
        <v>1833</v>
      </c>
      <c r="E116" t="s">
        <v>2054</v>
      </c>
      <c r="F116" t="s">
        <v>1750</v>
      </c>
      <c r="G116" t="str">
        <f>VLOOKUP(E116,기본!$F$3:$G$320,2,0)</f>
        <v>MNT</v>
      </c>
      <c r="H116" s="544">
        <v>12771</v>
      </c>
      <c r="I116">
        <v>88.747857890999995</v>
      </c>
    </row>
    <row r="117" spans="2:9">
      <c r="B117" s="545">
        <v>1</v>
      </c>
      <c r="C117" s="545" t="str">
        <f>VLOOKUP(D117,기본!$B$3:$C$90,2,0)</f>
        <v>삼성 VD</v>
      </c>
      <c r="D117" t="s">
        <v>1833</v>
      </c>
      <c r="E117" t="s">
        <v>2114</v>
      </c>
      <c r="F117" t="s">
        <v>1748</v>
      </c>
      <c r="G117" t="str">
        <f>VLOOKUP(E117,기본!$F$3:$G$320,2,0)</f>
        <v>MNT</v>
      </c>
      <c r="H117" s="544">
        <v>63</v>
      </c>
      <c r="I117">
        <v>0.71497452600000011</v>
      </c>
    </row>
    <row r="118" spans="2:9">
      <c r="B118" s="545">
        <v>1</v>
      </c>
      <c r="C118" s="545" t="str">
        <f>VLOOKUP(D118,기본!$B$3:$C$90,2,0)</f>
        <v>삼성 VD</v>
      </c>
      <c r="D118" t="s">
        <v>1833</v>
      </c>
      <c r="E118" t="s">
        <v>2120</v>
      </c>
      <c r="F118" t="s">
        <v>1748</v>
      </c>
      <c r="G118" t="str">
        <f>VLOOKUP(E118,기본!$F$3:$G$320,2,0)</f>
        <v>MNT</v>
      </c>
      <c r="H118" s="544">
        <v>560</v>
      </c>
      <c r="I118">
        <v>6.2830425600000002</v>
      </c>
    </row>
    <row r="119" spans="2:9">
      <c r="B119" s="545">
        <v>1</v>
      </c>
      <c r="C119" s="545" t="str">
        <f>VLOOKUP(D119,기본!$B$3:$C$90,2,0)</f>
        <v>삼성 VD</v>
      </c>
      <c r="D119" t="s">
        <v>1833</v>
      </c>
      <c r="E119" t="s">
        <v>2074</v>
      </c>
      <c r="F119" t="s">
        <v>1746</v>
      </c>
      <c r="G119" t="str">
        <f>VLOOKUP(E119,기본!$F$3:$G$320,2,0)</f>
        <v>MNT</v>
      </c>
      <c r="H119" s="544">
        <v>429</v>
      </c>
      <c r="I119">
        <v>2.9229086069999997</v>
      </c>
    </row>
    <row r="120" spans="2:9">
      <c r="B120" s="545">
        <v>1</v>
      </c>
      <c r="C120" s="545" t="str">
        <f>VLOOKUP(D120,기본!$B$3:$C$90,2,0)</f>
        <v>삼성 VD</v>
      </c>
      <c r="D120" t="s">
        <v>1833</v>
      </c>
      <c r="E120" t="s">
        <v>2076</v>
      </c>
      <c r="F120" t="s">
        <v>1746</v>
      </c>
      <c r="G120" t="str">
        <f>VLOOKUP(E120,기본!$F$3:$G$320,2,0)</f>
        <v>MNT</v>
      </c>
      <c r="H120" s="544">
        <v>44</v>
      </c>
      <c r="I120">
        <v>0.29949876000000003</v>
      </c>
    </row>
    <row r="121" spans="2:9">
      <c r="B121" s="545">
        <v>1</v>
      </c>
      <c r="C121" s="545" t="str">
        <f>VLOOKUP(D121,기본!$B$3:$C$90,2,0)</f>
        <v>삼성 VD</v>
      </c>
      <c r="D121" t="s">
        <v>1833</v>
      </c>
      <c r="E121" t="s">
        <v>2078</v>
      </c>
      <c r="F121" t="s">
        <v>1746</v>
      </c>
      <c r="G121" t="str">
        <f>VLOOKUP(E121,기본!$F$3:$G$320,2,0)</f>
        <v>MNT</v>
      </c>
      <c r="H121" s="544">
        <v>293</v>
      </c>
      <c r="I121">
        <v>1.9954078649999996</v>
      </c>
    </row>
    <row r="122" spans="2:9">
      <c r="B122" s="545">
        <v>1</v>
      </c>
      <c r="C122" s="545" t="str">
        <f>VLOOKUP(D122,기본!$B$3:$C$90,2,0)</f>
        <v>삼성 VD</v>
      </c>
      <c r="D122" t="s">
        <v>1833</v>
      </c>
      <c r="E122" t="s">
        <v>2084</v>
      </c>
      <c r="F122" t="s">
        <v>1746</v>
      </c>
      <c r="G122" t="str">
        <f>VLOOKUP(E122,기본!$F$3:$G$320,2,0)</f>
        <v>MNT</v>
      </c>
      <c r="H122" s="544">
        <v>481</v>
      </c>
      <c r="I122">
        <v>3.2973264179999999</v>
      </c>
    </row>
    <row r="123" spans="2:9">
      <c r="B123" s="545">
        <v>1</v>
      </c>
      <c r="C123" s="545" t="str">
        <f>VLOOKUP(D123,기본!$B$3:$C$90,2,0)</f>
        <v>삼성 VD</v>
      </c>
      <c r="D123" t="s">
        <v>1833</v>
      </c>
      <c r="E123" t="s">
        <v>2088</v>
      </c>
      <c r="F123" t="s">
        <v>1747</v>
      </c>
      <c r="G123" t="str">
        <f>VLOOKUP(E123,기본!$F$3:$G$320,2,0)</f>
        <v>MNT</v>
      </c>
      <c r="H123" s="544">
        <v>35</v>
      </c>
      <c r="I123">
        <v>0.24197732999999999</v>
      </c>
    </row>
    <row r="124" spans="2:9">
      <c r="B124" s="545">
        <v>1</v>
      </c>
      <c r="C124" s="545" t="str">
        <f>VLOOKUP(D124,기본!$B$3:$C$90,2,0)</f>
        <v>삼성 VD</v>
      </c>
      <c r="D124" t="s">
        <v>1833</v>
      </c>
      <c r="E124" t="s">
        <v>2090</v>
      </c>
      <c r="F124" t="s">
        <v>1747</v>
      </c>
      <c r="G124" t="str">
        <f>VLOOKUP(E124,기본!$F$3:$G$320,2,0)</f>
        <v>MNT</v>
      </c>
      <c r="H124" s="544">
        <v>38</v>
      </c>
      <c r="I124">
        <v>0.26453084399999999</v>
      </c>
    </row>
    <row r="125" spans="2:9">
      <c r="B125" s="545">
        <v>1</v>
      </c>
      <c r="C125" s="545" t="str">
        <f>VLOOKUP(D125,기본!$B$3:$C$90,2,0)</f>
        <v>삼성 VD</v>
      </c>
      <c r="D125" t="s">
        <v>1833</v>
      </c>
      <c r="E125" t="s">
        <v>2104</v>
      </c>
      <c r="F125" t="s">
        <v>1747</v>
      </c>
      <c r="G125" t="str">
        <f>VLOOKUP(E125,기본!$F$3:$G$320,2,0)</f>
        <v>MNT</v>
      </c>
      <c r="H125" s="544">
        <v>52</v>
      </c>
      <c r="I125">
        <v>0.36422193599999997</v>
      </c>
    </row>
    <row r="126" spans="2:9">
      <c r="B126" s="545">
        <v>1</v>
      </c>
      <c r="C126" s="545" t="str">
        <f>VLOOKUP(D126,기본!$B$3:$C$90,2,0)</f>
        <v>삼성 VD</v>
      </c>
      <c r="D126" t="s">
        <v>1833</v>
      </c>
      <c r="E126" t="s">
        <v>2252</v>
      </c>
      <c r="F126" t="s">
        <v>2264</v>
      </c>
      <c r="G126" t="str">
        <f>VLOOKUP(E126,기본!$F$3:$G$320,2,0)</f>
        <v>MNT</v>
      </c>
      <c r="H126" s="544">
        <v>11816</v>
      </c>
      <c r="I126">
        <v>91.607353375999992</v>
      </c>
    </row>
    <row r="127" spans="2:9">
      <c r="B127" s="545">
        <v>1</v>
      </c>
      <c r="C127" s="545" t="str">
        <f>VLOOKUP(D127,기본!$B$3:$C$90,2,0)</f>
        <v>삼성 VD</v>
      </c>
      <c r="D127" t="s">
        <v>1833</v>
      </c>
      <c r="E127" t="s">
        <v>2265</v>
      </c>
      <c r="F127" t="s">
        <v>2266</v>
      </c>
      <c r="G127" t="str">
        <f>VLOOKUP(E127,기본!$F$3:$G$320,2,0)</f>
        <v>MNT</v>
      </c>
      <c r="H127" s="544">
        <v>1680</v>
      </c>
      <c r="I127">
        <v>14.045221399999999</v>
      </c>
    </row>
    <row r="128" spans="2:9">
      <c r="B128" s="545">
        <v>1</v>
      </c>
      <c r="C128" s="545" t="str">
        <f>VLOOKUP(D128,기본!$B$3:$C$90,2,0)</f>
        <v>삼성 VD</v>
      </c>
      <c r="D128" t="s">
        <v>1833</v>
      </c>
      <c r="E128" t="s">
        <v>2420</v>
      </c>
      <c r="F128" t="s">
        <v>2421</v>
      </c>
      <c r="G128" t="str">
        <f>VLOOKUP(E128,기본!$F$3:$G$320,2,0)</f>
        <v>MNT</v>
      </c>
      <c r="H128" s="544">
        <v>3920</v>
      </c>
      <c r="I128">
        <v>31.1106096</v>
      </c>
    </row>
    <row r="129" spans="2:9">
      <c r="B129" s="545">
        <v>1</v>
      </c>
      <c r="C129" s="545" t="str">
        <f>VLOOKUP(D129,기본!$B$3:$C$90,2,0)</f>
        <v>삼성 VD</v>
      </c>
      <c r="D129" t="s">
        <v>1833</v>
      </c>
      <c r="E129" t="s">
        <v>2422</v>
      </c>
      <c r="F129" t="s">
        <v>2423</v>
      </c>
      <c r="G129" t="str">
        <f>VLOOKUP(E129,기본!$F$3:$G$320,2,0)</f>
        <v>MNT</v>
      </c>
      <c r="H129" s="544">
        <v>448</v>
      </c>
      <c r="I129">
        <v>3.7336544000000003</v>
      </c>
    </row>
    <row r="130" spans="2:9">
      <c r="B130" s="545">
        <v>1</v>
      </c>
      <c r="C130" s="545" t="str">
        <f>VLOOKUP(D130,기본!$B$3:$C$90,2,0)</f>
        <v>삼성 VD</v>
      </c>
      <c r="D130" t="s">
        <v>1833</v>
      </c>
      <c r="E130" t="s">
        <v>2185</v>
      </c>
      <c r="F130" t="s">
        <v>2186</v>
      </c>
      <c r="G130" t="str">
        <f>VLOOKUP(E130,기본!$F$3:$G$320,2,0)</f>
        <v>MNT</v>
      </c>
      <c r="H130" s="544">
        <v>1248</v>
      </c>
      <c r="I130">
        <v>58.64502758399999</v>
      </c>
    </row>
    <row r="131" spans="2:9">
      <c r="B131" s="545">
        <v>1</v>
      </c>
      <c r="C131" s="545" t="str">
        <f>VLOOKUP(D131,기본!$B$3:$C$90,2,0)</f>
        <v>삼성 VD</v>
      </c>
      <c r="D131" t="s">
        <v>1833</v>
      </c>
      <c r="E131" t="s">
        <v>2414</v>
      </c>
      <c r="F131" t="s">
        <v>2415</v>
      </c>
      <c r="G131" t="str">
        <f>VLOOKUP(E131,기본!$F$3:$G$320,2,0)</f>
        <v>TV</v>
      </c>
      <c r="H131" s="544">
        <v>9386</v>
      </c>
      <c r="I131">
        <v>119.90732192000002</v>
      </c>
    </row>
    <row r="132" spans="2:9">
      <c r="B132" s="545">
        <v>1</v>
      </c>
      <c r="C132" s="545" t="str">
        <f>VLOOKUP(D132,기본!$B$3:$C$90,2,0)</f>
        <v>삼성 VD</v>
      </c>
      <c r="D132" t="s">
        <v>1833</v>
      </c>
      <c r="E132" t="s">
        <v>2441</v>
      </c>
      <c r="F132" t="s">
        <v>2438</v>
      </c>
      <c r="G132" t="str">
        <f>VLOOKUP(E132,기본!$F$3:$G$320,2,0)</f>
        <v>TV</v>
      </c>
      <c r="H132" s="544">
        <v>252</v>
      </c>
      <c r="I132">
        <v>3.3083567999999994</v>
      </c>
    </row>
    <row r="133" spans="2:9">
      <c r="B133" s="545">
        <v>1</v>
      </c>
      <c r="C133" s="545" t="str">
        <f>VLOOKUP(D133,기본!$B$3:$C$90,2,0)</f>
        <v>삼성 VD</v>
      </c>
      <c r="D133" t="s">
        <v>1833</v>
      </c>
      <c r="E133" t="s">
        <v>1841</v>
      </c>
      <c r="F133" t="s">
        <v>1842</v>
      </c>
      <c r="G133" t="str">
        <f>VLOOKUP(E133,기본!$F$3:$G$320,2,0)</f>
        <v>MNT</v>
      </c>
      <c r="H133" s="544">
        <v>378</v>
      </c>
      <c r="I133">
        <v>5.2128931859999996</v>
      </c>
    </row>
    <row r="134" spans="2:9">
      <c r="B134" s="545">
        <v>1</v>
      </c>
      <c r="C134" s="545" t="str">
        <f>VLOOKUP(D134,기본!$B$3:$C$90,2,0)</f>
        <v>삼성 VD</v>
      </c>
      <c r="D134" t="s">
        <v>1833</v>
      </c>
      <c r="E134" t="s">
        <v>676</v>
      </c>
      <c r="F134" t="s">
        <v>1790</v>
      </c>
      <c r="G134" t="str">
        <f>VLOOKUP(E134,기본!$F$3:$G$320,2,0)</f>
        <v>MNT</v>
      </c>
      <c r="H134" s="544">
        <v>270336</v>
      </c>
      <c r="I134">
        <v>927.84249104000003</v>
      </c>
    </row>
    <row r="135" spans="2:9">
      <c r="B135" s="545">
        <v>1</v>
      </c>
      <c r="C135" s="545" t="str">
        <f>VLOOKUP(D135,기본!$B$3:$C$90,2,0)</f>
        <v>삼성 VD</v>
      </c>
      <c r="D135" t="s">
        <v>1833</v>
      </c>
      <c r="E135" t="s">
        <v>677</v>
      </c>
      <c r="F135" t="s">
        <v>1848</v>
      </c>
      <c r="G135" t="str">
        <f>VLOOKUP(E135,기본!$F$3:$G$320,2,0)</f>
        <v>MNT</v>
      </c>
      <c r="H135" s="544">
        <v>87912</v>
      </c>
      <c r="I135">
        <v>386.09707012799998</v>
      </c>
    </row>
    <row r="136" spans="2:9">
      <c r="B136" s="545">
        <v>1</v>
      </c>
      <c r="C136" s="545" t="str">
        <f>VLOOKUP(D136,기본!$B$3:$C$90,2,0)</f>
        <v>삼성 VD</v>
      </c>
      <c r="D136" t="s">
        <v>1833</v>
      </c>
      <c r="E136" t="s">
        <v>2010</v>
      </c>
      <c r="F136" t="s">
        <v>2011</v>
      </c>
      <c r="G136" t="str">
        <f>VLOOKUP(E136,기본!$F$3:$G$320,2,0)</f>
        <v>MNT</v>
      </c>
      <c r="H136" s="544">
        <v>2596</v>
      </c>
      <c r="I136">
        <v>11.756462343999999</v>
      </c>
    </row>
    <row r="137" spans="2:9">
      <c r="B137" s="545">
        <v>1</v>
      </c>
      <c r="C137" s="545" t="str">
        <f>VLOOKUP(D137,기본!$B$3:$C$90,2,0)</f>
        <v>삼성 VD</v>
      </c>
      <c r="D137" t="s">
        <v>1833</v>
      </c>
      <c r="E137" t="s">
        <v>2267</v>
      </c>
      <c r="F137" t="s">
        <v>2267</v>
      </c>
      <c r="G137" t="str">
        <f>VLOOKUP(E137,기본!$F$3:$G$320,2,0)</f>
        <v>MNT</v>
      </c>
      <c r="H137" s="544">
        <v>1296</v>
      </c>
      <c r="I137">
        <v>24.444906623999998</v>
      </c>
    </row>
    <row r="138" spans="2:9">
      <c r="B138" s="545">
        <v>1</v>
      </c>
      <c r="C138" s="545" t="str">
        <f>VLOOKUP(D138,기본!$B$3:$C$90,2,0)</f>
        <v>삼성 VD</v>
      </c>
      <c r="D138" t="s">
        <v>1833</v>
      </c>
      <c r="E138" t="s">
        <v>2458</v>
      </c>
      <c r="F138" t="s">
        <v>2440</v>
      </c>
      <c r="G138" t="str">
        <f>VLOOKUP(E138,기본!$F$3:$G$320,2,0)</f>
        <v>TV</v>
      </c>
      <c r="H138" s="544">
        <v>9</v>
      </c>
      <c r="I138">
        <v>0.20015172000000001</v>
      </c>
    </row>
    <row r="139" spans="2:9">
      <c r="B139" s="545">
        <v>1</v>
      </c>
      <c r="C139" s="545" t="str">
        <f>VLOOKUP(D139,기본!$B$3:$C$90,2,0)</f>
        <v>삼성 생활가전</v>
      </c>
      <c r="D139" t="s">
        <v>1843</v>
      </c>
      <c r="E139" t="s">
        <v>2424</v>
      </c>
      <c r="F139" t="s">
        <v>2424</v>
      </c>
      <c r="G139" t="e">
        <f>VLOOKUP(E139,기본!$F$3:$G$320,2,0)</f>
        <v>#N/A</v>
      </c>
      <c r="H139" s="544">
        <v>8064</v>
      </c>
      <c r="I139">
        <v>54.528150600000011</v>
      </c>
    </row>
    <row r="140" spans="2:9">
      <c r="B140" s="545">
        <v>1</v>
      </c>
      <c r="C140" s="545" t="str">
        <f>VLOOKUP(D140,기본!$B$3:$C$90,2,0)</f>
        <v>삼성 생활가전</v>
      </c>
      <c r="D140" t="s">
        <v>1843</v>
      </c>
      <c r="E140" t="s">
        <v>1844</v>
      </c>
      <c r="F140" t="s">
        <v>1844</v>
      </c>
      <c r="G140" t="e">
        <f>VLOOKUP(E140,기본!$F$3:$G$320,2,0)</f>
        <v>#N/A</v>
      </c>
      <c r="H140" s="544">
        <v>44928</v>
      </c>
      <c r="I140">
        <v>345.05272857599999</v>
      </c>
    </row>
    <row r="141" spans="2:9">
      <c r="B141" s="545">
        <v>1</v>
      </c>
      <c r="C141" s="545" t="str">
        <f>VLOOKUP(D141,기본!$B$3:$C$90,2,0)</f>
        <v>삼성 생활가전</v>
      </c>
      <c r="D141" t="s">
        <v>1843</v>
      </c>
      <c r="E141" t="s">
        <v>2023</v>
      </c>
      <c r="F141" t="s">
        <v>2023</v>
      </c>
      <c r="G141" t="e">
        <f>VLOOKUP(E141,기본!$F$3:$G$320,2,0)</f>
        <v>#N/A</v>
      </c>
      <c r="H141" s="544">
        <v>3240</v>
      </c>
      <c r="I141">
        <v>25.416432719999996</v>
      </c>
    </row>
    <row r="142" spans="2:9">
      <c r="B142" s="545">
        <v>1</v>
      </c>
      <c r="C142" s="545" t="str">
        <f>VLOOKUP(D142,기본!$B$3:$C$90,2,0)</f>
        <v>삼성 생활가전</v>
      </c>
      <c r="D142" t="s">
        <v>1843</v>
      </c>
      <c r="E142" t="s">
        <v>1845</v>
      </c>
      <c r="F142" t="s">
        <v>1845</v>
      </c>
      <c r="G142" t="e">
        <f>VLOOKUP(E142,기본!$F$3:$G$320,2,0)</f>
        <v>#N/A</v>
      </c>
      <c r="H142" s="544">
        <v>864</v>
      </c>
      <c r="I142">
        <v>6.8029113599999995</v>
      </c>
    </row>
    <row r="143" spans="2:9">
      <c r="B143" s="545">
        <v>1</v>
      </c>
      <c r="C143" s="545" t="str">
        <f>VLOOKUP(D143,기본!$B$3:$C$90,2,0)</f>
        <v>삼성 생활가전</v>
      </c>
      <c r="D143" t="s">
        <v>1843</v>
      </c>
      <c r="E143" t="s">
        <v>2012</v>
      </c>
      <c r="F143" t="s">
        <v>2012</v>
      </c>
      <c r="G143" t="e">
        <f>VLOOKUP(E143,기본!$F$3:$G$320,2,0)</f>
        <v>#N/A</v>
      </c>
      <c r="H143" s="544">
        <v>576</v>
      </c>
      <c r="I143">
        <v>4.5111542399999998</v>
      </c>
    </row>
    <row r="144" spans="2:9">
      <c r="B144" s="545">
        <v>1</v>
      </c>
      <c r="C144" s="545" t="str">
        <f>VLOOKUP(D144,기본!$B$3:$C$90,2,0)</f>
        <v>삼성 생활가전</v>
      </c>
      <c r="D144" t="s">
        <v>1843</v>
      </c>
      <c r="E144" t="s">
        <v>2024</v>
      </c>
      <c r="F144" t="s">
        <v>2024</v>
      </c>
      <c r="G144" t="e">
        <f>VLOOKUP(E144,기본!$F$3:$G$320,2,0)</f>
        <v>#N/A</v>
      </c>
      <c r="H144" s="544">
        <v>1728</v>
      </c>
      <c r="I144">
        <v>14.031795456000001</v>
      </c>
    </row>
    <row r="145" spans="2:9">
      <c r="B145" s="545">
        <v>1</v>
      </c>
      <c r="C145" s="545" t="str">
        <f>VLOOKUP(D145,기본!$B$3:$C$90,2,0)</f>
        <v>삼성 생활가전</v>
      </c>
      <c r="D145" t="s">
        <v>1843</v>
      </c>
      <c r="E145" t="s">
        <v>1846</v>
      </c>
      <c r="F145" t="s">
        <v>1846</v>
      </c>
      <c r="G145" t="e">
        <f>VLOOKUP(E145,기본!$F$3:$G$320,2,0)</f>
        <v>#N/A</v>
      </c>
      <c r="H145" s="544">
        <v>12576</v>
      </c>
      <c r="I145">
        <v>105.75095011200001</v>
      </c>
    </row>
    <row r="146" spans="2:9">
      <c r="B146" s="545">
        <v>1</v>
      </c>
      <c r="C146" s="545" t="str">
        <f>VLOOKUP(D146,기본!$B$3:$C$90,2,0)</f>
        <v>삼성 생활가전</v>
      </c>
      <c r="D146" t="s">
        <v>1843</v>
      </c>
      <c r="E146" t="s">
        <v>2018</v>
      </c>
      <c r="F146" t="s">
        <v>2018</v>
      </c>
      <c r="G146" t="e">
        <f>VLOOKUP(E146,기본!$F$3:$G$320,2,0)</f>
        <v>#N/A</v>
      </c>
      <c r="H146" s="544">
        <v>630</v>
      </c>
      <c r="I146">
        <v>5.555466</v>
      </c>
    </row>
    <row r="147" spans="2:9">
      <c r="B147" s="545">
        <v>1</v>
      </c>
      <c r="C147" s="545" t="str">
        <f>VLOOKUP(D147,기본!$B$3:$C$90,2,0)</f>
        <v>삼성 생활가전</v>
      </c>
      <c r="D147" t="s">
        <v>1843</v>
      </c>
      <c r="E147" t="s">
        <v>1867</v>
      </c>
      <c r="F147" t="s">
        <v>1867</v>
      </c>
      <c r="G147" t="e">
        <f>VLOOKUP(E147,기본!$F$3:$G$320,2,0)</f>
        <v>#N/A</v>
      </c>
      <c r="H147" s="544">
        <v>1536</v>
      </c>
      <c r="I147">
        <v>13.444439039999999</v>
      </c>
    </row>
    <row r="148" spans="2:9">
      <c r="B148" s="545">
        <v>1</v>
      </c>
      <c r="C148" s="545" t="str">
        <f>VLOOKUP(D148,기본!$B$3:$C$90,2,0)</f>
        <v>삼성 생활가전</v>
      </c>
      <c r="D148" t="s">
        <v>1843</v>
      </c>
      <c r="E148" t="s">
        <v>2006</v>
      </c>
      <c r="F148" t="s">
        <v>2006</v>
      </c>
      <c r="G148" t="e">
        <f>VLOOKUP(E148,기본!$F$3:$G$320,2,0)</f>
        <v>#N/A</v>
      </c>
      <c r="H148" s="544">
        <v>101</v>
      </c>
      <c r="I148">
        <v>0.89056320000000011</v>
      </c>
    </row>
    <row r="149" spans="2:9">
      <c r="B149" s="545">
        <v>1</v>
      </c>
      <c r="C149" s="545" t="str">
        <f>VLOOKUP(D149,기본!$B$3:$C$90,2,0)</f>
        <v>삼성 생활가전</v>
      </c>
      <c r="D149" t="s">
        <v>1843</v>
      </c>
      <c r="E149" t="s">
        <v>2019</v>
      </c>
      <c r="F149" t="s">
        <v>2019</v>
      </c>
      <c r="G149" t="e">
        <f>VLOOKUP(E149,기본!$F$3:$G$320,2,0)</f>
        <v>#N/A</v>
      </c>
      <c r="H149" s="544">
        <v>1152</v>
      </c>
      <c r="I149">
        <v>10.243221119999999</v>
      </c>
    </row>
    <row r="150" spans="2:9">
      <c r="B150" s="545">
        <v>1</v>
      </c>
      <c r="C150" s="545" t="str">
        <f>VLOOKUP(D150,기본!$B$3:$C$90,2,0)</f>
        <v>MNT JDM</v>
      </c>
      <c r="D150" t="s">
        <v>1851</v>
      </c>
      <c r="E150" t="s">
        <v>676</v>
      </c>
      <c r="F150" t="s">
        <v>1971</v>
      </c>
      <c r="G150" t="str">
        <f>VLOOKUP(E150,기본!$F$3:$G$320,2,0)</f>
        <v>MNT</v>
      </c>
      <c r="H150" s="544">
        <v>8448</v>
      </c>
      <c r="I150">
        <v>41.953038336000006</v>
      </c>
    </row>
    <row r="151" spans="2:9">
      <c r="B151" s="545">
        <v>1</v>
      </c>
      <c r="C151" s="545" t="str">
        <f>VLOOKUP(D151,기본!$B$3:$C$90,2,0)</f>
        <v>MNT JDM</v>
      </c>
      <c r="D151" t="s">
        <v>1851</v>
      </c>
      <c r="E151" t="s">
        <v>1110</v>
      </c>
      <c r="F151" t="s">
        <v>2013</v>
      </c>
      <c r="G151" t="str">
        <f>VLOOKUP(E151,기본!$F$3:$G$320,2,0)</f>
        <v>MNT</v>
      </c>
      <c r="H151" s="544">
        <v>11616</v>
      </c>
      <c r="I151">
        <v>70.694604288000008</v>
      </c>
    </row>
    <row r="152" spans="2:9">
      <c r="B152" s="545">
        <v>1</v>
      </c>
      <c r="C152" s="545" t="str">
        <f>VLOOKUP(D152,기본!$B$3:$C$90,2,0)</f>
        <v>HP</v>
      </c>
      <c r="D152" t="s">
        <v>1852</v>
      </c>
      <c r="E152" t="s">
        <v>1247</v>
      </c>
      <c r="F152" t="s">
        <v>1243</v>
      </c>
      <c r="G152" t="e">
        <f>VLOOKUP(E152,기본!$F$3:$G$320,2,0)</f>
        <v>#N/A</v>
      </c>
      <c r="H152" s="544">
        <v>1152</v>
      </c>
      <c r="I152">
        <v>32.898389375999997</v>
      </c>
    </row>
    <row r="153" spans="2:9">
      <c r="B153" s="545">
        <v>1</v>
      </c>
      <c r="C153" s="545" t="str">
        <f>VLOOKUP(D153,기본!$B$3:$C$90,2,0)</f>
        <v>HP</v>
      </c>
      <c r="D153" t="s">
        <v>1852</v>
      </c>
      <c r="E153" t="s">
        <v>1248</v>
      </c>
      <c r="F153" t="s">
        <v>1244</v>
      </c>
      <c r="G153" t="e">
        <f>VLOOKUP(E153,기본!$F$3:$G$320,2,0)</f>
        <v>#N/A</v>
      </c>
      <c r="H153" s="544">
        <v>656</v>
      </c>
      <c r="I153">
        <v>23.078397887999998</v>
      </c>
    </row>
    <row r="154" spans="2:9">
      <c r="B154" s="545">
        <v>1</v>
      </c>
      <c r="C154" s="545" t="str">
        <f>VLOOKUP(D154,기본!$B$3:$C$90,2,0)</f>
        <v>HP</v>
      </c>
      <c r="D154" t="s">
        <v>1852</v>
      </c>
      <c r="E154" t="s">
        <v>1249</v>
      </c>
      <c r="F154" t="s">
        <v>1245</v>
      </c>
      <c r="G154" t="e">
        <f>VLOOKUP(E154,기본!$F$3:$G$320,2,0)</f>
        <v>#N/A</v>
      </c>
      <c r="H154" s="544">
        <v>960</v>
      </c>
      <c r="I154">
        <v>29.802146303999997</v>
      </c>
    </row>
    <row r="155" spans="2:9">
      <c r="B155" s="545">
        <v>1</v>
      </c>
      <c r="C155" s="545" t="str">
        <f>VLOOKUP(D155,기본!$B$3:$C$90,2,0)</f>
        <v>HP</v>
      </c>
      <c r="D155" t="s">
        <v>1852</v>
      </c>
      <c r="E155" t="s">
        <v>1853</v>
      </c>
      <c r="F155" t="s">
        <v>1854</v>
      </c>
      <c r="G155" t="e">
        <f>VLOOKUP(E155,기본!$F$3:$G$320,2,0)</f>
        <v>#N/A</v>
      </c>
      <c r="H155" s="544">
        <v>3760</v>
      </c>
      <c r="I155">
        <v>49.431710879999997</v>
      </c>
    </row>
    <row r="156" spans="2:9">
      <c r="B156" s="545">
        <v>1</v>
      </c>
      <c r="C156" s="545" t="str">
        <f>VLOOKUP(D156,기본!$B$3:$C$90,2,0)</f>
        <v>HP</v>
      </c>
      <c r="D156" t="s">
        <v>1852</v>
      </c>
      <c r="E156" t="s">
        <v>1972</v>
      </c>
      <c r="F156" t="s">
        <v>187</v>
      </c>
      <c r="G156" t="e">
        <f>VLOOKUP(E156,기본!$F$3:$G$320,2,0)</f>
        <v>#N/A</v>
      </c>
      <c r="H156" s="544">
        <v>6660</v>
      </c>
      <c r="I156">
        <v>34.00189056</v>
      </c>
    </row>
    <row r="157" spans="2:9">
      <c r="B157" s="545">
        <v>1</v>
      </c>
      <c r="C157" s="545" t="str">
        <f>VLOOKUP(D157,기본!$B$3:$C$90,2,0)</f>
        <v>HP</v>
      </c>
      <c r="D157" t="s">
        <v>1852</v>
      </c>
      <c r="E157" t="s">
        <v>1855</v>
      </c>
      <c r="F157" t="s">
        <v>642</v>
      </c>
      <c r="G157" t="e">
        <f>VLOOKUP(E157,기본!$F$3:$G$320,2,0)</f>
        <v>#N/A</v>
      </c>
      <c r="H157" s="544">
        <v>7200</v>
      </c>
      <c r="I157">
        <v>59.942957759999999</v>
      </c>
    </row>
    <row r="158" spans="2:9">
      <c r="B158" s="545">
        <v>1</v>
      </c>
      <c r="C158" s="545" t="str">
        <f>VLOOKUP(D158,기본!$B$3:$C$90,2,0)</f>
        <v>HP</v>
      </c>
      <c r="D158" t="s">
        <v>1852</v>
      </c>
      <c r="E158" t="s">
        <v>1856</v>
      </c>
      <c r="F158" t="s">
        <v>1857</v>
      </c>
      <c r="G158" t="e">
        <f>VLOOKUP(E158,기본!$F$3:$G$320,2,0)</f>
        <v>#N/A</v>
      </c>
      <c r="H158" s="544">
        <v>1680</v>
      </c>
      <c r="I158">
        <v>61.470380159999991</v>
      </c>
    </row>
    <row r="159" spans="2:9">
      <c r="B159" s="545">
        <v>1</v>
      </c>
      <c r="C159" s="545" t="str">
        <f>VLOOKUP(D159,기본!$B$3:$C$90,2,0)</f>
        <v>HP</v>
      </c>
      <c r="D159" t="s">
        <v>1852</v>
      </c>
      <c r="E159" t="s">
        <v>1858</v>
      </c>
      <c r="F159" t="s">
        <v>1859</v>
      </c>
      <c r="G159" t="e">
        <f>VLOOKUP(E159,기본!$F$3:$G$320,2,0)</f>
        <v>#N/A</v>
      </c>
      <c r="H159" s="544">
        <v>9870</v>
      </c>
      <c r="I159">
        <v>85.194729899999999</v>
      </c>
    </row>
    <row r="160" spans="2:9">
      <c r="B160" s="545">
        <v>1</v>
      </c>
      <c r="C160" s="545" t="str">
        <f>VLOOKUP(D160,기본!$B$3:$C$90,2,0)</f>
        <v>HP</v>
      </c>
      <c r="D160" t="s">
        <v>1852</v>
      </c>
      <c r="E160" t="s">
        <v>1860</v>
      </c>
      <c r="F160" t="s">
        <v>1861</v>
      </c>
      <c r="G160" t="e">
        <f>VLOOKUP(E160,기본!$F$3:$G$320,2,0)</f>
        <v>#N/A</v>
      </c>
      <c r="H160" s="544">
        <v>240</v>
      </c>
      <c r="I160">
        <v>3.9120782399999996</v>
      </c>
    </row>
    <row r="161" spans="2:9">
      <c r="B161" s="545">
        <v>1</v>
      </c>
      <c r="C161" s="545" t="str">
        <f>VLOOKUP(D161,기본!$B$3:$C$90,2,0)</f>
        <v>HP</v>
      </c>
      <c r="D161" t="s">
        <v>1852</v>
      </c>
      <c r="E161" t="s">
        <v>1973</v>
      </c>
      <c r="F161" t="s">
        <v>1974</v>
      </c>
      <c r="G161" t="e">
        <f>VLOOKUP(E161,기본!$F$3:$G$320,2,0)</f>
        <v>#N/A</v>
      </c>
      <c r="H161" s="544">
        <v>2304</v>
      </c>
      <c r="I161">
        <v>29.033391744000003</v>
      </c>
    </row>
    <row r="162" spans="2:9">
      <c r="B162" s="545">
        <v>1</v>
      </c>
      <c r="C162" s="545" t="str">
        <f>VLOOKUP(D162,기본!$B$3:$C$90,2,0)</f>
        <v>HP</v>
      </c>
      <c r="D162" t="s">
        <v>1852</v>
      </c>
      <c r="E162" t="s">
        <v>1989</v>
      </c>
      <c r="F162" t="s">
        <v>1990</v>
      </c>
      <c r="G162" t="e">
        <f>VLOOKUP(E162,기본!$F$3:$G$320,2,0)</f>
        <v>#N/A</v>
      </c>
      <c r="H162" s="544">
        <v>288</v>
      </c>
      <c r="I162">
        <v>10.820787839999999</v>
      </c>
    </row>
    <row r="163" spans="2:9">
      <c r="B163" s="545">
        <v>1</v>
      </c>
      <c r="C163" s="545" t="str">
        <f>VLOOKUP(D163,기본!$B$3:$C$90,2,0)</f>
        <v>HP</v>
      </c>
      <c r="D163" t="s">
        <v>1852</v>
      </c>
      <c r="E163" t="s">
        <v>1862</v>
      </c>
      <c r="F163" t="s">
        <v>1863</v>
      </c>
      <c r="G163" t="e">
        <f>VLOOKUP(E163,기본!$F$3:$G$320,2,0)</f>
        <v>#N/A</v>
      </c>
      <c r="H163" s="544">
        <v>240</v>
      </c>
      <c r="I163">
        <v>3.0647231999999995</v>
      </c>
    </row>
    <row r="164" spans="2:9">
      <c r="B164" s="545">
        <v>1</v>
      </c>
      <c r="C164" s="545" t="str">
        <f>VLOOKUP(D164,기본!$B$3:$C$90,2,0)</f>
        <v>HP</v>
      </c>
      <c r="D164" t="s">
        <v>1852</v>
      </c>
      <c r="E164" t="s">
        <v>1975</v>
      </c>
      <c r="F164" t="s">
        <v>1976</v>
      </c>
      <c r="G164" t="e">
        <f>VLOOKUP(E164,기본!$F$3:$G$320,2,0)</f>
        <v>#N/A</v>
      </c>
      <c r="H164" s="544">
        <v>240</v>
      </c>
      <c r="I164">
        <v>1.8632123999999999</v>
      </c>
    </row>
    <row r="165" spans="2:9">
      <c r="B165" s="545">
        <v>1</v>
      </c>
      <c r="C165" s="545" t="str">
        <f>VLOOKUP(D165,기본!$B$3:$C$90,2,0)</f>
        <v>코웨이</v>
      </c>
      <c r="D165" t="s">
        <v>1977</v>
      </c>
      <c r="E165" t="s">
        <v>821</v>
      </c>
      <c r="F165" t="s">
        <v>821</v>
      </c>
      <c r="G165" t="e">
        <f>VLOOKUP(E165,기본!$F$3:$G$320,2,0)</f>
        <v>#N/A</v>
      </c>
      <c r="H165" s="544">
        <v>1165</v>
      </c>
      <c r="I165">
        <v>3.8063835299999997</v>
      </c>
    </row>
    <row r="166" spans="2:9">
      <c r="B166" s="545">
        <v>1</v>
      </c>
      <c r="C166" s="545" t="str">
        <f>VLOOKUP(D166,기본!$B$3:$C$90,2,0)</f>
        <v>코웨이</v>
      </c>
      <c r="D166" t="s">
        <v>1977</v>
      </c>
      <c r="E166" t="s">
        <v>820</v>
      </c>
      <c r="F166" t="s">
        <v>820</v>
      </c>
      <c r="G166" t="e">
        <f>VLOOKUP(E166,기본!$F$3:$G$320,2,0)</f>
        <v>#N/A</v>
      </c>
      <c r="H166" s="544">
        <v>1165</v>
      </c>
      <c r="I166">
        <v>7.8654031350000011</v>
      </c>
    </row>
    <row r="167" spans="2:9">
      <c r="B167" s="545">
        <v>1</v>
      </c>
      <c r="C167" s="545" t="str">
        <f>VLOOKUP(D167,기본!$B$3:$C$90,2,0)</f>
        <v>코웨이</v>
      </c>
      <c r="D167" t="s">
        <v>1977</v>
      </c>
      <c r="E167" t="s">
        <v>1978</v>
      </c>
      <c r="F167" t="s">
        <v>1978</v>
      </c>
      <c r="G167" t="e">
        <f>VLOOKUP(E167,기본!$F$3:$G$320,2,0)</f>
        <v>#N/A</v>
      </c>
      <c r="H167" s="544">
        <v>1165</v>
      </c>
      <c r="I167">
        <v>8.0540036400000012</v>
      </c>
    </row>
    <row r="168" spans="2:9">
      <c r="B168" s="545">
        <v>1</v>
      </c>
      <c r="C168" s="545" t="str">
        <f>VLOOKUP(D168,기본!$B$3:$C$90,2,0)</f>
        <v>코웨이</v>
      </c>
      <c r="D168" t="s">
        <v>1977</v>
      </c>
      <c r="E168" t="s">
        <v>1988</v>
      </c>
      <c r="F168" t="s">
        <v>1988</v>
      </c>
      <c r="G168" t="e">
        <f>VLOOKUP(E168,기본!$F$3:$G$320,2,0)</f>
        <v>#N/A</v>
      </c>
      <c r="H168" s="544">
        <v>1165</v>
      </c>
      <c r="I168">
        <v>7.9159303500000009</v>
      </c>
    </row>
    <row r="169" spans="2:9">
      <c r="B169" s="545">
        <v>1</v>
      </c>
      <c r="C169" s="545" t="str">
        <f>VLOOKUP(D169,기본!$B$3:$C$90,2,0)</f>
        <v>경동나비엔</v>
      </c>
      <c r="D169" t="s">
        <v>1865</v>
      </c>
      <c r="E169" t="s">
        <v>224</v>
      </c>
      <c r="F169" t="s">
        <v>224</v>
      </c>
      <c r="G169" t="str">
        <f>VLOOKUP(E169,기본!$F$3:$G$320,2,0)</f>
        <v>기타</v>
      </c>
      <c r="H169" s="544">
        <v>0</v>
      </c>
      <c r="I169">
        <v>6.3920000000000003</v>
      </c>
    </row>
    <row r="170" spans="2:9">
      <c r="B170" s="545">
        <v>1</v>
      </c>
      <c r="C170" s="545" t="str">
        <f>VLOOKUP(D170,기본!$B$3:$C$90,2,0)</f>
        <v>삼성 생활가전</v>
      </c>
      <c r="D170" t="s">
        <v>1866</v>
      </c>
      <c r="E170" t="s">
        <v>1844</v>
      </c>
      <c r="F170" t="s">
        <v>1844</v>
      </c>
      <c r="G170" t="e">
        <f>VLOOKUP(E170,기본!$F$3:$G$320,2,0)</f>
        <v>#N/A</v>
      </c>
      <c r="H170" s="544">
        <v>1344</v>
      </c>
      <c r="I170">
        <v>10.12032</v>
      </c>
    </row>
    <row r="171" spans="2:9">
      <c r="B171" s="545">
        <v>1</v>
      </c>
      <c r="C171" s="545" t="str">
        <f>VLOOKUP(D171,기본!$B$3:$C$90,2,0)</f>
        <v>삼성 생활가전</v>
      </c>
      <c r="D171" t="s">
        <v>1866</v>
      </c>
      <c r="E171" t="s">
        <v>1867</v>
      </c>
      <c r="F171" t="s">
        <v>1867</v>
      </c>
      <c r="G171" t="e">
        <f>VLOOKUP(E171,기본!$F$3:$G$320,2,0)</f>
        <v>#N/A</v>
      </c>
      <c r="H171" s="544">
        <v>960</v>
      </c>
      <c r="I171">
        <v>7.7952000000000004</v>
      </c>
    </row>
    <row r="172" spans="2:9">
      <c r="B172" s="545">
        <v>1</v>
      </c>
      <c r="C172" s="545" t="str">
        <f>VLOOKUP(D172,기본!$B$3:$C$90,2,0)</f>
        <v>대덕</v>
      </c>
      <c r="D172" t="s">
        <v>1868</v>
      </c>
      <c r="E172" t="s">
        <v>2060</v>
      </c>
      <c r="F172" t="s">
        <v>2060</v>
      </c>
      <c r="G172" t="e">
        <f>VLOOKUP(E172,기본!$F$3:$G$320,2,0)</f>
        <v>#N/A</v>
      </c>
      <c r="H172" s="544">
        <v>200</v>
      </c>
      <c r="I172">
        <v>1.5611379999999999</v>
      </c>
    </row>
    <row r="173" spans="2:9">
      <c r="B173" s="545">
        <v>1</v>
      </c>
      <c r="C173" s="545" t="str">
        <f>VLOOKUP(D173,기본!$B$3:$C$90,2,0)</f>
        <v>대덕</v>
      </c>
      <c r="D173" t="s">
        <v>1868</v>
      </c>
      <c r="E173" t="s">
        <v>2459</v>
      </c>
      <c r="F173" t="s">
        <v>2459</v>
      </c>
      <c r="G173" t="e">
        <f>VLOOKUP(E173,기본!$F$3:$G$320,2,0)</f>
        <v>#N/A</v>
      </c>
      <c r="H173" s="544">
        <v>28</v>
      </c>
      <c r="I173">
        <v>0.61132680000000006</v>
      </c>
    </row>
    <row r="174" spans="2:9">
      <c r="B174" s="545">
        <v>1</v>
      </c>
      <c r="C174" s="545" t="str">
        <f>VLOOKUP(D174,기본!$B$3:$C$90,2,0)</f>
        <v>대덕</v>
      </c>
      <c r="D174" t="s">
        <v>1868</v>
      </c>
      <c r="E174" t="s">
        <v>2460</v>
      </c>
      <c r="F174" t="s">
        <v>2460</v>
      </c>
      <c r="G174" t="e">
        <f>VLOOKUP(E174,기본!$F$3:$G$320,2,0)</f>
        <v>#N/A</v>
      </c>
      <c r="H174" s="544">
        <v>200</v>
      </c>
      <c r="I174">
        <v>6.0019619999999998</v>
      </c>
    </row>
    <row r="175" spans="2:9">
      <c r="B175" s="545">
        <v>1</v>
      </c>
      <c r="C175" s="545" t="str">
        <f>VLOOKUP(D175,기본!$B$3:$C$90,2,0)</f>
        <v>대덕</v>
      </c>
      <c r="D175" t="s">
        <v>1868</v>
      </c>
      <c r="E175" t="s">
        <v>2461</v>
      </c>
      <c r="F175" t="s">
        <v>2461</v>
      </c>
      <c r="G175" t="e">
        <f>VLOOKUP(E175,기본!$F$3:$G$320,2,0)</f>
        <v>#N/A</v>
      </c>
      <c r="H175" s="544">
        <v>200</v>
      </c>
      <c r="I175">
        <v>6.3986679999999998</v>
      </c>
    </row>
    <row r="176" spans="2:9">
      <c r="B176" s="545">
        <v>1</v>
      </c>
      <c r="C176" s="545" t="str">
        <f>VLOOKUP(D176,기본!$B$3:$C$90,2,0)</f>
        <v>대덕</v>
      </c>
      <c r="D176" t="s">
        <v>1868</v>
      </c>
      <c r="E176" t="s">
        <v>2425</v>
      </c>
      <c r="F176" t="s">
        <v>2425</v>
      </c>
      <c r="G176" t="e">
        <f>VLOOKUP(E176,기본!$F$3:$G$320,2,0)</f>
        <v>#N/A</v>
      </c>
      <c r="H176" s="544">
        <v>200</v>
      </c>
      <c r="I176">
        <v>3.18221</v>
      </c>
    </row>
    <row r="177" spans="2:9">
      <c r="B177" s="545">
        <v>1</v>
      </c>
      <c r="C177" s="545" t="str">
        <f>VLOOKUP(D177,기본!$B$3:$C$90,2,0)</f>
        <v>대덕</v>
      </c>
      <c r="D177" t="s">
        <v>1870</v>
      </c>
      <c r="E177" t="s">
        <v>2230</v>
      </c>
      <c r="F177" t="s">
        <v>2230</v>
      </c>
      <c r="G177" t="e">
        <f>VLOOKUP(E177,기본!$F$3:$G$320,2,0)</f>
        <v>#N/A</v>
      </c>
      <c r="H177" s="544">
        <v>1470</v>
      </c>
      <c r="I177">
        <v>8.5798740299999992</v>
      </c>
    </row>
    <row r="178" spans="2:9">
      <c r="B178" s="545">
        <v>1</v>
      </c>
      <c r="C178" s="545" t="str">
        <f>VLOOKUP(D178,기본!$B$3:$C$90,2,0)</f>
        <v>대덕</v>
      </c>
      <c r="D178" t="s">
        <v>1870</v>
      </c>
      <c r="E178" t="s">
        <v>2055</v>
      </c>
      <c r="F178" t="s">
        <v>2055</v>
      </c>
      <c r="G178" t="e">
        <f>VLOOKUP(E178,기본!$F$3:$G$320,2,0)</f>
        <v>#N/A</v>
      </c>
      <c r="H178" s="544">
        <v>1200</v>
      </c>
      <c r="I178">
        <v>6.9344603999999999</v>
      </c>
    </row>
    <row r="179" spans="2:9">
      <c r="B179" s="545">
        <v>1</v>
      </c>
      <c r="C179" s="545" t="str">
        <f>VLOOKUP(D179,기본!$B$3:$C$90,2,0)</f>
        <v>대덕</v>
      </c>
      <c r="D179" t="s">
        <v>1870</v>
      </c>
      <c r="E179" t="s">
        <v>2039</v>
      </c>
      <c r="F179" t="s">
        <v>2039</v>
      </c>
      <c r="G179" t="e">
        <f>VLOOKUP(E179,기본!$F$3:$G$320,2,0)</f>
        <v>#N/A</v>
      </c>
      <c r="H179" s="544">
        <v>3000</v>
      </c>
      <c r="I179">
        <v>17.336151000000001</v>
      </c>
    </row>
    <row r="180" spans="2:9">
      <c r="B180" s="545">
        <v>1</v>
      </c>
      <c r="C180" s="545" t="str">
        <f>VLOOKUP(D180,기본!$B$3:$C$90,2,0)</f>
        <v>대덕</v>
      </c>
      <c r="D180" t="s">
        <v>1870</v>
      </c>
      <c r="E180" t="s">
        <v>2025</v>
      </c>
      <c r="F180" t="s">
        <v>2025</v>
      </c>
      <c r="G180" t="e">
        <f>VLOOKUP(E180,기본!$F$3:$G$320,2,0)</f>
        <v>#N/A</v>
      </c>
      <c r="H180" s="544">
        <v>700</v>
      </c>
      <c r="I180">
        <v>4.0451018999999997</v>
      </c>
    </row>
    <row r="181" spans="2:9">
      <c r="B181" s="545">
        <v>1</v>
      </c>
      <c r="C181" s="545" t="str">
        <f>VLOOKUP(D181,기본!$B$3:$C$90,2,0)</f>
        <v>대덕</v>
      </c>
      <c r="D181" t="s">
        <v>1870</v>
      </c>
      <c r="E181" t="s">
        <v>2462</v>
      </c>
      <c r="F181" t="s">
        <v>2462</v>
      </c>
      <c r="G181" t="e">
        <f>VLOOKUP(E181,기본!$F$3:$G$320,2,0)</f>
        <v>#N/A</v>
      </c>
      <c r="H181" s="544">
        <v>109</v>
      </c>
      <c r="I181">
        <v>0.90837111999999987</v>
      </c>
    </row>
    <row r="182" spans="2:9">
      <c r="B182" s="545">
        <v>1</v>
      </c>
      <c r="C182" s="545" t="str">
        <f>VLOOKUP(D182,기본!$B$3:$C$90,2,0)</f>
        <v>대덕</v>
      </c>
      <c r="D182" t="s">
        <v>1870</v>
      </c>
      <c r="E182" t="s">
        <v>2060</v>
      </c>
      <c r="F182" t="s">
        <v>2060</v>
      </c>
      <c r="G182" t="e">
        <f>VLOOKUP(E182,기본!$F$3:$G$320,2,0)</f>
        <v>#N/A</v>
      </c>
      <c r="H182" s="544">
        <v>200</v>
      </c>
      <c r="I182">
        <v>1.6064296</v>
      </c>
    </row>
    <row r="183" spans="2:9">
      <c r="B183" s="545">
        <v>1</v>
      </c>
      <c r="C183" s="545" t="str">
        <f>VLOOKUP(D183,기본!$B$3:$C$90,2,0)</f>
        <v>대덕</v>
      </c>
      <c r="D183" t="s">
        <v>1870</v>
      </c>
      <c r="E183" t="s">
        <v>2188</v>
      </c>
      <c r="F183" t="s">
        <v>2188</v>
      </c>
      <c r="G183" t="e">
        <f>VLOOKUP(E183,기본!$F$3:$G$320,2,0)</f>
        <v>#N/A</v>
      </c>
      <c r="H183" s="544">
        <v>173</v>
      </c>
      <c r="I183">
        <v>3.0663526860000001</v>
      </c>
    </row>
    <row r="184" spans="2:9">
      <c r="B184" s="545">
        <v>1</v>
      </c>
      <c r="C184" s="545" t="str">
        <f>VLOOKUP(D184,기본!$B$3:$C$90,2,0)</f>
        <v>대덕</v>
      </c>
      <c r="D184" t="s">
        <v>1870</v>
      </c>
      <c r="E184" t="s">
        <v>2459</v>
      </c>
      <c r="F184" t="s">
        <v>2459</v>
      </c>
      <c r="G184" t="e">
        <f>VLOOKUP(E184,기본!$F$3:$G$320,2,0)</f>
        <v>#N/A</v>
      </c>
      <c r="H184" s="544">
        <v>80</v>
      </c>
      <c r="I184">
        <v>1.7486063999999999</v>
      </c>
    </row>
    <row r="185" spans="2:9">
      <c r="B185" s="545">
        <v>1</v>
      </c>
      <c r="C185" s="545" t="str">
        <f>VLOOKUP(D185,기본!$B$3:$C$90,2,0)</f>
        <v>대덕</v>
      </c>
      <c r="D185" t="s">
        <v>1870</v>
      </c>
      <c r="E185" t="s">
        <v>2253</v>
      </c>
      <c r="F185" t="s">
        <v>2253</v>
      </c>
      <c r="G185" t="e">
        <f>VLOOKUP(E185,기본!$F$3:$G$320,2,0)</f>
        <v>#N/A</v>
      </c>
      <c r="H185" s="544">
        <v>108</v>
      </c>
      <c r="I185">
        <v>2.3579748000000005</v>
      </c>
    </row>
    <row r="186" spans="2:9">
      <c r="B186" s="545">
        <v>1</v>
      </c>
      <c r="C186" s="545" t="str">
        <f>VLOOKUP(D186,기본!$B$3:$C$90,2,0)</f>
        <v>대덕</v>
      </c>
      <c r="D186" t="s">
        <v>1870</v>
      </c>
      <c r="E186" t="s">
        <v>2254</v>
      </c>
      <c r="F186" t="s">
        <v>2254</v>
      </c>
      <c r="G186" t="e">
        <f>VLOOKUP(E186,기본!$F$3:$G$320,2,0)</f>
        <v>#N/A</v>
      </c>
      <c r="H186" s="544">
        <v>2000</v>
      </c>
      <c r="I186">
        <v>45.588928799999998</v>
      </c>
    </row>
    <row r="187" spans="2:9">
      <c r="B187" s="545">
        <v>1</v>
      </c>
      <c r="C187" s="545" t="str">
        <f>VLOOKUP(D187,기본!$B$3:$C$90,2,0)</f>
        <v>대덕</v>
      </c>
      <c r="D187" t="s">
        <v>1870</v>
      </c>
      <c r="E187" t="s">
        <v>2463</v>
      </c>
      <c r="F187" t="s">
        <v>2463</v>
      </c>
      <c r="G187" t="e">
        <f>VLOOKUP(E187,기본!$F$3:$G$320,2,0)</f>
        <v>#N/A</v>
      </c>
      <c r="H187" s="544">
        <v>830</v>
      </c>
      <c r="I187">
        <v>22.833535000000001</v>
      </c>
    </row>
    <row r="188" spans="2:9">
      <c r="B188" s="545">
        <v>1</v>
      </c>
      <c r="C188" s="545" t="str">
        <f>VLOOKUP(D188,기본!$B$3:$C$90,2,0)</f>
        <v>대덕</v>
      </c>
      <c r="D188" t="s">
        <v>1870</v>
      </c>
      <c r="E188" t="s">
        <v>2166</v>
      </c>
      <c r="F188" t="s">
        <v>2166</v>
      </c>
      <c r="G188" t="e">
        <f>VLOOKUP(E188,기본!$F$3:$G$320,2,0)</f>
        <v>#N/A</v>
      </c>
      <c r="H188" s="544">
        <v>3000</v>
      </c>
      <c r="I188">
        <v>70.371804999999995</v>
      </c>
    </row>
    <row r="189" spans="2:9">
      <c r="B189" s="545">
        <v>1</v>
      </c>
      <c r="C189" s="545" t="str">
        <f>VLOOKUP(D189,기본!$B$3:$C$90,2,0)</f>
        <v>대덕</v>
      </c>
      <c r="D189" t="s">
        <v>1870</v>
      </c>
      <c r="E189" t="s">
        <v>2464</v>
      </c>
      <c r="F189" t="s">
        <v>2464</v>
      </c>
      <c r="G189" t="e">
        <f>VLOOKUP(E189,기본!$F$3:$G$320,2,0)</f>
        <v>#N/A</v>
      </c>
      <c r="H189" s="544">
        <v>500</v>
      </c>
      <c r="I189">
        <v>11.916066000000001</v>
      </c>
    </row>
    <row r="190" spans="2:9">
      <c r="B190" s="545">
        <v>1</v>
      </c>
      <c r="C190" s="545" t="str">
        <f>VLOOKUP(D190,기본!$B$3:$C$90,2,0)</f>
        <v>대덕</v>
      </c>
      <c r="D190" t="s">
        <v>1870</v>
      </c>
      <c r="E190" t="s">
        <v>2167</v>
      </c>
      <c r="F190" t="s">
        <v>2167</v>
      </c>
      <c r="G190" t="e">
        <f>VLOOKUP(E190,기본!$F$3:$G$320,2,0)</f>
        <v>#N/A</v>
      </c>
      <c r="H190" s="544">
        <v>92</v>
      </c>
      <c r="I190">
        <v>2.09660548</v>
      </c>
    </row>
    <row r="191" spans="2:9">
      <c r="B191" s="545">
        <v>1</v>
      </c>
      <c r="C191" s="545" t="str">
        <f>VLOOKUP(D191,기본!$B$3:$C$90,2,0)</f>
        <v>대덕</v>
      </c>
      <c r="D191" t="s">
        <v>1870</v>
      </c>
      <c r="E191" t="s">
        <v>2168</v>
      </c>
      <c r="F191" t="s">
        <v>2168</v>
      </c>
      <c r="G191" t="e">
        <f>VLOOKUP(E191,기본!$F$3:$G$320,2,0)</f>
        <v>#N/A</v>
      </c>
      <c r="H191" s="544">
        <v>2305</v>
      </c>
      <c r="I191">
        <v>54.676808190000003</v>
      </c>
    </row>
    <row r="192" spans="2:9">
      <c r="B192" s="545">
        <v>1</v>
      </c>
      <c r="C192" s="545" t="str">
        <f>VLOOKUP(D192,기본!$B$3:$C$90,2,0)</f>
        <v>대덕</v>
      </c>
      <c r="D192" t="s">
        <v>1870</v>
      </c>
      <c r="E192" t="s">
        <v>2255</v>
      </c>
      <c r="F192" t="s">
        <v>2255</v>
      </c>
      <c r="G192" t="e">
        <f>VLOOKUP(E192,기본!$F$3:$G$320,2,0)</f>
        <v>#N/A</v>
      </c>
      <c r="H192" s="544">
        <v>990</v>
      </c>
      <c r="I192">
        <v>22.872098699999999</v>
      </c>
    </row>
    <row r="193" spans="2:9">
      <c r="B193" s="545">
        <v>1</v>
      </c>
      <c r="C193" s="545" t="str">
        <f>VLOOKUP(D193,기본!$B$3:$C$90,2,0)</f>
        <v>대덕</v>
      </c>
      <c r="D193" t="s">
        <v>1870</v>
      </c>
      <c r="E193" t="s">
        <v>2465</v>
      </c>
      <c r="F193" t="s">
        <v>2465</v>
      </c>
      <c r="G193" t="e">
        <f>VLOOKUP(E193,기본!$F$3:$G$320,2,0)</f>
        <v>#N/A</v>
      </c>
      <c r="H193" s="544">
        <v>920</v>
      </c>
      <c r="I193">
        <v>27.123274400000003</v>
      </c>
    </row>
    <row r="194" spans="2:9">
      <c r="B194" s="545">
        <v>1</v>
      </c>
      <c r="C194" s="545" t="str">
        <f>VLOOKUP(D194,기본!$B$3:$C$90,2,0)</f>
        <v>대덕</v>
      </c>
      <c r="D194" t="s">
        <v>1870</v>
      </c>
      <c r="E194" t="s">
        <v>2056</v>
      </c>
      <c r="F194" t="s">
        <v>2056</v>
      </c>
      <c r="G194" t="e">
        <f>VLOOKUP(E194,기본!$F$3:$G$320,2,0)</f>
        <v>#N/A</v>
      </c>
      <c r="H194" s="544">
        <v>600</v>
      </c>
      <c r="I194">
        <v>0.82195200000000002</v>
      </c>
    </row>
    <row r="195" spans="2:9">
      <c r="B195" s="545">
        <v>1</v>
      </c>
      <c r="C195" s="545" t="str">
        <f>VLOOKUP(D195,기본!$B$3:$C$90,2,0)</f>
        <v>대덕</v>
      </c>
      <c r="D195" t="s">
        <v>1870</v>
      </c>
      <c r="E195" t="s">
        <v>934</v>
      </c>
      <c r="F195" t="s">
        <v>934</v>
      </c>
      <c r="G195" t="e">
        <f>VLOOKUP(E195,기본!$F$3:$G$320,2,0)</f>
        <v>#N/A</v>
      </c>
      <c r="H195" s="544">
        <v>600</v>
      </c>
      <c r="I195">
        <v>0.83422079999999998</v>
      </c>
    </row>
    <row r="196" spans="2:9">
      <c r="B196" s="545">
        <v>1</v>
      </c>
      <c r="C196" s="545" t="str">
        <f>VLOOKUP(D196,기본!$B$3:$C$90,2,0)</f>
        <v>대덕</v>
      </c>
      <c r="D196" t="s">
        <v>1870</v>
      </c>
      <c r="E196" t="s">
        <v>2057</v>
      </c>
      <c r="F196" t="s">
        <v>2057</v>
      </c>
      <c r="G196" t="e">
        <f>VLOOKUP(E196,기본!$F$3:$G$320,2,0)</f>
        <v>#N/A</v>
      </c>
      <c r="H196" s="544">
        <v>1000</v>
      </c>
      <c r="I196">
        <v>1.4482999999999999</v>
      </c>
    </row>
    <row r="197" spans="2:9">
      <c r="B197" s="545">
        <v>1</v>
      </c>
      <c r="C197" s="545" t="str">
        <f>VLOOKUP(D197,기본!$B$3:$C$90,2,0)</f>
        <v>대덕</v>
      </c>
      <c r="D197" t="s">
        <v>1870</v>
      </c>
      <c r="E197" t="s">
        <v>935</v>
      </c>
      <c r="F197" t="s">
        <v>935</v>
      </c>
      <c r="G197" t="e">
        <f>VLOOKUP(E197,기본!$F$3:$G$320,2,0)</f>
        <v>#N/A</v>
      </c>
      <c r="H197" s="544">
        <v>2000</v>
      </c>
      <c r="I197">
        <v>2.8753000000000002</v>
      </c>
    </row>
    <row r="198" spans="2:9">
      <c r="B198" s="545">
        <v>1</v>
      </c>
      <c r="C198" s="545" t="str">
        <f>VLOOKUP(D198,기본!$B$3:$C$90,2,0)</f>
        <v>대덕</v>
      </c>
      <c r="D198" t="s">
        <v>1870</v>
      </c>
      <c r="E198" t="s">
        <v>2189</v>
      </c>
      <c r="F198" t="s">
        <v>2189</v>
      </c>
      <c r="G198" t="e">
        <f>VLOOKUP(E198,기본!$F$3:$G$320,2,0)</f>
        <v>#N/A</v>
      </c>
      <c r="H198" s="544">
        <v>200</v>
      </c>
      <c r="I198">
        <v>0.3099362</v>
      </c>
    </row>
    <row r="199" spans="2:9">
      <c r="B199" s="545">
        <v>1</v>
      </c>
      <c r="C199" s="545" t="str">
        <f>VLOOKUP(D199,기본!$B$3:$C$90,2,0)</f>
        <v>대덕</v>
      </c>
      <c r="D199" t="s">
        <v>1870</v>
      </c>
      <c r="E199" t="s">
        <v>936</v>
      </c>
      <c r="F199" t="s">
        <v>936</v>
      </c>
      <c r="G199" t="e">
        <f>VLOOKUP(E199,기본!$F$3:$G$320,2,0)</f>
        <v>#N/A</v>
      </c>
      <c r="H199" s="544">
        <v>500</v>
      </c>
      <c r="I199">
        <v>0.77484050000000004</v>
      </c>
    </row>
    <row r="200" spans="2:9">
      <c r="B200" s="545">
        <v>1</v>
      </c>
      <c r="C200" s="545" t="str">
        <f>VLOOKUP(D200,기본!$B$3:$C$90,2,0)</f>
        <v>대덕</v>
      </c>
      <c r="D200" t="s">
        <v>1870</v>
      </c>
      <c r="E200" t="s">
        <v>2314</v>
      </c>
      <c r="F200" t="s">
        <v>2314</v>
      </c>
      <c r="G200" t="e">
        <f>VLOOKUP(E200,기본!$F$3:$G$320,2,0)</f>
        <v>#N/A</v>
      </c>
      <c r="H200" s="544">
        <v>100</v>
      </c>
      <c r="I200">
        <v>0.16076130000000002</v>
      </c>
    </row>
    <row r="201" spans="2:9">
      <c r="B201" s="545">
        <v>1</v>
      </c>
      <c r="C201" s="545" t="str">
        <f>VLOOKUP(D201,기본!$B$3:$C$90,2,0)</f>
        <v>대덕</v>
      </c>
      <c r="D201" t="s">
        <v>1870</v>
      </c>
      <c r="E201" t="s">
        <v>937</v>
      </c>
      <c r="F201" t="s">
        <v>937</v>
      </c>
      <c r="G201" t="e">
        <f>VLOOKUP(E201,기본!$F$3:$G$320,2,0)</f>
        <v>#N/A</v>
      </c>
      <c r="H201" s="544">
        <v>300</v>
      </c>
      <c r="I201">
        <v>0.4822839000000001</v>
      </c>
    </row>
    <row r="202" spans="2:9">
      <c r="B202" s="545">
        <v>1</v>
      </c>
      <c r="C202" s="545" t="str">
        <f>VLOOKUP(D202,기본!$B$3:$C$90,2,0)</f>
        <v>대덕</v>
      </c>
      <c r="D202" t="s">
        <v>1870</v>
      </c>
      <c r="E202" t="s">
        <v>2256</v>
      </c>
      <c r="F202" t="s">
        <v>2256</v>
      </c>
      <c r="G202" t="e">
        <f>VLOOKUP(E202,기본!$F$3:$G$320,2,0)</f>
        <v>#N/A</v>
      </c>
      <c r="H202" s="544">
        <v>70</v>
      </c>
      <c r="I202">
        <v>0.13686435</v>
      </c>
    </row>
    <row r="203" spans="2:9">
      <c r="B203" s="545">
        <v>1</v>
      </c>
      <c r="C203" s="545" t="str">
        <f>VLOOKUP(D203,기본!$B$3:$C$90,2,0)</f>
        <v>대덕</v>
      </c>
      <c r="D203" t="s">
        <v>1870</v>
      </c>
      <c r="E203" t="s">
        <v>2231</v>
      </c>
      <c r="F203" t="s">
        <v>2231</v>
      </c>
      <c r="G203" t="e">
        <f>VLOOKUP(E203,기본!$F$3:$G$320,2,0)</f>
        <v>#N/A</v>
      </c>
      <c r="H203" s="544">
        <v>1000</v>
      </c>
      <c r="I203">
        <v>1.9552050000000001</v>
      </c>
    </row>
    <row r="204" spans="2:9">
      <c r="B204" s="545">
        <v>1</v>
      </c>
      <c r="C204" s="545" t="str">
        <f>VLOOKUP(D204,기본!$B$3:$C$90,2,0)</f>
        <v>대덕</v>
      </c>
      <c r="D204" t="s">
        <v>1870</v>
      </c>
      <c r="E204" t="s">
        <v>2007</v>
      </c>
      <c r="F204" t="s">
        <v>2007</v>
      </c>
      <c r="G204" t="e">
        <f>VLOOKUP(E204,기본!$F$3:$G$320,2,0)</f>
        <v>#N/A</v>
      </c>
      <c r="H204" s="544">
        <v>1050</v>
      </c>
      <c r="I204">
        <v>11.207669549999999</v>
      </c>
    </row>
    <row r="205" spans="2:9">
      <c r="B205" s="545">
        <v>1</v>
      </c>
      <c r="C205" s="545" t="str">
        <f>VLOOKUP(D205,기본!$B$3:$C$90,2,0)</f>
        <v>대덕</v>
      </c>
      <c r="D205" t="s">
        <v>1870</v>
      </c>
      <c r="E205" t="s">
        <v>1869</v>
      </c>
      <c r="F205" t="s">
        <v>1869</v>
      </c>
      <c r="G205" t="e">
        <f>VLOOKUP(E205,기본!$F$3:$G$320,2,0)</f>
        <v>#N/A</v>
      </c>
      <c r="H205" s="544">
        <v>2000</v>
      </c>
      <c r="I205">
        <v>25.484597999999998</v>
      </c>
    </row>
    <row r="206" spans="2:9">
      <c r="B206" s="545">
        <v>1</v>
      </c>
      <c r="C206" s="545" t="str">
        <f>VLOOKUP(D206,기본!$B$3:$C$90,2,0)</f>
        <v>대덕</v>
      </c>
      <c r="D206" t="s">
        <v>1870</v>
      </c>
      <c r="E206" t="s">
        <v>2232</v>
      </c>
      <c r="F206" t="s">
        <v>2232</v>
      </c>
      <c r="G206" t="e">
        <f>VLOOKUP(E206,기본!$F$3:$G$320,2,0)</f>
        <v>#N/A</v>
      </c>
      <c r="H206" s="544">
        <v>200</v>
      </c>
      <c r="I206">
        <v>2.7401835999999999</v>
      </c>
    </row>
    <row r="207" spans="2:9">
      <c r="B207" s="545">
        <v>1</v>
      </c>
      <c r="C207" s="545" t="str">
        <f>VLOOKUP(D207,기본!$B$3:$C$90,2,0)</f>
        <v>대덕</v>
      </c>
      <c r="D207" t="s">
        <v>1870</v>
      </c>
      <c r="E207" t="s">
        <v>1507</v>
      </c>
      <c r="F207" t="s">
        <v>1507</v>
      </c>
      <c r="G207" t="e">
        <f>VLOOKUP(E207,기본!$F$3:$G$320,2,0)</f>
        <v>#N/A</v>
      </c>
      <c r="H207" s="544">
        <v>146</v>
      </c>
      <c r="I207">
        <v>4.0432755159999996</v>
      </c>
    </row>
    <row r="208" spans="2:9">
      <c r="B208" s="545">
        <v>1</v>
      </c>
      <c r="C208" s="545" t="str">
        <f>VLOOKUP(D208,기본!$B$3:$C$90,2,0)</f>
        <v>대덕</v>
      </c>
      <c r="D208" t="s">
        <v>1870</v>
      </c>
      <c r="E208" t="s">
        <v>2460</v>
      </c>
      <c r="F208" t="s">
        <v>2460</v>
      </c>
      <c r="G208" t="e">
        <f>VLOOKUP(E208,기본!$F$3:$G$320,2,0)</f>
        <v>#N/A</v>
      </c>
      <c r="H208" s="544">
        <v>300</v>
      </c>
      <c r="I208">
        <v>9.2641356000000012</v>
      </c>
    </row>
    <row r="209" spans="2:9">
      <c r="B209" s="545">
        <v>1</v>
      </c>
      <c r="C209" s="545" t="str">
        <f>VLOOKUP(D209,기본!$B$3:$C$90,2,0)</f>
        <v>대덕</v>
      </c>
      <c r="D209" t="s">
        <v>1870</v>
      </c>
      <c r="E209" t="s">
        <v>1511</v>
      </c>
      <c r="F209" t="s">
        <v>1511</v>
      </c>
      <c r="G209" t="e">
        <f>VLOOKUP(E209,기본!$F$3:$G$320,2,0)</f>
        <v>#N/A</v>
      </c>
      <c r="H209" s="544">
        <v>100</v>
      </c>
      <c r="I209">
        <v>3.2950673999999998</v>
      </c>
    </row>
    <row r="210" spans="2:9">
      <c r="B210" s="545">
        <v>1</v>
      </c>
      <c r="C210" s="545" t="str">
        <f>VLOOKUP(D210,기본!$B$3:$C$90,2,0)</f>
        <v>대덕</v>
      </c>
      <c r="D210" t="s">
        <v>1870</v>
      </c>
      <c r="E210" t="s">
        <v>1512</v>
      </c>
      <c r="F210" t="s">
        <v>1512</v>
      </c>
      <c r="G210" t="e">
        <f>VLOOKUP(E210,기본!$F$3:$G$320,2,0)</f>
        <v>#N/A</v>
      </c>
      <c r="H210" s="544">
        <v>100</v>
      </c>
      <c r="I210">
        <v>3.2941257600000005</v>
      </c>
    </row>
    <row r="211" spans="2:9">
      <c r="B211" s="545">
        <v>1</v>
      </c>
      <c r="C211" s="545" t="str">
        <f>VLOOKUP(D211,기본!$B$3:$C$90,2,0)</f>
        <v>대덕</v>
      </c>
      <c r="D211" t="s">
        <v>1870</v>
      </c>
      <c r="E211" t="s">
        <v>2461</v>
      </c>
      <c r="F211" t="s">
        <v>2461</v>
      </c>
      <c r="G211" t="e">
        <f>VLOOKUP(E211,기본!$F$3:$G$320,2,0)</f>
        <v>#N/A</v>
      </c>
      <c r="H211" s="544">
        <v>300</v>
      </c>
      <c r="I211">
        <v>9.8852022000000019</v>
      </c>
    </row>
    <row r="212" spans="2:9">
      <c r="B212" s="545">
        <v>1</v>
      </c>
      <c r="C212" s="545" t="str">
        <f>VLOOKUP(D212,기본!$B$3:$C$90,2,0)</f>
        <v>대덕</v>
      </c>
      <c r="D212" t="s">
        <v>1870</v>
      </c>
      <c r="E212" t="s">
        <v>2466</v>
      </c>
      <c r="F212" t="s">
        <v>2466</v>
      </c>
      <c r="G212" t="e">
        <f>VLOOKUP(E212,기본!$F$3:$G$320,2,0)</f>
        <v>#N/A</v>
      </c>
      <c r="H212" s="544">
        <v>500</v>
      </c>
      <c r="I212">
        <v>17.635484000000002</v>
      </c>
    </row>
    <row r="213" spans="2:9">
      <c r="B213" s="545">
        <v>1</v>
      </c>
      <c r="C213" s="545" t="str">
        <f>VLOOKUP(D213,기본!$B$3:$C$90,2,0)</f>
        <v>대덕</v>
      </c>
      <c r="D213" t="s">
        <v>1870</v>
      </c>
      <c r="E213" t="s">
        <v>1513</v>
      </c>
      <c r="F213" t="s">
        <v>1513</v>
      </c>
      <c r="G213" t="e">
        <f>VLOOKUP(E213,기본!$F$3:$G$320,2,0)</f>
        <v>#N/A</v>
      </c>
      <c r="H213" s="544">
        <v>500</v>
      </c>
      <c r="I213">
        <v>6.4740285000000002</v>
      </c>
    </row>
    <row r="214" spans="2:9">
      <c r="B214" s="545">
        <v>1</v>
      </c>
      <c r="C214" s="545" t="str">
        <f>VLOOKUP(D214,기본!$B$3:$C$90,2,0)</f>
        <v>대덕</v>
      </c>
      <c r="D214" t="s">
        <v>1870</v>
      </c>
      <c r="E214" t="s">
        <v>1515</v>
      </c>
      <c r="F214" t="s">
        <v>1515</v>
      </c>
      <c r="G214" t="e">
        <f>VLOOKUP(E214,기본!$F$3:$G$320,2,0)</f>
        <v>#N/A</v>
      </c>
      <c r="H214" s="544">
        <v>1500</v>
      </c>
      <c r="I214">
        <v>19.422085500000001</v>
      </c>
    </row>
    <row r="215" spans="2:9">
      <c r="B215" s="545">
        <v>1</v>
      </c>
      <c r="C215" s="545" t="str">
        <f>VLOOKUP(D215,기본!$B$3:$C$90,2,0)</f>
        <v>대덕</v>
      </c>
      <c r="D215" t="s">
        <v>1870</v>
      </c>
      <c r="E215" t="s">
        <v>1516</v>
      </c>
      <c r="F215" t="s">
        <v>1516</v>
      </c>
      <c r="G215" t="e">
        <f>VLOOKUP(E215,기본!$F$3:$G$320,2,0)</f>
        <v>#N/A</v>
      </c>
      <c r="H215" s="544">
        <v>500</v>
      </c>
      <c r="I215">
        <v>7.1059995000000002</v>
      </c>
    </row>
    <row r="216" spans="2:9">
      <c r="B216" s="545">
        <v>1</v>
      </c>
      <c r="C216" s="545" t="str">
        <f>VLOOKUP(D216,기본!$B$3:$C$90,2,0)</f>
        <v>대덕</v>
      </c>
      <c r="D216" t="s">
        <v>1870</v>
      </c>
      <c r="E216" t="s">
        <v>2425</v>
      </c>
      <c r="F216" t="s">
        <v>2425</v>
      </c>
      <c r="G216" t="e">
        <f>VLOOKUP(E216,기본!$F$3:$G$320,2,0)</f>
        <v>#N/A</v>
      </c>
      <c r="H216" s="544">
        <v>100</v>
      </c>
      <c r="I216">
        <v>1.6372660000000001</v>
      </c>
    </row>
    <row r="217" spans="2:9">
      <c r="B217" s="545">
        <v>1</v>
      </c>
      <c r="C217" s="545" t="str">
        <f>VLOOKUP(D217,기본!$B$3:$C$90,2,0)</f>
        <v>대덕</v>
      </c>
      <c r="D217" t="s">
        <v>1870</v>
      </c>
      <c r="E217" t="s">
        <v>2315</v>
      </c>
      <c r="F217" t="s">
        <v>2315</v>
      </c>
      <c r="G217" t="e">
        <f>VLOOKUP(E217,기본!$F$3:$G$320,2,0)</f>
        <v>#N/A</v>
      </c>
      <c r="H217" s="544">
        <v>45</v>
      </c>
      <c r="I217">
        <v>0.71021790000000007</v>
      </c>
    </row>
    <row r="218" spans="2:9">
      <c r="B218" s="545">
        <v>1</v>
      </c>
      <c r="C218" s="545" t="str">
        <f>VLOOKUP(D218,기본!$B$3:$C$90,2,0)</f>
        <v>대덕</v>
      </c>
      <c r="D218" t="s">
        <v>1870</v>
      </c>
      <c r="E218" t="s">
        <v>2190</v>
      </c>
      <c r="F218" t="s">
        <v>2190</v>
      </c>
      <c r="G218" t="e">
        <f>VLOOKUP(E218,기본!$F$3:$G$320,2,0)</f>
        <v>#N/A</v>
      </c>
      <c r="H218" s="544">
        <v>3000</v>
      </c>
      <c r="I218">
        <v>47.347859999999997</v>
      </c>
    </row>
    <row r="219" spans="2:9">
      <c r="B219" s="545">
        <v>1</v>
      </c>
      <c r="C219" s="545" t="str">
        <f>VLOOKUP(D219,기본!$B$3:$C$90,2,0)</f>
        <v>대덕</v>
      </c>
      <c r="D219" t="s">
        <v>1870</v>
      </c>
      <c r="E219" t="s">
        <v>2187</v>
      </c>
      <c r="F219" t="s">
        <v>2187</v>
      </c>
      <c r="G219" t="e">
        <f>VLOOKUP(E219,기본!$F$3:$G$320,2,0)</f>
        <v>#N/A</v>
      </c>
      <c r="H219" s="544">
        <v>1000</v>
      </c>
      <c r="I219">
        <v>16.254881999999998</v>
      </c>
    </row>
    <row r="220" spans="2:9">
      <c r="B220" s="545">
        <v>1</v>
      </c>
      <c r="C220" s="545" t="str">
        <f>VLOOKUP(D220,기본!$B$3:$C$90,2,0)</f>
        <v>코웨이</v>
      </c>
      <c r="D220" t="s">
        <v>1979</v>
      </c>
      <c r="E220" t="s">
        <v>1980</v>
      </c>
      <c r="F220" t="s">
        <v>1980</v>
      </c>
      <c r="G220" t="e">
        <f>VLOOKUP(E220,기본!$F$3:$G$320,2,0)</f>
        <v>#N/A</v>
      </c>
      <c r="H220" s="544">
        <v>1000</v>
      </c>
      <c r="I220">
        <v>5.2430000000000003</v>
      </c>
    </row>
    <row r="221" spans="2:9">
      <c r="B221" s="545">
        <v>1</v>
      </c>
      <c r="C221" s="545" t="str">
        <f>VLOOKUP(D221,기본!$B$3:$C$90,2,0)</f>
        <v>삼성 생활가전</v>
      </c>
      <c r="D221" t="s">
        <v>2404</v>
      </c>
      <c r="E221" t="s">
        <v>1293</v>
      </c>
      <c r="F221" t="s">
        <v>1293</v>
      </c>
      <c r="G221" t="e">
        <f>VLOOKUP(E221,기본!$F$3:$G$320,2,0)</f>
        <v>#N/A</v>
      </c>
      <c r="H221" s="544">
        <v>360</v>
      </c>
      <c r="I221">
        <v>4.9320000000000004</v>
      </c>
    </row>
    <row r="222" spans="2:9">
      <c r="B222" s="545">
        <v>1</v>
      </c>
      <c r="C222" s="545" t="str">
        <f>VLOOKUP(D222,기본!$B$3:$C$90,2,0)</f>
        <v>삼성 생활가전</v>
      </c>
      <c r="D222" t="s">
        <v>2404</v>
      </c>
      <c r="E222" t="s">
        <v>1882</v>
      </c>
      <c r="F222" t="s">
        <v>1882</v>
      </c>
      <c r="G222" t="e">
        <f>VLOOKUP(E222,기본!$F$3:$G$320,2,0)</f>
        <v>#N/A</v>
      </c>
      <c r="H222" s="544">
        <v>4880</v>
      </c>
      <c r="I222">
        <v>33.086399999999998</v>
      </c>
    </row>
    <row r="223" spans="2:9">
      <c r="B223" s="545">
        <v>1</v>
      </c>
      <c r="C223" s="545" t="str">
        <f>VLOOKUP(D223,기본!$B$3:$C$90,2,0)</f>
        <v>코웨이</v>
      </c>
      <c r="D223" t="s">
        <v>2405</v>
      </c>
      <c r="E223" t="s">
        <v>2316</v>
      </c>
      <c r="F223" t="s">
        <v>2316</v>
      </c>
      <c r="G223" t="e">
        <f>VLOOKUP(E223,기본!$F$3:$G$320,2,0)</f>
        <v>#N/A</v>
      </c>
      <c r="H223" s="544">
        <v>13160</v>
      </c>
      <c r="I223">
        <v>72.945880000000002</v>
      </c>
    </row>
    <row r="224" spans="2:9">
      <c r="B224" s="545">
        <v>1</v>
      </c>
      <c r="C224" s="545" t="str">
        <f>VLOOKUP(D224,기본!$B$3:$C$90,2,0)</f>
        <v>상품A</v>
      </c>
      <c r="D224" t="s">
        <v>2296</v>
      </c>
      <c r="E224" t="s">
        <v>2297</v>
      </c>
      <c r="F224" t="s">
        <v>2297</v>
      </c>
      <c r="G224" t="e">
        <f>VLOOKUP(E224,기본!$F$3:$G$320,2,0)</f>
        <v>#N/A</v>
      </c>
      <c r="H224" s="544">
        <v>25</v>
      </c>
      <c r="I224">
        <v>0.65</v>
      </c>
    </row>
    <row r="225" spans="2:9">
      <c r="B225" s="545">
        <v>1</v>
      </c>
      <c r="C225" s="545" t="str">
        <f>VLOOKUP(D225,기본!$B$3:$C$90,2,0)</f>
        <v>상품A</v>
      </c>
      <c r="D225" t="s">
        <v>2296</v>
      </c>
      <c r="E225" t="s">
        <v>2302</v>
      </c>
      <c r="F225" t="s">
        <v>2302</v>
      </c>
      <c r="G225" t="e">
        <f>VLOOKUP(E225,기본!$F$3:$G$320,2,0)</f>
        <v>#N/A</v>
      </c>
      <c r="H225" s="544">
        <v>25</v>
      </c>
      <c r="I225">
        <v>0.65</v>
      </c>
    </row>
    <row r="226" spans="2:9">
      <c r="B226" s="545">
        <v>1</v>
      </c>
      <c r="C226" s="545" t="str">
        <f>VLOOKUP(D226,기본!$B$3:$C$90,2,0)</f>
        <v>머큐리</v>
      </c>
      <c r="D226" t="s">
        <v>1872</v>
      </c>
      <c r="E226" t="s">
        <v>2191</v>
      </c>
      <c r="F226" t="s">
        <v>2191</v>
      </c>
      <c r="G226" t="e">
        <f>VLOOKUP(E226,기본!$F$3:$G$320,2,0)</f>
        <v>#N/A</v>
      </c>
      <c r="H226" s="544">
        <v>1080</v>
      </c>
      <c r="I226">
        <v>2.9905200000000001</v>
      </c>
    </row>
    <row r="227" spans="2:9">
      <c r="B227" s="545">
        <v>1</v>
      </c>
      <c r="C227" s="545" t="str">
        <f>VLOOKUP(D227,기본!$B$3:$C$90,2,0)</f>
        <v>머큐리</v>
      </c>
      <c r="D227" t="s">
        <v>1872</v>
      </c>
      <c r="E227" t="s">
        <v>2330</v>
      </c>
      <c r="F227" t="s">
        <v>2330</v>
      </c>
      <c r="G227" t="e">
        <f>VLOOKUP(E227,기본!$F$3:$G$320,2,0)</f>
        <v>#N/A</v>
      </c>
      <c r="H227" s="544">
        <v>8448</v>
      </c>
      <c r="I227">
        <v>22.556159999999998</v>
      </c>
    </row>
    <row r="228" spans="2:9">
      <c r="B228" s="545">
        <v>1</v>
      </c>
      <c r="C228" s="545" t="str">
        <f>VLOOKUP(D228,기본!$B$3:$C$90,2,0)</f>
        <v>삼성 VD</v>
      </c>
      <c r="D228" t="s">
        <v>1873</v>
      </c>
      <c r="E228" t="s">
        <v>1119</v>
      </c>
      <c r="F228" t="s">
        <v>1798</v>
      </c>
      <c r="G228" t="str">
        <f>VLOOKUP(E228,기본!$F$3:$G$320,2,0)</f>
        <v>TV</v>
      </c>
      <c r="H228" s="544">
        <v>30</v>
      </c>
      <c r="I228">
        <v>0.9422549400000001</v>
      </c>
    </row>
    <row r="229" spans="2:9">
      <c r="B229" s="545">
        <v>1</v>
      </c>
      <c r="C229" s="545" t="str">
        <f>VLOOKUP(D229,기본!$B$3:$C$90,2,0)</f>
        <v>삼성 VD</v>
      </c>
      <c r="D229" t="s">
        <v>1873</v>
      </c>
      <c r="E229" t="s">
        <v>1118</v>
      </c>
      <c r="F229" t="s">
        <v>1779</v>
      </c>
      <c r="G229" t="str">
        <f>VLOOKUP(E229,기본!$F$3:$G$320,2,0)</f>
        <v>TV</v>
      </c>
      <c r="H229" s="544">
        <v>72</v>
      </c>
      <c r="I229">
        <v>2.0130426720000001</v>
      </c>
    </row>
    <row r="230" spans="2:9">
      <c r="B230" s="545">
        <v>1</v>
      </c>
      <c r="C230" s="545" t="str">
        <f>VLOOKUP(D230,기본!$B$3:$C$90,2,0)</f>
        <v>삼성 VD</v>
      </c>
      <c r="D230" t="s">
        <v>1873</v>
      </c>
      <c r="E230" t="s">
        <v>2414</v>
      </c>
      <c r="F230" t="s">
        <v>2415</v>
      </c>
      <c r="G230" t="str">
        <f>VLOOKUP(E230,기본!$F$3:$G$320,2,0)</f>
        <v>TV</v>
      </c>
      <c r="H230" s="544">
        <v>10</v>
      </c>
      <c r="I230">
        <v>0.12894320000000001</v>
      </c>
    </row>
    <row r="231" spans="2:9">
      <c r="B231" s="545">
        <v>1</v>
      </c>
      <c r="C231" s="545" t="str">
        <f>VLOOKUP(D231,기본!$B$3:$C$90,2,0)</f>
        <v>삼성 VD</v>
      </c>
      <c r="D231" t="s">
        <v>1873</v>
      </c>
      <c r="E231" t="s">
        <v>2441</v>
      </c>
      <c r="F231" t="s">
        <v>2438</v>
      </c>
      <c r="G231" t="str">
        <f>VLOOKUP(E231,기본!$F$3:$G$320,2,0)</f>
        <v>TV</v>
      </c>
      <c r="H231" s="544">
        <v>40</v>
      </c>
      <c r="I231">
        <v>0.56206307999999994</v>
      </c>
    </row>
    <row r="232" spans="2:9">
      <c r="B232" s="545">
        <v>1</v>
      </c>
      <c r="C232" s="545" t="str">
        <f>VLOOKUP(D232,기본!$B$3:$C$90,2,0)</f>
        <v>삼성 VD</v>
      </c>
      <c r="D232" t="s">
        <v>1873</v>
      </c>
      <c r="E232" t="s">
        <v>2442</v>
      </c>
      <c r="F232" t="s">
        <v>2439</v>
      </c>
      <c r="G232" t="str">
        <f>VLOOKUP(E232,기본!$F$3:$G$320,2,0)</f>
        <v>TV</v>
      </c>
      <c r="H232" s="544">
        <v>5</v>
      </c>
      <c r="I232">
        <v>8.0843039999999991E-2</v>
      </c>
    </row>
    <row r="233" spans="2:9">
      <c r="B233" s="545">
        <v>1</v>
      </c>
      <c r="C233" s="545" t="str">
        <f>VLOOKUP(D233,기본!$B$3:$C$90,2,0)</f>
        <v>삼성 VD</v>
      </c>
      <c r="D233" t="s">
        <v>1873</v>
      </c>
      <c r="E233" t="s">
        <v>2010</v>
      </c>
      <c r="F233" t="s">
        <v>2011</v>
      </c>
      <c r="G233" t="str">
        <f>VLOOKUP(E233,기본!$F$3:$G$320,2,0)</f>
        <v>MNT</v>
      </c>
      <c r="H233" s="544">
        <v>300</v>
      </c>
      <c r="I233">
        <v>1.3783794</v>
      </c>
    </row>
    <row r="234" spans="2:9">
      <c r="B234" s="545">
        <v>1</v>
      </c>
      <c r="C234" s="545" t="str">
        <f>VLOOKUP(D234,기본!$B$3:$C$90,2,0)</f>
        <v>삼성 VD</v>
      </c>
      <c r="D234" t="s">
        <v>1873</v>
      </c>
      <c r="E234" t="s">
        <v>2458</v>
      </c>
      <c r="F234" t="s">
        <v>2440</v>
      </c>
      <c r="G234" t="str">
        <f>VLOOKUP(E234,기본!$F$3:$G$320,2,0)</f>
        <v>TV</v>
      </c>
      <c r="H234" s="544">
        <v>246</v>
      </c>
      <c r="I234">
        <v>5.6309643500000011</v>
      </c>
    </row>
    <row r="235" spans="2:9">
      <c r="B235" s="545">
        <v>1</v>
      </c>
      <c r="C235" s="545" t="str">
        <f>VLOOKUP(D235,기본!$B$3:$C$90,2,0)</f>
        <v>삼성 VD</v>
      </c>
      <c r="D235" t="s">
        <v>1873</v>
      </c>
      <c r="E235" t="s">
        <v>224</v>
      </c>
      <c r="F235" t="s">
        <v>224</v>
      </c>
      <c r="G235" t="str">
        <f>VLOOKUP(E235,기본!$F$3:$G$320,2,0)</f>
        <v>기타</v>
      </c>
      <c r="H235" s="544">
        <v>0</v>
      </c>
      <c r="I235">
        <v>26.638024000000001</v>
      </c>
    </row>
    <row r="236" spans="2:9">
      <c r="B236" s="545">
        <v>1</v>
      </c>
      <c r="C236" s="545" t="str">
        <f>VLOOKUP(D236,기본!$B$3:$C$90,2,0)</f>
        <v>삼성 생활가전</v>
      </c>
      <c r="D236" t="s">
        <v>1874</v>
      </c>
      <c r="E236" t="s">
        <v>1067</v>
      </c>
      <c r="F236" t="s">
        <v>1067</v>
      </c>
      <c r="G236" t="e">
        <f>VLOOKUP(E236,기본!$F$3:$G$320,2,0)</f>
        <v>#N/A</v>
      </c>
      <c r="H236" s="544">
        <v>7</v>
      </c>
      <c r="I236">
        <v>5.8590000000000003E-2</v>
      </c>
    </row>
    <row r="237" spans="2:9">
      <c r="B237" s="545">
        <v>1</v>
      </c>
      <c r="C237" s="545" t="str">
        <f>VLOOKUP(D237,기본!$B$3:$C$90,2,0)</f>
        <v>삼성 생활가전</v>
      </c>
      <c r="D237" t="s">
        <v>1874</v>
      </c>
      <c r="E237" t="s">
        <v>680</v>
      </c>
      <c r="F237" t="s">
        <v>680</v>
      </c>
      <c r="G237" t="e">
        <f>VLOOKUP(E237,기본!$F$3:$G$320,2,0)</f>
        <v>#N/A</v>
      </c>
      <c r="H237" s="544">
        <v>1974</v>
      </c>
      <c r="I237">
        <v>15.772259999999999</v>
      </c>
    </row>
    <row r="238" spans="2:9">
      <c r="B238" s="545">
        <v>1</v>
      </c>
      <c r="C238" s="545" t="str">
        <f>VLOOKUP(D238,기본!$B$3:$C$90,2,0)</f>
        <v>삼성 생활가전</v>
      </c>
      <c r="D238" t="s">
        <v>1874</v>
      </c>
      <c r="E238" t="s">
        <v>2233</v>
      </c>
      <c r="F238" t="s">
        <v>2233</v>
      </c>
      <c r="G238" t="e">
        <f>VLOOKUP(E238,기본!$F$3:$G$320,2,0)</f>
        <v>#N/A</v>
      </c>
      <c r="H238" s="544">
        <v>1792</v>
      </c>
      <c r="I238">
        <v>24.942005759999997</v>
      </c>
    </row>
    <row r="239" spans="2:9">
      <c r="B239" s="545">
        <v>1</v>
      </c>
      <c r="C239" s="545" t="str">
        <f>VLOOKUP(D239,기본!$B$3:$C$90,2,0)</f>
        <v>삼성 생활가전</v>
      </c>
      <c r="D239" t="s">
        <v>1874</v>
      </c>
      <c r="E239" t="s">
        <v>1875</v>
      </c>
      <c r="F239" t="s">
        <v>1875</v>
      </c>
      <c r="G239" t="e">
        <f>VLOOKUP(E239,기본!$F$3:$G$320,2,0)</f>
        <v>#N/A</v>
      </c>
      <c r="H239" s="544">
        <v>3080</v>
      </c>
      <c r="I239">
        <v>18.326000000000001</v>
      </c>
    </row>
    <row r="240" spans="2:9">
      <c r="B240" s="545">
        <v>1</v>
      </c>
      <c r="C240" s="545" t="str">
        <f>VLOOKUP(D240,기본!$B$3:$C$90,2,0)</f>
        <v>삼성 생활가전</v>
      </c>
      <c r="D240" t="s">
        <v>1874</v>
      </c>
      <c r="E240" t="s">
        <v>1876</v>
      </c>
      <c r="F240" t="s">
        <v>1876</v>
      </c>
      <c r="G240" t="e">
        <f>VLOOKUP(E240,기본!$F$3:$G$320,2,0)</f>
        <v>#N/A</v>
      </c>
      <c r="H240" s="544">
        <v>3160</v>
      </c>
      <c r="I240">
        <v>18.770400000000002</v>
      </c>
    </row>
    <row r="241" spans="2:9">
      <c r="B241" s="545">
        <v>1</v>
      </c>
      <c r="C241" s="545" t="str">
        <f>VLOOKUP(D241,기본!$B$3:$C$90,2,0)</f>
        <v>삼성 생활가전</v>
      </c>
      <c r="D241" t="s">
        <v>1874</v>
      </c>
      <c r="E241" t="s">
        <v>1877</v>
      </c>
      <c r="F241" t="s">
        <v>1877</v>
      </c>
      <c r="G241" t="e">
        <f>VLOOKUP(E241,기본!$F$3:$G$320,2,0)</f>
        <v>#N/A</v>
      </c>
      <c r="H241" s="544">
        <v>2080</v>
      </c>
      <c r="I241">
        <v>12.272</v>
      </c>
    </row>
    <row r="242" spans="2:9">
      <c r="B242" s="545">
        <v>1</v>
      </c>
      <c r="C242" s="545" t="str">
        <f>VLOOKUP(D242,기본!$B$3:$C$90,2,0)</f>
        <v>삼성 생활가전</v>
      </c>
      <c r="D242" t="s">
        <v>1874</v>
      </c>
      <c r="E242" t="s">
        <v>1878</v>
      </c>
      <c r="F242" t="s">
        <v>1878</v>
      </c>
      <c r="G242" t="e">
        <f>VLOOKUP(E242,기본!$F$3:$G$320,2,0)</f>
        <v>#N/A</v>
      </c>
      <c r="H242" s="544">
        <v>5080</v>
      </c>
      <c r="I242">
        <v>30.37332</v>
      </c>
    </row>
    <row r="243" spans="2:9">
      <c r="B243" s="545">
        <v>1</v>
      </c>
      <c r="C243" s="545" t="str">
        <f>VLOOKUP(D243,기본!$B$3:$C$90,2,0)</f>
        <v>삼성 생활가전</v>
      </c>
      <c r="D243" t="s">
        <v>1874</v>
      </c>
      <c r="E243" t="s">
        <v>1879</v>
      </c>
      <c r="F243" t="s">
        <v>1879</v>
      </c>
      <c r="G243" t="e">
        <f>VLOOKUP(E243,기본!$F$3:$G$320,2,0)</f>
        <v>#N/A</v>
      </c>
      <c r="H243" s="544">
        <v>480</v>
      </c>
      <c r="I243">
        <v>2.8319999999999999</v>
      </c>
    </row>
    <row r="244" spans="2:9">
      <c r="B244" s="545">
        <v>1</v>
      </c>
      <c r="C244" s="545" t="str">
        <f>VLOOKUP(D244,기본!$B$3:$C$90,2,0)</f>
        <v>삼성 생활가전</v>
      </c>
      <c r="D244" t="s">
        <v>1874</v>
      </c>
      <c r="E244" t="s">
        <v>1880</v>
      </c>
      <c r="F244" t="s">
        <v>1880</v>
      </c>
      <c r="G244" t="e">
        <f>VLOOKUP(E244,기본!$F$3:$G$320,2,0)</f>
        <v>#N/A</v>
      </c>
      <c r="H244" s="544">
        <v>1440</v>
      </c>
      <c r="I244">
        <v>7.8768000000000002</v>
      </c>
    </row>
    <row r="245" spans="2:9">
      <c r="B245" s="545">
        <v>1</v>
      </c>
      <c r="C245" s="545" t="str">
        <f>VLOOKUP(D245,기본!$B$3:$C$90,2,0)</f>
        <v>삼성 생활가전</v>
      </c>
      <c r="D245" t="s">
        <v>1874</v>
      </c>
      <c r="E245" t="s">
        <v>2299</v>
      </c>
      <c r="F245" t="s">
        <v>2299</v>
      </c>
      <c r="G245" t="e">
        <f>VLOOKUP(E245,기본!$F$3:$G$320,2,0)</f>
        <v>#N/A</v>
      </c>
      <c r="H245" s="544">
        <v>92160</v>
      </c>
      <c r="I245">
        <v>277.66918656000001</v>
      </c>
    </row>
    <row r="246" spans="2:9">
      <c r="B246" s="545">
        <v>1</v>
      </c>
      <c r="C246" s="545" t="str">
        <f>VLOOKUP(D246,기본!$B$3:$C$90,2,0)</f>
        <v>삼성 생활가전</v>
      </c>
      <c r="D246" t="s">
        <v>1874</v>
      </c>
      <c r="E246" t="s">
        <v>1881</v>
      </c>
      <c r="F246" t="s">
        <v>1881</v>
      </c>
      <c r="G246" t="e">
        <f>VLOOKUP(E246,기본!$F$3:$G$320,2,0)</f>
        <v>#N/A</v>
      </c>
      <c r="H246" s="544">
        <v>2880</v>
      </c>
      <c r="I246">
        <v>28.451519999999999</v>
      </c>
    </row>
    <row r="247" spans="2:9">
      <c r="B247" s="545">
        <v>1</v>
      </c>
      <c r="C247" s="545" t="str">
        <f>VLOOKUP(D247,기본!$B$3:$C$90,2,0)</f>
        <v>삼성 생활가전</v>
      </c>
      <c r="D247" t="s">
        <v>1874</v>
      </c>
      <c r="E247" t="s">
        <v>2300</v>
      </c>
      <c r="F247" t="s">
        <v>2300</v>
      </c>
      <c r="G247" t="e">
        <f>VLOOKUP(E247,기본!$F$3:$G$320,2,0)</f>
        <v>#N/A</v>
      </c>
      <c r="H247" s="544">
        <v>192</v>
      </c>
      <c r="I247">
        <v>1.91232</v>
      </c>
    </row>
    <row r="248" spans="2:9">
      <c r="B248" s="545">
        <v>1</v>
      </c>
      <c r="C248" s="545" t="str">
        <f>VLOOKUP(D248,기본!$B$3:$C$90,2,0)</f>
        <v>삼성 생활가전</v>
      </c>
      <c r="D248" t="s">
        <v>1874</v>
      </c>
      <c r="E248" t="s">
        <v>2003</v>
      </c>
      <c r="F248" t="s">
        <v>2003</v>
      </c>
      <c r="G248" t="e">
        <f>VLOOKUP(E248,기본!$F$3:$G$320,2,0)</f>
        <v>#N/A</v>
      </c>
      <c r="H248" s="544">
        <v>1440</v>
      </c>
      <c r="I248">
        <v>8.5944527999999991</v>
      </c>
    </row>
    <row r="249" spans="2:9">
      <c r="B249" s="545">
        <v>1</v>
      </c>
      <c r="C249" s="545" t="str">
        <f>VLOOKUP(D249,기본!$B$3:$C$90,2,0)</f>
        <v>삼성 생활가전</v>
      </c>
      <c r="D249" t="s">
        <v>1874</v>
      </c>
      <c r="E249" t="s">
        <v>1453</v>
      </c>
      <c r="F249" t="s">
        <v>1453</v>
      </c>
      <c r="G249" t="e">
        <f>VLOOKUP(E249,기본!$F$3:$G$320,2,0)</f>
        <v>#N/A</v>
      </c>
      <c r="H249" s="544">
        <v>5</v>
      </c>
      <c r="I249">
        <v>4.7500000000000001E-2</v>
      </c>
    </row>
    <row r="250" spans="2:9">
      <c r="B250" s="545">
        <v>1</v>
      </c>
      <c r="C250" s="545" t="str">
        <f>VLOOKUP(D250,기본!$B$3:$C$90,2,0)</f>
        <v>삼성 생활가전</v>
      </c>
      <c r="D250" t="s">
        <v>1874</v>
      </c>
      <c r="E250" t="s">
        <v>1191</v>
      </c>
      <c r="F250" t="s">
        <v>1191</v>
      </c>
      <c r="G250" t="e">
        <f>VLOOKUP(E250,기본!$F$3:$G$320,2,0)</f>
        <v>#N/A</v>
      </c>
      <c r="H250" s="544">
        <v>5</v>
      </c>
      <c r="I250">
        <v>2.7E-2</v>
      </c>
    </row>
    <row r="251" spans="2:9">
      <c r="B251" s="545">
        <v>1</v>
      </c>
      <c r="C251" s="545" t="str">
        <f>VLOOKUP(D251,기본!$B$3:$C$90,2,0)</f>
        <v>삼성 생활가전</v>
      </c>
      <c r="D251" t="s">
        <v>1874</v>
      </c>
      <c r="E251" t="s">
        <v>1194</v>
      </c>
      <c r="F251" t="s">
        <v>1194</v>
      </c>
      <c r="G251" t="e">
        <f>VLOOKUP(E251,기본!$F$3:$G$320,2,0)</f>
        <v>#N/A</v>
      </c>
      <c r="H251" s="544">
        <v>2868</v>
      </c>
      <c r="I251">
        <v>14.71284</v>
      </c>
    </row>
    <row r="252" spans="2:9">
      <c r="B252" s="545">
        <v>1</v>
      </c>
      <c r="C252" s="545" t="str">
        <f>VLOOKUP(D252,기본!$B$3:$C$90,2,0)</f>
        <v>삼성 생활가전</v>
      </c>
      <c r="D252" t="s">
        <v>1874</v>
      </c>
      <c r="E252" t="s">
        <v>2033</v>
      </c>
      <c r="F252" t="s">
        <v>2033</v>
      </c>
      <c r="G252" t="e">
        <f>VLOOKUP(E252,기본!$F$3:$G$320,2,0)</f>
        <v>#N/A</v>
      </c>
      <c r="H252" s="544">
        <v>810</v>
      </c>
      <c r="I252">
        <v>10.102368383999998</v>
      </c>
    </row>
    <row r="253" spans="2:9">
      <c r="B253" s="545">
        <v>1</v>
      </c>
      <c r="C253" s="545" t="str">
        <f>VLOOKUP(D253,기본!$B$3:$C$90,2,0)</f>
        <v>삼성 생활가전</v>
      </c>
      <c r="D253" t="s">
        <v>1874</v>
      </c>
      <c r="E253" t="s">
        <v>1947</v>
      </c>
      <c r="F253" t="s">
        <v>1947</v>
      </c>
      <c r="G253" t="e">
        <f>VLOOKUP(E253,기본!$F$3:$G$320,2,0)</f>
        <v>#N/A</v>
      </c>
      <c r="H253" s="544">
        <v>588</v>
      </c>
      <c r="I253">
        <v>6.2603742600000007</v>
      </c>
    </row>
    <row r="254" spans="2:9">
      <c r="B254" s="545">
        <v>1</v>
      </c>
      <c r="C254" s="545" t="str">
        <f>VLOOKUP(D254,기본!$B$3:$C$90,2,0)</f>
        <v>삼성 생활가전</v>
      </c>
      <c r="D254" t="s">
        <v>1874</v>
      </c>
      <c r="E254" t="s">
        <v>1410</v>
      </c>
      <c r="F254" t="s">
        <v>1410</v>
      </c>
      <c r="G254" t="e">
        <f>VLOOKUP(E254,기본!$F$3:$G$320,2,0)</f>
        <v>#N/A</v>
      </c>
      <c r="H254" s="544">
        <v>5106</v>
      </c>
      <c r="I254">
        <v>68.163187440000002</v>
      </c>
    </row>
    <row r="255" spans="2:9">
      <c r="B255" s="545">
        <v>1</v>
      </c>
      <c r="C255" s="545" t="str">
        <f>VLOOKUP(D255,기본!$B$3:$C$90,2,0)</f>
        <v>삼성 생활가전</v>
      </c>
      <c r="D255" t="s">
        <v>1874</v>
      </c>
      <c r="E255" t="s">
        <v>1883</v>
      </c>
      <c r="F255" t="s">
        <v>1883</v>
      </c>
      <c r="G255" t="e">
        <f>VLOOKUP(E255,기본!$F$3:$G$320,2,0)</f>
        <v>#N/A</v>
      </c>
      <c r="H255" s="544">
        <v>0</v>
      </c>
      <c r="I255">
        <v>0.86275800000000002</v>
      </c>
    </row>
    <row r="256" spans="2:9">
      <c r="B256" s="545">
        <v>1</v>
      </c>
      <c r="C256" s="545" t="str">
        <f>VLOOKUP(D256,기본!$B$3:$C$90,2,0)</f>
        <v>삼성 생활가전</v>
      </c>
      <c r="D256" t="s">
        <v>1884</v>
      </c>
      <c r="E256" t="s">
        <v>1410</v>
      </c>
      <c r="F256" t="s">
        <v>1410</v>
      </c>
      <c r="G256" t="e">
        <f>VLOOKUP(E256,기본!$F$3:$G$320,2,0)</f>
        <v>#N/A</v>
      </c>
      <c r="H256" s="544">
        <v>576</v>
      </c>
      <c r="I256">
        <v>7.4505600000000003</v>
      </c>
    </row>
    <row r="257" spans="2:9">
      <c r="B257" s="545">
        <v>1</v>
      </c>
      <c r="C257" s="545" t="str">
        <f>VLOOKUP(D257,기본!$B$3:$C$90,2,0)</f>
        <v>E-Mob</v>
      </c>
      <c r="D257" t="s">
        <v>2395</v>
      </c>
      <c r="E257" t="s">
        <v>2351</v>
      </c>
      <c r="F257" t="s">
        <v>2351</v>
      </c>
      <c r="G257" t="e">
        <f>VLOOKUP(E257,기본!$F$3:$G$320,2,0)</f>
        <v>#N/A</v>
      </c>
      <c r="H257" s="544">
        <v>15000</v>
      </c>
      <c r="I257">
        <v>35.682119999999998</v>
      </c>
    </row>
    <row r="258" spans="2:9">
      <c r="B258" s="545">
        <v>1</v>
      </c>
      <c r="C258" s="545" t="str">
        <f>VLOOKUP(D258,기본!$B$3:$C$90,2,0)</f>
        <v>E-Mob</v>
      </c>
      <c r="D258" t="s">
        <v>2395</v>
      </c>
      <c r="E258" t="s">
        <v>2352</v>
      </c>
      <c r="F258" t="s">
        <v>2352</v>
      </c>
      <c r="G258" t="e">
        <f>VLOOKUP(E258,기본!$F$3:$G$320,2,0)</f>
        <v>#N/A</v>
      </c>
      <c r="H258" s="544">
        <v>15000</v>
      </c>
      <c r="I258">
        <v>35.682119999999998</v>
      </c>
    </row>
    <row r="259" spans="2:9">
      <c r="B259" s="545">
        <v>1</v>
      </c>
      <c r="C259" s="545" t="str">
        <f>VLOOKUP(D259,기본!$B$3:$C$90,2,0)</f>
        <v>E-Mob</v>
      </c>
      <c r="D259" t="s">
        <v>2395</v>
      </c>
      <c r="E259" t="s">
        <v>2396</v>
      </c>
      <c r="F259" t="s">
        <v>2396</v>
      </c>
      <c r="G259" t="e">
        <f>VLOOKUP(E259,기본!$F$3:$G$320,2,0)</f>
        <v>#N/A</v>
      </c>
      <c r="H259" s="544">
        <v>15000</v>
      </c>
      <c r="I259">
        <v>35.682119999999998</v>
      </c>
    </row>
    <row r="260" spans="2:9">
      <c r="B260" s="545">
        <v>1</v>
      </c>
      <c r="C260" s="545" t="str">
        <f>VLOOKUP(D260,기본!$B$3:$C$90,2,0)</f>
        <v>E-Mob</v>
      </c>
      <c r="D260" t="s">
        <v>2395</v>
      </c>
      <c r="E260" t="s">
        <v>2353</v>
      </c>
      <c r="F260" t="s">
        <v>2353</v>
      </c>
      <c r="G260" t="e">
        <f>VLOOKUP(E260,기본!$F$3:$G$320,2,0)</f>
        <v>#N/A</v>
      </c>
      <c r="H260" s="544">
        <v>15000</v>
      </c>
      <c r="I260">
        <v>35.682119999999998</v>
      </c>
    </row>
    <row r="261" spans="2:9">
      <c r="B261" s="545">
        <v>1</v>
      </c>
      <c r="C261" s="545" t="str">
        <f>VLOOKUP(D261,기본!$B$3:$C$90,2,0)</f>
        <v>E-Mob</v>
      </c>
      <c r="D261" t="s">
        <v>2395</v>
      </c>
      <c r="E261" t="s">
        <v>2346</v>
      </c>
      <c r="F261" t="s">
        <v>2346</v>
      </c>
      <c r="G261" t="e">
        <f>VLOOKUP(E261,기본!$F$3:$G$320,2,0)</f>
        <v>#N/A</v>
      </c>
      <c r="H261" s="544">
        <v>36288</v>
      </c>
      <c r="I261">
        <v>126.00354815999999</v>
      </c>
    </row>
    <row r="262" spans="2:9">
      <c r="B262" s="545">
        <v>1</v>
      </c>
      <c r="C262" s="545" t="str">
        <f>VLOOKUP(D262,기본!$B$3:$C$90,2,0)</f>
        <v>E-Mob</v>
      </c>
      <c r="D262" t="s">
        <v>2395</v>
      </c>
      <c r="E262" t="s">
        <v>2344</v>
      </c>
      <c r="F262" t="s">
        <v>2344</v>
      </c>
      <c r="G262" t="e">
        <f>VLOOKUP(E262,기본!$F$3:$G$320,2,0)</f>
        <v>#N/A</v>
      </c>
      <c r="H262" s="544">
        <v>35856</v>
      </c>
      <c r="I262">
        <v>124.50350591999998</v>
      </c>
    </row>
    <row r="263" spans="2:9">
      <c r="B263" s="545">
        <v>1</v>
      </c>
      <c r="C263" s="545" t="str">
        <f>VLOOKUP(D263,기본!$B$3:$C$90,2,0)</f>
        <v>E-Mob</v>
      </c>
      <c r="D263" t="s">
        <v>2395</v>
      </c>
      <c r="E263" t="s">
        <v>2345</v>
      </c>
      <c r="F263" t="s">
        <v>2345</v>
      </c>
      <c r="G263" t="e">
        <f>VLOOKUP(E263,기본!$F$3:$G$320,2,0)</f>
        <v>#N/A</v>
      </c>
      <c r="H263" s="544">
        <v>36048</v>
      </c>
      <c r="I263">
        <v>125.17019135999999</v>
      </c>
    </row>
    <row r="264" spans="2:9">
      <c r="B264" s="545">
        <v>1</v>
      </c>
      <c r="C264" s="545" t="str">
        <f>VLOOKUP(D264,기본!$B$3:$C$90,2,0)</f>
        <v>E-Mob</v>
      </c>
      <c r="D264" t="s">
        <v>2395</v>
      </c>
      <c r="E264" t="s">
        <v>2347</v>
      </c>
      <c r="F264" t="s">
        <v>2347</v>
      </c>
      <c r="G264" t="e">
        <f>VLOOKUP(E264,기본!$F$3:$G$320,2,0)</f>
        <v>#N/A</v>
      </c>
      <c r="H264" s="544">
        <v>15048</v>
      </c>
      <c r="I264">
        <v>44.192966400000003</v>
      </c>
    </row>
    <row r="265" spans="2:9">
      <c r="B265" s="545">
        <v>1</v>
      </c>
      <c r="C265" s="545" t="str">
        <f>VLOOKUP(D265,기본!$B$3:$C$90,2,0)</f>
        <v>E-Mob</v>
      </c>
      <c r="D265" t="s">
        <v>2395</v>
      </c>
      <c r="E265" t="s">
        <v>2348</v>
      </c>
      <c r="F265" t="s">
        <v>2348</v>
      </c>
      <c r="G265" t="e">
        <f>VLOOKUP(E265,기본!$F$3:$G$320,2,0)</f>
        <v>#N/A</v>
      </c>
      <c r="H265" s="544">
        <v>15024</v>
      </c>
      <c r="I265">
        <v>51.402692928</v>
      </c>
    </row>
    <row r="266" spans="2:9">
      <c r="B266" s="545">
        <v>1</v>
      </c>
      <c r="C266" s="545" t="str">
        <f>VLOOKUP(D266,기본!$B$3:$C$90,2,0)</f>
        <v>E-Mob</v>
      </c>
      <c r="D266" t="s">
        <v>2395</v>
      </c>
      <c r="E266" t="s">
        <v>2349</v>
      </c>
      <c r="F266" t="s">
        <v>2349</v>
      </c>
      <c r="G266" t="e">
        <f>VLOOKUP(E266,기본!$F$3:$G$320,2,0)</f>
        <v>#N/A</v>
      </c>
      <c r="H266" s="544">
        <v>15075</v>
      </c>
      <c r="I266">
        <v>38.738227500000001</v>
      </c>
    </row>
    <row r="267" spans="2:9">
      <c r="B267" s="545">
        <v>1</v>
      </c>
      <c r="C267" s="545" t="str">
        <f>VLOOKUP(D267,기본!$B$3:$C$90,2,0)</f>
        <v>E-Mob</v>
      </c>
      <c r="D267" t="s">
        <v>2395</v>
      </c>
      <c r="E267" t="s">
        <v>2350</v>
      </c>
      <c r="F267" t="s">
        <v>2350</v>
      </c>
      <c r="G267" t="e">
        <f>VLOOKUP(E267,기본!$F$3:$G$320,2,0)</f>
        <v>#N/A</v>
      </c>
      <c r="H267" s="544">
        <v>15075</v>
      </c>
      <c r="I267">
        <v>38.738227500000001</v>
      </c>
    </row>
    <row r="268" spans="2:9">
      <c r="B268" s="545">
        <v>1</v>
      </c>
      <c r="C268" s="545" t="str">
        <f>VLOOKUP(D268,기본!$B$3:$C$90,2,0)</f>
        <v>코웨이</v>
      </c>
      <c r="D268" t="s">
        <v>2192</v>
      </c>
      <c r="E268" t="s">
        <v>873</v>
      </c>
      <c r="F268" t="s">
        <v>873</v>
      </c>
      <c r="G268" t="e">
        <f>VLOOKUP(E268,기본!$F$3:$G$320,2,0)</f>
        <v>#N/A</v>
      </c>
      <c r="H268" s="544">
        <v>5740</v>
      </c>
      <c r="I268">
        <v>38.216920000000002</v>
      </c>
    </row>
    <row r="269" spans="2:9">
      <c r="B269" s="545">
        <v>1</v>
      </c>
      <c r="C269" s="545" t="str">
        <f>VLOOKUP(D269,기본!$B$3:$C$90,2,0)</f>
        <v>코웨이</v>
      </c>
      <c r="D269" t="s">
        <v>2192</v>
      </c>
      <c r="E269" t="s">
        <v>1932</v>
      </c>
      <c r="F269" t="s">
        <v>1932</v>
      </c>
      <c r="G269" t="e">
        <f>VLOOKUP(E269,기본!$F$3:$G$320,2,0)</f>
        <v>#N/A</v>
      </c>
      <c r="H269" s="544">
        <v>6120</v>
      </c>
      <c r="I269">
        <v>118.26900000000001</v>
      </c>
    </row>
    <row r="270" spans="2:9">
      <c r="B270" s="545">
        <v>1</v>
      </c>
      <c r="C270" s="545" t="str">
        <f>VLOOKUP(D270,기본!$B$3:$C$90,2,0)</f>
        <v>베터리</v>
      </c>
      <c r="D270" t="s">
        <v>2041</v>
      </c>
      <c r="E270" t="s">
        <v>1762</v>
      </c>
      <c r="F270" t="s">
        <v>1762</v>
      </c>
      <c r="G270" t="e">
        <f>VLOOKUP(E270,기본!$F$3:$G$320,2,0)</f>
        <v>#N/A</v>
      </c>
      <c r="H270" s="544">
        <v>112000</v>
      </c>
      <c r="I270">
        <v>205.40799999999999</v>
      </c>
    </row>
    <row r="271" spans="2:9">
      <c r="B271" s="545">
        <v>1</v>
      </c>
      <c r="C271" s="545" t="str">
        <f>VLOOKUP(D271,기본!$B$3:$C$90,2,0)</f>
        <v>삼성 생활가전</v>
      </c>
      <c r="D271" t="s">
        <v>2332</v>
      </c>
      <c r="E271" t="s">
        <v>2299</v>
      </c>
      <c r="F271" t="s">
        <v>2299</v>
      </c>
      <c r="G271" t="e">
        <f>VLOOKUP(E271,기본!$F$3:$G$320,2,0)</f>
        <v>#N/A</v>
      </c>
      <c r="H271" s="544">
        <v>2304</v>
      </c>
      <c r="I271">
        <v>6.8428800000000001</v>
      </c>
    </row>
    <row r="272" spans="2:9">
      <c r="B272" s="545">
        <v>1</v>
      </c>
      <c r="C272" s="545" t="str">
        <f>VLOOKUP(D272,기본!$B$3:$C$90,2,0)</f>
        <v>코웨이</v>
      </c>
      <c r="D272" t="s">
        <v>2028</v>
      </c>
      <c r="E272" t="s">
        <v>1894</v>
      </c>
      <c r="F272" t="s">
        <v>1894</v>
      </c>
      <c r="G272" t="e">
        <f>VLOOKUP(E272,기본!$F$3:$G$320,2,0)</f>
        <v>#N/A</v>
      </c>
      <c r="H272" s="544">
        <v>5799</v>
      </c>
      <c r="I272">
        <v>46.496381999999997</v>
      </c>
    </row>
    <row r="273" spans="2:9">
      <c r="B273" s="545">
        <v>1</v>
      </c>
      <c r="C273" s="545" t="str">
        <f>VLOOKUP(D273,기본!$B$3:$C$90,2,0)</f>
        <v>코웨이</v>
      </c>
      <c r="D273" t="s">
        <v>2028</v>
      </c>
      <c r="E273" t="s">
        <v>1488</v>
      </c>
      <c r="F273" t="s">
        <v>1488</v>
      </c>
      <c r="G273" t="e">
        <f>VLOOKUP(E273,기본!$F$3:$G$320,2,0)</f>
        <v>#N/A</v>
      </c>
      <c r="H273" s="544">
        <v>3648</v>
      </c>
      <c r="I273">
        <v>25.287935999999998</v>
      </c>
    </row>
    <row r="274" spans="2:9">
      <c r="B274" s="545">
        <v>1</v>
      </c>
      <c r="C274" s="545" t="str">
        <f>VLOOKUP(D274,기본!$B$3:$C$90,2,0)</f>
        <v>코웨이</v>
      </c>
      <c r="D274" t="s">
        <v>2028</v>
      </c>
      <c r="E274" t="s">
        <v>1489</v>
      </c>
      <c r="F274" t="s">
        <v>1489</v>
      </c>
      <c r="G274" t="e">
        <f>VLOOKUP(E274,기본!$F$3:$G$320,2,0)</f>
        <v>#N/A</v>
      </c>
      <c r="H274" s="544">
        <v>768</v>
      </c>
      <c r="I274">
        <v>4.8407039999999997</v>
      </c>
    </row>
    <row r="275" spans="2:9">
      <c r="B275" s="545">
        <v>1</v>
      </c>
      <c r="C275" s="545" t="str">
        <f>VLOOKUP(D275,기본!$B$3:$C$90,2,0)</f>
        <v>코웨이</v>
      </c>
      <c r="D275" t="s">
        <v>2028</v>
      </c>
      <c r="E275" t="s">
        <v>1900</v>
      </c>
      <c r="F275" t="s">
        <v>1900</v>
      </c>
      <c r="G275" t="e">
        <f>VLOOKUP(E275,기본!$F$3:$G$320,2,0)</f>
        <v>#N/A</v>
      </c>
      <c r="H275" s="544">
        <v>648</v>
      </c>
      <c r="I275">
        <v>6.6115440000000003</v>
      </c>
    </row>
    <row r="276" spans="2:9">
      <c r="B276" s="545">
        <v>1</v>
      </c>
      <c r="C276" s="545" t="str">
        <f>VLOOKUP(D276,기본!$B$3:$C$90,2,0)</f>
        <v>코웨이</v>
      </c>
      <c r="D276" t="s">
        <v>2028</v>
      </c>
      <c r="E276" t="s">
        <v>2035</v>
      </c>
      <c r="F276" t="s">
        <v>2035</v>
      </c>
      <c r="G276" t="e">
        <f>VLOOKUP(E276,기본!$F$3:$G$320,2,0)</f>
        <v>#N/A</v>
      </c>
      <c r="H276" s="544">
        <v>2048</v>
      </c>
      <c r="I276">
        <v>19.644416</v>
      </c>
    </row>
    <row r="277" spans="2:9">
      <c r="B277" s="545">
        <v>1</v>
      </c>
      <c r="C277" s="545" t="str">
        <f>VLOOKUP(D277,기본!$B$3:$C$90,2,0)</f>
        <v>코웨이</v>
      </c>
      <c r="D277" t="s">
        <v>2028</v>
      </c>
      <c r="E277" t="s">
        <v>1917</v>
      </c>
      <c r="F277" t="s">
        <v>1917</v>
      </c>
      <c r="G277" t="e">
        <f>VLOOKUP(E277,기본!$F$3:$G$320,2,0)</f>
        <v>#N/A</v>
      </c>
      <c r="H277" s="544">
        <v>408</v>
      </c>
      <c r="I277">
        <v>10.454592</v>
      </c>
    </row>
    <row r="278" spans="2:9">
      <c r="B278" s="545">
        <v>1</v>
      </c>
      <c r="C278" s="545" t="str">
        <f>VLOOKUP(D278,기본!$B$3:$C$90,2,0)</f>
        <v>코웨이</v>
      </c>
      <c r="D278" t="s">
        <v>1885</v>
      </c>
      <c r="E278" t="s">
        <v>1026</v>
      </c>
      <c r="F278" t="s">
        <v>1026</v>
      </c>
      <c r="G278" t="e">
        <f>VLOOKUP(E278,기본!$F$3:$G$320,2,0)</f>
        <v>#N/A</v>
      </c>
      <c r="H278" s="544">
        <v>10080</v>
      </c>
      <c r="I278">
        <v>57.667679999999997</v>
      </c>
    </row>
    <row r="279" spans="2:9">
      <c r="B279" s="545">
        <v>1</v>
      </c>
      <c r="C279" s="545" t="str">
        <f>VLOOKUP(D279,기본!$B$3:$C$90,2,0)</f>
        <v>코웨이</v>
      </c>
      <c r="D279" t="s">
        <v>1885</v>
      </c>
      <c r="E279" t="s">
        <v>1029</v>
      </c>
      <c r="F279" t="s">
        <v>1029</v>
      </c>
      <c r="G279" t="e">
        <f>VLOOKUP(E279,기본!$F$3:$G$320,2,0)</f>
        <v>#N/A</v>
      </c>
      <c r="H279" s="544">
        <v>3456</v>
      </c>
      <c r="I279">
        <v>5.1045119999999997</v>
      </c>
    </row>
    <row r="280" spans="2:9">
      <c r="B280" s="545">
        <v>1</v>
      </c>
      <c r="C280" s="545" t="str">
        <f>VLOOKUP(D280,기본!$B$3:$C$90,2,0)</f>
        <v>삼성 생활가전</v>
      </c>
      <c r="D280" t="s">
        <v>2161</v>
      </c>
      <c r="E280" t="s">
        <v>2162</v>
      </c>
      <c r="F280" t="s">
        <v>2162</v>
      </c>
      <c r="G280" t="e">
        <f>VLOOKUP(E280,기본!$F$3:$G$320,2,0)</f>
        <v>#N/A</v>
      </c>
      <c r="H280" s="544">
        <v>12800</v>
      </c>
      <c r="I280">
        <v>89.471999999999994</v>
      </c>
    </row>
    <row r="281" spans="2:9">
      <c r="B281" s="545">
        <v>1</v>
      </c>
      <c r="C281" s="545" t="str">
        <f>VLOOKUP(D281,기본!$B$3:$C$90,2,0)</f>
        <v>삼성 생활가전</v>
      </c>
      <c r="D281" t="s">
        <v>2161</v>
      </c>
      <c r="E281" t="s">
        <v>2451</v>
      </c>
      <c r="F281" t="s">
        <v>2451</v>
      </c>
      <c r="G281" t="e">
        <f>VLOOKUP(E281,기본!$F$3:$G$320,2,0)</f>
        <v>#N/A</v>
      </c>
      <c r="H281" s="544">
        <v>190</v>
      </c>
      <c r="I281">
        <v>1.3851</v>
      </c>
    </row>
    <row r="282" spans="2:9">
      <c r="B282" s="545">
        <v>1</v>
      </c>
      <c r="C282" s="545" t="str">
        <f>VLOOKUP(D282,기본!$B$3:$C$90,2,0)</f>
        <v>코웨이</v>
      </c>
      <c r="D282" t="s">
        <v>1886</v>
      </c>
      <c r="E282" t="s">
        <v>1887</v>
      </c>
      <c r="F282" t="s">
        <v>1887</v>
      </c>
      <c r="G282" t="e">
        <f>VLOOKUP(E282,기본!$F$3:$G$320,2,0)</f>
        <v>#N/A</v>
      </c>
      <c r="H282" s="544">
        <v>5460</v>
      </c>
      <c r="I282">
        <v>15.80124</v>
      </c>
    </row>
    <row r="283" spans="2:9">
      <c r="B283" s="545">
        <v>1</v>
      </c>
      <c r="C283" s="545" t="str">
        <f>VLOOKUP(D283,기본!$B$3:$C$90,2,0)</f>
        <v>코웨이</v>
      </c>
      <c r="D283" t="s">
        <v>1995</v>
      </c>
      <c r="E283" t="s">
        <v>2398</v>
      </c>
      <c r="F283" t="s">
        <v>2398</v>
      </c>
      <c r="G283" t="e">
        <f>VLOOKUP(E283,기본!$F$3:$G$320,2,0)</f>
        <v>#N/A</v>
      </c>
      <c r="H283" s="544">
        <v>280</v>
      </c>
      <c r="I283">
        <v>45.090345999999997</v>
      </c>
    </row>
    <row r="284" spans="2:9">
      <c r="B284" s="545">
        <v>1</v>
      </c>
      <c r="C284" s="545" t="str">
        <f>VLOOKUP(D284,기본!$B$3:$C$90,2,0)</f>
        <v>코웨이</v>
      </c>
      <c r="D284" t="s">
        <v>1995</v>
      </c>
      <c r="E284" t="s">
        <v>2399</v>
      </c>
      <c r="F284" t="s">
        <v>2399</v>
      </c>
      <c r="G284" t="e">
        <f>VLOOKUP(E284,기본!$F$3:$G$320,2,0)</f>
        <v>#N/A</v>
      </c>
      <c r="H284" s="544">
        <v>280</v>
      </c>
      <c r="I284">
        <v>45.090345999999997</v>
      </c>
    </row>
    <row r="285" spans="2:9">
      <c r="B285" s="545">
        <v>1</v>
      </c>
      <c r="C285" s="545" t="str">
        <f>VLOOKUP(D285,기본!$B$3:$C$90,2,0)</f>
        <v>코웨이</v>
      </c>
      <c r="D285" t="s">
        <v>1995</v>
      </c>
      <c r="E285" t="s">
        <v>2065</v>
      </c>
      <c r="F285" t="s">
        <v>2065</v>
      </c>
      <c r="G285" t="e">
        <f>VLOOKUP(E285,기본!$F$3:$G$320,2,0)</f>
        <v>#N/A</v>
      </c>
      <c r="H285" s="544">
        <v>264</v>
      </c>
      <c r="I285">
        <v>42.788766240000001</v>
      </c>
    </row>
    <row r="286" spans="2:9">
      <c r="B286" s="545">
        <v>1</v>
      </c>
      <c r="C286" s="545" t="str">
        <f>VLOOKUP(D286,기본!$B$3:$C$90,2,0)</f>
        <v>코웨이</v>
      </c>
      <c r="D286" t="s">
        <v>1995</v>
      </c>
      <c r="E286" t="s">
        <v>1996</v>
      </c>
      <c r="F286" t="s">
        <v>1996</v>
      </c>
      <c r="G286" t="str">
        <f>VLOOKUP(E286,기본!$F$3:$G$320,2,0)</f>
        <v>EMS</v>
      </c>
      <c r="H286" s="544">
        <v>22400</v>
      </c>
      <c r="I286">
        <v>1707.8792639999999</v>
      </c>
    </row>
    <row r="287" spans="2:9">
      <c r="B287" s="545">
        <v>1</v>
      </c>
      <c r="C287" s="545" t="str">
        <f>VLOOKUP(D287,기본!$B$3:$C$90,2,0)</f>
        <v>코웨이</v>
      </c>
      <c r="D287" t="s">
        <v>1995</v>
      </c>
      <c r="E287" t="s">
        <v>1997</v>
      </c>
      <c r="F287" t="s">
        <v>1997</v>
      </c>
      <c r="G287" t="e">
        <f>VLOOKUP(E287,기본!$F$3:$G$320,2,0)</f>
        <v>#N/A</v>
      </c>
      <c r="H287" s="544">
        <v>3920</v>
      </c>
      <c r="I287">
        <v>298.87887119999999</v>
      </c>
    </row>
    <row r="288" spans="2:9">
      <c r="B288" s="545">
        <v>1</v>
      </c>
      <c r="C288" s="545" t="str">
        <f>VLOOKUP(D288,기본!$B$3:$C$90,2,0)</f>
        <v>코웨이</v>
      </c>
      <c r="D288" t="s">
        <v>1995</v>
      </c>
      <c r="E288" t="s">
        <v>224</v>
      </c>
      <c r="F288" t="s">
        <v>224</v>
      </c>
      <c r="G288" t="str">
        <f>VLOOKUP(E288,기본!$F$3:$G$320,2,0)</f>
        <v>기타</v>
      </c>
      <c r="H288" s="544">
        <v>0</v>
      </c>
      <c r="I288">
        <v>3.593321</v>
      </c>
    </row>
    <row r="289" spans="2:9">
      <c r="B289" s="545">
        <v>1</v>
      </c>
      <c r="C289" s="545" t="str">
        <f>VLOOKUP(D289,기본!$B$3:$C$90,2,0)</f>
        <v>코웨이</v>
      </c>
      <c r="D289" t="s">
        <v>1888</v>
      </c>
      <c r="E289" t="s">
        <v>1889</v>
      </c>
      <c r="F289" t="s">
        <v>1889</v>
      </c>
      <c r="G289" t="e">
        <f>VLOOKUP(E289,기본!$F$3:$G$320,2,0)</f>
        <v>#N/A</v>
      </c>
      <c r="H289" s="544">
        <v>65</v>
      </c>
      <c r="I289">
        <v>0.34111999999999998</v>
      </c>
    </row>
    <row r="290" spans="2:9">
      <c r="B290" s="545">
        <v>1</v>
      </c>
      <c r="C290" s="545" t="str">
        <f>VLOOKUP(D290,기본!$B$3:$C$90,2,0)</f>
        <v>코웨이</v>
      </c>
      <c r="D290" t="s">
        <v>1888</v>
      </c>
      <c r="E290" t="s">
        <v>1890</v>
      </c>
      <c r="F290" t="s">
        <v>1890</v>
      </c>
      <c r="G290" t="e">
        <f>VLOOKUP(E290,기본!$F$3:$G$320,2,0)</f>
        <v>#N/A</v>
      </c>
      <c r="H290" s="544">
        <v>24</v>
      </c>
      <c r="I290">
        <v>0.12595200000000001</v>
      </c>
    </row>
    <row r="291" spans="2:9">
      <c r="B291" s="545">
        <v>1</v>
      </c>
      <c r="C291" s="545" t="str">
        <f>VLOOKUP(D291,기본!$B$3:$C$90,2,0)</f>
        <v>코웨이</v>
      </c>
      <c r="D291" t="s">
        <v>1888</v>
      </c>
      <c r="E291" t="s">
        <v>1891</v>
      </c>
      <c r="F291" t="s">
        <v>1891</v>
      </c>
      <c r="G291" t="e">
        <f>VLOOKUP(E291,기본!$F$3:$G$320,2,0)</f>
        <v>#N/A</v>
      </c>
      <c r="H291" s="544">
        <v>902</v>
      </c>
      <c r="I291">
        <v>7.5668780000000009</v>
      </c>
    </row>
    <row r="292" spans="2:9">
      <c r="B292" s="545">
        <v>1</v>
      </c>
      <c r="C292" s="545" t="str">
        <f>VLOOKUP(D292,기본!$B$3:$C$90,2,0)</f>
        <v>코웨이</v>
      </c>
      <c r="D292" t="s">
        <v>1888</v>
      </c>
      <c r="E292" t="s">
        <v>1892</v>
      </c>
      <c r="F292" t="s">
        <v>1892</v>
      </c>
      <c r="G292" t="e">
        <f>VLOOKUP(E292,기본!$F$3:$G$320,2,0)</f>
        <v>#N/A</v>
      </c>
      <c r="H292" s="544">
        <v>64</v>
      </c>
      <c r="I292">
        <v>0.335872</v>
      </c>
    </row>
    <row r="293" spans="2:9">
      <c r="B293" s="545">
        <v>1</v>
      </c>
      <c r="C293" s="545" t="str">
        <f>VLOOKUP(D293,기본!$B$3:$C$90,2,0)</f>
        <v>코웨이</v>
      </c>
      <c r="D293" t="s">
        <v>1888</v>
      </c>
      <c r="E293" t="s">
        <v>1047</v>
      </c>
      <c r="F293" t="s">
        <v>1047</v>
      </c>
      <c r="G293" t="e">
        <f>VLOOKUP(E293,기본!$F$3:$G$320,2,0)</f>
        <v>#N/A</v>
      </c>
      <c r="H293" s="544">
        <v>453</v>
      </c>
      <c r="I293">
        <v>2.6976959999999996</v>
      </c>
    </row>
    <row r="294" spans="2:9">
      <c r="B294" s="545">
        <v>1</v>
      </c>
      <c r="C294" s="545" t="str">
        <f>VLOOKUP(D294,기본!$B$3:$C$90,2,0)</f>
        <v>코웨이</v>
      </c>
      <c r="D294" t="s">
        <v>1888</v>
      </c>
      <c r="E294" t="s">
        <v>1048</v>
      </c>
      <c r="F294" t="s">
        <v>1048</v>
      </c>
      <c r="G294" t="e">
        <f>VLOOKUP(E294,기본!$F$3:$G$320,2,0)</f>
        <v>#N/A</v>
      </c>
      <c r="H294" s="544">
        <v>36</v>
      </c>
      <c r="I294">
        <v>0.15656400000000001</v>
      </c>
    </row>
    <row r="295" spans="2:9">
      <c r="B295" s="545">
        <v>1</v>
      </c>
      <c r="C295" s="545" t="str">
        <f>VLOOKUP(D295,기본!$B$3:$C$90,2,0)</f>
        <v>코웨이</v>
      </c>
      <c r="D295" t="s">
        <v>1888</v>
      </c>
      <c r="E295" t="s">
        <v>1049</v>
      </c>
      <c r="F295" t="s">
        <v>1049</v>
      </c>
      <c r="G295" t="e">
        <f>VLOOKUP(E295,기본!$F$3:$G$320,2,0)</f>
        <v>#N/A</v>
      </c>
      <c r="H295" s="544">
        <v>301</v>
      </c>
      <c r="I295">
        <v>1.9454829999999999</v>
      </c>
    </row>
    <row r="296" spans="2:9">
      <c r="B296" s="545">
        <v>1</v>
      </c>
      <c r="C296" s="545" t="str">
        <f>VLOOKUP(D296,기본!$B$3:$C$90,2,0)</f>
        <v>코웨이</v>
      </c>
      <c r="D296" t="s">
        <v>1888</v>
      </c>
      <c r="E296" t="s">
        <v>1998</v>
      </c>
      <c r="F296" t="s">
        <v>1998</v>
      </c>
      <c r="G296" t="e">
        <f>VLOOKUP(E296,기본!$F$3:$G$320,2,0)</f>
        <v>#N/A</v>
      </c>
      <c r="H296" s="544">
        <v>113</v>
      </c>
      <c r="I296">
        <v>0.90603400000000001</v>
      </c>
    </row>
    <row r="297" spans="2:9">
      <c r="B297" s="545">
        <v>1</v>
      </c>
      <c r="C297" s="545" t="str">
        <f>VLOOKUP(D297,기본!$B$3:$C$90,2,0)</f>
        <v>코웨이</v>
      </c>
      <c r="D297" t="s">
        <v>1888</v>
      </c>
      <c r="E297" t="s">
        <v>1894</v>
      </c>
      <c r="F297" t="s">
        <v>1894</v>
      </c>
      <c r="G297" t="e">
        <f>VLOOKUP(E297,기본!$F$3:$G$320,2,0)</f>
        <v>#N/A</v>
      </c>
      <c r="H297" s="544">
        <v>287</v>
      </c>
      <c r="I297">
        <v>2.3219600000000002</v>
      </c>
    </row>
    <row r="298" spans="2:9">
      <c r="B298" s="545">
        <v>1</v>
      </c>
      <c r="C298" s="545" t="str">
        <f>VLOOKUP(D298,기본!$B$3:$C$90,2,0)</f>
        <v>코웨이</v>
      </c>
      <c r="D298" t="s">
        <v>1888</v>
      </c>
      <c r="E298" t="s">
        <v>2008</v>
      </c>
      <c r="F298" t="s">
        <v>2008</v>
      </c>
      <c r="G298" t="e">
        <f>VLOOKUP(E298,기본!$F$3:$G$320,2,0)</f>
        <v>#N/A</v>
      </c>
      <c r="H298" s="544">
        <v>54</v>
      </c>
      <c r="I298">
        <v>0.50165999999999999</v>
      </c>
    </row>
    <row r="299" spans="2:9">
      <c r="B299" s="545">
        <v>1</v>
      </c>
      <c r="C299" s="545" t="str">
        <f>VLOOKUP(D299,기본!$B$3:$C$90,2,0)</f>
        <v>코웨이</v>
      </c>
      <c r="D299" t="s">
        <v>1888</v>
      </c>
      <c r="E299" t="s">
        <v>2009</v>
      </c>
      <c r="F299" t="s">
        <v>2009</v>
      </c>
      <c r="G299" t="e">
        <f>VLOOKUP(E299,기본!$F$3:$G$320,2,0)</f>
        <v>#N/A</v>
      </c>
      <c r="H299" s="544">
        <v>54</v>
      </c>
      <c r="I299">
        <v>0.83862000000000003</v>
      </c>
    </row>
    <row r="300" spans="2:9">
      <c r="B300" s="545">
        <v>1</v>
      </c>
      <c r="C300" s="545" t="str">
        <f>VLOOKUP(D300,기본!$B$3:$C$90,2,0)</f>
        <v>코웨이</v>
      </c>
      <c r="D300" t="s">
        <v>1888</v>
      </c>
      <c r="E300" t="s">
        <v>1895</v>
      </c>
      <c r="F300" t="s">
        <v>1895</v>
      </c>
      <c r="G300" t="e">
        <f>VLOOKUP(E300,기본!$F$3:$G$320,2,0)</f>
        <v>#N/A</v>
      </c>
      <c r="H300" s="544">
        <v>310</v>
      </c>
      <c r="I300">
        <v>4.2141400000000004</v>
      </c>
    </row>
    <row r="301" spans="2:9">
      <c r="B301" s="545">
        <v>1</v>
      </c>
      <c r="C301" s="545" t="str">
        <f>VLOOKUP(D301,기본!$B$3:$C$90,2,0)</f>
        <v>코웨이</v>
      </c>
      <c r="D301" t="s">
        <v>1888</v>
      </c>
      <c r="E301" t="s">
        <v>1896</v>
      </c>
      <c r="F301" t="s">
        <v>1896</v>
      </c>
      <c r="G301" t="e">
        <f>VLOOKUP(E301,기본!$F$3:$G$320,2,0)</f>
        <v>#N/A</v>
      </c>
      <c r="H301" s="544">
        <v>12</v>
      </c>
      <c r="I301">
        <v>0.20227200000000001</v>
      </c>
    </row>
    <row r="302" spans="2:9">
      <c r="B302" s="545">
        <v>1</v>
      </c>
      <c r="C302" s="545" t="str">
        <f>VLOOKUP(D302,기본!$B$3:$C$90,2,0)</f>
        <v>코웨이</v>
      </c>
      <c r="D302" t="s">
        <v>1888</v>
      </c>
      <c r="E302" t="s">
        <v>1897</v>
      </c>
      <c r="F302" t="s">
        <v>1897</v>
      </c>
      <c r="G302" t="e">
        <f>VLOOKUP(E302,기본!$F$3:$G$320,2,0)</f>
        <v>#N/A</v>
      </c>
      <c r="H302" s="544">
        <v>3030</v>
      </c>
      <c r="I302">
        <v>45.153480000000002</v>
      </c>
    </row>
    <row r="303" spans="2:9">
      <c r="B303" s="545">
        <v>1</v>
      </c>
      <c r="C303" s="545" t="str">
        <f>VLOOKUP(D303,기본!$B$3:$C$90,2,0)</f>
        <v>코웨이</v>
      </c>
      <c r="D303" t="s">
        <v>1888</v>
      </c>
      <c r="E303" t="s">
        <v>1486</v>
      </c>
      <c r="F303" t="s">
        <v>1486</v>
      </c>
      <c r="G303" t="e">
        <f>VLOOKUP(E303,기본!$F$3:$G$320,2,0)</f>
        <v>#N/A</v>
      </c>
      <c r="H303" s="544">
        <v>763</v>
      </c>
      <c r="I303">
        <v>6.3219030000000007</v>
      </c>
    </row>
    <row r="304" spans="2:9">
      <c r="B304" s="545">
        <v>1</v>
      </c>
      <c r="C304" s="545" t="str">
        <f>VLOOKUP(D304,기본!$B$3:$C$90,2,0)</f>
        <v>코웨이</v>
      </c>
      <c r="D304" t="s">
        <v>1888</v>
      </c>
      <c r="E304" t="s">
        <v>1487</v>
      </c>
      <c r="F304" t="s">
        <v>1487</v>
      </c>
      <c r="G304" t="e">
        <f>VLOOKUP(E304,기본!$F$3:$G$320,2,0)</f>
        <v>#N/A</v>
      </c>
      <c r="H304" s="544">
        <v>74</v>
      </c>
      <c r="I304">
        <v>0.56410199999999999</v>
      </c>
    </row>
    <row r="305" spans="2:9">
      <c r="B305" s="545">
        <v>1</v>
      </c>
      <c r="C305" s="545" t="str">
        <f>VLOOKUP(D305,기본!$B$3:$C$90,2,0)</f>
        <v>코웨이</v>
      </c>
      <c r="D305" t="s">
        <v>1888</v>
      </c>
      <c r="E305" t="s">
        <v>1898</v>
      </c>
      <c r="F305" t="s">
        <v>1898</v>
      </c>
      <c r="G305" t="e">
        <f>VLOOKUP(E305,기본!$F$3:$G$320,2,0)</f>
        <v>#N/A</v>
      </c>
      <c r="H305" s="544">
        <v>87</v>
      </c>
      <c r="I305">
        <v>0.71818499999999996</v>
      </c>
    </row>
    <row r="306" spans="2:9">
      <c r="B306" s="545">
        <v>1</v>
      </c>
      <c r="C306" s="545" t="str">
        <f>VLOOKUP(D306,기본!$B$3:$C$90,2,0)</f>
        <v>코웨이</v>
      </c>
      <c r="D306" t="s">
        <v>1888</v>
      </c>
      <c r="E306" t="s">
        <v>2034</v>
      </c>
      <c r="F306" t="s">
        <v>2034</v>
      </c>
      <c r="G306" t="e">
        <f>VLOOKUP(E306,기본!$F$3:$G$320,2,0)</f>
        <v>#N/A</v>
      </c>
      <c r="H306" s="544">
        <v>10</v>
      </c>
      <c r="I306">
        <v>0.22034000000000001</v>
      </c>
    </row>
    <row r="307" spans="2:9">
      <c r="B307" s="545">
        <v>1</v>
      </c>
      <c r="C307" s="545" t="str">
        <f>VLOOKUP(D307,기본!$B$3:$C$90,2,0)</f>
        <v>코웨이</v>
      </c>
      <c r="D307" t="s">
        <v>1888</v>
      </c>
      <c r="E307" t="s">
        <v>2304</v>
      </c>
      <c r="F307" t="s">
        <v>2304</v>
      </c>
      <c r="G307" t="e">
        <f>VLOOKUP(E307,기본!$F$3:$G$320,2,0)</f>
        <v>#N/A</v>
      </c>
      <c r="H307" s="544">
        <v>1477</v>
      </c>
      <c r="I307">
        <v>24.225753999999998</v>
      </c>
    </row>
    <row r="308" spans="2:9">
      <c r="B308" s="545">
        <v>1</v>
      </c>
      <c r="C308" s="545" t="str">
        <f>VLOOKUP(D308,기본!$B$3:$C$90,2,0)</f>
        <v>코웨이</v>
      </c>
      <c r="D308" t="s">
        <v>1888</v>
      </c>
      <c r="E308" t="s">
        <v>2305</v>
      </c>
      <c r="F308" t="s">
        <v>2305</v>
      </c>
      <c r="G308" t="e">
        <f>VLOOKUP(E308,기본!$F$3:$G$320,2,0)</f>
        <v>#N/A</v>
      </c>
      <c r="H308" s="544">
        <v>1651</v>
      </c>
      <c r="I308">
        <v>34.809683999999997</v>
      </c>
    </row>
    <row r="309" spans="2:9">
      <c r="B309" s="545">
        <v>1</v>
      </c>
      <c r="C309" s="545" t="str">
        <f>VLOOKUP(D309,기본!$B$3:$C$90,2,0)</f>
        <v>코웨이</v>
      </c>
      <c r="D309" t="s">
        <v>1888</v>
      </c>
      <c r="E309" t="s">
        <v>1899</v>
      </c>
      <c r="F309" t="s">
        <v>1899</v>
      </c>
      <c r="G309" t="e">
        <f>VLOOKUP(E309,기본!$F$3:$G$320,2,0)</f>
        <v>#N/A</v>
      </c>
      <c r="H309" s="544">
        <v>126</v>
      </c>
      <c r="I309">
        <v>0.96251399999999998</v>
      </c>
    </row>
    <row r="310" spans="2:9">
      <c r="B310" s="545">
        <v>1</v>
      </c>
      <c r="C310" s="545" t="str">
        <f>VLOOKUP(D310,기본!$B$3:$C$90,2,0)</f>
        <v>코웨이</v>
      </c>
      <c r="D310" t="s">
        <v>1888</v>
      </c>
      <c r="E310" t="s">
        <v>1901</v>
      </c>
      <c r="F310" t="s">
        <v>1901</v>
      </c>
      <c r="G310" t="e">
        <f>VLOOKUP(E310,기본!$F$3:$G$320,2,0)</f>
        <v>#N/A</v>
      </c>
      <c r="H310" s="544">
        <v>625</v>
      </c>
      <c r="I310">
        <v>5.9488700000000003</v>
      </c>
    </row>
    <row r="311" spans="2:9">
      <c r="B311" s="545">
        <v>1</v>
      </c>
      <c r="C311" s="545" t="str">
        <f>VLOOKUP(D311,기본!$B$3:$C$90,2,0)</f>
        <v>코웨이</v>
      </c>
      <c r="D311" t="s">
        <v>1888</v>
      </c>
      <c r="E311" t="s">
        <v>1942</v>
      </c>
      <c r="F311" t="s">
        <v>1942</v>
      </c>
      <c r="G311" t="e">
        <f>VLOOKUP(E311,기본!$F$3:$G$320,2,0)</f>
        <v>#N/A</v>
      </c>
      <c r="H311" s="544">
        <v>204</v>
      </c>
      <c r="I311">
        <v>2.0675400000000002</v>
      </c>
    </row>
    <row r="312" spans="2:9">
      <c r="B312" s="545">
        <v>1</v>
      </c>
      <c r="C312" s="545" t="str">
        <f>VLOOKUP(D312,기본!$B$3:$C$90,2,0)</f>
        <v>코웨이</v>
      </c>
      <c r="D312" t="s">
        <v>1888</v>
      </c>
      <c r="E312" t="s">
        <v>1902</v>
      </c>
      <c r="F312" t="s">
        <v>1902</v>
      </c>
      <c r="G312" t="e">
        <f>VLOOKUP(E312,기본!$F$3:$G$320,2,0)</f>
        <v>#N/A</v>
      </c>
      <c r="H312" s="544">
        <v>17</v>
      </c>
      <c r="I312">
        <v>0.34878900000000002</v>
      </c>
    </row>
    <row r="313" spans="2:9">
      <c r="B313" s="545">
        <v>1</v>
      </c>
      <c r="C313" s="545" t="str">
        <f>VLOOKUP(D313,기본!$B$3:$C$90,2,0)</f>
        <v>코웨이</v>
      </c>
      <c r="D313" t="s">
        <v>1888</v>
      </c>
      <c r="E313" t="s">
        <v>1903</v>
      </c>
      <c r="F313" t="s">
        <v>1903</v>
      </c>
      <c r="G313" t="e">
        <f>VLOOKUP(E313,기본!$F$3:$G$320,2,0)</f>
        <v>#N/A</v>
      </c>
      <c r="H313" s="544">
        <v>196</v>
      </c>
      <c r="I313">
        <v>3.9176479999999998</v>
      </c>
    </row>
    <row r="314" spans="2:9">
      <c r="B314" s="545">
        <v>1</v>
      </c>
      <c r="C314" s="545" t="str">
        <f>VLOOKUP(D314,기본!$B$3:$C$90,2,0)</f>
        <v>코웨이</v>
      </c>
      <c r="D314" t="s">
        <v>1888</v>
      </c>
      <c r="E314" t="s">
        <v>1904</v>
      </c>
      <c r="F314" t="s">
        <v>1904</v>
      </c>
      <c r="G314" t="e">
        <f>VLOOKUP(E314,기본!$F$3:$G$320,2,0)</f>
        <v>#N/A</v>
      </c>
      <c r="H314" s="544">
        <v>3052</v>
      </c>
      <c r="I314">
        <v>66.429849999999988</v>
      </c>
    </row>
    <row r="315" spans="2:9">
      <c r="B315" s="545">
        <v>1</v>
      </c>
      <c r="C315" s="545" t="str">
        <f>VLOOKUP(D315,기본!$B$3:$C$90,2,0)</f>
        <v>코웨이</v>
      </c>
      <c r="D315" t="s">
        <v>1888</v>
      </c>
      <c r="E315" t="s">
        <v>1905</v>
      </c>
      <c r="F315" t="s">
        <v>1905</v>
      </c>
      <c r="G315" t="e">
        <f>VLOOKUP(E315,기본!$F$3:$G$320,2,0)</f>
        <v>#N/A</v>
      </c>
      <c r="H315" s="544">
        <v>64</v>
      </c>
      <c r="I315">
        <v>1.3936000000000002</v>
      </c>
    </row>
    <row r="316" spans="2:9">
      <c r="B316" s="545">
        <v>1</v>
      </c>
      <c r="C316" s="545" t="str">
        <f>VLOOKUP(D316,기본!$B$3:$C$90,2,0)</f>
        <v>코웨이</v>
      </c>
      <c r="D316" t="s">
        <v>1888</v>
      </c>
      <c r="E316" t="s">
        <v>1906</v>
      </c>
      <c r="F316" t="s">
        <v>1906</v>
      </c>
      <c r="G316" t="e">
        <f>VLOOKUP(E316,기본!$F$3:$G$320,2,0)</f>
        <v>#N/A</v>
      </c>
      <c r="H316" s="544">
        <v>236</v>
      </c>
      <c r="I316">
        <v>0.57828800000000002</v>
      </c>
    </row>
    <row r="317" spans="2:9">
      <c r="B317" s="545">
        <v>1</v>
      </c>
      <c r="C317" s="545" t="str">
        <f>VLOOKUP(D317,기본!$B$3:$C$90,2,0)</f>
        <v>코웨이</v>
      </c>
      <c r="D317" t="s">
        <v>1888</v>
      </c>
      <c r="E317" t="s">
        <v>1907</v>
      </c>
      <c r="F317" t="s">
        <v>1907</v>
      </c>
      <c r="G317" t="e">
        <f>VLOOKUP(E317,기본!$F$3:$G$320,2,0)</f>
        <v>#N/A</v>
      </c>
      <c r="H317" s="544">
        <v>200</v>
      </c>
      <c r="I317">
        <v>1.3577999999999999</v>
      </c>
    </row>
    <row r="318" spans="2:9">
      <c r="B318" s="545">
        <v>1</v>
      </c>
      <c r="C318" s="545" t="str">
        <f>VLOOKUP(D318,기본!$B$3:$C$90,2,0)</f>
        <v>코웨이</v>
      </c>
      <c r="D318" t="s">
        <v>1888</v>
      </c>
      <c r="E318" t="s">
        <v>1908</v>
      </c>
      <c r="F318" t="s">
        <v>1908</v>
      </c>
      <c r="G318" t="e">
        <f>VLOOKUP(E318,기본!$F$3:$G$320,2,0)</f>
        <v>#N/A</v>
      </c>
      <c r="H318" s="544">
        <v>819</v>
      </c>
      <c r="I318">
        <v>13.504491</v>
      </c>
    </row>
    <row r="319" spans="2:9">
      <c r="B319" s="545">
        <v>1</v>
      </c>
      <c r="C319" s="545" t="str">
        <f>VLOOKUP(D319,기본!$B$3:$C$90,2,0)</f>
        <v>코웨이</v>
      </c>
      <c r="D319" t="s">
        <v>1888</v>
      </c>
      <c r="E319" t="s">
        <v>2035</v>
      </c>
      <c r="F319" t="s">
        <v>2035</v>
      </c>
      <c r="G319" t="e">
        <f>VLOOKUP(E319,기본!$F$3:$G$320,2,0)</f>
        <v>#N/A</v>
      </c>
      <c r="H319" s="544">
        <v>19653</v>
      </c>
      <c r="I319">
        <v>188.51157599999999</v>
      </c>
    </row>
    <row r="320" spans="2:9">
      <c r="B320" s="545">
        <v>1</v>
      </c>
      <c r="C320" s="545" t="str">
        <f>VLOOKUP(D320,기본!$B$3:$C$90,2,0)</f>
        <v>코웨이</v>
      </c>
      <c r="D320" t="s">
        <v>1888</v>
      </c>
      <c r="E320" t="s">
        <v>1909</v>
      </c>
      <c r="F320" t="s">
        <v>1909</v>
      </c>
      <c r="G320" t="e">
        <f>VLOOKUP(E320,기본!$F$3:$G$320,2,0)</f>
        <v>#N/A</v>
      </c>
      <c r="H320" s="544">
        <v>86</v>
      </c>
      <c r="I320">
        <v>1.5232319999999999</v>
      </c>
    </row>
    <row r="321" spans="2:9">
      <c r="B321" s="545">
        <v>1</v>
      </c>
      <c r="C321" s="545" t="str">
        <f>VLOOKUP(D321,기본!$B$3:$C$90,2,0)</f>
        <v>코웨이</v>
      </c>
      <c r="D321" t="s">
        <v>1888</v>
      </c>
      <c r="E321" t="s">
        <v>2014</v>
      </c>
      <c r="F321" t="s">
        <v>2014</v>
      </c>
      <c r="G321" t="e">
        <f>VLOOKUP(E321,기본!$F$3:$G$320,2,0)</f>
        <v>#N/A</v>
      </c>
      <c r="H321" s="544">
        <v>717</v>
      </c>
      <c r="I321">
        <v>15.42267</v>
      </c>
    </row>
    <row r="322" spans="2:9">
      <c r="B322" s="545">
        <v>1</v>
      </c>
      <c r="C322" s="545" t="str">
        <f>VLOOKUP(D322,기본!$B$3:$C$90,2,0)</f>
        <v>코웨이</v>
      </c>
      <c r="D322" t="s">
        <v>1888</v>
      </c>
      <c r="E322" t="s">
        <v>1910</v>
      </c>
      <c r="F322" t="s">
        <v>1910</v>
      </c>
      <c r="G322" t="e">
        <f>VLOOKUP(E322,기본!$F$3:$G$320,2,0)</f>
        <v>#N/A</v>
      </c>
      <c r="H322" s="544">
        <v>1950</v>
      </c>
      <c r="I322">
        <v>34.702583000000004</v>
      </c>
    </row>
    <row r="323" spans="2:9">
      <c r="B323" s="545">
        <v>1</v>
      </c>
      <c r="C323" s="545" t="str">
        <f>VLOOKUP(D323,기본!$B$3:$C$90,2,0)</f>
        <v>코웨이</v>
      </c>
      <c r="D323" t="s">
        <v>1888</v>
      </c>
      <c r="E323" t="s">
        <v>1911</v>
      </c>
      <c r="F323" t="s">
        <v>1911</v>
      </c>
      <c r="G323" t="e">
        <f>VLOOKUP(E323,기본!$F$3:$G$320,2,0)</f>
        <v>#N/A</v>
      </c>
      <c r="H323" s="544">
        <v>180</v>
      </c>
      <c r="I323">
        <v>2.9714400000000003</v>
      </c>
    </row>
    <row r="324" spans="2:9">
      <c r="B324" s="545">
        <v>1</v>
      </c>
      <c r="C324" s="545" t="str">
        <f>VLOOKUP(D324,기본!$B$3:$C$90,2,0)</f>
        <v>코웨이</v>
      </c>
      <c r="D324" t="s">
        <v>1888</v>
      </c>
      <c r="E324" t="s">
        <v>2257</v>
      </c>
      <c r="F324" t="s">
        <v>2257</v>
      </c>
      <c r="G324" t="e">
        <f>VLOOKUP(E324,기본!$F$3:$G$320,2,0)</f>
        <v>#N/A</v>
      </c>
      <c r="H324" s="544">
        <v>12</v>
      </c>
      <c r="I324">
        <v>0.198852</v>
      </c>
    </row>
    <row r="325" spans="2:9">
      <c r="B325" s="545">
        <v>1</v>
      </c>
      <c r="C325" s="545" t="str">
        <f>VLOOKUP(D325,기본!$B$3:$C$90,2,0)</f>
        <v>코웨이</v>
      </c>
      <c r="D325" t="s">
        <v>1888</v>
      </c>
      <c r="E325" t="s">
        <v>1912</v>
      </c>
      <c r="F325" t="s">
        <v>1912</v>
      </c>
      <c r="G325" t="e">
        <f>VLOOKUP(E325,기본!$F$3:$G$320,2,0)</f>
        <v>#N/A</v>
      </c>
      <c r="H325" s="544">
        <v>4015</v>
      </c>
      <c r="I325">
        <v>69.631050000000016</v>
      </c>
    </row>
    <row r="326" spans="2:9">
      <c r="B326" s="545">
        <v>1</v>
      </c>
      <c r="C326" s="545" t="str">
        <f>VLOOKUP(D326,기본!$B$3:$C$90,2,0)</f>
        <v>코웨이</v>
      </c>
      <c r="D326" t="s">
        <v>1888</v>
      </c>
      <c r="E326" t="s">
        <v>1043</v>
      </c>
      <c r="F326" t="s">
        <v>1043</v>
      </c>
      <c r="G326" t="e">
        <f>VLOOKUP(E326,기본!$F$3:$G$320,2,0)</f>
        <v>#N/A</v>
      </c>
      <c r="H326" s="544">
        <v>1311</v>
      </c>
      <c r="I326">
        <v>15.78633</v>
      </c>
    </row>
    <row r="327" spans="2:9">
      <c r="B327" s="545">
        <v>1</v>
      </c>
      <c r="C327" s="545" t="str">
        <f>VLOOKUP(D327,기본!$B$3:$C$90,2,0)</f>
        <v>코웨이</v>
      </c>
      <c r="D327" t="s">
        <v>1888</v>
      </c>
      <c r="E327" t="s">
        <v>1913</v>
      </c>
      <c r="F327" t="s">
        <v>1913</v>
      </c>
      <c r="G327" t="e">
        <f>VLOOKUP(E327,기본!$F$3:$G$320,2,0)</f>
        <v>#N/A</v>
      </c>
      <c r="H327" s="544">
        <v>478</v>
      </c>
      <c r="I327">
        <v>4.2355580000000002</v>
      </c>
    </row>
    <row r="328" spans="2:9">
      <c r="B328" s="545">
        <v>1</v>
      </c>
      <c r="C328" s="545" t="str">
        <f>VLOOKUP(D328,기본!$B$3:$C$90,2,0)</f>
        <v>코웨이</v>
      </c>
      <c r="D328" t="s">
        <v>1888</v>
      </c>
      <c r="E328" t="s">
        <v>1914</v>
      </c>
      <c r="F328" t="s">
        <v>1914</v>
      </c>
      <c r="G328" t="e">
        <f>VLOOKUP(E328,기본!$F$3:$G$320,2,0)</f>
        <v>#N/A</v>
      </c>
      <c r="H328" s="544">
        <v>4</v>
      </c>
      <c r="I328">
        <v>7.1744000000000002E-2</v>
      </c>
    </row>
    <row r="329" spans="2:9">
      <c r="B329" s="545">
        <v>1</v>
      </c>
      <c r="C329" s="545" t="str">
        <f>VLOOKUP(D329,기본!$B$3:$C$90,2,0)</f>
        <v>코웨이</v>
      </c>
      <c r="D329" t="s">
        <v>1888</v>
      </c>
      <c r="E329" t="s">
        <v>1915</v>
      </c>
      <c r="F329" t="s">
        <v>1915</v>
      </c>
      <c r="G329" t="e">
        <f>VLOOKUP(E329,기본!$F$3:$G$320,2,0)</f>
        <v>#N/A</v>
      </c>
      <c r="H329" s="544">
        <v>1343</v>
      </c>
      <c r="I329">
        <v>24.837281999999995</v>
      </c>
    </row>
    <row r="330" spans="2:9">
      <c r="B330" s="545">
        <v>1</v>
      </c>
      <c r="C330" s="545" t="str">
        <f>VLOOKUP(D330,기본!$B$3:$C$90,2,0)</f>
        <v>코웨이</v>
      </c>
      <c r="D330" t="s">
        <v>1888</v>
      </c>
      <c r="E330" t="s">
        <v>2249</v>
      </c>
      <c r="F330" t="s">
        <v>2249</v>
      </c>
      <c r="G330" t="e">
        <f>VLOOKUP(E330,기본!$F$3:$G$320,2,0)</f>
        <v>#N/A</v>
      </c>
      <c r="H330" s="544">
        <v>811</v>
      </c>
      <c r="I330">
        <v>5.9697709999999997</v>
      </c>
    </row>
    <row r="331" spans="2:9">
      <c r="B331" s="545">
        <v>1</v>
      </c>
      <c r="C331" s="545" t="str">
        <f>VLOOKUP(D331,기본!$B$3:$C$90,2,0)</f>
        <v>코웨이</v>
      </c>
      <c r="D331" t="s">
        <v>1888</v>
      </c>
      <c r="E331" t="s">
        <v>2258</v>
      </c>
      <c r="F331" t="s">
        <v>2258</v>
      </c>
      <c r="G331" t="e">
        <f>VLOOKUP(E331,기본!$F$3:$G$320,2,0)</f>
        <v>#N/A</v>
      </c>
      <c r="H331" s="544">
        <v>811</v>
      </c>
      <c r="I331">
        <v>16.170528999999998</v>
      </c>
    </row>
    <row r="332" spans="2:9">
      <c r="B332" s="545">
        <v>1</v>
      </c>
      <c r="C332" s="545" t="str">
        <f>VLOOKUP(D332,기본!$B$3:$C$90,2,0)</f>
        <v>코웨이</v>
      </c>
      <c r="D332" t="s">
        <v>1888</v>
      </c>
      <c r="E332" t="s">
        <v>1916</v>
      </c>
      <c r="F332" t="s">
        <v>1916</v>
      </c>
      <c r="G332" t="e">
        <f>VLOOKUP(E332,기본!$F$3:$G$320,2,0)</f>
        <v>#N/A</v>
      </c>
      <c r="H332" s="544">
        <v>28</v>
      </c>
      <c r="I332">
        <v>0.27633200000000002</v>
      </c>
    </row>
    <row r="333" spans="2:9">
      <c r="B333" s="545">
        <v>1</v>
      </c>
      <c r="C333" s="545" t="str">
        <f>VLOOKUP(D333,기본!$B$3:$C$90,2,0)</f>
        <v>코웨이</v>
      </c>
      <c r="D333" t="s">
        <v>1888</v>
      </c>
      <c r="E333" t="s">
        <v>2234</v>
      </c>
      <c r="F333" t="s">
        <v>2234</v>
      </c>
      <c r="G333" t="e">
        <f>VLOOKUP(E333,기본!$F$3:$G$320,2,0)</f>
        <v>#N/A</v>
      </c>
      <c r="H333" s="544">
        <v>12</v>
      </c>
      <c r="I333">
        <v>0.28028399999999998</v>
      </c>
    </row>
    <row r="334" spans="2:9">
      <c r="B334" s="545">
        <v>1</v>
      </c>
      <c r="C334" s="545" t="str">
        <f>VLOOKUP(D334,기본!$B$3:$C$90,2,0)</f>
        <v>코웨이</v>
      </c>
      <c r="D334" t="s">
        <v>1888</v>
      </c>
      <c r="E334" t="s">
        <v>1091</v>
      </c>
      <c r="F334" t="s">
        <v>1091</v>
      </c>
      <c r="G334" t="e">
        <f>VLOOKUP(E334,기본!$F$3:$G$320,2,0)</f>
        <v>#N/A</v>
      </c>
      <c r="H334" s="544">
        <v>10</v>
      </c>
      <c r="I334">
        <v>0.28738000000000002</v>
      </c>
    </row>
    <row r="335" spans="2:9">
      <c r="B335" s="545">
        <v>1</v>
      </c>
      <c r="C335" s="545" t="str">
        <f>VLOOKUP(D335,기본!$B$3:$C$90,2,0)</f>
        <v>코웨이</v>
      </c>
      <c r="D335" t="s">
        <v>1888</v>
      </c>
      <c r="E335" t="s">
        <v>1167</v>
      </c>
      <c r="F335" t="s">
        <v>1167</v>
      </c>
      <c r="G335" t="e">
        <f>VLOOKUP(E335,기본!$F$3:$G$320,2,0)</f>
        <v>#N/A</v>
      </c>
      <c r="H335" s="544">
        <v>240</v>
      </c>
      <c r="I335">
        <v>7.9042700000000004</v>
      </c>
    </row>
    <row r="336" spans="2:9">
      <c r="B336" s="545">
        <v>1</v>
      </c>
      <c r="C336" s="545" t="str">
        <f>VLOOKUP(D336,기본!$B$3:$C$90,2,0)</f>
        <v>코웨이</v>
      </c>
      <c r="D336" t="s">
        <v>1888</v>
      </c>
      <c r="E336" t="s">
        <v>2408</v>
      </c>
      <c r="F336" t="s">
        <v>2408</v>
      </c>
      <c r="G336" t="e">
        <f>VLOOKUP(E336,기본!$F$3:$G$320,2,0)</f>
        <v>#N/A</v>
      </c>
      <c r="H336" s="544">
        <v>80</v>
      </c>
      <c r="I336">
        <v>1.984</v>
      </c>
    </row>
    <row r="337" spans="2:9">
      <c r="B337" s="545">
        <v>1</v>
      </c>
      <c r="C337" s="545" t="str">
        <f>VLOOKUP(D337,기본!$B$3:$C$90,2,0)</f>
        <v>코웨이</v>
      </c>
      <c r="D337" t="s">
        <v>1888</v>
      </c>
      <c r="E337" t="s">
        <v>1917</v>
      </c>
      <c r="F337" t="s">
        <v>1917</v>
      </c>
      <c r="G337" t="e">
        <f>VLOOKUP(E337,기본!$F$3:$G$320,2,0)</f>
        <v>#N/A</v>
      </c>
      <c r="H337" s="544">
        <v>201</v>
      </c>
      <c r="I337">
        <v>5.2191659999999995</v>
      </c>
    </row>
    <row r="338" spans="2:9">
      <c r="B338" s="545">
        <v>1</v>
      </c>
      <c r="C338" s="545" t="str">
        <f>VLOOKUP(D338,기본!$B$3:$C$90,2,0)</f>
        <v>코웨이</v>
      </c>
      <c r="D338" t="s">
        <v>1888</v>
      </c>
      <c r="E338" t="s">
        <v>1918</v>
      </c>
      <c r="F338" t="s">
        <v>1918</v>
      </c>
      <c r="G338" t="e">
        <f>VLOOKUP(E338,기본!$F$3:$G$320,2,0)</f>
        <v>#N/A</v>
      </c>
      <c r="H338" s="544">
        <v>199</v>
      </c>
      <c r="I338">
        <v>5.4773879999999995</v>
      </c>
    </row>
    <row r="339" spans="2:9">
      <c r="B339" s="545">
        <v>1</v>
      </c>
      <c r="C339" s="545" t="str">
        <f>VLOOKUP(D339,기본!$B$3:$C$90,2,0)</f>
        <v>코웨이</v>
      </c>
      <c r="D339" t="s">
        <v>1888</v>
      </c>
      <c r="E339" t="s">
        <v>1169</v>
      </c>
      <c r="F339" t="s">
        <v>1169</v>
      </c>
      <c r="G339" t="e">
        <f>VLOOKUP(E339,기본!$F$3:$G$320,2,0)</f>
        <v>#N/A</v>
      </c>
      <c r="H339" s="544">
        <v>64</v>
      </c>
      <c r="I339">
        <v>2.1477119999999998</v>
      </c>
    </row>
    <row r="340" spans="2:9">
      <c r="B340" s="545">
        <v>1</v>
      </c>
      <c r="C340" s="545" t="str">
        <f>VLOOKUP(D340,기본!$B$3:$C$90,2,0)</f>
        <v>코웨이</v>
      </c>
      <c r="D340" t="s">
        <v>1888</v>
      </c>
      <c r="E340" t="s">
        <v>1919</v>
      </c>
      <c r="F340" t="s">
        <v>1919</v>
      </c>
      <c r="G340" t="e">
        <f>VLOOKUP(E340,기본!$F$3:$G$320,2,0)</f>
        <v>#N/A</v>
      </c>
      <c r="H340" s="544">
        <v>48</v>
      </c>
      <c r="I340">
        <v>1.605216</v>
      </c>
    </row>
    <row r="341" spans="2:9">
      <c r="B341" s="545">
        <v>1</v>
      </c>
      <c r="C341" s="545" t="str">
        <f>VLOOKUP(D341,기본!$B$3:$C$90,2,0)</f>
        <v>코웨이</v>
      </c>
      <c r="D341" t="s">
        <v>1888</v>
      </c>
      <c r="E341" t="s">
        <v>1920</v>
      </c>
      <c r="F341" t="s">
        <v>1920</v>
      </c>
      <c r="G341" t="e">
        <f>VLOOKUP(E341,기본!$F$3:$G$320,2,0)</f>
        <v>#N/A</v>
      </c>
      <c r="H341" s="544">
        <v>40</v>
      </c>
      <c r="I341">
        <v>1.1737599999999999</v>
      </c>
    </row>
    <row r="342" spans="2:9">
      <c r="B342" s="545">
        <v>1</v>
      </c>
      <c r="C342" s="545" t="str">
        <f>VLOOKUP(D342,기본!$B$3:$C$90,2,0)</f>
        <v>코웨이</v>
      </c>
      <c r="D342" t="s">
        <v>1888</v>
      </c>
      <c r="E342" t="s">
        <v>1921</v>
      </c>
      <c r="F342" t="s">
        <v>1921</v>
      </c>
      <c r="G342" t="e">
        <f>VLOOKUP(E342,기본!$F$3:$G$320,2,0)</f>
        <v>#N/A</v>
      </c>
      <c r="H342" s="544">
        <v>490</v>
      </c>
      <c r="I342">
        <v>9.9798299999999998</v>
      </c>
    </row>
    <row r="343" spans="2:9">
      <c r="B343" s="545">
        <v>1</v>
      </c>
      <c r="C343" s="545" t="str">
        <f>VLOOKUP(D343,기본!$B$3:$C$90,2,0)</f>
        <v>코웨이</v>
      </c>
      <c r="D343" t="s">
        <v>1888</v>
      </c>
      <c r="E343" t="s">
        <v>1983</v>
      </c>
      <c r="F343" t="s">
        <v>1983</v>
      </c>
      <c r="G343" t="e">
        <f>VLOOKUP(E343,기본!$F$3:$G$320,2,0)</f>
        <v>#N/A</v>
      </c>
      <c r="H343" s="544">
        <v>113</v>
      </c>
      <c r="I343">
        <v>2.3454280000000001</v>
      </c>
    </row>
    <row r="344" spans="2:9">
      <c r="B344" s="545">
        <v>1</v>
      </c>
      <c r="C344" s="545" t="str">
        <f>VLOOKUP(D344,기본!$B$3:$C$90,2,0)</f>
        <v>코웨이</v>
      </c>
      <c r="D344" t="s">
        <v>1888</v>
      </c>
      <c r="E344" t="s">
        <v>1922</v>
      </c>
      <c r="F344" t="s">
        <v>1922</v>
      </c>
      <c r="G344" t="e">
        <f>VLOOKUP(E344,기본!$F$3:$G$320,2,0)</f>
        <v>#N/A</v>
      </c>
      <c r="H344" s="544">
        <v>153</v>
      </c>
      <c r="I344">
        <v>4.8054239999999995</v>
      </c>
    </row>
    <row r="345" spans="2:9">
      <c r="B345" s="545">
        <v>1</v>
      </c>
      <c r="C345" s="545" t="str">
        <f>VLOOKUP(D345,기본!$B$3:$C$90,2,0)</f>
        <v>코웨이</v>
      </c>
      <c r="D345" t="s">
        <v>1888</v>
      </c>
      <c r="E345" t="s">
        <v>1277</v>
      </c>
      <c r="F345" t="s">
        <v>1277</v>
      </c>
      <c r="G345" t="e">
        <f>VLOOKUP(E345,기본!$F$3:$G$320,2,0)</f>
        <v>#N/A</v>
      </c>
      <c r="H345" s="544">
        <v>245</v>
      </c>
      <c r="I345">
        <v>0.81816700000000009</v>
      </c>
    </row>
    <row r="346" spans="2:9">
      <c r="B346" s="545">
        <v>1</v>
      </c>
      <c r="C346" s="545" t="str">
        <f>VLOOKUP(D346,기본!$B$3:$C$90,2,0)</f>
        <v>코웨이</v>
      </c>
      <c r="D346" t="s">
        <v>1888</v>
      </c>
      <c r="E346" t="s">
        <v>1276</v>
      </c>
      <c r="F346" t="s">
        <v>1276</v>
      </c>
      <c r="G346" t="e">
        <f>VLOOKUP(E346,기본!$F$3:$G$320,2,0)</f>
        <v>#N/A</v>
      </c>
      <c r="H346" s="544">
        <v>342</v>
      </c>
      <c r="I346">
        <v>3.8351129999999998</v>
      </c>
    </row>
    <row r="347" spans="2:9">
      <c r="B347" s="545">
        <v>1</v>
      </c>
      <c r="C347" s="545" t="str">
        <f>VLOOKUP(D347,기본!$B$3:$C$90,2,0)</f>
        <v>코웨이</v>
      </c>
      <c r="D347" t="s">
        <v>1888</v>
      </c>
      <c r="E347" t="s">
        <v>2467</v>
      </c>
      <c r="F347" t="s">
        <v>2467</v>
      </c>
      <c r="G347" t="e">
        <f>VLOOKUP(E347,기본!$F$3:$G$320,2,0)</f>
        <v>#N/A</v>
      </c>
      <c r="H347" s="544">
        <v>40</v>
      </c>
      <c r="I347">
        <v>0.46167999999999998</v>
      </c>
    </row>
    <row r="348" spans="2:9">
      <c r="B348" s="545">
        <v>1</v>
      </c>
      <c r="C348" s="545" t="str">
        <f>VLOOKUP(D348,기본!$B$3:$C$90,2,0)</f>
        <v>코웨이</v>
      </c>
      <c r="D348" t="s">
        <v>1888</v>
      </c>
      <c r="E348" t="s">
        <v>1274</v>
      </c>
      <c r="F348" t="s">
        <v>1274</v>
      </c>
      <c r="G348" t="e">
        <f>VLOOKUP(E348,기본!$F$3:$G$320,2,0)</f>
        <v>#N/A</v>
      </c>
      <c r="H348" s="544">
        <v>220</v>
      </c>
      <c r="I348">
        <v>7.7662199999999997</v>
      </c>
    </row>
    <row r="349" spans="2:9">
      <c r="B349" s="545">
        <v>1</v>
      </c>
      <c r="C349" s="545" t="str">
        <f>VLOOKUP(D349,기본!$B$3:$C$90,2,0)</f>
        <v>코웨이</v>
      </c>
      <c r="D349" t="s">
        <v>1888</v>
      </c>
      <c r="E349" t="s">
        <v>1275</v>
      </c>
      <c r="F349" t="s">
        <v>1275</v>
      </c>
      <c r="G349" t="e">
        <f>VLOOKUP(E349,기본!$F$3:$G$320,2,0)</f>
        <v>#N/A</v>
      </c>
      <c r="H349" s="544">
        <v>56</v>
      </c>
      <c r="I349">
        <v>1.9921439999999999</v>
      </c>
    </row>
    <row r="350" spans="2:9">
      <c r="B350" s="545">
        <v>1</v>
      </c>
      <c r="C350" s="545" t="str">
        <f>VLOOKUP(D350,기본!$B$3:$C$90,2,0)</f>
        <v>코웨이</v>
      </c>
      <c r="D350" t="s">
        <v>1888</v>
      </c>
      <c r="E350" t="s">
        <v>1940</v>
      </c>
      <c r="F350" t="s">
        <v>1940</v>
      </c>
      <c r="G350" t="e">
        <f>VLOOKUP(E350,기본!$F$3:$G$320,2,0)</f>
        <v>#N/A</v>
      </c>
      <c r="H350" s="544">
        <v>200</v>
      </c>
      <c r="I350">
        <v>7.9231999999999996</v>
      </c>
    </row>
    <row r="351" spans="2:9">
      <c r="B351" s="545">
        <v>1</v>
      </c>
      <c r="C351" s="545" t="str">
        <f>VLOOKUP(D351,기본!$B$3:$C$90,2,0)</f>
        <v>코웨이</v>
      </c>
      <c r="D351" t="s">
        <v>1888</v>
      </c>
      <c r="E351" t="s">
        <v>1999</v>
      </c>
      <c r="F351" t="s">
        <v>1999</v>
      </c>
      <c r="G351" t="e">
        <f>VLOOKUP(E351,기본!$F$3:$G$320,2,0)</f>
        <v>#N/A</v>
      </c>
      <c r="H351" s="544">
        <v>176</v>
      </c>
      <c r="I351">
        <v>1.057056</v>
      </c>
    </row>
    <row r="352" spans="2:9">
      <c r="B352" s="545">
        <v>1</v>
      </c>
      <c r="C352" s="545" t="str">
        <f>VLOOKUP(D352,기본!$B$3:$C$90,2,0)</f>
        <v>코웨이</v>
      </c>
      <c r="D352" t="s">
        <v>1888</v>
      </c>
      <c r="E352" t="s">
        <v>1025</v>
      </c>
      <c r="F352" t="s">
        <v>1025</v>
      </c>
      <c r="G352" t="e">
        <f>VLOOKUP(E352,기본!$F$3:$G$320,2,0)</f>
        <v>#N/A</v>
      </c>
      <c r="H352" s="544">
        <v>36</v>
      </c>
      <c r="I352">
        <v>6.7860000000000004E-2</v>
      </c>
    </row>
    <row r="353" spans="2:9">
      <c r="B353" s="545">
        <v>1</v>
      </c>
      <c r="C353" s="545" t="str">
        <f>VLOOKUP(D353,기본!$B$3:$C$90,2,0)</f>
        <v>코웨이</v>
      </c>
      <c r="D353" t="s">
        <v>1888</v>
      </c>
      <c r="E353" t="s">
        <v>1984</v>
      </c>
      <c r="F353" t="s">
        <v>1984</v>
      </c>
      <c r="G353" t="e">
        <f>VLOOKUP(E353,기본!$F$3:$G$320,2,0)</f>
        <v>#N/A</v>
      </c>
      <c r="H353" s="544">
        <v>76</v>
      </c>
      <c r="I353">
        <v>0.45873599999999998</v>
      </c>
    </row>
    <row r="354" spans="2:9">
      <c r="B354" s="545">
        <v>1</v>
      </c>
      <c r="C354" s="545" t="str">
        <f>VLOOKUP(D354,기본!$B$3:$C$90,2,0)</f>
        <v>코웨이</v>
      </c>
      <c r="D354" t="s">
        <v>1888</v>
      </c>
      <c r="E354" t="s">
        <v>1925</v>
      </c>
      <c r="F354" t="s">
        <v>1925</v>
      </c>
      <c r="G354" t="e">
        <f>VLOOKUP(E354,기본!$F$3:$G$320,2,0)</f>
        <v>#N/A</v>
      </c>
      <c r="H354" s="544">
        <v>24</v>
      </c>
      <c r="I354">
        <v>0.158112</v>
      </c>
    </row>
    <row r="355" spans="2:9">
      <c r="B355" s="545">
        <v>1</v>
      </c>
      <c r="C355" s="545" t="str">
        <f>VLOOKUP(D355,기본!$B$3:$C$90,2,0)</f>
        <v>코웨이</v>
      </c>
      <c r="D355" t="s">
        <v>1888</v>
      </c>
      <c r="E355" t="s">
        <v>1926</v>
      </c>
      <c r="F355" t="s">
        <v>1926</v>
      </c>
      <c r="G355" t="e">
        <f>VLOOKUP(E355,기본!$F$3:$G$320,2,0)</f>
        <v>#N/A</v>
      </c>
      <c r="H355" s="544">
        <v>264</v>
      </c>
      <c r="I355">
        <v>1.742928</v>
      </c>
    </row>
    <row r="356" spans="2:9">
      <c r="B356" s="545">
        <v>1</v>
      </c>
      <c r="C356" s="545" t="str">
        <f>VLOOKUP(D356,기본!$B$3:$C$90,2,0)</f>
        <v>코웨이</v>
      </c>
      <c r="D356" t="s">
        <v>1888</v>
      </c>
      <c r="E356" t="s">
        <v>1927</v>
      </c>
      <c r="F356" t="s">
        <v>1927</v>
      </c>
      <c r="G356" t="e">
        <f>VLOOKUP(E356,기본!$F$3:$G$320,2,0)</f>
        <v>#N/A</v>
      </c>
      <c r="H356" s="544">
        <v>56</v>
      </c>
      <c r="I356">
        <v>2.184056</v>
      </c>
    </row>
    <row r="357" spans="2:9">
      <c r="B357" s="545">
        <v>1</v>
      </c>
      <c r="C357" s="545" t="str">
        <f>VLOOKUP(D357,기본!$B$3:$C$90,2,0)</f>
        <v>코웨이</v>
      </c>
      <c r="D357" t="s">
        <v>1888</v>
      </c>
      <c r="E357" t="s">
        <v>1225</v>
      </c>
      <c r="F357" t="s">
        <v>1225</v>
      </c>
      <c r="G357" t="e">
        <f>VLOOKUP(E357,기본!$F$3:$G$320,2,0)</f>
        <v>#N/A</v>
      </c>
      <c r="H357" s="544">
        <v>2619</v>
      </c>
      <c r="I357">
        <v>20.307725999999999</v>
      </c>
    </row>
    <row r="358" spans="2:9">
      <c r="B358" s="545">
        <v>1</v>
      </c>
      <c r="C358" s="545" t="str">
        <f>VLOOKUP(D358,기본!$B$3:$C$90,2,0)</f>
        <v>코웨이</v>
      </c>
      <c r="D358" t="s">
        <v>1888</v>
      </c>
      <c r="E358" t="s">
        <v>1226</v>
      </c>
      <c r="F358" t="s">
        <v>1226</v>
      </c>
      <c r="G358" t="e">
        <f>VLOOKUP(E358,기본!$F$3:$G$320,2,0)</f>
        <v>#N/A</v>
      </c>
      <c r="H358" s="544">
        <v>503</v>
      </c>
      <c r="I358">
        <v>3.8776760000000001</v>
      </c>
    </row>
    <row r="359" spans="2:9">
      <c r="B359" s="545">
        <v>1</v>
      </c>
      <c r="C359" s="545" t="str">
        <f>VLOOKUP(D359,기본!$B$3:$C$90,2,0)</f>
        <v>코웨이</v>
      </c>
      <c r="D359" t="s">
        <v>1888</v>
      </c>
      <c r="E359" t="s">
        <v>1928</v>
      </c>
      <c r="F359" t="s">
        <v>1928</v>
      </c>
      <c r="G359" t="e">
        <f>VLOOKUP(E359,기본!$F$3:$G$320,2,0)</f>
        <v>#N/A</v>
      </c>
      <c r="H359" s="544">
        <v>24</v>
      </c>
      <c r="I359">
        <v>0.21804000000000001</v>
      </c>
    </row>
    <row r="360" spans="2:9">
      <c r="B360" s="545">
        <v>1</v>
      </c>
      <c r="C360" s="545" t="str">
        <f>VLOOKUP(D360,기본!$B$3:$C$90,2,0)</f>
        <v>코웨이</v>
      </c>
      <c r="D360" t="s">
        <v>1929</v>
      </c>
      <c r="E360" t="s">
        <v>1140</v>
      </c>
      <c r="F360" t="s">
        <v>1140</v>
      </c>
      <c r="G360" t="e">
        <f>VLOOKUP(E360,기본!$F$3:$G$320,2,0)</f>
        <v>#N/A</v>
      </c>
      <c r="H360" s="544">
        <v>12</v>
      </c>
      <c r="I360">
        <v>0.31187999999999999</v>
      </c>
    </row>
    <row r="361" spans="2:9">
      <c r="B361" s="545">
        <v>1</v>
      </c>
      <c r="C361" s="545" t="str">
        <f>VLOOKUP(D361,기본!$B$3:$C$90,2,0)</f>
        <v>코웨이</v>
      </c>
      <c r="D361" t="s">
        <v>1929</v>
      </c>
      <c r="E361" t="s">
        <v>1893</v>
      </c>
      <c r="F361" t="s">
        <v>1893</v>
      </c>
      <c r="G361" t="e">
        <f>VLOOKUP(E361,기본!$F$3:$G$320,2,0)</f>
        <v>#N/A</v>
      </c>
      <c r="H361" s="544">
        <v>1262</v>
      </c>
      <c r="I361">
        <v>15.539006000000001</v>
      </c>
    </row>
    <row r="362" spans="2:9">
      <c r="B362" s="545">
        <v>1</v>
      </c>
      <c r="C362" s="545" t="str">
        <f>VLOOKUP(D362,기본!$B$3:$C$90,2,0)</f>
        <v>코웨이</v>
      </c>
      <c r="D362" t="s">
        <v>1929</v>
      </c>
      <c r="E362" t="s">
        <v>2426</v>
      </c>
      <c r="F362" t="s">
        <v>2426</v>
      </c>
      <c r="G362" t="e">
        <f>VLOOKUP(E362,기본!$F$3:$G$320,2,0)</f>
        <v>#N/A</v>
      </c>
      <c r="H362" s="544">
        <v>126</v>
      </c>
      <c r="I362">
        <v>0.58123800000000003</v>
      </c>
    </row>
    <row r="363" spans="2:9">
      <c r="B363" s="545">
        <v>1</v>
      </c>
      <c r="C363" s="545" t="str">
        <f>VLOOKUP(D363,기본!$B$3:$C$90,2,0)</f>
        <v>코웨이</v>
      </c>
      <c r="D363" t="s">
        <v>1929</v>
      </c>
      <c r="E363" t="s">
        <v>1985</v>
      </c>
      <c r="F363" t="s">
        <v>1985</v>
      </c>
      <c r="G363" t="e">
        <f>VLOOKUP(E363,기본!$F$3:$G$320,2,0)</f>
        <v>#N/A</v>
      </c>
      <c r="H363" s="544">
        <v>50</v>
      </c>
      <c r="I363">
        <v>0.91264999999999996</v>
      </c>
    </row>
    <row r="364" spans="2:9">
      <c r="B364" s="545">
        <v>1</v>
      </c>
      <c r="C364" s="545" t="str">
        <f>VLOOKUP(D364,기본!$B$3:$C$90,2,0)</f>
        <v>코웨이</v>
      </c>
      <c r="D364" t="s">
        <v>1929</v>
      </c>
      <c r="E364" t="s">
        <v>1930</v>
      </c>
      <c r="F364" t="s">
        <v>1930</v>
      </c>
      <c r="G364" t="e">
        <f>VLOOKUP(E364,기본!$F$3:$G$320,2,0)</f>
        <v>#N/A</v>
      </c>
      <c r="H364" s="544">
        <v>4416</v>
      </c>
      <c r="I364">
        <v>80.611559999999983</v>
      </c>
    </row>
    <row r="365" spans="2:9">
      <c r="B365" s="545">
        <v>1</v>
      </c>
      <c r="C365" s="545" t="str">
        <f>VLOOKUP(D365,기본!$B$3:$C$90,2,0)</f>
        <v>코웨이</v>
      </c>
      <c r="D365" t="s">
        <v>1929</v>
      </c>
      <c r="E365" t="s">
        <v>1931</v>
      </c>
      <c r="F365" t="s">
        <v>1931</v>
      </c>
      <c r="G365" t="e">
        <f>VLOOKUP(E365,기본!$F$3:$G$320,2,0)</f>
        <v>#N/A</v>
      </c>
      <c r="H365" s="544">
        <v>224</v>
      </c>
      <c r="I365">
        <v>4.1597200000000001</v>
      </c>
    </row>
    <row r="366" spans="2:9">
      <c r="B366" s="545">
        <v>1</v>
      </c>
      <c r="C366" s="545" t="str">
        <f>VLOOKUP(D366,기본!$B$3:$C$90,2,0)</f>
        <v>코웨이</v>
      </c>
      <c r="D366" t="s">
        <v>1929</v>
      </c>
      <c r="E366" t="s">
        <v>1896</v>
      </c>
      <c r="F366" t="s">
        <v>1896</v>
      </c>
      <c r="G366" t="e">
        <f>VLOOKUP(E366,기본!$F$3:$G$320,2,0)</f>
        <v>#N/A</v>
      </c>
      <c r="H366" s="544">
        <v>1272</v>
      </c>
      <c r="I366">
        <v>18.569928000000001</v>
      </c>
    </row>
    <row r="367" spans="2:9">
      <c r="B367" s="545">
        <v>1</v>
      </c>
      <c r="C367" s="545" t="str">
        <f>VLOOKUP(D367,기본!$B$3:$C$90,2,0)</f>
        <v>코웨이</v>
      </c>
      <c r="D367" t="s">
        <v>1929</v>
      </c>
      <c r="E367" t="s">
        <v>2000</v>
      </c>
      <c r="F367" t="s">
        <v>2000</v>
      </c>
      <c r="G367" t="e">
        <f>VLOOKUP(E367,기본!$F$3:$G$320,2,0)</f>
        <v>#N/A</v>
      </c>
      <c r="H367" s="544">
        <v>1261</v>
      </c>
      <c r="I367">
        <v>46.839844999999997</v>
      </c>
    </row>
    <row r="368" spans="2:9">
      <c r="B368" s="545">
        <v>1</v>
      </c>
      <c r="C368" s="545" t="str">
        <f>VLOOKUP(D368,기본!$B$3:$C$90,2,0)</f>
        <v>코웨이</v>
      </c>
      <c r="D368" t="s">
        <v>1929</v>
      </c>
      <c r="E368" t="s">
        <v>2001</v>
      </c>
      <c r="F368" t="s">
        <v>2001</v>
      </c>
      <c r="G368" t="e">
        <f>VLOOKUP(E368,기본!$F$3:$G$320,2,0)</f>
        <v>#N/A</v>
      </c>
      <c r="H368" s="544">
        <v>1261</v>
      </c>
      <c r="I368">
        <v>13.762554</v>
      </c>
    </row>
    <row r="369" spans="2:9">
      <c r="B369" s="545">
        <v>1</v>
      </c>
      <c r="C369" s="545" t="str">
        <f>VLOOKUP(D369,기본!$B$3:$C$90,2,0)</f>
        <v>코웨이</v>
      </c>
      <c r="D369" t="s">
        <v>1929</v>
      </c>
      <c r="E369" t="s">
        <v>2235</v>
      </c>
      <c r="F369" t="s">
        <v>2235</v>
      </c>
      <c r="G369" t="e">
        <f>VLOOKUP(E369,기본!$F$3:$G$320,2,0)</f>
        <v>#N/A</v>
      </c>
      <c r="H369" s="544">
        <v>12</v>
      </c>
      <c r="I369">
        <v>0.20439600000000002</v>
      </c>
    </row>
    <row r="370" spans="2:9">
      <c r="B370" s="545">
        <v>1</v>
      </c>
      <c r="C370" s="545" t="str">
        <f>VLOOKUP(D370,기본!$B$3:$C$90,2,0)</f>
        <v>코웨이</v>
      </c>
      <c r="D370" t="s">
        <v>1929</v>
      </c>
      <c r="E370" t="s">
        <v>1489</v>
      </c>
      <c r="F370" t="s">
        <v>1489</v>
      </c>
      <c r="G370" t="e">
        <f>VLOOKUP(E370,기본!$F$3:$G$320,2,0)</f>
        <v>#N/A</v>
      </c>
      <c r="H370" s="544">
        <v>5</v>
      </c>
      <c r="I370">
        <v>3.4575000000000002E-2</v>
      </c>
    </row>
    <row r="371" spans="2:9">
      <c r="B371" s="545">
        <v>1</v>
      </c>
      <c r="C371" s="545" t="str">
        <f>VLOOKUP(D371,기본!$B$3:$C$90,2,0)</f>
        <v>코웨이</v>
      </c>
      <c r="D371" t="s">
        <v>1929</v>
      </c>
      <c r="E371" t="s">
        <v>2021</v>
      </c>
      <c r="F371" t="s">
        <v>2021</v>
      </c>
      <c r="G371" t="e">
        <f>VLOOKUP(E371,기본!$F$3:$G$320,2,0)</f>
        <v>#N/A</v>
      </c>
      <c r="H371" s="544">
        <v>5262</v>
      </c>
      <c r="I371">
        <v>46.300337999999996</v>
      </c>
    </row>
    <row r="372" spans="2:9">
      <c r="B372" s="545">
        <v>1</v>
      </c>
      <c r="C372" s="545" t="str">
        <f>VLOOKUP(D372,기본!$B$3:$C$90,2,0)</f>
        <v>코웨이</v>
      </c>
      <c r="D372" t="s">
        <v>1929</v>
      </c>
      <c r="E372" t="s">
        <v>873</v>
      </c>
      <c r="F372" t="s">
        <v>873</v>
      </c>
      <c r="G372" t="e">
        <f>VLOOKUP(E372,기본!$F$3:$G$320,2,0)</f>
        <v>#N/A</v>
      </c>
      <c r="H372" s="544">
        <v>1626</v>
      </c>
      <c r="I372">
        <v>12.338126000000001</v>
      </c>
    </row>
    <row r="373" spans="2:9">
      <c r="B373" s="545">
        <v>1</v>
      </c>
      <c r="C373" s="545" t="str">
        <f>VLOOKUP(D373,기본!$B$3:$C$90,2,0)</f>
        <v>코웨이</v>
      </c>
      <c r="D373" t="s">
        <v>1929</v>
      </c>
      <c r="E373" t="s">
        <v>874</v>
      </c>
      <c r="F373" t="s">
        <v>874</v>
      </c>
      <c r="G373" t="e">
        <f>VLOOKUP(E373,기본!$F$3:$G$320,2,0)</f>
        <v>#N/A</v>
      </c>
      <c r="H373" s="544">
        <v>357</v>
      </c>
      <c r="I373">
        <v>6.9904169999999999</v>
      </c>
    </row>
    <row r="374" spans="2:9">
      <c r="B374" s="545">
        <v>1</v>
      </c>
      <c r="C374" s="545" t="str">
        <f>VLOOKUP(D374,기본!$B$3:$C$90,2,0)</f>
        <v>코웨이</v>
      </c>
      <c r="D374" t="s">
        <v>1929</v>
      </c>
      <c r="E374" t="s">
        <v>1932</v>
      </c>
      <c r="F374" t="s">
        <v>1932</v>
      </c>
      <c r="G374" t="e">
        <f>VLOOKUP(E374,기본!$F$3:$G$320,2,0)</f>
        <v>#N/A</v>
      </c>
      <c r="H374" s="544">
        <v>856</v>
      </c>
      <c r="I374">
        <v>16.806708</v>
      </c>
    </row>
    <row r="375" spans="2:9">
      <c r="B375" s="545">
        <v>1</v>
      </c>
      <c r="C375" s="545" t="str">
        <f>VLOOKUP(D375,기본!$B$3:$C$90,2,0)</f>
        <v>코웨이</v>
      </c>
      <c r="D375" t="s">
        <v>1929</v>
      </c>
      <c r="E375" t="s">
        <v>1933</v>
      </c>
      <c r="F375" t="s">
        <v>1933</v>
      </c>
      <c r="G375" t="e">
        <f>VLOOKUP(E375,기본!$F$3:$G$320,2,0)</f>
        <v>#N/A</v>
      </c>
      <c r="H375" s="544">
        <v>420</v>
      </c>
      <c r="I375">
        <v>7.0421399999999998</v>
      </c>
    </row>
    <row r="376" spans="2:9">
      <c r="B376" s="545">
        <v>1</v>
      </c>
      <c r="C376" s="545" t="str">
        <f>VLOOKUP(D376,기본!$B$3:$C$90,2,0)</f>
        <v>코웨이</v>
      </c>
      <c r="D376" t="s">
        <v>1929</v>
      </c>
      <c r="E376" t="s">
        <v>1934</v>
      </c>
      <c r="F376" t="s">
        <v>1934</v>
      </c>
      <c r="G376" t="e">
        <f>VLOOKUP(E376,기본!$F$3:$G$320,2,0)</f>
        <v>#N/A</v>
      </c>
      <c r="H376" s="544">
        <v>264</v>
      </c>
      <c r="I376">
        <v>3.6883439999999998</v>
      </c>
    </row>
    <row r="377" spans="2:9">
      <c r="B377" s="545">
        <v>1</v>
      </c>
      <c r="C377" s="545" t="str">
        <f>VLOOKUP(D377,기본!$B$3:$C$90,2,0)</f>
        <v>코웨이</v>
      </c>
      <c r="D377" t="s">
        <v>1929</v>
      </c>
      <c r="E377" t="s">
        <v>1935</v>
      </c>
      <c r="F377" t="s">
        <v>1935</v>
      </c>
      <c r="G377" t="e">
        <f>VLOOKUP(E377,기본!$F$3:$G$320,2,0)</f>
        <v>#N/A</v>
      </c>
      <c r="H377" s="544">
        <v>15606</v>
      </c>
      <c r="I377">
        <v>233.22815300000002</v>
      </c>
    </row>
    <row r="378" spans="2:9">
      <c r="B378" s="545">
        <v>1</v>
      </c>
      <c r="C378" s="545" t="str">
        <f>VLOOKUP(D378,기본!$B$3:$C$90,2,0)</f>
        <v>코웨이</v>
      </c>
      <c r="D378" t="s">
        <v>1929</v>
      </c>
      <c r="E378" t="s">
        <v>2163</v>
      </c>
      <c r="F378" t="s">
        <v>2163</v>
      </c>
      <c r="G378" t="e">
        <f>VLOOKUP(E378,기본!$F$3:$G$320,2,0)</f>
        <v>#N/A</v>
      </c>
      <c r="H378" s="544">
        <v>1175</v>
      </c>
      <c r="I378">
        <v>17.169599999999999</v>
      </c>
    </row>
    <row r="379" spans="2:9">
      <c r="B379" s="545">
        <v>1</v>
      </c>
      <c r="C379" s="545" t="str">
        <f>VLOOKUP(D379,기본!$B$3:$C$90,2,0)</f>
        <v>코웨이</v>
      </c>
      <c r="D379" t="s">
        <v>1929</v>
      </c>
      <c r="E379" t="s">
        <v>1936</v>
      </c>
      <c r="F379" t="s">
        <v>1936</v>
      </c>
      <c r="G379" t="e">
        <f>VLOOKUP(E379,기본!$F$3:$G$320,2,0)</f>
        <v>#N/A</v>
      </c>
      <c r="H379" s="544">
        <v>117</v>
      </c>
      <c r="I379">
        <v>2.7041040000000001</v>
      </c>
    </row>
    <row r="380" spans="2:9">
      <c r="B380" s="545">
        <v>1</v>
      </c>
      <c r="C380" s="545" t="str">
        <f>VLOOKUP(D380,기본!$B$3:$C$90,2,0)</f>
        <v>코웨이</v>
      </c>
      <c r="D380" t="s">
        <v>1929</v>
      </c>
      <c r="E380" t="s">
        <v>1937</v>
      </c>
      <c r="F380" t="s">
        <v>1937</v>
      </c>
      <c r="G380" t="e">
        <f>VLOOKUP(E380,기본!$F$3:$G$320,2,0)</f>
        <v>#N/A</v>
      </c>
      <c r="H380" s="544">
        <v>878</v>
      </c>
      <c r="I380">
        <v>20.399886000000002</v>
      </c>
    </row>
    <row r="381" spans="2:9">
      <c r="B381" s="545">
        <v>1</v>
      </c>
      <c r="C381" s="545" t="str">
        <f>VLOOKUP(D381,기본!$B$3:$C$90,2,0)</f>
        <v>코웨이</v>
      </c>
      <c r="D381" t="s">
        <v>1929</v>
      </c>
      <c r="E381" t="s">
        <v>1938</v>
      </c>
      <c r="F381" t="s">
        <v>1938</v>
      </c>
      <c r="G381" t="e">
        <f>VLOOKUP(E381,기본!$F$3:$G$320,2,0)</f>
        <v>#N/A</v>
      </c>
      <c r="H381" s="544">
        <v>4763</v>
      </c>
      <c r="I381">
        <v>93.332150999999982</v>
      </c>
    </row>
    <row r="382" spans="2:9">
      <c r="B382" s="545">
        <v>1</v>
      </c>
      <c r="C382" s="545" t="str">
        <f>VLOOKUP(D382,기본!$B$3:$C$90,2,0)</f>
        <v>코웨이</v>
      </c>
      <c r="D382" t="s">
        <v>1929</v>
      </c>
      <c r="E382" t="s">
        <v>2319</v>
      </c>
      <c r="F382" t="s">
        <v>2319</v>
      </c>
      <c r="G382" t="e">
        <f>VLOOKUP(E382,기본!$F$3:$G$320,2,0)</f>
        <v>#N/A</v>
      </c>
      <c r="H382" s="544">
        <v>3000</v>
      </c>
      <c r="I382">
        <v>58.457999999999998</v>
      </c>
    </row>
    <row r="383" spans="2:9">
      <c r="B383" s="545">
        <v>1</v>
      </c>
      <c r="C383" s="545" t="str">
        <f>VLOOKUP(D383,기본!$B$3:$C$90,2,0)</f>
        <v>코웨이</v>
      </c>
      <c r="D383" t="s">
        <v>1929</v>
      </c>
      <c r="E383" t="s">
        <v>2249</v>
      </c>
      <c r="F383" t="s">
        <v>2249</v>
      </c>
      <c r="G383" t="e">
        <f>VLOOKUP(E383,기본!$F$3:$G$320,2,0)</f>
        <v>#N/A</v>
      </c>
      <c r="H383" s="544">
        <v>5506</v>
      </c>
      <c r="I383">
        <v>40.529666000000006</v>
      </c>
    </row>
    <row r="384" spans="2:9">
      <c r="B384" s="545">
        <v>1</v>
      </c>
      <c r="C384" s="545" t="str">
        <f>VLOOKUP(D384,기본!$B$3:$C$90,2,0)</f>
        <v>코웨이</v>
      </c>
      <c r="D384" t="s">
        <v>1929</v>
      </c>
      <c r="E384" t="s">
        <v>2468</v>
      </c>
      <c r="F384" t="s">
        <v>2468</v>
      </c>
      <c r="G384" t="e">
        <f>VLOOKUP(E384,기본!$F$3:$G$320,2,0)</f>
        <v>#N/A</v>
      </c>
      <c r="H384" s="544">
        <v>120</v>
      </c>
      <c r="I384">
        <v>0.65639999999999998</v>
      </c>
    </row>
    <row r="385" spans="2:9">
      <c r="B385" s="545">
        <v>1</v>
      </c>
      <c r="C385" s="545" t="str">
        <f>VLOOKUP(D385,기본!$B$3:$C$90,2,0)</f>
        <v>코웨이</v>
      </c>
      <c r="D385" t="s">
        <v>1929</v>
      </c>
      <c r="E385" t="s">
        <v>2258</v>
      </c>
      <c r="F385" t="s">
        <v>2258</v>
      </c>
      <c r="G385" t="e">
        <f>VLOOKUP(E385,기본!$F$3:$G$320,2,0)</f>
        <v>#N/A</v>
      </c>
      <c r="H385" s="544">
        <v>5653</v>
      </c>
      <c r="I385">
        <v>112.75915899999998</v>
      </c>
    </row>
    <row r="386" spans="2:9">
      <c r="B386" s="545">
        <v>1</v>
      </c>
      <c r="C386" s="545" t="str">
        <f>VLOOKUP(D386,기본!$B$3:$C$90,2,0)</f>
        <v>코웨이</v>
      </c>
      <c r="D386" t="s">
        <v>1929</v>
      </c>
      <c r="E386" t="s">
        <v>2236</v>
      </c>
      <c r="F386" t="s">
        <v>2236</v>
      </c>
      <c r="G386" t="e">
        <f>VLOOKUP(E386,기본!$F$3:$G$320,2,0)</f>
        <v>#N/A</v>
      </c>
      <c r="H386" s="544">
        <v>8458</v>
      </c>
      <c r="I386">
        <v>232.97082799999995</v>
      </c>
    </row>
    <row r="387" spans="2:9">
      <c r="B387" s="545">
        <v>1</v>
      </c>
      <c r="C387" s="545" t="str">
        <f>VLOOKUP(D387,기본!$B$3:$C$90,2,0)</f>
        <v>코웨이</v>
      </c>
      <c r="D387" t="s">
        <v>1929</v>
      </c>
      <c r="E387" t="s">
        <v>1923</v>
      </c>
      <c r="F387" t="s">
        <v>1923</v>
      </c>
      <c r="G387" t="e">
        <f>VLOOKUP(E387,기본!$F$3:$G$320,2,0)</f>
        <v>#N/A</v>
      </c>
      <c r="H387" s="544">
        <v>3588</v>
      </c>
      <c r="I387">
        <v>124.09098</v>
      </c>
    </row>
    <row r="388" spans="2:9">
      <c r="B388" s="545">
        <v>1</v>
      </c>
      <c r="C388" s="545" t="str">
        <f>VLOOKUP(D388,기본!$B$3:$C$90,2,0)</f>
        <v>코웨이</v>
      </c>
      <c r="D388" t="s">
        <v>1929</v>
      </c>
      <c r="E388" t="s">
        <v>1939</v>
      </c>
      <c r="F388" t="s">
        <v>1939</v>
      </c>
      <c r="G388" t="e">
        <f>VLOOKUP(E388,기본!$F$3:$G$320,2,0)</f>
        <v>#N/A</v>
      </c>
      <c r="H388" s="544">
        <v>681</v>
      </c>
      <c r="I388">
        <v>24.825174000000001</v>
      </c>
    </row>
    <row r="389" spans="2:9">
      <c r="B389" s="545">
        <v>1</v>
      </c>
      <c r="C389" s="545" t="str">
        <f>VLOOKUP(D389,기본!$B$3:$C$90,2,0)</f>
        <v>코웨이</v>
      </c>
      <c r="D389" t="s">
        <v>1929</v>
      </c>
      <c r="E389" t="s">
        <v>1940</v>
      </c>
      <c r="F389" t="s">
        <v>1940</v>
      </c>
      <c r="G389" t="e">
        <f>VLOOKUP(E389,기본!$F$3:$G$320,2,0)</f>
        <v>#N/A</v>
      </c>
      <c r="H389" s="544">
        <v>936</v>
      </c>
      <c r="I389">
        <v>34.368983999999998</v>
      </c>
    </row>
    <row r="390" spans="2:9">
      <c r="B390" s="545">
        <v>1</v>
      </c>
      <c r="C390" s="545" t="str">
        <f>VLOOKUP(D390,기본!$B$3:$C$90,2,0)</f>
        <v>코웨이</v>
      </c>
      <c r="D390" t="s">
        <v>1929</v>
      </c>
      <c r="E390" t="s">
        <v>2002</v>
      </c>
      <c r="F390" t="s">
        <v>2002</v>
      </c>
      <c r="G390" t="e">
        <f>VLOOKUP(E390,기본!$F$3:$G$320,2,0)</f>
        <v>#N/A</v>
      </c>
      <c r="H390" s="544">
        <v>718</v>
      </c>
      <c r="I390">
        <v>27.865580000000001</v>
      </c>
    </row>
    <row r="391" spans="2:9">
      <c r="B391" s="545">
        <v>1</v>
      </c>
      <c r="C391" s="545" t="str">
        <f>VLOOKUP(D391,기본!$B$3:$C$90,2,0)</f>
        <v>코웨이</v>
      </c>
      <c r="D391" t="s">
        <v>1929</v>
      </c>
      <c r="E391" t="s">
        <v>1924</v>
      </c>
      <c r="F391" t="s">
        <v>1924</v>
      </c>
      <c r="G391" t="e">
        <f>VLOOKUP(E391,기본!$F$3:$G$320,2,0)</f>
        <v>#N/A</v>
      </c>
      <c r="H391" s="544">
        <v>150</v>
      </c>
      <c r="I391">
        <v>5.9261999999999997</v>
      </c>
    </row>
    <row r="392" spans="2:9">
      <c r="B392" s="545">
        <v>1</v>
      </c>
      <c r="C392" s="545" t="str">
        <f>VLOOKUP(D392,기본!$B$3:$C$90,2,0)</f>
        <v>코웨이</v>
      </c>
      <c r="D392" t="s">
        <v>1941</v>
      </c>
      <c r="E392" t="s">
        <v>1892</v>
      </c>
      <c r="F392" t="s">
        <v>1892</v>
      </c>
      <c r="G392" t="e">
        <f>VLOOKUP(E392,기본!$F$3:$G$320,2,0)</f>
        <v>#N/A</v>
      </c>
      <c r="H392" s="544">
        <v>2471</v>
      </c>
      <c r="I392">
        <v>20.635321000000001</v>
      </c>
    </row>
    <row r="393" spans="2:9">
      <c r="B393" s="545">
        <v>1</v>
      </c>
      <c r="C393" s="545" t="str">
        <f>VLOOKUP(D393,기본!$B$3:$C$90,2,0)</f>
        <v>코웨이</v>
      </c>
      <c r="D393" t="s">
        <v>1941</v>
      </c>
      <c r="E393" t="s">
        <v>1047</v>
      </c>
      <c r="F393" t="s">
        <v>1047</v>
      </c>
      <c r="G393" t="e">
        <f>VLOOKUP(E393,기본!$F$3:$G$320,2,0)</f>
        <v>#N/A</v>
      </c>
      <c r="H393" s="544">
        <v>2210</v>
      </c>
      <c r="I393">
        <v>12.510809999999998</v>
      </c>
    </row>
    <row r="394" spans="2:9">
      <c r="B394" s="545">
        <v>1</v>
      </c>
      <c r="C394" s="545" t="str">
        <f>VLOOKUP(D394,기본!$B$3:$C$90,2,0)</f>
        <v>코웨이</v>
      </c>
      <c r="D394" t="s">
        <v>1941</v>
      </c>
      <c r="E394" t="s">
        <v>1048</v>
      </c>
      <c r="F394" t="s">
        <v>1048</v>
      </c>
      <c r="G394" t="e">
        <f>VLOOKUP(E394,기본!$F$3:$G$320,2,0)</f>
        <v>#N/A</v>
      </c>
      <c r="H394" s="544">
        <v>2210</v>
      </c>
      <c r="I394">
        <v>7.2929999999999993</v>
      </c>
    </row>
    <row r="395" spans="2:9">
      <c r="B395" s="545">
        <v>1</v>
      </c>
      <c r="C395" s="545" t="str">
        <f>VLOOKUP(D395,기본!$B$3:$C$90,2,0)</f>
        <v>코웨이</v>
      </c>
      <c r="D395" t="s">
        <v>1941</v>
      </c>
      <c r="E395" t="s">
        <v>1942</v>
      </c>
      <c r="F395" t="s">
        <v>1942</v>
      </c>
      <c r="G395" t="e">
        <f>VLOOKUP(E395,기본!$F$3:$G$320,2,0)</f>
        <v>#N/A</v>
      </c>
      <c r="H395" s="544">
        <v>601</v>
      </c>
      <c r="I395">
        <v>5.7191159999999996</v>
      </c>
    </row>
    <row r="396" spans="2:9">
      <c r="B396" s="545">
        <v>1</v>
      </c>
      <c r="C396" s="545" t="str">
        <f>VLOOKUP(D396,기본!$B$3:$C$90,2,0)</f>
        <v>코웨이</v>
      </c>
      <c r="D396" t="s">
        <v>1941</v>
      </c>
      <c r="E396" t="s">
        <v>1043</v>
      </c>
      <c r="F396" t="s">
        <v>1043</v>
      </c>
      <c r="G396" t="e">
        <f>VLOOKUP(E396,기본!$F$3:$G$320,2,0)</f>
        <v>#N/A</v>
      </c>
      <c r="H396" s="544">
        <v>5592</v>
      </c>
      <c r="I396">
        <v>66.388224000000008</v>
      </c>
    </row>
    <row r="397" spans="2:9">
      <c r="B397" s="545">
        <v>1</v>
      </c>
      <c r="C397" s="545" t="str">
        <f>VLOOKUP(D397,기본!$B$3:$C$90,2,0)</f>
        <v>코웨이</v>
      </c>
      <c r="D397" t="s">
        <v>1941</v>
      </c>
      <c r="E397" t="s">
        <v>1072</v>
      </c>
      <c r="F397" t="s">
        <v>1072</v>
      </c>
      <c r="G397" t="e">
        <f>VLOOKUP(E397,기본!$F$3:$G$320,2,0)</f>
        <v>#N/A</v>
      </c>
      <c r="H397" s="544">
        <v>260</v>
      </c>
      <c r="I397">
        <v>4.9931800000000006</v>
      </c>
    </row>
    <row r="398" spans="2:9">
      <c r="B398" s="545">
        <v>1</v>
      </c>
      <c r="C398" s="545" t="str">
        <f>VLOOKUP(D398,기본!$B$3:$C$90,2,0)</f>
        <v>코웨이</v>
      </c>
      <c r="D398" t="s">
        <v>1941</v>
      </c>
      <c r="E398" t="s">
        <v>2061</v>
      </c>
      <c r="F398" t="s">
        <v>2061</v>
      </c>
      <c r="G398" t="e">
        <f>VLOOKUP(E398,기본!$F$3:$G$320,2,0)</f>
        <v>#N/A</v>
      </c>
      <c r="H398" s="544">
        <v>848</v>
      </c>
      <c r="I398">
        <v>14.750960000000001</v>
      </c>
    </row>
    <row r="399" spans="2:9">
      <c r="B399" s="545">
        <v>1</v>
      </c>
      <c r="C399" s="545" t="str">
        <f>VLOOKUP(D399,기본!$B$3:$C$90,2,0)</f>
        <v>코웨이</v>
      </c>
      <c r="D399" t="s">
        <v>1941</v>
      </c>
      <c r="E399" t="s">
        <v>1925</v>
      </c>
      <c r="F399" t="s">
        <v>1925</v>
      </c>
      <c r="G399" t="e">
        <f>VLOOKUP(E399,기본!$F$3:$G$320,2,0)</f>
        <v>#N/A</v>
      </c>
      <c r="H399" s="544">
        <v>2210</v>
      </c>
      <c r="I399">
        <v>13.116350000000001</v>
      </c>
    </row>
    <row r="400" spans="2:9">
      <c r="B400" s="545">
        <v>1</v>
      </c>
      <c r="C400" s="545" t="str">
        <f>VLOOKUP(D400,기본!$B$3:$C$90,2,0)</f>
        <v>코웨이</v>
      </c>
      <c r="D400" t="s">
        <v>1943</v>
      </c>
      <c r="E400" t="s">
        <v>1944</v>
      </c>
      <c r="F400" t="s">
        <v>1944</v>
      </c>
      <c r="G400" t="e">
        <f>VLOOKUP(E400,기본!$F$3:$G$320,2,0)</f>
        <v>#N/A</v>
      </c>
      <c r="H400" s="544">
        <v>624</v>
      </c>
      <c r="I400">
        <v>11.333088</v>
      </c>
    </row>
    <row r="401" spans="2:9">
      <c r="B401" s="545">
        <v>1</v>
      </c>
      <c r="C401" s="545" t="str">
        <f>VLOOKUP(D401,기본!$B$3:$C$90,2,0)</f>
        <v>코웨이</v>
      </c>
      <c r="D401" t="s">
        <v>1943</v>
      </c>
      <c r="E401" t="s">
        <v>1923</v>
      </c>
      <c r="F401" t="s">
        <v>1923</v>
      </c>
      <c r="G401" t="e">
        <f>VLOOKUP(E401,기본!$F$3:$G$320,2,0)</f>
        <v>#N/A</v>
      </c>
      <c r="H401" s="544">
        <v>7344</v>
      </c>
      <c r="I401">
        <v>237.98231999999999</v>
      </c>
    </row>
    <row r="402" spans="2:9">
      <c r="B402" s="545">
        <v>1</v>
      </c>
      <c r="C402" s="545" t="str">
        <f>VLOOKUP(D402,기본!$B$3:$C$90,2,0)</f>
        <v>코웨이</v>
      </c>
      <c r="D402" t="s">
        <v>1943</v>
      </c>
      <c r="E402" t="s">
        <v>1939</v>
      </c>
      <c r="F402" t="s">
        <v>1939</v>
      </c>
      <c r="G402" t="e">
        <f>VLOOKUP(E402,기본!$F$3:$G$320,2,0)</f>
        <v>#N/A</v>
      </c>
      <c r="H402" s="544">
        <v>432</v>
      </c>
      <c r="I402">
        <v>14.044752000000001</v>
      </c>
    </row>
    <row r="403" spans="2:9">
      <c r="B403" s="545">
        <v>1</v>
      </c>
      <c r="C403" s="545" t="str">
        <f>VLOOKUP(D403,기본!$B$3:$C$90,2,0)</f>
        <v>삼성 생활가전</v>
      </c>
      <c r="D403" t="s">
        <v>1945</v>
      </c>
      <c r="E403" t="s">
        <v>1946</v>
      </c>
      <c r="F403" t="s">
        <v>1946</v>
      </c>
      <c r="G403" t="e">
        <f>VLOOKUP(E403,기본!$F$3:$G$320,2,0)</f>
        <v>#N/A</v>
      </c>
      <c r="H403" s="544">
        <v>12</v>
      </c>
      <c r="I403">
        <v>0.12540000000000001</v>
      </c>
    </row>
    <row r="404" spans="2:9">
      <c r="B404" s="545">
        <v>1</v>
      </c>
      <c r="C404" s="545" t="str">
        <f>VLOOKUP(D404,기본!$B$3:$C$90,2,0)</f>
        <v>삼성 생활가전</v>
      </c>
      <c r="D404" t="s">
        <v>1948</v>
      </c>
      <c r="E404" t="s">
        <v>2162</v>
      </c>
      <c r="F404" t="s">
        <v>2162</v>
      </c>
      <c r="G404" t="e">
        <f>VLOOKUP(E404,기본!$F$3:$G$320,2,0)</f>
        <v>#N/A</v>
      </c>
      <c r="H404" s="544">
        <v>120</v>
      </c>
      <c r="I404">
        <v>0.83879999999999999</v>
      </c>
    </row>
    <row r="405" spans="2:9">
      <c r="B405" s="545">
        <v>1</v>
      </c>
      <c r="C405" s="545" t="str">
        <f>VLOOKUP(D405,기본!$B$3:$C$90,2,0)</f>
        <v>코웨이</v>
      </c>
      <c r="D405" t="s">
        <v>2004</v>
      </c>
      <c r="E405" t="s">
        <v>1027</v>
      </c>
      <c r="F405" t="s">
        <v>1027</v>
      </c>
      <c r="G405" t="e">
        <f>VLOOKUP(E405,기본!$F$3:$G$320,2,0)</f>
        <v>#N/A</v>
      </c>
      <c r="H405" s="544">
        <v>3240</v>
      </c>
      <c r="I405">
        <v>18.53604</v>
      </c>
    </row>
    <row r="406" spans="2:9">
      <c r="B406" s="545">
        <v>1</v>
      </c>
      <c r="C406" s="545" t="str">
        <f>VLOOKUP(D406,기본!$B$3:$C$90,2,0)</f>
        <v>코웨이</v>
      </c>
      <c r="D406" t="s">
        <v>2004</v>
      </c>
      <c r="E406" t="s">
        <v>1029</v>
      </c>
      <c r="F406" t="s">
        <v>1029</v>
      </c>
      <c r="G406" t="e">
        <f>VLOOKUP(E406,기본!$F$3:$G$320,2,0)</f>
        <v>#N/A</v>
      </c>
      <c r="H406" s="544">
        <v>3456</v>
      </c>
      <c r="I406">
        <v>5.1045119999999997</v>
      </c>
    </row>
    <row r="407" spans="2:9">
      <c r="B407" s="545">
        <v>2</v>
      </c>
      <c r="C407" s="545" t="str">
        <f>VLOOKUP(D407,기본!$B$3:$C$90,2,0)</f>
        <v>AV JDM</v>
      </c>
      <c r="D407" t="s">
        <v>2327</v>
      </c>
      <c r="E407" t="s">
        <v>1775</v>
      </c>
      <c r="F407" t="s">
        <v>1621</v>
      </c>
      <c r="G407" t="e">
        <f>VLOOKUP(E407,기본!$F$3:$G$320,2,0)</f>
        <v>#N/A</v>
      </c>
      <c r="H407" s="544">
        <v>17600</v>
      </c>
      <c r="I407">
        <v>166.49070239999998</v>
      </c>
    </row>
    <row r="408" spans="2:9">
      <c r="B408" s="545">
        <v>2</v>
      </c>
      <c r="C408" s="545" t="str">
        <f>VLOOKUP(D408,기본!$B$3:$C$90,2,0)</f>
        <v>AV JDM</v>
      </c>
      <c r="D408" t="s">
        <v>2327</v>
      </c>
      <c r="E408" t="s">
        <v>1961</v>
      </c>
      <c r="F408" t="s">
        <v>1962</v>
      </c>
      <c r="G408" t="e">
        <f>VLOOKUP(E408,기본!$F$3:$G$320,2,0)</f>
        <v>#N/A</v>
      </c>
      <c r="H408" s="544">
        <v>160</v>
      </c>
      <c r="I408">
        <v>1.6255608000000001</v>
      </c>
    </row>
    <row r="409" spans="2:9">
      <c r="B409" s="545">
        <v>2</v>
      </c>
      <c r="C409" s="545" t="str">
        <f>VLOOKUP(D409,기본!$B$3:$C$90,2,0)</f>
        <v>AV JDM</v>
      </c>
      <c r="D409" t="s">
        <v>2327</v>
      </c>
      <c r="E409" t="s">
        <v>1597</v>
      </c>
      <c r="F409" t="s">
        <v>1597</v>
      </c>
      <c r="G409" t="str">
        <f>VLOOKUP(E409,기본!$F$3:$G$320,2,0)</f>
        <v>MNT</v>
      </c>
      <c r="H409" s="544">
        <v>17864</v>
      </c>
      <c r="I409">
        <v>149.0438992</v>
      </c>
    </row>
    <row r="410" spans="2:9">
      <c r="B410" s="545">
        <v>2</v>
      </c>
      <c r="C410" s="545" t="str">
        <f>VLOOKUP(D410,기본!$B$3:$C$90,2,0)</f>
        <v>AV JDM</v>
      </c>
      <c r="D410" t="s">
        <v>2327</v>
      </c>
      <c r="E410" t="s">
        <v>1599</v>
      </c>
      <c r="F410" t="s">
        <v>1599</v>
      </c>
      <c r="G410" t="str">
        <f>VLOOKUP(E410,기본!$F$3:$G$320,2,0)</f>
        <v>MNT</v>
      </c>
      <c r="H410" s="544">
        <v>7112</v>
      </c>
      <c r="I410">
        <v>64.062704999999994</v>
      </c>
    </row>
    <row r="411" spans="2:9">
      <c r="B411" s="545">
        <v>2</v>
      </c>
      <c r="C411" s="545" t="str">
        <f>VLOOKUP(D411,기본!$B$3:$C$90,2,0)</f>
        <v>AV JDM</v>
      </c>
      <c r="D411" t="s">
        <v>2327</v>
      </c>
      <c r="E411" t="s">
        <v>1600</v>
      </c>
      <c r="F411" t="s">
        <v>1600</v>
      </c>
      <c r="G411" t="e">
        <f>VLOOKUP(E411,기본!$F$3:$G$320,2,0)</f>
        <v>#N/A</v>
      </c>
      <c r="H411" s="544">
        <v>728</v>
      </c>
      <c r="I411">
        <v>6.8047635599999996</v>
      </c>
    </row>
    <row r="412" spans="2:9">
      <c r="B412" s="545">
        <v>2</v>
      </c>
      <c r="C412" s="545" t="str">
        <f>VLOOKUP(D412,기본!$B$3:$C$90,2,0)</f>
        <v>AV JDM</v>
      </c>
      <c r="D412" t="s">
        <v>2327</v>
      </c>
      <c r="E412" t="s">
        <v>1601</v>
      </c>
      <c r="F412" t="s">
        <v>1601</v>
      </c>
      <c r="G412" t="str">
        <f>VLOOKUP(E412,기본!$F$3:$G$320,2,0)</f>
        <v>MNT</v>
      </c>
      <c r="H412" s="544">
        <v>2376</v>
      </c>
      <c r="I412">
        <v>23.278913279999998</v>
      </c>
    </row>
    <row r="413" spans="2:9">
      <c r="B413" s="545">
        <v>2</v>
      </c>
      <c r="C413" s="545" t="str">
        <f>VLOOKUP(D413,기본!$B$3:$C$90,2,0)</f>
        <v>AV JDM</v>
      </c>
      <c r="D413" t="s">
        <v>2327</v>
      </c>
      <c r="E413" t="s">
        <v>1598</v>
      </c>
      <c r="F413" t="s">
        <v>1598</v>
      </c>
      <c r="G413" t="e">
        <f>VLOOKUP(E413,기본!$F$3:$G$320,2,0)</f>
        <v>#N/A</v>
      </c>
      <c r="H413" s="544">
        <v>1512</v>
      </c>
      <c r="I413">
        <v>13.240518479999999</v>
      </c>
    </row>
    <row r="414" spans="2:9">
      <c r="B414" s="545">
        <v>2</v>
      </c>
      <c r="C414" s="545" t="str">
        <f>VLOOKUP(D414,기본!$B$3:$C$90,2,0)</f>
        <v>AV JDM</v>
      </c>
      <c r="D414" t="s">
        <v>2327</v>
      </c>
      <c r="E414" t="s">
        <v>1986</v>
      </c>
      <c r="F414" t="s">
        <v>1986</v>
      </c>
      <c r="G414" t="e">
        <f>VLOOKUP(E414,기본!$F$3:$G$320,2,0)</f>
        <v>#N/A</v>
      </c>
      <c r="H414" s="544">
        <v>108</v>
      </c>
      <c r="I414">
        <v>1.1256359400000002</v>
      </c>
    </row>
    <row r="415" spans="2:9">
      <c r="B415" s="545">
        <v>2</v>
      </c>
      <c r="C415" s="545" t="str">
        <f>VLOOKUP(D415,기본!$B$3:$C$90,2,0)</f>
        <v>AV JDM</v>
      </c>
      <c r="D415" t="s">
        <v>2327</v>
      </c>
      <c r="E415" t="s">
        <v>1803</v>
      </c>
      <c r="F415" t="s">
        <v>1181</v>
      </c>
      <c r="G415" t="e">
        <f>VLOOKUP(E415,기본!$F$3:$G$320,2,0)</f>
        <v>#N/A</v>
      </c>
      <c r="H415" s="544">
        <v>1740</v>
      </c>
      <c r="I415">
        <v>14.853753599999999</v>
      </c>
    </row>
    <row r="416" spans="2:9">
      <c r="B416" s="545">
        <v>2</v>
      </c>
      <c r="C416" s="545" t="str">
        <f>VLOOKUP(D416,기본!$B$3:$C$90,2,0)</f>
        <v>AV JDM</v>
      </c>
      <c r="D416" t="s">
        <v>2327</v>
      </c>
      <c r="E416" t="s">
        <v>1776</v>
      </c>
      <c r="F416" t="s">
        <v>1287</v>
      </c>
      <c r="G416" t="e">
        <f>VLOOKUP(E416,기본!$F$3:$G$320,2,0)</f>
        <v>#N/A</v>
      </c>
      <c r="H416" s="544">
        <v>2100</v>
      </c>
      <c r="I416">
        <v>22.928860247999999</v>
      </c>
    </row>
    <row r="417" spans="2:9">
      <c r="B417" s="545">
        <v>2</v>
      </c>
      <c r="C417" s="545" t="str">
        <f>VLOOKUP(D417,기본!$B$3:$C$90,2,0)</f>
        <v>AV JDM</v>
      </c>
      <c r="D417" t="s">
        <v>2327</v>
      </c>
      <c r="E417" t="s">
        <v>1777</v>
      </c>
      <c r="F417" t="s">
        <v>1283</v>
      </c>
      <c r="G417" t="e">
        <f>VLOOKUP(E417,기본!$F$3:$G$320,2,0)</f>
        <v>#N/A</v>
      </c>
      <c r="H417" s="544">
        <v>24080</v>
      </c>
      <c r="I417">
        <v>231.57992560000002</v>
      </c>
    </row>
    <row r="418" spans="2:9">
      <c r="B418" s="545">
        <v>2</v>
      </c>
      <c r="C418" s="545" t="str">
        <f>VLOOKUP(D418,기본!$B$3:$C$90,2,0)</f>
        <v>AV JDM</v>
      </c>
      <c r="D418" t="s">
        <v>2327</v>
      </c>
      <c r="E418" t="s">
        <v>973</v>
      </c>
      <c r="F418" t="s">
        <v>973</v>
      </c>
      <c r="G418" t="e">
        <f>VLOOKUP(E418,기본!$F$3:$G$320,2,0)</f>
        <v>#N/A</v>
      </c>
      <c r="H418" s="544">
        <v>26048</v>
      </c>
      <c r="I418">
        <v>229.04228275200001</v>
      </c>
    </row>
    <row r="419" spans="2:9">
      <c r="B419" s="545">
        <v>2</v>
      </c>
      <c r="C419" s="545" t="str">
        <f>VLOOKUP(D419,기본!$B$3:$C$90,2,0)</f>
        <v>AV JDM</v>
      </c>
      <c r="D419" t="s">
        <v>2327</v>
      </c>
      <c r="E419" t="s">
        <v>2026</v>
      </c>
      <c r="F419" t="s">
        <v>2026</v>
      </c>
      <c r="G419" t="str">
        <f>VLOOKUP(E419,기본!$F$3:$G$320,2,0)</f>
        <v>AV</v>
      </c>
      <c r="H419" s="544">
        <v>5200</v>
      </c>
      <c r="I419">
        <v>48.400586000000004</v>
      </c>
    </row>
    <row r="420" spans="2:9">
      <c r="B420" s="545">
        <v>2</v>
      </c>
      <c r="C420" s="545" t="str">
        <f>VLOOKUP(D420,기본!$B$3:$C$90,2,0)</f>
        <v>AV JDM</v>
      </c>
      <c r="D420" t="s">
        <v>2327</v>
      </c>
      <c r="E420" t="s">
        <v>2027</v>
      </c>
      <c r="F420" t="s">
        <v>2027</v>
      </c>
      <c r="G420" t="str">
        <f>VLOOKUP(E420,기본!$F$3:$G$320,2,0)</f>
        <v>AV</v>
      </c>
      <c r="H420" s="544">
        <v>8100</v>
      </c>
      <c r="I420">
        <v>100.38702599999999</v>
      </c>
    </row>
    <row r="421" spans="2:9">
      <c r="B421" s="545">
        <v>2</v>
      </c>
      <c r="C421" s="545" t="str">
        <f>VLOOKUP(D421,기본!$B$3:$C$90,2,0)</f>
        <v>삼성 VD</v>
      </c>
      <c r="D421" t="s">
        <v>1778</v>
      </c>
      <c r="E421" t="s">
        <v>1119</v>
      </c>
      <c r="F421" t="s">
        <v>1798</v>
      </c>
      <c r="G421" t="str">
        <f>VLOOKUP(E421,기본!$F$3:$G$320,2,0)</f>
        <v>TV</v>
      </c>
      <c r="H421" s="544">
        <v>19440</v>
      </c>
      <c r="I421">
        <v>600.91083360000005</v>
      </c>
    </row>
    <row r="422" spans="2:9">
      <c r="B422" s="545">
        <v>2</v>
      </c>
      <c r="C422" s="545" t="str">
        <f>VLOOKUP(D422,기본!$B$3:$C$90,2,0)</f>
        <v>삼성 VD</v>
      </c>
      <c r="D422" t="s">
        <v>1778</v>
      </c>
      <c r="E422" t="s">
        <v>1118</v>
      </c>
      <c r="F422" t="s">
        <v>1779</v>
      </c>
      <c r="G422" t="str">
        <f>VLOOKUP(E422,기본!$F$3:$G$320,2,0)</f>
        <v>TV</v>
      </c>
      <c r="H422" s="544">
        <v>29160</v>
      </c>
      <c r="I422">
        <v>808.58815833599999</v>
      </c>
    </row>
    <row r="423" spans="2:9">
      <c r="B423" s="545">
        <v>2</v>
      </c>
      <c r="C423" s="545" t="str">
        <f>VLOOKUP(D423,기본!$B$3:$C$90,2,0)</f>
        <v>삼성 VD</v>
      </c>
      <c r="D423" t="s">
        <v>1778</v>
      </c>
      <c r="E423" t="s">
        <v>1781</v>
      </c>
      <c r="F423" t="s">
        <v>1782</v>
      </c>
      <c r="G423" t="str">
        <f>VLOOKUP(E423,기본!$F$3:$G$320,2,0)</f>
        <v>TV</v>
      </c>
      <c r="H423" s="544">
        <v>6480</v>
      </c>
      <c r="I423">
        <v>85.19058720000001</v>
      </c>
    </row>
    <row r="424" spans="2:9">
      <c r="B424" s="545">
        <v>2</v>
      </c>
      <c r="C424" s="545" t="str">
        <f>VLOOKUP(D424,기본!$B$3:$C$90,2,0)</f>
        <v>삼성 VD</v>
      </c>
      <c r="D424" t="s">
        <v>1778</v>
      </c>
      <c r="E424" t="s">
        <v>1783</v>
      </c>
      <c r="F424" t="s">
        <v>1784</v>
      </c>
      <c r="G424" t="str">
        <f>VLOOKUP(E424,기본!$F$3:$G$320,2,0)</f>
        <v>TV</v>
      </c>
      <c r="H424" s="544">
        <v>7038</v>
      </c>
      <c r="I424">
        <v>98.041422420000004</v>
      </c>
    </row>
    <row r="425" spans="2:9">
      <c r="B425" s="545">
        <v>2</v>
      </c>
      <c r="C425" s="545" t="str">
        <f>VLOOKUP(D425,기본!$B$3:$C$90,2,0)</f>
        <v>삼성 VD</v>
      </c>
      <c r="D425" t="s">
        <v>1778</v>
      </c>
      <c r="E425" t="s">
        <v>1792</v>
      </c>
      <c r="F425" t="s">
        <v>1793</v>
      </c>
      <c r="G425" t="str">
        <f>VLOOKUP(E425,기본!$F$3:$G$320,2,0)</f>
        <v>TV</v>
      </c>
      <c r="H425" s="544">
        <v>13432</v>
      </c>
      <c r="I425">
        <v>199.74307450000003</v>
      </c>
    </row>
    <row r="426" spans="2:9">
      <c r="B426" s="545">
        <v>2</v>
      </c>
      <c r="C426" s="545" t="str">
        <f>VLOOKUP(D426,기본!$B$3:$C$90,2,0)</f>
        <v>삼성 VD</v>
      </c>
      <c r="D426" t="s">
        <v>1778</v>
      </c>
      <c r="E426" t="s">
        <v>1787</v>
      </c>
      <c r="F426" t="s">
        <v>1788</v>
      </c>
      <c r="G426" t="str">
        <f>VLOOKUP(E426,기본!$F$3:$G$320,2,0)</f>
        <v>MNT</v>
      </c>
      <c r="H426" s="544">
        <v>3072</v>
      </c>
      <c r="I426">
        <v>117.89116416000002</v>
      </c>
    </row>
    <row r="427" spans="2:9">
      <c r="B427" s="545">
        <v>2</v>
      </c>
      <c r="C427" s="545" t="str">
        <f>VLOOKUP(D427,기본!$B$3:$C$90,2,0)</f>
        <v>삼성 VD</v>
      </c>
      <c r="D427" t="s">
        <v>1778</v>
      </c>
      <c r="E427" t="s">
        <v>1723</v>
      </c>
      <c r="F427" t="s">
        <v>1821</v>
      </c>
      <c r="G427" t="str">
        <f>VLOOKUP(E427,기본!$F$3:$G$320,2,0)</f>
        <v>TV</v>
      </c>
      <c r="H427" s="544">
        <v>25880</v>
      </c>
      <c r="I427">
        <v>316.23034259999997</v>
      </c>
    </row>
    <row r="428" spans="2:9">
      <c r="B428" s="545">
        <v>2</v>
      </c>
      <c r="C428" s="545" t="str">
        <f>VLOOKUP(D428,기본!$B$3:$C$90,2,0)</f>
        <v>삼성 VD</v>
      </c>
      <c r="D428" t="s">
        <v>1778</v>
      </c>
      <c r="E428" t="s">
        <v>1725</v>
      </c>
      <c r="F428" t="s">
        <v>1822</v>
      </c>
      <c r="G428" t="str">
        <f>VLOOKUP(E428,기본!$F$3:$G$320,2,0)</f>
        <v>TV</v>
      </c>
      <c r="H428" s="544">
        <v>396</v>
      </c>
      <c r="I428">
        <v>5.2348665599999995</v>
      </c>
    </row>
    <row r="429" spans="2:9">
      <c r="B429" s="545">
        <v>2</v>
      </c>
      <c r="C429" s="545" t="str">
        <f>VLOOKUP(D429,기본!$B$3:$C$90,2,0)</f>
        <v>삼성 VD</v>
      </c>
      <c r="D429" t="s">
        <v>1778</v>
      </c>
      <c r="E429" t="s">
        <v>1727</v>
      </c>
      <c r="F429" t="s">
        <v>1823</v>
      </c>
      <c r="G429" t="str">
        <f>VLOOKUP(E429,기본!$F$3:$G$320,2,0)</f>
        <v>TV</v>
      </c>
      <c r="H429" s="544">
        <v>40</v>
      </c>
      <c r="I429">
        <v>0.70380184000000001</v>
      </c>
    </row>
    <row r="430" spans="2:9">
      <c r="B430" s="545">
        <v>2</v>
      </c>
      <c r="C430" s="545" t="str">
        <f>VLOOKUP(D430,기본!$B$3:$C$90,2,0)</f>
        <v>삼성 VD</v>
      </c>
      <c r="D430" t="s">
        <v>1778</v>
      </c>
      <c r="E430" t="s">
        <v>2051</v>
      </c>
      <c r="F430" t="s">
        <v>2020</v>
      </c>
      <c r="G430" t="str">
        <f>VLOOKUP(E430,기본!$F$3:$G$320,2,0)</f>
        <v>MNT</v>
      </c>
      <c r="H430" s="544">
        <v>35706</v>
      </c>
      <c r="I430">
        <v>190.56967043399999</v>
      </c>
    </row>
    <row r="431" spans="2:9">
      <c r="B431" s="545">
        <v>2</v>
      </c>
      <c r="C431" s="545" t="str">
        <f>VLOOKUP(D431,기본!$B$3:$C$90,2,0)</f>
        <v>삼성 VD</v>
      </c>
      <c r="D431" t="s">
        <v>1778</v>
      </c>
      <c r="E431" t="s">
        <v>2106</v>
      </c>
      <c r="F431" t="s">
        <v>1748</v>
      </c>
      <c r="G431" t="str">
        <f>VLOOKUP(E431,기본!$F$3:$G$320,2,0)</f>
        <v>MNT</v>
      </c>
      <c r="H431" s="544">
        <v>1152</v>
      </c>
      <c r="I431">
        <v>12.9609396</v>
      </c>
    </row>
    <row r="432" spans="2:9">
      <c r="B432" s="545">
        <v>2</v>
      </c>
      <c r="C432" s="545" t="str">
        <f>VLOOKUP(D432,기본!$B$3:$C$90,2,0)</f>
        <v>삼성 VD</v>
      </c>
      <c r="D432" t="s">
        <v>1778</v>
      </c>
      <c r="E432" t="s">
        <v>2070</v>
      </c>
      <c r="F432" t="s">
        <v>1746</v>
      </c>
      <c r="G432" t="str">
        <f>VLOOKUP(E432,기본!$F$3:$G$320,2,0)</f>
        <v>MNT</v>
      </c>
      <c r="H432" s="544">
        <v>9072</v>
      </c>
      <c r="I432">
        <v>62.217109583999992</v>
      </c>
    </row>
    <row r="433" spans="2:9">
      <c r="B433" s="545">
        <v>2</v>
      </c>
      <c r="C433" s="545" t="str">
        <f>VLOOKUP(D433,기본!$B$3:$C$90,2,0)</f>
        <v>삼성 VD</v>
      </c>
      <c r="D433" t="s">
        <v>1778</v>
      </c>
      <c r="E433" t="s">
        <v>2414</v>
      </c>
      <c r="F433" t="s">
        <v>2415</v>
      </c>
      <c r="G433" t="str">
        <f>VLOOKUP(E433,기본!$F$3:$G$320,2,0)</f>
        <v>TV</v>
      </c>
      <c r="H433" s="544">
        <v>34020</v>
      </c>
      <c r="I433">
        <v>445.17449339999996</v>
      </c>
    </row>
    <row r="434" spans="2:9">
      <c r="B434" s="545">
        <v>2</v>
      </c>
      <c r="C434" s="545" t="str">
        <f>VLOOKUP(D434,기본!$B$3:$C$90,2,0)</f>
        <v>삼성 VD</v>
      </c>
      <c r="D434" t="s">
        <v>1778</v>
      </c>
      <c r="E434" t="s">
        <v>2443</v>
      </c>
      <c r="F434" t="s">
        <v>2440</v>
      </c>
      <c r="G434" t="str">
        <f>VLOOKUP(E434,기본!$F$3:$G$320,2,0)</f>
        <v>TV</v>
      </c>
      <c r="H434" s="544">
        <v>22680</v>
      </c>
      <c r="I434">
        <v>499.46140376999995</v>
      </c>
    </row>
    <row r="435" spans="2:9">
      <c r="B435" s="545">
        <v>2</v>
      </c>
      <c r="C435" s="545" t="str">
        <f>VLOOKUP(D435,기본!$B$3:$C$90,2,0)</f>
        <v>삼성 VD</v>
      </c>
      <c r="D435" t="s">
        <v>1778</v>
      </c>
      <c r="E435" t="s">
        <v>1789</v>
      </c>
      <c r="F435" t="s">
        <v>2470</v>
      </c>
      <c r="G435" t="str">
        <f>VLOOKUP(E435,기본!$F$3:$G$320,2,0)</f>
        <v>MNT</v>
      </c>
      <c r="H435" s="544">
        <v>1722</v>
      </c>
      <c r="I435">
        <v>13.652630039999998</v>
      </c>
    </row>
    <row r="436" spans="2:9">
      <c r="B436" s="545">
        <v>2</v>
      </c>
      <c r="C436" s="545" t="str">
        <f>VLOOKUP(D436,기본!$B$3:$C$90,2,0)</f>
        <v>삼성 VD</v>
      </c>
      <c r="D436" t="s">
        <v>1778</v>
      </c>
      <c r="E436" t="s">
        <v>2010</v>
      </c>
      <c r="F436" t="s">
        <v>2011</v>
      </c>
      <c r="G436" t="str">
        <f>VLOOKUP(E436,기본!$F$3:$G$320,2,0)</f>
        <v>MNT</v>
      </c>
      <c r="H436" s="544">
        <v>10560</v>
      </c>
      <c r="I436">
        <v>47.760741600000003</v>
      </c>
    </row>
    <row r="437" spans="2:9">
      <c r="B437" s="545">
        <v>2</v>
      </c>
      <c r="C437" s="545" t="str">
        <f>VLOOKUP(D437,기본!$B$3:$C$90,2,0)</f>
        <v>삼성 VD</v>
      </c>
      <c r="D437" t="s">
        <v>1791</v>
      </c>
      <c r="E437" t="s">
        <v>1118</v>
      </c>
      <c r="F437" t="s">
        <v>1779</v>
      </c>
      <c r="G437" t="str">
        <f>VLOOKUP(E437,기본!$F$3:$G$320,2,0)</f>
        <v>TV</v>
      </c>
      <c r="H437" s="544">
        <v>11514</v>
      </c>
      <c r="I437">
        <v>317.05133891399998</v>
      </c>
    </row>
    <row r="438" spans="2:9">
      <c r="B438" s="545">
        <v>2</v>
      </c>
      <c r="C438" s="545" t="str">
        <f>VLOOKUP(D438,기본!$B$3:$C$90,2,0)</f>
        <v>삼성 VD</v>
      </c>
      <c r="D438" t="s">
        <v>1791</v>
      </c>
      <c r="E438" t="s">
        <v>1781</v>
      </c>
      <c r="F438" t="s">
        <v>1782</v>
      </c>
      <c r="G438" t="str">
        <f>VLOOKUP(E438,기본!$F$3:$G$320,2,0)</f>
        <v>TV</v>
      </c>
      <c r="H438" s="544">
        <v>8640</v>
      </c>
      <c r="I438">
        <v>113.60957760000001</v>
      </c>
    </row>
    <row r="439" spans="2:9">
      <c r="B439" s="545">
        <v>2</v>
      </c>
      <c r="C439" s="545" t="str">
        <f>VLOOKUP(D439,기본!$B$3:$C$90,2,0)</f>
        <v>삼성 VD</v>
      </c>
      <c r="D439" t="s">
        <v>1791</v>
      </c>
      <c r="E439" t="s">
        <v>1792</v>
      </c>
      <c r="F439" t="s">
        <v>1793</v>
      </c>
      <c r="G439" t="str">
        <f>VLOOKUP(E439,기본!$F$3:$G$320,2,0)</f>
        <v>TV</v>
      </c>
      <c r="H439" s="544">
        <v>4635</v>
      </c>
      <c r="I439">
        <v>68.75600163</v>
      </c>
    </row>
    <row r="440" spans="2:9">
      <c r="B440" s="545">
        <v>2</v>
      </c>
      <c r="C440" s="545" t="str">
        <f>VLOOKUP(D440,기본!$B$3:$C$90,2,0)</f>
        <v>삼성 VD</v>
      </c>
      <c r="D440" t="s">
        <v>1791</v>
      </c>
      <c r="E440" t="s">
        <v>2112</v>
      </c>
      <c r="F440" t="s">
        <v>1748</v>
      </c>
      <c r="G440" t="str">
        <f>VLOOKUP(E440,기본!$F$3:$G$320,2,0)</f>
        <v>MNT</v>
      </c>
      <c r="H440" s="544">
        <v>2592</v>
      </c>
      <c r="I440">
        <v>28.849271040000001</v>
      </c>
    </row>
    <row r="441" spans="2:9">
      <c r="B441" s="545">
        <v>2</v>
      </c>
      <c r="C441" s="545" t="str">
        <f>VLOOKUP(D441,기본!$B$3:$C$90,2,0)</f>
        <v>삼성 VD</v>
      </c>
      <c r="D441" t="s">
        <v>1791</v>
      </c>
      <c r="E441" t="s">
        <v>2120</v>
      </c>
      <c r="F441" t="s">
        <v>1748</v>
      </c>
      <c r="G441" t="str">
        <f>VLOOKUP(E441,기본!$F$3:$G$320,2,0)</f>
        <v>MNT</v>
      </c>
      <c r="H441" s="544">
        <v>38</v>
      </c>
      <c r="I441">
        <v>0.43018333199999997</v>
      </c>
    </row>
    <row r="442" spans="2:9">
      <c r="B442" s="545">
        <v>2</v>
      </c>
      <c r="C442" s="545" t="str">
        <f>VLOOKUP(D442,기본!$B$3:$C$90,2,0)</f>
        <v>삼성 VD</v>
      </c>
      <c r="D442" t="s">
        <v>1791</v>
      </c>
      <c r="E442" t="s">
        <v>2414</v>
      </c>
      <c r="F442" t="s">
        <v>2415</v>
      </c>
      <c r="G442" t="str">
        <f>VLOOKUP(E442,기본!$F$3:$G$320,2,0)</f>
        <v>TV</v>
      </c>
      <c r="H442" s="544">
        <v>13692</v>
      </c>
      <c r="I442">
        <v>173.96794044000001</v>
      </c>
    </row>
    <row r="443" spans="2:9">
      <c r="B443" s="545">
        <v>2</v>
      </c>
      <c r="C443" s="545" t="str">
        <f>VLOOKUP(D443,기본!$B$3:$C$90,2,0)</f>
        <v>삼성 VD</v>
      </c>
      <c r="D443" t="s">
        <v>1791</v>
      </c>
      <c r="E443" t="s">
        <v>2442</v>
      </c>
      <c r="F443" t="s">
        <v>2439</v>
      </c>
      <c r="G443" t="str">
        <f>VLOOKUP(E443,기본!$F$3:$G$320,2,0)</f>
        <v>TV</v>
      </c>
      <c r="H443" s="544">
        <v>1625</v>
      </c>
      <c r="I443">
        <v>21.685192749999999</v>
      </c>
    </row>
    <row r="444" spans="2:9">
      <c r="B444" s="545">
        <v>2</v>
      </c>
      <c r="C444" s="545" t="str">
        <f>VLOOKUP(D444,기본!$B$3:$C$90,2,0)</f>
        <v>삼성 VD</v>
      </c>
      <c r="D444" t="s">
        <v>1796</v>
      </c>
      <c r="E444" t="s">
        <v>1119</v>
      </c>
      <c r="F444" t="s">
        <v>1798</v>
      </c>
      <c r="G444" t="str">
        <f>VLOOKUP(E444,기본!$F$3:$G$320,2,0)</f>
        <v>TV</v>
      </c>
      <c r="H444" s="544">
        <v>2352</v>
      </c>
      <c r="I444">
        <v>72.692309712000011</v>
      </c>
    </row>
    <row r="445" spans="2:9">
      <c r="B445" s="545">
        <v>2</v>
      </c>
      <c r="C445" s="545" t="str">
        <f>VLOOKUP(D445,기본!$B$3:$C$90,2,0)</f>
        <v>삼성 VD</v>
      </c>
      <c r="D445" t="s">
        <v>1796</v>
      </c>
      <c r="E445" t="s">
        <v>1118</v>
      </c>
      <c r="F445" t="s">
        <v>1779</v>
      </c>
      <c r="G445" t="str">
        <f>VLOOKUP(E445,기본!$F$3:$G$320,2,0)</f>
        <v>TV</v>
      </c>
      <c r="H445" s="544">
        <v>4320</v>
      </c>
      <c r="I445">
        <v>118.7075736</v>
      </c>
    </row>
    <row r="446" spans="2:9">
      <c r="B446" s="545">
        <v>2</v>
      </c>
      <c r="C446" s="545" t="str">
        <f>VLOOKUP(D446,기본!$B$3:$C$90,2,0)</f>
        <v>삼성 VD</v>
      </c>
      <c r="D446" t="s">
        <v>1796</v>
      </c>
      <c r="E446" t="s">
        <v>1783</v>
      </c>
      <c r="F446" t="s">
        <v>1784</v>
      </c>
      <c r="G446" t="str">
        <f>VLOOKUP(E446,기본!$F$3:$G$320,2,0)</f>
        <v>TV</v>
      </c>
      <c r="H446" s="544">
        <v>1311</v>
      </c>
      <c r="I446">
        <v>18.260024484000002</v>
      </c>
    </row>
    <row r="447" spans="2:9">
      <c r="B447" s="545">
        <v>2</v>
      </c>
      <c r="C447" s="545" t="str">
        <f>VLOOKUP(D447,기본!$B$3:$C$90,2,0)</f>
        <v>삼성 VD</v>
      </c>
      <c r="D447" t="s">
        <v>1796</v>
      </c>
      <c r="E447" t="s">
        <v>2112</v>
      </c>
      <c r="F447" t="s">
        <v>1748</v>
      </c>
      <c r="G447" t="str">
        <f>VLOOKUP(E447,기본!$F$3:$G$320,2,0)</f>
        <v>MNT</v>
      </c>
      <c r="H447" s="544">
        <v>2160</v>
      </c>
      <c r="I447">
        <v>23.815360800000001</v>
      </c>
    </row>
    <row r="448" spans="2:9">
      <c r="B448" s="545">
        <v>2</v>
      </c>
      <c r="C448" s="545" t="str">
        <f>VLOOKUP(D448,기본!$B$3:$C$90,2,0)</f>
        <v>삼성 VD</v>
      </c>
      <c r="D448" t="s">
        <v>1796</v>
      </c>
      <c r="E448" t="s">
        <v>2120</v>
      </c>
      <c r="F448" t="s">
        <v>1748</v>
      </c>
      <c r="G448" t="str">
        <f>VLOOKUP(E448,기본!$F$3:$G$320,2,0)</f>
        <v>MNT</v>
      </c>
      <c r="H448" s="544">
        <v>440</v>
      </c>
      <c r="I448">
        <v>5.044806359999999</v>
      </c>
    </row>
    <row r="449" spans="2:9">
      <c r="B449" s="545">
        <v>2</v>
      </c>
      <c r="C449" s="545" t="str">
        <f>VLOOKUP(D449,기본!$B$3:$C$90,2,0)</f>
        <v>삼성 VD</v>
      </c>
      <c r="D449" t="s">
        <v>1796</v>
      </c>
      <c r="E449" t="s">
        <v>2414</v>
      </c>
      <c r="F449" t="s">
        <v>2415</v>
      </c>
      <c r="G449" t="str">
        <f>VLOOKUP(E449,기본!$F$3:$G$320,2,0)</f>
        <v>TV</v>
      </c>
      <c r="H449" s="544">
        <v>12600</v>
      </c>
      <c r="I449">
        <v>159.74342999999999</v>
      </c>
    </row>
    <row r="450" spans="2:9">
      <c r="B450" s="545">
        <v>2</v>
      </c>
      <c r="C450" s="545" t="str">
        <f>VLOOKUP(D450,기본!$B$3:$C$90,2,0)</f>
        <v>삼성 VD</v>
      </c>
      <c r="D450" t="s">
        <v>1796</v>
      </c>
      <c r="E450" t="s">
        <v>2442</v>
      </c>
      <c r="F450" t="s">
        <v>2439</v>
      </c>
      <c r="G450" t="str">
        <f>VLOOKUP(E450,기본!$F$3:$G$320,2,0)</f>
        <v>TV</v>
      </c>
      <c r="H450" s="544">
        <v>2310</v>
      </c>
      <c r="I450">
        <v>30.826335539999999</v>
      </c>
    </row>
    <row r="451" spans="2:9">
      <c r="B451" s="545">
        <v>2</v>
      </c>
      <c r="C451" s="545" t="str">
        <f>VLOOKUP(D451,기본!$B$3:$C$90,2,0)</f>
        <v>삼성 VD</v>
      </c>
      <c r="D451" t="s">
        <v>1797</v>
      </c>
      <c r="E451" t="s">
        <v>1119</v>
      </c>
      <c r="F451" t="s">
        <v>1798</v>
      </c>
      <c r="G451" t="str">
        <f>VLOOKUP(E451,기본!$F$3:$G$320,2,0)</f>
        <v>TV</v>
      </c>
      <c r="H451" s="544">
        <v>246</v>
      </c>
      <c r="I451">
        <v>7.7091198360000019</v>
      </c>
    </row>
    <row r="452" spans="2:9">
      <c r="B452" s="545">
        <v>2</v>
      </c>
      <c r="C452" s="545" t="str">
        <f>VLOOKUP(D452,기본!$B$3:$C$90,2,0)</f>
        <v>삼성 VD</v>
      </c>
      <c r="D452" t="s">
        <v>1797</v>
      </c>
      <c r="E452" t="s">
        <v>1118</v>
      </c>
      <c r="F452" t="s">
        <v>1779</v>
      </c>
      <c r="G452" t="str">
        <f>VLOOKUP(E452,기본!$F$3:$G$320,2,0)</f>
        <v>TV</v>
      </c>
      <c r="H452" s="544">
        <v>102</v>
      </c>
      <c r="I452">
        <v>2.8863819899999998</v>
      </c>
    </row>
    <row r="453" spans="2:9">
      <c r="B453" s="545">
        <v>2</v>
      </c>
      <c r="C453" s="545" t="str">
        <f>VLOOKUP(D453,기본!$B$3:$C$90,2,0)</f>
        <v>삼성 VD</v>
      </c>
      <c r="D453" t="s">
        <v>1797</v>
      </c>
      <c r="E453" t="s">
        <v>1783</v>
      </c>
      <c r="F453" t="s">
        <v>1784</v>
      </c>
      <c r="G453" t="str">
        <f>VLOOKUP(E453,기본!$F$3:$G$320,2,0)</f>
        <v>TV</v>
      </c>
      <c r="H453" s="544">
        <v>23</v>
      </c>
      <c r="I453">
        <v>0.33039111299999996</v>
      </c>
    </row>
    <row r="454" spans="2:9">
      <c r="B454" s="545">
        <v>2</v>
      </c>
      <c r="C454" s="545" t="str">
        <f>VLOOKUP(D454,기본!$B$3:$C$90,2,0)</f>
        <v>삼성 VD</v>
      </c>
      <c r="D454" t="s">
        <v>1797</v>
      </c>
      <c r="E454" t="s">
        <v>1712</v>
      </c>
      <c r="F454" t="s">
        <v>1613</v>
      </c>
      <c r="G454" t="str">
        <f>VLOOKUP(E454,기본!$F$3:$G$320,2,0)</f>
        <v>TV</v>
      </c>
      <c r="H454" s="544">
        <v>2480</v>
      </c>
      <c r="I454">
        <v>29.863557359999994</v>
      </c>
    </row>
    <row r="455" spans="2:9">
      <c r="B455" s="545">
        <v>2</v>
      </c>
      <c r="C455" s="545" t="str">
        <f>VLOOKUP(D455,기본!$B$3:$C$90,2,0)</f>
        <v>삼성 VD</v>
      </c>
      <c r="D455" t="s">
        <v>1797</v>
      </c>
      <c r="E455" t="s">
        <v>1713</v>
      </c>
      <c r="F455" t="s">
        <v>1827</v>
      </c>
      <c r="G455" t="str">
        <f>VLOOKUP(E455,기본!$F$3:$G$320,2,0)</f>
        <v>TV</v>
      </c>
      <c r="H455" s="544">
        <v>1480</v>
      </c>
      <c r="I455">
        <v>20.141834799999998</v>
      </c>
    </row>
    <row r="456" spans="2:9">
      <c r="B456" s="545">
        <v>2</v>
      </c>
      <c r="C456" s="545" t="str">
        <f>VLOOKUP(D456,기본!$B$3:$C$90,2,0)</f>
        <v>삼성 VD</v>
      </c>
      <c r="D456" t="s">
        <v>1797</v>
      </c>
      <c r="E456" t="s">
        <v>1714</v>
      </c>
      <c r="F456" t="s">
        <v>1828</v>
      </c>
      <c r="G456" t="str">
        <f>VLOOKUP(E456,기본!$F$3:$G$320,2,0)</f>
        <v>TV</v>
      </c>
      <c r="H456" s="544">
        <v>396</v>
      </c>
      <c r="I456">
        <v>5.8844060999999996</v>
      </c>
    </row>
    <row r="457" spans="2:9">
      <c r="B457" s="545">
        <v>2</v>
      </c>
      <c r="C457" s="545" t="str">
        <f>VLOOKUP(D457,기본!$B$3:$C$90,2,0)</f>
        <v>기타</v>
      </c>
      <c r="D457" t="s">
        <v>1799</v>
      </c>
      <c r="E457" t="s">
        <v>224</v>
      </c>
      <c r="F457" t="s">
        <v>224</v>
      </c>
      <c r="G457" t="str">
        <f>VLOOKUP(E457,기본!$F$3:$G$320,2,0)</f>
        <v>기타</v>
      </c>
      <c r="H457" s="544">
        <v>0</v>
      </c>
      <c r="I457">
        <v>0.18595500000000001</v>
      </c>
    </row>
    <row r="458" spans="2:9">
      <c r="B458" s="545">
        <v>2</v>
      </c>
      <c r="C458" s="545" t="str">
        <f>VLOOKUP(D458,기본!$B$3:$C$90,2,0)</f>
        <v>코웨이</v>
      </c>
      <c r="D458" t="s">
        <v>2260</v>
      </c>
      <c r="E458" t="s">
        <v>1021</v>
      </c>
      <c r="F458" t="s">
        <v>1021</v>
      </c>
      <c r="G458" t="e">
        <f>VLOOKUP(E458,기본!$F$3:$G$320,2,0)</f>
        <v>#N/A</v>
      </c>
      <c r="H458" s="544">
        <v>2016</v>
      </c>
      <c r="I458">
        <v>13.751256960000003</v>
      </c>
    </row>
    <row r="459" spans="2:9">
      <c r="B459" s="545">
        <v>2</v>
      </c>
      <c r="C459" s="545" t="str">
        <f>VLOOKUP(D459,기본!$B$3:$C$90,2,0)</f>
        <v>코웨이</v>
      </c>
      <c r="D459" t="s">
        <v>2260</v>
      </c>
      <c r="E459" t="s">
        <v>2471</v>
      </c>
      <c r="F459" t="s">
        <v>2471</v>
      </c>
      <c r="G459" t="e">
        <f>VLOOKUP(E459,기본!$F$3:$G$320,2,0)</f>
        <v>#N/A</v>
      </c>
      <c r="H459" s="544">
        <v>1301</v>
      </c>
      <c r="I459">
        <v>8.8748539199999996</v>
      </c>
    </row>
    <row r="460" spans="2:9">
      <c r="B460" s="545">
        <v>2</v>
      </c>
      <c r="C460" s="545" t="str">
        <f>VLOOKUP(D460,기본!$B$3:$C$90,2,0)</f>
        <v>코웨이</v>
      </c>
      <c r="D460" t="s">
        <v>2260</v>
      </c>
      <c r="E460" t="s">
        <v>1020</v>
      </c>
      <c r="F460" t="s">
        <v>1020</v>
      </c>
      <c r="G460" t="e">
        <f>VLOOKUP(E460,기본!$F$3:$G$320,2,0)</f>
        <v>#N/A</v>
      </c>
      <c r="H460" s="544">
        <v>1344</v>
      </c>
      <c r="I460">
        <v>11.411433600000001</v>
      </c>
    </row>
    <row r="461" spans="2:9">
      <c r="B461" s="545">
        <v>2</v>
      </c>
      <c r="C461" s="545" t="str">
        <f>VLOOKUP(D461,기본!$B$3:$C$90,2,0)</f>
        <v>코웨이</v>
      </c>
      <c r="D461" t="s">
        <v>2260</v>
      </c>
      <c r="E461" t="s">
        <v>2472</v>
      </c>
      <c r="F461" t="s">
        <v>2472</v>
      </c>
      <c r="G461" t="e">
        <f>VLOOKUP(E461,기본!$F$3:$G$320,2,0)</f>
        <v>#N/A</v>
      </c>
      <c r="H461" s="544">
        <v>2496</v>
      </c>
      <c r="I461">
        <v>23.222883839999994</v>
      </c>
    </row>
    <row r="462" spans="2:9">
      <c r="B462" s="545">
        <v>2</v>
      </c>
      <c r="C462" s="545" t="str">
        <f>VLOOKUP(D462,기본!$B$3:$C$90,2,0)</f>
        <v>MNT JDM</v>
      </c>
      <c r="D462" t="s">
        <v>1963</v>
      </c>
      <c r="E462" t="s">
        <v>676</v>
      </c>
      <c r="F462" t="s">
        <v>1964</v>
      </c>
      <c r="G462" t="str">
        <f>VLOOKUP(E462,기본!$F$3:$G$320,2,0)</f>
        <v>MNT</v>
      </c>
      <c r="H462" s="544">
        <v>16</v>
      </c>
      <c r="I462">
        <v>7.6137599999999986E-2</v>
      </c>
    </row>
    <row r="463" spans="2:9">
      <c r="B463" s="545">
        <v>2</v>
      </c>
      <c r="C463" s="545" t="str">
        <f>VLOOKUP(D463,기본!$B$3:$C$90,2,0)</f>
        <v>MNT JDM</v>
      </c>
      <c r="D463" t="s">
        <v>1963</v>
      </c>
      <c r="E463" t="s">
        <v>1110</v>
      </c>
      <c r="F463" t="s">
        <v>1728</v>
      </c>
      <c r="G463" t="str">
        <f>VLOOKUP(E463,기본!$F$3:$G$320,2,0)</f>
        <v>MNT</v>
      </c>
      <c r="H463" s="544">
        <v>20064</v>
      </c>
      <c r="I463">
        <v>118.58709139199999</v>
      </c>
    </row>
    <row r="464" spans="2:9">
      <c r="B464" s="545">
        <v>2</v>
      </c>
      <c r="C464" s="545" t="str">
        <f>VLOOKUP(D464,기본!$B$3:$C$90,2,0)</f>
        <v>AV JDM</v>
      </c>
      <c r="D464" t="s">
        <v>2176</v>
      </c>
      <c r="E464" t="s">
        <v>2473</v>
      </c>
      <c r="F464" t="s">
        <v>2474</v>
      </c>
      <c r="G464" t="e">
        <f>VLOOKUP(E464,기본!$F$3:$G$320,2,0)</f>
        <v>#N/A</v>
      </c>
      <c r="H464" s="544">
        <v>299</v>
      </c>
      <c r="I464">
        <v>2.4490716250000002</v>
      </c>
    </row>
    <row r="465" spans="2:9">
      <c r="B465" s="545">
        <v>2</v>
      </c>
      <c r="C465" s="545" t="str">
        <f>VLOOKUP(D465,기본!$B$3:$C$90,2,0)</f>
        <v>AV JDM</v>
      </c>
      <c r="D465" t="s">
        <v>2176</v>
      </c>
      <c r="E465" t="s">
        <v>2416</v>
      </c>
      <c r="F465" t="s">
        <v>2417</v>
      </c>
      <c r="G465" t="e">
        <f>VLOOKUP(E465,기본!$F$3:$G$320,2,0)</f>
        <v>#N/A</v>
      </c>
      <c r="H465" s="544">
        <v>1008</v>
      </c>
      <c r="I465">
        <v>8.5039012800000009</v>
      </c>
    </row>
    <row r="466" spans="2:9">
      <c r="B466" s="545">
        <v>2</v>
      </c>
      <c r="C466" s="545" t="str">
        <f>VLOOKUP(D466,기본!$B$3:$C$90,2,0)</f>
        <v>AV JDM</v>
      </c>
      <c r="D466" t="s">
        <v>2176</v>
      </c>
      <c r="E466" t="s">
        <v>2418</v>
      </c>
      <c r="F466" t="s">
        <v>2419</v>
      </c>
      <c r="G466" t="e">
        <f>VLOOKUP(E466,기본!$F$3:$G$320,2,0)</f>
        <v>#N/A</v>
      </c>
      <c r="H466" s="544">
        <v>1008</v>
      </c>
      <c r="I466">
        <v>8.3050883999999989</v>
      </c>
    </row>
    <row r="467" spans="2:9">
      <c r="B467" s="545">
        <v>2</v>
      </c>
      <c r="C467" s="545" t="str">
        <f>VLOOKUP(D467,기본!$B$3:$C$90,2,0)</f>
        <v>AV JDM</v>
      </c>
      <c r="D467" t="s">
        <v>2176</v>
      </c>
      <c r="E467" t="s">
        <v>2475</v>
      </c>
      <c r="F467" t="s">
        <v>2476</v>
      </c>
      <c r="G467" t="e">
        <f>VLOOKUP(E467,기본!$F$3:$G$320,2,0)</f>
        <v>#N/A</v>
      </c>
      <c r="H467" s="544">
        <v>1140</v>
      </c>
      <c r="I467">
        <v>8.2630220999999988</v>
      </c>
    </row>
    <row r="468" spans="2:9">
      <c r="B468" s="545">
        <v>2</v>
      </c>
      <c r="C468" s="545" t="str">
        <f>VLOOKUP(D468,기본!$B$3:$C$90,2,0)</f>
        <v>MNT JDM</v>
      </c>
      <c r="D468" t="s">
        <v>1800</v>
      </c>
      <c r="E468" t="s">
        <v>676</v>
      </c>
      <c r="F468" t="s">
        <v>2477</v>
      </c>
      <c r="G468" t="str">
        <f>VLOOKUP(E468,기본!$F$3:$G$320,2,0)</f>
        <v>MNT</v>
      </c>
      <c r="H468" s="544">
        <v>4224</v>
      </c>
      <c r="I468">
        <v>20.819124479999999</v>
      </c>
    </row>
    <row r="469" spans="2:9">
      <c r="B469" s="545">
        <v>2</v>
      </c>
      <c r="C469" s="545" t="str">
        <f>VLOOKUP(D469,기본!$B$3:$C$90,2,0)</f>
        <v>MNT JDM</v>
      </c>
      <c r="D469" t="s">
        <v>1800</v>
      </c>
      <c r="E469" t="s">
        <v>1110</v>
      </c>
      <c r="F469" t="s">
        <v>2478</v>
      </c>
      <c r="G469" t="str">
        <f>VLOOKUP(E469,기본!$F$3:$G$320,2,0)</f>
        <v>MNT</v>
      </c>
      <c r="H469" s="544">
        <v>4224</v>
      </c>
      <c r="I469">
        <v>25.609579776</v>
      </c>
    </row>
    <row r="470" spans="2:9">
      <c r="B470" s="545">
        <v>2</v>
      </c>
      <c r="C470" s="545" t="str">
        <f>VLOOKUP(D470,기본!$B$3:$C$90,2,0)</f>
        <v>코웨이</v>
      </c>
      <c r="D470" t="s">
        <v>2178</v>
      </c>
      <c r="E470" t="s">
        <v>2328</v>
      </c>
      <c r="F470" t="s">
        <v>2328</v>
      </c>
      <c r="G470" t="e">
        <f>VLOOKUP(E470,기본!$F$3:$G$320,2,0)</f>
        <v>#N/A</v>
      </c>
      <c r="H470" s="544">
        <v>12096</v>
      </c>
      <c r="I470">
        <v>32.105445119999999</v>
      </c>
    </row>
    <row r="471" spans="2:9">
      <c r="B471" s="545">
        <v>2</v>
      </c>
      <c r="C471" s="545" t="str">
        <f>VLOOKUP(D471,기본!$B$3:$C$90,2,0)</f>
        <v>코웨이</v>
      </c>
      <c r="D471" t="s">
        <v>2178</v>
      </c>
      <c r="E471" t="s">
        <v>1897</v>
      </c>
      <c r="F471" t="s">
        <v>1897</v>
      </c>
      <c r="G471" t="e">
        <f>VLOOKUP(E471,기본!$F$3:$G$320,2,0)</f>
        <v>#N/A</v>
      </c>
      <c r="H471" s="544">
        <v>19008</v>
      </c>
      <c r="I471">
        <v>291.04498368000003</v>
      </c>
    </row>
    <row r="472" spans="2:9">
      <c r="B472" s="545">
        <v>2</v>
      </c>
      <c r="C472" s="545" t="str">
        <f>VLOOKUP(D472,기본!$B$3:$C$90,2,0)</f>
        <v>MNT JDM</v>
      </c>
      <c r="D472" t="s">
        <v>154</v>
      </c>
      <c r="E472" t="s">
        <v>676</v>
      </c>
      <c r="F472" t="s">
        <v>1801</v>
      </c>
      <c r="G472" t="str">
        <f>VLOOKUP(E472,기본!$F$3:$G$320,2,0)</f>
        <v>MNT</v>
      </c>
      <c r="H472" s="544">
        <v>16896</v>
      </c>
      <c r="I472">
        <v>79.865728799999999</v>
      </c>
    </row>
    <row r="473" spans="2:9">
      <c r="B473" s="545">
        <v>2</v>
      </c>
      <c r="C473" s="545" t="str">
        <f>VLOOKUP(D473,기본!$B$3:$C$90,2,0)</f>
        <v>AV JDM</v>
      </c>
      <c r="D473" t="s">
        <v>2329</v>
      </c>
      <c r="E473" t="s">
        <v>1775</v>
      </c>
      <c r="F473" t="s">
        <v>1621</v>
      </c>
      <c r="G473" t="e">
        <f>VLOOKUP(E473,기본!$F$3:$G$320,2,0)</f>
        <v>#N/A</v>
      </c>
      <c r="H473" s="544">
        <v>1000</v>
      </c>
      <c r="I473">
        <v>9.4016999999999999</v>
      </c>
    </row>
    <row r="474" spans="2:9">
      <c r="B474" s="545">
        <v>2</v>
      </c>
      <c r="C474" s="545" t="str">
        <f>VLOOKUP(D474,기본!$B$3:$C$90,2,0)</f>
        <v>AV JDM</v>
      </c>
      <c r="D474" t="s">
        <v>2329</v>
      </c>
      <c r="E474" t="s">
        <v>657</v>
      </c>
      <c r="F474" t="s">
        <v>656</v>
      </c>
      <c r="G474" t="e">
        <f>VLOOKUP(E474,기본!$F$3:$G$320,2,0)</f>
        <v>#N/A</v>
      </c>
      <c r="H474" s="544">
        <v>20</v>
      </c>
      <c r="I474">
        <v>0.21551552000000002</v>
      </c>
    </row>
    <row r="475" spans="2:9">
      <c r="B475" s="545">
        <v>2</v>
      </c>
      <c r="C475" s="545" t="str">
        <f>VLOOKUP(D475,기본!$B$3:$C$90,2,0)</f>
        <v>AV JDM</v>
      </c>
      <c r="D475" t="s">
        <v>2329</v>
      </c>
      <c r="E475" t="s">
        <v>1599</v>
      </c>
      <c r="F475" t="s">
        <v>1599</v>
      </c>
      <c r="G475" t="str">
        <f>VLOOKUP(E475,기본!$F$3:$G$320,2,0)</f>
        <v>MNT</v>
      </c>
      <c r="H475" s="544">
        <v>560</v>
      </c>
      <c r="I475">
        <v>5.2070508000000002</v>
      </c>
    </row>
    <row r="476" spans="2:9">
      <c r="B476" s="545">
        <v>2</v>
      </c>
      <c r="C476" s="545" t="str">
        <f>VLOOKUP(D476,기본!$B$3:$C$90,2,0)</f>
        <v>AV JDM</v>
      </c>
      <c r="D476" t="s">
        <v>2329</v>
      </c>
      <c r="E476" t="s">
        <v>1601</v>
      </c>
      <c r="F476" t="s">
        <v>1601</v>
      </c>
      <c r="G476" t="str">
        <f>VLOOKUP(E476,기본!$F$3:$G$320,2,0)</f>
        <v>MNT</v>
      </c>
      <c r="H476" s="544">
        <v>1008</v>
      </c>
      <c r="I476">
        <v>10.036897919999999</v>
      </c>
    </row>
    <row r="477" spans="2:9">
      <c r="B477" s="545">
        <v>2</v>
      </c>
      <c r="C477" s="545" t="str">
        <f>VLOOKUP(D477,기본!$B$3:$C$90,2,0)</f>
        <v>AV JDM</v>
      </c>
      <c r="D477" t="s">
        <v>2329</v>
      </c>
      <c r="E477" t="s">
        <v>2261</v>
      </c>
      <c r="F477" t="s">
        <v>2261</v>
      </c>
      <c r="G477" t="str">
        <f>VLOOKUP(E477,기본!$F$3:$G$320,2,0)</f>
        <v>MNT</v>
      </c>
      <c r="H477" s="544">
        <v>1568</v>
      </c>
      <c r="I477">
        <v>14.200725</v>
      </c>
    </row>
    <row r="478" spans="2:9">
      <c r="B478" s="545">
        <v>2</v>
      </c>
      <c r="C478" s="545" t="str">
        <f>VLOOKUP(D478,기본!$B$3:$C$90,2,0)</f>
        <v>AV JDM</v>
      </c>
      <c r="D478" t="s">
        <v>2329</v>
      </c>
      <c r="E478" t="s">
        <v>1803</v>
      </c>
      <c r="F478" t="s">
        <v>1804</v>
      </c>
      <c r="G478" t="e">
        <f>VLOOKUP(E478,기본!$F$3:$G$320,2,0)</f>
        <v>#N/A</v>
      </c>
      <c r="H478" s="544">
        <v>504</v>
      </c>
      <c r="I478">
        <v>4.1571129599999992</v>
      </c>
    </row>
    <row r="479" spans="2:9">
      <c r="B479" s="545">
        <v>2</v>
      </c>
      <c r="C479" s="545" t="str">
        <f>VLOOKUP(D479,기본!$B$3:$C$90,2,0)</f>
        <v>AV JDM</v>
      </c>
      <c r="D479" t="s">
        <v>2329</v>
      </c>
      <c r="E479" t="s">
        <v>1776</v>
      </c>
      <c r="F479" t="s">
        <v>1287</v>
      </c>
      <c r="G479" t="e">
        <f>VLOOKUP(E479,기본!$F$3:$G$320,2,0)</f>
        <v>#N/A</v>
      </c>
      <c r="H479" s="544">
        <v>23310</v>
      </c>
      <c r="I479">
        <v>248.33650380000003</v>
      </c>
    </row>
    <row r="480" spans="2:9">
      <c r="B480" s="545">
        <v>2</v>
      </c>
      <c r="C480" s="545" t="str">
        <f>VLOOKUP(D480,기본!$B$3:$C$90,2,0)</f>
        <v>AV JDM</v>
      </c>
      <c r="D480" t="s">
        <v>2329</v>
      </c>
      <c r="E480" t="s">
        <v>2479</v>
      </c>
      <c r="F480" t="s">
        <v>1288</v>
      </c>
      <c r="G480" t="e">
        <f>VLOOKUP(E480,기본!$F$3:$G$320,2,0)</f>
        <v>#N/A</v>
      </c>
      <c r="H480" s="544">
        <v>1008</v>
      </c>
      <c r="I480">
        <v>11.961013679999999</v>
      </c>
    </row>
    <row r="481" spans="2:9">
      <c r="B481" s="545">
        <v>2</v>
      </c>
      <c r="C481" s="545" t="str">
        <f>VLOOKUP(D481,기본!$B$3:$C$90,2,0)</f>
        <v>AV JDM</v>
      </c>
      <c r="D481" t="s">
        <v>2329</v>
      </c>
      <c r="E481" t="s">
        <v>1777</v>
      </c>
      <c r="F481" t="s">
        <v>1283</v>
      </c>
      <c r="G481" t="e">
        <f>VLOOKUP(E481,기본!$F$3:$G$320,2,0)</f>
        <v>#N/A</v>
      </c>
      <c r="H481" s="544">
        <v>31520</v>
      </c>
      <c r="I481">
        <v>294.00983424000003</v>
      </c>
    </row>
    <row r="482" spans="2:9">
      <c r="B482" s="545">
        <v>2</v>
      </c>
      <c r="C482" s="545" t="str">
        <f>VLOOKUP(D482,기본!$B$3:$C$90,2,0)</f>
        <v>AV JDM</v>
      </c>
      <c r="D482" t="s">
        <v>2329</v>
      </c>
      <c r="E482" t="s">
        <v>2480</v>
      </c>
      <c r="F482" t="s">
        <v>1284</v>
      </c>
      <c r="G482" t="e">
        <f>VLOOKUP(E482,기본!$F$3:$G$320,2,0)</f>
        <v>#N/A</v>
      </c>
      <c r="H482" s="544">
        <v>520</v>
      </c>
      <c r="I482">
        <v>5.444439</v>
      </c>
    </row>
    <row r="483" spans="2:9">
      <c r="B483" s="545">
        <v>2</v>
      </c>
      <c r="C483" s="545" t="str">
        <f>VLOOKUP(D483,기본!$B$3:$C$90,2,0)</f>
        <v>AV JDM</v>
      </c>
      <c r="D483" t="s">
        <v>2329</v>
      </c>
      <c r="E483" t="s">
        <v>972</v>
      </c>
      <c r="F483" t="s">
        <v>972</v>
      </c>
      <c r="G483" t="e">
        <f>VLOOKUP(E483,기본!$F$3:$G$320,2,0)</f>
        <v>#N/A</v>
      </c>
      <c r="H483" s="544">
        <v>23360</v>
      </c>
      <c r="I483">
        <v>162.503534336</v>
      </c>
    </row>
    <row r="484" spans="2:9">
      <c r="B484" s="545">
        <v>2</v>
      </c>
      <c r="C484" s="545" t="str">
        <f>VLOOKUP(D484,기본!$B$3:$C$90,2,0)</f>
        <v>AV JDM</v>
      </c>
      <c r="D484" t="s">
        <v>2329</v>
      </c>
      <c r="E484" t="s">
        <v>2481</v>
      </c>
      <c r="F484" t="s">
        <v>2481</v>
      </c>
      <c r="G484" t="e">
        <f>VLOOKUP(E484,기본!$F$3:$G$320,2,0)</f>
        <v>#N/A</v>
      </c>
      <c r="H484" s="544">
        <v>320</v>
      </c>
      <c r="I484">
        <v>2.5709376000000002</v>
      </c>
    </row>
    <row r="485" spans="2:9">
      <c r="B485" s="545">
        <v>2</v>
      </c>
      <c r="C485" s="545" t="str">
        <f>VLOOKUP(D485,기본!$B$3:$C$90,2,0)</f>
        <v>AV JDM</v>
      </c>
      <c r="D485" t="s">
        <v>2329</v>
      </c>
      <c r="E485" t="s">
        <v>2052</v>
      </c>
      <c r="F485" t="s">
        <v>2052</v>
      </c>
      <c r="G485" t="e">
        <f>VLOOKUP(E485,기본!$F$3:$G$320,2,0)</f>
        <v>#N/A</v>
      </c>
      <c r="H485" s="544">
        <v>22378</v>
      </c>
      <c r="I485">
        <v>122.07979028</v>
      </c>
    </row>
    <row r="486" spans="2:9">
      <c r="B486" s="545">
        <v>2</v>
      </c>
      <c r="C486" s="545" t="str">
        <f>VLOOKUP(D486,기본!$B$3:$C$90,2,0)</f>
        <v>AV JDM</v>
      </c>
      <c r="D486" t="s">
        <v>2329</v>
      </c>
      <c r="E486" t="s">
        <v>2179</v>
      </c>
      <c r="F486" t="s">
        <v>2179</v>
      </c>
      <c r="G486" t="e">
        <f>VLOOKUP(E486,기본!$F$3:$G$320,2,0)</f>
        <v>#N/A</v>
      </c>
      <c r="H486" s="544">
        <v>4536</v>
      </c>
      <c r="I486">
        <v>27.258456960000004</v>
      </c>
    </row>
    <row r="487" spans="2:9">
      <c r="B487" s="545">
        <v>2</v>
      </c>
      <c r="C487" s="545" t="str">
        <f>VLOOKUP(D487,기본!$B$3:$C$90,2,0)</f>
        <v>AV JDM</v>
      </c>
      <c r="D487" t="s">
        <v>2329</v>
      </c>
      <c r="E487" t="s">
        <v>973</v>
      </c>
      <c r="F487" t="s">
        <v>973</v>
      </c>
      <c r="G487" t="e">
        <f>VLOOKUP(E487,기본!$F$3:$G$320,2,0)</f>
        <v>#N/A</v>
      </c>
      <c r="H487" s="544">
        <v>24064</v>
      </c>
      <c r="I487">
        <v>197.52753043199999</v>
      </c>
    </row>
    <row r="488" spans="2:9">
      <c r="B488" s="545">
        <v>2</v>
      </c>
      <c r="C488" s="545" t="str">
        <f>VLOOKUP(D488,기본!$B$3:$C$90,2,0)</f>
        <v>AV JDM</v>
      </c>
      <c r="D488" t="s">
        <v>2329</v>
      </c>
      <c r="E488" t="s">
        <v>2053</v>
      </c>
      <c r="F488" t="s">
        <v>2053</v>
      </c>
      <c r="G488" t="e">
        <f>VLOOKUP(E488,기본!$F$3:$G$320,2,0)</f>
        <v>#N/A</v>
      </c>
      <c r="H488" s="544">
        <v>8400</v>
      </c>
      <c r="I488">
        <v>47.297028240000003</v>
      </c>
    </row>
    <row r="489" spans="2:9">
      <c r="B489" s="545">
        <v>2</v>
      </c>
      <c r="C489" s="545" t="str">
        <f>VLOOKUP(D489,기본!$B$3:$C$90,2,0)</f>
        <v>AV JDM</v>
      </c>
      <c r="D489" t="s">
        <v>2329</v>
      </c>
      <c r="E489" t="s">
        <v>2180</v>
      </c>
      <c r="F489" t="s">
        <v>2180</v>
      </c>
      <c r="G489" t="e">
        <f>VLOOKUP(E489,기본!$F$3:$G$320,2,0)</f>
        <v>#N/A</v>
      </c>
      <c r="H489" s="544">
        <v>1700</v>
      </c>
      <c r="I489">
        <v>10.706774189999999</v>
      </c>
    </row>
    <row r="490" spans="2:9">
      <c r="B490" s="545">
        <v>2</v>
      </c>
      <c r="C490" s="545" t="str">
        <f>VLOOKUP(D490,기본!$B$3:$C$90,2,0)</f>
        <v>AV JDM</v>
      </c>
      <c r="D490" t="s">
        <v>2329</v>
      </c>
      <c r="E490" t="s">
        <v>2402</v>
      </c>
      <c r="F490" t="s">
        <v>2402</v>
      </c>
      <c r="G490" t="str">
        <f>VLOOKUP(E490,기본!$F$3:$G$320,2,0)</f>
        <v>AV</v>
      </c>
      <c r="H490" s="544">
        <v>4812</v>
      </c>
      <c r="I490">
        <v>54.21707928</v>
      </c>
    </row>
    <row r="491" spans="2:9">
      <c r="B491" s="545">
        <v>2</v>
      </c>
      <c r="C491" s="545" t="str">
        <f>VLOOKUP(D491,기본!$B$3:$C$90,2,0)</f>
        <v>AV JDM</v>
      </c>
      <c r="D491" t="s">
        <v>2329</v>
      </c>
      <c r="E491" t="s">
        <v>2026</v>
      </c>
      <c r="F491" t="s">
        <v>2026</v>
      </c>
      <c r="G491" t="str">
        <f>VLOOKUP(E491,기본!$F$3:$G$320,2,0)</f>
        <v>AV</v>
      </c>
      <c r="H491" s="544">
        <v>4095</v>
      </c>
      <c r="I491">
        <v>40.526684250000002</v>
      </c>
    </row>
    <row r="492" spans="2:9">
      <c r="B492" s="545">
        <v>2</v>
      </c>
      <c r="C492" s="545" t="str">
        <f>VLOOKUP(D492,기본!$B$3:$C$90,2,0)</f>
        <v>AV JDM</v>
      </c>
      <c r="D492" t="s">
        <v>2329</v>
      </c>
      <c r="E492" t="s">
        <v>1805</v>
      </c>
      <c r="F492" t="s">
        <v>1805</v>
      </c>
      <c r="G492" t="e">
        <f>VLOOKUP(E492,기본!$F$3:$G$320,2,0)</f>
        <v>#N/A</v>
      </c>
      <c r="H492" s="544">
        <v>16560</v>
      </c>
      <c r="I492">
        <v>122.21741999999998</v>
      </c>
    </row>
    <row r="493" spans="2:9">
      <c r="B493" s="545">
        <v>2</v>
      </c>
      <c r="C493" s="545" t="str">
        <f>VLOOKUP(D493,기본!$B$3:$C$90,2,0)</f>
        <v>AV JDM</v>
      </c>
      <c r="D493" t="s">
        <v>2329</v>
      </c>
      <c r="E493" t="s">
        <v>1987</v>
      </c>
      <c r="F493" t="s">
        <v>1987</v>
      </c>
      <c r="G493" t="e">
        <f>VLOOKUP(E493,기본!$F$3:$G$320,2,0)</f>
        <v>#N/A</v>
      </c>
      <c r="H493" s="544">
        <v>4680</v>
      </c>
      <c r="I493">
        <v>36.302895799999995</v>
      </c>
    </row>
    <row r="494" spans="2:9">
      <c r="B494" s="545">
        <v>2</v>
      </c>
      <c r="C494" s="545" t="str">
        <f>VLOOKUP(D494,기본!$B$3:$C$90,2,0)</f>
        <v>AV JDM</v>
      </c>
      <c r="D494" t="s">
        <v>2329</v>
      </c>
      <c r="E494" t="s">
        <v>2027</v>
      </c>
      <c r="F494" t="s">
        <v>2027</v>
      </c>
      <c r="G494" t="str">
        <f>VLOOKUP(E494,기본!$F$3:$G$320,2,0)</f>
        <v>AV</v>
      </c>
      <c r="H494" s="544">
        <v>13149</v>
      </c>
      <c r="I494">
        <v>159.30220768200002</v>
      </c>
    </row>
    <row r="495" spans="2:9">
      <c r="B495" s="545">
        <v>2</v>
      </c>
      <c r="C495" s="545" t="str">
        <f>VLOOKUP(D495,기본!$B$3:$C$90,2,0)</f>
        <v>AV JDM</v>
      </c>
      <c r="D495" t="s">
        <v>2329</v>
      </c>
      <c r="E495" t="s">
        <v>2403</v>
      </c>
      <c r="F495" t="s">
        <v>2403</v>
      </c>
      <c r="G495" t="e">
        <f>VLOOKUP(E495,기본!$F$3:$G$320,2,0)</f>
        <v>#N/A</v>
      </c>
      <c r="H495" s="544">
        <v>5280</v>
      </c>
      <c r="I495">
        <v>97.099069199999988</v>
      </c>
    </row>
    <row r="496" spans="2:9">
      <c r="B496" s="545">
        <v>2</v>
      </c>
      <c r="C496" s="545" t="str">
        <f>VLOOKUP(D496,기본!$B$3:$C$90,2,0)</f>
        <v>MNT JDM</v>
      </c>
      <c r="D496" t="s">
        <v>1810</v>
      </c>
      <c r="E496" t="s">
        <v>676</v>
      </c>
      <c r="F496" t="s">
        <v>2482</v>
      </c>
      <c r="G496" t="str">
        <f>VLOOKUP(E496,기본!$F$3:$G$320,2,0)</f>
        <v>MNT</v>
      </c>
      <c r="H496" s="544">
        <v>4224</v>
      </c>
      <c r="I496">
        <v>19.675877759999999</v>
      </c>
    </row>
    <row r="497" spans="2:9">
      <c r="B497" s="545">
        <v>2</v>
      </c>
      <c r="C497" s="545" t="str">
        <f>VLOOKUP(D497,기본!$B$3:$C$90,2,0)</f>
        <v>MNT JDM</v>
      </c>
      <c r="D497" t="s">
        <v>1810</v>
      </c>
      <c r="E497" t="s">
        <v>1110</v>
      </c>
      <c r="F497" t="s">
        <v>1965</v>
      </c>
      <c r="G497" t="str">
        <f>VLOOKUP(E497,기본!$F$3:$G$320,2,0)</f>
        <v>MNT</v>
      </c>
      <c r="H497" s="544">
        <v>4224</v>
      </c>
      <c r="I497">
        <v>24.068352000000001</v>
      </c>
    </row>
    <row r="498" spans="2:9">
      <c r="B498" s="545">
        <v>2</v>
      </c>
      <c r="C498" s="545" t="str">
        <f>VLOOKUP(D498,기본!$B$3:$C$90,2,0)</f>
        <v>한화비전</v>
      </c>
      <c r="D498" t="s">
        <v>1811</v>
      </c>
      <c r="E498" t="s">
        <v>1966</v>
      </c>
      <c r="F498" t="s">
        <v>1967</v>
      </c>
      <c r="G498" t="e">
        <f>VLOOKUP(E498,기본!$F$3:$G$320,2,0)</f>
        <v>#N/A</v>
      </c>
      <c r="H498" s="544">
        <v>480</v>
      </c>
      <c r="I498">
        <v>1.8569779200000003</v>
      </c>
    </row>
    <row r="499" spans="2:9">
      <c r="B499" s="545">
        <v>2</v>
      </c>
      <c r="C499" s="545" t="str">
        <f>VLOOKUP(D499,기본!$B$3:$C$90,2,0)</f>
        <v>한화비전</v>
      </c>
      <c r="D499" t="s">
        <v>1811</v>
      </c>
      <c r="E499" t="s">
        <v>2483</v>
      </c>
      <c r="F499" t="s">
        <v>2484</v>
      </c>
      <c r="G499" t="e">
        <f>VLOOKUP(E499,기본!$F$3:$G$320,2,0)</f>
        <v>#N/A</v>
      </c>
      <c r="H499" s="544">
        <v>198</v>
      </c>
      <c r="I499">
        <v>4.9243075200000002</v>
      </c>
    </row>
    <row r="500" spans="2:9">
      <c r="B500" s="545">
        <v>2</v>
      </c>
      <c r="C500" s="545" t="str">
        <f>VLOOKUP(D500,기본!$B$3:$C$90,2,0)</f>
        <v>한화비전</v>
      </c>
      <c r="D500" t="s">
        <v>1811</v>
      </c>
      <c r="E500" t="s">
        <v>1812</v>
      </c>
      <c r="F500" t="s">
        <v>1813</v>
      </c>
      <c r="G500" t="e">
        <f>VLOOKUP(E500,기본!$F$3:$G$320,2,0)</f>
        <v>#N/A</v>
      </c>
      <c r="H500" s="544">
        <v>1296</v>
      </c>
      <c r="I500">
        <v>48.818972160000001</v>
      </c>
    </row>
    <row r="501" spans="2:9">
      <c r="B501" s="545">
        <v>2</v>
      </c>
      <c r="C501" s="545" t="str">
        <f>VLOOKUP(D501,기본!$B$3:$C$90,2,0)</f>
        <v>한화비전</v>
      </c>
      <c r="D501" t="s">
        <v>1811</v>
      </c>
      <c r="E501" t="s">
        <v>2485</v>
      </c>
      <c r="F501" t="s">
        <v>2486</v>
      </c>
      <c r="G501" t="e">
        <f>VLOOKUP(E501,기본!$F$3:$G$320,2,0)</f>
        <v>#N/A</v>
      </c>
      <c r="H501" s="544">
        <v>1992</v>
      </c>
      <c r="I501">
        <v>40.5065472</v>
      </c>
    </row>
    <row r="502" spans="2:9">
      <c r="B502" s="545">
        <v>2</v>
      </c>
      <c r="C502" s="545" t="str">
        <f>VLOOKUP(D502,기본!$B$3:$C$90,2,0)</f>
        <v>한화비전</v>
      </c>
      <c r="D502" t="s">
        <v>1811</v>
      </c>
      <c r="E502" t="s">
        <v>2487</v>
      </c>
      <c r="F502" t="s">
        <v>2488</v>
      </c>
      <c r="G502" t="e">
        <f>VLOOKUP(E502,기본!$F$3:$G$320,2,0)</f>
        <v>#N/A</v>
      </c>
      <c r="H502" s="544">
        <v>342</v>
      </c>
      <c r="I502">
        <v>12.559471200000001</v>
      </c>
    </row>
    <row r="503" spans="2:9">
      <c r="B503" s="545">
        <v>2</v>
      </c>
      <c r="C503" s="545" t="str">
        <f>VLOOKUP(D503,기본!$B$3:$C$90,2,0)</f>
        <v>JDM</v>
      </c>
      <c r="D503" t="s">
        <v>2489</v>
      </c>
      <c r="E503" t="s">
        <v>2029</v>
      </c>
      <c r="F503" t="s">
        <v>1807</v>
      </c>
      <c r="G503" t="str">
        <f>VLOOKUP(E503,기본!$F$3:$G$320,2,0)</f>
        <v>기타</v>
      </c>
      <c r="H503" s="544">
        <v>720</v>
      </c>
      <c r="I503">
        <v>20.410235999999998</v>
      </c>
    </row>
    <row r="504" spans="2:9">
      <c r="B504" s="545">
        <v>2</v>
      </c>
      <c r="C504" s="545" t="str">
        <f>VLOOKUP(D504,기본!$B$3:$C$90,2,0)</f>
        <v>JDM</v>
      </c>
      <c r="D504" t="s">
        <v>2489</v>
      </c>
      <c r="E504" t="s">
        <v>2031</v>
      </c>
      <c r="F504" t="s">
        <v>1807</v>
      </c>
      <c r="G504" t="str">
        <f>VLOOKUP(E504,기본!$F$3:$G$320,2,0)</f>
        <v>기타</v>
      </c>
      <c r="H504" s="544">
        <v>330</v>
      </c>
      <c r="I504">
        <v>9.3546914999999977</v>
      </c>
    </row>
    <row r="505" spans="2:9">
      <c r="B505" s="545">
        <v>2</v>
      </c>
      <c r="C505" s="545" t="str">
        <f>VLOOKUP(D505,기본!$B$3:$C$90,2,0)</f>
        <v>JDM</v>
      </c>
      <c r="D505" t="s">
        <v>2489</v>
      </c>
      <c r="E505" t="s">
        <v>2032</v>
      </c>
      <c r="F505" t="s">
        <v>1807</v>
      </c>
      <c r="G505" t="str">
        <f>VLOOKUP(E505,기본!$F$3:$G$320,2,0)</f>
        <v>기타</v>
      </c>
      <c r="H505" s="544">
        <v>30</v>
      </c>
      <c r="I505">
        <v>0.85042649999999997</v>
      </c>
    </row>
    <row r="506" spans="2:9">
      <c r="B506" s="545">
        <v>2</v>
      </c>
      <c r="C506" s="545" t="str">
        <f>VLOOKUP(D506,기본!$B$3:$C$90,2,0)</f>
        <v>코웨이</v>
      </c>
      <c r="D506" t="s">
        <v>1815</v>
      </c>
      <c r="E506" t="s">
        <v>1817</v>
      </c>
      <c r="F506" t="s">
        <v>1817</v>
      </c>
      <c r="G506" t="e">
        <f>VLOOKUP(E506,기본!$F$3:$G$320,2,0)</f>
        <v>#N/A</v>
      </c>
      <c r="H506" s="544">
        <v>2090</v>
      </c>
      <c r="I506">
        <v>16.3735407</v>
      </c>
    </row>
    <row r="507" spans="2:9">
      <c r="B507" s="545">
        <v>2</v>
      </c>
      <c r="C507" s="545" t="str">
        <f>VLOOKUP(D507,기본!$B$3:$C$90,2,0)</f>
        <v>코웨이</v>
      </c>
      <c r="D507" t="s">
        <v>1815</v>
      </c>
      <c r="E507" t="s">
        <v>1818</v>
      </c>
      <c r="F507" t="s">
        <v>1818</v>
      </c>
      <c r="G507" t="e">
        <f>VLOOKUP(E507,기본!$F$3:$G$320,2,0)</f>
        <v>#N/A</v>
      </c>
      <c r="H507" s="544">
        <v>3696</v>
      </c>
      <c r="I507">
        <v>21.8878968</v>
      </c>
    </row>
    <row r="508" spans="2:9">
      <c r="B508" s="545">
        <v>2</v>
      </c>
      <c r="C508" s="545" t="str">
        <f>VLOOKUP(D508,기본!$B$3:$C$90,2,0)</f>
        <v>삼성 VD</v>
      </c>
      <c r="D508" t="s">
        <v>1820</v>
      </c>
      <c r="E508" t="s">
        <v>1781</v>
      </c>
      <c r="F508" t="s">
        <v>1782</v>
      </c>
      <c r="G508" t="str">
        <f>VLOOKUP(E508,기본!$F$3:$G$320,2,0)</f>
        <v>TV</v>
      </c>
      <c r="H508" s="544">
        <v>90</v>
      </c>
      <c r="I508">
        <v>1.1820501000000001</v>
      </c>
    </row>
    <row r="509" spans="2:9">
      <c r="B509" s="545">
        <v>2</v>
      </c>
      <c r="C509" s="545" t="str">
        <f>VLOOKUP(D509,기본!$B$3:$C$90,2,0)</f>
        <v>삼성 VD</v>
      </c>
      <c r="D509" t="s">
        <v>1820</v>
      </c>
      <c r="E509" t="s">
        <v>1723</v>
      </c>
      <c r="F509" t="s">
        <v>1821</v>
      </c>
      <c r="G509" t="str">
        <f>VLOOKUP(E509,기본!$F$3:$G$320,2,0)</f>
        <v>TV</v>
      </c>
      <c r="H509" s="544">
        <v>7880</v>
      </c>
      <c r="I509">
        <v>94.178253400000017</v>
      </c>
    </row>
    <row r="510" spans="2:9">
      <c r="B510" s="545">
        <v>2</v>
      </c>
      <c r="C510" s="545" t="str">
        <f>VLOOKUP(D510,기본!$B$3:$C$90,2,0)</f>
        <v>삼성 VD</v>
      </c>
      <c r="D510" t="s">
        <v>1820</v>
      </c>
      <c r="E510" t="s">
        <v>2182</v>
      </c>
      <c r="F510" t="s">
        <v>2183</v>
      </c>
      <c r="G510" t="str">
        <f>VLOOKUP(E510,기본!$F$3:$G$320,2,0)</f>
        <v>MNT</v>
      </c>
      <c r="H510" s="544">
        <v>2790</v>
      </c>
      <c r="I510">
        <v>14.600468970000001</v>
      </c>
    </row>
    <row r="511" spans="2:9">
      <c r="B511" s="545">
        <v>2</v>
      </c>
      <c r="C511" s="545" t="str">
        <f>VLOOKUP(D511,기본!$B$3:$C$90,2,0)</f>
        <v>삼성 VD</v>
      </c>
      <c r="D511" t="s">
        <v>1820</v>
      </c>
      <c r="E511" t="s">
        <v>2443</v>
      </c>
      <c r="F511" t="s">
        <v>2440</v>
      </c>
      <c r="G511" t="str">
        <f>VLOOKUP(E511,기본!$F$3:$G$320,2,0)</f>
        <v>TV</v>
      </c>
      <c r="H511" s="544">
        <v>111</v>
      </c>
      <c r="I511">
        <v>2.4271343249999999</v>
      </c>
    </row>
    <row r="512" spans="2:9">
      <c r="B512" s="545">
        <v>2</v>
      </c>
      <c r="C512" s="545" t="str">
        <f>VLOOKUP(D512,기본!$B$3:$C$90,2,0)</f>
        <v>삼성 VD</v>
      </c>
      <c r="D512" t="s">
        <v>1824</v>
      </c>
      <c r="E512" t="s">
        <v>1119</v>
      </c>
      <c r="F512" t="s">
        <v>1798</v>
      </c>
      <c r="G512" t="str">
        <f>VLOOKUP(E512,기본!$F$3:$G$320,2,0)</f>
        <v>TV</v>
      </c>
      <c r="H512" s="544">
        <v>168</v>
      </c>
      <c r="I512">
        <v>5.2635216480000002</v>
      </c>
    </row>
    <row r="513" spans="2:9">
      <c r="B513" s="545">
        <v>2</v>
      </c>
      <c r="C513" s="545" t="str">
        <f>VLOOKUP(D513,기본!$B$3:$C$90,2,0)</f>
        <v>삼성 VD</v>
      </c>
      <c r="D513" t="s">
        <v>1824</v>
      </c>
      <c r="E513" t="s">
        <v>1118</v>
      </c>
      <c r="F513" t="s">
        <v>1779</v>
      </c>
      <c r="G513" t="str">
        <f>VLOOKUP(E513,기본!$F$3:$G$320,2,0)</f>
        <v>TV</v>
      </c>
      <c r="H513" s="544">
        <v>180</v>
      </c>
      <c r="I513">
        <v>5.02010676</v>
      </c>
    </row>
    <row r="514" spans="2:9">
      <c r="B514" s="545">
        <v>2</v>
      </c>
      <c r="C514" s="545" t="str">
        <f>VLOOKUP(D514,기본!$B$3:$C$90,2,0)</f>
        <v>삼성 VD</v>
      </c>
      <c r="D514" t="s">
        <v>1824</v>
      </c>
      <c r="E514" t="s">
        <v>1783</v>
      </c>
      <c r="F514" t="s">
        <v>1784</v>
      </c>
      <c r="G514" t="str">
        <f>VLOOKUP(E514,기본!$F$3:$G$320,2,0)</f>
        <v>TV</v>
      </c>
      <c r="H514" s="544">
        <v>69</v>
      </c>
      <c r="I514">
        <v>0.97465715399999997</v>
      </c>
    </row>
    <row r="515" spans="2:9">
      <c r="B515" s="545">
        <v>2</v>
      </c>
      <c r="C515" s="545" t="str">
        <f>VLOOKUP(D515,기본!$B$3:$C$90,2,0)</f>
        <v>삼성 VD</v>
      </c>
      <c r="D515" t="s">
        <v>1824</v>
      </c>
      <c r="E515" t="s">
        <v>1792</v>
      </c>
      <c r="F515" t="s">
        <v>1793</v>
      </c>
      <c r="G515" t="str">
        <f>VLOOKUP(E515,기본!$F$3:$G$320,2,0)</f>
        <v>TV</v>
      </c>
      <c r="H515" s="544">
        <v>46</v>
      </c>
      <c r="I515">
        <v>0.69100565199999997</v>
      </c>
    </row>
    <row r="516" spans="2:9">
      <c r="B516" s="545">
        <v>2</v>
      </c>
      <c r="C516" s="545" t="str">
        <f>VLOOKUP(D516,기본!$B$3:$C$90,2,0)</f>
        <v>삼성 VD</v>
      </c>
      <c r="D516" t="s">
        <v>1824</v>
      </c>
      <c r="E516" t="s">
        <v>2414</v>
      </c>
      <c r="F516" t="s">
        <v>2415</v>
      </c>
      <c r="G516" t="str">
        <f>VLOOKUP(E516,기본!$F$3:$G$320,2,0)</f>
        <v>TV</v>
      </c>
      <c r="H516" s="544">
        <v>3780</v>
      </c>
      <c r="I516">
        <v>47.923029</v>
      </c>
    </row>
    <row r="517" spans="2:9">
      <c r="B517" s="545">
        <v>2</v>
      </c>
      <c r="C517" s="545" t="str">
        <f>VLOOKUP(D517,기본!$B$3:$C$90,2,0)</f>
        <v>삼성 VD</v>
      </c>
      <c r="D517" t="s">
        <v>1824</v>
      </c>
      <c r="E517" t="s">
        <v>2441</v>
      </c>
      <c r="F517" t="s">
        <v>2438</v>
      </c>
      <c r="G517" t="str">
        <f>VLOOKUP(E517,기본!$F$3:$G$320,2,0)</f>
        <v>TV</v>
      </c>
      <c r="H517" s="544">
        <v>2604</v>
      </c>
      <c r="I517">
        <v>34.636741439999994</v>
      </c>
    </row>
    <row r="518" spans="2:9">
      <c r="B518" s="545">
        <v>2</v>
      </c>
      <c r="C518" s="545" t="str">
        <f>VLOOKUP(D518,기본!$B$3:$C$90,2,0)</f>
        <v>삼성 VD</v>
      </c>
      <c r="D518" t="s">
        <v>1833</v>
      </c>
      <c r="E518" t="s">
        <v>1968</v>
      </c>
      <c r="F518" t="s">
        <v>1969</v>
      </c>
      <c r="G518" t="str">
        <f>VLOOKUP(E518,기본!$F$3:$G$320,2,0)</f>
        <v>MNT</v>
      </c>
      <c r="H518" s="544">
        <v>12384</v>
      </c>
      <c r="I518">
        <v>248.97947040000003</v>
      </c>
    </row>
    <row r="519" spans="2:9">
      <c r="B519" s="545">
        <v>2</v>
      </c>
      <c r="C519" s="545" t="str">
        <f>VLOOKUP(D519,기본!$B$3:$C$90,2,0)</f>
        <v>삼성 VD</v>
      </c>
      <c r="D519" t="s">
        <v>1833</v>
      </c>
      <c r="E519" t="s">
        <v>1970</v>
      </c>
      <c r="F519" t="s">
        <v>835</v>
      </c>
      <c r="G519" t="str">
        <f>VLOOKUP(E519,기본!$F$3:$G$320,2,0)</f>
        <v>MNT</v>
      </c>
      <c r="H519" s="544">
        <v>497</v>
      </c>
      <c r="I519">
        <v>10.270564128</v>
      </c>
    </row>
    <row r="520" spans="2:9">
      <c r="B520" s="545">
        <v>2</v>
      </c>
      <c r="C520" s="545" t="str">
        <f>VLOOKUP(D520,기본!$B$3:$C$90,2,0)</f>
        <v>삼성 VD</v>
      </c>
      <c r="D520" t="s">
        <v>1833</v>
      </c>
      <c r="E520" t="s">
        <v>1119</v>
      </c>
      <c r="F520" t="s">
        <v>1798</v>
      </c>
      <c r="G520" t="str">
        <f>VLOOKUP(E520,기본!$F$3:$G$320,2,0)</f>
        <v>TV</v>
      </c>
      <c r="H520" s="544">
        <v>1080</v>
      </c>
      <c r="I520">
        <v>33.338428200000003</v>
      </c>
    </row>
    <row r="521" spans="2:9">
      <c r="B521" s="545">
        <v>2</v>
      </c>
      <c r="C521" s="545" t="str">
        <f>VLOOKUP(D521,기본!$B$3:$C$90,2,0)</f>
        <v>삼성 VD</v>
      </c>
      <c r="D521" t="s">
        <v>1833</v>
      </c>
      <c r="E521" t="s">
        <v>1118</v>
      </c>
      <c r="F521" t="s">
        <v>1779</v>
      </c>
      <c r="G521" t="str">
        <f>VLOOKUP(E521,기본!$F$3:$G$320,2,0)</f>
        <v>TV</v>
      </c>
      <c r="H521" s="544">
        <v>1332</v>
      </c>
      <c r="I521">
        <v>36.705042863999999</v>
      </c>
    </row>
    <row r="522" spans="2:9">
      <c r="B522" s="545">
        <v>2</v>
      </c>
      <c r="C522" s="545" t="str">
        <f>VLOOKUP(D522,기본!$B$3:$C$90,2,0)</f>
        <v>삼성 VD</v>
      </c>
      <c r="D522" t="s">
        <v>1833</v>
      </c>
      <c r="E522" t="s">
        <v>1781</v>
      </c>
      <c r="F522" t="s">
        <v>1782</v>
      </c>
      <c r="G522" t="str">
        <f>VLOOKUP(E522,기본!$F$3:$G$320,2,0)</f>
        <v>TV</v>
      </c>
      <c r="H522" s="544">
        <v>52</v>
      </c>
      <c r="I522">
        <v>0.68819002000000007</v>
      </c>
    </row>
    <row r="523" spans="2:9">
      <c r="B523" s="545">
        <v>2</v>
      </c>
      <c r="C523" s="545" t="str">
        <f>VLOOKUP(D523,기본!$B$3:$C$90,2,0)</f>
        <v>삼성 VD</v>
      </c>
      <c r="D523" t="s">
        <v>1833</v>
      </c>
      <c r="E523" t="s">
        <v>1783</v>
      </c>
      <c r="F523" t="s">
        <v>1784</v>
      </c>
      <c r="G523" t="str">
        <f>VLOOKUP(E523,기본!$F$3:$G$320,2,0)</f>
        <v>TV</v>
      </c>
      <c r="H523" s="544">
        <v>184</v>
      </c>
      <c r="I523">
        <v>2.6319832879999998</v>
      </c>
    </row>
    <row r="524" spans="2:9">
      <c r="B524" s="545">
        <v>2</v>
      </c>
      <c r="C524" s="545" t="str">
        <f>VLOOKUP(D524,기본!$B$3:$C$90,2,0)</f>
        <v>삼성 VD</v>
      </c>
      <c r="D524" t="s">
        <v>1833</v>
      </c>
      <c r="E524" t="s">
        <v>1792</v>
      </c>
      <c r="F524" t="s">
        <v>1793</v>
      </c>
      <c r="G524" t="str">
        <f>VLOOKUP(E524,기본!$F$3:$G$320,2,0)</f>
        <v>TV</v>
      </c>
      <c r="H524" s="544">
        <v>322</v>
      </c>
      <c r="I524">
        <v>4.8784769620000006</v>
      </c>
    </row>
    <row r="525" spans="2:9">
      <c r="B525" s="545">
        <v>2</v>
      </c>
      <c r="C525" s="545" t="str">
        <f>VLOOKUP(D525,기본!$B$3:$C$90,2,0)</f>
        <v>삼성 VD</v>
      </c>
      <c r="D525" t="s">
        <v>1833</v>
      </c>
      <c r="E525" t="s">
        <v>1834</v>
      </c>
      <c r="F525" t="s">
        <v>1835</v>
      </c>
      <c r="G525" t="str">
        <f>VLOOKUP(E525,기본!$F$3:$G$320,2,0)</f>
        <v>MNT</v>
      </c>
      <c r="H525" s="544">
        <v>1440</v>
      </c>
      <c r="I525">
        <v>14.769216</v>
      </c>
    </row>
    <row r="526" spans="2:9">
      <c r="B526" s="545">
        <v>2</v>
      </c>
      <c r="C526" s="545" t="str">
        <f>VLOOKUP(D526,기본!$B$3:$C$90,2,0)</f>
        <v>삼성 VD</v>
      </c>
      <c r="D526" t="s">
        <v>1833</v>
      </c>
      <c r="E526" t="s">
        <v>993</v>
      </c>
      <c r="F526" t="s">
        <v>992</v>
      </c>
      <c r="G526" t="str">
        <f>VLOOKUP(E526,기본!$F$3:$G$320,2,0)</f>
        <v>MNT</v>
      </c>
      <c r="H526" s="544">
        <v>360</v>
      </c>
      <c r="I526">
        <v>4.0036969200000003</v>
      </c>
    </row>
    <row r="527" spans="2:9">
      <c r="B527" s="545">
        <v>2</v>
      </c>
      <c r="C527" s="545" t="str">
        <f>VLOOKUP(D527,기본!$B$3:$C$90,2,0)</f>
        <v>삼성 VD</v>
      </c>
      <c r="D527" t="s">
        <v>1833</v>
      </c>
      <c r="E527" t="s">
        <v>1785</v>
      </c>
      <c r="F527" t="s">
        <v>1786</v>
      </c>
      <c r="G527" t="str">
        <f>VLOOKUP(E527,기본!$F$3:$G$320,2,0)</f>
        <v>MNT</v>
      </c>
      <c r="H527" s="544">
        <v>3144</v>
      </c>
      <c r="I527">
        <v>57.798675360000004</v>
      </c>
    </row>
    <row r="528" spans="2:9">
      <c r="B528" s="545">
        <v>2</v>
      </c>
      <c r="C528" s="545" t="str">
        <f>VLOOKUP(D528,기본!$B$3:$C$90,2,0)</f>
        <v>삼성 VD</v>
      </c>
      <c r="D528" t="s">
        <v>1833</v>
      </c>
      <c r="E528" t="s">
        <v>1258</v>
      </c>
      <c r="F528" t="s">
        <v>1257</v>
      </c>
      <c r="G528" t="str">
        <f>VLOOKUP(E528,기본!$F$3:$G$320,2,0)</f>
        <v>MNT</v>
      </c>
      <c r="H528" s="544">
        <v>3480</v>
      </c>
      <c r="I528">
        <v>79.520515200000006</v>
      </c>
    </row>
    <row r="529" spans="2:9">
      <c r="B529" s="545">
        <v>2</v>
      </c>
      <c r="C529" s="545" t="str">
        <f>VLOOKUP(D529,기본!$B$3:$C$90,2,0)</f>
        <v>삼성 VD</v>
      </c>
      <c r="D529" t="s">
        <v>1833</v>
      </c>
      <c r="E529" t="s">
        <v>1260</v>
      </c>
      <c r="F529" t="s">
        <v>1259</v>
      </c>
      <c r="G529" t="str">
        <f>VLOOKUP(E529,기본!$F$3:$G$320,2,0)</f>
        <v>MNT</v>
      </c>
      <c r="H529" s="544">
        <v>288</v>
      </c>
      <c r="I529">
        <v>7.0869646079999997</v>
      </c>
    </row>
    <row r="530" spans="2:9">
      <c r="B530" s="545">
        <v>2</v>
      </c>
      <c r="C530" s="545" t="str">
        <f>VLOOKUP(D530,기본!$B$3:$C$90,2,0)</f>
        <v>삼성 VD</v>
      </c>
      <c r="D530" t="s">
        <v>1833</v>
      </c>
      <c r="E530" t="s">
        <v>1787</v>
      </c>
      <c r="F530" t="s">
        <v>1788</v>
      </c>
      <c r="G530" t="str">
        <f>VLOOKUP(E530,기본!$F$3:$G$320,2,0)</f>
        <v>MNT</v>
      </c>
      <c r="H530" s="544">
        <v>9576</v>
      </c>
      <c r="I530">
        <v>372.65843375999998</v>
      </c>
    </row>
    <row r="531" spans="2:9">
      <c r="B531" s="545">
        <v>2</v>
      </c>
      <c r="C531" s="545" t="str">
        <f>VLOOKUP(D531,기본!$B$3:$C$90,2,0)</f>
        <v>삼성 VD</v>
      </c>
      <c r="D531" t="s">
        <v>1833</v>
      </c>
      <c r="E531" t="s">
        <v>1837</v>
      </c>
      <c r="F531" t="s">
        <v>1838</v>
      </c>
      <c r="G531" t="str">
        <f>VLOOKUP(E531,기본!$F$3:$G$320,2,0)</f>
        <v>MNT</v>
      </c>
      <c r="H531" s="544">
        <v>11664</v>
      </c>
      <c r="I531">
        <v>195.46745286099997</v>
      </c>
    </row>
    <row r="532" spans="2:9">
      <c r="B532" s="545">
        <v>2</v>
      </c>
      <c r="C532" s="545" t="str">
        <f>VLOOKUP(D532,기본!$B$3:$C$90,2,0)</f>
        <v>삼성 VD</v>
      </c>
      <c r="D532" t="s">
        <v>1833</v>
      </c>
      <c r="E532" t="s">
        <v>1727</v>
      </c>
      <c r="F532" t="s">
        <v>1823</v>
      </c>
      <c r="G532" t="str">
        <f>VLOOKUP(E532,기본!$F$3:$G$320,2,0)</f>
        <v>TV</v>
      </c>
      <c r="H532" s="544">
        <v>50</v>
      </c>
      <c r="I532">
        <v>0.88121510000000003</v>
      </c>
    </row>
    <row r="533" spans="2:9">
      <c r="B533" s="545">
        <v>2</v>
      </c>
      <c r="C533" s="545" t="str">
        <f>VLOOKUP(D533,기본!$B$3:$C$90,2,0)</f>
        <v>삼성 VD</v>
      </c>
      <c r="D533" t="s">
        <v>1833</v>
      </c>
      <c r="E533" t="s">
        <v>2051</v>
      </c>
      <c r="F533" t="s">
        <v>2020</v>
      </c>
      <c r="G533" t="str">
        <f>VLOOKUP(E533,기본!$F$3:$G$320,2,0)</f>
        <v>MNT</v>
      </c>
      <c r="H533" s="544">
        <v>20592</v>
      </c>
      <c r="I533">
        <v>106.47989351999999</v>
      </c>
    </row>
    <row r="534" spans="2:9">
      <c r="B534" s="545">
        <v>2</v>
      </c>
      <c r="C534" s="545" t="str">
        <f>VLOOKUP(D534,기본!$B$3:$C$90,2,0)</f>
        <v>삼성 VD</v>
      </c>
      <c r="D534" t="s">
        <v>1833</v>
      </c>
      <c r="E534" t="s">
        <v>2184</v>
      </c>
      <c r="F534" t="s">
        <v>1749</v>
      </c>
      <c r="G534" t="str">
        <f>VLOOKUP(E534,기본!$F$3:$G$320,2,0)</f>
        <v>MNT</v>
      </c>
      <c r="H534" s="544">
        <v>612</v>
      </c>
      <c r="I534">
        <v>3.6635075279999998</v>
      </c>
    </row>
    <row r="535" spans="2:9">
      <c r="B535" s="545">
        <v>2</v>
      </c>
      <c r="C535" s="545" t="str">
        <f>VLOOKUP(D535,기본!$B$3:$C$90,2,0)</f>
        <v>삼성 VD</v>
      </c>
      <c r="D535" t="s">
        <v>1833</v>
      </c>
      <c r="E535" t="s">
        <v>2054</v>
      </c>
      <c r="F535" t="s">
        <v>1750</v>
      </c>
      <c r="G535" t="str">
        <f>VLOOKUP(E535,기본!$F$3:$G$320,2,0)</f>
        <v>MNT</v>
      </c>
      <c r="H535" s="544">
        <v>10560</v>
      </c>
      <c r="I535">
        <v>72.933484931999999</v>
      </c>
    </row>
    <row r="536" spans="2:9">
      <c r="B536" s="545">
        <v>2</v>
      </c>
      <c r="C536" s="545" t="str">
        <f>VLOOKUP(D536,기본!$B$3:$C$90,2,0)</f>
        <v>삼성 VD</v>
      </c>
      <c r="D536" t="s">
        <v>1833</v>
      </c>
      <c r="E536" t="s">
        <v>2110</v>
      </c>
      <c r="F536" t="s">
        <v>1748</v>
      </c>
      <c r="G536" t="str">
        <f>VLOOKUP(E536,기본!$F$3:$G$320,2,0)</f>
        <v>MNT</v>
      </c>
      <c r="H536" s="544">
        <v>551</v>
      </c>
      <c r="I536">
        <v>6.3094789889999987</v>
      </c>
    </row>
    <row r="537" spans="2:9">
      <c r="B537" s="545">
        <v>2</v>
      </c>
      <c r="C537" s="545" t="str">
        <f>VLOOKUP(D537,기본!$B$3:$C$90,2,0)</f>
        <v>삼성 VD</v>
      </c>
      <c r="D537" t="s">
        <v>1833</v>
      </c>
      <c r="E537" t="s">
        <v>2112</v>
      </c>
      <c r="F537" t="s">
        <v>1748</v>
      </c>
      <c r="G537" t="str">
        <f>VLOOKUP(E537,기본!$F$3:$G$320,2,0)</f>
        <v>MNT</v>
      </c>
      <c r="H537" s="544">
        <v>391</v>
      </c>
      <c r="I537">
        <v>4.3399399779999994</v>
      </c>
    </row>
    <row r="538" spans="2:9">
      <c r="B538" s="545">
        <v>2</v>
      </c>
      <c r="C538" s="545" t="str">
        <f>VLOOKUP(D538,기본!$B$3:$C$90,2,0)</f>
        <v>삼성 VD</v>
      </c>
      <c r="D538" t="s">
        <v>1833</v>
      </c>
      <c r="E538" t="s">
        <v>2114</v>
      </c>
      <c r="F538" t="s">
        <v>1748</v>
      </c>
      <c r="G538" t="str">
        <f>VLOOKUP(E538,기본!$F$3:$G$320,2,0)</f>
        <v>MNT</v>
      </c>
      <c r="H538" s="544">
        <v>73</v>
      </c>
      <c r="I538">
        <v>0.82340514900000006</v>
      </c>
    </row>
    <row r="539" spans="2:9">
      <c r="B539" s="545">
        <v>2</v>
      </c>
      <c r="C539" s="545" t="str">
        <f>VLOOKUP(D539,기본!$B$3:$C$90,2,0)</f>
        <v>삼성 VD</v>
      </c>
      <c r="D539" t="s">
        <v>1833</v>
      </c>
      <c r="E539" t="s">
        <v>2120</v>
      </c>
      <c r="F539" t="s">
        <v>1748</v>
      </c>
      <c r="G539" t="str">
        <f>VLOOKUP(E539,기본!$F$3:$G$320,2,0)</f>
        <v>MNT</v>
      </c>
      <c r="H539" s="544">
        <v>1322</v>
      </c>
      <c r="I539">
        <v>14.977638989999999</v>
      </c>
    </row>
    <row r="540" spans="2:9">
      <c r="B540" s="545">
        <v>2</v>
      </c>
      <c r="C540" s="545" t="str">
        <f>VLOOKUP(D540,기본!$B$3:$C$90,2,0)</f>
        <v>삼성 VD</v>
      </c>
      <c r="D540" t="s">
        <v>1833</v>
      </c>
      <c r="E540" t="s">
        <v>2074</v>
      </c>
      <c r="F540" t="s">
        <v>1746</v>
      </c>
      <c r="G540" t="str">
        <f>VLOOKUP(E540,기본!$F$3:$G$320,2,0)</f>
        <v>MNT</v>
      </c>
      <c r="H540" s="544">
        <v>1291</v>
      </c>
      <c r="I540">
        <v>8.9605132109999985</v>
      </c>
    </row>
    <row r="541" spans="2:9">
      <c r="B541" s="545">
        <v>2</v>
      </c>
      <c r="C541" s="545" t="str">
        <f>VLOOKUP(D541,기본!$B$3:$C$90,2,0)</f>
        <v>삼성 VD</v>
      </c>
      <c r="D541" t="s">
        <v>1833</v>
      </c>
      <c r="E541" t="s">
        <v>2076</v>
      </c>
      <c r="F541" t="s">
        <v>1746</v>
      </c>
      <c r="G541" t="str">
        <f>VLOOKUP(E541,기본!$F$3:$G$320,2,0)</f>
        <v>MNT</v>
      </c>
      <c r="H541" s="544">
        <v>321</v>
      </c>
      <c r="I541">
        <v>2.2291989210000001</v>
      </c>
    </row>
    <row r="542" spans="2:9">
      <c r="B542" s="545">
        <v>2</v>
      </c>
      <c r="C542" s="545" t="str">
        <f>VLOOKUP(D542,기본!$B$3:$C$90,2,0)</f>
        <v>삼성 VD</v>
      </c>
      <c r="D542" t="s">
        <v>1833</v>
      </c>
      <c r="E542" t="s">
        <v>2078</v>
      </c>
      <c r="F542" t="s">
        <v>1746</v>
      </c>
      <c r="G542" t="str">
        <f>VLOOKUP(E542,기본!$F$3:$G$320,2,0)</f>
        <v>MNT</v>
      </c>
      <c r="H542" s="544">
        <v>286</v>
      </c>
      <c r="I542">
        <v>1.9634226299999997</v>
      </c>
    </row>
    <row r="543" spans="2:9">
      <c r="B543" s="545">
        <v>2</v>
      </c>
      <c r="C543" s="545" t="str">
        <f>VLOOKUP(D543,기본!$B$3:$C$90,2,0)</f>
        <v>삼성 VD</v>
      </c>
      <c r="D543" t="s">
        <v>1833</v>
      </c>
      <c r="E543" t="s">
        <v>2094</v>
      </c>
      <c r="F543" t="s">
        <v>1747</v>
      </c>
      <c r="G543" t="str">
        <f>VLOOKUP(E543,기본!$F$3:$G$320,2,0)</f>
        <v>MNT</v>
      </c>
      <c r="H543" s="544">
        <v>555</v>
      </c>
      <c r="I543">
        <v>3.7887313970000003</v>
      </c>
    </row>
    <row r="544" spans="2:9">
      <c r="B544" s="545">
        <v>2</v>
      </c>
      <c r="C544" s="545" t="str">
        <f>VLOOKUP(D544,기본!$B$3:$C$90,2,0)</f>
        <v>삼성 VD</v>
      </c>
      <c r="D544" t="s">
        <v>1833</v>
      </c>
      <c r="E544" t="s">
        <v>2104</v>
      </c>
      <c r="F544" t="s">
        <v>1747</v>
      </c>
      <c r="G544" t="str">
        <f>VLOOKUP(E544,기본!$F$3:$G$320,2,0)</f>
        <v>MNT</v>
      </c>
      <c r="H544" s="544">
        <v>25</v>
      </c>
      <c r="I544">
        <v>0.16987162499999997</v>
      </c>
    </row>
    <row r="545" spans="2:9">
      <c r="B545" s="545">
        <v>2</v>
      </c>
      <c r="C545" s="545" t="str">
        <f>VLOOKUP(D545,기본!$B$3:$C$90,2,0)</f>
        <v>삼성 VD</v>
      </c>
      <c r="D545" t="s">
        <v>1833</v>
      </c>
      <c r="E545" t="s">
        <v>2252</v>
      </c>
      <c r="F545" t="s">
        <v>2264</v>
      </c>
      <c r="G545" t="str">
        <f>VLOOKUP(E545,기본!$F$3:$G$320,2,0)</f>
        <v>MNT</v>
      </c>
      <c r="H545" s="544">
        <v>13888</v>
      </c>
      <c r="I545">
        <v>107.043571712</v>
      </c>
    </row>
    <row r="546" spans="2:9">
      <c r="B546" s="545">
        <v>2</v>
      </c>
      <c r="C546" s="545" t="str">
        <f>VLOOKUP(D546,기본!$B$3:$C$90,2,0)</f>
        <v>삼성 VD</v>
      </c>
      <c r="D546" t="s">
        <v>1833</v>
      </c>
      <c r="E546" t="s">
        <v>2265</v>
      </c>
      <c r="F546" t="s">
        <v>2266</v>
      </c>
      <c r="G546" t="str">
        <f>VLOOKUP(E546,기본!$F$3:$G$320,2,0)</f>
        <v>MNT</v>
      </c>
      <c r="H546" s="544">
        <v>2968</v>
      </c>
      <c r="I546">
        <v>24.609590600000004</v>
      </c>
    </row>
    <row r="547" spans="2:9">
      <c r="B547" s="545">
        <v>2</v>
      </c>
      <c r="C547" s="545" t="str">
        <f>VLOOKUP(D547,기본!$B$3:$C$90,2,0)</f>
        <v>삼성 VD</v>
      </c>
      <c r="D547" t="s">
        <v>1833</v>
      </c>
      <c r="E547" t="s">
        <v>2420</v>
      </c>
      <c r="F547" t="s">
        <v>2421</v>
      </c>
      <c r="G547" t="str">
        <f>VLOOKUP(E547,기본!$F$3:$G$320,2,0)</f>
        <v>MNT</v>
      </c>
      <c r="H547" s="544">
        <v>1992</v>
      </c>
      <c r="I547">
        <v>15.514662240000002</v>
      </c>
    </row>
    <row r="548" spans="2:9">
      <c r="B548" s="545">
        <v>2</v>
      </c>
      <c r="C548" s="545" t="str">
        <f>VLOOKUP(D548,기본!$B$3:$C$90,2,0)</f>
        <v>삼성 VD</v>
      </c>
      <c r="D548" t="s">
        <v>1833</v>
      </c>
      <c r="E548" t="s">
        <v>2422</v>
      </c>
      <c r="F548" t="s">
        <v>2423</v>
      </c>
      <c r="G548" t="str">
        <f>VLOOKUP(E548,기본!$F$3:$G$320,2,0)</f>
        <v>MNT</v>
      </c>
      <c r="H548" s="544">
        <v>420</v>
      </c>
      <c r="I548">
        <v>3.5358014999999998</v>
      </c>
    </row>
    <row r="549" spans="2:9">
      <c r="B549" s="545">
        <v>2</v>
      </c>
      <c r="C549" s="545" t="str">
        <f>VLOOKUP(D549,기본!$B$3:$C$90,2,0)</f>
        <v>삼성 VD</v>
      </c>
      <c r="D549" t="s">
        <v>1833</v>
      </c>
      <c r="E549" t="s">
        <v>2185</v>
      </c>
      <c r="F549" t="s">
        <v>2186</v>
      </c>
      <c r="G549" t="str">
        <f>VLOOKUP(E549,기본!$F$3:$G$320,2,0)</f>
        <v>MNT</v>
      </c>
      <c r="H549" s="544">
        <v>1041</v>
      </c>
      <c r="I549">
        <v>49.448232863999998</v>
      </c>
    </row>
    <row r="550" spans="2:9">
      <c r="B550" s="545">
        <v>2</v>
      </c>
      <c r="C550" s="545" t="str">
        <f>VLOOKUP(D550,기본!$B$3:$C$90,2,0)</f>
        <v>삼성 VD</v>
      </c>
      <c r="D550" t="s">
        <v>1833</v>
      </c>
      <c r="E550" t="s">
        <v>2414</v>
      </c>
      <c r="F550" t="s">
        <v>2415</v>
      </c>
      <c r="G550" t="str">
        <f>VLOOKUP(E550,기본!$F$3:$G$320,2,0)</f>
        <v>TV</v>
      </c>
      <c r="H550" s="544">
        <v>7224</v>
      </c>
      <c r="I550">
        <v>91.825091400000005</v>
      </c>
    </row>
    <row r="551" spans="2:9">
      <c r="B551" s="545">
        <v>2</v>
      </c>
      <c r="C551" s="545" t="str">
        <f>VLOOKUP(D551,기본!$B$3:$C$90,2,0)</f>
        <v>삼성 VD</v>
      </c>
      <c r="D551" t="s">
        <v>1833</v>
      </c>
      <c r="E551" t="s">
        <v>2441</v>
      </c>
      <c r="F551" t="s">
        <v>2438</v>
      </c>
      <c r="G551" t="str">
        <f>VLOOKUP(E551,기본!$F$3:$G$320,2,0)</f>
        <v>TV</v>
      </c>
      <c r="H551" s="544">
        <v>1834</v>
      </c>
      <c r="I551">
        <v>24.267117839999997</v>
      </c>
    </row>
    <row r="552" spans="2:9">
      <c r="B552" s="545">
        <v>2</v>
      </c>
      <c r="C552" s="545" t="str">
        <f>VLOOKUP(D552,기본!$B$3:$C$90,2,0)</f>
        <v>삼성 VD</v>
      </c>
      <c r="D552" t="s">
        <v>1833</v>
      </c>
      <c r="E552" t="s">
        <v>2443</v>
      </c>
      <c r="F552" t="s">
        <v>2440</v>
      </c>
      <c r="G552" t="str">
        <f>VLOOKUP(E552,기본!$F$3:$G$320,2,0)</f>
        <v>TV</v>
      </c>
      <c r="H552" s="544">
        <v>4032</v>
      </c>
      <c r="I552">
        <v>90.014561279999995</v>
      </c>
    </row>
    <row r="553" spans="2:9">
      <c r="B553" s="545">
        <v>2</v>
      </c>
      <c r="C553" s="545" t="str">
        <f>VLOOKUP(D553,기본!$B$3:$C$90,2,0)</f>
        <v>삼성 VD</v>
      </c>
      <c r="D553" t="s">
        <v>1833</v>
      </c>
      <c r="E553" t="s">
        <v>1841</v>
      </c>
      <c r="F553" t="s">
        <v>1842</v>
      </c>
      <c r="G553" t="str">
        <f>VLOOKUP(E553,기본!$F$3:$G$320,2,0)</f>
        <v>MNT</v>
      </c>
      <c r="H553" s="544">
        <v>109</v>
      </c>
      <c r="I553">
        <v>1.5053264880000001</v>
      </c>
    </row>
    <row r="554" spans="2:9">
      <c r="B554" s="545">
        <v>2</v>
      </c>
      <c r="C554" s="545" t="str">
        <f>VLOOKUP(D554,기본!$B$3:$C$90,2,0)</f>
        <v>삼성 VD</v>
      </c>
      <c r="D554" t="s">
        <v>1833</v>
      </c>
      <c r="E554" t="s">
        <v>676</v>
      </c>
      <c r="F554" t="s">
        <v>1790</v>
      </c>
      <c r="G554" t="str">
        <f>VLOOKUP(E554,기본!$F$3:$G$320,2,0)</f>
        <v>MNT</v>
      </c>
      <c r="H554" s="544">
        <v>129888</v>
      </c>
      <c r="I554">
        <v>456.42864009600004</v>
      </c>
    </row>
    <row r="555" spans="2:9">
      <c r="B555" s="545">
        <v>2</v>
      </c>
      <c r="C555" s="545" t="str">
        <f>VLOOKUP(D555,기본!$B$3:$C$90,2,0)</f>
        <v>삼성 VD</v>
      </c>
      <c r="D555" t="s">
        <v>1833</v>
      </c>
      <c r="E555" t="s">
        <v>677</v>
      </c>
      <c r="F555" t="s">
        <v>1848</v>
      </c>
      <c r="G555" t="str">
        <f>VLOOKUP(E555,기본!$F$3:$G$320,2,0)</f>
        <v>MNT</v>
      </c>
      <c r="H555" s="544">
        <v>47520</v>
      </c>
      <c r="I555">
        <v>211.00334111999999</v>
      </c>
    </row>
    <row r="556" spans="2:9">
      <c r="B556" s="545">
        <v>2</v>
      </c>
      <c r="C556" s="545" t="str">
        <f>VLOOKUP(D556,기본!$B$3:$C$90,2,0)</f>
        <v>삼성 VD</v>
      </c>
      <c r="D556" t="s">
        <v>1833</v>
      </c>
      <c r="E556" t="s">
        <v>2010</v>
      </c>
      <c r="F556" t="s">
        <v>2011</v>
      </c>
      <c r="G556" t="str">
        <f>VLOOKUP(E556,기본!$F$3:$G$320,2,0)</f>
        <v>MNT</v>
      </c>
      <c r="H556" s="544">
        <v>5544</v>
      </c>
      <c r="I556">
        <v>25.059869471999999</v>
      </c>
    </row>
    <row r="557" spans="2:9">
      <c r="B557" s="545">
        <v>2</v>
      </c>
      <c r="C557" s="545" t="str">
        <f>VLOOKUP(D557,기본!$B$3:$C$90,2,0)</f>
        <v>삼성 VD</v>
      </c>
      <c r="D557" t="s">
        <v>1833</v>
      </c>
      <c r="E557" t="s">
        <v>2267</v>
      </c>
      <c r="F557" t="s">
        <v>2267</v>
      </c>
      <c r="G557" t="str">
        <f>VLOOKUP(E557,기본!$F$3:$G$320,2,0)</f>
        <v>MNT</v>
      </c>
      <c r="H557" s="544">
        <v>1848</v>
      </c>
      <c r="I557">
        <v>34.340593247999998</v>
      </c>
    </row>
    <row r="558" spans="2:9">
      <c r="B558" s="545">
        <v>2</v>
      </c>
      <c r="C558" s="545" t="str">
        <f>VLOOKUP(D558,기본!$B$3:$C$90,2,0)</f>
        <v>삼성 생활가전</v>
      </c>
      <c r="D558" t="s">
        <v>1843</v>
      </c>
      <c r="E558" t="s">
        <v>2424</v>
      </c>
      <c r="F558" t="s">
        <v>2424</v>
      </c>
      <c r="G558" t="e">
        <f>VLOOKUP(E558,기본!$F$3:$G$320,2,0)</f>
        <v>#N/A</v>
      </c>
      <c r="H558" s="544">
        <v>3024</v>
      </c>
      <c r="I558">
        <v>20.065903199999997</v>
      </c>
    </row>
    <row r="559" spans="2:9">
      <c r="B559" s="545">
        <v>2</v>
      </c>
      <c r="C559" s="545" t="str">
        <f>VLOOKUP(D559,기본!$B$3:$C$90,2,0)</f>
        <v>삼성 생활가전</v>
      </c>
      <c r="D559" t="s">
        <v>1843</v>
      </c>
      <c r="E559" t="s">
        <v>2490</v>
      </c>
      <c r="F559" t="s">
        <v>2490</v>
      </c>
      <c r="G559" t="e">
        <f>VLOOKUP(E559,기본!$F$3:$G$320,2,0)</f>
        <v>#N/A</v>
      </c>
      <c r="H559" s="544">
        <v>2304</v>
      </c>
      <c r="I559">
        <v>17.954127360000001</v>
      </c>
    </row>
    <row r="560" spans="2:9">
      <c r="B560" s="545">
        <v>2</v>
      </c>
      <c r="C560" s="545" t="str">
        <f>VLOOKUP(D560,기본!$B$3:$C$90,2,0)</f>
        <v>삼성 생활가전</v>
      </c>
      <c r="D560" t="s">
        <v>1843</v>
      </c>
      <c r="E560" t="s">
        <v>1844</v>
      </c>
      <c r="F560" t="s">
        <v>1844</v>
      </c>
      <c r="G560" t="e">
        <f>VLOOKUP(E560,기본!$F$3:$G$320,2,0)</f>
        <v>#N/A</v>
      </c>
      <c r="H560" s="544">
        <v>41472</v>
      </c>
      <c r="I560">
        <v>316.28717567999996</v>
      </c>
    </row>
    <row r="561" spans="2:9">
      <c r="B561" s="545">
        <v>2</v>
      </c>
      <c r="C561" s="545" t="str">
        <f>VLOOKUP(D561,기본!$B$3:$C$90,2,0)</f>
        <v>삼성 생활가전</v>
      </c>
      <c r="D561" t="s">
        <v>1843</v>
      </c>
      <c r="E561" t="s">
        <v>2023</v>
      </c>
      <c r="F561" t="s">
        <v>2023</v>
      </c>
      <c r="G561" t="e">
        <f>VLOOKUP(E561,기본!$F$3:$G$320,2,0)</f>
        <v>#N/A</v>
      </c>
      <c r="H561" s="544">
        <v>3240</v>
      </c>
      <c r="I561">
        <v>25.050377520000001</v>
      </c>
    </row>
    <row r="562" spans="2:9">
      <c r="B562" s="545">
        <v>2</v>
      </c>
      <c r="C562" s="545" t="str">
        <f>VLOOKUP(D562,기본!$B$3:$C$90,2,0)</f>
        <v>삼성 생활가전</v>
      </c>
      <c r="D562" t="s">
        <v>1843</v>
      </c>
      <c r="E562" t="s">
        <v>1845</v>
      </c>
      <c r="F562" t="s">
        <v>1845</v>
      </c>
      <c r="G562" t="e">
        <f>VLOOKUP(E562,기본!$F$3:$G$320,2,0)</f>
        <v>#N/A</v>
      </c>
      <c r="H562" s="544">
        <v>1152</v>
      </c>
      <c r="I562">
        <v>8.9795174400000004</v>
      </c>
    </row>
    <row r="563" spans="2:9">
      <c r="B563" s="545">
        <v>2</v>
      </c>
      <c r="C563" s="545" t="str">
        <f>VLOOKUP(D563,기본!$B$3:$C$90,2,0)</f>
        <v>삼성 생활가전</v>
      </c>
      <c r="D563" t="s">
        <v>1843</v>
      </c>
      <c r="E563" t="s">
        <v>2024</v>
      </c>
      <c r="F563" t="s">
        <v>2024</v>
      </c>
      <c r="G563" t="e">
        <f>VLOOKUP(E563,기본!$F$3:$G$320,2,0)</f>
        <v>#N/A</v>
      </c>
      <c r="H563" s="544">
        <v>3528</v>
      </c>
      <c r="I563">
        <v>27.979141175999999</v>
      </c>
    </row>
    <row r="564" spans="2:9">
      <c r="B564" s="545">
        <v>2</v>
      </c>
      <c r="C564" s="545" t="str">
        <f>VLOOKUP(D564,기본!$B$3:$C$90,2,0)</f>
        <v>삼성 생활가전</v>
      </c>
      <c r="D564" t="s">
        <v>1843</v>
      </c>
      <c r="E564" t="s">
        <v>1846</v>
      </c>
      <c r="F564" t="s">
        <v>1846</v>
      </c>
      <c r="G564" t="e">
        <f>VLOOKUP(E564,기본!$F$3:$G$320,2,0)</f>
        <v>#N/A</v>
      </c>
      <c r="H564" s="544">
        <v>23040</v>
      </c>
      <c r="I564">
        <v>191.72477952</v>
      </c>
    </row>
    <row r="565" spans="2:9">
      <c r="B565" s="545">
        <v>2</v>
      </c>
      <c r="C565" s="545" t="str">
        <f>VLOOKUP(D565,기본!$B$3:$C$90,2,0)</f>
        <v>삼성 생활가전</v>
      </c>
      <c r="D565" t="s">
        <v>1843</v>
      </c>
      <c r="E565" t="s">
        <v>1263</v>
      </c>
      <c r="F565" t="s">
        <v>1263</v>
      </c>
      <c r="G565" t="e">
        <f>VLOOKUP(E565,기본!$F$3:$G$320,2,0)</f>
        <v>#N/A</v>
      </c>
      <c r="H565" s="544">
        <v>900</v>
      </c>
      <c r="I565">
        <v>7.9396199999999997</v>
      </c>
    </row>
    <row r="566" spans="2:9">
      <c r="B566" s="545">
        <v>2</v>
      </c>
      <c r="C566" s="545" t="str">
        <f>VLOOKUP(D566,기본!$B$3:$C$90,2,0)</f>
        <v>삼성 생활가전</v>
      </c>
      <c r="D566" t="s">
        <v>1843</v>
      </c>
      <c r="E566" t="s">
        <v>2018</v>
      </c>
      <c r="F566" t="s">
        <v>2018</v>
      </c>
      <c r="G566" t="e">
        <f>VLOOKUP(E566,기본!$F$3:$G$320,2,0)</f>
        <v>#N/A</v>
      </c>
      <c r="H566" s="544">
        <v>1790</v>
      </c>
      <c r="I566">
        <v>15.465882000000001</v>
      </c>
    </row>
    <row r="567" spans="2:9">
      <c r="B567" s="545">
        <v>2</v>
      </c>
      <c r="C567" s="545" t="str">
        <f>VLOOKUP(D567,기본!$B$3:$C$90,2,0)</f>
        <v>삼성 생활가전</v>
      </c>
      <c r="D567" t="s">
        <v>1843</v>
      </c>
      <c r="E567" t="s">
        <v>1867</v>
      </c>
      <c r="F567" t="s">
        <v>1867</v>
      </c>
      <c r="G567" t="e">
        <f>VLOOKUP(E567,기본!$F$3:$G$320,2,0)</f>
        <v>#N/A</v>
      </c>
      <c r="H567" s="544">
        <v>1920</v>
      </c>
      <c r="I567">
        <v>16.9783008</v>
      </c>
    </row>
    <row r="568" spans="2:9">
      <c r="B568" s="545">
        <v>2</v>
      </c>
      <c r="C568" s="545" t="str">
        <f>VLOOKUP(D568,기본!$B$3:$C$90,2,0)</f>
        <v>삼성 생활가전</v>
      </c>
      <c r="D568" t="s">
        <v>1843</v>
      </c>
      <c r="E568" t="s">
        <v>2006</v>
      </c>
      <c r="F568" t="s">
        <v>2006</v>
      </c>
      <c r="G568" t="e">
        <f>VLOOKUP(E568,기본!$F$3:$G$320,2,0)</f>
        <v>#N/A</v>
      </c>
      <c r="H568" s="544">
        <v>146</v>
      </c>
      <c r="I568">
        <v>1.2486120000000001</v>
      </c>
    </row>
    <row r="569" spans="2:9">
      <c r="B569" s="545">
        <v>2</v>
      </c>
      <c r="C569" s="545" t="str">
        <f>VLOOKUP(D569,기본!$B$3:$C$90,2,0)</f>
        <v>삼성 생활가전</v>
      </c>
      <c r="D569" t="s">
        <v>1843</v>
      </c>
      <c r="E569" t="s">
        <v>2019</v>
      </c>
      <c r="F569" t="s">
        <v>2019</v>
      </c>
      <c r="G569" t="e">
        <f>VLOOKUP(E569,기본!$F$3:$G$320,2,0)</f>
        <v>#N/A</v>
      </c>
      <c r="H569" s="544">
        <v>2952</v>
      </c>
      <c r="I569">
        <v>25.534218600000003</v>
      </c>
    </row>
    <row r="570" spans="2:9">
      <c r="B570" s="545">
        <v>2</v>
      </c>
      <c r="C570" s="545" t="str">
        <f>VLOOKUP(D570,기본!$B$3:$C$90,2,0)</f>
        <v>MNT JDM</v>
      </c>
      <c r="D570" t="s">
        <v>1851</v>
      </c>
      <c r="E570" t="s">
        <v>676</v>
      </c>
      <c r="F570" t="s">
        <v>1971</v>
      </c>
      <c r="G570" t="str">
        <f>VLOOKUP(E570,기본!$F$3:$G$320,2,0)</f>
        <v>MNT</v>
      </c>
      <c r="H570" s="544">
        <v>51774</v>
      </c>
      <c r="I570">
        <v>249.67042120800005</v>
      </c>
    </row>
    <row r="571" spans="2:9">
      <c r="B571" s="545">
        <v>2</v>
      </c>
      <c r="C571" s="545" t="str">
        <f>VLOOKUP(D571,기본!$B$3:$C$90,2,0)</f>
        <v>MNT JDM</v>
      </c>
      <c r="D571" t="s">
        <v>1851</v>
      </c>
      <c r="E571" t="s">
        <v>677</v>
      </c>
      <c r="F571" t="s">
        <v>2491</v>
      </c>
      <c r="G571" t="str">
        <f>VLOOKUP(E571,기본!$F$3:$G$320,2,0)</f>
        <v>MNT</v>
      </c>
      <c r="H571" s="544">
        <v>1230</v>
      </c>
      <c r="I571">
        <v>7.0611040500000009</v>
      </c>
    </row>
    <row r="572" spans="2:9">
      <c r="B572" s="545">
        <v>2</v>
      </c>
      <c r="C572" s="545" t="str">
        <f>VLOOKUP(D572,기본!$B$3:$C$90,2,0)</f>
        <v>MNT JDM</v>
      </c>
      <c r="D572" t="s">
        <v>1851</v>
      </c>
      <c r="E572" t="s">
        <v>1110</v>
      </c>
      <c r="F572" t="s">
        <v>2013</v>
      </c>
      <c r="G572" t="str">
        <f>VLOOKUP(E572,기본!$F$3:$G$320,2,0)</f>
        <v>MNT</v>
      </c>
      <c r="H572" s="544">
        <v>29568</v>
      </c>
      <c r="I572">
        <v>175.351368192</v>
      </c>
    </row>
    <row r="573" spans="2:9">
      <c r="B573" s="545">
        <v>2</v>
      </c>
      <c r="C573" s="545" t="str">
        <f>VLOOKUP(D573,기본!$B$3:$C$90,2,0)</f>
        <v>MNT JDM</v>
      </c>
      <c r="D573" t="s">
        <v>1851</v>
      </c>
      <c r="E573" t="s">
        <v>1111</v>
      </c>
      <c r="F573" t="s">
        <v>2492</v>
      </c>
      <c r="G573" t="str">
        <f>VLOOKUP(E573,기본!$F$3:$G$320,2,0)</f>
        <v>MNT</v>
      </c>
      <c r="H573" s="544">
        <v>8448</v>
      </c>
      <c r="I573">
        <v>60.567361536</v>
      </c>
    </row>
    <row r="574" spans="2:9">
      <c r="B574" s="545">
        <v>2</v>
      </c>
      <c r="C574" s="545" t="str">
        <f>VLOOKUP(D574,기본!$B$3:$C$90,2,0)</f>
        <v>HP</v>
      </c>
      <c r="D574" t="s">
        <v>1852</v>
      </c>
      <c r="E574" t="s">
        <v>2165</v>
      </c>
      <c r="F574" t="s">
        <v>2493</v>
      </c>
      <c r="G574" t="e">
        <f>VLOOKUP(E574,기본!$F$3:$G$320,2,0)</f>
        <v>#N/A</v>
      </c>
      <c r="H574" s="544">
        <v>15</v>
      </c>
      <c r="I574">
        <v>0.17437431</v>
      </c>
    </row>
    <row r="575" spans="2:9">
      <c r="B575" s="545">
        <v>2</v>
      </c>
      <c r="C575" s="545" t="str">
        <f>VLOOKUP(D575,기본!$B$3:$C$90,2,0)</f>
        <v>HP</v>
      </c>
      <c r="D575" t="s">
        <v>1852</v>
      </c>
      <c r="E575" t="s">
        <v>2292</v>
      </c>
      <c r="F575" t="s">
        <v>2293</v>
      </c>
      <c r="G575" t="e">
        <f>VLOOKUP(E575,기본!$F$3:$G$320,2,0)</f>
        <v>#N/A</v>
      </c>
      <c r="H575" s="544">
        <v>3</v>
      </c>
      <c r="I575">
        <v>8.6528309999999983E-2</v>
      </c>
    </row>
    <row r="576" spans="2:9">
      <c r="B576" s="545">
        <v>2</v>
      </c>
      <c r="C576" s="545" t="str">
        <f>VLOOKUP(D576,기본!$B$3:$C$90,2,0)</f>
        <v>HP</v>
      </c>
      <c r="D576" t="s">
        <v>1852</v>
      </c>
      <c r="E576" t="s">
        <v>2294</v>
      </c>
      <c r="F576" t="s">
        <v>2295</v>
      </c>
      <c r="G576" t="e">
        <f>VLOOKUP(E576,기본!$F$3:$G$320,2,0)</f>
        <v>#N/A</v>
      </c>
      <c r="H576" s="544">
        <v>12</v>
      </c>
      <c r="I576">
        <v>0.34347785999999997</v>
      </c>
    </row>
    <row r="577" spans="2:9">
      <c r="B577" s="545">
        <v>2</v>
      </c>
      <c r="C577" s="545" t="str">
        <f>VLOOKUP(D577,기본!$B$3:$C$90,2,0)</f>
        <v>HP</v>
      </c>
      <c r="D577" t="s">
        <v>1852</v>
      </c>
      <c r="E577" t="s">
        <v>2494</v>
      </c>
      <c r="F577" t="s">
        <v>2495</v>
      </c>
      <c r="G577" t="e">
        <f>VLOOKUP(E577,기본!$F$3:$G$320,2,0)</f>
        <v>#N/A</v>
      </c>
      <c r="H577" s="544">
        <v>22</v>
      </c>
      <c r="I577">
        <v>0.90188559999999995</v>
      </c>
    </row>
    <row r="578" spans="2:9">
      <c r="B578" s="545">
        <v>2</v>
      </c>
      <c r="C578" s="545" t="str">
        <f>VLOOKUP(D578,기본!$B$3:$C$90,2,0)</f>
        <v>HP</v>
      </c>
      <c r="D578" t="s">
        <v>1852</v>
      </c>
      <c r="E578" t="s">
        <v>1247</v>
      </c>
      <c r="F578" t="s">
        <v>1243</v>
      </c>
      <c r="G578" t="e">
        <f>VLOOKUP(E578,기본!$F$3:$G$320,2,0)</f>
        <v>#N/A</v>
      </c>
      <c r="H578" s="544">
        <v>1152</v>
      </c>
      <c r="I578">
        <v>33.100532351999995</v>
      </c>
    </row>
    <row r="579" spans="2:9">
      <c r="B579" s="545">
        <v>2</v>
      </c>
      <c r="C579" s="545" t="str">
        <f>VLOOKUP(D579,기본!$B$3:$C$90,2,0)</f>
        <v>HP</v>
      </c>
      <c r="D579" t="s">
        <v>1852</v>
      </c>
      <c r="E579" t="s">
        <v>1248</v>
      </c>
      <c r="F579" t="s">
        <v>1244</v>
      </c>
      <c r="G579" t="e">
        <f>VLOOKUP(E579,기본!$F$3:$G$320,2,0)</f>
        <v>#N/A</v>
      </c>
      <c r="H579" s="544">
        <v>768</v>
      </c>
      <c r="I579">
        <v>27.018770687999996</v>
      </c>
    </row>
    <row r="580" spans="2:9">
      <c r="B580" s="545">
        <v>2</v>
      </c>
      <c r="C580" s="545" t="str">
        <f>VLOOKUP(D580,기본!$B$3:$C$90,2,0)</f>
        <v>HP</v>
      </c>
      <c r="D580" t="s">
        <v>1852</v>
      </c>
      <c r="E580" t="s">
        <v>1249</v>
      </c>
      <c r="F580" t="s">
        <v>1245</v>
      </c>
      <c r="G580" t="e">
        <f>VLOOKUP(E580,기본!$F$3:$G$320,2,0)</f>
        <v>#N/A</v>
      </c>
      <c r="H580" s="544">
        <v>768</v>
      </c>
      <c r="I580">
        <v>23.990612351999996</v>
      </c>
    </row>
    <row r="581" spans="2:9">
      <c r="B581" s="545">
        <v>2</v>
      </c>
      <c r="C581" s="545" t="str">
        <f>VLOOKUP(D581,기본!$B$3:$C$90,2,0)</f>
        <v>HP</v>
      </c>
      <c r="D581" t="s">
        <v>1852</v>
      </c>
      <c r="E581" t="s">
        <v>1853</v>
      </c>
      <c r="F581" t="s">
        <v>1854</v>
      </c>
      <c r="G581" t="e">
        <f>VLOOKUP(E581,기본!$F$3:$G$320,2,0)</f>
        <v>#N/A</v>
      </c>
      <c r="H581" s="544">
        <v>2240</v>
      </c>
      <c r="I581">
        <v>29.625109919999996</v>
      </c>
    </row>
    <row r="582" spans="2:9">
      <c r="B582" s="545">
        <v>2</v>
      </c>
      <c r="C582" s="545" t="str">
        <f>VLOOKUP(D582,기본!$B$3:$C$90,2,0)</f>
        <v>HP</v>
      </c>
      <c r="D582" t="s">
        <v>1852</v>
      </c>
      <c r="E582" t="s">
        <v>1972</v>
      </c>
      <c r="F582" t="s">
        <v>187</v>
      </c>
      <c r="G582" t="e">
        <f>VLOOKUP(E582,기본!$F$3:$G$320,2,0)</f>
        <v>#N/A</v>
      </c>
      <c r="H582" s="544">
        <v>5832</v>
      </c>
      <c r="I582">
        <v>29.819446272</v>
      </c>
    </row>
    <row r="583" spans="2:9">
      <c r="B583" s="545">
        <v>2</v>
      </c>
      <c r="C583" s="545" t="str">
        <f>VLOOKUP(D583,기본!$B$3:$C$90,2,0)</f>
        <v>HP</v>
      </c>
      <c r="D583" t="s">
        <v>1852</v>
      </c>
      <c r="E583" t="s">
        <v>1855</v>
      </c>
      <c r="F583" t="s">
        <v>642</v>
      </c>
      <c r="G583" t="e">
        <f>VLOOKUP(E583,기본!$F$3:$G$320,2,0)</f>
        <v>#N/A</v>
      </c>
      <c r="H583" s="544">
        <v>7560</v>
      </c>
      <c r="I583">
        <v>62.890884</v>
      </c>
    </row>
    <row r="584" spans="2:9">
      <c r="B584" s="545">
        <v>2</v>
      </c>
      <c r="C584" s="545" t="str">
        <f>VLOOKUP(D584,기본!$B$3:$C$90,2,0)</f>
        <v>HP</v>
      </c>
      <c r="D584" t="s">
        <v>1852</v>
      </c>
      <c r="E584" t="s">
        <v>1856</v>
      </c>
      <c r="F584" t="s">
        <v>1857</v>
      </c>
      <c r="G584" t="e">
        <f>VLOOKUP(E584,기본!$F$3:$G$320,2,0)</f>
        <v>#N/A</v>
      </c>
      <c r="H584" s="544">
        <v>864</v>
      </c>
      <c r="I584">
        <v>31.854326111999995</v>
      </c>
    </row>
    <row r="585" spans="2:9">
      <c r="B585" s="545">
        <v>2</v>
      </c>
      <c r="C585" s="545" t="str">
        <f>VLOOKUP(D585,기본!$B$3:$C$90,2,0)</f>
        <v>HP</v>
      </c>
      <c r="D585" t="s">
        <v>1852</v>
      </c>
      <c r="E585" t="s">
        <v>2496</v>
      </c>
      <c r="F585" t="s">
        <v>2497</v>
      </c>
      <c r="G585" t="e">
        <f>VLOOKUP(E585,기본!$F$3:$G$320,2,0)</f>
        <v>#N/A</v>
      </c>
      <c r="H585" s="544">
        <v>120</v>
      </c>
      <c r="I585">
        <v>1.1437549199999999</v>
      </c>
    </row>
    <row r="586" spans="2:9">
      <c r="B586" s="545">
        <v>2</v>
      </c>
      <c r="C586" s="545" t="str">
        <f>VLOOKUP(D586,기본!$B$3:$C$90,2,0)</f>
        <v>HP</v>
      </c>
      <c r="D586" t="s">
        <v>1852</v>
      </c>
      <c r="E586" t="s">
        <v>1858</v>
      </c>
      <c r="F586" t="s">
        <v>1859</v>
      </c>
      <c r="G586" t="e">
        <f>VLOOKUP(E586,기본!$F$3:$G$320,2,0)</f>
        <v>#N/A</v>
      </c>
      <c r="H586" s="544">
        <v>5400</v>
      </c>
      <c r="I586">
        <v>46.649546999999998</v>
      </c>
    </row>
    <row r="587" spans="2:9">
      <c r="B587" s="545">
        <v>2</v>
      </c>
      <c r="C587" s="545" t="str">
        <f>VLOOKUP(D587,기본!$B$3:$C$90,2,0)</f>
        <v>HP</v>
      </c>
      <c r="D587" t="s">
        <v>1852</v>
      </c>
      <c r="E587" t="s">
        <v>1860</v>
      </c>
      <c r="F587" t="s">
        <v>1861</v>
      </c>
      <c r="G587" t="e">
        <f>VLOOKUP(E587,기본!$F$3:$G$320,2,0)</f>
        <v>#N/A</v>
      </c>
      <c r="H587" s="544">
        <v>360</v>
      </c>
      <c r="I587">
        <v>5.93876808</v>
      </c>
    </row>
    <row r="588" spans="2:9">
      <c r="B588" s="545">
        <v>2</v>
      </c>
      <c r="C588" s="545" t="str">
        <f>VLOOKUP(D588,기본!$B$3:$C$90,2,0)</f>
        <v>HP</v>
      </c>
      <c r="D588" t="s">
        <v>1852</v>
      </c>
      <c r="E588" t="s">
        <v>1973</v>
      </c>
      <c r="F588" t="s">
        <v>1974</v>
      </c>
      <c r="G588" t="e">
        <f>VLOOKUP(E588,기본!$F$3:$G$320,2,0)</f>
        <v>#N/A</v>
      </c>
      <c r="H588" s="544">
        <v>1008</v>
      </c>
      <c r="I588">
        <v>12.741434496</v>
      </c>
    </row>
    <row r="589" spans="2:9">
      <c r="B589" s="545">
        <v>2</v>
      </c>
      <c r="C589" s="545" t="str">
        <f>VLOOKUP(D589,기본!$B$3:$C$90,2,0)</f>
        <v>HP</v>
      </c>
      <c r="D589" t="s">
        <v>1852</v>
      </c>
      <c r="E589" t="s">
        <v>1989</v>
      </c>
      <c r="F589" t="s">
        <v>1990</v>
      </c>
      <c r="G589" t="e">
        <f>VLOOKUP(E589,기본!$F$3:$G$320,2,0)</f>
        <v>#N/A</v>
      </c>
      <c r="H589" s="544">
        <v>648</v>
      </c>
      <c r="I589">
        <v>24.778513440000005</v>
      </c>
    </row>
    <row r="590" spans="2:9">
      <c r="B590" s="545">
        <v>2</v>
      </c>
      <c r="C590" s="545" t="str">
        <f>VLOOKUP(D590,기본!$B$3:$C$90,2,0)</f>
        <v>HP</v>
      </c>
      <c r="D590" t="s">
        <v>1852</v>
      </c>
      <c r="E590" t="s">
        <v>1862</v>
      </c>
      <c r="F590" t="s">
        <v>1863</v>
      </c>
      <c r="G590" t="e">
        <f>VLOOKUP(E590,기본!$F$3:$G$320,2,0)</f>
        <v>#N/A</v>
      </c>
      <c r="H590" s="544">
        <v>60</v>
      </c>
      <c r="I590">
        <v>0.76338240000000002</v>
      </c>
    </row>
    <row r="591" spans="2:9">
      <c r="B591" s="545">
        <v>2</v>
      </c>
      <c r="C591" s="545" t="str">
        <f>VLOOKUP(D591,기본!$B$3:$C$90,2,0)</f>
        <v>HP</v>
      </c>
      <c r="D591" t="s">
        <v>1852</v>
      </c>
      <c r="E591" t="s">
        <v>1975</v>
      </c>
      <c r="F591" t="s">
        <v>1976</v>
      </c>
      <c r="G591" t="e">
        <f>VLOOKUP(E591,기본!$F$3:$G$320,2,0)</f>
        <v>#N/A</v>
      </c>
      <c r="H591" s="544">
        <v>120</v>
      </c>
      <c r="I591">
        <v>0.9399521999999999</v>
      </c>
    </row>
    <row r="592" spans="2:9">
      <c r="B592" s="545">
        <v>2</v>
      </c>
      <c r="C592" s="545" t="str">
        <f>VLOOKUP(D592,기본!$B$3:$C$90,2,0)</f>
        <v>상품A</v>
      </c>
      <c r="D592" t="s">
        <v>2498</v>
      </c>
      <c r="E592" t="s">
        <v>2499</v>
      </c>
      <c r="F592" t="s">
        <v>2499</v>
      </c>
      <c r="G592" t="e">
        <f>VLOOKUP(E592,기본!$F$3:$G$320,2,0)</f>
        <v>#N/A</v>
      </c>
      <c r="H592" s="544">
        <v>50</v>
      </c>
      <c r="I592">
        <v>1.9779840000000002</v>
      </c>
    </row>
    <row r="593" spans="2:9">
      <c r="B593" s="545">
        <v>2</v>
      </c>
      <c r="C593" s="545" t="str">
        <f>VLOOKUP(D593,기본!$B$3:$C$90,2,0)</f>
        <v>상품A</v>
      </c>
      <c r="D593" t="s">
        <v>2498</v>
      </c>
      <c r="E593" t="s">
        <v>2500</v>
      </c>
      <c r="F593" t="s">
        <v>2500</v>
      </c>
      <c r="G593" t="e">
        <f>VLOOKUP(E593,기본!$F$3:$G$320,2,0)</f>
        <v>#N/A</v>
      </c>
      <c r="H593" s="544">
        <v>50</v>
      </c>
      <c r="I593">
        <v>1.9779840000000002</v>
      </c>
    </row>
    <row r="594" spans="2:9">
      <c r="B594" s="545">
        <v>2</v>
      </c>
      <c r="C594" s="545" t="str">
        <f>VLOOKUP(D594,기본!$B$3:$C$90,2,0)</f>
        <v>경동나비엔</v>
      </c>
      <c r="D594" t="s">
        <v>1865</v>
      </c>
      <c r="E594" t="s">
        <v>2501</v>
      </c>
      <c r="F594" t="s">
        <v>2501</v>
      </c>
      <c r="G594" t="e">
        <f>VLOOKUP(E594,기본!$F$3:$G$320,2,0)</f>
        <v>#N/A</v>
      </c>
      <c r="H594" s="544">
        <v>160</v>
      </c>
      <c r="I594">
        <v>4.8787075199999999</v>
      </c>
    </row>
    <row r="595" spans="2:9">
      <c r="B595" s="545">
        <v>2</v>
      </c>
      <c r="C595" s="545" t="str">
        <f>VLOOKUP(D595,기본!$B$3:$C$90,2,0)</f>
        <v>삼성 생활가전</v>
      </c>
      <c r="D595" t="s">
        <v>1866</v>
      </c>
      <c r="E595" t="s">
        <v>1867</v>
      </c>
      <c r="F595" t="s">
        <v>1867</v>
      </c>
      <c r="G595" t="e">
        <f>VLOOKUP(E595,기본!$F$3:$G$320,2,0)</f>
        <v>#N/A</v>
      </c>
      <c r="H595" s="544">
        <v>1344</v>
      </c>
      <c r="I595">
        <v>10.91328</v>
      </c>
    </row>
    <row r="596" spans="2:9">
      <c r="B596" s="545">
        <v>2</v>
      </c>
      <c r="C596" s="545" t="str">
        <f>VLOOKUP(D596,기본!$B$3:$C$90,2,0)</f>
        <v>대덕</v>
      </c>
      <c r="D596" t="s">
        <v>1868</v>
      </c>
      <c r="E596" t="s">
        <v>2462</v>
      </c>
      <c r="F596" t="s">
        <v>2462</v>
      </c>
      <c r="G596" t="e">
        <f>VLOOKUP(E596,기본!$F$3:$G$320,2,0)</f>
        <v>#N/A</v>
      </c>
      <c r="H596" s="544">
        <v>1200</v>
      </c>
      <c r="I596">
        <v>10.105536000000001</v>
      </c>
    </row>
    <row r="597" spans="2:9">
      <c r="B597" s="545">
        <v>2</v>
      </c>
      <c r="C597" s="545" t="str">
        <f>VLOOKUP(D597,기본!$B$3:$C$90,2,0)</f>
        <v>대덕</v>
      </c>
      <c r="D597" t="s">
        <v>1868</v>
      </c>
      <c r="E597" t="s">
        <v>1507</v>
      </c>
      <c r="F597" t="s">
        <v>1507</v>
      </c>
      <c r="G597" t="e">
        <f>VLOOKUP(E597,기본!$F$3:$G$320,2,0)</f>
        <v>#N/A</v>
      </c>
      <c r="H597" s="544">
        <v>142</v>
      </c>
      <c r="I597">
        <v>3.8089135699999992</v>
      </c>
    </row>
    <row r="598" spans="2:9">
      <c r="B598" s="545">
        <v>2</v>
      </c>
      <c r="C598" s="545" t="str">
        <f>VLOOKUP(D598,기본!$B$3:$C$90,2,0)</f>
        <v>대덕</v>
      </c>
      <c r="D598" t="s">
        <v>1868</v>
      </c>
      <c r="E598" t="s">
        <v>1510</v>
      </c>
      <c r="F598" t="s">
        <v>1510</v>
      </c>
      <c r="G598" t="e">
        <f>VLOOKUP(E598,기본!$F$3:$G$320,2,0)</f>
        <v>#N/A</v>
      </c>
      <c r="H598" s="544">
        <v>67</v>
      </c>
      <c r="I598">
        <v>2.0071347449999997</v>
      </c>
    </row>
    <row r="599" spans="2:9">
      <c r="B599" s="545">
        <v>2</v>
      </c>
      <c r="C599" s="545" t="str">
        <f>VLOOKUP(D599,기본!$B$3:$C$90,2,0)</f>
        <v>대덕</v>
      </c>
      <c r="D599" t="s">
        <v>1870</v>
      </c>
      <c r="E599" t="s">
        <v>2230</v>
      </c>
      <c r="F599" t="s">
        <v>2230</v>
      </c>
      <c r="G599" t="e">
        <f>VLOOKUP(E599,기본!$F$3:$G$320,2,0)</f>
        <v>#N/A</v>
      </c>
      <c r="H599" s="544">
        <v>2900</v>
      </c>
      <c r="I599">
        <v>17.1109367</v>
      </c>
    </row>
    <row r="600" spans="2:9">
      <c r="B600" s="545">
        <v>2</v>
      </c>
      <c r="C600" s="545" t="str">
        <f>VLOOKUP(D600,기본!$B$3:$C$90,2,0)</f>
        <v>대덕</v>
      </c>
      <c r="D600" t="s">
        <v>1870</v>
      </c>
      <c r="E600" t="s">
        <v>2055</v>
      </c>
      <c r="F600" t="s">
        <v>2055</v>
      </c>
      <c r="G600" t="e">
        <f>VLOOKUP(E600,기본!$F$3:$G$320,2,0)</f>
        <v>#N/A</v>
      </c>
      <c r="H600" s="544">
        <v>1000</v>
      </c>
      <c r="I600">
        <v>5.8417589999999997</v>
      </c>
    </row>
    <row r="601" spans="2:9">
      <c r="B601" s="545">
        <v>2</v>
      </c>
      <c r="C601" s="545" t="str">
        <f>VLOOKUP(D601,기본!$B$3:$C$90,2,0)</f>
        <v>대덕</v>
      </c>
      <c r="D601" t="s">
        <v>1870</v>
      </c>
      <c r="E601" t="s">
        <v>2039</v>
      </c>
      <c r="F601" t="s">
        <v>2039</v>
      </c>
      <c r="G601" t="e">
        <f>VLOOKUP(E601,기본!$F$3:$G$320,2,0)</f>
        <v>#N/A</v>
      </c>
      <c r="H601" s="544">
        <v>2000</v>
      </c>
      <c r="I601">
        <v>11.683517999999999</v>
      </c>
    </row>
    <row r="602" spans="2:9">
      <c r="B602" s="545">
        <v>2</v>
      </c>
      <c r="C602" s="545" t="str">
        <f>VLOOKUP(D602,기본!$B$3:$C$90,2,0)</f>
        <v>대덕</v>
      </c>
      <c r="D602" t="s">
        <v>1870</v>
      </c>
      <c r="E602" t="s">
        <v>2025</v>
      </c>
      <c r="F602" t="s">
        <v>2025</v>
      </c>
      <c r="G602" t="e">
        <f>VLOOKUP(E602,기본!$F$3:$G$320,2,0)</f>
        <v>#N/A</v>
      </c>
      <c r="H602" s="544">
        <v>1600</v>
      </c>
      <c r="I602">
        <v>9.3468143999999977</v>
      </c>
    </row>
    <row r="603" spans="2:9">
      <c r="B603" s="545">
        <v>2</v>
      </c>
      <c r="C603" s="545" t="str">
        <f>VLOOKUP(D603,기본!$B$3:$C$90,2,0)</f>
        <v>대덕</v>
      </c>
      <c r="D603" t="s">
        <v>1870</v>
      </c>
      <c r="E603" t="s">
        <v>2502</v>
      </c>
      <c r="F603" t="s">
        <v>2502</v>
      </c>
      <c r="G603" t="e">
        <f>VLOOKUP(E603,기본!$F$3:$G$320,2,0)</f>
        <v>#N/A</v>
      </c>
      <c r="H603" s="544">
        <v>200</v>
      </c>
      <c r="I603">
        <v>4.6453536000000009</v>
      </c>
    </row>
    <row r="604" spans="2:9">
      <c r="B604" s="545">
        <v>2</v>
      </c>
      <c r="C604" s="545" t="str">
        <f>VLOOKUP(D604,기본!$B$3:$C$90,2,0)</f>
        <v>대덕</v>
      </c>
      <c r="D604" t="s">
        <v>1870</v>
      </c>
      <c r="E604" t="s">
        <v>2166</v>
      </c>
      <c r="F604" t="s">
        <v>2166</v>
      </c>
      <c r="G604" t="e">
        <f>VLOOKUP(E604,기본!$F$3:$G$320,2,0)</f>
        <v>#N/A</v>
      </c>
      <c r="H604" s="544">
        <v>1000</v>
      </c>
      <c r="I604">
        <v>22.749265000000001</v>
      </c>
    </row>
    <row r="605" spans="2:9">
      <c r="B605" s="545">
        <v>2</v>
      </c>
      <c r="C605" s="545" t="str">
        <f>VLOOKUP(D605,기본!$B$3:$C$90,2,0)</f>
        <v>대덕</v>
      </c>
      <c r="D605" t="s">
        <v>1870</v>
      </c>
      <c r="E605" t="s">
        <v>2168</v>
      </c>
      <c r="F605" t="s">
        <v>2168</v>
      </c>
      <c r="G605" t="e">
        <f>VLOOKUP(E605,기본!$F$3:$G$320,2,0)</f>
        <v>#N/A</v>
      </c>
      <c r="H605" s="544">
        <v>5000</v>
      </c>
      <c r="I605">
        <v>115.92232199999999</v>
      </c>
    </row>
    <row r="606" spans="2:9">
      <c r="B606" s="545">
        <v>2</v>
      </c>
      <c r="C606" s="545" t="str">
        <f>VLOOKUP(D606,기본!$B$3:$C$90,2,0)</f>
        <v>대덕</v>
      </c>
      <c r="D606" t="s">
        <v>1870</v>
      </c>
      <c r="E606" t="s">
        <v>2255</v>
      </c>
      <c r="F606" t="s">
        <v>2255</v>
      </c>
      <c r="G606" t="e">
        <f>VLOOKUP(E606,기본!$F$3:$G$320,2,0)</f>
        <v>#N/A</v>
      </c>
      <c r="H606" s="544">
        <v>510</v>
      </c>
      <c r="I606">
        <v>11.761954050000003</v>
      </c>
    </row>
    <row r="607" spans="2:9">
      <c r="B607" s="545">
        <v>2</v>
      </c>
      <c r="C607" s="545" t="str">
        <f>VLOOKUP(D607,기본!$B$3:$C$90,2,0)</f>
        <v>대덕</v>
      </c>
      <c r="D607" t="s">
        <v>1870</v>
      </c>
      <c r="E607" t="s">
        <v>2465</v>
      </c>
      <c r="F607" t="s">
        <v>2465</v>
      </c>
      <c r="G607" t="e">
        <f>VLOOKUP(E607,기본!$F$3:$G$320,2,0)</f>
        <v>#N/A</v>
      </c>
      <c r="H607" s="544">
        <v>80</v>
      </c>
      <c r="I607">
        <v>2.3544136</v>
      </c>
    </row>
    <row r="608" spans="2:9">
      <c r="B608" s="545">
        <v>2</v>
      </c>
      <c r="C608" s="545" t="str">
        <f>VLOOKUP(D608,기본!$B$3:$C$90,2,0)</f>
        <v>대덕</v>
      </c>
      <c r="D608" t="s">
        <v>1870</v>
      </c>
      <c r="E608" t="s">
        <v>934</v>
      </c>
      <c r="F608" t="s">
        <v>934</v>
      </c>
      <c r="G608" t="e">
        <f>VLOOKUP(E608,기본!$F$3:$G$320,2,0)</f>
        <v>#N/A</v>
      </c>
      <c r="H608" s="544">
        <v>300</v>
      </c>
      <c r="I608">
        <v>0.4216608</v>
      </c>
    </row>
    <row r="609" spans="2:9">
      <c r="B609" s="545">
        <v>2</v>
      </c>
      <c r="C609" s="545" t="str">
        <f>VLOOKUP(D609,기본!$B$3:$C$90,2,0)</f>
        <v>대덕</v>
      </c>
      <c r="D609" t="s">
        <v>1870</v>
      </c>
      <c r="E609" t="s">
        <v>2057</v>
      </c>
      <c r="F609" t="s">
        <v>2057</v>
      </c>
      <c r="G609" t="e">
        <f>VLOOKUP(E609,기본!$F$3:$G$320,2,0)</f>
        <v>#N/A</v>
      </c>
      <c r="H609" s="544">
        <v>1000</v>
      </c>
      <c r="I609">
        <v>1.4641</v>
      </c>
    </row>
    <row r="610" spans="2:9">
      <c r="B610" s="545">
        <v>2</v>
      </c>
      <c r="C610" s="545" t="str">
        <f>VLOOKUP(D610,기본!$B$3:$C$90,2,0)</f>
        <v>대덕</v>
      </c>
      <c r="D610" t="s">
        <v>1870</v>
      </c>
      <c r="E610" t="s">
        <v>2189</v>
      </c>
      <c r="F610" t="s">
        <v>2189</v>
      </c>
      <c r="G610" t="e">
        <f>VLOOKUP(E610,기본!$F$3:$G$320,2,0)</f>
        <v>#N/A</v>
      </c>
      <c r="H610" s="544">
        <v>300</v>
      </c>
      <c r="I610">
        <v>0.46997609999999995</v>
      </c>
    </row>
    <row r="611" spans="2:9">
      <c r="B611" s="545">
        <v>2</v>
      </c>
      <c r="C611" s="545" t="str">
        <f>VLOOKUP(D611,기본!$B$3:$C$90,2,0)</f>
        <v>대덕</v>
      </c>
      <c r="D611" t="s">
        <v>1870</v>
      </c>
      <c r="E611" t="s">
        <v>2503</v>
      </c>
      <c r="F611" t="s">
        <v>2503</v>
      </c>
      <c r="G611" t="e">
        <f>VLOOKUP(E611,기본!$F$3:$G$320,2,0)</f>
        <v>#N/A</v>
      </c>
      <c r="H611" s="544">
        <v>500</v>
      </c>
      <c r="I611">
        <v>0.78329349999999998</v>
      </c>
    </row>
    <row r="612" spans="2:9">
      <c r="B612" s="545">
        <v>2</v>
      </c>
      <c r="C612" s="545" t="str">
        <f>VLOOKUP(D612,기본!$B$3:$C$90,2,0)</f>
        <v>대덕</v>
      </c>
      <c r="D612" t="s">
        <v>1870</v>
      </c>
      <c r="E612" t="s">
        <v>936</v>
      </c>
      <c r="F612" t="s">
        <v>936</v>
      </c>
      <c r="G612" t="e">
        <f>VLOOKUP(E612,기본!$F$3:$G$320,2,0)</f>
        <v>#N/A</v>
      </c>
      <c r="H612" s="544">
        <v>800</v>
      </c>
      <c r="I612">
        <v>1.2532695999999999</v>
      </c>
    </row>
    <row r="613" spans="2:9">
      <c r="B613" s="545">
        <v>2</v>
      </c>
      <c r="C613" s="545" t="str">
        <f>VLOOKUP(D613,기본!$B$3:$C$90,2,0)</f>
        <v>대덕</v>
      </c>
      <c r="D613" t="s">
        <v>1870</v>
      </c>
      <c r="E613" t="s">
        <v>937</v>
      </c>
      <c r="F613" t="s">
        <v>937</v>
      </c>
      <c r="G613" t="e">
        <f>VLOOKUP(E613,기본!$F$3:$G$320,2,0)</f>
        <v>#N/A</v>
      </c>
      <c r="H613" s="544">
        <v>200</v>
      </c>
      <c r="I613">
        <v>0.32503019999999999</v>
      </c>
    </row>
    <row r="614" spans="2:9">
      <c r="B614" s="545">
        <v>2</v>
      </c>
      <c r="C614" s="545" t="str">
        <f>VLOOKUP(D614,기본!$B$3:$C$90,2,0)</f>
        <v>대덕</v>
      </c>
      <c r="D614" t="s">
        <v>1870</v>
      </c>
      <c r="E614" t="s">
        <v>2256</v>
      </c>
      <c r="F614" t="s">
        <v>2256</v>
      </c>
      <c r="G614" t="e">
        <f>VLOOKUP(E614,기본!$F$3:$G$320,2,0)</f>
        <v>#N/A</v>
      </c>
      <c r="H614" s="544">
        <v>700</v>
      </c>
      <c r="I614">
        <v>1.3835744999999999</v>
      </c>
    </row>
    <row r="615" spans="2:9">
      <c r="B615" s="545">
        <v>2</v>
      </c>
      <c r="C615" s="545" t="str">
        <f>VLOOKUP(D615,기본!$B$3:$C$90,2,0)</f>
        <v>대덕</v>
      </c>
      <c r="D615" t="s">
        <v>1870</v>
      </c>
      <c r="E615" t="s">
        <v>2231</v>
      </c>
      <c r="F615" t="s">
        <v>2231</v>
      </c>
      <c r="G615" t="e">
        <f>VLOOKUP(E615,기본!$F$3:$G$320,2,0)</f>
        <v>#N/A</v>
      </c>
      <c r="H615" s="544">
        <v>2000</v>
      </c>
      <c r="I615">
        <v>3.9268800000000006</v>
      </c>
    </row>
    <row r="616" spans="2:9">
      <c r="B616" s="545">
        <v>2</v>
      </c>
      <c r="C616" s="545" t="str">
        <f>VLOOKUP(D616,기본!$B$3:$C$90,2,0)</f>
        <v>대덕</v>
      </c>
      <c r="D616" t="s">
        <v>1870</v>
      </c>
      <c r="E616" t="s">
        <v>1510</v>
      </c>
      <c r="F616" t="s">
        <v>1510</v>
      </c>
      <c r="G616" t="e">
        <f>VLOOKUP(E616,기본!$F$3:$G$320,2,0)</f>
        <v>#N/A</v>
      </c>
      <c r="H616" s="544">
        <v>5</v>
      </c>
      <c r="I616">
        <v>0.14978617500000002</v>
      </c>
    </row>
    <row r="617" spans="2:9">
      <c r="B617" s="545">
        <v>2</v>
      </c>
      <c r="C617" s="545" t="str">
        <f>VLOOKUP(D617,기본!$B$3:$C$90,2,0)</f>
        <v>대덕</v>
      </c>
      <c r="D617" t="s">
        <v>1870</v>
      </c>
      <c r="E617" t="s">
        <v>1511</v>
      </c>
      <c r="F617" t="s">
        <v>1511</v>
      </c>
      <c r="G617" t="e">
        <f>VLOOKUP(E617,기본!$F$3:$G$320,2,0)</f>
        <v>#N/A</v>
      </c>
      <c r="H617" s="544">
        <v>100</v>
      </c>
      <c r="I617">
        <v>3.2607648000000005</v>
      </c>
    </row>
    <row r="618" spans="2:9">
      <c r="B618" s="545">
        <v>2</v>
      </c>
      <c r="C618" s="545" t="str">
        <f>VLOOKUP(D618,기본!$B$3:$C$90,2,0)</f>
        <v>대덕</v>
      </c>
      <c r="D618" t="s">
        <v>1870</v>
      </c>
      <c r="E618" t="s">
        <v>1512</v>
      </c>
      <c r="F618" t="s">
        <v>1512</v>
      </c>
      <c r="G618" t="e">
        <f>VLOOKUP(E618,기본!$F$3:$G$320,2,0)</f>
        <v>#N/A</v>
      </c>
      <c r="H618" s="544">
        <v>200</v>
      </c>
      <c r="I618">
        <v>6.5215296000000009</v>
      </c>
    </row>
    <row r="619" spans="2:9">
      <c r="B619" s="545">
        <v>2</v>
      </c>
      <c r="C619" s="545" t="str">
        <f>VLOOKUP(D619,기본!$B$3:$C$90,2,0)</f>
        <v>대덕</v>
      </c>
      <c r="D619" t="s">
        <v>1870</v>
      </c>
      <c r="E619" t="s">
        <v>1513</v>
      </c>
      <c r="F619" t="s">
        <v>1513</v>
      </c>
      <c r="G619" t="e">
        <f>VLOOKUP(E619,기본!$F$3:$G$320,2,0)</f>
        <v>#N/A</v>
      </c>
      <c r="H619" s="544">
        <v>1000</v>
      </c>
      <c r="I619">
        <v>12.813264</v>
      </c>
    </row>
    <row r="620" spans="2:9">
      <c r="B620" s="545">
        <v>2</v>
      </c>
      <c r="C620" s="545" t="str">
        <f>VLOOKUP(D620,기본!$B$3:$C$90,2,0)</f>
        <v>대덕</v>
      </c>
      <c r="D620" t="s">
        <v>1870</v>
      </c>
      <c r="E620" t="s">
        <v>1515</v>
      </c>
      <c r="F620" t="s">
        <v>1515</v>
      </c>
      <c r="G620" t="e">
        <f>VLOOKUP(E620,기본!$F$3:$G$320,2,0)</f>
        <v>#N/A</v>
      </c>
      <c r="H620" s="544">
        <v>500</v>
      </c>
      <c r="I620">
        <v>6.4066320000000001</v>
      </c>
    </row>
    <row r="621" spans="2:9">
      <c r="B621" s="545">
        <v>2</v>
      </c>
      <c r="C621" s="545" t="str">
        <f>VLOOKUP(D621,기본!$B$3:$C$90,2,0)</f>
        <v>대덕</v>
      </c>
      <c r="D621" t="s">
        <v>1870</v>
      </c>
      <c r="E621" t="s">
        <v>2315</v>
      </c>
      <c r="F621" t="s">
        <v>2315</v>
      </c>
      <c r="G621" t="e">
        <f>VLOOKUP(E621,기본!$F$3:$G$320,2,0)</f>
        <v>#N/A</v>
      </c>
      <c r="H621" s="544">
        <v>215</v>
      </c>
      <c r="I621">
        <v>3.4508084800000005</v>
      </c>
    </row>
    <row r="622" spans="2:9">
      <c r="B622" s="545">
        <v>2</v>
      </c>
      <c r="C622" s="545" t="str">
        <f>VLOOKUP(D622,기본!$B$3:$C$90,2,0)</f>
        <v>대덕</v>
      </c>
      <c r="D622" t="s">
        <v>1870</v>
      </c>
      <c r="E622" t="s">
        <v>2190</v>
      </c>
      <c r="F622" t="s">
        <v>2190</v>
      </c>
      <c r="G622" t="e">
        <f>VLOOKUP(E622,기본!$F$3:$G$320,2,0)</f>
        <v>#N/A</v>
      </c>
      <c r="H622" s="544">
        <v>8000</v>
      </c>
      <c r="I622">
        <v>126.03976</v>
      </c>
    </row>
    <row r="623" spans="2:9">
      <c r="B623" s="545">
        <v>2</v>
      </c>
      <c r="C623" s="545" t="str">
        <f>VLOOKUP(D623,기본!$B$3:$C$90,2,0)</f>
        <v>코웨이</v>
      </c>
      <c r="D623" t="s">
        <v>1979</v>
      </c>
      <c r="E623" t="s">
        <v>1980</v>
      </c>
      <c r="F623" t="s">
        <v>1980</v>
      </c>
      <c r="G623" t="e">
        <f>VLOOKUP(E623,기본!$F$3:$G$320,2,0)</f>
        <v>#N/A</v>
      </c>
      <c r="H623" s="544">
        <v>336</v>
      </c>
      <c r="I623">
        <v>1.7616480000000001</v>
      </c>
    </row>
    <row r="624" spans="2:9">
      <c r="B624" s="545">
        <v>2</v>
      </c>
      <c r="C624" s="545" t="str">
        <f>VLOOKUP(D624,기본!$B$3:$C$90,2,0)</f>
        <v>삼성 생활가전</v>
      </c>
      <c r="D624" t="s">
        <v>2404</v>
      </c>
      <c r="E624" t="s">
        <v>1882</v>
      </c>
      <c r="F624" t="s">
        <v>1882</v>
      </c>
      <c r="G624" t="e">
        <f>VLOOKUP(E624,기본!$F$3:$G$320,2,0)</f>
        <v>#N/A</v>
      </c>
      <c r="H624" s="544">
        <v>4000</v>
      </c>
      <c r="I624">
        <v>27.119999999999997</v>
      </c>
    </row>
    <row r="625" spans="2:9">
      <c r="B625" s="545">
        <v>2</v>
      </c>
      <c r="C625" s="545" t="str">
        <f>VLOOKUP(D625,기본!$B$3:$C$90,2,0)</f>
        <v>코웨이</v>
      </c>
      <c r="D625" t="s">
        <v>2405</v>
      </c>
      <c r="E625" t="s">
        <v>2316</v>
      </c>
      <c r="F625" t="s">
        <v>2316</v>
      </c>
      <c r="G625" t="e">
        <f>VLOOKUP(E625,기본!$F$3:$G$320,2,0)</f>
        <v>#N/A</v>
      </c>
      <c r="H625" s="544">
        <v>12888</v>
      </c>
      <c r="I625">
        <v>71.500584000000018</v>
      </c>
    </row>
    <row r="626" spans="2:9">
      <c r="B626" s="545">
        <v>2</v>
      </c>
      <c r="C626" s="545" t="str">
        <f>VLOOKUP(D626,기본!$B$3:$C$90,2,0)</f>
        <v>삼성 생활가전</v>
      </c>
      <c r="D626" t="s">
        <v>1981</v>
      </c>
      <c r="E626" t="s">
        <v>2504</v>
      </c>
      <c r="F626" t="s">
        <v>2504</v>
      </c>
      <c r="G626" t="e">
        <f>VLOOKUP(E626,기본!$F$3:$G$320,2,0)</f>
        <v>#N/A</v>
      </c>
      <c r="H626" s="544">
        <v>600</v>
      </c>
      <c r="I626">
        <v>4.2539999999999996</v>
      </c>
    </row>
    <row r="627" spans="2:9">
      <c r="B627" s="545">
        <v>2</v>
      </c>
      <c r="C627" s="545" t="str">
        <f>VLOOKUP(D627,기본!$B$3:$C$90,2,0)</f>
        <v>삼성 VD</v>
      </c>
      <c r="D627" t="s">
        <v>1873</v>
      </c>
      <c r="E627" t="s">
        <v>1968</v>
      </c>
      <c r="F627" t="s">
        <v>1969</v>
      </c>
      <c r="G627" t="str">
        <f>VLOOKUP(E627,기본!$F$3:$G$320,2,0)</f>
        <v>MNT</v>
      </c>
      <c r="H627" s="544">
        <v>24</v>
      </c>
      <c r="I627">
        <v>0.48416591999999997</v>
      </c>
    </row>
    <row r="628" spans="2:9">
      <c r="B628" s="545">
        <v>2</v>
      </c>
      <c r="C628" s="545" t="str">
        <f>VLOOKUP(D628,기본!$B$3:$C$90,2,0)</f>
        <v>삼성 VD</v>
      </c>
      <c r="D628" t="s">
        <v>1873</v>
      </c>
      <c r="E628" t="s">
        <v>1258</v>
      </c>
      <c r="F628" t="s">
        <v>1257</v>
      </c>
      <c r="G628" t="str">
        <f>VLOOKUP(E628,기본!$F$3:$G$320,2,0)</f>
        <v>MNT</v>
      </c>
      <c r="H628" s="544">
        <v>24</v>
      </c>
      <c r="I628">
        <v>0.54680640000000003</v>
      </c>
    </row>
    <row r="629" spans="2:9">
      <c r="B629" s="545">
        <v>2</v>
      </c>
      <c r="C629" s="545" t="str">
        <f>VLOOKUP(D629,기본!$B$3:$C$90,2,0)</f>
        <v>삼성 VD</v>
      </c>
      <c r="D629" t="s">
        <v>1873</v>
      </c>
      <c r="E629" t="s">
        <v>1787</v>
      </c>
      <c r="F629" t="s">
        <v>1788</v>
      </c>
      <c r="G629" t="str">
        <f>VLOOKUP(E629,기본!$F$3:$G$320,2,0)</f>
        <v>MNT</v>
      </c>
      <c r="H629" s="544">
        <v>24</v>
      </c>
      <c r="I629">
        <v>0.94249051200000011</v>
      </c>
    </row>
    <row r="630" spans="2:9">
      <c r="B630" s="545">
        <v>2</v>
      </c>
      <c r="C630" s="545" t="str">
        <f>VLOOKUP(D630,기본!$B$3:$C$90,2,0)</f>
        <v>삼성 VD</v>
      </c>
      <c r="D630" t="s">
        <v>1873</v>
      </c>
      <c r="E630" t="s">
        <v>2114</v>
      </c>
      <c r="F630" t="s">
        <v>1748</v>
      </c>
      <c r="G630" t="str">
        <f>VLOOKUP(E630,기본!$F$3:$G$320,2,0)</f>
        <v>MNT</v>
      </c>
      <c r="H630" s="544">
        <v>350</v>
      </c>
      <c r="I630">
        <v>3.9622148999999998</v>
      </c>
    </row>
    <row r="631" spans="2:9">
      <c r="B631" s="545">
        <v>2</v>
      </c>
      <c r="C631" s="545" t="str">
        <f>VLOOKUP(D631,기본!$B$3:$C$90,2,0)</f>
        <v>삼성 VD</v>
      </c>
      <c r="D631" t="s">
        <v>1873</v>
      </c>
      <c r="E631" t="s">
        <v>2331</v>
      </c>
      <c r="F631" t="s">
        <v>2505</v>
      </c>
      <c r="G631" t="str">
        <f>VLOOKUP(E631,기본!$F$3:$G$320,2,0)</f>
        <v>MNT</v>
      </c>
      <c r="H631" s="544">
        <v>40</v>
      </c>
      <c r="I631">
        <v>0.32332160000000004</v>
      </c>
    </row>
    <row r="632" spans="2:9">
      <c r="B632" s="545">
        <v>2</v>
      </c>
      <c r="C632" s="545" t="str">
        <f>VLOOKUP(D632,기본!$B$3:$C$90,2,0)</f>
        <v>삼성 VD</v>
      </c>
      <c r="D632" t="s">
        <v>1873</v>
      </c>
      <c r="E632" t="s">
        <v>2252</v>
      </c>
      <c r="F632" t="s">
        <v>2264</v>
      </c>
      <c r="G632" t="str">
        <f>VLOOKUP(E632,기본!$F$3:$G$320,2,0)</f>
        <v>MNT</v>
      </c>
      <c r="H632" s="544">
        <v>375</v>
      </c>
      <c r="I632">
        <v>2.9248556499999996</v>
      </c>
    </row>
    <row r="633" spans="2:9">
      <c r="B633" s="545">
        <v>2</v>
      </c>
      <c r="C633" s="545" t="str">
        <f>VLOOKUP(D633,기본!$B$3:$C$90,2,0)</f>
        <v>삼성 VD</v>
      </c>
      <c r="D633" t="s">
        <v>1873</v>
      </c>
      <c r="E633" t="s">
        <v>2414</v>
      </c>
      <c r="F633" t="s">
        <v>2415</v>
      </c>
      <c r="G633" t="str">
        <f>VLOOKUP(E633,기본!$F$3:$G$320,2,0)</f>
        <v>TV</v>
      </c>
      <c r="H633" s="544">
        <v>20</v>
      </c>
      <c r="I633">
        <v>0.2594706</v>
      </c>
    </row>
    <row r="634" spans="2:9">
      <c r="B634" s="545">
        <v>2</v>
      </c>
      <c r="C634" s="545" t="str">
        <f>VLOOKUP(D634,기본!$B$3:$C$90,2,0)</f>
        <v>삼성 VD</v>
      </c>
      <c r="D634" t="s">
        <v>1873</v>
      </c>
      <c r="E634" t="s">
        <v>2443</v>
      </c>
      <c r="F634" t="s">
        <v>2440</v>
      </c>
      <c r="G634" t="str">
        <f>VLOOKUP(E634,기본!$F$3:$G$320,2,0)</f>
        <v>TV</v>
      </c>
      <c r="H634" s="544">
        <v>300</v>
      </c>
      <c r="I634">
        <v>6.6804734999999997</v>
      </c>
    </row>
    <row r="635" spans="2:9">
      <c r="B635" s="545">
        <v>2</v>
      </c>
      <c r="C635" s="545" t="str">
        <f>VLOOKUP(D635,기본!$B$3:$C$90,2,0)</f>
        <v>삼성 VD</v>
      </c>
      <c r="D635" t="s">
        <v>1873</v>
      </c>
      <c r="E635" t="s">
        <v>2270</v>
      </c>
      <c r="F635" t="s">
        <v>2270</v>
      </c>
      <c r="G635" t="str">
        <f>VLOOKUP(E635,기본!$F$3:$G$320,2,0)</f>
        <v>MNT</v>
      </c>
      <c r="H635" s="544">
        <v>320</v>
      </c>
      <c r="I635">
        <v>6.072165</v>
      </c>
    </row>
    <row r="636" spans="2:9">
      <c r="B636" s="545">
        <v>2</v>
      </c>
      <c r="C636" s="545" t="str">
        <f>VLOOKUP(D636,기본!$B$3:$C$90,2,0)</f>
        <v>삼성 VD</v>
      </c>
      <c r="D636" t="s">
        <v>1873</v>
      </c>
      <c r="E636" t="s">
        <v>2402</v>
      </c>
      <c r="F636" t="s">
        <v>2402</v>
      </c>
      <c r="G636" t="str">
        <f>VLOOKUP(E636,기본!$F$3:$G$320,2,0)</f>
        <v>AV</v>
      </c>
      <c r="H636" s="544">
        <v>420</v>
      </c>
      <c r="I636">
        <v>4.7364407999999996</v>
      </c>
    </row>
    <row r="637" spans="2:9">
      <c r="B637" s="545">
        <v>2</v>
      </c>
      <c r="C637" s="545" t="str">
        <f>VLOOKUP(D637,기본!$B$3:$C$90,2,0)</f>
        <v>삼성 VD</v>
      </c>
      <c r="D637" t="s">
        <v>1873</v>
      </c>
      <c r="E637" t="s">
        <v>2456</v>
      </c>
      <c r="F637" t="s">
        <v>2456</v>
      </c>
      <c r="G637" t="str">
        <f>VLOOKUP(E637,기본!$F$3:$G$320,2,0)</f>
        <v>AV</v>
      </c>
      <c r="H637" s="544">
        <v>10</v>
      </c>
      <c r="I637">
        <v>0.10143000000000001</v>
      </c>
    </row>
    <row r="638" spans="2:9">
      <c r="B638" s="545">
        <v>2</v>
      </c>
      <c r="C638" s="545" t="str">
        <f>VLOOKUP(D638,기본!$B$3:$C$90,2,0)</f>
        <v>삼성 VD</v>
      </c>
      <c r="D638" t="s">
        <v>1873</v>
      </c>
      <c r="E638" t="s">
        <v>2457</v>
      </c>
      <c r="F638" t="s">
        <v>2457</v>
      </c>
      <c r="G638" t="str">
        <f>VLOOKUP(E638,기본!$F$3:$G$320,2,0)</f>
        <v>AV</v>
      </c>
      <c r="H638" s="544">
        <v>10</v>
      </c>
      <c r="I638">
        <v>0.10143000000000001</v>
      </c>
    </row>
    <row r="639" spans="2:9">
      <c r="B639" s="545">
        <v>2</v>
      </c>
      <c r="C639" s="545" t="str">
        <f>VLOOKUP(D639,기본!$B$3:$C$90,2,0)</f>
        <v>삼성 생활가전</v>
      </c>
      <c r="D639" t="s">
        <v>1874</v>
      </c>
      <c r="E639" t="s">
        <v>2506</v>
      </c>
      <c r="F639" t="s">
        <v>2506</v>
      </c>
      <c r="G639" t="e">
        <f>VLOOKUP(E639,기본!$F$3:$G$320,2,0)</f>
        <v>#N/A</v>
      </c>
      <c r="H639" s="544">
        <v>19</v>
      </c>
      <c r="I639">
        <v>0.15903</v>
      </c>
    </row>
    <row r="640" spans="2:9">
      <c r="B640" s="545">
        <v>2</v>
      </c>
      <c r="C640" s="545" t="str">
        <f>VLOOKUP(D640,기본!$B$3:$C$90,2,0)</f>
        <v>삼성 생활가전</v>
      </c>
      <c r="D640" t="s">
        <v>1874</v>
      </c>
      <c r="E640" t="s">
        <v>1867</v>
      </c>
      <c r="F640" t="s">
        <v>1867</v>
      </c>
      <c r="G640" t="e">
        <f>VLOOKUP(E640,기본!$F$3:$G$320,2,0)</f>
        <v>#N/A</v>
      </c>
      <c r="H640" s="544">
        <v>8</v>
      </c>
      <c r="I640">
        <v>6.6159999999999997E-2</v>
      </c>
    </row>
    <row r="641" spans="2:9">
      <c r="B641" s="545">
        <v>2</v>
      </c>
      <c r="C641" s="545" t="str">
        <f>VLOOKUP(D641,기본!$B$3:$C$90,2,0)</f>
        <v>삼성 생활가전</v>
      </c>
      <c r="D641" t="s">
        <v>1874</v>
      </c>
      <c r="E641" t="s">
        <v>680</v>
      </c>
      <c r="F641" t="s">
        <v>680</v>
      </c>
      <c r="G641" t="e">
        <f>VLOOKUP(E641,기본!$F$3:$G$320,2,0)</f>
        <v>#N/A</v>
      </c>
      <c r="H641" s="544">
        <v>966</v>
      </c>
      <c r="I641">
        <v>7.7183400000000004</v>
      </c>
    </row>
    <row r="642" spans="2:9">
      <c r="B642" s="545">
        <v>2</v>
      </c>
      <c r="C642" s="545" t="str">
        <f>VLOOKUP(D642,기본!$B$3:$C$90,2,0)</f>
        <v>삼성 생활가전</v>
      </c>
      <c r="D642" t="s">
        <v>1874</v>
      </c>
      <c r="E642" t="s">
        <v>1878</v>
      </c>
      <c r="F642" t="s">
        <v>1878</v>
      </c>
      <c r="G642" t="e">
        <f>VLOOKUP(E642,기본!$F$3:$G$320,2,0)</f>
        <v>#N/A</v>
      </c>
      <c r="H642" s="544">
        <v>6320</v>
      </c>
      <c r="I642">
        <v>37.787279999999996</v>
      </c>
    </row>
    <row r="643" spans="2:9">
      <c r="B643" s="545">
        <v>2</v>
      </c>
      <c r="C643" s="545" t="str">
        <f>VLOOKUP(D643,기본!$B$3:$C$90,2,0)</f>
        <v>삼성 생활가전</v>
      </c>
      <c r="D643" t="s">
        <v>1874</v>
      </c>
      <c r="E643" t="s">
        <v>1880</v>
      </c>
      <c r="F643" t="s">
        <v>1880</v>
      </c>
      <c r="G643" t="e">
        <f>VLOOKUP(E643,기본!$F$3:$G$320,2,0)</f>
        <v>#N/A</v>
      </c>
      <c r="H643" s="544">
        <v>2560</v>
      </c>
      <c r="I643">
        <v>14.0032</v>
      </c>
    </row>
    <row r="644" spans="2:9">
      <c r="B644" s="545">
        <v>2</v>
      </c>
      <c r="C644" s="545" t="str">
        <f>VLOOKUP(D644,기본!$B$3:$C$90,2,0)</f>
        <v>삼성 생활가전</v>
      </c>
      <c r="D644" t="s">
        <v>1874</v>
      </c>
      <c r="E644" t="s">
        <v>2299</v>
      </c>
      <c r="F644" t="s">
        <v>2299</v>
      </c>
      <c r="G644" t="e">
        <f>VLOOKUP(E644,기본!$F$3:$G$320,2,0)</f>
        <v>#N/A</v>
      </c>
      <c r="H644" s="544">
        <v>50688</v>
      </c>
      <c r="I644">
        <v>147.65137920000001</v>
      </c>
    </row>
    <row r="645" spans="2:9">
      <c r="B645" s="545">
        <v>2</v>
      </c>
      <c r="C645" s="545" t="str">
        <f>VLOOKUP(D645,기본!$B$3:$C$90,2,0)</f>
        <v>삼성 생활가전</v>
      </c>
      <c r="D645" t="s">
        <v>1874</v>
      </c>
      <c r="E645" t="s">
        <v>1881</v>
      </c>
      <c r="F645" t="s">
        <v>1881</v>
      </c>
      <c r="G645" t="e">
        <f>VLOOKUP(E645,기본!$F$3:$G$320,2,0)</f>
        <v>#N/A</v>
      </c>
      <c r="H645" s="544">
        <v>2880</v>
      </c>
      <c r="I645">
        <v>28.451520000000002</v>
      </c>
    </row>
    <row r="646" spans="2:9">
      <c r="B646" s="545">
        <v>2</v>
      </c>
      <c r="C646" s="545" t="str">
        <f>VLOOKUP(D646,기본!$B$3:$C$90,2,0)</f>
        <v>삼성 생활가전</v>
      </c>
      <c r="D646" t="s">
        <v>1874</v>
      </c>
      <c r="E646" t="s">
        <v>2003</v>
      </c>
      <c r="F646" t="s">
        <v>2003</v>
      </c>
      <c r="G646" t="e">
        <f>VLOOKUP(E646,기본!$F$3:$G$320,2,0)</f>
        <v>#N/A</v>
      </c>
      <c r="H646" s="544">
        <v>2880</v>
      </c>
      <c r="I646">
        <v>16.943085999999997</v>
      </c>
    </row>
    <row r="647" spans="2:9">
      <c r="B647" s="545">
        <v>2</v>
      </c>
      <c r="C647" s="545" t="str">
        <f>VLOOKUP(D647,기본!$B$3:$C$90,2,0)</f>
        <v>삼성 생활가전</v>
      </c>
      <c r="D647" t="s">
        <v>1874</v>
      </c>
      <c r="E647" t="s">
        <v>2451</v>
      </c>
      <c r="F647" t="s">
        <v>2451</v>
      </c>
      <c r="G647" t="e">
        <f>VLOOKUP(E647,기본!$F$3:$G$320,2,0)</f>
        <v>#N/A</v>
      </c>
      <c r="H647" s="544">
        <v>10</v>
      </c>
      <c r="I647">
        <v>7.2900000000000006E-2</v>
      </c>
    </row>
    <row r="648" spans="2:9">
      <c r="B648" s="545">
        <v>2</v>
      </c>
      <c r="C648" s="545" t="str">
        <f>VLOOKUP(D648,기본!$B$3:$C$90,2,0)</f>
        <v>삼성 생활가전</v>
      </c>
      <c r="D648" t="s">
        <v>1874</v>
      </c>
      <c r="E648" t="s">
        <v>1194</v>
      </c>
      <c r="F648" t="s">
        <v>1194</v>
      </c>
      <c r="G648" t="e">
        <f>VLOOKUP(E648,기본!$F$3:$G$320,2,0)</f>
        <v>#N/A</v>
      </c>
      <c r="H648" s="544">
        <v>198</v>
      </c>
      <c r="I648">
        <v>1.0157400000000001</v>
      </c>
    </row>
    <row r="649" spans="2:9">
      <c r="B649" s="545">
        <v>2</v>
      </c>
      <c r="C649" s="545" t="str">
        <f>VLOOKUP(D649,기본!$B$3:$C$90,2,0)</f>
        <v>삼성 생활가전</v>
      </c>
      <c r="D649" t="s">
        <v>1874</v>
      </c>
      <c r="E649" t="s">
        <v>2033</v>
      </c>
      <c r="F649" t="s">
        <v>2033</v>
      </c>
      <c r="G649" t="e">
        <f>VLOOKUP(E649,기본!$F$3:$G$320,2,0)</f>
        <v>#N/A</v>
      </c>
      <c r="H649" s="544">
        <v>1403</v>
      </c>
      <c r="I649">
        <v>17.556037568000001</v>
      </c>
    </row>
    <row r="650" spans="2:9">
      <c r="B650" s="545">
        <v>2</v>
      </c>
      <c r="C650" s="545" t="str">
        <f>VLOOKUP(D650,기본!$B$3:$C$90,2,0)</f>
        <v>삼성 생활가전</v>
      </c>
      <c r="D650" t="s">
        <v>1874</v>
      </c>
      <c r="E650" t="s">
        <v>1947</v>
      </c>
      <c r="F650" t="s">
        <v>1947</v>
      </c>
      <c r="G650" t="e">
        <f>VLOOKUP(E650,기본!$F$3:$G$320,2,0)</f>
        <v>#N/A</v>
      </c>
      <c r="H650" s="544">
        <v>126</v>
      </c>
      <c r="I650">
        <v>1.3292313299999998</v>
      </c>
    </row>
    <row r="651" spans="2:9">
      <c r="B651" s="545">
        <v>2</v>
      </c>
      <c r="C651" s="545" t="str">
        <f>VLOOKUP(D651,기본!$B$3:$C$90,2,0)</f>
        <v>삼성 생활가전</v>
      </c>
      <c r="D651" t="s">
        <v>1874</v>
      </c>
      <c r="E651" t="s">
        <v>2507</v>
      </c>
      <c r="F651" t="s">
        <v>2507</v>
      </c>
      <c r="G651" t="e">
        <f>VLOOKUP(E651,기본!$F$3:$G$320,2,0)</f>
        <v>#N/A</v>
      </c>
      <c r="H651" s="544">
        <v>140</v>
      </c>
      <c r="I651">
        <v>0.7736267</v>
      </c>
    </row>
    <row r="652" spans="2:9">
      <c r="B652" s="545">
        <v>2</v>
      </c>
      <c r="C652" s="545" t="str">
        <f>VLOOKUP(D652,기본!$B$3:$C$90,2,0)</f>
        <v>삼성 생활가전</v>
      </c>
      <c r="D652" t="s">
        <v>1874</v>
      </c>
      <c r="E652" t="s">
        <v>1410</v>
      </c>
      <c r="F652" t="s">
        <v>1410</v>
      </c>
      <c r="G652" t="e">
        <f>VLOOKUP(E652,기본!$F$3:$G$320,2,0)</f>
        <v>#N/A</v>
      </c>
      <c r="H652" s="544">
        <v>8467</v>
      </c>
      <c r="I652">
        <v>115.5484000368</v>
      </c>
    </row>
    <row r="653" spans="2:9">
      <c r="B653" s="545">
        <v>2</v>
      </c>
      <c r="C653" s="545" t="str">
        <f>VLOOKUP(D653,기본!$B$3:$C$90,2,0)</f>
        <v>삼성 생활가전</v>
      </c>
      <c r="D653" t="s">
        <v>1874</v>
      </c>
      <c r="E653" t="s">
        <v>1883</v>
      </c>
      <c r="F653" t="s">
        <v>1883</v>
      </c>
      <c r="G653" t="e">
        <f>VLOOKUP(E653,기본!$F$3:$G$320,2,0)</f>
        <v>#N/A</v>
      </c>
      <c r="H653" s="544">
        <v>0</v>
      </c>
      <c r="I653">
        <v>1.4181729999999999</v>
      </c>
    </row>
    <row r="654" spans="2:9">
      <c r="B654" s="545">
        <v>2</v>
      </c>
      <c r="C654" s="545" t="str">
        <f>VLOOKUP(D654,기본!$B$3:$C$90,2,0)</f>
        <v>삼성 생활가전</v>
      </c>
      <c r="D654" t="s">
        <v>1884</v>
      </c>
      <c r="E654" t="s">
        <v>1410</v>
      </c>
      <c r="F654" t="s">
        <v>1410</v>
      </c>
      <c r="G654" t="e">
        <f>VLOOKUP(E654,기본!$F$3:$G$320,2,0)</f>
        <v>#N/A</v>
      </c>
      <c r="H654" s="544">
        <v>544</v>
      </c>
      <c r="I654">
        <v>7.0366400000000002</v>
      </c>
    </row>
    <row r="655" spans="2:9">
      <c r="B655" s="545">
        <v>2</v>
      </c>
      <c r="C655" s="545" t="str">
        <f>VLOOKUP(D655,기본!$B$3:$C$90,2,0)</f>
        <v>E-Mob</v>
      </c>
      <c r="D655" t="s">
        <v>2395</v>
      </c>
      <c r="E655" t="s">
        <v>2351</v>
      </c>
      <c r="F655" t="s">
        <v>2351</v>
      </c>
      <c r="G655" t="e">
        <f>VLOOKUP(E655,기본!$F$3:$G$320,2,0)</f>
        <v>#N/A</v>
      </c>
      <c r="H655" s="544">
        <v>30000</v>
      </c>
      <c r="I655">
        <v>70.149240000000006</v>
      </c>
    </row>
    <row r="656" spans="2:9">
      <c r="B656" s="545">
        <v>2</v>
      </c>
      <c r="C656" s="545" t="str">
        <f>VLOOKUP(D656,기본!$B$3:$C$90,2,0)</f>
        <v>E-Mob</v>
      </c>
      <c r="D656" t="s">
        <v>2395</v>
      </c>
      <c r="E656" t="s">
        <v>2352</v>
      </c>
      <c r="F656" t="s">
        <v>2352</v>
      </c>
      <c r="G656" t="e">
        <f>VLOOKUP(E656,기본!$F$3:$G$320,2,0)</f>
        <v>#N/A</v>
      </c>
      <c r="H656" s="544">
        <v>30000</v>
      </c>
      <c r="I656">
        <v>70.149240000000006</v>
      </c>
    </row>
    <row r="657" spans="2:9">
      <c r="B657" s="545">
        <v>2</v>
      </c>
      <c r="C657" s="545" t="str">
        <f>VLOOKUP(D657,기본!$B$3:$C$90,2,0)</f>
        <v>E-Mob</v>
      </c>
      <c r="D657" t="s">
        <v>2395</v>
      </c>
      <c r="E657" t="s">
        <v>2396</v>
      </c>
      <c r="F657" t="s">
        <v>2396</v>
      </c>
      <c r="G657" t="e">
        <f>VLOOKUP(E657,기본!$F$3:$G$320,2,0)</f>
        <v>#N/A</v>
      </c>
      <c r="H657" s="544">
        <v>30000</v>
      </c>
      <c r="I657">
        <v>70.149240000000006</v>
      </c>
    </row>
    <row r="658" spans="2:9">
      <c r="B658" s="545">
        <v>2</v>
      </c>
      <c r="C658" s="545" t="str">
        <f>VLOOKUP(D658,기본!$B$3:$C$90,2,0)</f>
        <v>E-Mob</v>
      </c>
      <c r="D658" t="s">
        <v>2395</v>
      </c>
      <c r="E658" t="s">
        <v>2353</v>
      </c>
      <c r="F658" t="s">
        <v>2353</v>
      </c>
      <c r="G658" t="e">
        <f>VLOOKUP(E658,기본!$F$3:$G$320,2,0)</f>
        <v>#N/A</v>
      </c>
      <c r="H658" s="544">
        <v>30000</v>
      </c>
      <c r="I658">
        <v>70.149240000000006</v>
      </c>
    </row>
    <row r="659" spans="2:9">
      <c r="B659" s="545">
        <v>2</v>
      </c>
      <c r="C659" s="545" t="str">
        <f>VLOOKUP(D659,기본!$B$3:$C$90,2,0)</f>
        <v>E-Mob</v>
      </c>
      <c r="D659" t="s">
        <v>2395</v>
      </c>
      <c r="E659" t="s">
        <v>2347</v>
      </c>
      <c r="F659" t="s">
        <v>2347</v>
      </c>
      <c r="G659" t="e">
        <f>VLOOKUP(E659,기본!$F$3:$G$320,2,0)</f>
        <v>#N/A</v>
      </c>
      <c r="H659" s="544">
        <v>30096</v>
      </c>
      <c r="I659">
        <v>86.881132800000017</v>
      </c>
    </row>
    <row r="660" spans="2:9">
      <c r="B660" s="545">
        <v>2</v>
      </c>
      <c r="C660" s="545" t="str">
        <f>VLOOKUP(D660,기본!$B$3:$C$90,2,0)</f>
        <v>E-Mob</v>
      </c>
      <c r="D660" t="s">
        <v>2395</v>
      </c>
      <c r="E660" t="s">
        <v>2348</v>
      </c>
      <c r="F660" t="s">
        <v>2348</v>
      </c>
      <c r="G660" t="e">
        <f>VLOOKUP(E660,기본!$F$3:$G$320,2,0)</f>
        <v>#N/A</v>
      </c>
      <c r="H660" s="544">
        <v>30048</v>
      </c>
      <c r="I660">
        <v>101.05508985600001</v>
      </c>
    </row>
    <row r="661" spans="2:9">
      <c r="B661" s="545">
        <v>2</v>
      </c>
      <c r="C661" s="545" t="str">
        <f>VLOOKUP(D661,기본!$B$3:$C$90,2,0)</f>
        <v>E-Mob</v>
      </c>
      <c r="D661" t="s">
        <v>2395</v>
      </c>
      <c r="E661" t="s">
        <v>2349</v>
      </c>
      <c r="F661" t="s">
        <v>2349</v>
      </c>
      <c r="G661" t="e">
        <f>VLOOKUP(E661,기본!$F$3:$G$320,2,0)</f>
        <v>#N/A</v>
      </c>
      <c r="H661" s="544">
        <v>23175</v>
      </c>
      <c r="I661">
        <v>58.538891249999999</v>
      </c>
    </row>
    <row r="662" spans="2:9">
      <c r="B662" s="545">
        <v>2</v>
      </c>
      <c r="C662" s="545" t="str">
        <f>VLOOKUP(D662,기본!$B$3:$C$90,2,0)</f>
        <v>E-Mob</v>
      </c>
      <c r="D662" t="s">
        <v>2395</v>
      </c>
      <c r="E662" t="s">
        <v>2350</v>
      </c>
      <c r="F662" t="s">
        <v>2350</v>
      </c>
      <c r="G662" t="e">
        <f>VLOOKUP(E662,기본!$F$3:$G$320,2,0)</f>
        <v>#N/A</v>
      </c>
      <c r="H662" s="544">
        <v>25200</v>
      </c>
      <c r="I662">
        <v>63.653940000000006</v>
      </c>
    </row>
    <row r="663" spans="2:9">
      <c r="B663" s="545">
        <v>2</v>
      </c>
      <c r="C663" s="545" t="str">
        <f>VLOOKUP(D663,기본!$B$3:$C$90,2,0)</f>
        <v>코웨이</v>
      </c>
      <c r="D663" t="s">
        <v>2192</v>
      </c>
      <c r="E663" t="s">
        <v>873</v>
      </c>
      <c r="F663" t="s">
        <v>873</v>
      </c>
      <c r="G663" t="e">
        <f>VLOOKUP(E663,기본!$F$3:$G$320,2,0)</f>
        <v>#N/A</v>
      </c>
      <c r="H663" s="544">
        <v>9510</v>
      </c>
      <c r="I663">
        <v>63.317579999999992</v>
      </c>
    </row>
    <row r="664" spans="2:9">
      <c r="B664" s="545">
        <v>2</v>
      </c>
      <c r="C664" s="545" t="str">
        <f>VLOOKUP(D664,기본!$B$3:$C$90,2,0)</f>
        <v>코웨이</v>
      </c>
      <c r="D664" t="s">
        <v>2192</v>
      </c>
      <c r="E664" t="s">
        <v>1932</v>
      </c>
      <c r="F664" t="s">
        <v>1932</v>
      </c>
      <c r="G664" t="e">
        <f>VLOOKUP(E664,기본!$F$3:$G$320,2,0)</f>
        <v>#N/A</v>
      </c>
      <c r="H664" s="544">
        <v>8420</v>
      </c>
      <c r="I664">
        <v>162.7165</v>
      </c>
    </row>
    <row r="665" spans="2:9">
      <c r="B665" s="545">
        <v>2</v>
      </c>
      <c r="C665" s="545" t="str">
        <f>VLOOKUP(D665,기본!$B$3:$C$90,2,0)</f>
        <v>코웨이</v>
      </c>
      <c r="D665" t="s">
        <v>2192</v>
      </c>
      <c r="E665" t="s">
        <v>1935</v>
      </c>
      <c r="F665" t="s">
        <v>1935</v>
      </c>
      <c r="G665" t="e">
        <f>VLOOKUP(E665,기본!$F$3:$G$320,2,0)</f>
        <v>#N/A</v>
      </c>
      <c r="H665" s="544">
        <v>32</v>
      </c>
      <c r="I665">
        <v>0.46767999999999998</v>
      </c>
    </row>
    <row r="666" spans="2:9">
      <c r="B666" s="545">
        <v>2</v>
      </c>
      <c r="C666" s="545" t="str">
        <f>VLOOKUP(D666,기본!$B$3:$C$90,2,0)</f>
        <v>코웨이</v>
      </c>
      <c r="D666" t="s">
        <v>1993</v>
      </c>
      <c r="E666" t="s">
        <v>2508</v>
      </c>
      <c r="F666" t="s">
        <v>2508</v>
      </c>
      <c r="G666" t="e">
        <f>VLOOKUP(E666,기본!$F$3:$G$320,2,0)</f>
        <v>#N/A</v>
      </c>
      <c r="H666" s="544">
        <v>1000</v>
      </c>
      <c r="I666">
        <v>12.36</v>
      </c>
    </row>
    <row r="667" spans="2:9">
      <c r="B667" s="545">
        <v>2</v>
      </c>
      <c r="C667" s="545" t="str">
        <f>VLOOKUP(D667,기본!$B$3:$C$90,2,0)</f>
        <v>베터리</v>
      </c>
      <c r="D667" t="s">
        <v>2041</v>
      </c>
      <c r="E667" t="s">
        <v>1762</v>
      </c>
      <c r="F667" t="s">
        <v>1762</v>
      </c>
      <c r="G667" t="e">
        <f>VLOOKUP(E667,기본!$F$3:$G$320,2,0)</f>
        <v>#N/A</v>
      </c>
      <c r="H667" s="544">
        <v>112000</v>
      </c>
      <c r="I667">
        <v>203.84</v>
      </c>
    </row>
    <row r="668" spans="2:9">
      <c r="B668" s="545">
        <v>2</v>
      </c>
      <c r="C668" s="545" t="str">
        <f>VLOOKUP(D668,기본!$B$3:$C$90,2,0)</f>
        <v>삼성 생활가전</v>
      </c>
      <c r="D668" t="s">
        <v>2332</v>
      </c>
      <c r="E668" t="s">
        <v>2299</v>
      </c>
      <c r="F668" t="s">
        <v>2299</v>
      </c>
      <c r="G668" t="e">
        <f>VLOOKUP(E668,기본!$F$3:$G$320,2,0)</f>
        <v>#N/A</v>
      </c>
      <c r="H668" s="544">
        <v>3840</v>
      </c>
      <c r="I668">
        <v>11.4048</v>
      </c>
    </row>
    <row r="669" spans="2:9">
      <c r="B669" s="545">
        <v>2</v>
      </c>
      <c r="C669" s="545" t="str">
        <f>VLOOKUP(D669,기본!$B$3:$C$90,2,0)</f>
        <v>코웨이</v>
      </c>
      <c r="D669" t="s">
        <v>2028</v>
      </c>
      <c r="E669" t="s">
        <v>1894</v>
      </c>
      <c r="F669" t="s">
        <v>1894</v>
      </c>
      <c r="G669" t="e">
        <f>VLOOKUP(E669,기본!$F$3:$G$320,2,0)</f>
        <v>#N/A</v>
      </c>
      <c r="H669" s="544">
        <v>2472</v>
      </c>
      <c r="I669">
        <v>19.820495999999999</v>
      </c>
    </row>
    <row r="670" spans="2:9">
      <c r="B670" s="545">
        <v>2</v>
      </c>
      <c r="C670" s="545" t="str">
        <f>VLOOKUP(D670,기본!$B$3:$C$90,2,0)</f>
        <v>코웨이</v>
      </c>
      <c r="D670" t="s">
        <v>2028</v>
      </c>
      <c r="E670" t="s">
        <v>1488</v>
      </c>
      <c r="F670" t="s">
        <v>1488</v>
      </c>
      <c r="G670" t="e">
        <f>VLOOKUP(E670,기본!$F$3:$G$320,2,0)</f>
        <v>#N/A</v>
      </c>
      <c r="H670" s="544">
        <v>2368</v>
      </c>
      <c r="I670">
        <v>16.414975999999999</v>
      </c>
    </row>
    <row r="671" spans="2:9">
      <c r="B671" s="545">
        <v>2</v>
      </c>
      <c r="C671" s="545" t="str">
        <f>VLOOKUP(D671,기본!$B$3:$C$90,2,0)</f>
        <v>코웨이</v>
      </c>
      <c r="D671" t="s">
        <v>2028</v>
      </c>
      <c r="E671" t="s">
        <v>1489</v>
      </c>
      <c r="F671" t="s">
        <v>1489</v>
      </c>
      <c r="G671" t="e">
        <f>VLOOKUP(E671,기본!$F$3:$G$320,2,0)</f>
        <v>#N/A</v>
      </c>
      <c r="H671" s="544">
        <v>192</v>
      </c>
      <c r="I671">
        <v>1.2101759999999999</v>
      </c>
    </row>
    <row r="672" spans="2:9">
      <c r="B672" s="545">
        <v>2</v>
      </c>
      <c r="C672" s="545" t="str">
        <f>VLOOKUP(D672,기본!$B$3:$C$90,2,0)</f>
        <v>코웨이</v>
      </c>
      <c r="D672" t="s">
        <v>2028</v>
      </c>
      <c r="E672" t="s">
        <v>1900</v>
      </c>
      <c r="F672" t="s">
        <v>1900</v>
      </c>
      <c r="G672" t="e">
        <f>VLOOKUP(E672,기본!$F$3:$G$320,2,0)</f>
        <v>#N/A</v>
      </c>
      <c r="H672" s="544">
        <v>312</v>
      </c>
      <c r="I672">
        <v>3.1833360000000002</v>
      </c>
    </row>
    <row r="673" spans="2:9">
      <c r="B673" s="545">
        <v>2</v>
      </c>
      <c r="C673" s="545" t="str">
        <f>VLOOKUP(D673,기본!$B$3:$C$90,2,0)</f>
        <v>코웨이</v>
      </c>
      <c r="D673" t="s">
        <v>2028</v>
      </c>
      <c r="E673" t="s">
        <v>2035</v>
      </c>
      <c r="F673" t="s">
        <v>2035</v>
      </c>
      <c r="G673" t="e">
        <f>VLOOKUP(E673,기본!$F$3:$G$320,2,0)</f>
        <v>#N/A</v>
      </c>
      <c r="H673" s="544">
        <v>2496</v>
      </c>
      <c r="I673">
        <v>23.941631999999998</v>
      </c>
    </row>
    <row r="674" spans="2:9">
      <c r="B674" s="545">
        <v>2</v>
      </c>
      <c r="C674" s="545" t="str">
        <f>VLOOKUP(D674,기본!$B$3:$C$90,2,0)</f>
        <v>코웨이</v>
      </c>
      <c r="D674" t="s">
        <v>1885</v>
      </c>
      <c r="E674" t="s">
        <v>1026</v>
      </c>
      <c r="F674" t="s">
        <v>1026</v>
      </c>
      <c r="G674" t="e">
        <f>VLOOKUP(E674,기본!$F$3:$G$320,2,0)</f>
        <v>#N/A</v>
      </c>
      <c r="H674" s="544">
        <v>720</v>
      </c>
      <c r="I674">
        <v>4.1191199999999997</v>
      </c>
    </row>
    <row r="675" spans="2:9">
      <c r="B675" s="545">
        <v>2</v>
      </c>
      <c r="C675" s="545" t="str">
        <f>VLOOKUP(D675,기본!$B$3:$C$90,2,0)</f>
        <v>상품A</v>
      </c>
      <c r="D675" t="s">
        <v>2301</v>
      </c>
      <c r="E675" t="s">
        <v>224</v>
      </c>
      <c r="F675" t="s">
        <v>224</v>
      </c>
      <c r="G675" t="str">
        <f>VLOOKUP(E675,기본!$F$3:$G$320,2,0)</f>
        <v>기타</v>
      </c>
      <c r="H675" s="544">
        <v>0</v>
      </c>
      <c r="I675">
        <v>1.248</v>
      </c>
    </row>
    <row r="676" spans="2:9">
      <c r="B676" s="545">
        <v>2</v>
      </c>
      <c r="C676" s="545" t="str">
        <f>VLOOKUP(D676,기본!$B$3:$C$90,2,0)</f>
        <v>삼성 생활가전</v>
      </c>
      <c r="D676" t="s">
        <v>2161</v>
      </c>
      <c r="E676" t="s">
        <v>2162</v>
      </c>
      <c r="F676" t="s">
        <v>2162</v>
      </c>
      <c r="G676" t="e">
        <f>VLOOKUP(E676,기본!$F$3:$G$320,2,0)</f>
        <v>#N/A</v>
      </c>
      <c r="H676" s="544">
        <v>14240</v>
      </c>
      <c r="I676">
        <v>99.537599999999998</v>
      </c>
    </row>
    <row r="677" spans="2:9">
      <c r="B677" s="545">
        <v>2</v>
      </c>
      <c r="C677" s="545" t="str">
        <f>VLOOKUP(D677,기본!$B$3:$C$90,2,0)</f>
        <v>삼성 생활가전</v>
      </c>
      <c r="D677" t="s">
        <v>2161</v>
      </c>
      <c r="E677" t="s">
        <v>2451</v>
      </c>
      <c r="F677" t="s">
        <v>2451</v>
      </c>
      <c r="G677" t="e">
        <f>VLOOKUP(E677,기본!$F$3:$G$320,2,0)</f>
        <v>#N/A</v>
      </c>
      <c r="H677" s="544">
        <v>7160</v>
      </c>
      <c r="I677">
        <v>52.196399999999997</v>
      </c>
    </row>
    <row r="678" spans="2:9">
      <c r="B678" s="545">
        <v>2</v>
      </c>
      <c r="C678" s="545" t="str">
        <f>VLOOKUP(D678,기본!$B$3:$C$90,2,0)</f>
        <v>코웨이</v>
      </c>
      <c r="D678" t="s">
        <v>1886</v>
      </c>
      <c r="E678" t="s">
        <v>1887</v>
      </c>
      <c r="F678" t="s">
        <v>1887</v>
      </c>
      <c r="G678" t="e">
        <f>VLOOKUP(E678,기본!$F$3:$G$320,2,0)</f>
        <v>#N/A</v>
      </c>
      <c r="H678" s="544">
        <v>4510</v>
      </c>
      <c r="I678">
        <v>13.05194</v>
      </c>
    </row>
    <row r="679" spans="2:9">
      <c r="B679" s="545">
        <v>2</v>
      </c>
      <c r="C679" s="545" t="str">
        <f>VLOOKUP(D679,기본!$B$3:$C$90,2,0)</f>
        <v>코웨이</v>
      </c>
      <c r="D679" t="s">
        <v>1995</v>
      </c>
      <c r="E679" t="s">
        <v>2398</v>
      </c>
      <c r="F679" t="s">
        <v>2398</v>
      </c>
      <c r="G679" t="e">
        <f>VLOOKUP(E679,기본!$F$3:$G$320,2,0)</f>
        <v>#N/A</v>
      </c>
      <c r="H679" s="544">
        <v>760</v>
      </c>
      <c r="I679">
        <v>122.17366699999999</v>
      </c>
    </row>
    <row r="680" spans="2:9">
      <c r="B680" s="545">
        <v>2</v>
      </c>
      <c r="C680" s="545" t="str">
        <f>VLOOKUP(D680,기본!$B$3:$C$90,2,0)</f>
        <v>코웨이</v>
      </c>
      <c r="D680" t="s">
        <v>1995</v>
      </c>
      <c r="E680" t="s">
        <v>2399</v>
      </c>
      <c r="F680" t="s">
        <v>2399</v>
      </c>
      <c r="G680" t="e">
        <f>VLOOKUP(E680,기본!$F$3:$G$320,2,0)</f>
        <v>#N/A</v>
      </c>
      <c r="H680" s="544">
        <v>360</v>
      </c>
      <c r="I680">
        <v>57.871737000000003</v>
      </c>
    </row>
    <row r="681" spans="2:9">
      <c r="B681" s="545">
        <v>2</v>
      </c>
      <c r="C681" s="545" t="str">
        <f>VLOOKUP(D681,기본!$B$3:$C$90,2,0)</f>
        <v>코웨이</v>
      </c>
      <c r="D681" t="s">
        <v>1995</v>
      </c>
      <c r="E681" t="s">
        <v>2509</v>
      </c>
      <c r="F681" t="s">
        <v>2509</v>
      </c>
      <c r="G681" t="e">
        <f>VLOOKUP(E681,기본!$F$3:$G$320,2,0)</f>
        <v>#N/A</v>
      </c>
      <c r="H681" s="544">
        <v>1680</v>
      </c>
      <c r="I681">
        <v>167.9759004</v>
      </c>
    </row>
    <row r="682" spans="2:9">
      <c r="B682" s="545">
        <v>2</v>
      </c>
      <c r="C682" s="545" t="str">
        <f>VLOOKUP(D682,기본!$B$3:$C$90,2,0)</f>
        <v>코웨이</v>
      </c>
      <c r="D682" t="s">
        <v>1995</v>
      </c>
      <c r="E682" t="s">
        <v>2510</v>
      </c>
      <c r="F682" t="s">
        <v>2510</v>
      </c>
      <c r="G682" t="e">
        <f>VLOOKUP(E682,기본!$F$3:$G$320,2,0)</f>
        <v>#N/A</v>
      </c>
      <c r="H682" s="544">
        <v>1120</v>
      </c>
      <c r="I682">
        <v>91.131532800000002</v>
      </c>
    </row>
    <row r="683" spans="2:9">
      <c r="B683" s="545">
        <v>2</v>
      </c>
      <c r="C683" s="545" t="str">
        <f>VLOOKUP(D683,기본!$B$3:$C$90,2,0)</f>
        <v>코웨이</v>
      </c>
      <c r="D683" t="s">
        <v>1995</v>
      </c>
      <c r="E683" t="s">
        <v>1996</v>
      </c>
      <c r="F683" t="s">
        <v>1996</v>
      </c>
      <c r="G683" t="str">
        <f>VLOOKUP(E683,기본!$F$3:$G$320,2,0)</f>
        <v>EMS</v>
      </c>
      <c r="H683" s="544">
        <v>1680</v>
      </c>
      <c r="I683">
        <v>128.22551279999999</v>
      </c>
    </row>
    <row r="684" spans="2:9">
      <c r="B684" s="545">
        <v>2</v>
      </c>
      <c r="C684" s="545" t="str">
        <f>VLOOKUP(D684,기본!$B$3:$C$90,2,0)</f>
        <v>코웨이</v>
      </c>
      <c r="D684" t="s">
        <v>1995</v>
      </c>
      <c r="E684" t="s">
        <v>1997</v>
      </c>
      <c r="F684" t="s">
        <v>1997</v>
      </c>
      <c r="G684" t="e">
        <f>VLOOKUP(E684,기본!$F$3:$G$320,2,0)</f>
        <v>#N/A</v>
      </c>
      <c r="H684" s="544">
        <v>18480</v>
      </c>
      <c r="I684">
        <v>1410.4806407999999</v>
      </c>
    </row>
    <row r="685" spans="2:9">
      <c r="B685" s="545">
        <v>2</v>
      </c>
      <c r="C685" s="545" t="str">
        <f>VLOOKUP(D685,기본!$B$3:$C$90,2,0)</f>
        <v>코웨이</v>
      </c>
      <c r="D685" t="s">
        <v>1888</v>
      </c>
      <c r="E685" t="s">
        <v>1892</v>
      </c>
      <c r="F685" t="s">
        <v>1892</v>
      </c>
      <c r="G685" t="e">
        <f>VLOOKUP(E685,기본!$F$3:$G$320,2,0)</f>
        <v>#N/A</v>
      </c>
      <c r="H685" s="544">
        <v>25</v>
      </c>
      <c r="I685">
        <v>0.225887</v>
      </c>
    </row>
    <row r="686" spans="2:9">
      <c r="B686" s="545">
        <v>2</v>
      </c>
      <c r="C686" s="545" t="str">
        <f>VLOOKUP(D686,기본!$B$3:$C$90,2,0)</f>
        <v>코웨이</v>
      </c>
      <c r="D686" t="s">
        <v>1888</v>
      </c>
      <c r="E686" t="s">
        <v>1047</v>
      </c>
      <c r="F686" t="s">
        <v>1047</v>
      </c>
      <c r="G686" t="e">
        <f>VLOOKUP(E686,기본!$F$3:$G$320,2,0)</f>
        <v>#N/A</v>
      </c>
      <c r="H686" s="544">
        <v>167</v>
      </c>
      <c r="I686">
        <v>0.94538699999999998</v>
      </c>
    </row>
    <row r="687" spans="2:9">
      <c r="B687" s="545">
        <v>2</v>
      </c>
      <c r="C687" s="545" t="str">
        <f>VLOOKUP(D687,기본!$B$3:$C$90,2,0)</f>
        <v>코웨이</v>
      </c>
      <c r="D687" t="s">
        <v>1888</v>
      </c>
      <c r="E687" t="s">
        <v>1048</v>
      </c>
      <c r="F687" t="s">
        <v>1048</v>
      </c>
      <c r="G687" t="e">
        <f>VLOOKUP(E687,기본!$F$3:$G$320,2,0)</f>
        <v>#N/A</v>
      </c>
      <c r="H687" s="544">
        <v>962</v>
      </c>
      <c r="I687">
        <v>3.1871879999999999</v>
      </c>
    </row>
    <row r="688" spans="2:9">
      <c r="B688" s="545">
        <v>2</v>
      </c>
      <c r="C688" s="545" t="str">
        <f>VLOOKUP(D688,기본!$B$3:$C$90,2,0)</f>
        <v>코웨이</v>
      </c>
      <c r="D688" t="s">
        <v>1888</v>
      </c>
      <c r="E688" t="s">
        <v>1049</v>
      </c>
      <c r="F688" t="s">
        <v>1049</v>
      </c>
      <c r="G688" t="e">
        <f>VLOOKUP(E688,기본!$F$3:$G$320,2,0)</f>
        <v>#N/A</v>
      </c>
      <c r="H688" s="544">
        <v>612</v>
      </c>
      <c r="I688">
        <v>3.9368159999999999</v>
      </c>
    </row>
    <row r="689" spans="2:9">
      <c r="B689" s="545">
        <v>2</v>
      </c>
      <c r="C689" s="545" t="str">
        <f>VLOOKUP(D689,기본!$B$3:$C$90,2,0)</f>
        <v>코웨이</v>
      </c>
      <c r="D689" t="s">
        <v>1888</v>
      </c>
      <c r="E689" t="s">
        <v>1998</v>
      </c>
      <c r="F689" t="s">
        <v>1998</v>
      </c>
      <c r="G689" t="e">
        <f>VLOOKUP(E689,기본!$F$3:$G$320,2,0)</f>
        <v>#N/A</v>
      </c>
      <c r="H689" s="544">
        <v>307</v>
      </c>
      <c r="I689">
        <v>2.4615260000000001</v>
      </c>
    </row>
    <row r="690" spans="2:9">
      <c r="B690" s="545">
        <v>2</v>
      </c>
      <c r="C690" s="545" t="str">
        <f>VLOOKUP(D690,기본!$B$3:$C$90,2,0)</f>
        <v>코웨이</v>
      </c>
      <c r="D690" t="s">
        <v>1888</v>
      </c>
      <c r="E690" t="s">
        <v>1894</v>
      </c>
      <c r="F690" t="s">
        <v>1894</v>
      </c>
      <c r="G690" t="e">
        <f>VLOOKUP(E690,기본!$F$3:$G$320,2,0)</f>
        <v>#N/A</v>
      </c>
      <c r="H690" s="544">
        <v>285</v>
      </c>
      <c r="I690">
        <v>2.3610000000000002</v>
      </c>
    </row>
    <row r="691" spans="2:9">
      <c r="B691" s="545">
        <v>2</v>
      </c>
      <c r="C691" s="545" t="str">
        <f>VLOOKUP(D691,기본!$B$3:$C$90,2,0)</f>
        <v>코웨이</v>
      </c>
      <c r="D691" t="s">
        <v>1888</v>
      </c>
      <c r="E691" t="s">
        <v>2008</v>
      </c>
      <c r="F691" t="s">
        <v>2008</v>
      </c>
      <c r="G691" t="e">
        <f>VLOOKUP(E691,기본!$F$3:$G$320,2,0)</f>
        <v>#N/A</v>
      </c>
      <c r="H691" s="544">
        <v>1870</v>
      </c>
      <c r="I691">
        <v>17.372300000000003</v>
      </c>
    </row>
    <row r="692" spans="2:9">
      <c r="B692" s="545">
        <v>2</v>
      </c>
      <c r="C692" s="545" t="str">
        <f>VLOOKUP(D692,기본!$B$3:$C$90,2,0)</f>
        <v>코웨이</v>
      </c>
      <c r="D692" t="s">
        <v>1888</v>
      </c>
      <c r="E692" t="s">
        <v>2009</v>
      </c>
      <c r="F692" t="s">
        <v>2009</v>
      </c>
      <c r="G692" t="e">
        <f>VLOOKUP(E692,기본!$F$3:$G$320,2,0)</f>
        <v>#N/A</v>
      </c>
      <c r="H692" s="544">
        <v>2670</v>
      </c>
      <c r="I692">
        <v>42.0227</v>
      </c>
    </row>
    <row r="693" spans="2:9">
      <c r="B693" s="545">
        <v>2</v>
      </c>
      <c r="C693" s="545" t="str">
        <f>VLOOKUP(D693,기본!$B$3:$C$90,2,0)</f>
        <v>코웨이</v>
      </c>
      <c r="D693" t="s">
        <v>1888</v>
      </c>
      <c r="E693" t="s">
        <v>2511</v>
      </c>
      <c r="F693" t="s">
        <v>2511</v>
      </c>
      <c r="G693" t="e">
        <f>VLOOKUP(E693,기본!$F$3:$G$320,2,0)</f>
        <v>#N/A</v>
      </c>
      <c r="H693" s="544">
        <v>150</v>
      </c>
      <c r="I693">
        <v>2.7061500000000001</v>
      </c>
    </row>
    <row r="694" spans="2:9">
      <c r="B694" s="545">
        <v>2</v>
      </c>
      <c r="C694" s="545" t="str">
        <f>VLOOKUP(D694,기본!$B$3:$C$90,2,0)</f>
        <v>코웨이</v>
      </c>
      <c r="D694" t="s">
        <v>1888</v>
      </c>
      <c r="E694" t="s">
        <v>1896</v>
      </c>
      <c r="F694" t="s">
        <v>1896</v>
      </c>
      <c r="G694" t="e">
        <f>VLOOKUP(E694,기본!$F$3:$G$320,2,0)</f>
        <v>#N/A</v>
      </c>
      <c r="H694" s="544">
        <v>24</v>
      </c>
      <c r="I694">
        <v>0.40454400000000001</v>
      </c>
    </row>
    <row r="695" spans="2:9">
      <c r="B695" s="545">
        <v>2</v>
      </c>
      <c r="C695" s="545" t="str">
        <f>VLOOKUP(D695,기본!$B$3:$C$90,2,0)</f>
        <v>코웨이</v>
      </c>
      <c r="D695" t="s">
        <v>1888</v>
      </c>
      <c r="E695" t="s">
        <v>1897</v>
      </c>
      <c r="F695" t="s">
        <v>1897</v>
      </c>
      <c r="G695" t="e">
        <f>VLOOKUP(E695,기본!$F$3:$G$320,2,0)</f>
        <v>#N/A</v>
      </c>
      <c r="H695" s="544">
        <v>2339</v>
      </c>
      <c r="I695">
        <v>34.228763999999998</v>
      </c>
    </row>
    <row r="696" spans="2:9">
      <c r="B696" s="545">
        <v>2</v>
      </c>
      <c r="C696" s="545" t="str">
        <f>VLOOKUP(D696,기본!$B$3:$C$90,2,0)</f>
        <v>코웨이</v>
      </c>
      <c r="D696" t="s">
        <v>1888</v>
      </c>
      <c r="E696" t="s">
        <v>1486</v>
      </c>
      <c r="F696" t="s">
        <v>1486</v>
      </c>
      <c r="G696" t="e">
        <f>VLOOKUP(E696,기본!$F$3:$G$320,2,0)</f>
        <v>#N/A</v>
      </c>
      <c r="H696" s="544">
        <v>845</v>
      </c>
      <c r="I696">
        <v>6.9889950000000001</v>
      </c>
    </row>
    <row r="697" spans="2:9">
      <c r="B697" s="545">
        <v>2</v>
      </c>
      <c r="C697" s="545" t="str">
        <f>VLOOKUP(D697,기본!$B$3:$C$90,2,0)</f>
        <v>코웨이</v>
      </c>
      <c r="D697" t="s">
        <v>1888</v>
      </c>
      <c r="E697" t="s">
        <v>1487</v>
      </c>
      <c r="F697" t="s">
        <v>1487</v>
      </c>
      <c r="G697" t="e">
        <f>VLOOKUP(E697,기본!$F$3:$G$320,2,0)</f>
        <v>#N/A</v>
      </c>
      <c r="H697" s="544">
        <v>123</v>
      </c>
      <c r="I697">
        <v>0.93762900000000005</v>
      </c>
    </row>
    <row r="698" spans="2:9">
      <c r="B698" s="545">
        <v>2</v>
      </c>
      <c r="C698" s="545" t="str">
        <f>VLOOKUP(D698,기본!$B$3:$C$90,2,0)</f>
        <v>코웨이</v>
      </c>
      <c r="D698" t="s">
        <v>1888</v>
      </c>
      <c r="E698" t="s">
        <v>1898</v>
      </c>
      <c r="F698" t="s">
        <v>1898</v>
      </c>
      <c r="G698" t="e">
        <f>VLOOKUP(E698,기본!$F$3:$G$320,2,0)</f>
        <v>#N/A</v>
      </c>
      <c r="H698" s="544">
        <v>64</v>
      </c>
      <c r="I698">
        <v>0.52832000000000001</v>
      </c>
    </row>
    <row r="699" spans="2:9">
      <c r="B699" s="545">
        <v>2</v>
      </c>
      <c r="C699" s="545" t="str">
        <f>VLOOKUP(D699,기본!$B$3:$C$90,2,0)</f>
        <v>코웨이</v>
      </c>
      <c r="D699" t="s">
        <v>1888</v>
      </c>
      <c r="E699" t="s">
        <v>2304</v>
      </c>
      <c r="F699" t="s">
        <v>2304</v>
      </c>
      <c r="G699" t="e">
        <f>VLOOKUP(E699,기본!$F$3:$G$320,2,0)</f>
        <v>#N/A</v>
      </c>
      <c r="H699" s="544">
        <v>22</v>
      </c>
      <c r="I699">
        <v>0.37448400000000004</v>
      </c>
    </row>
    <row r="700" spans="2:9">
      <c r="B700" s="545">
        <v>2</v>
      </c>
      <c r="C700" s="545" t="str">
        <f>VLOOKUP(D700,기본!$B$3:$C$90,2,0)</f>
        <v>코웨이</v>
      </c>
      <c r="D700" t="s">
        <v>1888</v>
      </c>
      <c r="E700" t="s">
        <v>1899</v>
      </c>
      <c r="F700" t="s">
        <v>1899</v>
      </c>
      <c r="G700" t="e">
        <f>VLOOKUP(E700,기본!$F$3:$G$320,2,0)</f>
        <v>#N/A</v>
      </c>
      <c r="H700" s="544">
        <v>923</v>
      </c>
      <c r="I700">
        <v>7.2270570000000003</v>
      </c>
    </row>
    <row r="701" spans="2:9">
      <c r="B701" s="545">
        <v>2</v>
      </c>
      <c r="C701" s="545" t="str">
        <f>VLOOKUP(D701,기본!$B$3:$C$90,2,0)</f>
        <v>코웨이</v>
      </c>
      <c r="D701" t="s">
        <v>1888</v>
      </c>
      <c r="E701" t="s">
        <v>1900</v>
      </c>
      <c r="F701" t="s">
        <v>1900</v>
      </c>
      <c r="G701" t="e">
        <f>VLOOKUP(E701,기본!$F$3:$G$320,2,0)</f>
        <v>#N/A</v>
      </c>
      <c r="H701" s="544">
        <v>72</v>
      </c>
      <c r="I701">
        <v>0.77076</v>
      </c>
    </row>
    <row r="702" spans="2:9">
      <c r="B702" s="545">
        <v>2</v>
      </c>
      <c r="C702" s="545" t="str">
        <f>VLOOKUP(D702,기본!$B$3:$C$90,2,0)</f>
        <v>코웨이</v>
      </c>
      <c r="D702" t="s">
        <v>1888</v>
      </c>
      <c r="E702" t="s">
        <v>1901</v>
      </c>
      <c r="F702" t="s">
        <v>1901</v>
      </c>
      <c r="G702" t="e">
        <f>VLOOKUP(E702,기본!$F$3:$G$320,2,0)</f>
        <v>#N/A</v>
      </c>
      <c r="H702" s="544">
        <v>629</v>
      </c>
      <c r="I702">
        <v>5.9906260000000007</v>
      </c>
    </row>
    <row r="703" spans="2:9">
      <c r="B703" s="545">
        <v>2</v>
      </c>
      <c r="C703" s="545" t="str">
        <f>VLOOKUP(D703,기본!$B$3:$C$90,2,0)</f>
        <v>코웨이</v>
      </c>
      <c r="D703" t="s">
        <v>1888</v>
      </c>
      <c r="E703" t="s">
        <v>1902</v>
      </c>
      <c r="F703" t="s">
        <v>1902</v>
      </c>
      <c r="G703" t="e">
        <f>VLOOKUP(E703,기본!$F$3:$G$320,2,0)</f>
        <v>#N/A</v>
      </c>
      <c r="H703" s="544">
        <v>66</v>
      </c>
      <c r="I703">
        <v>1.354122</v>
      </c>
    </row>
    <row r="704" spans="2:9">
      <c r="B704" s="545">
        <v>2</v>
      </c>
      <c r="C704" s="545" t="str">
        <f>VLOOKUP(D704,기본!$B$3:$C$90,2,0)</f>
        <v>코웨이</v>
      </c>
      <c r="D704" t="s">
        <v>1888</v>
      </c>
      <c r="E704" t="s">
        <v>1904</v>
      </c>
      <c r="F704" t="s">
        <v>1904</v>
      </c>
      <c r="G704" t="e">
        <f>VLOOKUP(E704,기본!$F$3:$G$320,2,0)</f>
        <v>#N/A</v>
      </c>
      <c r="H704" s="544">
        <v>925</v>
      </c>
      <c r="I704">
        <v>20.073250000000002</v>
      </c>
    </row>
    <row r="705" spans="2:9">
      <c r="B705" s="545">
        <v>2</v>
      </c>
      <c r="C705" s="545" t="str">
        <f>VLOOKUP(D705,기본!$B$3:$C$90,2,0)</f>
        <v>코웨이</v>
      </c>
      <c r="D705" t="s">
        <v>1888</v>
      </c>
      <c r="E705" t="s">
        <v>1905</v>
      </c>
      <c r="F705" t="s">
        <v>1905</v>
      </c>
      <c r="G705" t="e">
        <f>VLOOKUP(E705,기본!$F$3:$G$320,2,0)</f>
        <v>#N/A</v>
      </c>
      <c r="H705" s="544">
        <v>234</v>
      </c>
      <c r="I705">
        <v>5.0953499999999998</v>
      </c>
    </row>
    <row r="706" spans="2:9">
      <c r="B706" s="545">
        <v>2</v>
      </c>
      <c r="C706" s="545" t="str">
        <f>VLOOKUP(D706,기본!$B$3:$C$90,2,0)</f>
        <v>코웨이</v>
      </c>
      <c r="D706" t="s">
        <v>1888</v>
      </c>
      <c r="E706" t="s">
        <v>2512</v>
      </c>
      <c r="F706" t="s">
        <v>2512</v>
      </c>
      <c r="G706" t="e">
        <f>VLOOKUP(E706,기본!$F$3:$G$320,2,0)</f>
        <v>#N/A</v>
      </c>
      <c r="H706" s="544">
        <v>390</v>
      </c>
      <c r="I706">
        <v>3.0816750000000002</v>
      </c>
    </row>
    <row r="707" spans="2:9">
      <c r="B707" s="545">
        <v>2</v>
      </c>
      <c r="C707" s="545" t="str">
        <f>VLOOKUP(D707,기본!$B$3:$C$90,2,0)</f>
        <v>코웨이</v>
      </c>
      <c r="D707" t="s">
        <v>1888</v>
      </c>
      <c r="E707" t="s">
        <v>1907</v>
      </c>
      <c r="F707" t="s">
        <v>1907</v>
      </c>
      <c r="G707" t="e">
        <f>VLOOKUP(E707,기본!$F$3:$G$320,2,0)</f>
        <v>#N/A</v>
      </c>
      <c r="H707" s="544">
        <v>880</v>
      </c>
      <c r="I707">
        <v>6.0325199999999999</v>
      </c>
    </row>
    <row r="708" spans="2:9">
      <c r="B708" s="545">
        <v>2</v>
      </c>
      <c r="C708" s="545" t="str">
        <f>VLOOKUP(D708,기본!$B$3:$C$90,2,0)</f>
        <v>코웨이</v>
      </c>
      <c r="D708" t="s">
        <v>1888</v>
      </c>
      <c r="E708" t="s">
        <v>1908</v>
      </c>
      <c r="F708" t="s">
        <v>1908</v>
      </c>
      <c r="G708" t="e">
        <f>VLOOKUP(E708,기본!$F$3:$G$320,2,0)</f>
        <v>#N/A</v>
      </c>
      <c r="H708" s="544">
        <v>1150</v>
      </c>
      <c r="I708">
        <v>19.153558</v>
      </c>
    </row>
    <row r="709" spans="2:9">
      <c r="B709" s="545">
        <v>2</v>
      </c>
      <c r="C709" s="545" t="str">
        <f>VLOOKUP(D709,기본!$B$3:$C$90,2,0)</f>
        <v>코웨이</v>
      </c>
      <c r="D709" t="s">
        <v>1888</v>
      </c>
      <c r="E709" t="s">
        <v>2035</v>
      </c>
      <c r="F709" t="s">
        <v>2035</v>
      </c>
      <c r="G709" t="e">
        <f>VLOOKUP(E709,기본!$F$3:$G$320,2,0)</f>
        <v>#N/A</v>
      </c>
      <c r="H709" s="544">
        <v>18413</v>
      </c>
      <c r="I709">
        <v>176.64779599999997</v>
      </c>
    </row>
    <row r="710" spans="2:9">
      <c r="B710" s="545">
        <v>2</v>
      </c>
      <c r="C710" s="545" t="str">
        <f>VLOOKUP(D710,기본!$B$3:$C$90,2,0)</f>
        <v>코웨이</v>
      </c>
      <c r="D710" t="s">
        <v>1888</v>
      </c>
      <c r="E710" t="s">
        <v>1909</v>
      </c>
      <c r="F710" t="s">
        <v>1909</v>
      </c>
      <c r="G710" t="e">
        <f>VLOOKUP(E710,기본!$F$3:$G$320,2,0)</f>
        <v>#N/A</v>
      </c>
      <c r="H710" s="544">
        <v>290</v>
      </c>
      <c r="I710">
        <v>5.1364799999999997</v>
      </c>
    </row>
    <row r="711" spans="2:9">
      <c r="B711" s="545">
        <v>2</v>
      </c>
      <c r="C711" s="545" t="str">
        <f>VLOOKUP(D711,기본!$B$3:$C$90,2,0)</f>
        <v>코웨이</v>
      </c>
      <c r="D711" t="s">
        <v>1888</v>
      </c>
      <c r="E711" t="s">
        <v>2014</v>
      </c>
      <c r="F711" t="s">
        <v>2014</v>
      </c>
      <c r="G711" t="e">
        <f>VLOOKUP(E711,기본!$F$3:$G$320,2,0)</f>
        <v>#N/A</v>
      </c>
      <c r="H711" s="544">
        <v>40</v>
      </c>
      <c r="I711">
        <v>0.86040000000000005</v>
      </c>
    </row>
    <row r="712" spans="2:9">
      <c r="B712" s="545">
        <v>2</v>
      </c>
      <c r="C712" s="545" t="str">
        <f>VLOOKUP(D712,기본!$B$3:$C$90,2,0)</f>
        <v>코웨이</v>
      </c>
      <c r="D712" t="s">
        <v>1888</v>
      </c>
      <c r="E712" t="s">
        <v>1910</v>
      </c>
      <c r="F712" t="s">
        <v>1910</v>
      </c>
      <c r="G712" t="e">
        <f>VLOOKUP(E712,기본!$F$3:$G$320,2,0)</f>
        <v>#N/A</v>
      </c>
      <c r="H712" s="544">
        <v>805</v>
      </c>
      <c r="I712">
        <v>14.109100999999999</v>
      </c>
    </row>
    <row r="713" spans="2:9">
      <c r="B713" s="545">
        <v>2</v>
      </c>
      <c r="C713" s="545" t="str">
        <f>VLOOKUP(D713,기본!$B$3:$C$90,2,0)</f>
        <v>코웨이</v>
      </c>
      <c r="D713" t="s">
        <v>1888</v>
      </c>
      <c r="E713" t="s">
        <v>1911</v>
      </c>
      <c r="F713" t="s">
        <v>1911</v>
      </c>
      <c r="G713" t="e">
        <f>VLOOKUP(E713,기본!$F$3:$G$320,2,0)</f>
        <v>#N/A</v>
      </c>
      <c r="H713" s="544">
        <v>530</v>
      </c>
      <c r="I713">
        <v>8.7588700000000017</v>
      </c>
    </row>
    <row r="714" spans="2:9">
      <c r="B714" s="545">
        <v>2</v>
      </c>
      <c r="C714" s="545" t="str">
        <f>VLOOKUP(D714,기본!$B$3:$C$90,2,0)</f>
        <v>코웨이</v>
      </c>
      <c r="D714" t="s">
        <v>1888</v>
      </c>
      <c r="E714" t="s">
        <v>2513</v>
      </c>
      <c r="F714" t="s">
        <v>2513</v>
      </c>
      <c r="G714" t="e">
        <f>VLOOKUP(E714,기본!$F$3:$G$320,2,0)</f>
        <v>#N/A</v>
      </c>
      <c r="H714" s="544">
        <v>15</v>
      </c>
      <c r="I714">
        <v>0.26302500000000001</v>
      </c>
    </row>
    <row r="715" spans="2:9">
      <c r="B715" s="545">
        <v>2</v>
      </c>
      <c r="C715" s="545" t="str">
        <f>VLOOKUP(D715,기본!$B$3:$C$90,2,0)</f>
        <v>코웨이</v>
      </c>
      <c r="D715" t="s">
        <v>1888</v>
      </c>
      <c r="E715" t="s">
        <v>1912</v>
      </c>
      <c r="F715" t="s">
        <v>1912</v>
      </c>
      <c r="G715" t="e">
        <f>VLOOKUP(E715,기본!$F$3:$G$320,2,0)</f>
        <v>#N/A</v>
      </c>
      <c r="H715" s="544">
        <v>4686</v>
      </c>
      <c r="I715">
        <v>81.323300000000003</v>
      </c>
    </row>
    <row r="716" spans="2:9">
      <c r="B716" s="545">
        <v>2</v>
      </c>
      <c r="C716" s="545" t="str">
        <f>VLOOKUP(D716,기본!$B$3:$C$90,2,0)</f>
        <v>코웨이</v>
      </c>
      <c r="D716" t="s">
        <v>1888</v>
      </c>
      <c r="E716" t="s">
        <v>1043</v>
      </c>
      <c r="F716" t="s">
        <v>1043</v>
      </c>
      <c r="G716" t="e">
        <f>VLOOKUP(E716,기본!$F$3:$G$320,2,0)</f>
        <v>#N/A</v>
      </c>
      <c r="H716" s="544">
        <v>1884</v>
      </c>
      <c r="I716">
        <v>22.366848000000001</v>
      </c>
    </row>
    <row r="717" spans="2:9">
      <c r="B717" s="545">
        <v>2</v>
      </c>
      <c r="C717" s="545" t="str">
        <f>VLOOKUP(D717,기본!$B$3:$C$90,2,0)</f>
        <v>코웨이</v>
      </c>
      <c r="D717" t="s">
        <v>1888</v>
      </c>
      <c r="E717" t="s">
        <v>1913</v>
      </c>
      <c r="F717" t="s">
        <v>1913</v>
      </c>
      <c r="G717" t="e">
        <f>VLOOKUP(E717,기본!$F$3:$G$320,2,0)</f>
        <v>#N/A</v>
      </c>
      <c r="H717" s="544">
        <v>500</v>
      </c>
      <c r="I717">
        <v>4.4305000000000003</v>
      </c>
    </row>
    <row r="718" spans="2:9">
      <c r="B718" s="545">
        <v>2</v>
      </c>
      <c r="C718" s="545" t="str">
        <f>VLOOKUP(D718,기본!$B$3:$C$90,2,0)</f>
        <v>코웨이</v>
      </c>
      <c r="D718" t="s">
        <v>1888</v>
      </c>
      <c r="E718" t="s">
        <v>2514</v>
      </c>
      <c r="F718" t="s">
        <v>2514</v>
      </c>
      <c r="G718" t="e">
        <f>VLOOKUP(E718,기본!$F$3:$G$320,2,0)</f>
        <v>#N/A</v>
      </c>
      <c r="H718" s="544">
        <v>99</v>
      </c>
      <c r="I718">
        <v>1.855062</v>
      </c>
    </row>
    <row r="719" spans="2:9">
      <c r="B719" s="545">
        <v>2</v>
      </c>
      <c r="C719" s="545" t="str">
        <f>VLOOKUP(D719,기본!$B$3:$C$90,2,0)</f>
        <v>코웨이</v>
      </c>
      <c r="D719" t="s">
        <v>1888</v>
      </c>
      <c r="E719" t="s">
        <v>1914</v>
      </c>
      <c r="F719" t="s">
        <v>1914</v>
      </c>
      <c r="G719" t="e">
        <f>VLOOKUP(E719,기본!$F$3:$G$320,2,0)</f>
        <v>#N/A</v>
      </c>
      <c r="H719" s="544">
        <v>27</v>
      </c>
      <c r="I719">
        <v>0.48427199999999998</v>
      </c>
    </row>
    <row r="720" spans="2:9">
      <c r="B720" s="545">
        <v>2</v>
      </c>
      <c r="C720" s="545" t="str">
        <f>VLOOKUP(D720,기본!$B$3:$C$90,2,0)</f>
        <v>코웨이</v>
      </c>
      <c r="D720" t="s">
        <v>1888</v>
      </c>
      <c r="E720" t="s">
        <v>1915</v>
      </c>
      <c r="F720" t="s">
        <v>1915</v>
      </c>
      <c r="G720" t="e">
        <f>VLOOKUP(E720,기본!$F$3:$G$320,2,0)</f>
        <v>#N/A</v>
      </c>
      <c r="H720" s="544">
        <v>609</v>
      </c>
      <c r="I720">
        <v>11.518066000000001</v>
      </c>
    </row>
    <row r="721" spans="2:9">
      <c r="B721" s="545">
        <v>2</v>
      </c>
      <c r="C721" s="545" t="str">
        <f>VLOOKUP(D721,기본!$B$3:$C$90,2,0)</f>
        <v>코웨이</v>
      </c>
      <c r="D721" t="s">
        <v>1888</v>
      </c>
      <c r="E721" t="s">
        <v>2249</v>
      </c>
      <c r="F721" t="s">
        <v>2249</v>
      </c>
      <c r="G721" t="e">
        <f>VLOOKUP(E721,기본!$F$3:$G$320,2,0)</f>
        <v>#N/A</v>
      </c>
      <c r="H721" s="544">
        <v>928</v>
      </c>
      <c r="I721">
        <v>6.8310080000000006</v>
      </c>
    </row>
    <row r="722" spans="2:9">
      <c r="B722" s="545">
        <v>2</v>
      </c>
      <c r="C722" s="545" t="str">
        <f>VLOOKUP(D722,기본!$B$3:$C$90,2,0)</f>
        <v>코웨이</v>
      </c>
      <c r="D722" t="s">
        <v>1888</v>
      </c>
      <c r="E722" t="s">
        <v>2258</v>
      </c>
      <c r="F722" t="s">
        <v>2258</v>
      </c>
      <c r="G722" t="e">
        <f>VLOOKUP(E722,기본!$F$3:$G$320,2,0)</f>
        <v>#N/A</v>
      </c>
      <c r="H722" s="544">
        <v>924</v>
      </c>
      <c r="I722">
        <v>18.423636000000002</v>
      </c>
    </row>
    <row r="723" spans="2:9">
      <c r="B723" s="545">
        <v>2</v>
      </c>
      <c r="C723" s="545" t="str">
        <f>VLOOKUP(D723,기본!$B$3:$C$90,2,0)</f>
        <v>코웨이</v>
      </c>
      <c r="D723" t="s">
        <v>1888</v>
      </c>
      <c r="E723" t="s">
        <v>2234</v>
      </c>
      <c r="F723" t="s">
        <v>2234</v>
      </c>
      <c r="G723" t="e">
        <f>VLOOKUP(E723,기본!$F$3:$G$320,2,0)</f>
        <v>#N/A</v>
      </c>
      <c r="H723" s="544">
        <v>12</v>
      </c>
      <c r="I723">
        <v>0.28028399999999998</v>
      </c>
    </row>
    <row r="724" spans="2:9">
      <c r="B724" s="545">
        <v>2</v>
      </c>
      <c r="C724" s="545" t="str">
        <f>VLOOKUP(D724,기본!$B$3:$C$90,2,0)</f>
        <v>코웨이</v>
      </c>
      <c r="D724" t="s">
        <v>1888</v>
      </c>
      <c r="E724" t="s">
        <v>1091</v>
      </c>
      <c r="F724" t="s">
        <v>1091</v>
      </c>
      <c r="G724" t="e">
        <f>VLOOKUP(E724,기본!$F$3:$G$320,2,0)</f>
        <v>#N/A</v>
      </c>
      <c r="H724" s="544">
        <v>10</v>
      </c>
      <c r="I724">
        <v>0.28738000000000002</v>
      </c>
    </row>
    <row r="725" spans="2:9">
      <c r="B725" s="545">
        <v>2</v>
      </c>
      <c r="C725" s="545" t="str">
        <f>VLOOKUP(D725,기본!$B$3:$C$90,2,0)</f>
        <v>코웨이</v>
      </c>
      <c r="D725" t="s">
        <v>1888</v>
      </c>
      <c r="E725" t="s">
        <v>2515</v>
      </c>
      <c r="F725" t="s">
        <v>2515</v>
      </c>
      <c r="G725" t="e">
        <f>VLOOKUP(E725,기본!$F$3:$G$320,2,0)</f>
        <v>#N/A</v>
      </c>
      <c r="H725" s="544">
        <v>90</v>
      </c>
      <c r="I725">
        <v>2.3121</v>
      </c>
    </row>
    <row r="726" spans="2:9">
      <c r="B726" s="545">
        <v>2</v>
      </c>
      <c r="C726" s="545" t="str">
        <f>VLOOKUP(D726,기본!$B$3:$C$90,2,0)</f>
        <v>코웨이</v>
      </c>
      <c r="D726" t="s">
        <v>1888</v>
      </c>
      <c r="E726" t="s">
        <v>2516</v>
      </c>
      <c r="F726" t="s">
        <v>2516</v>
      </c>
      <c r="G726" t="e">
        <f>VLOOKUP(E726,기본!$F$3:$G$320,2,0)</f>
        <v>#N/A</v>
      </c>
      <c r="H726" s="544">
        <v>388</v>
      </c>
      <c r="I726">
        <v>9.4668120000000009</v>
      </c>
    </row>
    <row r="727" spans="2:9">
      <c r="B727" s="545">
        <v>2</v>
      </c>
      <c r="C727" s="545" t="str">
        <f>VLOOKUP(D727,기본!$B$3:$C$90,2,0)</f>
        <v>코웨이</v>
      </c>
      <c r="D727" t="s">
        <v>1888</v>
      </c>
      <c r="E727" t="s">
        <v>1918</v>
      </c>
      <c r="F727" t="s">
        <v>1918</v>
      </c>
      <c r="G727" t="e">
        <f>VLOOKUP(E727,기본!$F$3:$G$320,2,0)</f>
        <v>#N/A</v>
      </c>
      <c r="H727" s="544">
        <v>262</v>
      </c>
      <c r="I727">
        <v>7.2953900000000003</v>
      </c>
    </row>
    <row r="728" spans="2:9">
      <c r="B728" s="545">
        <v>2</v>
      </c>
      <c r="C728" s="545" t="str">
        <f>VLOOKUP(D728,기본!$B$3:$C$90,2,0)</f>
        <v>코웨이</v>
      </c>
      <c r="D728" t="s">
        <v>1888</v>
      </c>
      <c r="E728" t="s">
        <v>1169</v>
      </c>
      <c r="F728" t="s">
        <v>1169</v>
      </c>
      <c r="G728" t="e">
        <f>VLOOKUP(E728,기본!$F$3:$G$320,2,0)</f>
        <v>#N/A</v>
      </c>
      <c r="H728" s="544">
        <v>53</v>
      </c>
      <c r="I728">
        <v>1.7785739999999999</v>
      </c>
    </row>
    <row r="729" spans="2:9">
      <c r="B729" s="545">
        <v>2</v>
      </c>
      <c r="C729" s="545" t="str">
        <f>VLOOKUP(D729,기본!$B$3:$C$90,2,0)</f>
        <v>코웨이</v>
      </c>
      <c r="D729" t="s">
        <v>1888</v>
      </c>
      <c r="E729" t="s">
        <v>1921</v>
      </c>
      <c r="F729" t="s">
        <v>1921</v>
      </c>
      <c r="G729" t="e">
        <f>VLOOKUP(E729,기본!$F$3:$G$320,2,0)</f>
        <v>#N/A</v>
      </c>
      <c r="H729" s="544">
        <v>654</v>
      </c>
      <c r="I729">
        <v>13.320017999999999</v>
      </c>
    </row>
    <row r="730" spans="2:9">
      <c r="B730" s="545">
        <v>2</v>
      </c>
      <c r="C730" s="545" t="str">
        <f>VLOOKUP(D730,기본!$B$3:$C$90,2,0)</f>
        <v>코웨이</v>
      </c>
      <c r="D730" t="s">
        <v>1888</v>
      </c>
      <c r="E730" t="s">
        <v>1983</v>
      </c>
      <c r="F730" t="s">
        <v>1983</v>
      </c>
      <c r="G730" t="e">
        <f>VLOOKUP(E730,기본!$F$3:$G$320,2,0)</f>
        <v>#N/A</v>
      </c>
      <c r="H730" s="544">
        <v>100</v>
      </c>
      <c r="I730">
        <v>2.0756000000000001</v>
      </c>
    </row>
    <row r="731" spans="2:9">
      <c r="B731" s="545">
        <v>2</v>
      </c>
      <c r="C731" s="545" t="str">
        <f>VLOOKUP(D731,기본!$B$3:$C$90,2,0)</f>
        <v>코웨이</v>
      </c>
      <c r="D731" t="s">
        <v>1888</v>
      </c>
      <c r="E731" t="s">
        <v>1276</v>
      </c>
      <c r="F731" t="s">
        <v>1276</v>
      </c>
      <c r="G731" t="e">
        <f>VLOOKUP(E731,기본!$F$3:$G$320,2,0)</f>
        <v>#N/A</v>
      </c>
      <c r="H731" s="544">
        <v>121</v>
      </c>
      <c r="I731">
        <v>1.417152</v>
      </c>
    </row>
    <row r="732" spans="2:9">
      <c r="B732" s="545">
        <v>2</v>
      </c>
      <c r="C732" s="545" t="str">
        <f>VLOOKUP(D732,기본!$B$3:$C$90,2,0)</f>
        <v>코웨이</v>
      </c>
      <c r="D732" t="s">
        <v>1888</v>
      </c>
      <c r="E732" t="s">
        <v>1275</v>
      </c>
      <c r="F732" t="s">
        <v>1275</v>
      </c>
      <c r="G732" t="e">
        <f>VLOOKUP(E732,기본!$F$3:$G$320,2,0)</f>
        <v>#N/A</v>
      </c>
      <c r="H732" s="544">
        <v>50</v>
      </c>
      <c r="I732">
        <v>1.7786999999999999</v>
      </c>
    </row>
    <row r="733" spans="2:9">
      <c r="B733" s="545">
        <v>2</v>
      </c>
      <c r="C733" s="545" t="str">
        <f>VLOOKUP(D733,기본!$B$3:$C$90,2,0)</f>
        <v>코웨이</v>
      </c>
      <c r="D733" t="s">
        <v>1888</v>
      </c>
      <c r="E733" t="s">
        <v>1940</v>
      </c>
      <c r="F733" t="s">
        <v>1940</v>
      </c>
      <c r="G733" t="e">
        <f>VLOOKUP(E733,기본!$F$3:$G$320,2,0)</f>
        <v>#N/A</v>
      </c>
      <c r="H733" s="544">
        <v>480</v>
      </c>
      <c r="I733">
        <v>19.01568</v>
      </c>
    </row>
    <row r="734" spans="2:9">
      <c r="B734" s="545">
        <v>2</v>
      </c>
      <c r="C734" s="545" t="str">
        <f>VLOOKUP(D734,기본!$B$3:$C$90,2,0)</f>
        <v>코웨이</v>
      </c>
      <c r="D734" t="s">
        <v>1888</v>
      </c>
      <c r="E734" t="s">
        <v>1999</v>
      </c>
      <c r="F734" t="s">
        <v>1999</v>
      </c>
      <c r="G734" t="e">
        <f>VLOOKUP(E734,기본!$F$3:$G$320,2,0)</f>
        <v>#N/A</v>
      </c>
      <c r="H734" s="544">
        <v>166</v>
      </c>
      <c r="I734">
        <v>0.99699599999999999</v>
      </c>
    </row>
    <row r="735" spans="2:9">
      <c r="B735" s="545">
        <v>2</v>
      </c>
      <c r="C735" s="545" t="str">
        <f>VLOOKUP(D735,기본!$B$3:$C$90,2,0)</f>
        <v>코웨이</v>
      </c>
      <c r="D735" t="s">
        <v>1888</v>
      </c>
      <c r="E735" t="s">
        <v>1025</v>
      </c>
      <c r="F735" t="s">
        <v>1025</v>
      </c>
      <c r="G735" t="e">
        <f>VLOOKUP(E735,기본!$F$3:$G$320,2,0)</f>
        <v>#N/A</v>
      </c>
      <c r="H735" s="544">
        <v>36</v>
      </c>
      <c r="I735">
        <v>6.7860000000000004E-2</v>
      </c>
    </row>
    <row r="736" spans="2:9">
      <c r="B736" s="545">
        <v>2</v>
      </c>
      <c r="C736" s="545" t="str">
        <f>VLOOKUP(D736,기본!$B$3:$C$90,2,0)</f>
        <v>코웨이</v>
      </c>
      <c r="D736" t="s">
        <v>1888</v>
      </c>
      <c r="E736" t="s">
        <v>1984</v>
      </c>
      <c r="F736" t="s">
        <v>1984</v>
      </c>
      <c r="G736" t="e">
        <f>VLOOKUP(E736,기본!$F$3:$G$320,2,0)</f>
        <v>#N/A</v>
      </c>
      <c r="H736" s="544">
        <v>576</v>
      </c>
      <c r="I736">
        <v>3.4767359999999998</v>
      </c>
    </row>
    <row r="737" spans="2:9">
      <c r="B737" s="545">
        <v>2</v>
      </c>
      <c r="C737" s="545" t="str">
        <f>VLOOKUP(D737,기본!$B$3:$C$90,2,0)</f>
        <v>코웨이</v>
      </c>
      <c r="D737" t="s">
        <v>1888</v>
      </c>
      <c r="E737" t="s">
        <v>1925</v>
      </c>
      <c r="F737" t="s">
        <v>1925</v>
      </c>
      <c r="G737" t="e">
        <f>VLOOKUP(E737,기본!$F$3:$G$320,2,0)</f>
        <v>#N/A</v>
      </c>
      <c r="H737" s="544">
        <v>48</v>
      </c>
      <c r="I737">
        <v>0.31622400000000001</v>
      </c>
    </row>
    <row r="738" spans="2:9">
      <c r="B738" s="545">
        <v>2</v>
      </c>
      <c r="C738" s="545" t="str">
        <f>VLOOKUP(D738,기본!$B$3:$C$90,2,0)</f>
        <v>코웨이</v>
      </c>
      <c r="D738" t="s">
        <v>1888</v>
      </c>
      <c r="E738" t="s">
        <v>225</v>
      </c>
      <c r="F738" t="s">
        <v>225</v>
      </c>
      <c r="G738" t="e">
        <f>VLOOKUP(E738,기본!$F$3:$G$320,2,0)</f>
        <v>#N/A</v>
      </c>
      <c r="H738" s="544">
        <v>57</v>
      </c>
      <c r="I738">
        <v>0.403389</v>
      </c>
    </row>
    <row r="739" spans="2:9">
      <c r="B739" s="545">
        <v>2</v>
      </c>
      <c r="C739" s="545" t="str">
        <f>VLOOKUP(D739,기본!$B$3:$C$90,2,0)</f>
        <v>코웨이</v>
      </c>
      <c r="D739" t="s">
        <v>1888</v>
      </c>
      <c r="E739" t="s">
        <v>1029</v>
      </c>
      <c r="F739" t="s">
        <v>1029</v>
      </c>
      <c r="G739" t="e">
        <f>VLOOKUP(E739,기본!$F$3:$G$320,2,0)</f>
        <v>#N/A</v>
      </c>
      <c r="H739" s="544">
        <v>100</v>
      </c>
      <c r="I739">
        <v>0.2051</v>
      </c>
    </row>
    <row r="740" spans="2:9">
      <c r="B740" s="545">
        <v>2</v>
      </c>
      <c r="C740" s="545" t="str">
        <f>VLOOKUP(D740,기본!$B$3:$C$90,2,0)</f>
        <v>코웨이</v>
      </c>
      <c r="D740" t="s">
        <v>1888</v>
      </c>
      <c r="E740" t="s">
        <v>1225</v>
      </c>
      <c r="F740" t="s">
        <v>1225</v>
      </c>
      <c r="G740" t="e">
        <f>VLOOKUP(E740,기본!$F$3:$G$320,2,0)</f>
        <v>#N/A</v>
      </c>
      <c r="H740" s="544">
        <v>501</v>
      </c>
      <c r="I740">
        <v>3.8847539999999996</v>
      </c>
    </row>
    <row r="741" spans="2:9">
      <c r="B741" s="545">
        <v>2</v>
      </c>
      <c r="C741" s="545" t="str">
        <f>VLOOKUP(D741,기본!$B$3:$C$90,2,0)</f>
        <v>코웨이</v>
      </c>
      <c r="D741" t="s">
        <v>1888</v>
      </c>
      <c r="E741" t="s">
        <v>1226</v>
      </c>
      <c r="F741" t="s">
        <v>1226</v>
      </c>
      <c r="G741" t="e">
        <f>VLOOKUP(E741,기본!$F$3:$G$320,2,0)</f>
        <v>#N/A</v>
      </c>
      <c r="H741" s="544">
        <v>365</v>
      </c>
      <c r="I741">
        <v>2.7979160000000003</v>
      </c>
    </row>
    <row r="742" spans="2:9">
      <c r="B742" s="545">
        <v>2</v>
      </c>
      <c r="C742" s="545" t="str">
        <f>VLOOKUP(D742,기본!$B$3:$C$90,2,0)</f>
        <v>코웨이</v>
      </c>
      <c r="D742" t="s">
        <v>1888</v>
      </c>
      <c r="E742" t="s">
        <v>1928</v>
      </c>
      <c r="F742" t="s">
        <v>1928</v>
      </c>
      <c r="G742" t="e">
        <f>VLOOKUP(E742,기본!$F$3:$G$320,2,0)</f>
        <v>#N/A</v>
      </c>
      <c r="H742" s="544">
        <v>24</v>
      </c>
      <c r="I742">
        <v>0.21804000000000001</v>
      </c>
    </row>
    <row r="743" spans="2:9">
      <c r="B743" s="545">
        <v>2</v>
      </c>
      <c r="C743" s="545" t="str">
        <f>VLOOKUP(D743,기본!$B$3:$C$90,2,0)</f>
        <v>코웨이</v>
      </c>
      <c r="D743" t="s">
        <v>1888</v>
      </c>
      <c r="E743" t="s">
        <v>224</v>
      </c>
      <c r="F743" t="s">
        <v>224</v>
      </c>
      <c r="G743" t="str">
        <f>VLOOKUP(E743,기본!$F$3:$G$320,2,0)</f>
        <v>기타</v>
      </c>
      <c r="H743" s="544">
        <v>0</v>
      </c>
      <c r="I743">
        <v>6.8655349999999995</v>
      </c>
    </row>
    <row r="744" spans="2:9">
      <c r="B744" s="545">
        <v>2</v>
      </c>
      <c r="C744" s="545" t="str">
        <f>VLOOKUP(D744,기본!$B$3:$C$90,2,0)</f>
        <v>코웨이</v>
      </c>
      <c r="D744" t="s">
        <v>1929</v>
      </c>
      <c r="E744" t="s">
        <v>1930</v>
      </c>
      <c r="F744" t="s">
        <v>1930</v>
      </c>
      <c r="G744" t="e">
        <f>VLOOKUP(E744,기본!$F$3:$G$320,2,0)</f>
        <v>#N/A</v>
      </c>
      <c r="H744" s="544">
        <v>2896</v>
      </c>
      <c r="I744">
        <v>52.885936000000001</v>
      </c>
    </row>
    <row r="745" spans="2:9">
      <c r="B745" s="545">
        <v>2</v>
      </c>
      <c r="C745" s="545" t="str">
        <f>VLOOKUP(D745,기본!$B$3:$C$90,2,0)</f>
        <v>코웨이</v>
      </c>
      <c r="D745" t="s">
        <v>1929</v>
      </c>
      <c r="E745" t="s">
        <v>1931</v>
      </c>
      <c r="F745" t="s">
        <v>1931</v>
      </c>
      <c r="G745" t="e">
        <f>VLOOKUP(E745,기본!$F$3:$G$320,2,0)</f>
        <v>#N/A</v>
      </c>
      <c r="H745" s="544">
        <v>100</v>
      </c>
      <c r="I745">
        <v>1.8535999999999999</v>
      </c>
    </row>
    <row r="746" spans="2:9">
      <c r="B746" s="545">
        <v>2</v>
      </c>
      <c r="C746" s="545" t="str">
        <f>VLOOKUP(D746,기본!$B$3:$C$90,2,0)</f>
        <v>코웨이</v>
      </c>
      <c r="D746" t="s">
        <v>1929</v>
      </c>
      <c r="E746" t="s">
        <v>2000</v>
      </c>
      <c r="F746" t="s">
        <v>2000</v>
      </c>
      <c r="G746" t="e">
        <f>VLOOKUP(E746,기본!$F$3:$G$320,2,0)</f>
        <v>#N/A</v>
      </c>
      <c r="H746" s="544">
        <v>1060</v>
      </c>
      <c r="I746">
        <v>39.373699999999999</v>
      </c>
    </row>
    <row r="747" spans="2:9">
      <c r="B747" s="545">
        <v>2</v>
      </c>
      <c r="C747" s="545" t="str">
        <f>VLOOKUP(D747,기본!$B$3:$C$90,2,0)</f>
        <v>코웨이</v>
      </c>
      <c r="D747" t="s">
        <v>1929</v>
      </c>
      <c r="E747" t="s">
        <v>2517</v>
      </c>
      <c r="F747" t="s">
        <v>2517</v>
      </c>
      <c r="G747" t="e">
        <f>VLOOKUP(E747,기본!$F$3:$G$320,2,0)</f>
        <v>#N/A</v>
      </c>
      <c r="H747" s="544">
        <v>96</v>
      </c>
      <c r="I747">
        <v>3.5913599999999999</v>
      </c>
    </row>
    <row r="748" spans="2:9">
      <c r="B748" s="545">
        <v>2</v>
      </c>
      <c r="C748" s="545" t="str">
        <f>VLOOKUP(D748,기본!$B$3:$C$90,2,0)</f>
        <v>코웨이</v>
      </c>
      <c r="D748" t="s">
        <v>1929</v>
      </c>
      <c r="E748" t="s">
        <v>2001</v>
      </c>
      <c r="F748" t="s">
        <v>2001</v>
      </c>
      <c r="G748" t="e">
        <f>VLOOKUP(E748,기본!$F$3:$G$320,2,0)</f>
        <v>#N/A</v>
      </c>
      <c r="H748" s="544">
        <v>1060</v>
      </c>
      <c r="I748">
        <v>11.56884</v>
      </c>
    </row>
    <row r="749" spans="2:9">
      <c r="B749" s="545">
        <v>2</v>
      </c>
      <c r="C749" s="545" t="str">
        <f>VLOOKUP(D749,기본!$B$3:$C$90,2,0)</f>
        <v>코웨이</v>
      </c>
      <c r="D749" t="s">
        <v>1929</v>
      </c>
      <c r="E749" t="s">
        <v>2518</v>
      </c>
      <c r="F749" t="s">
        <v>2518</v>
      </c>
      <c r="G749" t="e">
        <f>VLOOKUP(E749,기본!$F$3:$G$320,2,0)</f>
        <v>#N/A</v>
      </c>
      <c r="H749" s="544">
        <v>96</v>
      </c>
      <c r="I749">
        <v>1.0153920000000001</v>
      </c>
    </row>
    <row r="750" spans="2:9">
      <c r="B750" s="545">
        <v>2</v>
      </c>
      <c r="C750" s="545" t="str">
        <f>VLOOKUP(D750,기본!$B$3:$C$90,2,0)</f>
        <v>코웨이</v>
      </c>
      <c r="D750" t="s">
        <v>1929</v>
      </c>
      <c r="E750" t="s">
        <v>1488</v>
      </c>
      <c r="F750" t="s">
        <v>1488</v>
      </c>
      <c r="G750" t="e">
        <f>VLOOKUP(E750,기본!$F$3:$G$320,2,0)</f>
        <v>#N/A</v>
      </c>
      <c r="H750" s="544">
        <v>48</v>
      </c>
      <c r="I750">
        <v>0.36192000000000002</v>
      </c>
    </row>
    <row r="751" spans="2:9">
      <c r="B751" s="545">
        <v>2</v>
      </c>
      <c r="C751" s="545" t="str">
        <f>VLOOKUP(D751,기본!$B$3:$C$90,2,0)</f>
        <v>코웨이</v>
      </c>
      <c r="D751" t="s">
        <v>1929</v>
      </c>
      <c r="E751" t="s">
        <v>2021</v>
      </c>
      <c r="F751" t="s">
        <v>2021</v>
      </c>
      <c r="G751" t="e">
        <f>VLOOKUP(E751,기본!$F$3:$G$320,2,0)</f>
        <v>#N/A</v>
      </c>
      <c r="H751" s="544">
        <v>7696</v>
      </c>
      <c r="I751">
        <v>67.717104000000006</v>
      </c>
    </row>
    <row r="752" spans="2:9">
      <c r="B752" s="545">
        <v>2</v>
      </c>
      <c r="C752" s="545" t="str">
        <f>VLOOKUP(D752,기본!$B$3:$C$90,2,0)</f>
        <v>코웨이</v>
      </c>
      <c r="D752" t="s">
        <v>1929</v>
      </c>
      <c r="E752" t="s">
        <v>873</v>
      </c>
      <c r="F752" t="s">
        <v>873</v>
      </c>
      <c r="G752" t="e">
        <f>VLOOKUP(E752,기본!$F$3:$G$320,2,0)</f>
        <v>#N/A</v>
      </c>
      <c r="H752" s="544">
        <v>1588</v>
      </c>
      <c r="I752">
        <v>12.705587999999999</v>
      </c>
    </row>
    <row r="753" spans="2:9">
      <c r="B753" s="545">
        <v>2</v>
      </c>
      <c r="C753" s="545" t="str">
        <f>VLOOKUP(D753,기본!$B$3:$C$90,2,0)</f>
        <v>코웨이</v>
      </c>
      <c r="D753" t="s">
        <v>1929</v>
      </c>
      <c r="E753" t="s">
        <v>874</v>
      </c>
      <c r="F753" t="s">
        <v>874</v>
      </c>
      <c r="G753" t="e">
        <f>VLOOKUP(E753,기본!$F$3:$G$320,2,0)</f>
        <v>#N/A</v>
      </c>
      <c r="H753" s="544">
        <v>583</v>
      </c>
      <c r="I753">
        <v>11.415723</v>
      </c>
    </row>
    <row r="754" spans="2:9">
      <c r="B754" s="545">
        <v>2</v>
      </c>
      <c r="C754" s="545" t="str">
        <f>VLOOKUP(D754,기본!$B$3:$C$90,2,0)</f>
        <v>코웨이</v>
      </c>
      <c r="D754" t="s">
        <v>1929</v>
      </c>
      <c r="E754" t="s">
        <v>1932</v>
      </c>
      <c r="F754" t="s">
        <v>1932</v>
      </c>
      <c r="G754" t="e">
        <f>VLOOKUP(E754,기본!$F$3:$G$320,2,0)</f>
        <v>#N/A</v>
      </c>
      <c r="H754" s="544">
        <v>110</v>
      </c>
      <c r="I754">
        <v>2.2074800000000003</v>
      </c>
    </row>
    <row r="755" spans="2:9">
      <c r="B755" s="545">
        <v>2</v>
      </c>
      <c r="C755" s="545" t="str">
        <f>VLOOKUP(D755,기본!$B$3:$C$90,2,0)</f>
        <v>코웨이</v>
      </c>
      <c r="D755" t="s">
        <v>1929</v>
      </c>
      <c r="E755" t="s">
        <v>1933</v>
      </c>
      <c r="F755" t="s">
        <v>1933</v>
      </c>
      <c r="G755" t="e">
        <f>VLOOKUP(E755,기본!$F$3:$G$320,2,0)</f>
        <v>#N/A</v>
      </c>
      <c r="H755" s="544">
        <v>618</v>
      </c>
      <c r="I755">
        <v>10.357986</v>
      </c>
    </row>
    <row r="756" spans="2:9">
      <c r="B756" s="545">
        <v>2</v>
      </c>
      <c r="C756" s="545" t="str">
        <f>VLOOKUP(D756,기본!$B$3:$C$90,2,0)</f>
        <v>코웨이</v>
      </c>
      <c r="D756" t="s">
        <v>1929</v>
      </c>
      <c r="E756" t="s">
        <v>1935</v>
      </c>
      <c r="F756" t="s">
        <v>1935</v>
      </c>
      <c r="G756" t="e">
        <f>VLOOKUP(E756,기본!$F$3:$G$320,2,0)</f>
        <v>#N/A</v>
      </c>
      <c r="H756" s="544">
        <v>11815</v>
      </c>
      <c r="I756">
        <v>172.94297399999996</v>
      </c>
    </row>
    <row r="757" spans="2:9">
      <c r="B757" s="545">
        <v>2</v>
      </c>
      <c r="C757" s="545" t="str">
        <f>VLOOKUP(D757,기본!$B$3:$C$90,2,0)</f>
        <v>코웨이</v>
      </c>
      <c r="D757" t="s">
        <v>1929</v>
      </c>
      <c r="E757" t="s">
        <v>2163</v>
      </c>
      <c r="F757" t="s">
        <v>2163</v>
      </c>
      <c r="G757" t="e">
        <f>VLOOKUP(E757,기본!$F$3:$G$320,2,0)</f>
        <v>#N/A</v>
      </c>
      <c r="H757" s="544">
        <v>1439</v>
      </c>
      <c r="I757">
        <v>21.0167</v>
      </c>
    </row>
    <row r="758" spans="2:9">
      <c r="B758" s="545">
        <v>2</v>
      </c>
      <c r="C758" s="545" t="str">
        <f>VLOOKUP(D758,기본!$B$3:$C$90,2,0)</f>
        <v>코웨이</v>
      </c>
      <c r="D758" t="s">
        <v>1929</v>
      </c>
      <c r="E758" t="s">
        <v>1936</v>
      </c>
      <c r="F758" t="s">
        <v>1936</v>
      </c>
      <c r="G758" t="e">
        <f>VLOOKUP(E758,기본!$F$3:$G$320,2,0)</f>
        <v>#N/A</v>
      </c>
      <c r="H758" s="544">
        <v>382</v>
      </c>
      <c r="I758">
        <v>8.8287839999999989</v>
      </c>
    </row>
    <row r="759" spans="2:9">
      <c r="B759" s="545">
        <v>2</v>
      </c>
      <c r="C759" s="545" t="str">
        <f>VLOOKUP(D759,기본!$B$3:$C$90,2,0)</f>
        <v>코웨이</v>
      </c>
      <c r="D759" t="s">
        <v>1929</v>
      </c>
      <c r="E759" t="s">
        <v>1937</v>
      </c>
      <c r="F759" t="s">
        <v>1937</v>
      </c>
      <c r="G759" t="e">
        <f>VLOOKUP(E759,기본!$F$3:$G$320,2,0)</f>
        <v>#N/A</v>
      </c>
      <c r="H759" s="544">
        <v>830</v>
      </c>
      <c r="I759">
        <v>19.295628000000001</v>
      </c>
    </row>
    <row r="760" spans="2:9">
      <c r="B760" s="545">
        <v>2</v>
      </c>
      <c r="C760" s="545" t="str">
        <f>VLOOKUP(D760,기본!$B$3:$C$90,2,0)</f>
        <v>코웨이</v>
      </c>
      <c r="D760" t="s">
        <v>1929</v>
      </c>
      <c r="E760" t="s">
        <v>1938</v>
      </c>
      <c r="F760" t="s">
        <v>1938</v>
      </c>
      <c r="G760" t="e">
        <f>VLOOKUP(E760,기본!$F$3:$G$320,2,0)</f>
        <v>#N/A</v>
      </c>
      <c r="H760" s="544">
        <v>2560</v>
      </c>
      <c r="I760">
        <v>50.18112</v>
      </c>
    </row>
    <row r="761" spans="2:9">
      <c r="B761" s="545">
        <v>2</v>
      </c>
      <c r="C761" s="545" t="str">
        <f>VLOOKUP(D761,기본!$B$3:$C$90,2,0)</f>
        <v>코웨이</v>
      </c>
      <c r="D761" t="s">
        <v>1929</v>
      </c>
      <c r="E761" t="s">
        <v>2319</v>
      </c>
      <c r="F761" t="s">
        <v>2319</v>
      </c>
      <c r="G761" t="e">
        <f>VLOOKUP(E761,기본!$F$3:$G$320,2,0)</f>
        <v>#N/A</v>
      </c>
      <c r="H761" s="544">
        <v>3280</v>
      </c>
      <c r="I761">
        <v>63.914079999999991</v>
      </c>
    </row>
    <row r="762" spans="2:9">
      <c r="B762" s="545">
        <v>2</v>
      </c>
      <c r="C762" s="545" t="str">
        <f>VLOOKUP(D762,기본!$B$3:$C$90,2,0)</f>
        <v>코웨이</v>
      </c>
      <c r="D762" t="s">
        <v>1929</v>
      </c>
      <c r="E762" t="s">
        <v>2249</v>
      </c>
      <c r="F762" t="s">
        <v>2249</v>
      </c>
      <c r="G762" t="e">
        <f>VLOOKUP(E762,기본!$F$3:$G$320,2,0)</f>
        <v>#N/A</v>
      </c>
      <c r="H762" s="544">
        <v>3162</v>
      </c>
      <c r="I762">
        <v>23.282772000000001</v>
      </c>
    </row>
    <row r="763" spans="2:9">
      <c r="B763" s="545">
        <v>2</v>
      </c>
      <c r="C763" s="545" t="str">
        <f>VLOOKUP(D763,기본!$B$3:$C$90,2,0)</f>
        <v>코웨이</v>
      </c>
      <c r="D763" t="s">
        <v>1929</v>
      </c>
      <c r="E763" t="s">
        <v>2468</v>
      </c>
      <c r="F763" t="s">
        <v>2468</v>
      </c>
      <c r="G763" t="e">
        <f>VLOOKUP(E763,기본!$F$3:$G$320,2,0)</f>
        <v>#N/A</v>
      </c>
      <c r="H763" s="544">
        <v>9864</v>
      </c>
      <c r="I763">
        <v>53.968479999999992</v>
      </c>
    </row>
    <row r="764" spans="2:9">
      <c r="B764" s="545">
        <v>2</v>
      </c>
      <c r="C764" s="545" t="str">
        <f>VLOOKUP(D764,기본!$B$3:$C$90,2,0)</f>
        <v>코웨이</v>
      </c>
      <c r="D764" t="s">
        <v>1929</v>
      </c>
      <c r="E764" t="s">
        <v>2258</v>
      </c>
      <c r="F764" t="s">
        <v>2258</v>
      </c>
      <c r="G764" t="e">
        <f>VLOOKUP(E764,기본!$F$3:$G$320,2,0)</f>
        <v>#N/A</v>
      </c>
      <c r="H764" s="544">
        <v>3262</v>
      </c>
      <c r="I764">
        <v>65.050378000000009</v>
      </c>
    </row>
    <row r="765" spans="2:9">
      <c r="B765" s="545">
        <v>2</v>
      </c>
      <c r="C765" s="545" t="str">
        <f>VLOOKUP(D765,기본!$B$3:$C$90,2,0)</f>
        <v>코웨이</v>
      </c>
      <c r="D765" t="s">
        <v>1929</v>
      </c>
      <c r="E765" t="s">
        <v>2236</v>
      </c>
      <c r="F765" t="s">
        <v>2236</v>
      </c>
      <c r="G765" t="e">
        <f>VLOOKUP(E765,기본!$F$3:$G$320,2,0)</f>
        <v>#N/A</v>
      </c>
      <c r="H765" s="544">
        <v>2915</v>
      </c>
      <c r="I765">
        <v>80.305521999999996</v>
      </c>
    </row>
    <row r="766" spans="2:9">
      <c r="B766" s="545">
        <v>2</v>
      </c>
      <c r="C766" s="545" t="str">
        <f>VLOOKUP(D766,기본!$B$3:$C$90,2,0)</f>
        <v>코웨이</v>
      </c>
      <c r="D766" t="s">
        <v>1929</v>
      </c>
      <c r="E766" t="s">
        <v>1923</v>
      </c>
      <c r="F766" t="s">
        <v>1923</v>
      </c>
      <c r="G766" t="e">
        <f>VLOOKUP(E766,기본!$F$3:$G$320,2,0)</f>
        <v>#N/A</v>
      </c>
      <c r="H766" s="544">
        <v>2569</v>
      </c>
      <c r="I766">
        <v>85.511734000000004</v>
      </c>
    </row>
    <row r="767" spans="2:9">
      <c r="B767" s="545">
        <v>2</v>
      </c>
      <c r="C767" s="545" t="str">
        <f>VLOOKUP(D767,기본!$B$3:$C$90,2,0)</f>
        <v>코웨이</v>
      </c>
      <c r="D767" t="s">
        <v>1929</v>
      </c>
      <c r="E767" t="s">
        <v>1939</v>
      </c>
      <c r="F767" t="s">
        <v>1939</v>
      </c>
      <c r="G767" t="e">
        <f>VLOOKUP(E767,기본!$F$3:$G$320,2,0)</f>
        <v>#N/A</v>
      </c>
      <c r="H767" s="544">
        <v>486</v>
      </c>
      <c r="I767">
        <v>16.231428000000001</v>
      </c>
    </row>
    <row r="768" spans="2:9">
      <c r="B768" s="545">
        <v>2</v>
      </c>
      <c r="C768" s="545" t="str">
        <f>VLOOKUP(D768,기본!$B$3:$C$90,2,0)</f>
        <v>코웨이</v>
      </c>
      <c r="D768" t="s">
        <v>1929</v>
      </c>
      <c r="E768" t="s">
        <v>2002</v>
      </c>
      <c r="F768" t="s">
        <v>2002</v>
      </c>
      <c r="G768" t="e">
        <f>VLOOKUP(E768,기본!$F$3:$G$320,2,0)</f>
        <v>#N/A</v>
      </c>
      <c r="H768" s="544">
        <v>1514</v>
      </c>
      <c r="I768">
        <v>58.758340000000004</v>
      </c>
    </row>
    <row r="769" spans="2:9">
      <c r="B769" s="545">
        <v>2</v>
      </c>
      <c r="C769" s="545" t="str">
        <f>VLOOKUP(D769,기본!$B$3:$C$90,2,0)</f>
        <v>코웨이</v>
      </c>
      <c r="D769" t="s">
        <v>1941</v>
      </c>
      <c r="E769" t="s">
        <v>1892</v>
      </c>
      <c r="F769" t="s">
        <v>1892</v>
      </c>
      <c r="G769" t="e">
        <f>VLOOKUP(E769,기본!$F$3:$G$320,2,0)</f>
        <v>#N/A</v>
      </c>
      <c r="H769" s="544">
        <v>537</v>
      </c>
      <c r="I769">
        <v>4.4844869999999997</v>
      </c>
    </row>
    <row r="770" spans="2:9">
      <c r="B770" s="545">
        <v>2</v>
      </c>
      <c r="C770" s="545" t="str">
        <f>VLOOKUP(D770,기본!$B$3:$C$90,2,0)</f>
        <v>코웨이</v>
      </c>
      <c r="D770" t="s">
        <v>1941</v>
      </c>
      <c r="E770" t="s">
        <v>1047</v>
      </c>
      <c r="F770" t="s">
        <v>1047</v>
      </c>
      <c r="G770" t="e">
        <f>VLOOKUP(E770,기본!$F$3:$G$320,2,0)</f>
        <v>#N/A</v>
      </c>
      <c r="H770" s="544">
        <v>1710</v>
      </c>
      <c r="I770">
        <v>9.6803099999999986</v>
      </c>
    </row>
    <row r="771" spans="2:9">
      <c r="B771" s="545">
        <v>2</v>
      </c>
      <c r="C771" s="545" t="str">
        <f>VLOOKUP(D771,기본!$B$3:$C$90,2,0)</f>
        <v>코웨이</v>
      </c>
      <c r="D771" t="s">
        <v>1941</v>
      </c>
      <c r="E771" t="s">
        <v>1048</v>
      </c>
      <c r="F771" t="s">
        <v>1048</v>
      </c>
      <c r="G771" t="e">
        <f>VLOOKUP(E771,기본!$F$3:$G$320,2,0)</f>
        <v>#N/A</v>
      </c>
      <c r="H771" s="544">
        <v>1695</v>
      </c>
      <c r="I771">
        <v>5.5935000000000006</v>
      </c>
    </row>
    <row r="772" spans="2:9">
      <c r="B772" s="545">
        <v>2</v>
      </c>
      <c r="C772" s="545" t="str">
        <f>VLOOKUP(D772,기본!$B$3:$C$90,2,0)</f>
        <v>코웨이</v>
      </c>
      <c r="D772" t="s">
        <v>1941</v>
      </c>
      <c r="E772" t="s">
        <v>2519</v>
      </c>
      <c r="F772" t="s">
        <v>2519</v>
      </c>
      <c r="G772" t="e">
        <f>VLOOKUP(E772,기본!$F$3:$G$320,2,0)</f>
        <v>#N/A</v>
      </c>
      <c r="H772" s="544">
        <v>216</v>
      </c>
      <c r="I772">
        <v>2.7187920000000001</v>
      </c>
    </row>
    <row r="773" spans="2:9">
      <c r="B773" s="545">
        <v>2</v>
      </c>
      <c r="C773" s="545" t="str">
        <f>VLOOKUP(D773,기본!$B$3:$C$90,2,0)</f>
        <v>코웨이</v>
      </c>
      <c r="D773" t="s">
        <v>1941</v>
      </c>
      <c r="E773" t="s">
        <v>1942</v>
      </c>
      <c r="F773" t="s">
        <v>1942</v>
      </c>
      <c r="G773" t="e">
        <f>VLOOKUP(E773,기본!$F$3:$G$320,2,0)</f>
        <v>#N/A</v>
      </c>
      <c r="H773" s="544">
        <v>400</v>
      </c>
      <c r="I773">
        <v>3.8064</v>
      </c>
    </row>
    <row r="774" spans="2:9">
      <c r="B774" s="545">
        <v>2</v>
      </c>
      <c r="C774" s="545" t="str">
        <f>VLOOKUP(D774,기본!$B$3:$C$90,2,0)</f>
        <v>코웨이</v>
      </c>
      <c r="D774" t="s">
        <v>1941</v>
      </c>
      <c r="E774" t="s">
        <v>1043</v>
      </c>
      <c r="F774" t="s">
        <v>1043</v>
      </c>
      <c r="G774" t="e">
        <f>VLOOKUP(E774,기본!$F$3:$G$320,2,0)</f>
        <v>#N/A</v>
      </c>
      <c r="H774" s="544">
        <v>3121</v>
      </c>
      <c r="I774">
        <v>37.052512000000007</v>
      </c>
    </row>
    <row r="775" spans="2:9">
      <c r="B775" s="545">
        <v>2</v>
      </c>
      <c r="C775" s="545" t="str">
        <f>VLOOKUP(D775,기본!$B$3:$C$90,2,0)</f>
        <v>코웨이</v>
      </c>
      <c r="D775" t="s">
        <v>1941</v>
      </c>
      <c r="E775" t="s">
        <v>2061</v>
      </c>
      <c r="F775" t="s">
        <v>2061</v>
      </c>
      <c r="G775" t="e">
        <f>VLOOKUP(E775,기본!$F$3:$G$320,2,0)</f>
        <v>#N/A</v>
      </c>
      <c r="H775" s="544">
        <v>979</v>
      </c>
      <c r="I775">
        <v>17.029705</v>
      </c>
    </row>
    <row r="776" spans="2:9">
      <c r="B776" s="545">
        <v>2</v>
      </c>
      <c r="C776" s="545" t="str">
        <f>VLOOKUP(D776,기본!$B$3:$C$90,2,0)</f>
        <v>코웨이</v>
      </c>
      <c r="D776" t="s">
        <v>1941</v>
      </c>
      <c r="E776" t="s">
        <v>1925</v>
      </c>
      <c r="F776" t="s">
        <v>1925</v>
      </c>
      <c r="G776" t="e">
        <f>VLOOKUP(E776,기본!$F$3:$G$320,2,0)</f>
        <v>#N/A</v>
      </c>
      <c r="H776" s="544">
        <v>1710</v>
      </c>
      <c r="I776">
        <v>10.148849999999999</v>
      </c>
    </row>
    <row r="777" spans="2:9">
      <c r="B777" s="545">
        <v>2</v>
      </c>
      <c r="C777" s="545" t="str">
        <f>VLOOKUP(D777,기본!$B$3:$C$90,2,0)</f>
        <v>코웨이</v>
      </c>
      <c r="D777" t="s">
        <v>1943</v>
      </c>
      <c r="E777" t="s">
        <v>1944</v>
      </c>
      <c r="F777" t="s">
        <v>1944</v>
      </c>
      <c r="G777" t="e">
        <f>VLOOKUP(E777,기본!$F$3:$G$320,2,0)</f>
        <v>#N/A</v>
      </c>
      <c r="H777" s="544">
        <v>1606</v>
      </c>
      <c r="I777">
        <v>29.168171999999998</v>
      </c>
    </row>
    <row r="778" spans="2:9">
      <c r="B778" s="545">
        <v>2</v>
      </c>
      <c r="C778" s="545" t="str">
        <f>VLOOKUP(D778,기본!$B$3:$C$90,2,0)</f>
        <v>코웨이</v>
      </c>
      <c r="D778" t="s">
        <v>1943</v>
      </c>
      <c r="E778" t="s">
        <v>2249</v>
      </c>
      <c r="F778" t="s">
        <v>2249</v>
      </c>
      <c r="G778" t="e">
        <f>VLOOKUP(E778,기본!$F$3:$G$320,2,0)</f>
        <v>#N/A</v>
      </c>
      <c r="H778" s="544">
        <v>32</v>
      </c>
      <c r="I778">
        <v>0.23555200000000001</v>
      </c>
    </row>
    <row r="779" spans="2:9">
      <c r="B779" s="545">
        <v>2</v>
      </c>
      <c r="C779" s="545" t="str">
        <f>VLOOKUP(D779,기본!$B$3:$C$90,2,0)</f>
        <v>코웨이</v>
      </c>
      <c r="D779" t="s">
        <v>1943</v>
      </c>
      <c r="E779" t="s">
        <v>2258</v>
      </c>
      <c r="F779" t="s">
        <v>2258</v>
      </c>
      <c r="G779" t="e">
        <f>VLOOKUP(E779,기본!$F$3:$G$320,2,0)</f>
        <v>#N/A</v>
      </c>
      <c r="H779" s="544">
        <v>64</v>
      </c>
      <c r="I779">
        <v>1.2760959999999999</v>
      </c>
    </row>
    <row r="780" spans="2:9">
      <c r="B780" s="545">
        <v>2</v>
      </c>
      <c r="C780" s="545" t="str">
        <f>VLOOKUP(D780,기본!$B$3:$C$90,2,0)</f>
        <v>코웨이</v>
      </c>
      <c r="D780" t="s">
        <v>1943</v>
      </c>
      <c r="E780" t="s">
        <v>2236</v>
      </c>
      <c r="F780" t="s">
        <v>2236</v>
      </c>
      <c r="G780" t="e">
        <f>VLOOKUP(E780,기본!$F$3:$G$320,2,0)</f>
        <v>#N/A</v>
      </c>
      <c r="H780" s="544">
        <v>32</v>
      </c>
      <c r="I780">
        <v>0.88134400000000002</v>
      </c>
    </row>
    <row r="781" spans="2:9">
      <c r="B781" s="545">
        <v>2</v>
      </c>
      <c r="C781" s="545" t="str">
        <f>VLOOKUP(D781,기본!$B$3:$C$90,2,0)</f>
        <v>코웨이</v>
      </c>
      <c r="D781" t="s">
        <v>1943</v>
      </c>
      <c r="E781" t="s">
        <v>1923</v>
      </c>
      <c r="F781" t="s">
        <v>1923</v>
      </c>
      <c r="G781" t="e">
        <f>VLOOKUP(E781,기본!$F$3:$G$320,2,0)</f>
        <v>#N/A</v>
      </c>
      <c r="H781" s="544">
        <v>5228</v>
      </c>
      <c r="I781">
        <v>169.41334000000001</v>
      </c>
    </row>
    <row r="782" spans="2:9">
      <c r="B782" s="545">
        <v>2</v>
      </c>
      <c r="C782" s="545" t="str">
        <f>VLOOKUP(D782,기본!$B$3:$C$90,2,0)</f>
        <v>코웨이</v>
      </c>
      <c r="D782" t="s">
        <v>1943</v>
      </c>
      <c r="E782" t="s">
        <v>1939</v>
      </c>
      <c r="F782" t="s">
        <v>1939</v>
      </c>
      <c r="G782" t="e">
        <f>VLOOKUP(E782,기본!$F$3:$G$320,2,0)</f>
        <v>#N/A</v>
      </c>
      <c r="H782" s="544">
        <v>432</v>
      </c>
      <c r="I782">
        <v>14.044752000000001</v>
      </c>
    </row>
    <row r="783" spans="2:9">
      <c r="B783" s="545">
        <v>2</v>
      </c>
      <c r="C783" s="545" t="str">
        <f>VLOOKUP(D783,기본!$B$3:$C$90,2,0)</f>
        <v>삼성 생활가전</v>
      </c>
      <c r="D783" t="s">
        <v>1948</v>
      </c>
      <c r="E783" t="s">
        <v>2162</v>
      </c>
      <c r="F783" t="s">
        <v>2162</v>
      </c>
      <c r="G783" t="e">
        <f>VLOOKUP(E783,기본!$F$3:$G$320,2,0)</f>
        <v>#N/A</v>
      </c>
      <c r="H783" s="544">
        <v>120</v>
      </c>
      <c r="I783">
        <v>0.83879999999999999</v>
      </c>
    </row>
    <row r="784" spans="2:9">
      <c r="B784" s="545">
        <v>2</v>
      </c>
      <c r="C784" s="545" t="str">
        <f>VLOOKUP(D784,기본!$B$3:$C$90,2,0)</f>
        <v>코웨이</v>
      </c>
      <c r="D784" t="s">
        <v>2004</v>
      </c>
      <c r="E784" t="s">
        <v>1027</v>
      </c>
      <c r="F784" t="s">
        <v>1027</v>
      </c>
      <c r="G784" t="e">
        <f>VLOOKUP(E784,기본!$F$3:$G$320,2,0)</f>
        <v>#N/A</v>
      </c>
      <c r="H784" s="544">
        <v>3250</v>
      </c>
      <c r="I784">
        <v>18.593250000000001</v>
      </c>
    </row>
    <row r="785" spans="2:9">
      <c r="B785" s="545">
        <v>2</v>
      </c>
      <c r="C785" s="545" t="str">
        <f>VLOOKUP(D785,기본!$B$3:$C$90,2,0)</f>
        <v>코웨이</v>
      </c>
      <c r="D785" t="s">
        <v>2004</v>
      </c>
      <c r="E785" t="s">
        <v>1029</v>
      </c>
      <c r="F785" t="s">
        <v>1029</v>
      </c>
      <c r="G785" t="e">
        <f>VLOOKUP(E785,기본!$F$3:$G$320,2,0)</f>
        <v>#N/A</v>
      </c>
      <c r="H785" s="544">
        <v>3456</v>
      </c>
      <c r="I785">
        <v>5.1045119999999997</v>
      </c>
    </row>
    <row r="786" spans="2:9">
      <c r="B786" s="545">
        <v>2</v>
      </c>
      <c r="C786" s="545" t="str">
        <f>VLOOKUP(D786,기본!$B$3:$C$90,2,0)</f>
        <v>한화비전</v>
      </c>
      <c r="D786" t="s">
        <v>1949</v>
      </c>
      <c r="E786" t="s">
        <v>1812</v>
      </c>
      <c r="F786" t="s">
        <v>1813</v>
      </c>
      <c r="G786" t="e">
        <f>VLOOKUP(E786,기본!$F$3:$G$320,2,0)</f>
        <v>#N/A</v>
      </c>
      <c r="H786" s="544">
        <v>648</v>
      </c>
      <c r="I786">
        <v>24.409486080000001</v>
      </c>
    </row>
    <row r="787" spans="2:9">
      <c r="B787" s="545">
        <v>3</v>
      </c>
      <c r="C787" s="545" t="str">
        <f>VLOOKUP(D787,기본!$B$3:$C$90,2,0)</f>
        <v>AV JDM</v>
      </c>
      <c r="D787" t="s">
        <v>2327</v>
      </c>
      <c r="E787" t="s">
        <v>1775</v>
      </c>
      <c r="F787" t="s">
        <v>1621</v>
      </c>
      <c r="G787" t="e">
        <f>VLOOKUP(E787,기본!$F$3:$G$320,2,0)</f>
        <v>#N/A</v>
      </c>
      <c r="H787" s="544">
        <v>19840</v>
      </c>
      <c r="I787">
        <v>195.27842399999997</v>
      </c>
    </row>
    <row r="788" spans="2:9">
      <c r="B788" s="545">
        <v>3</v>
      </c>
      <c r="C788" s="545" t="str">
        <f>VLOOKUP(D788,기본!$B$3:$C$90,2,0)</f>
        <v>AV JDM</v>
      </c>
      <c r="D788" t="s">
        <v>2327</v>
      </c>
      <c r="E788" t="s">
        <v>1961</v>
      </c>
      <c r="F788" t="s">
        <v>1962</v>
      </c>
      <c r="G788" t="e">
        <f>VLOOKUP(E788,기본!$F$3:$G$320,2,0)</f>
        <v>#N/A</v>
      </c>
      <c r="H788" s="544">
        <v>2640</v>
      </c>
      <c r="I788">
        <v>27.997157399999999</v>
      </c>
    </row>
    <row r="789" spans="2:9">
      <c r="B789" s="545">
        <v>3</v>
      </c>
      <c r="C789" s="545" t="str">
        <f>VLOOKUP(D789,기본!$B$3:$C$90,2,0)</f>
        <v>AV JDM</v>
      </c>
      <c r="D789" t="s">
        <v>2327</v>
      </c>
      <c r="E789" t="s">
        <v>1597</v>
      </c>
      <c r="F789" t="s">
        <v>1597</v>
      </c>
      <c r="G789" t="str">
        <f>VLOOKUP(E789,기본!$F$3:$G$320,2,0)</f>
        <v>MNT</v>
      </c>
      <c r="H789" s="544">
        <v>15344</v>
      </c>
      <c r="I789">
        <v>132.88776256</v>
      </c>
    </row>
    <row r="790" spans="2:9">
      <c r="B790" s="545">
        <v>3</v>
      </c>
      <c r="C790" s="545" t="str">
        <f>VLOOKUP(D790,기본!$B$3:$C$90,2,0)</f>
        <v>AV JDM</v>
      </c>
      <c r="D790" t="s">
        <v>2327</v>
      </c>
      <c r="E790" t="s">
        <v>1599</v>
      </c>
      <c r="F790" t="s">
        <v>1599</v>
      </c>
      <c r="G790" t="str">
        <f>VLOOKUP(E790,기본!$F$3:$G$320,2,0)</f>
        <v>MNT</v>
      </c>
      <c r="H790" s="544">
        <v>3192</v>
      </c>
      <c r="I790">
        <v>29.955380000000002</v>
      </c>
    </row>
    <row r="791" spans="2:9">
      <c r="B791" s="545">
        <v>3</v>
      </c>
      <c r="C791" s="545" t="str">
        <f>VLOOKUP(D791,기본!$B$3:$C$90,2,0)</f>
        <v>AV JDM</v>
      </c>
      <c r="D791" t="s">
        <v>2327</v>
      </c>
      <c r="E791" t="s">
        <v>1600</v>
      </c>
      <c r="F791" t="s">
        <v>1600</v>
      </c>
      <c r="G791" t="e">
        <f>VLOOKUP(E791,기본!$F$3:$G$320,2,0)</f>
        <v>#N/A</v>
      </c>
      <c r="H791" s="544">
        <v>2128</v>
      </c>
      <c r="I791">
        <v>20.845574119999998</v>
      </c>
    </row>
    <row r="792" spans="2:9">
      <c r="B792" s="545">
        <v>3</v>
      </c>
      <c r="C792" s="545" t="str">
        <f>VLOOKUP(D792,기본!$B$3:$C$90,2,0)</f>
        <v>AV JDM</v>
      </c>
      <c r="D792" t="s">
        <v>2327</v>
      </c>
      <c r="E792" t="s">
        <v>1601</v>
      </c>
      <c r="F792" t="s">
        <v>1601</v>
      </c>
      <c r="G792" t="str">
        <f>VLOOKUP(E792,기본!$F$3:$G$320,2,0)</f>
        <v>MNT</v>
      </c>
      <c r="H792" s="544">
        <v>1156</v>
      </c>
      <c r="I792">
        <v>11.847895680000001</v>
      </c>
    </row>
    <row r="793" spans="2:9">
      <c r="B793" s="545">
        <v>3</v>
      </c>
      <c r="C793" s="545" t="str">
        <f>VLOOKUP(D793,기본!$B$3:$C$90,2,0)</f>
        <v>AV JDM</v>
      </c>
      <c r="D793" t="s">
        <v>2327</v>
      </c>
      <c r="E793" t="s">
        <v>1598</v>
      </c>
      <c r="F793" t="s">
        <v>1598</v>
      </c>
      <c r="G793" t="e">
        <f>VLOOKUP(E793,기본!$F$3:$G$320,2,0)</f>
        <v>#N/A</v>
      </c>
      <c r="H793" s="544">
        <v>560</v>
      </c>
      <c r="I793">
        <v>5.1516696</v>
      </c>
    </row>
    <row r="794" spans="2:9">
      <c r="B794" s="545">
        <v>3</v>
      </c>
      <c r="C794" s="545" t="str">
        <f>VLOOKUP(D794,기본!$B$3:$C$90,2,0)</f>
        <v>AV JDM</v>
      </c>
      <c r="D794" t="s">
        <v>2327</v>
      </c>
      <c r="E794" t="s">
        <v>2005</v>
      </c>
      <c r="F794" t="s">
        <v>2005</v>
      </c>
      <c r="G794" t="e">
        <f>VLOOKUP(E794,기본!$F$3:$G$320,2,0)</f>
        <v>#N/A</v>
      </c>
      <c r="H794" s="544">
        <v>392</v>
      </c>
      <c r="I794">
        <v>3.9275936000000007</v>
      </c>
    </row>
    <row r="795" spans="2:9">
      <c r="B795" s="545">
        <v>3</v>
      </c>
      <c r="C795" s="545" t="str">
        <f>VLOOKUP(D795,기본!$B$3:$C$90,2,0)</f>
        <v>AV JDM</v>
      </c>
      <c r="D795" t="s">
        <v>2327</v>
      </c>
      <c r="E795" t="s">
        <v>2524</v>
      </c>
      <c r="F795" t="s">
        <v>2524</v>
      </c>
      <c r="G795" t="e">
        <f>VLOOKUP(E795,기본!$F$3:$G$320,2,0)</f>
        <v>#N/A</v>
      </c>
      <c r="H795" s="544">
        <v>56</v>
      </c>
      <c r="I795">
        <v>0.57419039999999999</v>
      </c>
    </row>
    <row r="796" spans="2:9">
      <c r="B796" s="545">
        <v>3</v>
      </c>
      <c r="C796" s="545" t="str">
        <f>VLOOKUP(D796,기본!$B$3:$C$90,2,0)</f>
        <v>AV JDM</v>
      </c>
      <c r="D796" t="s">
        <v>2327</v>
      </c>
      <c r="E796" t="s">
        <v>1776</v>
      </c>
      <c r="F796" t="s">
        <v>1287</v>
      </c>
      <c r="G796" t="e">
        <f>VLOOKUP(E796,기본!$F$3:$G$320,2,0)</f>
        <v>#N/A</v>
      </c>
      <c r="H796" s="544">
        <v>8148</v>
      </c>
      <c r="I796">
        <v>92.34783129600001</v>
      </c>
    </row>
    <row r="797" spans="2:9">
      <c r="B797" s="545">
        <v>3</v>
      </c>
      <c r="C797" s="545" t="str">
        <f>VLOOKUP(D797,기본!$B$3:$C$90,2,0)</f>
        <v>AV JDM</v>
      </c>
      <c r="D797" t="s">
        <v>2327</v>
      </c>
      <c r="E797" t="s">
        <v>1777</v>
      </c>
      <c r="F797" t="s">
        <v>1283</v>
      </c>
      <c r="G797" t="e">
        <f>VLOOKUP(E797,기본!$F$3:$G$320,2,0)</f>
        <v>#N/A</v>
      </c>
      <c r="H797" s="544">
        <v>24720</v>
      </c>
      <c r="I797">
        <v>247.70859439999998</v>
      </c>
    </row>
    <row r="798" spans="2:9">
      <c r="B798" s="545">
        <v>3</v>
      </c>
      <c r="C798" s="545" t="str">
        <f>VLOOKUP(D798,기본!$B$3:$C$90,2,0)</f>
        <v>AV JDM</v>
      </c>
      <c r="D798" t="s">
        <v>2327</v>
      </c>
      <c r="E798" t="s">
        <v>2480</v>
      </c>
      <c r="F798" t="s">
        <v>1284</v>
      </c>
      <c r="G798" t="e">
        <f>VLOOKUP(E798,기본!$F$3:$G$320,2,0)</f>
        <v>#N/A</v>
      </c>
      <c r="H798" s="544">
        <v>2280</v>
      </c>
      <c r="I798">
        <v>25.157491799999999</v>
      </c>
    </row>
    <row r="799" spans="2:9">
      <c r="B799" s="545">
        <v>3</v>
      </c>
      <c r="C799" s="545" t="str">
        <f>VLOOKUP(D799,기본!$B$3:$C$90,2,0)</f>
        <v>AV JDM</v>
      </c>
      <c r="D799" t="s">
        <v>2327</v>
      </c>
      <c r="E799" t="s">
        <v>973</v>
      </c>
      <c r="F799" t="s">
        <v>973</v>
      </c>
      <c r="G799" t="e">
        <f>VLOOKUP(E799,기본!$F$3:$G$320,2,0)</f>
        <v>#N/A</v>
      </c>
      <c r="H799" s="544">
        <v>10816</v>
      </c>
      <c r="I799">
        <v>99.342855935999992</v>
      </c>
    </row>
    <row r="800" spans="2:9">
      <c r="B800" s="545">
        <v>3</v>
      </c>
      <c r="C800" s="545" t="str">
        <f>VLOOKUP(D800,기본!$B$3:$C$90,2,0)</f>
        <v>AV JDM</v>
      </c>
      <c r="D800" t="s">
        <v>2327</v>
      </c>
      <c r="E800" t="s">
        <v>2026</v>
      </c>
      <c r="F800" t="s">
        <v>2026</v>
      </c>
      <c r="G800" t="str">
        <f>VLOOKUP(E800,기본!$F$3:$G$320,2,0)</f>
        <v>AV</v>
      </c>
      <c r="H800" s="544">
        <v>7575</v>
      </c>
      <c r="I800">
        <v>73.474530999999999</v>
      </c>
    </row>
    <row r="801" spans="2:9">
      <c r="B801" s="545">
        <v>3</v>
      </c>
      <c r="C801" s="545" t="str">
        <f>VLOOKUP(D801,기본!$B$3:$C$90,2,0)</f>
        <v>AV JDM</v>
      </c>
      <c r="D801" t="s">
        <v>2327</v>
      </c>
      <c r="E801" t="s">
        <v>2175</v>
      </c>
      <c r="F801" t="s">
        <v>2175</v>
      </c>
      <c r="G801" t="str">
        <f>VLOOKUP(E801,기본!$F$3:$G$320,2,0)</f>
        <v>AV</v>
      </c>
      <c r="H801" s="544">
        <v>65</v>
      </c>
      <c r="I801">
        <v>0.65843569999999996</v>
      </c>
    </row>
    <row r="802" spans="2:9">
      <c r="B802" s="545">
        <v>3</v>
      </c>
      <c r="C802" s="545" t="str">
        <f>VLOOKUP(D802,기본!$B$3:$C$90,2,0)</f>
        <v>AV JDM</v>
      </c>
      <c r="D802" t="s">
        <v>2327</v>
      </c>
      <c r="E802" t="s">
        <v>963</v>
      </c>
      <c r="F802" t="s">
        <v>963</v>
      </c>
      <c r="G802" t="e">
        <f>VLOOKUP(E802,기본!$F$3:$G$320,2,0)</f>
        <v>#N/A</v>
      </c>
      <c r="H802" s="544">
        <v>6000</v>
      </c>
      <c r="I802">
        <v>69.751469999999998</v>
      </c>
    </row>
    <row r="803" spans="2:9">
      <c r="B803" s="545">
        <v>3</v>
      </c>
      <c r="C803" s="545" t="str">
        <f>VLOOKUP(D803,기본!$B$3:$C$90,2,0)</f>
        <v>AV JDM</v>
      </c>
      <c r="D803" t="s">
        <v>2327</v>
      </c>
      <c r="E803" t="s">
        <v>2027</v>
      </c>
      <c r="F803" t="s">
        <v>2027</v>
      </c>
      <c r="G803" t="str">
        <f>VLOOKUP(E803,기본!$F$3:$G$320,2,0)</f>
        <v>AV</v>
      </c>
      <c r="H803" s="544">
        <v>7695</v>
      </c>
      <c r="I803">
        <v>98.482753800000012</v>
      </c>
    </row>
    <row r="804" spans="2:9">
      <c r="B804" s="545">
        <v>3</v>
      </c>
      <c r="C804" s="545" t="str">
        <f>VLOOKUP(D804,기본!$B$3:$C$90,2,0)</f>
        <v>삼성 VD</v>
      </c>
      <c r="D804" t="s">
        <v>1778</v>
      </c>
      <c r="E804" t="s">
        <v>1792</v>
      </c>
      <c r="F804" t="s">
        <v>1793</v>
      </c>
      <c r="G804" t="str">
        <f>VLOOKUP(E804,기본!$F$3:$G$320,2,0)</f>
        <v>TV</v>
      </c>
      <c r="H804" s="544">
        <v>3473</v>
      </c>
      <c r="I804">
        <v>54.393846688000011</v>
      </c>
    </row>
    <row r="805" spans="2:9">
      <c r="B805" s="545">
        <v>3</v>
      </c>
      <c r="C805" s="545" t="str">
        <f>VLOOKUP(D805,기본!$B$3:$C$90,2,0)</f>
        <v>삼성 VD</v>
      </c>
      <c r="D805" t="s">
        <v>1778</v>
      </c>
      <c r="E805" t="s">
        <v>1262</v>
      </c>
      <c r="F805" t="s">
        <v>1261</v>
      </c>
      <c r="G805" t="str">
        <f>VLOOKUP(E805,기본!$F$3:$G$320,2,0)</f>
        <v>MNT</v>
      </c>
      <c r="H805" s="544">
        <v>24</v>
      </c>
      <c r="I805">
        <v>0.566166744</v>
      </c>
    </row>
    <row r="806" spans="2:9">
      <c r="B806" s="545">
        <v>3</v>
      </c>
      <c r="C806" s="545" t="str">
        <f>VLOOKUP(D806,기본!$B$3:$C$90,2,0)</f>
        <v>삼성 VD</v>
      </c>
      <c r="D806" t="s">
        <v>1778</v>
      </c>
      <c r="E806" t="s">
        <v>1787</v>
      </c>
      <c r="F806" t="s">
        <v>1788</v>
      </c>
      <c r="G806" t="str">
        <f>VLOOKUP(E806,기본!$F$3:$G$320,2,0)</f>
        <v>MNT</v>
      </c>
      <c r="H806" s="544">
        <v>2688</v>
      </c>
      <c r="I806">
        <v>108.06345216000001</v>
      </c>
    </row>
    <row r="807" spans="2:9">
      <c r="B807" s="545">
        <v>3</v>
      </c>
      <c r="C807" s="545" t="str">
        <f>VLOOKUP(D807,기본!$B$3:$C$90,2,0)</f>
        <v>삼성 VD</v>
      </c>
      <c r="D807" t="s">
        <v>1778</v>
      </c>
      <c r="E807" t="s">
        <v>1721</v>
      </c>
      <c r="F807" t="s">
        <v>1612</v>
      </c>
      <c r="G807" t="str">
        <f>VLOOKUP(E807,기본!$F$3:$G$320,2,0)</f>
        <v>TV</v>
      </c>
      <c r="H807" s="544">
        <v>960</v>
      </c>
      <c r="I807">
        <v>11.1676752</v>
      </c>
    </row>
    <row r="808" spans="2:9">
      <c r="B808" s="545">
        <v>3</v>
      </c>
      <c r="C808" s="545" t="str">
        <f>VLOOKUP(D808,기본!$B$3:$C$90,2,0)</f>
        <v>삼성 VD</v>
      </c>
      <c r="D808" t="s">
        <v>1778</v>
      </c>
      <c r="E808" t="s">
        <v>1723</v>
      </c>
      <c r="F808" t="s">
        <v>1821</v>
      </c>
      <c r="G808" t="str">
        <f>VLOOKUP(E808,기본!$F$3:$G$320,2,0)</f>
        <v>TV</v>
      </c>
      <c r="H808" s="544">
        <v>7680</v>
      </c>
      <c r="I808">
        <v>97.516231680000004</v>
      </c>
    </row>
    <row r="809" spans="2:9">
      <c r="B809" s="545">
        <v>3</v>
      </c>
      <c r="C809" s="545" t="str">
        <f>VLOOKUP(D809,기본!$B$3:$C$90,2,0)</f>
        <v>삼성 VD</v>
      </c>
      <c r="D809" t="s">
        <v>1778</v>
      </c>
      <c r="E809" t="s">
        <v>1727</v>
      </c>
      <c r="F809" t="s">
        <v>1823</v>
      </c>
      <c r="G809" t="str">
        <f>VLOOKUP(E809,기본!$F$3:$G$320,2,0)</f>
        <v>TV</v>
      </c>
      <c r="H809" s="544">
        <v>40</v>
      </c>
      <c r="I809">
        <v>0.73035165999999996</v>
      </c>
    </row>
    <row r="810" spans="2:9">
      <c r="B810" s="545">
        <v>3</v>
      </c>
      <c r="C810" s="545" t="str">
        <f>VLOOKUP(D810,기본!$B$3:$C$90,2,0)</f>
        <v>삼성 VD</v>
      </c>
      <c r="D810" t="s">
        <v>1778</v>
      </c>
      <c r="E810" t="s">
        <v>2051</v>
      </c>
      <c r="F810" t="s">
        <v>2020</v>
      </c>
      <c r="G810" t="str">
        <f>VLOOKUP(E810,기본!$F$3:$G$320,2,0)</f>
        <v>MNT</v>
      </c>
      <c r="H810" s="544">
        <v>42537</v>
      </c>
      <c r="I810">
        <v>233.12636876100001</v>
      </c>
    </row>
    <row r="811" spans="2:9">
      <c r="B811" s="545">
        <v>3</v>
      </c>
      <c r="C811" s="545" t="str">
        <f>VLOOKUP(D811,기본!$B$3:$C$90,2,0)</f>
        <v>삼성 VD</v>
      </c>
      <c r="D811" t="s">
        <v>1778</v>
      </c>
      <c r="E811" t="s">
        <v>2106</v>
      </c>
      <c r="F811" t="s">
        <v>1748</v>
      </c>
      <c r="G811" t="str">
        <f>VLOOKUP(E811,기본!$F$3:$G$320,2,0)</f>
        <v>MNT</v>
      </c>
      <c r="H811" s="544">
        <v>576</v>
      </c>
      <c r="I811">
        <v>6.6894219360000005</v>
      </c>
    </row>
    <row r="812" spans="2:9">
      <c r="B812" s="545">
        <v>3</v>
      </c>
      <c r="C812" s="545" t="str">
        <f>VLOOKUP(D812,기본!$B$3:$C$90,2,0)</f>
        <v>삼성 VD</v>
      </c>
      <c r="D812" t="s">
        <v>1778</v>
      </c>
      <c r="E812" t="s">
        <v>2070</v>
      </c>
      <c r="F812" t="s">
        <v>1746</v>
      </c>
      <c r="G812" t="str">
        <f>VLOOKUP(E812,기본!$F$3:$G$320,2,0)</f>
        <v>MNT</v>
      </c>
      <c r="H812" s="544">
        <v>14976</v>
      </c>
      <c r="I812">
        <v>107.32369492799998</v>
      </c>
    </row>
    <row r="813" spans="2:9">
      <c r="B813" s="545">
        <v>3</v>
      </c>
      <c r="C813" s="545" t="str">
        <f>VLOOKUP(D813,기본!$B$3:$C$90,2,0)</f>
        <v>삼성 VD</v>
      </c>
      <c r="D813" t="s">
        <v>1778</v>
      </c>
      <c r="E813" t="s">
        <v>2414</v>
      </c>
      <c r="F813" t="s">
        <v>2415</v>
      </c>
      <c r="G813" t="str">
        <f>VLOOKUP(E813,기본!$F$3:$G$320,2,0)</f>
        <v>TV</v>
      </c>
      <c r="H813" s="544">
        <v>36540</v>
      </c>
      <c r="I813">
        <v>492.16676040000004</v>
      </c>
    </row>
    <row r="814" spans="2:9">
      <c r="B814" s="545">
        <v>3</v>
      </c>
      <c r="C814" s="545" t="str">
        <f>VLOOKUP(D814,기본!$B$3:$C$90,2,0)</f>
        <v>삼성 VD</v>
      </c>
      <c r="D814" t="s">
        <v>1778</v>
      </c>
      <c r="E814" t="s">
        <v>2443</v>
      </c>
      <c r="F814" t="s">
        <v>2440</v>
      </c>
      <c r="G814" t="str">
        <f>VLOOKUP(E814,기본!$F$3:$G$320,2,0)</f>
        <v>TV</v>
      </c>
      <c r="H814" s="544">
        <v>21105</v>
      </c>
      <c r="I814">
        <v>488.36363467499996</v>
      </c>
    </row>
    <row r="815" spans="2:9">
      <c r="B815" s="545">
        <v>3</v>
      </c>
      <c r="C815" s="545" t="str">
        <f>VLOOKUP(D815,기본!$B$3:$C$90,2,0)</f>
        <v>삼성 VD</v>
      </c>
      <c r="D815" t="s">
        <v>1778</v>
      </c>
      <c r="E815" t="s">
        <v>1789</v>
      </c>
      <c r="F815" t="s">
        <v>2470</v>
      </c>
      <c r="G815" t="str">
        <f>VLOOKUP(E815,기본!$F$3:$G$320,2,0)</f>
        <v>MNT</v>
      </c>
      <c r="H815" s="544">
        <v>1260</v>
      </c>
      <c r="I815">
        <v>10.528576128000001</v>
      </c>
    </row>
    <row r="816" spans="2:9">
      <c r="B816" s="545">
        <v>3</v>
      </c>
      <c r="C816" s="545" t="str">
        <f>VLOOKUP(D816,기본!$B$3:$C$90,2,0)</f>
        <v>삼성 VD</v>
      </c>
      <c r="D816" t="s">
        <v>1778</v>
      </c>
      <c r="E816" t="s">
        <v>2010</v>
      </c>
      <c r="F816" t="s">
        <v>2011</v>
      </c>
      <c r="G816" t="str">
        <f>VLOOKUP(E816,기본!$F$3:$G$320,2,0)</f>
        <v>MNT</v>
      </c>
      <c r="H816" s="544">
        <v>13596</v>
      </c>
      <c r="I816">
        <v>65.186382491999993</v>
      </c>
    </row>
    <row r="817" spans="2:9">
      <c r="B817" s="545">
        <v>3</v>
      </c>
      <c r="C817" s="545" t="str">
        <f>VLOOKUP(D817,기본!$B$3:$C$90,2,0)</f>
        <v>삼성 VD</v>
      </c>
      <c r="D817" t="s">
        <v>1791</v>
      </c>
      <c r="E817" t="s">
        <v>1781</v>
      </c>
      <c r="F817" t="s">
        <v>1782</v>
      </c>
      <c r="G817" t="str">
        <f>VLOOKUP(E817,기본!$F$3:$G$320,2,0)</f>
        <v>TV</v>
      </c>
      <c r="H817" s="544">
        <v>150</v>
      </c>
      <c r="I817">
        <v>2.0649572999999997</v>
      </c>
    </row>
    <row r="818" spans="2:9">
      <c r="B818" s="545">
        <v>3</v>
      </c>
      <c r="C818" s="545" t="str">
        <f>VLOOKUP(D818,기본!$B$3:$C$90,2,0)</f>
        <v>삼성 VD</v>
      </c>
      <c r="D818" t="s">
        <v>1791</v>
      </c>
      <c r="E818" t="s">
        <v>1792</v>
      </c>
      <c r="F818" t="s">
        <v>1793</v>
      </c>
      <c r="G818" t="str">
        <f>VLOOKUP(E818,기본!$F$3:$G$320,2,0)</f>
        <v>TV</v>
      </c>
      <c r="H818" s="544">
        <v>2438</v>
      </c>
      <c r="I818">
        <v>38.199646830000006</v>
      </c>
    </row>
    <row r="819" spans="2:9">
      <c r="B819" s="545">
        <v>3</v>
      </c>
      <c r="C819" s="545" t="str">
        <f>VLOOKUP(D819,기본!$B$3:$C$90,2,0)</f>
        <v>삼성 VD</v>
      </c>
      <c r="D819" t="s">
        <v>1791</v>
      </c>
      <c r="E819" t="s">
        <v>2414</v>
      </c>
      <c r="F819" t="s">
        <v>2415</v>
      </c>
      <c r="G819" t="str">
        <f>VLOOKUP(E819,기본!$F$3:$G$320,2,0)</f>
        <v>TV</v>
      </c>
      <c r="H819" s="544">
        <v>42</v>
      </c>
      <c r="I819">
        <v>0.54847674000000002</v>
      </c>
    </row>
    <row r="820" spans="2:9">
      <c r="B820" s="545">
        <v>3</v>
      </c>
      <c r="C820" s="545" t="str">
        <f>VLOOKUP(D820,기본!$B$3:$C$90,2,0)</f>
        <v>삼성 VD</v>
      </c>
      <c r="D820" t="s">
        <v>1791</v>
      </c>
      <c r="E820" t="s">
        <v>2442</v>
      </c>
      <c r="F820" t="s">
        <v>2439</v>
      </c>
      <c r="G820" t="str">
        <f>VLOOKUP(E820,기본!$F$3:$G$320,2,0)</f>
        <v>TV</v>
      </c>
      <c r="H820" s="544">
        <v>3822</v>
      </c>
      <c r="I820">
        <v>52.421711160000001</v>
      </c>
    </row>
    <row r="821" spans="2:9">
      <c r="B821" s="545">
        <v>3</v>
      </c>
      <c r="C821" s="545" t="str">
        <f>VLOOKUP(D821,기본!$B$3:$C$90,2,0)</f>
        <v>삼성 VD</v>
      </c>
      <c r="D821" t="s">
        <v>1797</v>
      </c>
      <c r="E821" t="s">
        <v>1712</v>
      </c>
      <c r="F821" t="s">
        <v>1613</v>
      </c>
      <c r="G821" t="str">
        <f>VLOOKUP(E821,기본!$F$3:$G$320,2,0)</f>
        <v>TV</v>
      </c>
      <c r="H821" s="544">
        <v>61000</v>
      </c>
      <c r="I821">
        <v>749.82519611999999</v>
      </c>
    </row>
    <row r="822" spans="2:9">
      <c r="B822" s="545">
        <v>3</v>
      </c>
      <c r="C822" s="545" t="str">
        <f>VLOOKUP(D822,기본!$B$3:$C$90,2,0)</f>
        <v>삼성 VD</v>
      </c>
      <c r="D822" t="s">
        <v>1797</v>
      </c>
      <c r="E822" t="s">
        <v>1713</v>
      </c>
      <c r="F822" t="s">
        <v>1827</v>
      </c>
      <c r="G822" t="str">
        <f>VLOOKUP(E822,기본!$F$3:$G$320,2,0)</f>
        <v>TV</v>
      </c>
      <c r="H822" s="544">
        <v>2760</v>
      </c>
      <c r="I822">
        <v>38.203116359999996</v>
      </c>
    </row>
    <row r="823" spans="2:9">
      <c r="B823" s="545">
        <v>3</v>
      </c>
      <c r="C823" s="545" t="str">
        <f>VLOOKUP(D823,기본!$B$3:$C$90,2,0)</f>
        <v>삼성 VD</v>
      </c>
      <c r="D823" t="s">
        <v>1797</v>
      </c>
      <c r="E823" t="s">
        <v>1714</v>
      </c>
      <c r="F823" t="s">
        <v>1828</v>
      </c>
      <c r="G823" t="str">
        <f>VLOOKUP(E823,기본!$F$3:$G$320,2,0)</f>
        <v>TV</v>
      </c>
      <c r="H823" s="544">
        <v>504</v>
      </c>
      <c r="I823">
        <v>7.7417306999999997</v>
      </c>
    </row>
    <row r="824" spans="2:9">
      <c r="B824" s="545">
        <v>3</v>
      </c>
      <c r="C824" s="545" t="str">
        <f>VLOOKUP(D824,기본!$B$3:$C$90,2,0)</f>
        <v>삼성 VD</v>
      </c>
      <c r="D824" t="s">
        <v>1797</v>
      </c>
      <c r="E824" t="s">
        <v>2441</v>
      </c>
      <c r="F824" t="s">
        <v>2438</v>
      </c>
      <c r="G824" t="str">
        <f>VLOOKUP(E824,기본!$F$3:$G$320,2,0)</f>
        <v>TV</v>
      </c>
      <c r="H824" s="544">
        <v>8714</v>
      </c>
      <c r="I824">
        <v>118.58024807999999</v>
      </c>
    </row>
    <row r="825" spans="2:9">
      <c r="B825" s="545">
        <v>3</v>
      </c>
      <c r="C825" s="545" t="str">
        <f>VLOOKUP(D825,기본!$B$3:$C$90,2,0)</f>
        <v>삼성 VD</v>
      </c>
      <c r="D825" t="s">
        <v>1797</v>
      </c>
      <c r="E825" t="s">
        <v>2443</v>
      </c>
      <c r="F825" t="s">
        <v>2440</v>
      </c>
      <c r="G825" t="str">
        <f>VLOOKUP(E825,기본!$F$3:$G$320,2,0)</f>
        <v>TV</v>
      </c>
      <c r="H825" s="544">
        <v>2057</v>
      </c>
      <c r="I825">
        <v>47.185367354999997</v>
      </c>
    </row>
    <row r="826" spans="2:9">
      <c r="B826" s="545">
        <v>3</v>
      </c>
      <c r="C826" s="545" t="str">
        <f>VLOOKUP(D826,기본!$B$3:$C$90,2,0)</f>
        <v>기타</v>
      </c>
      <c r="D826" t="s">
        <v>1799</v>
      </c>
      <c r="E826" t="s">
        <v>224</v>
      </c>
      <c r="F826" t="s">
        <v>224</v>
      </c>
      <c r="G826" t="str">
        <f>VLOOKUP(E826,기본!$F$3:$G$320,2,0)</f>
        <v>기타</v>
      </c>
      <c r="H826" s="544">
        <v>0</v>
      </c>
      <c r="I826">
        <v>3.1667000000000001E-2</v>
      </c>
    </row>
    <row r="827" spans="2:9">
      <c r="B827" s="545">
        <v>3</v>
      </c>
      <c r="C827" s="545" t="str">
        <f>VLOOKUP(D827,기본!$B$3:$C$90,2,0)</f>
        <v>코웨이</v>
      </c>
      <c r="D827" t="s">
        <v>2260</v>
      </c>
      <c r="E827" t="s">
        <v>1021</v>
      </c>
      <c r="F827" t="s">
        <v>1021</v>
      </c>
      <c r="G827" t="e">
        <f>VLOOKUP(E827,기본!$F$3:$G$320,2,0)</f>
        <v>#N/A</v>
      </c>
      <c r="H827" s="544">
        <v>2880</v>
      </c>
      <c r="I827">
        <v>20.505052800000001</v>
      </c>
    </row>
    <row r="828" spans="2:9">
      <c r="B828" s="545">
        <v>3</v>
      </c>
      <c r="C828" s="545" t="str">
        <f>VLOOKUP(D828,기본!$B$3:$C$90,2,0)</f>
        <v>코웨이</v>
      </c>
      <c r="D828" t="s">
        <v>2260</v>
      </c>
      <c r="E828" t="s">
        <v>1020</v>
      </c>
      <c r="F828" t="s">
        <v>1020</v>
      </c>
      <c r="G828" t="e">
        <f>VLOOKUP(E828,기본!$F$3:$G$320,2,0)</f>
        <v>#N/A</v>
      </c>
      <c r="H828" s="544">
        <v>2880</v>
      </c>
      <c r="I828">
        <v>25.524072</v>
      </c>
    </row>
    <row r="829" spans="2:9">
      <c r="B829" s="545">
        <v>3</v>
      </c>
      <c r="C829" s="545" t="str">
        <f>VLOOKUP(D829,기본!$B$3:$C$90,2,0)</f>
        <v>MNT JDM</v>
      </c>
      <c r="D829" t="s">
        <v>1963</v>
      </c>
      <c r="E829" t="s">
        <v>1110</v>
      </c>
      <c r="F829" t="s">
        <v>1728</v>
      </c>
      <c r="G829" t="str">
        <f>VLOOKUP(E829,기본!$F$3:$G$320,2,0)</f>
        <v>MNT</v>
      </c>
      <c r="H829" s="544">
        <v>21120</v>
      </c>
      <c r="I829">
        <v>127.29343334399999</v>
      </c>
    </row>
    <row r="830" spans="2:9">
      <c r="B830" s="545">
        <v>3</v>
      </c>
      <c r="C830" s="545" t="str">
        <f>VLOOKUP(D830,기본!$B$3:$C$90,2,0)</f>
        <v>AV JDM</v>
      </c>
      <c r="D830" t="s">
        <v>2176</v>
      </c>
      <c r="E830" t="s">
        <v>2416</v>
      </c>
      <c r="F830" t="s">
        <v>2417</v>
      </c>
      <c r="G830" t="e">
        <f>VLOOKUP(E830,기본!$F$3:$G$320,2,0)</f>
        <v>#N/A</v>
      </c>
      <c r="H830" s="544">
        <v>728</v>
      </c>
      <c r="I830">
        <v>6.4694302400000003</v>
      </c>
    </row>
    <row r="831" spans="2:9">
      <c r="B831" s="545">
        <v>3</v>
      </c>
      <c r="C831" s="545" t="str">
        <f>VLOOKUP(D831,기본!$B$3:$C$90,2,0)</f>
        <v>AV JDM</v>
      </c>
      <c r="D831" t="s">
        <v>2176</v>
      </c>
      <c r="E831" t="s">
        <v>2525</v>
      </c>
      <c r="F831" t="s">
        <v>2526</v>
      </c>
      <c r="G831" t="e">
        <f>VLOOKUP(E831,기본!$F$3:$G$320,2,0)</f>
        <v>#N/A</v>
      </c>
      <c r="H831" s="544">
        <v>68</v>
      </c>
      <c r="I831">
        <v>1.2823184320000001</v>
      </c>
    </row>
    <row r="832" spans="2:9">
      <c r="B832" s="545">
        <v>3</v>
      </c>
      <c r="C832" s="545" t="str">
        <f>VLOOKUP(D832,기본!$B$3:$C$90,2,0)</f>
        <v>AV JDM</v>
      </c>
      <c r="D832" t="s">
        <v>2176</v>
      </c>
      <c r="E832" t="s">
        <v>2527</v>
      </c>
      <c r="F832" t="s">
        <v>2528</v>
      </c>
      <c r="G832" t="e">
        <f>VLOOKUP(E832,기본!$F$3:$G$320,2,0)</f>
        <v>#N/A</v>
      </c>
      <c r="H832" s="544">
        <v>61</v>
      </c>
      <c r="I832">
        <v>1.1503150639999999</v>
      </c>
    </row>
    <row r="833" spans="2:9">
      <c r="B833" s="545">
        <v>3</v>
      </c>
      <c r="C833" s="545" t="str">
        <f>VLOOKUP(D833,기본!$B$3:$C$90,2,0)</f>
        <v>MNT JDM</v>
      </c>
      <c r="D833" t="s">
        <v>1800</v>
      </c>
      <c r="E833" t="s">
        <v>676</v>
      </c>
      <c r="F833" t="s">
        <v>2477</v>
      </c>
      <c r="G833" t="str">
        <f>VLOOKUP(E833,기본!$F$3:$G$320,2,0)</f>
        <v>MNT</v>
      </c>
      <c r="H833" s="544">
        <v>3168</v>
      </c>
      <c r="I833">
        <v>16.547148287999999</v>
      </c>
    </row>
    <row r="834" spans="2:9">
      <c r="B834" s="545">
        <v>3</v>
      </c>
      <c r="C834" s="545" t="str">
        <f>VLOOKUP(D834,기본!$B$3:$C$90,2,0)</f>
        <v>MNT JDM</v>
      </c>
      <c r="D834" t="s">
        <v>1800</v>
      </c>
      <c r="E834" t="s">
        <v>1110</v>
      </c>
      <c r="F834" t="s">
        <v>2478</v>
      </c>
      <c r="G834" t="str">
        <f>VLOOKUP(E834,기본!$F$3:$G$320,2,0)</f>
        <v>MNT</v>
      </c>
      <c r="H834" s="544">
        <v>8448</v>
      </c>
      <c r="I834">
        <v>53.148151935999998</v>
      </c>
    </row>
    <row r="835" spans="2:9">
      <c r="B835" s="545">
        <v>3</v>
      </c>
      <c r="C835" s="545" t="str">
        <f>VLOOKUP(D835,기본!$B$3:$C$90,2,0)</f>
        <v>코웨이</v>
      </c>
      <c r="D835" t="s">
        <v>2178</v>
      </c>
      <c r="E835" t="s">
        <v>2328</v>
      </c>
      <c r="F835" t="s">
        <v>2328</v>
      </c>
      <c r="G835" t="e">
        <f>VLOOKUP(E835,기본!$F$3:$G$320,2,0)</f>
        <v>#N/A</v>
      </c>
      <c r="H835" s="544">
        <v>12096</v>
      </c>
      <c r="I835">
        <v>33.963826175999998</v>
      </c>
    </row>
    <row r="836" spans="2:9">
      <c r="B836" s="545">
        <v>3</v>
      </c>
      <c r="C836" s="545" t="str">
        <f>VLOOKUP(D836,기본!$B$3:$C$90,2,0)</f>
        <v>코웨이</v>
      </c>
      <c r="D836" t="s">
        <v>2178</v>
      </c>
      <c r="E836" t="s">
        <v>1897</v>
      </c>
      <c r="F836" t="s">
        <v>1897</v>
      </c>
      <c r="G836" t="e">
        <f>VLOOKUP(E836,기본!$F$3:$G$320,2,0)</f>
        <v>#N/A</v>
      </c>
      <c r="H836" s="544">
        <v>6912</v>
      </c>
      <c r="I836">
        <v>110.62564761600001</v>
      </c>
    </row>
    <row r="837" spans="2:9">
      <c r="B837" s="545">
        <v>3</v>
      </c>
      <c r="C837" s="545" t="str">
        <f>VLOOKUP(D837,기본!$B$3:$C$90,2,0)</f>
        <v>MNT JDM</v>
      </c>
      <c r="D837" t="s">
        <v>154</v>
      </c>
      <c r="E837" t="s">
        <v>676</v>
      </c>
      <c r="F837" t="s">
        <v>1801</v>
      </c>
      <c r="G837" t="str">
        <f>VLOOKUP(E837,기본!$F$3:$G$320,2,0)</f>
        <v>MNT</v>
      </c>
      <c r="H837" s="544">
        <v>14784</v>
      </c>
      <c r="I837">
        <v>71.617603200000005</v>
      </c>
    </row>
    <row r="838" spans="2:9">
      <c r="B838" s="545">
        <v>3</v>
      </c>
      <c r="C838" s="545" t="str">
        <f>VLOOKUP(D838,기본!$B$3:$C$90,2,0)</f>
        <v>MNT JDM</v>
      </c>
      <c r="D838" t="s">
        <v>154</v>
      </c>
      <c r="E838" t="s">
        <v>677</v>
      </c>
      <c r="F838" t="s">
        <v>2291</v>
      </c>
      <c r="G838" t="str">
        <f>VLOOKUP(E838,기본!$F$3:$G$320,2,0)</f>
        <v>MNT</v>
      </c>
      <c r="H838" s="544">
        <v>5456</v>
      </c>
      <c r="I838">
        <v>31.967347808000003</v>
      </c>
    </row>
    <row r="839" spans="2:9">
      <c r="B839" s="545">
        <v>3</v>
      </c>
      <c r="C839" s="545" t="str">
        <f>VLOOKUP(D839,기본!$B$3:$C$90,2,0)</f>
        <v>MNT JDM</v>
      </c>
      <c r="D839" t="s">
        <v>154</v>
      </c>
      <c r="E839" t="s">
        <v>1110</v>
      </c>
      <c r="F839" t="s">
        <v>1730</v>
      </c>
      <c r="G839" t="str">
        <f>VLOOKUP(E839,기본!$F$3:$G$320,2,0)</f>
        <v>MNT</v>
      </c>
      <c r="H839" s="544">
        <v>8448</v>
      </c>
      <c r="I839">
        <v>50.897510400000002</v>
      </c>
    </row>
    <row r="840" spans="2:9">
      <c r="B840" s="545">
        <v>3</v>
      </c>
      <c r="C840" s="545" t="str">
        <f>VLOOKUP(D840,기본!$B$3:$C$90,2,0)</f>
        <v>AV JDM</v>
      </c>
      <c r="D840" t="s">
        <v>2329</v>
      </c>
      <c r="E840" t="s">
        <v>1775</v>
      </c>
      <c r="F840" t="s">
        <v>1621</v>
      </c>
      <c r="G840" t="e">
        <f>VLOOKUP(E840,기본!$F$3:$G$320,2,0)</f>
        <v>#N/A</v>
      </c>
      <c r="H840" s="544">
        <v>4000</v>
      </c>
      <c r="I840">
        <v>39.363059999999997</v>
      </c>
    </row>
    <row r="841" spans="2:9">
      <c r="B841" s="545">
        <v>3</v>
      </c>
      <c r="C841" s="545" t="str">
        <f>VLOOKUP(D841,기본!$B$3:$C$90,2,0)</f>
        <v>AV JDM</v>
      </c>
      <c r="D841" t="s">
        <v>2329</v>
      </c>
      <c r="E841" t="s">
        <v>104</v>
      </c>
      <c r="F841" t="s">
        <v>103</v>
      </c>
      <c r="G841" t="e">
        <f>VLOOKUP(E841,기본!$F$3:$G$320,2,0)</f>
        <v>#N/A</v>
      </c>
      <c r="H841" s="544">
        <v>3237</v>
      </c>
      <c r="I841">
        <v>32.577362766</v>
      </c>
    </row>
    <row r="842" spans="2:9">
      <c r="B842" s="545">
        <v>3</v>
      </c>
      <c r="C842" s="545" t="str">
        <f>VLOOKUP(D842,기본!$B$3:$C$90,2,0)</f>
        <v>AV JDM</v>
      </c>
      <c r="D842" t="s">
        <v>2329</v>
      </c>
      <c r="E842" t="s">
        <v>659</v>
      </c>
      <c r="F842" t="s">
        <v>658</v>
      </c>
      <c r="G842" t="e">
        <f>VLOOKUP(E842,기본!$F$3:$G$320,2,0)</f>
        <v>#N/A</v>
      </c>
      <c r="H842" s="544">
        <v>1</v>
      </c>
      <c r="I842">
        <v>1.1337096E-2</v>
      </c>
    </row>
    <row r="843" spans="2:9">
      <c r="B843" s="545">
        <v>3</v>
      </c>
      <c r="C843" s="545" t="str">
        <f>VLOOKUP(D843,기본!$B$3:$C$90,2,0)</f>
        <v>AV JDM</v>
      </c>
      <c r="D843" t="s">
        <v>2329</v>
      </c>
      <c r="E843" t="s">
        <v>2261</v>
      </c>
      <c r="F843" t="s">
        <v>2261</v>
      </c>
      <c r="G843" t="str">
        <f>VLOOKUP(E843,기본!$F$3:$G$320,2,0)</f>
        <v>MNT</v>
      </c>
      <c r="H843" s="544">
        <v>310</v>
      </c>
      <c r="I843">
        <v>2.8671125000000002</v>
      </c>
    </row>
    <row r="844" spans="2:9">
      <c r="B844" s="545">
        <v>3</v>
      </c>
      <c r="C844" s="545" t="str">
        <f>VLOOKUP(D844,기본!$B$3:$C$90,2,0)</f>
        <v>AV JDM</v>
      </c>
      <c r="D844" t="s">
        <v>2329</v>
      </c>
      <c r="E844" t="s">
        <v>1776</v>
      </c>
      <c r="F844" t="s">
        <v>1287</v>
      </c>
      <c r="G844" t="e">
        <f>VLOOKUP(E844,기본!$F$3:$G$320,2,0)</f>
        <v>#N/A</v>
      </c>
      <c r="H844" s="544">
        <v>24444</v>
      </c>
      <c r="I844">
        <v>270.84513707999997</v>
      </c>
    </row>
    <row r="845" spans="2:9">
      <c r="B845" s="545">
        <v>3</v>
      </c>
      <c r="C845" s="545" t="str">
        <f>VLOOKUP(D845,기본!$B$3:$C$90,2,0)</f>
        <v>AV JDM</v>
      </c>
      <c r="D845" t="s">
        <v>2329</v>
      </c>
      <c r="E845" t="s">
        <v>1777</v>
      </c>
      <c r="F845" t="s">
        <v>1283</v>
      </c>
      <c r="G845" t="e">
        <f>VLOOKUP(E845,기본!$F$3:$G$320,2,0)</f>
        <v>#N/A</v>
      </c>
      <c r="H845" s="544">
        <v>42200</v>
      </c>
      <c r="I845">
        <v>409.23598453333341</v>
      </c>
    </row>
    <row r="846" spans="2:9">
      <c r="B846" s="545">
        <v>3</v>
      </c>
      <c r="C846" s="545" t="str">
        <f>VLOOKUP(D846,기본!$B$3:$C$90,2,0)</f>
        <v>AV JDM</v>
      </c>
      <c r="D846" t="s">
        <v>2329</v>
      </c>
      <c r="E846" t="s">
        <v>972</v>
      </c>
      <c r="F846" t="s">
        <v>972</v>
      </c>
      <c r="G846" t="e">
        <f>VLOOKUP(E846,기본!$F$3:$G$320,2,0)</f>
        <v>#N/A</v>
      </c>
      <c r="H846" s="544">
        <v>32512</v>
      </c>
      <c r="I846">
        <v>236.223068928</v>
      </c>
    </row>
    <row r="847" spans="2:9">
      <c r="B847" s="545">
        <v>3</v>
      </c>
      <c r="C847" s="545" t="str">
        <f>VLOOKUP(D847,기본!$B$3:$C$90,2,0)</f>
        <v>AV JDM</v>
      </c>
      <c r="D847" t="s">
        <v>2329</v>
      </c>
      <c r="E847" t="s">
        <v>2481</v>
      </c>
      <c r="F847" t="s">
        <v>2481</v>
      </c>
      <c r="G847" t="e">
        <f>VLOOKUP(E847,기본!$F$3:$G$320,2,0)</f>
        <v>#N/A</v>
      </c>
      <c r="H847" s="544">
        <v>192</v>
      </c>
      <c r="I847">
        <v>1.6024458239999997</v>
      </c>
    </row>
    <row r="848" spans="2:9">
      <c r="B848" s="545">
        <v>3</v>
      </c>
      <c r="C848" s="545" t="str">
        <f>VLOOKUP(D848,기본!$B$3:$C$90,2,0)</f>
        <v>AV JDM</v>
      </c>
      <c r="D848" t="s">
        <v>2329</v>
      </c>
      <c r="E848" t="s">
        <v>2052</v>
      </c>
      <c r="F848" t="s">
        <v>2052</v>
      </c>
      <c r="G848" t="e">
        <f>VLOOKUP(E848,기본!$F$3:$G$320,2,0)</f>
        <v>#N/A</v>
      </c>
      <c r="H848" s="544">
        <v>24990</v>
      </c>
      <c r="I848">
        <v>142.69076303999998</v>
      </c>
    </row>
    <row r="849" spans="2:9">
      <c r="B849" s="545">
        <v>3</v>
      </c>
      <c r="C849" s="545" t="str">
        <f>VLOOKUP(D849,기본!$B$3:$C$90,2,0)</f>
        <v>AV JDM</v>
      </c>
      <c r="D849" t="s">
        <v>2329</v>
      </c>
      <c r="E849" t="s">
        <v>2179</v>
      </c>
      <c r="F849" t="s">
        <v>2179</v>
      </c>
      <c r="G849" t="e">
        <f>VLOOKUP(E849,기본!$F$3:$G$320,2,0)</f>
        <v>#N/A</v>
      </c>
      <c r="H849" s="544">
        <v>1974</v>
      </c>
      <c r="I849">
        <v>12.487602960000002</v>
      </c>
    </row>
    <row r="850" spans="2:9">
      <c r="B850" s="545">
        <v>3</v>
      </c>
      <c r="C850" s="545" t="str">
        <f>VLOOKUP(D850,기본!$B$3:$C$90,2,0)</f>
        <v>AV JDM</v>
      </c>
      <c r="D850" t="s">
        <v>2329</v>
      </c>
      <c r="E850" t="s">
        <v>973</v>
      </c>
      <c r="F850" t="s">
        <v>973</v>
      </c>
      <c r="G850" t="e">
        <f>VLOOKUP(E850,기본!$F$3:$G$320,2,0)</f>
        <v>#N/A</v>
      </c>
      <c r="H850" s="544">
        <v>25600</v>
      </c>
      <c r="I850">
        <v>220.13409484800002</v>
      </c>
    </row>
    <row r="851" spans="2:9">
      <c r="B851" s="545">
        <v>3</v>
      </c>
      <c r="C851" s="545" t="str">
        <f>VLOOKUP(D851,기본!$B$3:$C$90,2,0)</f>
        <v>AV JDM</v>
      </c>
      <c r="D851" t="s">
        <v>2329</v>
      </c>
      <c r="E851" t="s">
        <v>2053</v>
      </c>
      <c r="F851" t="s">
        <v>2053</v>
      </c>
      <c r="G851" t="e">
        <f>VLOOKUP(E851,기본!$F$3:$G$320,2,0)</f>
        <v>#N/A</v>
      </c>
      <c r="H851" s="544">
        <v>14154</v>
      </c>
      <c r="I851">
        <v>83.855648099999996</v>
      </c>
    </row>
    <row r="852" spans="2:9">
      <c r="B852" s="545">
        <v>3</v>
      </c>
      <c r="C852" s="545" t="str">
        <f>VLOOKUP(D852,기본!$B$3:$C$90,2,0)</f>
        <v>AV JDM</v>
      </c>
      <c r="D852" t="s">
        <v>2329</v>
      </c>
      <c r="E852" t="s">
        <v>2180</v>
      </c>
      <c r="F852" t="s">
        <v>2180</v>
      </c>
      <c r="G852" t="e">
        <f>VLOOKUP(E852,기본!$F$3:$G$320,2,0)</f>
        <v>#N/A</v>
      </c>
      <c r="H852" s="544">
        <v>630</v>
      </c>
      <c r="I852">
        <v>4.0986918000000001</v>
      </c>
    </row>
    <row r="853" spans="2:9">
      <c r="B853" s="545">
        <v>3</v>
      </c>
      <c r="C853" s="545" t="str">
        <f>VLOOKUP(D853,기본!$B$3:$C$90,2,0)</f>
        <v>AV JDM</v>
      </c>
      <c r="D853" t="s">
        <v>2329</v>
      </c>
      <c r="E853" t="s">
        <v>2402</v>
      </c>
      <c r="F853" t="s">
        <v>2402</v>
      </c>
      <c r="G853" t="str">
        <f>VLOOKUP(E853,기본!$F$3:$G$320,2,0)</f>
        <v>AV</v>
      </c>
      <c r="H853" s="544">
        <v>2016</v>
      </c>
      <c r="I853">
        <v>23.37412896</v>
      </c>
    </row>
    <row r="854" spans="2:9">
      <c r="B854" s="545">
        <v>3</v>
      </c>
      <c r="C854" s="545" t="str">
        <f>VLOOKUP(D854,기본!$B$3:$C$90,2,0)</f>
        <v>AV JDM</v>
      </c>
      <c r="D854" t="s">
        <v>2329</v>
      </c>
      <c r="E854" t="s">
        <v>2026</v>
      </c>
      <c r="F854" t="s">
        <v>2026</v>
      </c>
      <c r="G854" t="str">
        <f>VLOOKUP(E854,기본!$F$3:$G$320,2,0)</f>
        <v>AV</v>
      </c>
      <c r="H854" s="544">
        <v>715</v>
      </c>
      <c r="I854">
        <v>7.3662088499999996</v>
      </c>
    </row>
    <row r="855" spans="2:9">
      <c r="B855" s="545">
        <v>3</v>
      </c>
      <c r="C855" s="545" t="str">
        <f>VLOOKUP(D855,기본!$B$3:$C$90,2,0)</f>
        <v>AV JDM</v>
      </c>
      <c r="D855" t="s">
        <v>2329</v>
      </c>
      <c r="E855" t="s">
        <v>1805</v>
      </c>
      <c r="F855" t="s">
        <v>1805</v>
      </c>
      <c r="G855" t="e">
        <f>VLOOKUP(E855,기본!$F$3:$G$320,2,0)</f>
        <v>#N/A</v>
      </c>
      <c r="H855" s="544">
        <v>8320</v>
      </c>
      <c r="I855">
        <v>62.447391999999994</v>
      </c>
    </row>
    <row r="856" spans="2:9">
      <c r="B856" s="545">
        <v>3</v>
      </c>
      <c r="C856" s="545" t="str">
        <f>VLOOKUP(D856,기본!$B$3:$C$90,2,0)</f>
        <v>AV JDM</v>
      </c>
      <c r="D856" t="s">
        <v>2329</v>
      </c>
      <c r="E856" t="s">
        <v>1987</v>
      </c>
      <c r="F856" t="s">
        <v>1987</v>
      </c>
      <c r="G856" t="e">
        <f>VLOOKUP(E856,기본!$F$3:$G$320,2,0)</f>
        <v>#N/A</v>
      </c>
      <c r="H856" s="544">
        <v>2920</v>
      </c>
      <c r="I856">
        <v>22.995168</v>
      </c>
    </row>
    <row r="857" spans="2:9">
      <c r="B857" s="545">
        <v>3</v>
      </c>
      <c r="C857" s="545" t="str">
        <f>VLOOKUP(D857,기본!$B$3:$C$90,2,0)</f>
        <v>AV JDM</v>
      </c>
      <c r="D857" t="s">
        <v>2329</v>
      </c>
      <c r="E857" t="s">
        <v>2027</v>
      </c>
      <c r="F857" t="s">
        <v>2027</v>
      </c>
      <c r="G857" t="str">
        <f>VLOOKUP(E857,기본!$F$3:$G$320,2,0)</f>
        <v>AV</v>
      </c>
      <c r="H857" s="544">
        <v>15282</v>
      </c>
      <c r="I857">
        <v>193.40254839599999</v>
      </c>
    </row>
    <row r="858" spans="2:9">
      <c r="B858" s="545">
        <v>3</v>
      </c>
      <c r="C858" s="545" t="str">
        <f>VLOOKUP(D858,기본!$B$3:$C$90,2,0)</f>
        <v>AV JDM</v>
      </c>
      <c r="D858" t="s">
        <v>2329</v>
      </c>
      <c r="E858" t="s">
        <v>2181</v>
      </c>
      <c r="F858" t="s">
        <v>2181</v>
      </c>
      <c r="G858" t="str">
        <f>VLOOKUP(E858,기본!$F$3:$G$320,2,0)</f>
        <v>AV</v>
      </c>
      <c r="H858" s="544">
        <v>1377</v>
      </c>
      <c r="I858">
        <v>19.081144079999998</v>
      </c>
    </row>
    <row r="859" spans="2:9">
      <c r="B859" s="545">
        <v>3</v>
      </c>
      <c r="C859" s="545" t="str">
        <f>VLOOKUP(D859,기본!$B$3:$C$90,2,0)</f>
        <v>AV JDM</v>
      </c>
      <c r="D859" t="s">
        <v>2329</v>
      </c>
      <c r="E859" t="s">
        <v>2403</v>
      </c>
      <c r="F859" t="s">
        <v>2403</v>
      </c>
      <c r="G859" t="e">
        <f>VLOOKUP(E859,기본!$F$3:$G$320,2,0)</f>
        <v>#N/A</v>
      </c>
      <c r="H859" s="544">
        <v>3528</v>
      </c>
      <c r="I859">
        <v>66.844834559999995</v>
      </c>
    </row>
    <row r="860" spans="2:9">
      <c r="B860" s="545">
        <v>3</v>
      </c>
      <c r="C860" s="545" t="str">
        <f>VLOOKUP(D860,기본!$B$3:$C$90,2,0)</f>
        <v>MNT JDM</v>
      </c>
      <c r="D860" t="s">
        <v>1810</v>
      </c>
      <c r="E860" t="s">
        <v>1110</v>
      </c>
      <c r="F860" t="s">
        <v>1965</v>
      </c>
      <c r="G860" t="str">
        <f>VLOOKUP(E860,기본!$F$3:$G$320,2,0)</f>
        <v>MNT</v>
      </c>
      <c r="H860" s="544">
        <v>8448</v>
      </c>
      <c r="I860">
        <v>51.140812800000006</v>
      </c>
    </row>
    <row r="861" spans="2:9">
      <c r="B861" s="545">
        <v>3</v>
      </c>
      <c r="C861" s="545" t="str">
        <f>VLOOKUP(D861,기본!$B$3:$C$90,2,0)</f>
        <v>한화비전</v>
      </c>
      <c r="D861" t="s">
        <v>1811</v>
      </c>
      <c r="E861" t="s">
        <v>2485</v>
      </c>
      <c r="F861" t="s">
        <v>2486</v>
      </c>
      <c r="G861" t="e">
        <f>VLOOKUP(E861,기본!$F$3:$G$320,2,0)</f>
        <v>#N/A</v>
      </c>
      <c r="H861" s="544">
        <v>1391</v>
      </c>
      <c r="I861">
        <v>29.010578800000001</v>
      </c>
    </row>
    <row r="862" spans="2:9">
      <c r="B862" s="545">
        <v>3</v>
      </c>
      <c r="C862" s="545" t="str">
        <f>VLOOKUP(D862,기본!$B$3:$C$90,2,0)</f>
        <v>삼성 VD</v>
      </c>
      <c r="D862" t="s">
        <v>2037</v>
      </c>
      <c r="E862" t="s">
        <v>2038</v>
      </c>
      <c r="F862" t="s">
        <v>1768</v>
      </c>
      <c r="G862" t="str">
        <f>VLOOKUP(E862,기본!$F$3:$G$320,2,0)</f>
        <v>기타</v>
      </c>
      <c r="H862" s="544">
        <v>26855</v>
      </c>
      <c r="I862">
        <v>101.6058925</v>
      </c>
    </row>
    <row r="863" spans="2:9">
      <c r="B863" s="545">
        <v>3</v>
      </c>
      <c r="C863" s="545" t="str">
        <f>VLOOKUP(D863,기본!$B$3:$C$90,2,0)</f>
        <v>JDM</v>
      </c>
      <c r="D863" t="s">
        <v>2489</v>
      </c>
      <c r="E863" t="s">
        <v>2029</v>
      </c>
      <c r="F863" t="s">
        <v>1807</v>
      </c>
      <c r="G863" t="str">
        <f>VLOOKUP(E863,기본!$F$3:$G$320,2,0)</f>
        <v>기타</v>
      </c>
      <c r="H863" s="544">
        <v>1260</v>
      </c>
      <c r="I863">
        <v>37.946991600000004</v>
      </c>
    </row>
    <row r="864" spans="2:9">
      <c r="B864" s="545">
        <v>3</v>
      </c>
      <c r="C864" s="545" t="str">
        <f>VLOOKUP(D864,기본!$B$3:$C$90,2,0)</f>
        <v>JDM</v>
      </c>
      <c r="D864" t="s">
        <v>2489</v>
      </c>
      <c r="E864" t="s">
        <v>2031</v>
      </c>
      <c r="F864" t="s">
        <v>1807</v>
      </c>
      <c r="G864" t="str">
        <f>VLOOKUP(E864,기본!$F$3:$G$320,2,0)</f>
        <v>기타</v>
      </c>
      <c r="H864" s="544">
        <v>1770</v>
      </c>
      <c r="I864">
        <v>53.306488200000004</v>
      </c>
    </row>
    <row r="865" spans="2:9">
      <c r="B865" s="545">
        <v>3</v>
      </c>
      <c r="C865" s="545" t="str">
        <f>VLOOKUP(D865,기본!$B$3:$C$90,2,0)</f>
        <v>JDM</v>
      </c>
      <c r="D865" t="s">
        <v>2489</v>
      </c>
      <c r="E865" t="s">
        <v>2032</v>
      </c>
      <c r="F865" t="s">
        <v>1807</v>
      </c>
      <c r="G865" t="str">
        <f>VLOOKUP(E865,기본!$F$3:$G$320,2,0)</f>
        <v>기타</v>
      </c>
      <c r="H865" s="544">
        <v>570</v>
      </c>
      <c r="I865">
        <v>17.166496200000001</v>
      </c>
    </row>
    <row r="866" spans="2:9">
      <c r="B866" s="545">
        <v>3</v>
      </c>
      <c r="C866" s="545" t="str">
        <f>VLOOKUP(D866,기본!$B$3:$C$90,2,0)</f>
        <v>JDM</v>
      </c>
      <c r="D866" t="s">
        <v>2489</v>
      </c>
      <c r="E866" t="s">
        <v>2228</v>
      </c>
      <c r="F866" t="s">
        <v>1807</v>
      </c>
      <c r="G866" t="str">
        <f>VLOOKUP(E866,기본!$F$3:$G$320,2,0)</f>
        <v>기타</v>
      </c>
      <c r="H866" s="544">
        <v>300</v>
      </c>
      <c r="I866">
        <v>9.0349979999999999</v>
      </c>
    </row>
    <row r="867" spans="2:9">
      <c r="B867" s="545">
        <v>3</v>
      </c>
      <c r="C867" s="545" t="str">
        <f>VLOOKUP(D867,기본!$B$3:$C$90,2,0)</f>
        <v>코웨이</v>
      </c>
      <c r="D867" t="s">
        <v>1815</v>
      </c>
      <c r="E867" t="s">
        <v>1817</v>
      </c>
      <c r="F867" t="s">
        <v>1817</v>
      </c>
      <c r="G867" t="e">
        <f>VLOOKUP(E867,기본!$F$3:$G$320,2,0)</f>
        <v>#N/A</v>
      </c>
      <c r="H867" s="544">
        <v>1000</v>
      </c>
      <c r="I867">
        <v>8.1241020000000006</v>
      </c>
    </row>
    <row r="868" spans="2:9">
      <c r="B868" s="545">
        <v>3</v>
      </c>
      <c r="C868" s="545" t="str">
        <f>VLOOKUP(D868,기본!$B$3:$C$90,2,0)</f>
        <v>코웨이</v>
      </c>
      <c r="D868" t="s">
        <v>1815</v>
      </c>
      <c r="E868" t="s">
        <v>1818</v>
      </c>
      <c r="F868" t="s">
        <v>1818</v>
      </c>
      <c r="G868" t="e">
        <f>VLOOKUP(E868,기본!$F$3:$G$320,2,0)</f>
        <v>#N/A</v>
      </c>
      <c r="H868" s="544">
        <v>2190</v>
      </c>
      <c r="I868">
        <v>13.449162299999999</v>
      </c>
    </row>
    <row r="869" spans="2:9">
      <c r="B869" s="545">
        <v>3</v>
      </c>
      <c r="C869" s="545" t="str">
        <f>VLOOKUP(D869,기본!$B$3:$C$90,2,0)</f>
        <v>코웨이</v>
      </c>
      <c r="D869" t="s">
        <v>1815</v>
      </c>
      <c r="E869" t="s">
        <v>1819</v>
      </c>
      <c r="F869" t="s">
        <v>1819</v>
      </c>
      <c r="G869" t="e">
        <f>VLOOKUP(E869,기본!$F$3:$G$320,2,0)</f>
        <v>#N/A</v>
      </c>
      <c r="H869" s="544">
        <v>1000</v>
      </c>
      <c r="I869">
        <v>6.5407159999999998</v>
      </c>
    </row>
    <row r="870" spans="2:9">
      <c r="B870" s="545">
        <v>3</v>
      </c>
      <c r="C870" s="545" t="str">
        <f>VLOOKUP(D870,기본!$B$3:$C$90,2,0)</f>
        <v>삼성 VD</v>
      </c>
      <c r="D870" t="s">
        <v>1820</v>
      </c>
      <c r="E870" t="s">
        <v>1787</v>
      </c>
      <c r="F870" t="s">
        <v>1788</v>
      </c>
      <c r="G870" t="str">
        <f>VLOOKUP(E870,기본!$F$3:$G$320,2,0)</f>
        <v>MNT</v>
      </c>
      <c r="H870" s="544">
        <v>72</v>
      </c>
      <c r="I870">
        <v>2.8932266879999999</v>
      </c>
    </row>
    <row r="871" spans="2:9">
      <c r="B871" s="545">
        <v>3</v>
      </c>
      <c r="C871" s="545" t="str">
        <f>VLOOKUP(D871,기본!$B$3:$C$90,2,0)</f>
        <v>삼성 VD</v>
      </c>
      <c r="D871" t="s">
        <v>1820</v>
      </c>
      <c r="E871" t="s">
        <v>1723</v>
      </c>
      <c r="F871" t="s">
        <v>1821</v>
      </c>
      <c r="G871" t="str">
        <f>VLOOKUP(E871,기본!$F$3:$G$320,2,0)</f>
        <v>TV</v>
      </c>
      <c r="H871" s="544">
        <v>6080</v>
      </c>
      <c r="I871">
        <v>76.088305919999996</v>
      </c>
    </row>
    <row r="872" spans="2:9">
      <c r="B872" s="545">
        <v>3</v>
      </c>
      <c r="C872" s="545" t="str">
        <f>VLOOKUP(D872,기본!$B$3:$C$90,2,0)</f>
        <v>삼성 VD</v>
      </c>
      <c r="D872" t="s">
        <v>1824</v>
      </c>
      <c r="E872" t="s">
        <v>1119</v>
      </c>
      <c r="F872" t="s">
        <v>1798</v>
      </c>
      <c r="G872" t="str">
        <f>VLOOKUP(E872,기본!$F$3:$G$320,2,0)</f>
        <v>TV</v>
      </c>
      <c r="H872" s="544">
        <v>108</v>
      </c>
      <c r="I872">
        <v>3.4763707440000005</v>
      </c>
    </row>
    <row r="873" spans="2:9">
      <c r="B873" s="545">
        <v>3</v>
      </c>
      <c r="C873" s="545" t="str">
        <f>VLOOKUP(D873,기본!$B$3:$C$90,2,0)</f>
        <v>삼성 VD</v>
      </c>
      <c r="D873" t="s">
        <v>1824</v>
      </c>
      <c r="E873" t="s">
        <v>1118</v>
      </c>
      <c r="F873" t="s">
        <v>1779</v>
      </c>
      <c r="G873" t="str">
        <f>VLOOKUP(E873,기본!$F$3:$G$320,2,0)</f>
        <v>TV</v>
      </c>
      <c r="H873" s="544">
        <v>150</v>
      </c>
      <c r="I873">
        <v>4.3790229000000007</v>
      </c>
    </row>
    <row r="874" spans="2:9">
      <c r="B874" s="545">
        <v>3</v>
      </c>
      <c r="C874" s="545" t="str">
        <f>VLOOKUP(D874,기본!$B$3:$C$90,2,0)</f>
        <v>삼성 VD</v>
      </c>
      <c r="D874" t="s">
        <v>1824</v>
      </c>
      <c r="E874" t="s">
        <v>2414</v>
      </c>
      <c r="F874" t="s">
        <v>2415</v>
      </c>
      <c r="G874" t="str">
        <f>VLOOKUP(E874,기본!$F$3:$G$320,2,0)</f>
        <v>TV</v>
      </c>
      <c r="H874" s="544">
        <v>126</v>
      </c>
      <c r="I874">
        <v>1.65944772</v>
      </c>
    </row>
    <row r="875" spans="2:9">
      <c r="B875" s="545">
        <v>3</v>
      </c>
      <c r="C875" s="545" t="str">
        <f>VLOOKUP(D875,기본!$B$3:$C$90,2,0)</f>
        <v>삼성 VD</v>
      </c>
      <c r="D875" t="s">
        <v>1824</v>
      </c>
      <c r="E875" t="s">
        <v>2441</v>
      </c>
      <c r="F875" t="s">
        <v>2438</v>
      </c>
      <c r="G875" t="str">
        <f>VLOOKUP(E875,기본!$F$3:$G$320,2,0)</f>
        <v>TV</v>
      </c>
      <c r="H875" s="544">
        <v>546</v>
      </c>
      <c r="I875">
        <v>7.4333313599999995</v>
      </c>
    </row>
    <row r="876" spans="2:9">
      <c r="B876" s="545">
        <v>3</v>
      </c>
      <c r="C876" s="545" t="str">
        <f>VLOOKUP(D876,기본!$B$3:$C$90,2,0)</f>
        <v>삼성 VD</v>
      </c>
      <c r="D876" t="s">
        <v>1833</v>
      </c>
      <c r="E876" t="s">
        <v>1968</v>
      </c>
      <c r="F876" t="s">
        <v>1969</v>
      </c>
      <c r="G876" t="str">
        <f>VLOOKUP(E876,기본!$F$3:$G$320,2,0)</f>
        <v>MNT</v>
      </c>
      <c r="H876" s="544">
        <v>16848</v>
      </c>
      <c r="I876">
        <v>355.569034176</v>
      </c>
    </row>
    <row r="877" spans="2:9">
      <c r="B877" s="545">
        <v>3</v>
      </c>
      <c r="C877" s="545" t="str">
        <f>VLOOKUP(D877,기본!$B$3:$C$90,2,0)</f>
        <v>삼성 VD</v>
      </c>
      <c r="D877" t="s">
        <v>1833</v>
      </c>
      <c r="E877" t="s">
        <v>1970</v>
      </c>
      <c r="F877" t="s">
        <v>835</v>
      </c>
      <c r="G877" t="str">
        <f>VLOOKUP(E877,기본!$F$3:$G$320,2,0)</f>
        <v>MNT</v>
      </c>
      <c r="H877" s="544">
        <v>456</v>
      </c>
      <c r="I877">
        <v>9.9237875520000003</v>
      </c>
    </row>
    <row r="878" spans="2:9">
      <c r="B878" s="545">
        <v>3</v>
      </c>
      <c r="C878" s="545" t="str">
        <f>VLOOKUP(D878,기본!$B$3:$C$90,2,0)</f>
        <v>삼성 VD</v>
      </c>
      <c r="D878" t="s">
        <v>1833</v>
      </c>
      <c r="E878" t="s">
        <v>1118</v>
      </c>
      <c r="F878" t="s">
        <v>1779</v>
      </c>
      <c r="G878" t="str">
        <f>VLOOKUP(E878,기본!$F$3:$G$320,2,0)</f>
        <v>TV</v>
      </c>
      <c r="H878" s="544">
        <v>144</v>
      </c>
      <c r="I878">
        <v>4.1433068159999991</v>
      </c>
    </row>
    <row r="879" spans="2:9">
      <c r="B879" s="545">
        <v>3</v>
      </c>
      <c r="C879" s="545" t="str">
        <f>VLOOKUP(D879,기본!$B$3:$C$90,2,0)</f>
        <v>삼성 VD</v>
      </c>
      <c r="D879" t="s">
        <v>1833</v>
      </c>
      <c r="E879" t="s">
        <v>1781</v>
      </c>
      <c r="F879" t="s">
        <v>1782</v>
      </c>
      <c r="G879" t="str">
        <f>VLOOKUP(E879,기본!$F$3:$G$320,2,0)</f>
        <v>TV</v>
      </c>
      <c r="H879" s="544">
        <v>26</v>
      </c>
      <c r="I879">
        <v>0.35886176200000003</v>
      </c>
    </row>
    <row r="880" spans="2:9">
      <c r="B880" s="545">
        <v>3</v>
      </c>
      <c r="C880" s="545" t="str">
        <f>VLOOKUP(D880,기본!$B$3:$C$90,2,0)</f>
        <v>삼성 VD</v>
      </c>
      <c r="D880" t="s">
        <v>1833</v>
      </c>
      <c r="E880" t="s">
        <v>1783</v>
      </c>
      <c r="F880" t="s">
        <v>1784</v>
      </c>
      <c r="G880" t="str">
        <f>VLOOKUP(E880,기본!$F$3:$G$320,2,0)</f>
        <v>TV</v>
      </c>
      <c r="H880" s="544">
        <v>299</v>
      </c>
      <c r="I880">
        <v>4.398181417</v>
      </c>
    </row>
    <row r="881" spans="2:9">
      <c r="B881" s="545">
        <v>3</v>
      </c>
      <c r="C881" s="545" t="str">
        <f>VLOOKUP(D881,기본!$B$3:$C$90,2,0)</f>
        <v>삼성 VD</v>
      </c>
      <c r="D881" t="s">
        <v>1833</v>
      </c>
      <c r="E881" t="s">
        <v>1792</v>
      </c>
      <c r="F881" t="s">
        <v>1793</v>
      </c>
      <c r="G881" t="str">
        <f>VLOOKUP(E881,기본!$F$3:$G$320,2,0)</f>
        <v>TV</v>
      </c>
      <c r="H881" s="544">
        <v>897</v>
      </c>
      <c r="I881">
        <v>13.927912406999999</v>
      </c>
    </row>
    <row r="882" spans="2:9">
      <c r="B882" s="545">
        <v>3</v>
      </c>
      <c r="C882" s="545" t="str">
        <f>VLOOKUP(D882,기본!$B$3:$C$90,2,0)</f>
        <v>삼성 VD</v>
      </c>
      <c r="D882" t="s">
        <v>1833</v>
      </c>
      <c r="E882" t="s">
        <v>1834</v>
      </c>
      <c r="F882" t="s">
        <v>1835</v>
      </c>
      <c r="G882" t="str">
        <f>VLOOKUP(E882,기본!$F$3:$G$320,2,0)</f>
        <v>MNT</v>
      </c>
      <c r="H882" s="544">
        <v>1530</v>
      </c>
      <c r="I882">
        <v>16.649851708000003</v>
      </c>
    </row>
    <row r="883" spans="2:9">
      <c r="B883" s="545">
        <v>3</v>
      </c>
      <c r="C883" s="545" t="str">
        <f>VLOOKUP(D883,기본!$B$3:$C$90,2,0)</f>
        <v>삼성 VD</v>
      </c>
      <c r="D883" t="s">
        <v>1833</v>
      </c>
      <c r="E883" t="s">
        <v>993</v>
      </c>
      <c r="F883" t="s">
        <v>992</v>
      </c>
      <c r="G883" t="str">
        <f>VLOOKUP(E883,기본!$F$3:$G$320,2,0)</f>
        <v>MNT</v>
      </c>
      <c r="H883" s="544">
        <v>188</v>
      </c>
      <c r="I883">
        <v>2.2092663720000001</v>
      </c>
    </row>
    <row r="884" spans="2:9">
      <c r="B884" s="545">
        <v>3</v>
      </c>
      <c r="C884" s="545" t="str">
        <f>VLOOKUP(D884,기본!$B$3:$C$90,2,0)</f>
        <v>삼성 VD</v>
      </c>
      <c r="D884" t="s">
        <v>1833</v>
      </c>
      <c r="E884" t="s">
        <v>1785</v>
      </c>
      <c r="F884" t="s">
        <v>1786</v>
      </c>
      <c r="G884" t="str">
        <f>VLOOKUP(E884,기본!$F$3:$G$320,2,0)</f>
        <v>MNT</v>
      </c>
      <c r="H884" s="544">
        <v>2880</v>
      </c>
      <c r="I884">
        <v>55.151380595999996</v>
      </c>
    </row>
    <row r="885" spans="2:9">
      <c r="B885" s="545">
        <v>3</v>
      </c>
      <c r="C885" s="545" t="str">
        <f>VLOOKUP(D885,기본!$B$3:$C$90,2,0)</f>
        <v>삼성 VD</v>
      </c>
      <c r="D885" t="s">
        <v>1833</v>
      </c>
      <c r="E885" t="s">
        <v>1258</v>
      </c>
      <c r="F885" t="s">
        <v>1257</v>
      </c>
      <c r="G885" t="str">
        <f>VLOOKUP(E885,기본!$F$3:$G$320,2,0)</f>
        <v>MNT</v>
      </c>
      <c r="H885" s="544">
        <v>4656</v>
      </c>
      <c r="I885">
        <v>111.01032129799998</v>
      </c>
    </row>
    <row r="886" spans="2:9">
      <c r="B886" s="545">
        <v>3</v>
      </c>
      <c r="C886" s="545" t="str">
        <f>VLOOKUP(D886,기본!$B$3:$C$90,2,0)</f>
        <v>삼성 VD</v>
      </c>
      <c r="D886" t="s">
        <v>1833</v>
      </c>
      <c r="E886" t="s">
        <v>1260</v>
      </c>
      <c r="F886" t="s">
        <v>1259</v>
      </c>
      <c r="G886" t="str">
        <f>VLOOKUP(E886,기본!$F$3:$G$320,2,0)</f>
        <v>MNT</v>
      </c>
      <c r="H886" s="544">
        <v>264</v>
      </c>
      <c r="I886">
        <v>6.7103460479999999</v>
      </c>
    </row>
    <row r="887" spans="2:9">
      <c r="B887" s="545">
        <v>3</v>
      </c>
      <c r="C887" s="545" t="str">
        <f>VLOOKUP(D887,기본!$B$3:$C$90,2,0)</f>
        <v>삼성 VD</v>
      </c>
      <c r="D887" t="s">
        <v>1833</v>
      </c>
      <c r="E887" t="s">
        <v>1787</v>
      </c>
      <c r="F887" t="s">
        <v>1788</v>
      </c>
      <c r="G887" t="str">
        <f>VLOOKUP(E887,기본!$F$3:$G$320,2,0)</f>
        <v>MNT</v>
      </c>
      <c r="H887" s="544">
        <v>13380</v>
      </c>
      <c r="I887">
        <v>541.18656071999999</v>
      </c>
    </row>
    <row r="888" spans="2:9">
      <c r="B888" s="545">
        <v>3</v>
      </c>
      <c r="C888" s="545" t="str">
        <f>VLOOKUP(D888,기본!$B$3:$C$90,2,0)</f>
        <v>삼성 VD</v>
      </c>
      <c r="D888" t="s">
        <v>1833</v>
      </c>
      <c r="E888" t="s">
        <v>1837</v>
      </c>
      <c r="F888" t="s">
        <v>1838</v>
      </c>
      <c r="G888" t="str">
        <f>VLOOKUP(E888,기본!$F$3:$G$320,2,0)</f>
        <v>MNT</v>
      </c>
      <c r="H888" s="544">
        <v>12096</v>
      </c>
      <c r="I888">
        <v>214.547332608</v>
      </c>
    </row>
    <row r="889" spans="2:9">
      <c r="B889" s="545">
        <v>3</v>
      </c>
      <c r="C889" s="545" t="str">
        <f>VLOOKUP(D889,기본!$B$3:$C$90,2,0)</f>
        <v>삼성 VD</v>
      </c>
      <c r="D889" t="s">
        <v>1833</v>
      </c>
      <c r="E889" t="s">
        <v>2051</v>
      </c>
      <c r="F889" t="s">
        <v>2020</v>
      </c>
      <c r="G889" t="str">
        <f>VLOOKUP(E889,기본!$F$3:$G$320,2,0)</f>
        <v>MNT</v>
      </c>
      <c r="H889" s="544">
        <v>34254</v>
      </c>
      <c r="I889">
        <v>187.846053192</v>
      </c>
    </row>
    <row r="890" spans="2:9">
      <c r="B890" s="545">
        <v>3</v>
      </c>
      <c r="C890" s="545" t="str">
        <f>VLOOKUP(D890,기본!$B$3:$C$90,2,0)</f>
        <v>삼성 VD</v>
      </c>
      <c r="D890" t="s">
        <v>1833</v>
      </c>
      <c r="E890" t="s">
        <v>2184</v>
      </c>
      <c r="F890" t="s">
        <v>1749</v>
      </c>
      <c r="G890" t="str">
        <f>VLOOKUP(E890,기본!$F$3:$G$320,2,0)</f>
        <v>MNT</v>
      </c>
      <c r="H890" s="544">
        <v>2376</v>
      </c>
      <c r="I890">
        <v>14.802394463999999</v>
      </c>
    </row>
    <row r="891" spans="2:9">
      <c r="B891" s="545">
        <v>3</v>
      </c>
      <c r="C891" s="545" t="str">
        <f>VLOOKUP(D891,기본!$B$3:$C$90,2,0)</f>
        <v>삼성 VD</v>
      </c>
      <c r="D891" t="s">
        <v>1833</v>
      </c>
      <c r="E891" t="s">
        <v>2054</v>
      </c>
      <c r="F891" t="s">
        <v>1750</v>
      </c>
      <c r="G891" t="str">
        <f>VLOOKUP(E891,기본!$F$3:$G$320,2,0)</f>
        <v>MNT</v>
      </c>
      <c r="H891" s="544">
        <v>14276</v>
      </c>
      <c r="I891">
        <v>103.374763481</v>
      </c>
    </row>
    <row r="892" spans="2:9">
      <c r="B892" s="545">
        <v>3</v>
      </c>
      <c r="C892" s="545" t="str">
        <f>VLOOKUP(D892,기본!$B$3:$C$90,2,0)</f>
        <v>삼성 VD</v>
      </c>
      <c r="D892" t="s">
        <v>1833</v>
      </c>
      <c r="E892" t="s">
        <v>2110</v>
      </c>
      <c r="F892" t="s">
        <v>1748</v>
      </c>
      <c r="G892" t="str">
        <f>VLOOKUP(E892,기본!$F$3:$G$320,2,0)</f>
        <v>MNT</v>
      </c>
      <c r="H892" s="544">
        <v>481</v>
      </c>
      <c r="I892">
        <v>5.6440440899999995</v>
      </c>
    </row>
    <row r="893" spans="2:9">
      <c r="B893" s="545">
        <v>3</v>
      </c>
      <c r="C893" s="545" t="str">
        <f>VLOOKUP(D893,기본!$B$3:$C$90,2,0)</f>
        <v>삼성 VD</v>
      </c>
      <c r="D893" t="s">
        <v>1833</v>
      </c>
      <c r="E893" t="s">
        <v>2114</v>
      </c>
      <c r="F893" t="s">
        <v>1748</v>
      </c>
      <c r="G893" t="str">
        <f>VLOOKUP(E893,기본!$F$3:$G$320,2,0)</f>
        <v>MNT</v>
      </c>
      <c r="H893" s="544">
        <v>44</v>
      </c>
      <c r="I893">
        <v>0.51440281199999993</v>
      </c>
    </row>
    <row r="894" spans="2:9">
      <c r="B894" s="545">
        <v>3</v>
      </c>
      <c r="C894" s="545" t="str">
        <f>VLOOKUP(D894,기본!$B$3:$C$90,2,0)</f>
        <v>삼성 VD</v>
      </c>
      <c r="D894" t="s">
        <v>1833</v>
      </c>
      <c r="E894" t="s">
        <v>2120</v>
      </c>
      <c r="F894" t="s">
        <v>1748</v>
      </c>
      <c r="G894" t="str">
        <f>VLOOKUP(E894,기본!$F$3:$G$320,2,0)</f>
        <v>MNT</v>
      </c>
      <c r="H894" s="544">
        <v>1118</v>
      </c>
      <c r="I894">
        <v>13.090834494000001</v>
      </c>
    </row>
    <row r="895" spans="2:9">
      <c r="B895" s="545">
        <v>3</v>
      </c>
      <c r="C895" s="545" t="str">
        <f>VLOOKUP(D895,기본!$B$3:$C$90,2,0)</f>
        <v>삼성 VD</v>
      </c>
      <c r="D895" t="s">
        <v>1833</v>
      </c>
      <c r="E895" t="s">
        <v>2070</v>
      </c>
      <c r="F895" t="s">
        <v>1746</v>
      </c>
      <c r="G895" t="str">
        <f>VLOOKUP(E895,기본!$F$3:$G$320,2,0)</f>
        <v>MNT</v>
      </c>
      <c r="H895" s="544">
        <v>6</v>
      </c>
      <c r="I895">
        <v>4.2926183999999992E-2</v>
      </c>
    </row>
    <row r="896" spans="2:9">
      <c r="B896" s="545">
        <v>3</v>
      </c>
      <c r="C896" s="545" t="str">
        <f>VLOOKUP(D896,기본!$B$3:$C$90,2,0)</f>
        <v>삼성 VD</v>
      </c>
      <c r="D896" t="s">
        <v>1833</v>
      </c>
      <c r="E896" t="s">
        <v>2074</v>
      </c>
      <c r="F896" t="s">
        <v>1746</v>
      </c>
      <c r="G896" t="str">
        <f>VLOOKUP(E896,기본!$F$3:$G$320,2,0)</f>
        <v>MNT</v>
      </c>
      <c r="H896" s="544">
        <v>2827</v>
      </c>
      <c r="I896">
        <v>20.251959425999999</v>
      </c>
    </row>
    <row r="897" spans="2:9">
      <c r="B897" s="545">
        <v>3</v>
      </c>
      <c r="C897" s="545" t="str">
        <f>VLOOKUP(D897,기본!$B$3:$C$90,2,0)</f>
        <v>삼성 VD</v>
      </c>
      <c r="D897" t="s">
        <v>1833</v>
      </c>
      <c r="E897" t="s">
        <v>2076</v>
      </c>
      <c r="F897" t="s">
        <v>1746</v>
      </c>
      <c r="G897" t="str">
        <f>VLOOKUP(E897,기본!$F$3:$G$320,2,0)</f>
        <v>MNT</v>
      </c>
      <c r="H897" s="544">
        <v>111</v>
      </c>
      <c r="I897">
        <v>0.8012998979999999</v>
      </c>
    </row>
    <row r="898" spans="2:9">
      <c r="B898" s="545">
        <v>3</v>
      </c>
      <c r="C898" s="545" t="str">
        <f>VLOOKUP(D898,기본!$B$3:$C$90,2,0)</f>
        <v>삼성 VD</v>
      </c>
      <c r="D898" t="s">
        <v>1833</v>
      </c>
      <c r="E898" t="s">
        <v>2078</v>
      </c>
      <c r="F898" t="s">
        <v>1746</v>
      </c>
      <c r="G898" t="str">
        <f>VLOOKUP(E898,기본!$F$3:$G$320,2,0)</f>
        <v>MNT</v>
      </c>
      <c r="H898" s="544">
        <v>115</v>
      </c>
      <c r="I898">
        <v>0.82419971399999992</v>
      </c>
    </row>
    <row r="899" spans="2:9">
      <c r="B899" s="545">
        <v>3</v>
      </c>
      <c r="C899" s="545" t="str">
        <f>VLOOKUP(D899,기본!$B$3:$C$90,2,0)</f>
        <v>삼성 VD</v>
      </c>
      <c r="D899" t="s">
        <v>1833</v>
      </c>
      <c r="E899" t="s">
        <v>2084</v>
      </c>
      <c r="F899" t="s">
        <v>1746</v>
      </c>
      <c r="G899" t="str">
        <f>VLOOKUP(E899,기본!$F$3:$G$320,2,0)</f>
        <v>MNT</v>
      </c>
      <c r="H899" s="544">
        <v>1190</v>
      </c>
      <c r="I899">
        <v>8.5582815300000004</v>
      </c>
    </row>
    <row r="900" spans="2:9">
      <c r="B900" s="545">
        <v>3</v>
      </c>
      <c r="C900" s="545" t="str">
        <f>VLOOKUP(D900,기본!$B$3:$C$90,2,0)</f>
        <v>삼성 VD</v>
      </c>
      <c r="D900" t="s">
        <v>1833</v>
      </c>
      <c r="E900" t="s">
        <v>2088</v>
      </c>
      <c r="F900" t="s">
        <v>1747</v>
      </c>
      <c r="G900" t="str">
        <f>VLOOKUP(E900,기본!$F$3:$G$320,2,0)</f>
        <v>MNT</v>
      </c>
      <c r="H900" s="544">
        <v>145</v>
      </c>
      <c r="I900">
        <v>1.0407672539999999</v>
      </c>
    </row>
    <row r="901" spans="2:9">
      <c r="B901" s="545">
        <v>3</v>
      </c>
      <c r="C901" s="545" t="str">
        <f>VLOOKUP(D901,기본!$B$3:$C$90,2,0)</f>
        <v>삼성 VD</v>
      </c>
      <c r="D901" t="s">
        <v>1833</v>
      </c>
      <c r="E901" t="s">
        <v>2094</v>
      </c>
      <c r="F901" t="s">
        <v>1747</v>
      </c>
      <c r="G901" t="str">
        <f>VLOOKUP(E901,기본!$F$3:$G$320,2,0)</f>
        <v>MNT</v>
      </c>
      <c r="H901" s="544">
        <v>922</v>
      </c>
      <c r="I901">
        <v>6.5052607039999994</v>
      </c>
    </row>
    <row r="902" spans="2:9">
      <c r="B902" s="545">
        <v>3</v>
      </c>
      <c r="C902" s="545" t="str">
        <f>VLOOKUP(D902,기본!$B$3:$C$90,2,0)</f>
        <v>삼성 VD</v>
      </c>
      <c r="D902" t="s">
        <v>1833</v>
      </c>
      <c r="E902" t="s">
        <v>2096</v>
      </c>
      <c r="F902" t="s">
        <v>1747</v>
      </c>
      <c r="G902" t="str">
        <f>VLOOKUP(E902,기본!$F$3:$G$320,2,0)</f>
        <v>MNT</v>
      </c>
      <c r="H902" s="544">
        <v>43</v>
      </c>
      <c r="I902">
        <v>0.30828319199999998</v>
      </c>
    </row>
    <row r="903" spans="2:9">
      <c r="B903" s="545">
        <v>3</v>
      </c>
      <c r="C903" s="545" t="str">
        <f>VLOOKUP(D903,기본!$B$3:$C$90,2,0)</f>
        <v>삼성 VD</v>
      </c>
      <c r="D903" t="s">
        <v>1833</v>
      </c>
      <c r="E903" t="s">
        <v>2098</v>
      </c>
      <c r="F903" t="s">
        <v>1747</v>
      </c>
      <c r="G903" t="str">
        <f>VLOOKUP(E903,기본!$F$3:$G$320,2,0)</f>
        <v>MNT</v>
      </c>
      <c r="H903" s="544">
        <v>10</v>
      </c>
      <c r="I903">
        <v>7.1220869999999992E-2</v>
      </c>
    </row>
    <row r="904" spans="2:9">
      <c r="B904" s="545">
        <v>3</v>
      </c>
      <c r="C904" s="545" t="str">
        <f>VLOOKUP(D904,기본!$B$3:$C$90,2,0)</f>
        <v>삼성 VD</v>
      </c>
      <c r="D904" t="s">
        <v>1833</v>
      </c>
      <c r="E904" t="s">
        <v>2102</v>
      </c>
      <c r="F904" t="s">
        <v>1747</v>
      </c>
      <c r="G904" t="str">
        <f>VLOOKUP(E904,기본!$F$3:$G$320,2,0)</f>
        <v>MNT</v>
      </c>
      <c r="H904" s="544">
        <v>389</v>
      </c>
      <c r="I904">
        <v>2.7782798219999996</v>
      </c>
    </row>
    <row r="905" spans="2:9">
      <c r="B905" s="545">
        <v>3</v>
      </c>
      <c r="C905" s="545" t="str">
        <f>VLOOKUP(D905,기본!$B$3:$C$90,2,0)</f>
        <v>삼성 VD</v>
      </c>
      <c r="D905" t="s">
        <v>1833</v>
      </c>
      <c r="E905" t="s">
        <v>2104</v>
      </c>
      <c r="F905" t="s">
        <v>1747</v>
      </c>
      <c r="G905" t="str">
        <f>VLOOKUP(E905,기본!$F$3:$G$320,2,0)</f>
        <v>MNT</v>
      </c>
      <c r="H905" s="544">
        <v>162</v>
      </c>
      <c r="I905">
        <v>1.1543037479999998</v>
      </c>
    </row>
    <row r="906" spans="2:9">
      <c r="B906" s="545">
        <v>3</v>
      </c>
      <c r="C906" s="545" t="str">
        <f>VLOOKUP(D906,기본!$B$3:$C$90,2,0)</f>
        <v>삼성 VD</v>
      </c>
      <c r="D906" t="s">
        <v>1833</v>
      </c>
      <c r="E906" t="s">
        <v>2252</v>
      </c>
      <c r="F906" t="s">
        <v>2264</v>
      </c>
      <c r="G906" t="str">
        <f>VLOOKUP(E906,기본!$F$3:$G$320,2,0)</f>
        <v>MNT</v>
      </c>
      <c r="H906" s="544">
        <v>18368</v>
      </c>
      <c r="I906">
        <v>148.835130752</v>
      </c>
    </row>
    <row r="907" spans="2:9">
      <c r="B907" s="545">
        <v>3</v>
      </c>
      <c r="C907" s="545" t="str">
        <f>VLOOKUP(D907,기본!$B$3:$C$90,2,0)</f>
        <v>삼성 VD</v>
      </c>
      <c r="D907" t="s">
        <v>1833</v>
      </c>
      <c r="E907" t="s">
        <v>2265</v>
      </c>
      <c r="F907" t="s">
        <v>2266</v>
      </c>
      <c r="G907" t="str">
        <f>VLOOKUP(E907,기본!$F$3:$G$320,2,0)</f>
        <v>MNT</v>
      </c>
      <c r="H907" s="544">
        <v>2956</v>
      </c>
      <c r="I907">
        <v>25.510862159999999</v>
      </c>
    </row>
    <row r="908" spans="2:9">
      <c r="B908" s="545">
        <v>3</v>
      </c>
      <c r="C908" s="545" t="str">
        <f>VLOOKUP(D908,기본!$B$3:$C$90,2,0)</f>
        <v>삼성 VD</v>
      </c>
      <c r="D908" t="s">
        <v>1833</v>
      </c>
      <c r="E908" t="s">
        <v>2420</v>
      </c>
      <c r="F908" t="s">
        <v>2421</v>
      </c>
      <c r="G908" t="str">
        <f>VLOOKUP(E908,기본!$F$3:$G$320,2,0)</f>
        <v>MNT</v>
      </c>
      <c r="H908" s="544">
        <v>637</v>
      </c>
      <c r="I908">
        <v>5.1794845200000008</v>
      </c>
    </row>
    <row r="909" spans="2:9">
      <c r="B909" s="545">
        <v>3</v>
      </c>
      <c r="C909" s="545" t="str">
        <f>VLOOKUP(D909,기본!$B$3:$C$90,2,0)</f>
        <v>삼성 VD</v>
      </c>
      <c r="D909" t="s">
        <v>1833</v>
      </c>
      <c r="E909" t="s">
        <v>2422</v>
      </c>
      <c r="F909" t="s">
        <v>2423</v>
      </c>
      <c r="G909" t="str">
        <f>VLOOKUP(E909,기본!$F$3:$G$320,2,0)</f>
        <v>MNT</v>
      </c>
      <c r="H909" s="544">
        <v>560</v>
      </c>
      <c r="I909">
        <v>4.8731479999999996</v>
      </c>
    </row>
    <row r="910" spans="2:9">
      <c r="B910" s="545">
        <v>3</v>
      </c>
      <c r="C910" s="545" t="str">
        <f>VLOOKUP(D910,기본!$B$3:$C$90,2,0)</f>
        <v>삼성 VD</v>
      </c>
      <c r="D910" t="s">
        <v>1833</v>
      </c>
      <c r="E910" t="s">
        <v>2185</v>
      </c>
      <c r="F910" t="s">
        <v>2186</v>
      </c>
      <c r="G910" t="str">
        <f>VLOOKUP(E910,기본!$F$3:$G$320,2,0)</f>
        <v>MNT</v>
      </c>
      <c r="H910" s="544">
        <v>6660</v>
      </c>
      <c r="I910">
        <v>327.41694417600002</v>
      </c>
    </row>
    <row r="911" spans="2:9">
      <c r="B911" s="545">
        <v>3</v>
      </c>
      <c r="C911" s="545" t="str">
        <f>VLOOKUP(D911,기본!$B$3:$C$90,2,0)</f>
        <v>삼성 VD</v>
      </c>
      <c r="D911" t="s">
        <v>1833</v>
      </c>
      <c r="E911" t="s">
        <v>2414</v>
      </c>
      <c r="F911" t="s">
        <v>2415</v>
      </c>
      <c r="G911" t="str">
        <f>VLOOKUP(E911,기본!$F$3:$G$320,2,0)</f>
        <v>TV</v>
      </c>
      <c r="H911" s="544">
        <v>9366</v>
      </c>
      <c r="I911">
        <v>126.15308916000002</v>
      </c>
    </row>
    <row r="912" spans="2:9">
      <c r="B912" s="545">
        <v>3</v>
      </c>
      <c r="C912" s="545" t="str">
        <f>VLOOKUP(D912,기본!$B$3:$C$90,2,0)</f>
        <v>삼성 VD</v>
      </c>
      <c r="D912" t="s">
        <v>1833</v>
      </c>
      <c r="E912" t="s">
        <v>2441</v>
      </c>
      <c r="F912" t="s">
        <v>2438</v>
      </c>
      <c r="G912" t="str">
        <f>VLOOKUP(E912,기본!$F$3:$G$320,2,0)</f>
        <v>TV</v>
      </c>
      <c r="H912" s="544">
        <v>3570</v>
      </c>
      <c r="I912">
        <v>49.593474000000001</v>
      </c>
    </row>
    <row r="913" spans="2:9">
      <c r="B913" s="545">
        <v>3</v>
      </c>
      <c r="C913" s="545" t="str">
        <f>VLOOKUP(D913,기본!$B$3:$C$90,2,0)</f>
        <v>삼성 VD</v>
      </c>
      <c r="D913" t="s">
        <v>1833</v>
      </c>
      <c r="E913" t="s">
        <v>2443</v>
      </c>
      <c r="F913" t="s">
        <v>2440</v>
      </c>
      <c r="G913" t="str">
        <f>VLOOKUP(E913,기본!$F$3:$G$320,2,0)</f>
        <v>TV</v>
      </c>
      <c r="H913" s="544">
        <v>2520</v>
      </c>
      <c r="I913">
        <v>58.541338800000005</v>
      </c>
    </row>
    <row r="914" spans="2:9">
      <c r="B914" s="545">
        <v>3</v>
      </c>
      <c r="C914" s="545" t="str">
        <f>VLOOKUP(D914,기본!$B$3:$C$90,2,0)</f>
        <v>삼성 VD</v>
      </c>
      <c r="D914" t="s">
        <v>1833</v>
      </c>
      <c r="E914" t="s">
        <v>1841</v>
      </c>
      <c r="F914" t="s">
        <v>1842</v>
      </c>
      <c r="G914" t="str">
        <f>VLOOKUP(E914,기본!$F$3:$G$320,2,0)</f>
        <v>MNT</v>
      </c>
      <c r="H914" s="544">
        <v>243</v>
      </c>
      <c r="I914">
        <v>3.4836499439999997</v>
      </c>
    </row>
    <row r="915" spans="2:9">
      <c r="B915" s="545">
        <v>3</v>
      </c>
      <c r="C915" s="545" t="str">
        <f>VLOOKUP(D915,기본!$B$3:$C$90,2,0)</f>
        <v>삼성 VD</v>
      </c>
      <c r="D915" t="s">
        <v>1833</v>
      </c>
      <c r="E915" t="s">
        <v>676</v>
      </c>
      <c r="F915" t="s">
        <v>1790</v>
      </c>
      <c r="G915" t="str">
        <f>VLOOKUP(E915,기본!$F$3:$G$320,2,0)</f>
        <v>MNT</v>
      </c>
      <c r="H915" s="544">
        <v>143880</v>
      </c>
      <c r="I915">
        <v>520.4177008800001</v>
      </c>
    </row>
    <row r="916" spans="2:9">
      <c r="B916" s="545">
        <v>3</v>
      </c>
      <c r="C916" s="545" t="str">
        <f>VLOOKUP(D916,기본!$B$3:$C$90,2,0)</f>
        <v>삼성 VD</v>
      </c>
      <c r="D916" t="s">
        <v>1833</v>
      </c>
      <c r="E916" t="s">
        <v>677</v>
      </c>
      <c r="F916" t="s">
        <v>1848</v>
      </c>
      <c r="G916" t="str">
        <f>VLOOKUP(E916,기본!$F$3:$G$320,2,0)</f>
        <v>MNT</v>
      </c>
      <c r="H916" s="544">
        <v>41184</v>
      </c>
      <c r="I916">
        <v>188.23015411200001</v>
      </c>
    </row>
    <row r="917" spans="2:9">
      <c r="B917" s="545">
        <v>3</v>
      </c>
      <c r="C917" s="545" t="str">
        <f>VLOOKUP(D917,기본!$B$3:$C$90,2,0)</f>
        <v>삼성 VD</v>
      </c>
      <c r="D917" t="s">
        <v>1833</v>
      </c>
      <c r="E917" t="s">
        <v>2267</v>
      </c>
      <c r="F917" t="s">
        <v>2267</v>
      </c>
      <c r="G917" t="str">
        <f>VLOOKUP(E917,기본!$F$3:$G$320,2,0)</f>
        <v>MNT</v>
      </c>
      <c r="H917" s="544">
        <v>2304</v>
      </c>
      <c r="I917">
        <v>44.266915663999995</v>
      </c>
    </row>
    <row r="918" spans="2:9">
      <c r="B918" s="545">
        <v>3</v>
      </c>
      <c r="C918" s="545" t="str">
        <f>VLOOKUP(D918,기본!$B$3:$C$90,2,0)</f>
        <v>삼성 생활가전</v>
      </c>
      <c r="D918" t="s">
        <v>1843</v>
      </c>
      <c r="E918" t="s">
        <v>1844</v>
      </c>
      <c r="F918" t="s">
        <v>1844</v>
      </c>
      <c r="G918" t="e">
        <f>VLOOKUP(E918,기본!$F$3:$G$320,2,0)</f>
        <v>#N/A</v>
      </c>
      <c r="H918" s="544">
        <v>37344</v>
      </c>
      <c r="I918">
        <v>295.14796031999998</v>
      </c>
    </row>
    <row r="919" spans="2:9">
      <c r="B919" s="545">
        <v>3</v>
      </c>
      <c r="C919" s="545" t="str">
        <f>VLOOKUP(D919,기본!$B$3:$C$90,2,0)</f>
        <v>삼성 생활가전</v>
      </c>
      <c r="D919" t="s">
        <v>1843</v>
      </c>
      <c r="E919" t="s">
        <v>2023</v>
      </c>
      <c r="F919" t="s">
        <v>2023</v>
      </c>
      <c r="G919" t="e">
        <f>VLOOKUP(E919,기본!$F$3:$G$320,2,0)</f>
        <v>#N/A</v>
      </c>
      <c r="H919" s="544">
        <v>4320</v>
      </c>
      <c r="I919">
        <v>34.947231840000001</v>
      </c>
    </row>
    <row r="920" spans="2:9">
      <c r="B920" s="545">
        <v>3</v>
      </c>
      <c r="C920" s="545" t="str">
        <f>VLOOKUP(D920,기본!$B$3:$C$90,2,0)</f>
        <v>삼성 생활가전</v>
      </c>
      <c r="D920" t="s">
        <v>1843</v>
      </c>
      <c r="E920" t="s">
        <v>1845</v>
      </c>
      <c r="F920" t="s">
        <v>1845</v>
      </c>
      <c r="G920" t="e">
        <f>VLOOKUP(E920,기본!$F$3:$G$320,2,0)</f>
        <v>#N/A</v>
      </c>
      <c r="H920" s="544">
        <v>1056</v>
      </c>
      <c r="I920">
        <v>8.5527187199999997</v>
      </c>
    </row>
    <row r="921" spans="2:9">
      <c r="B921" s="545">
        <v>3</v>
      </c>
      <c r="C921" s="545" t="str">
        <f>VLOOKUP(D921,기본!$B$3:$C$90,2,0)</f>
        <v>삼성 생활가전</v>
      </c>
      <c r="D921" t="s">
        <v>1843</v>
      </c>
      <c r="E921" t="s">
        <v>2024</v>
      </c>
      <c r="F921" t="s">
        <v>2024</v>
      </c>
      <c r="G921" t="e">
        <f>VLOOKUP(E921,기본!$F$3:$G$320,2,0)</f>
        <v>#N/A</v>
      </c>
      <c r="H921" s="544">
        <v>864</v>
      </c>
      <c r="I921">
        <v>7.14776832</v>
      </c>
    </row>
    <row r="922" spans="2:9">
      <c r="B922" s="545">
        <v>3</v>
      </c>
      <c r="C922" s="545" t="str">
        <f>VLOOKUP(D922,기본!$B$3:$C$90,2,0)</f>
        <v>삼성 생활가전</v>
      </c>
      <c r="D922" t="s">
        <v>1843</v>
      </c>
      <c r="E922" t="s">
        <v>1846</v>
      </c>
      <c r="F922" t="s">
        <v>1846</v>
      </c>
      <c r="G922" t="e">
        <f>VLOOKUP(E922,기본!$F$3:$G$320,2,0)</f>
        <v>#N/A</v>
      </c>
      <c r="H922" s="544">
        <v>18432</v>
      </c>
      <c r="I922">
        <v>159.162338304</v>
      </c>
    </row>
    <row r="923" spans="2:9">
      <c r="B923" s="545">
        <v>3</v>
      </c>
      <c r="C923" s="545" t="str">
        <f>VLOOKUP(D923,기본!$B$3:$C$90,2,0)</f>
        <v>삼성 생활가전</v>
      </c>
      <c r="D923" t="s">
        <v>1843</v>
      </c>
      <c r="E923" t="s">
        <v>2018</v>
      </c>
      <c r="F923" t="s">
        <v>2018</v>
      </c>
      <c r="G923" t="e">
        <f>VLOOKUP(E923,기본!$F$3:$G$320,2,0)</f>
        <v>#N/A</v>
      </c>
      <c r="H923" s="544">
        <v>600</v>
      </c>
      <c r="I923">
        <v>5.3751600000000002</v>
      </c>
    </row>
    <row r="924" spans="2:9">
      <c r="B924" s="545">
        <v>3</v>
      </c>
      <c r="C924" s="545" t="str">
        <f>VLOOKUP(D924,기본!$B$3:$C$90,2,0)</f>
        <v>삼성 생활가전</v>
      </c>
      <c r="D924" t="s">
        <v>1843</v>
      </c>
      <c r="E924" t="s">
        <v>1867</v>
      </c>
      <c r="F924" t="s">
        <v>1867</v>
      </c>
      <c r="G924" t="e">
        <f>VLOOKUP(E924,기본!$F$3:$G$320,2,0)</f>
        <v>#N/A</v>
      </c>
      <c r="H924" s="544">
        <v>1152</v>
      </c>
      <c r="I924">
        <v>10.50929472</v>
      </c>
    </row>
    <row r="925" spans="2:9">
      <c r="B925" s="545">
        <v>3</v>
      </c>
      <c r="C925" s="545" t="str">
        <f>VLOOKUP(D925,기본!$B$3:$C$90,2,0)</f>
        <v>삼성 생활가전</v>
      </c>
      <c r="D925" t="s">
        <v>1843</v>
      </c>
      <c r="E925" t="s">
        <v>2019</v>
      </c>
      <c r="F925" t="s">
        <v>2019</v>
      </c>
      <c r="G925" t="e">
        <f>VLOOKUP(E925,기본!$F$3:$G$320,2,0)</f>
        <v>#N/A</v>
      </c>
      <c r="H925" s="544">
        <v>1008</v>
      </c>
      <c r="I925">
        <v>9.1454655599999999</v>
      </c>
    </row>
    <row r="926" spans="2:9">
      <c r="B926" s="545">
        <v>3</v>
      </c>
      <c r="C926" s="545" t="str">
        <f>VLOOKUP(D926,기본!$B$3:$C$90,2,0)</f>
        <v>삼성 생활가전</v>
      </c>
      <c r="D926" t="s">
        <v>1849</v>
      </c>
      <c r="E926" t="s">
        <v>2033</v>
      </c>
      <c r="F926" t="s">
        <v>2033</v>
      </c>
      <c r="G926" t="e">
        <f>VLOOKUP(E926,기본!$F$3:$G$320,2,0)</f>
        <v>#N/A</v>
      </c>
      <c r="H926" s="544">
        <v>672</v>
      </c>
      <c r="I926">
        <v>8.6178637439999992</v>
      </c>
    </row>
    <row r="927" spans="2:9">
      <c r="B927" s="545">
        <v>3</v>
      </c>
      <c r="C927" s="545" t="str">
        <f>VLOOKUP(D927,기본!$B$3:$C$90,2,0)</f>
        <v>MNT JDM</v>
      </c>
      <c r="D927" t="s">
        <v>1851</v>
      </c>
      <c r="E927" t="s">
        <v>676</v>
      </c>
      <c r="F927" t="s">
        <v>1971</v>
      </c>
      <c r="G927" t="str">
        <f>VLOOKUP(E927,기본!$F$3:$G$320,2,0)</f>
        <v>MNT</v>
      </c>
      <c r="H927" s="544">
        <v>71808</v>
      </c>
      <c r="I927">
        <v>355.279981056</v>
      </c>
    </row>
    <row r="928" spans="2:9">
      <c r="B928" s="545">
        <v>3</v>
      </c>
      <c r="C928" s="545" t="str">
        <f>VLOOKUP(D928,기본!$B$3:$C$90,2,0)</f>
        <v>MNT JDM</v>
      </c>
      <c r="D928" t="s">
        <v>1851</v>
      </c>
      <c r="E928" t="s">
        <v>1110</v>
      </c>
      <c r="F928" t="s">
        <v>2013</v>
      </c>
      <c r="G928" t="str">
        <f>VLOOKUP(E928,기본!$F$3:$G$320,2,0)</f>
        <v>MNT</v>
      </c>
      <c r="H928" s="544">
        <v>38016</v>
      </c>
      <c r="I928">
        <v>232.68257443199997</v>
      </c>
    </row>
    <row r="929" spans="2:9">
      <c r="B929" s="545">
        <v>3</v>
      </c>
      <c r="C929" s="545" t="str">
        <f>VLOOKUP(D929,기본!$B$3:$C$90,2,0)</f>
        <v>HP</v>
      </c>
      <c r="D929" t="s">
        <v>1852</v>
      </c>
      <c r="E929" t="s">
        <v>1247</v>
      </c>
      <c r="F929" t="s">
        <v>1243</v>
      </c>
      <c r="G929" t="e">
        <f>VLOOKUP(E929,기본!$F$3:$G$320,2,0)</f>
        <v>#N/A</v>
      </c>
      <c r="H929" s="544">
        <v>960</v>
      </c>
      <c r="I929">
        <v>28.456563456000001</v>
      </c>
    </row>
    <row r="930" spans="2:9">
      <c r="B930" s="545">
        <v>3</v>
      </c>
      <c r="C930" s="545" t="str">
        <f>VLOOKUP(D930,기본!$B$3:$C$90,2,0)</f>
        <v>HP</v>
      </c>
      <c r="D930" t="s">
        <v>1852</v>
      </c>
      <c r="E930" t="s">
        <v>1248</v>
      </c>
      <c r="F930" t="s">
        <v>1244</v>
      </c>
      <c r="G930" t="e">
        <f>VLOOKUP(E930,기본!$F$3:$G$320,2,0)</f>
        <v>#N/A</v>
      </c>
      <c r="H930" s="544">
        <v>1536</v>
      </c>
      <c r="I930">
        <v>55.48602009599999</v>
      </c>
    </row>
    <row r="931" spans="2:9">
      <c r="B931" s="545">
        <v>3</v>
      </c>
      <c r="C931" s="545" t="str">
        <f>VLOOKUP(D931,기본!$B$3:$C$90,2,0)</f>
        <v>HP</v>
      </c>
      <c r="D931" t="s">
        <v>1852</v>
      </c>
      <c r="E931" t="s">
        <v>1249</v>
      </c>
      <c r="F931" t="s">
        <v>1245</v>
      </c>
      <c r="G931" t="e">
        <f>VLOOKUP(E931,기본!$F$3:$G$320,2,0)</f>
        <v>#N/A</v>
      </c>
      <c r="H931" s="544">
        <v>1152</v>
      </c>
      <c r="I931">
        <v>37.110877823999999</v>
      </c>
    </row>
    <row r="932" spans="2:9">
      <c r="B932" s="545">
        <v>3</v>
      </c>
      <c r="C932" s="545" t="str">
        <f>VLOOKUP(D932,기본!$B$3:$C$90,2,0)</f>
        <v>HP</v>
      </c>
      <c r="D932" t="s">
        <v>1852</v>
      </c>
      <c r="E932" t="s">
        <v>1853</v>
      </c>
      <c r="F932" t="s">
        <v>1854</v>
      </c>
      <c r="G932" t="e">
        <f>VLOOKUP(E932,기본!$F$3:$G$320,2,0)</f>
        <v>#N/A</v>
      </c>
      <c r="H932" s="544">
        <v>2800</v>
      </c>
      <c r="I932">
        <v>38.379579839999998</v>
      </c>
    </row>
    <row r="933" spans="2:9">
      <c r="B933" s="545">
        <v>3</v>
      </c>
      <c r="C933" s="545" t="str">
        <f>VLOOKUP(D933,기본!$B$3:$C$90,2,0)</f>
        <v>HP</v>
      </c>
      <c r="D933" t="s">
        <v>1852</v>
      </c>
      <c r="E933" t="s">
        <v>1972</v>
      </c>
      <c r="F933" t="s">
        <v>187</v>
      </c>
      <c r="G933" t="e">
        <f>VLOOKUP(E933,기본!$F$3:$G$320,2,0)</f>
        <v>#N/A</v>
      </c>
      <c r="H933" s="544">
        <v>9720</v>
      </c>
      <c r="I933">
        <v>51.232262400000003</v>
      </c>
    </row>
    <row r="934" spans="2:9">
      <c r="B934" s="545">
        <v>3</v>
      </c>
      <c r="C934" s="545" t="str">
        <f>VLOOKUP(D934,기본!$B$3:$C$90,2,0)</f>
        <v>HP</v>
      </c>
      <c r="D934" t="s">
        <v>1852</v>
      </c>
      <c r="E934" t="s">
        <v>1855</v>
      </c>
      <c r="F934" t="s">
        <v>642</v>
      </c>
      <c r="G934" t="e">
        <f>VLOOKUP(E934,기본!$F$3:$G$320,2,0)</f>
        <v>#N/A</v>
      </c>
      <c r="H934" s="544">
        <v>10800</v>
      </c>
      <c r="I934">
        <v>93.365737920000015</v>
      </c>
    </row>
    <row r="935" spans="2:9">
      <c r="B935" s="545">
        <v>3</v>
      </c>
      <c r="C935" s="545" t="str">
        <f>VLOOKUP(D935,기본!$B$3:$C$90,2,0)</f>
        <v>HP</v>
      </c>
      <c r="D935" t="s">
        <v>1852</v>
      </c>
      <c r="E935" t="s">
        <v>1856</v>
      </c>
      <c r="F935" t="s">
        <v>1857</v>
      </c>
      <c r="G935" t="e">
        <f>VLOOKUP(E935,기본!$F$3:$G$320,2,0)</f>
        <v>#N/A</v>
      </c>
      <c r="H935" s="544">
        <v>1200</v>
      </c>
      <c r="I935">
        <v>45.735578111999999</v>
      </c>
    </row>
    <row r="936" spans="2:9">
      <c r="B936" s="545">
        <v>3</v>
      </c>
      <c r="C936" s="545" t="str">
        <f>VLOOKUP(D936,기본!$B$3:$C$90,2,0)</f>
        <v>HP</v>
      </c>
      <c r="D936" t="s">
        <v>1852</v>
      </c>
      <c r="E936" t="s">
        <v>2496</v>
      </c>
      <c r="F936" t="s">
        <v>2497</v>
      </c>
      <c r="G936" t="e">
        <f>VLOOKUP(E936,기본!$F$3:$G$320,2,0)</f>
        <v>#N/A</v>
      </c>
      <c r="H936" s="544">
        <v>90</v>
      </c>
      <c r="I936">
        <v>0.87867423</v>
      </c>
    </row>
    <row r="937" spans="2:9">
      <c r="B937" s="545">
        <v>3</v>
      </c>
      <c r="C937" s="545" t="str">
        <f>VLOOKUP(D937,기본!$B$3:$C$90,2,0)</f>
        <v>HP</v>
      </c>
      <c r="D937" t="s">
        <v>1852</v>
      </c>
      <c r="E937" t="s">
        <v>1858</v>
      </c>
      <c r="F937" t="s">
        <v>1859</v>
      </c>
      <c r="G937" t="e">
        <f>VLOOKUP(E937,기본!$F$3:$G$320,2,0)</f>
        <v>#N/A</v>
      </c>
      <c r="H937" s="544">
        <v>7890</v>
      </c>
      <c r="I937">
        <v>70.844347350000007</v>
      </c>
    </row>
    <row r="938" spans="2:9">
      <c r="B938" s="545">
        <v>3</v>
      </c>
      <c r="C938" s="545" t="str">
        <f>VLOOKUP(D938,기본!$B$3:$C$90,2,0)</f>
        <v>HP</v>
      </c>
      <c r="D938" t="s">
        <v>1852</v>
      </c>
      <c r="E938" t="s">
        <v>2529</v>
      </c>
      <c r="F938" t="s">
        <v>2530</v>
      </c>
      <c r="G938" t="e">
        <f>VLOOKUP(E938,기본!$F$3:$G$320,2,0)</f>
        <v>#N/A</v>
      </c>
      <c r="H938" s="544">
        <v>240</v>
      </c>
      <c r="I938">
        <v>4.5862163999999996</v>
      </c>
    </row>
    <row r="939" spans="2:9">
      <c r="B939" s="545">
        <v>3</v>
      </c>
      <c r="C939" s="545" t="str">
        <f>VLOOKUP(D939,기본!$B$3:$C$90,2,0)</f>
        <v>HP</v>
      </c>
      <c r="D939" t="s">
        <v>1852</v>
      </c>
      <c r="E939" t="s">
        <v>1860</v>
      </c>
      <c r="F939" t="s">
        <v>1861</v>
      </c>
      <c r="G939" t="e">
        <f>VLOOKUP(E939,기본!$F$3:$G$320,2,0)</f>
        <v>#N/A</v>
      </c>
      <c r="H939" s="544">
        <v>400</v>
      </c>
      <c r="I939">
        <v>6.8696415200000001</v>
      </c>
    </row>
    <row r="940" spans="2:9">
      <c r="B940" s="545">
        <v>3</v>
      </c>
      <c r="C940" s="545" t="str">
        <f>VLOOKUP(D940,기본!$B$3:$C$90,2,0)</f>
        <v>HP</v>
      </c>
      <c r="D940" t="s">
        <v>1852</v>
      </c>
      <c r="E940" t="s">
        <v>1973</v>
      </c>
      <c r="F940" t="s">
        <v>1974</v>
      </c>
      <c r="G940" t="e">
        <f>VLOOKUP(E940,기본!$F$3:$G$320,2,0)</f>
        <v>#N/A</v>
      </c>
      <c r="H940" s="544">
        <v>1368</v>
      </c>
      <c r="I940">
        <v>17.87323104</v>
      </c>
    </row>
    <row r="941" spans="2:9">
      <c r="B941" s="545">
        <v>3</v>
      </c>
      <c r="C941" s="545" t="str">
        <f>VLOOKUP(D941,기본!$B$3:$C$90,2,0)</f>
        <v>HP</v>
      </c>
      <c r="D941" t="s">
        <v>1852</v>
      </c>
      <c r="E941" t="s">
        <v>1989</v>
      </c>
      <c r="F941" t="s">
        <v>1990</v>
      </c>
      <c r="G941" t="e">
        <f>VLOOKUP(E941,기본!$F$3:$G$320,2,0)</f>
        <v>#N/A</v>
      </c>
      <c r="H941" s="544">
        <v>288</v>
      </c>
      <c r="I941">
        <v>11.294755920000002</v>
      </c>
    </row>
    <row r="942" spans="2:9">
      <c r="B942" s="545">
        <v>3</v>
      </c>
      <c r="C942" s="545" t="str">
        <f>VLOOKUP(D942,기본!$B$3:$C$90,2,0)</f>
        <v>HP</v>
      </c>
      <c r="D942" t="s">
        <v>1852</v>
      </c>
      <c r="E942" t="s">
        <v>1862</v>
      </c>
      <c r="F942" t="s">
        <v>1863</v>
      </c>
      <c r="G942" t="e">
        <f>VLOOKUP(E942,기본!$F$3:$G$320,2,0)</f>
        <v>#N/A</v>
      </c>
      <c r="H942" s="544">
        <v>660</v>
      </c>
      <c r="I942">
        <v>8.7536592000000013</v>
      </c>
    </row>
    <row r="943" spans="2:9">
      <c r="B943" s="545">
        <v>3</v>
      </c>
      <c r="C943" s="545" t="str">
        <f>VLOOKUP(D943,기본!$B$3:$C$90,2,0)</f>
        <v>HP</v>
      </c>
      <c r="D943" t="s">
        <v>1852</v>
      </c>
      <c r="E943" t="s">
        <v>1975</v>
      </c>
      <c r="F943" t="s">
        <v>1976</v>
      </c>
      <c r="G943" t="e">
        <f>VLOOKUP(E943,기본!$F$3:$G$320,2,0)</f>
        <v>#N/A</v>
      </c>
      <c r="H943" s="544">
        <v>720</v>
      </c>
      <c r="I943">
        <v>5.7546953999999992</v>
      </c>
    </row>
    <row r="944" spans="2:9">
      <c r="B944" s="545">
        <v>3</v>
      </c>
      <c r="C944" s="545" t="str">
        <f>VLOOKUP(D944,기본!$B$3:$C$90,2,0)</f>
        <v>코웨이</v>
      </c>
      <c r="D944" t="s">
        <v>1977</v>
      </c>
      <c r="E944" t="s">
        <v>821</v>
      </c>
      <c r="F944" t="s">
        <v>821</v>
      </c>
      <c r="G944" t="e">
        <f>VLOOKUP(E944,기본!$F$3:$G$320,2,0)</f>
        <v>#N/A</v>
      </c>
      <c r="H944" s="544">
        <v>1000</v>
      </c>
      <c r="I944">
        <v>3.3093180000000002</v>
      </c>
    </row>
    <row r="945" spans="2:9">
      <c r="B945" s="545">
        <v>3</v>
      </c>
      <c r="C945" s="545" t="str">
        <f>VLOOKUP(D945,기본!$B$3:$C$90,2,0)</f>
        <v>코웨이</v>
      </c>
      <c r="D945" t="s">
        <v>1977</v>
      </c>
      <c r="E945" t="s">
        <v>820</v>
      </c>
      <c r="F945" t="s">
        <v>820</v>
      </c>
      <c r="G945" t="e">
        <f>VLOOKUP(E945,기본!$F$3:$G$320,2,0)</f>
        <v>#N/A</v>
      </c>
      <c r="H945" s="544">
        <v>1000</v>
      </c>
      <c r="I945">
        <v>6.8382810000000003</v>
      </c>
    </row>
    <row r="946" spans="2:9">
      <c r="B946" s="545">
        <v>3</v>
      </c>
      <c r="C946" s="545" t="str">
        <f>VLOOKUP(D946,기본!$B$3:$C$90,2,0)</f>
        <v>코웨이</v>
      </c>
      <c r="D946" t="s">
        <v>1977</v>
      </c>
      <c r="E946" t="s">
        <v>1978</v>
      </c>
      <c r="F946" t="s">
        <v>1978</v>
      </c>
      <c r="G946" t="e">
        <f>VLOOKUP(E946,기본!$F$3:$G$320,2,0)</f>
        <v>#N/A</v>
      </c>
      <c r="H946" s="544">
        <v>1000</v>
      </c>
      <c r="I946">
        <v>6.9993540000000003</v>
      </c>
    </row>
    <row r="947" spans="2:9">
      <c r="B947" s="545">
        <v>3</v>
      </c>
      <c r="C947" s="545" t="str">
        <f>VLOOKUP(D947,기본!$B$3:$C$90,2,0)</f>
        <v>코웨이</v>
      </c>
      <c r="D947" t="s">
        <v>1977</v>
      </c>
      <c r="E947" t="s">
        <v>1818</v>
      </c>
      <c r="F947" t="s">
        <v>1818</v>
      </c>
      <c r="G947" t="e">
        <f>VLOOKUP(E947,기본!$F$3:$G$320,2,0)</f>
        <v>#N/A</v>
      </c>
      <c r="H947" s="544">
        <v>1000</v>
      </c>
      <c r="I947">
        <v>6.3697049999999997</v>
      </c>
    </row>
    <row r="948" spans="2:9">
      <c r="B948" s="545">
        <v>3</v>
      </c>
      <c r="C948" s="545" t="str">
        <f>VLOOKUP(D948,기본!$B$3:$C$90,2,0)</f>
        <v>대덕</v>
      </c>
      <c r="D948" t="s">
        <v>1868</v>
      </c>
      <c r="E948" t="s">
        <v>2531</v>
      </c>
      <c r="F948" t="s">
        <v>2531</v>
      </c>
      <c r="G948" t="e">
        <f>VLOOKUP(E948,기본!$F$3:$G$320,2,0)</f>
        <v>#N/A</v>
      </c>
      <c r="H948" s="544">
        <v>18</v>
      </c>
      <c r="I948">
        <v>0.32181469199999996</v>
      </c>
    </row>
    <row r="949" spans="2:9">
      <c r="B949" s="545">
        <v>3</v>
      </c>
      <c r="C949" s="545" t="str">
        <f>VLOOKUP(D949,기본!$B$3:$C$90,2,0)</f>
        <v>대덕</v>
      </c>
      <c r="D949" t="s">
        <v>1868</v>
      </c>
      <c r="E949" t="s">
        <v>2532</v>
      </c>
      <c r="F949" t="s">
        <v>2532</v>
      </c>
      <c r="G949" t="e">
        <f>VLOOKUP(E949,기본!$F$3:$G$320,2,0)</f>
        <v>#N/A</v>
      </c>
      <c r="H949" s="544">
        <v>18</v>
      </c>
      <c r="I949">
        <v>0.32750812800000001</v>
      </c>
    </row>
    <row r="950" spans="2:9">
      <c r="B950" s="545">
        <v>3</v>
      </c>
      <c r="C950" s="545" t="str">
        <f>VLOOKUP(D950,기본!$B$3:$C$90,2,0)</f>
        <v>대덕</v>
      </c>
      <c r="D950" t="s">
        <v>1868</v>
      </c>
      <c r="E950" t="s">
        <v>2533</v>
      </c>
      <c r="F950" t="s">
        <v>2533</v>
      </c>
      <c r="G950" t="e">
        <f>VLOOKUP(E950,기본!$F$3:$G$320,2,0)</f>
        <v>#N/A</v>
      </c>
      <c r="H950" s="544">
        <v>26</v>
      </c>
      <c r="I950">
        <v>0.63206176800000002</v>
      </c>
    </row>
    <row r="951" spans="2:9">
      <c r="B951" s="545">
        <v>3</v>
      </c>
      <c r="C951" s="545" t="str">
        <f>VLOOKUP(D951,기본!$B$3:$C$90,2,0)</f>
        <v>대덕</v>
      </c>
      <c r="D951" t="s">
        <v>1868</v>
      </c>
      <c r="E951" t="s">
        <v>1507</v>
      </c>
      <c r="F951" t="s">
        <v>1507</v>
      </c>
      <c r="G951" t="e">
        <f>VLOOKUP(E951,기본!$F$3:$G$320,2,0)</f>
        <v>#N/A</v>
      </c>
      <c r="H951" s="544">
        <v>142</v>
      </c>
      <c r="I951">
        <v>4.0273679319999998</v>
      </c>
    </row>
    <row r="952" spans="2:9">
      <c r="B952" s="545">
        <v>3</v>
      </c>
      <c r="C952" s="545" t="str">
        <f>VLOOKUP(D952,기본!$B$3:$C$90,2,0)</f>
        <v>대덕</v>
      </c>
      <c r="D952" t="s">
        <v>1868</v>
      </c>
      <c r="E952" t="s">
        <v>1509</v>
      </c>
      <c r="F952" t="s">
        <v>1509</v>
      </c>
      <c r="G952" t="e">
        <f>VLOOKUP(E952,기본!$F$3:$G$320,2,0)</f>
        <v>#N/A</v>
      </c>
      <c r="H952" s="544">
        <v>150</v>
      </c>
      <c r="I952">
        <v>4.7513079000000005</v>
      </c>
    </row>
    <row r="953" spans="2:9">
      <c r="B953" s="545">
        <v>3</v>
      </c>
      <c r="C953" s="545" t="str">
        <f>VLOOKUP(D953,기본!$B$3:$C$90,2,0)</f>
        <v>대덕</v>
      </c>
      <c r="D953" t="s">
        <v>1870</v>
      </c>
      <c r="E953" t="s">
        <v>2230</v>
      </c>
      <c r="F953" t="s">
        <v>2230</v>
      </c>
      <c r="G953" t="e">
        <f>VLOOKUP(E953,기본!$F$3:$G$320,2,0)</f>
        <v>#N/A</v>
      </c>
      <c r="H953" s="544">
        <v>2000</v>
      </c>
      <c r="I953">
        <v>11.802258000000002</v>
      </c>
    </row>
    <row r="954" spans="2:9">
      <c r="B954" s="545">
        <v>3</v>
      </c>
      <c r="C954" s="545" t="str">
        <f>VLOOKUP(D954,기본!$B$3:$C$90,2,0)</f>
        <v>대덕</v>
      </c>
      <c r="D954" t="s">
        <v>1870</v>
      </c>
      <c r="E954" t="s">
        <v>2055</v>
      </c>
      <c r="F954" t="s">
        <v>2055</v>
      </c>
      <c r="G954" t="e">
        <f>VLOOKUP(E954,기본!$F$3:$G$320,2,0)</f>
        <v>#N/A</v>
      </c>
      <c r="H954" s="544">
        <v>1000</v>
      </c>
      <c r="I954">
        <v>5.8425570000000002</v>
      </c>
    </row>
    <row r="955" spans="2:9">
      <c r="B955" s="545">
        <v>3</v>
      </c>
      <c r="C955" s="545" t="str">
        <f>VLOOKUP(D955,기본!$B$3:$C$90,2,0)</f>
        <v>대덕</v>
      </c>
      <c r="D955" t="s">
        <v>1870</v>
      </c>
      <c r="E955" t="s">
        <v>2025</v>
      </c>
      <c r="F955" t="s">
        <v>2025</v>
      </c>
      <c r="G955" t="e">
        <f>VLOOKUP(E955,기본!$F$3:$G$320,2,0)</f>
        <v>#N/A</v>
      </c>
      <c r="H955" s="544">
        <v>500</v>
      </c>
      <c r="I955">
        <v>2.9212785000000001</v>
      </c>
    </row>
    <row r="956" spans="2:9">
      <c r="B956" s="545">
        <v>3</v>
      </c>
      <c r="C956" s="545" t="str">
        <f>VLOOKUP(D956,기본!$B$3:$C$90,2,0)</f>
        <v>대덕</v>
      </c>
      <c r="D956" t="s">
        <v>1870</v>
      </c>
      <c r="E956" t="s">
        <v>2534</v>
      </c>
      <c r="F956" t="s">
        <v>2534</v>
      </c>
      <c r="G956" t="e">
        <f>VLOOKUP(E956,기본!$F$3:$G$320,2,0)</f>
        <v>#N/A</v>
      </c>
      <c r="H956" s="544">
        <v>100</v>
      </c>
      <c r="I956">
        <v>0.96424448000000007</v>
      </c>
    </row>
    <row r="957" spans="2:9">
      <c r="B957" s="545">
        <v>3</v>
      </c>
      <c r="C957" s="545" t="str">
        <f>VLOOKUP(D957,기본!$B$3:$C$90,2,0)</f>
        <v>대덕</v>
      </c>
      <c r="D957" t="s">
        <v>1870</v>
      </c>
      <c r="E957" t="s">
        <v>2535</v>
      </c>
      <c r="F957" t="s">
        <v>2535</v>
      </c>
      <c r="G957" t="e">
        <f>VLOOKUP(E957,기본!$F$3:$G$320,2,0)</f>
        <v>#N/A</v>
      </c>
      <c r="H957" s="544">
        <v>968</v>
      </c>
      <c r="I957">
        <v>16.988814303999998</v>
      </c>
    </row>
    <row r="958" spans="2:9">
      <c r="B958" s="545">
        <v>3</v>
      </c>
      <c r="C958" s="545" t="str">
        <f>VLOOKUP(D958,기본!$B$3:$C$90,2,0)</f>
        <v>대덕</v>
      </c>
      <c r="D958" t="s">
        <v>1870</v>
      </c>
      <c r="E958" t="s">
        <v>2531</v>
      </c>
      <c r="F958" t="s">
        <v>2531</v>
      </c>
      <c r="G958" t="e">
        <f>VLOOKUP(E958,기본!$F$3:$G$320,2,0)</f>
        <v>#N/A</v>
      </c>
      <c r="H958" s="544">
        <v>9</v>
      </c>
      <c r="I958">
        <v>0.16127769</v>
      </c>
    </row>
    <row r="959" spans="2:9">
      <c r="B959" s="545">
        <v>3</v>
      </c>
      <c r="C959" s="545" t="str">
        <f>VLOOKUP(D959,기본!$B$3:$C$90,2,0)</f>
        <v>대덕</v>
      </c>
      <c r="D959" t="s">
        <v>1870</v>
      </c>
      <c r="E959" t="s">
        <v>2188</v>
      </c>
      <c r="F959" t="s">
        <v>2188</v>
      </c>
      <c r="G959" t="e">
        <f>VLOOKUP(E959,기본!$F$3:$G$320,2,0)</f>
        <v>#N/A</v>
      </c>
      <c r="H959" s="544">
        <v>300</v>
      </c>
      <c r="I959">
        <v>5.3539163999999992</v>
      </c>
    </row>
    <row r="960" spans="2:9">
      <c r="B960" s="545">
        <v>3</v>
      </c>
      <c r="C960" s="545" t="str">
        <f>VLOOKUP(D960,기본!$B$3:$C$90,2,0)</f>
        <v>대덕</v>
      </c>
      <c r="D960" t="s">
        <v>1870</v>
      </c>
      <c r="E960" t="s">
        <v>2532</v>
      </c>
      <c r="F960" t="s">
        <v>2532</v>
      </c>
      <c r="G960" t="e">
        <f>VLOOKUP(E960,기본!$F$3:$G$320,2,0)</f>
        <v>#N/A</v>
      </c>
      <c r="H960" s="544">
        <v>9</v>
      </c>
      <c r="I960">
        <v>0.163725072</v>
      </c>
    </row>
    <row r="961" spans="2:9">
      <c r="B961" s="545">
        <v>3</v>
      </c>
      <c r="C961" s="545" t="str">
        <f>VLOOKUP(D961,기본!$B$3:$C$90,2,0)</f>
        <v>대덕</v>
      </c>
      <c r="D961" t="s">
        <v>1870</v>
      </c>
      <c r="E961" t="s">
        <v>2253</v>
      </c>
      <c r="F961" t="s">
        <v>2253</v>
      </c>
      <c r="G961" t="e">
        <f>VLOOKUP(E961,기본!$F$3:$G$320,2,0)</f>
        <v>#N/A</v>
      </c>
      <c r="H961" s="544">
        <v>768</v>
      </c>
      <c r="I961">
        <v>17.388241920000002</v>
      </c>
    </row>
    <row r="962" spans="2:9">
      <c r="B962" s="545">
        <v>3</v>
      </c>
      <c r="C962" s="545" t="str">
        <f>VLOOKUP(D962,기본!$B$3:$C$90,2,0)</f>
        <v>대덕</v>
      </c>
      <c r="D962" t="s">
        <v>1870</v>
      </c>
      <c r="E962" t="s">
        <v>2254</v>
      </c>
      <c r="F962" t="s">
        <v>2254</v>
      </c>
      <c r="G962" t="e">
        <f>VLOOKUP(E962,기본!$F$3:$G$320,2,0)</f>
        <v>#N/A</v>
      </c>
      <c r="H962" s="544">
        <v>589</v>
      </c>
      <c r="I962">
        <v>13.501118077999999</v>
      </c>
    </row>
    <row r="963" spans="2:9">
      <c r="B963" s="545">
        <v>3</v>
      </c>
      <c r="C963" s="545" t="str">
        <f>VLOOKUP(D963,기본!$B$3:$C$90,2,0)</f>
        <v>대덕</v>
      </c>
      <c r="D963" t="s">
        <v>1870</v>
      </c>
      <c r="E963" t="s">
        <v>2166</v>
      </c>
      <c r="F963" t="s">
        <v>2166</v>
      </c>
      <c r="G963" t="e">
        <f>VLOOKUP(E963,기본!$F$3:$G$320,2,0)</f>
        <v>#N/A</v>
      </c>
      <c r="H963" s="544">
        <v>1000</v>
      </c>
      <c r="I963">
        <v>23.73142</v>
      </c>
    </row>
    <row r="964" spans="2:9">
      <c r="B964" s="545">
        <v>3</v>
      </c>
      <c r="C964" s="545" t="str">
        <f>VLOOKUP(D964,기본!$B$3:$C$90,2,0)</f>
        <v>대덕</v>
      </c>
      <c r="D964" t="s">
        <v>1870</v>
      </c>
      <c r="E964" t="s">
        <v>2167</v>
      </c>
      <c r="F964" t="s">
        <v>2167</v>
      </c>
      <c r="G964" t="e">
        <f>VLOOKUP(E964,기본!$F$3:$G$320,2,0)</f>
        <v>#N/A</v>
      </c>
      <c r="H964" s="544">
        <v>596</v>
      </c>
      <c r="I964">
        <v>14.404722808000002</v>
      </c>
    </row>
    <row r="965" spans="2:9">
      <c r="B965" s="545">
        <v>3</v>
      </c>
      <c r="C965" s="545" t="str">
        <f>VLOOKUP(D965,기본!$B$3:$C$90,2,0)</f>
        <v>대덕</v>
      </c>
      <c r="D965" t="s">
        <v>1870</v>
      </c>
      <c r="E965" t="s">
        <v>2168</v>
      </c>
      <c r="F965" t="s">
        <v>2168</v>
      </c>
      <c r="G965" t="e">
        <f>VLOOKUP(E965,기본!$F$3:$G$320,2,0)</f>
        <v>#N/A</v>
      </c>
      <c r="H965" s="544">
        <v>7200</v>
      </c>
      <c r="I965">
        <v>171.9645984</v>
      </c>
    </row>
    <row r="966" spans="2:9">
      <c r="B966" s="545">
        <v>3</v>
      </c>
      <c r="C966" s="545" t="str">
        <f>VLOOKUP(D966,기본!$B$3:$C$90,2,0)</f>
        <v>대덕</v>
      </c>
      <c r="D966" t="s">
        <v>1870</v>
      </c>
      <c r="E966" t="s">
        <v>2533</v>
      </c>
      <c r="F966" t="s">
        <v>2533</v>
      </c>
      <c r="G966" t="e">
        <f>VLOOKUP(E966,기본!$F$3:$G$320,2,0)</f>
        <v>#N/A</v>
      </c>
      <c r="H966" s="544">
        <v>82</v>
      </c>
      <c r="I966">
        <v>1.96669128</v>
      </c>
    </row>
    <row r="967" spans="2:9">
      <c r="B967" s="545">
        <v>3</v>
      </c>
      <c r="C967" s="545" t="str">
        <f>VLOOKUP(D967,기본!$B$3:$C$90,2,0)</f>
        <v>대덕</v>
      </c>
      <c r="D967" t="s">
        <v>1870</v>
      </c>
      <c r="E967" t="s">
        <v>934</v>
      </c>
      <c r="F967" t="s">
        <v>934</v>
      </c>
      <c r="G967" t="e">
        <f>VLOOKUP(E967,기본!$F$3:$G$320,2,0)</f>
        <v>#N/A</v>
      </c>
      <c r="H967" s="544">
        <v>500</v>
      </c>
      <c r="I967">
        <v>0.70286400000000004</v>
      </c>
    </row>
    <row r="968" spans="2:9">
      <c r="B968" s="545">
        <v>3</v>
      </c>
      <c r="C968" s="545" t="str">
        <f>VLOOKUP(D968,기본!$B$3:$C$90,2,0)</f>
        <v>대덕</v>
      </c>
      <c r="D968" t="s">
        <v>1870</v>
      </c>
      <c r="E968" t="s">
        <v>2189</v>
      </c>
      <c r="F968" t="s">
        <v>2189</v>
      </c>
      <c r="G968" t="e">
        <f>VLOOKUP(E968,기본!$F$3:$G$320,2,0)</f>
        <v>#N/A</v>
      </c>
      <c r="H968" s="544">
        <v>200</v>
      </c>
      <c r="I968">
        <v>0.31336020000000003</v>
      </c>
    </row>
    <row r="969" spans="2:9">
      <c r="B969" s="545">
        <v>3</v>
      </c>
      <c r="C969" s="545" t="str">
        <f>VLOOKUP(D969,기본!$B$3:$C$90,2,0)</f>
        <v>대덕</v>
      </c>
      <c r="D969" t="s">
        <v>1870</v>
      </c>
      <c r="E969" t="s">
        <v>2256</v>
      </c>
      <c r="F969" t="s">
        <v>2256</v>
      </c>
      <c r="G969" t="e">
        <f>VLOOKUP(E969,기본!$F$3:$G$320,2,0)</f>
        <v>#N/A</v>
      </c>
      <c r="H969" s="544">
        <v>400</v>
      </c>
      <c r="I969">
        <v>0.79072200000000004</v>
      </c>
    </row>
    <row r="970" spans="2:9">
      <c r="B970" s="545">
        <v>3</v>
      </c>
      <c r="C970" s="545" t="str">
        <f>VLOOKUP(D970,기본!$B$3:$C$90,2,0)</f>
        <v>대덕</v>
      </c>
      <c r="D970" t="s">
        <v>1870</v>
      </c>
      <c r="E970" t="s">
        <v>2536</v>
      </c>
      <c r="F970" t="s">
        <v>2536</v>
      </c>
      <c r="G970" t="e">
        <f>VLOOKUP(E970,기본!$F$3:$G$320,2,0)</f>
        <v>#N/A</v>
      </c>
      <c r="H970" s="544">
        <v>500</v>
      </c>
      <c r="I970">
        <v>5.2532899999999998</v>
      </c>
    </row>
    <row r="971" spans="2:9">
      <c r="B971" s="545">
        <v>3</v>
      </c>
      <c r="C971" s="545" t="str">
        <f>VLOOKUP(D971,기본!$B$3:$C$90,2,0)</f>
        <v>대덕</v>
      </c>
      <c r="D971" t="s">
        <v>1870</v>
      </c>
      <c r="E971" t="s">
        <v>2007</v>
      </c>
      <c r="F971" t="s">
        <v>2007</v>
      </c>
      <c r="G971" t="e">
        <f>VLOOKUP(E971,기본!$F$3:$G$320,2,0)</f>
        <v>#N/A</v>
      </c>
      <c r="H971" s="544">
        <v>500</v>
      </c>
      <c r="I971">
        <v>5.5503470000000004</v>
      </c>
    </row>
    <row r="972" spans="2:9">
      <c r="B972" s="545">
        <v>3</v>
      </c>
      <c r="C972" s="545" t="str">
        <f>VLOOKUP(D972,기본!$B$3:$C$90,2,0)</f>
        <v>대덕</v>
      </c>
      <c r="D972" t="s">
        <v>1870</v>
      </c>
      <c r="E972" t="s">
        <v>1869</v>
      </c>
      <c r="F972" t="s">
        <v>1869</v>
      </c>
      <c r="G972" t="e">
        <f>VLOOKUP(E972,기본!$F$3:$G$320,2,0)</f>
        <v>#N/A</v>
      </c>
      <c r="H972" s="544">
        <v>4000</v>
      </c>
      <c r="I972">
        <v>51.972314999999995</v>
      </c>
    </row>
    <row r="973" spans="2:9">
      <c r="B973" s="545">
        <v>3</v>
      </c>
      <c r="C973" s="545" t="str">
        <f>VLOOKUP(D973,기본!$B$3:$C$90,2,0)</f>
        <v>대덕</v>
      </c>
      <c r="D973" t="s">
        <v>1870</v>
      </c>
      <c r="E973" t="s">
        <v>2537</v>
      </c>
      <c r="F973" t="s">
        <v>2537</v>
      </c>
      <c r="G973" t="e">
        <f>VLOOKUP(E973,기본!$F$3:$G$320,2,0)</f>
        <v>#N/A</v>
      </c>
      <c r="H973" s="544">
        <v>370</v>
      </c>
      <c r="I973">
        <v>4.8271612200000007</v>
      </c>
    </row>
    <row r="974" spans="2:9">
      <c r="B974" s="545">
        <v>3</v>
      </c>
      <c r="C974" s="545" t="str">
        <f>VLOOKUP(D974,기본!$B$3:$C$90,2,0)</f>
        <v>대덕</v>
      </c>
      <c r="D974" t="s">
        <v>1870</v>
      </c>
      <c r="E974" t="s">
        <v>2538</v>
      </c>
      <c r="F974" t="s">
        <v>2538</v>
      </c>
      <c r="G974" t="e">
        <f>VLOOKUP(E974,기본!$F$3:$G$320,2,0)</f>
        <v>#N/A</v>
      </c>
      <c r="H974" s="544">
        <v>30</v>
      </c>
      <c r="I974">
        <v>0.38962744799999999</v>
      </c>
    </row>
    <row r="975" spans="2:9">
      <c r="B975" s="545">
        <v>3</v>
      </c>
      <c r="C975" s="545" t="str">
        <f>VLOOKUP(D975,기본!$B$3:$C$90,2,0)</f>
        <v>대덕</v>
      </c>
      <c r="D975" t="s">
        <v>1870</v>
      </c>
      <c r="E975" t="s">
        <v>1507</v>
      </c>
      <c r="F975" t="s">
        <v>1507</v>
      </c>
      <c r="G975" t="e">
        <f>VLOOKUP(E975,기본!$F$3:$G$320,2,0)</f>
        <v>#N/A</v>
      </c>
      <c r="H975" s="544">
        <v>158</v>
      </c>
      <c r="I975">
        <v>4.4811558680000001</v>
      </c>
    </row>
    <row r="976" spans="2:9">
      <c r="B976" s="545">
        <v>3</v>
      </c>
      <c r="C976" s="545" t="str">
        <f>VLOOKUP(D976,기본!$B$3:$C$90,2,0)</f>
        <v>대덕</v>
      </c>
      <c r="D976" t="s">
        <v>1870</v>
      </c>
      <c r="E976" t="s">
        <v>1511</v>
      </c>
      <c r="F976" t="s">
        <v>1511</v>
      </c>
      <c r="G976" t="e">
        <f>VLOOKUP(E976,기본!$F$3:$G$320,2,0)</f>
        <v>#N/A</v>
      </c>
      <c r="H976" s="544">
        <v>348</v>
      </c>
      <c r="I976">
        <v>11.612582487999999</v>
      </c>
    </row>
    <row r="977" spans="2:9">
      <c r="B977" s="545">
        <v>3</v>
      </c>
      <c r="C977" s="545" t="str">
        <f>VLOOKUP(D977,기본!$B$3:$C$90,2,0)</f>
        <v>대덕</v>
      </c>
      <c r="D977" t="s">
        <v>1870</v>
      </c>
      <c r="E977" t="s">
        <v>1512</v>
      </c>
      <c r="F977" t="s">
        <v>1512</v>
      </c>
      <c r="G977" t="e">
        <f>VLOOKUP(E977,기본!$F$3:$G$320,2,0)</f>
        <v>#N/A</v>
      </c>
      <c r="H977" s="544">
        <v>473</v>
      </c>
      <c r="I977">
        <v>15.784859292000002</v>
      </c>
    </row>
    <row r="978" spans="2:9">
      <c r="B978" s="545">
        <v>3</v>
      </c>
      <c r="C978" s="545" t="str">
        <f>VLOOKUP(D978,기본!$B$3:$C$90,2,0)</f>
        <v>대덕</v>
      </c>
      <c r="D978" t="s">
        <v>1870</v>
      </c>
      <c r="E978" t="s">
        <v>2466</v>
      </c>
      <c r="F978" t="s">
        <v>2466</v>
      </c>
      <c r="G978" t="e">
        <f>VLOOKUP(E978,기본!$F$3:$G$320,2,0)</f>
        <v>#N/A</v>
      </c>
      <c r="H978" s="544">
        <v>500</v>
      </c>
      <c r="I978">
        <v>18.175934000000002</v>
      </c>
    </row>
    <row r="979" spans="2:9">
      <c r="B979" s="545">
        <v>3</v>
      </c>
      <c r="C979" s="545" t="str">
        <f>VLOOKUP(D979,기본!$B$3:$C$90,2,0)</f>
        <v>대덕</v>
      </c>
      <c r="D979" t="s">
        <v>1870</v>
      </c>
      <c r="E979" t="s">
        <v>2539</v>
      </c>
      <c r="F979" t="s">
        <v>2539</v>
      </c>
      <c r="G979" t="e">
        <f>VLOOKUP(E979,기본!$F$3:$G$320,2,0)</f>
        <v>#N/A</v>
      </c>
      <c r="H979" s="544">
        <v>50</v>
      </c>
      <c r="I979">
        <v>0.59233274400000013</v>
      </c>
    </row>
    <row r="980" spans="2:9">
      <c r="B980" s="545">
        <v>3</v>
      </c>
      <c r="C980" s="545" t="str">
        <f>VLOOKUP(D980,기본!$B$3:$C$90,2,0)</f>
        <v>대덕</v>
      </c>
      <c r="D980" t="s">
        <v>1870</v>
      </c>
      <c r="E980" t="s">
        <v>1513</v>
      </c>
      <c r="F980" t="s">
        <v>1513</v>
      </c>
      <c r="G980" t="e">
        <f>VLOOKUP(E980,기본!$F$3:$G$320,2,0)</f>
        <v>#N/A</v>
      </c>
      <c r="H980" s="544">
        <v>500</v>
      </c>
      <c r="I980">
        <v>6.5458299999999996</v>
      </c>
    </row>
    <row r="981" spans="2:9">
      <c r="B981" s="545">
        <v>3</v>
      </c>
      <c r="C981" s="545" t="str">
        <f>VLOOKUP(D981,기본!$B$3:$C$90,2,0)</f>
        <v>대덕</v>
      </c>
      <c r="D981" t="s">
        <v>1870</v>
      </c>
      <c r="E981" t="s">
        <v>2540</v>
      </c>
      <c r="F981" t="s">
        <v>2540</v>
      </c>
      <c r="G981" t="e">
        <f>VLOOKUP(E981,기본!$F$3:$G$320,2,0)</f>
        <v>#N/A</v>
      </c>
      <c r="H981" s="544">
        <v>150</v>
      </c>
      <c r="I981">
        <v>1.9905701640000002</v>
      </c>
    </row>
    <row r="982" spans="2:9">
      <c r="B982" s="545">
        <v>3</v>
      </c>
      <c r="C982" s="545" t="str">
        <f>VLOOKUP(D982,기본!$B$3:$C$90,2,0)</f>
        <v>대덕</v>
      </c>
      <c r="D982" t="s">
        <v>1870</v>
      </c>
      <c r="E982" t="s">
        <v>1515</v>
      </c>
      <c r="F982" t="s">
        <v>1515</v>
      </c>
      <c r="G982" t="e">
        <f>VLOOKUP(E982,기본!$F$3:$G$320,2,0)</f>
        <v>#N/A</v>
      </c>
      <c r="H982" s="544">
        <v>1500</v>
      </c>
      <c r="I982">
        <v>19.555557</v>
      </c>
    </row>
    <row r="983" spans="2:9">
      <c r="B983" s="545">
        <v>3</v>
      </c>
      <c r="C983" s="545" t="str">
        <f>VLOOKUP(D983,기본!$B$3:$C$90,2,0)</f>
        <v>대덕</v>
      </c>
      <c r="D983" t="s">
        <v>1870</v>
      </c>
      <c r="E983" t="s">
        <v>2541</v>
      </c>
      <c r="F983" t="s">
        <v>2541</v>
      </c>
      <c r="G983" t="e">
        <f>VLOOKUP(E983,기본!$F$3:$G$320,2,0)</f>
        <v>#N/A</v>
      </c>
      <c r="H983" s="544">
        <v>64</v>
      </c>
      <c r="I983">
        <v>0.93215705599999998</v>
      </c>
    </row>
    <row r="984" spans="2:9">
      <c r="B984" s="545">
        <v>3</v>
      </c>
      <c r="C984" s="545" t="str">
        <f>VLOOKUP(D984,기본!$B$3:$C$90,2,0)</f>
        <v>대덕</v>
      </c>
      <c r="D984" t="s">
        <v>1870</v>
      </c>
      <c r="E984" t="s">
        <v>2221</v>
      </c>
      <c r="F984" t="s">
        <v>2221</v>
      </c>
      <c r="G984" t="e">
        <f>VLOOKUP(E984,기본!$F$3:$G$320,2,0)</f>
        <v>#N/A</v>
      </c>
      <c r="H984" s="544">
        <v>5000</v>
      </c>
      <c r="I984">
        <v>83.691019999999995</v>
      </c>
    </row>
    <row r="985" spans="2:9">
      <c r="B985" s="545">
        <v>3</v>
      </c>
      <c r="C985" s="545" t="str">
        <f>VLOOKUP(D985,기본!$B$3:$C$90,2,0)</f>
        <v>대덕</v>
      </c>
      <c r="D985" t="s">
        <v>1870</v>
      </c>
      <c r="E985" t="s">
        <v>2315</v>
      </c>
      <c r="F985" t="s">
        <v>2315</v>
      </c>
      <c r="G985" t="e">
        <f>VLOOKUP(E985,기본!$F$3:$G$320,2,0)</f>
        <v>#N/A</v>
      </c>
      <c r="H985" s="544">
        <v>2520</v>
      </c>
      <c r="I985">
        <v>41.980477391999997</v>
      </c>
    </row>
    <row r="986" spans="2:9">
      <c r="B986" s="545">
        <v>3</v>
      </c>
      <c r="C986" s="545" t="str">
        <f>VLOOKUP(D986,기본!$B$3:$C$90,2,0)</f>
        <v>대덕</v>
      </c>
      <c r="D986" t="s">
        <v>1870</v>
      </c>
      <c r="E986" t="s">
        <v>2190</v>
      </c>
      <c r="F986" t="s">
        <v>2190</v>
      </c>
      <c r="G986" t="e">
        <f>VLOOKUP(E986,기본!$F$3:$G$320,2,0)</f>
        <v>#N/A</v>
      </c>
      <c r="H986" s="544">
        <v>8000</v>
      </c>
      <c r="I986">
        <v>133.90563200000003</v>
      </c>
    </row>
    <row r="987" spans="2:9">
      <c r="B987" s="545">
        <v>3</v>
      </c>
      <c r="C987" s="545" t="str">
        <f>VLOOKUP(D987,기본!$B$3:$C$90,2,0)</f>
        <v>대덕</v>
      </c>
      <c r="D987" t="s">
        <v>1870</v>
      </c>
      <c r="E987" t="s">
        <v>2187</v>
      </c>
      <c r="F987" t="s">
        <v>2187</v>
      </c>
      <c r="G987" t="e">
        <f>VLOOKUP(E987,기본!$F$3:$G$320,2,0)</f>
        <v>#N/A</v>
      </c>
      <c r="H987" s="544">
        <v>3500</v>
      </c>
      <c r="I987">
        <v>57.523060000000001</v>
      </c>
    </row>
    <row r="988" spans="2:9">
      <c r="B988" s="545">
        <v>3</v>
      </c>
      <c r="C988" s="545" t="str">
        <f>VLOOKUP(D988,기본!$B$3:$C$90,2,0)</f>
        <v>코웨이</v>
      </c>
      <c r="D988" t="s">
        <v>1979</v>
      </c>
      <c r="E988" t="s">
        <v>1980</v>
      </c>
      <c r="F988" t="s">
        <v>1980</v>
      </c>
      <c r="G988" t="e">
        <f>VLOOKUP(E988,기본!$F$3:$G$320,2,0)</f>
        <v>#N/A</v>
      </c>
      <c r="H988" s="544">
        <v>1446</v>
      </c>
      <c r="I988">
        <v>7.581378</v>
      </c>
    </row>
    <row r="989" spans="2:9">
      <c r="B989" s="545">
        <v>3</v>
      </c>
      <c r="C989" s="545" t="str">
        <f>VLOOKUP(D989,기본!$B$3:$C$90,2,0)</f>
        <v>삼성 생활가전</v>
      </c>
      <c r="D989" t="s">
        <v>2404</v>
      </c>
      <c r="E989" t="s">
        <v>1882</v>
      </c>
      <c r="F989" t="s">
        <v>1882</v>
      </c>
      <c r="G989" t="e">
        <f>VLOOKUP(E989,기본!$F$3:$G$320,2,0)</f>
        <v>#N/A</v>
      </c>
      <c r="H989" s="544">
        <v>2880</v>
      </c>
      <c r="I989">
        <v>19.526399999999999</v>
      </c>
    </row>
    <row r="990" spans="2:9">
      <c r="B990" s="545">
        <v>3</v>
      </c>
      <c r="C990" s="545" t="str">
        <f>VLOOKUP(D990,기본!$B$3:$C$90,2,0)</f>
        <v>코웨이</v>
      </c>
      <c r="D990" t="s">
        <v>2405</v>
      </c>
      <c r="E990" t="s">
        <v>2542</v>
      </c>
      <c r="F990" t="s">
        <v>2542</v>
      </c>
      <c r="G990" t="e">
        <f>VLOOKUP(E990,기본!$F$3:$G$320,2,0)</f>
        <v>#N/A</v>
      </c>
      <c r="H990" s="544">
        <v>129</v>
      </c>
      <c r="I990">
        <v>0.73194599999999999</v>
      </c>
    </row>
    <row r="991" spans="2:9">
      <c r="B991" s="545">
        <v>3</v>
      </c>
      <c r="C991" s="545" t="str">
        <f>VLOOKUP(D991,기본!$B$3:$C$90,2,0)</f>
        <v>코웨이</v>
      </c>
      <c r="D991" t="s">
        <v>2405</v>
      </c>
      <c r="E991" t="s">
        <v>2316</v>
      </c>
      <c r="F991" t="s">
        <v>2316</v>
      </c>
      <c r="G991" t="e">
        <f>VLOOKUP(E991,기본!$F$3:$G$320,2,0)</f>
        <v>#N/A</v>
      </c>
      <c r="H991" s="544">
        <v>15562</v>
      </c>
      <c r="I991">
        <v>86.273165999999989</v>
      </c>
    </row>
    <row r="992" spans="2:9">
      <c r="B992" s="545">
        <v>3</v>
      </c>
      <c r="C992" s="545" t="str">
        <f>VLOOKUP(D992,기본!$B$3:$C$90,2,0)</f>
        <v>삼성 생활가전</v>
      </c>
      <c r="D992" t="s">
        <v>1981</v>
      </c>
      <c r="E992" t="s">
        <v>2504</v>
      </c>
      <c r="F992" t="s">
        <v>2504</v>
      </c>
      <c r="G992" t="e">
        <f>VLOOKUP(E992,기본!$F$3:$G$320,2,0)</f>
        <v>#N/A</v>
      </c>
      <c r="H992" s="544">
        <v>600</v>
      </c>
      <c r="I992">
        <v>4.2539999999999996</v>
      </c>
    </row>
    <row r="993" spans="2:9">
      <c r="B993" s="545">
        <v>3</v>
      </c>
      <c r="C993" s="545" t="str">
        <f>VLOOKUP(D993,기본!$B$3:$C$90,2,0)</f>
        <v>삼성 생활가전</v>
      </c>
      <c r="D993" t="s">
        <v>1981</v>
      </c>
      <c r="E993" t="s">
        <v>2543</v>
      </c>
      <c r="F993" t="s">
        <v>2543</v>
      </c>
      <c r="G993" t="e">
        <f>VLOOKUP(E993,기본!$F$3:$G$320,2,0)</f>
        <v>#N/A</v>
      </c>
      <c r="H993" s="544">
        <v>120</v>
      </c>
      <c r="I993">
        <v>0.85680000000000001</v>
      </c>
    </row>
    <row r="994" spans="2:9">
      <c r="B994" s="545">
        <v>3</v>
      </c>
      <c r="C994" s="545" t="str">
        <f>VLOOKUP(D994,기본!$B$3:$C$90,2,0)</f>
        <v>삼성 VD</v>
      </c>
      <c r="D994" t="s">
        <v>1873</v>
      </c>
      <c r="E994" t="s">
        <v>2252</v>
      </c>
      <c r="F994" t="s">
        <v>2264</v>
      </c>
      <c r="G994" t="str">
        <f>VLOOKUP(E994,기본!$F$3:$G$320,2,0)</f>
        <v>MNT</v>
      </c>
      <c r="H994" s="544">
        <v>100</v>
      </c>
      <c r="I994">
        <v>0.78925769999999995</v>
      </c>
    </row>
    <row r="995" spans="2:9">
      <c r="B995" s="545">
        <v>3</v>
      </c>
      <c r="C995" s="545" t="str">
        <f>VLOOKUP(D995,기본!$B$3:$C$90,2,0)</f>
        <v>삼성 VD</v>
      </c>
      <c r="D995" t="s">
        <v>1873</v>
      </c>
      <c r="E995" t="s">
        <v>2414</v>
      </c>
      <c r="F995" t="s">
        <v>2415</v>
      </c>
      <c r="G995" t="str">
        <f>VLOOKUP(E995,기본!$F$3:$G$320,2,0)</f>
        <v>TV</v>
      </c>
      <c r="H995" s="544">
        <v>10</v>
      </c>
      <c r="I995">
        <v>0.13275239999999999</v>
      </c>
    </row>
    <row r="996" spans="2:9">
      <c r="B996" s="545">
        <v>3</v>
      </c>
      <c r="C996" s="545" t="str">
        <f>VLOOKUP(D996,기본!$B$3:$C$90,2,0)</f>
        <v>삼성 VD</v>
      </c>
      <c r="D996" t="s">
        <v>1873</v>
      </c>
      <c r="E996" t="s">
        <v>2441</v>
      </c>
      <c r="F996" t="s">
        <v>2438</v>
      </c>
      <c r="G996" t="str">
        <f>VLOOKUP(E996,기본!$F$3:$G$320,2,0)</f>
        <v>TV</v>
      </c>
      <c r="H996" s="544">
        <v>10</v>
      </c>
      <c r="I996">
        <v>0.16455419999999998</v>
      </c>
    </row>
    <row r="997" spans="2:9">
      <c r="B997" s="545">
        <v>3</v>
      </c>
      <c r="C997" s="545" t="str">
        <f>VLOOKUP(D997,기본!$B$3:$C$90,2,0)</f>
        <v>삼성 VD</v>
      </c>
      <c r="D997" t="s">
        <v>1873</v>
      </c>
      <c r="E997" t="s">
        <v>2010</v>
      </c>
      <c r="F997" t="s">
        <v>2011</v>
      </c>
      <c r="G997" t="str">
        <f>VLOOKUP(E997,기본!$F$3:$G$320,2,0)</f>
        <v>MNT</v>
      </c>
      <c r="H997" s="544">
        <v>40</v>
      </c>
      <c r="I997">
        <v>0.18992000000000001</v>
      </c>
    </row>
    <row r="998" spans="2:9">
      <c r="B998" s="545">
        <v>3</v>
      </c>
      <c r="C998" s="545" t="str">
        <f>VLOOKUP(D998,기본!$B$3:$C$90,2,0)</f>
        <v>삼성 VD</v>
      </c>
      <c r="D998" t="s">
        <v>1873</v>
      </c>
      <c r="E998" t="s">
        <v>2270</v>
      </c>
      <c r="F998" t="s">
        <v>2270</v>
      </c>
      <c r="G998" t="str">
        <f>VLOOKUP(E998,기본!$F$3:$G$320,2,0)</f>
        <v>MNT</v>
      </c>
      <c r="H998" s="544">
        <v>400</v>
      </c>
      <c r="I998">
        <v>7.6820184000000005</v>
      </c>
    </row>
    <row r="999" spans="2:9">
      <c r="B999" s="545">
        <v>3</v>
      </c>
      <c r="C999" s="545" t="str">
        <f>VLOOKUP(D999,기본!$B$3:$C$90,2,0)</f>
        <v>삼성 VD</v>
      </c>
      <c r="D999" t="s">
        <v>1873</v>
      </c>
      <c r="E999" t="s">
        <v>2544</v>
      </c>
      <c r="F999" t="s">
        <v>2544</v>
      </c>
      <c r="G999" t="e">
        <f>VLOOKUP(E999,기본!$F$3:$G$320,2,0)</f>
        <v>#N/A</v>
      </c>
      <c r="H999" s="544">
        <v>20</v>
      </c>
      <c r="I999">
        <v>0.28841220000000001</v>
      </c>
    </row>
    <row r="1000" spans="2:9">
      <c r="B1000" s="545">
        <v>3</v>
      </c>
      <c r="C1000" s="545" t="str">
        <f>VLOOKUP(D1000,기본!$B$3:$C$90,2,0)</f>
        <v>삼성 VD</v>
      </c>
      <c r="D1000" t="s">
        <v>1873</v>
      </c>
      <c r="E1000" t="s">
        <v>2545</v>
      </c>
      <c r="F1000" t="s">
        <v>2545</v>
      </c>
      <c r="G1000" t="e">
        <f>VLOOKUP(E1000,기본!$F$3:$G$320,2,0)</f>
        <v>#N/A</v>
      </c>
      <c r="H1000" s="544">
        <v>10</v>
      </c>
      <c r="I1000">
        <v>0.23533020000000004</v>
      </c>
    </row>
    <row r="1001" spans="2:9">
      <c r="B1001" s="545">
        <v>3</v>
      </c>
      <c r="C1001" s="545" t="str">
        <f>VLOOKUP(D1001,기본!$B$3:$C$90,2,0)</f>
        <v>삼성 VD</v>
      </c>
      <c r="D1001" t="s">
        <v>1873</v>
      </c>
      <c r="E1001" t="s">
        <v>224</v>
      </c>
      <c r="F1001" t="s">
        <v>224</v>
      </c>
      <c r="G1001" t="str">
        <f>VLOOKUP(E1001,기본!$F$3:$G$320,2,0)</f>
        <v>기타</v>
      </c>
      <c r="H1001" s="544">
        <v>0</v>
      </c>
      <c r="I1001">
        <v>0.53347500000000003</v>
      </c>
    </row>
    <row r="1002" spans="2:9">
      <c r="B1002" s="545">
        <v>3</v>
      </c>
      <c r="C1002" s="545" t="str">
        <f>VLOOKUP(D1002,기본!$B$3:$C$90,2,0)</f>
        <v>삼성 생활가전</v>
      </c>
      <c r="D1002" t="s">
        <v>1874</v>
      </c>
      <c r="E1002" t="s">
        <v>2506</v>
      </c>
      <c r="F1002" t="s">
        <v>2506</v>
      </c>
      <c r="G1002" t="e">
        <f>VLOOKUP(E1002,기본!$F$3:$G$320,2,0)</f>
        <v>#N/A</v>
      </c>
      <c r="H1002" s="544">
        <v>27</v>
      </c>
      <c r="I1002">
        <v>0.22599</v>
      </c>
    </row>
    <row r="1003" spans="2:9">
      <c r="B1003" s="545">
        <v>3</v>
      </c>
      <c r="C1003" s="545" t="str">
        <f>VLOOKUP(D1003,기본!$B$3:$C$90,2,0)</f>
        <v>삼성 생활가전</v>
      </c>
      <c r="D1003" t="s">
        <v>1874</v>
      </c>
      <c r="E1003" t="s">
        <v>1844</v>
      </c>
      <c r="F1003" t="s">
        <v>1844</v>
      </c>
      <c r="G1003" t="e">
        <f>VLOOKUP(E1003,기본!$F$3:$G$320,2,0)</f>
        <v>#N/A</v>
      </c>
      <c r="H1003" s="544">
        <v>5</v>
      </c>
      <c r="I1003">
        <v>4.095E-2</v>
      </c>
    </row>
    <row r="1004" spans="2:9">
      <c r="B1004" s="545">
        <v>3</v>
      </c>
      <c r="C1004" s="545" t="str">
        <f>VLOOKUP(D1004,기본!$B$3:$C$90,2,0)</f>
        <v>삼성 생활가전</v>
      </c>
      <c r="D1004" t="s">
        <v>1874</v>
      </c>
      <c r="E1004" t="s">
        <v>1867</v>
      </c>
      <c r="F1004" t="s">
        <v>1867</v>
      </c>
      <c r="G1004" t="e">
        <f>VLOOKUP(E1004,기본!$F$3:$G$320,2,0)</f>
        <v>#N/A</v>
      </c>
      <c r="H1004" s="544">
        <v>25</v>
      </c>
      <c r="I1004">
        <v>0.20674999999999999</v>
      </c>
    </row>
    <row r="1005" spans="2:9">
      <c r="B1005" s="545">
        <v>3</v>
      </c>
      <c r="C1005" s="545" t="str">
        <f>VLOOKUP(D1005,기본!$B$3:$C$90,2,0)</f>
        <v>삼성 생활가전</v>
      </c>
      <c r="D1005" t="s">
        <v>1874</v>
      </c>
      <c r="E1005" t="s">
        <v>680</v>
      </c>
      <c r="F1005" t="s">
        <v>680</v>
      </c>
      <c r="G1005" t="e">
        <f>VLOOKUP(E1005,기본!$F$3:$G$320,2,0)</f>
        <v>#N/A</v>
      </c>
      <c r="H1005" s="544">
        <v>1013</v>
      </c>
      <c r="I1005">
        <v>8.093869999999999</v>
      </c>
    </row>
    <row r="1006" spans="2:9">
      <c r="B1006" s="545">
        <v>3</v>
      </c>
      <c r="C1006" s="545" t="str">
        <f>VLOOKUP(D1006,기본!$B$3:$C$90,2,0)</f>
        <v>삼성 생활가전</v>
      </c>
      <c r="D1006" t="s">
        <v>1874</v>
      </c>
      <c r="E1006" t="s">
        <v>1875</v>
      </c>
      <c r="F1006" t="s">
        <v>1875</v>
      </c>
      <c r="G1006" t="e">
        <f>VLOOKUP(E1006,기본!$F$3:$G$320,2,0)</f>
        <v>#N/A</v>
      </c>
      <c r="H1006" s="544">
        <v>2300</v>
      </c>
      <c r="I1006">
        <v>13.685</v>
      </c>
    </row>
    <row r="1007" spans="2:9">
      <c r="B1007" s="545">
        <v>3</v>
      </c>
      <c r="C1007" s="545" t="str">
        <f>VLOOKUP(D1007,기본!$B$3:$C$90,2,0)</f>
        <v>삼성 생활가전</v>
      </c>
      <c r="D1007" t="s">
        <v>1874</v>
      </c>
      <c r="E1007" t="s">
        <v>1876</v>
      </c>
      <c r="F1007" t="s">
        <v>1876</v>
      </c>
      <c r="G1007" t="e">
        <f>VLOOKUP(E1007,기본!$F$3:$G$320,2,0)</f>
        <v>#N/A</v>
      </c>
      <c r="H1007" s="544">
        <v>2300</v>
      </c>
      <c r="I1007">
        <v>13.662000000000001</v>
      </c>
    </row>
    <row r="1008" spans="2:9">
      <c r="B1008" s="545">
        <v>3</v>
      </c>
      <c r="C1008" s="545" t="str">
        <f>VLOOKUP(D1008,기본!$B$3:$C$90,2,0)</f>
        <v>삼성 생활가전</v>
      </c>
      <c r="D1008" t="s">
        <v>1874</v>
      </c>
      <c r="E1008" t="s">
        <v>1877</v>
      </c>
      <c r="F1008" t="s">
        <v>1877</v>
      </c>
      <c r="G1008" t="e">
        <f>VLOOKUP(E1008,기본!$F$3:$G$320,2,0)</f>
        <v>#N/A</v>
      </c>
      <c r="H1008" s="544">
        <v>1000</v>
      </c>
      <c r="I1008">
        <v>5.9</v>
      </c>
    </row>
    <row r="1009" spans="2:9">
      <c r="B1009" s="545">
        <v>3</v>
      </c>
      <c r="C1009" s="545" t="str">
        <f>VLOOKUP(D1009,기본!$B$3:$C$90,2,0)</f>
        <v>삼성 생활가전</v>
      </c>
      <c r="D1009" t="s">
        <v>1874</v>
      </c>
      <c r="E1009" t="s">
        <v>1878</v>
      </c>
      <c r="F1009" t="s">
        <v>1878</v>
      </c>
      <c r="G1009" t="e">
        <f>VLOOKUP(E1009,기본!$F$3:$G$320,2,0)</f>
        <v>#N/A</v>
      </c>
      <c r="H1009" s="544">
        <v>7200</v>
      </c>
      <c r="I1009">
        <v>43.045079999999999</v>
      </c>
    </row>
    <row r="1010" spans="2:9">
      <c r="B1010" s="545">
        <v>3</v>
      </c>
      <c r="C1010" s="545" t="str">
        <f>VLOOKUP(D1010,기본!$B$3:$C$90,2,0)</f>
        <v>삼성 생활가전</v>
      </c>
      <c r="D1010" t="s">
        <v>1874</v>
      </c>
      <c r="E1010" t="s">
        <v>1879</v>
      </c>
      <c r="F1010" t="s">
        <v>1879</v>
      </c>
      <c r="G1010" t="e">
        <f>VLOOKUP(E1010,기본!$F$3:$G$320,2,0)</f>
        <v>#N/A</v>
      </c>
      <c r="H1010" s="544">
        <v>240</v>
      </c>
      <c r="I1010">
        <v>1.4159999999999999</v>
      </c>
    </row>
    <row r="1011" spans="2:9">
      <c r="B1011" s="545">
        <v>3</v>
      </c>
      <c r="C1011" s="545" t="str">
        <f>VLOOKUP(D1011,기본!$B$3:$C$90,2,0)</f>
        <v>삼성 생활가전</v>
      </c>
      <c r="D1011" t="s">
        <v>1874</v>
      </c>
      <c r="E1011" t="s">
        <v>1880</v>
      </c>
      <c r="F1011" t="s">
        <v>1880</v>
      </c>
      <c r="G1011" t="e">
        <f>VLOOKUP(E1011,기본!$F$3:$G$320,2,0)</f>
        <v>#N/A</v>
      </c>
      <c r="H1011" s="544">
        <v>2880</v>
      </c>
      <c r="I1011">
        <v>15.7536</v>
      </c>
    </row>
    <row r="1012" spans="2:9">
      <c r="B1012" s="545">
        <v>3</v>
      </c>
      <c r="C1012" s="545" t="str">
        <f>VLOOKUP(D1012,기본!$B$3:$C$90,2,0)</f>
        <v>삼성 생활가전</v>
      </c>
      <c r="D1012" t="s">
        <v>1874</v>
      </c>
      <c r="E1012" t="s">
        <v>2299</v>
      </c>
      <c r="F1012" t="s">
        <v>2299</v>
      </c>
      <c r="G1012" t="e">
        <f>VLOOKUP(E1012,기본!$F$3:$G$320,2,0)</f>
        <v>#N/A</v>
      </c>
      <c r="H1012" s="544">
        <v>27648</v>
      </c>
      <c r="I1012">
        <v>83.087769600000001</v>
      </c>
    </row>
    <row r="1013" spans="2:9">
      <c r="B1013" s="545">
        <v>3</v>
      </c>
      <c r="C1013" s="545" t="str">
        <f>VLOOKUP(D1013,기본!$B$3:$C$90,2,0)</f>
        <v>삼성 생활가전</v>
      </c>
      <c r="D1013" t="s">
        <v>1874</v>
      </c>
      <c r="E1013" t="s">
        <v>1881</v>
      </c>
      <c r="F1013" t="s">
        <v>1881</v>
      </c>
      <c r="G1013" t="e">
        <f>VLOOKUP(E1013,기본!$F$3:$G$320,2,0)</f>
        <v>#N/A</v>
      </c>
      <c r="H1013" s="544">
        <v>3360</v>
      </c>
      <c r="I1013">
        <v>33.193439999999995</v>
      </c>
    </row>
    <row r="1014" spans="2:9">
      <c r="B1014" s="545">
        <v>3</v>
      </c>
      <c r="C1014" s="545" t="str">
        <f>VLOOKUP(D1014,기본!$B$3:$C$90,2,0)</f>
        <v>삼성 생활가전</v>
      </c>
      <c r="D1014" t="s">
        <v>1874</v>
      </c>
      <c r="E1014" t="s">
        <v>2300</v>
      </c>
      <c r="F1014" t="s">
        <v>2300</v>
      </c>
      <c r="G1014" t="e">
        <f>VLOOKUP(E1014,기본!$F$3:$G$320,2,0)</f>
        <v>#N/A</v>
      </c>
      <c r="H1014" s="544">
        <v>222</v>
      </c>
      <c r="I1014">
        <v>2.2111200000000002</v>
      </c>
    </row>
    <row r="1015" spans="2:9">
      <c r="B1015" s="545">
        <v>3</v>
      </c>
      <c r="C1015" s="545" t="str">
        <f>VLOOKUP(D1015,기본!$B$3:$C$90,2,0)</f>
        <v>삼성 생활가전</v>
      </c>
      <c r="D1015" t="s">
        <v>1874</v>
      </c>
      <c r="E1015" t="s">
        <v>2451</v>
      </c>
      <c r="F1015" t="s">
        <v>2451</v>
      </c>
      <c r="G1015" t="e">
        <f>VLOOKUP(E1015,기본!$F$3:$G$320,2,0)</f>
        <v>#N/A</v>
      </c>
      <c r="H1015" s="544">
        <v>10</v>
      </c>
      <c r="I1015">
        <v>7.2900000000000006E-2</v>
      </c>
    </row>
    <row r="1016" spans="2:9">
      <c r="B1016" s="545">
        <v>3</v>
      </c>
      <c r="C1016" s="545" t="str">
        <f>VLOOKUP(D1016,기본!$B$3:$C$90,2,0)</f>
        <v>삼성 생활가전</v>
      </c>
      <c r="D1016" t="s">
        <v>1874</v>
      </c>
      <c r="E1016" t="s">
        <v>1453</v>
      </c>
      <c r="F1016" t="s">
        <v>1453</v>
      </c>
      <c r="G1016" t="e">
        <f>VLOOKUP(E1016,기본!$F$3:$G$320,2,0)</f>
        <v>#N/A</v>
      </c>
      <c r="H1016" s="544">
        <v>8</v>
      </c>
      <c r="I1016">
        <v>7.5999999999999998E-2</v>
      </c>
    </row>
    <row r="1017" spans="2:9">
      <c r="B1017" s="545">
        <v>3</v>
      </c>
      <c r="C1017" s="545" t="str">
        <f>VLOOKUP(D1017,기본!$B$3:$C$90,2,0)</f>
        <v>삼성 생활가전</v>
      </c>
      <c r="D1017" t="s">
        <v>1874</v>
      </c>
      <c r="E1017" t="s">
        <v>1194</v>
      </c>
      <c r="F1017" t="s">
        <v>1194</v>
      </c>
      <c r="G1017" t="e">
        <f>VLOOKUP(E1017,기본!$F$3:$G$320,2,0)</f>
        <v>#N/A</v>
      </c>
      <c r="H1017" s="544">
        <v>2243</v>
      </c>
      <c r="I1017">
        <v>11.506589999999999</v>
      </c>
    </row>
    <row r="1018" spans="2:9">
      <c r="B1018" s="545">
        <v>3</v>
      </c>
      <c r="C1018" s="545" t="str">
        <f>VLOOKUP(D1018,기본!$B$3:$C$90,2,0)</f>
        <v>삼성 생활가전</v>
      </c>
      <c r="D1018" t="s">
        <v>1874</v>
      </c>
      <c r="E1018" t="s">
        <v>2546</v>
      </c>
      <c r="F1018" t="s">
        <v>2546</v>
      </c>
      <c r="G1018" t="e">
        <f>VLOOKUP(E1018,기본!$F$3:$G$320,2,0)</f>
        <v>#N/A</v>
      </c>
      <c r="H1018" s="544">
        <v>3112</v>
      </c>
      <c r="I1018">
        <v>16.717663999999999</v>
      </c>
    </row>
    <row r="1019" spans="2:9">
      <c r="B1019" s="545">
        <v>3</v>
      </c>
      <c r="C1019" s="545" t="str">
        <f>VLOOKUP(D1019,기본!$B$3:$C$90,2,0)</f>
        <v>삼성 생활가전</v>
      </c>
      <c r="D1019" t="s">
        <v>1874</v>
      </c>
      <c r="E1019" t="s">
        <v>2033</v>
      </c>
      <c r="F1019" t="s">
        <v>2033</v>
      </c>
      <c r="G1019" t="e">
        <f>VLOOKUP(E1019,기본!$F$3:$G$320,2,0)</f>
        <v>#N/A</v>
      </c>
      <c r="H1019" s="544">
        <v>2084</v>
      </c>
      <c r="I1019">
        <v>27.156394687999999</v>
      </c>
    </row>
    <row r="1020" spans="2:9">
      <c r="B1020" s="545">
        <v>3</v>
      </c>
      <c r="C1020" s="545" t="str">
        <f>VLOOKUP(D1020,기본!$B$3:$C$90,2,0)</f>
        <v>삼성 생활가전</v>
      </c>
      <c r="D1020" t="s">
        <v>1874</v>
      </c>
      <c r="E1020" t="s">
        <v>1946</v>
      </c>
      <c r="F1020" t="s">
        <v>1946</v>
      </c>
      <c r="G1020" t="e">
        <f>VLOOKUP(E1020,기본!$F$3:$G$320,2,0)</f>
        <v>#N/A</v>
      </c>
      <c r="H1020" s="544">
        <v>10</v>
      </c>
      <c r="I1020">
        <v>0.1045</v>
      </c>
    </row>
    <row r="1021" spans="2:9">
      <c r="B1021" s="545">
        <v>3</v>
      </c>
      <c r="C1021" s="545" t="str">
        <f>VLOOKUP(D1021,기본!$B$3:$C$90,2,0)</f>
        <v>삼성 생활가전</v>
      </c>
      <c r="D1021" t="s">
        <v>1874</v>
      </c>
      <c r="E1021" t="s">
        <v>1947</v>
      </c>
      <c r="F1021" t="s">
        <v>1947</v>
      </c>
      <c r="G1021" t="e">
        <f>VLOOKUP(E1021,기본!$F$3:$G$320,2,0)</f>
        <v>#N/A</v>
      </c>
      <c r="H1021" s="544">
        <v>840</v>
      </c>
      <c r="I1021">
        <v>9.1357295399999998</v>
      </c>
    </row>
    <row r="1022" spans="2:9">
      <c r="B1022" s="545">
        <v>3</v>
      </c>
      <c r="C1022" s="545" t="str">
        <f>VLOOKUP(D1022,기본!$B$3:$C$90,2,0)</f>
        <v>삼성 생활가전</v>
      </c>
      <c r="D1022" t="s">
        <v>1874</v>
      </c>
      <c r="E1022" t="s">
        <v>2507</v>
      </c>
      <c r="F1022" t="s">
        <v>2507</v>
      </c>
      <c r="G1022" t="e">
        <f>VLOOKUP(E1022,기본!$F$3:$G$320,2,0)</f>
        <v>#N/A</v>
      </c>
      <c r="H1022" s="544">
        <v>210</v>
      </c>
      <c r="I1022">
        <v>1.2071713499999999</v>
      </c>
    </row>
    <row r="1023" spans="2:9">
      <c r="B1023" s="545">
        <v>3</v>
      </c>
      <c r="C1023" s="545" t="str">
        <f>VLOOKUP(D1023,기본!$B$3:$C$90,2,0)</f>
        <v>삼성 생활가전</v>
      </c>
      <c r="D1023" t="s">
        <v>1874</v>
      </c>
      <c r="E1023" t="s">
        <v>1410</v>
      </c>
      <c r="F1023" t="s">
        <v>1410</v>
      </c>
      <c r="G1023" t="e">
        <f>VLOOKUP(E1023,기본!$F$3:$G$320,2,0)</f>
        <v>#N/A</v>
      </c>
      <c r="H1023" s="544">
        <v>4202</v>
      </c>
      <c r="I1023">
        <v>56.402067967999997</v>
      </c>
    </row>
    <row r="1024" spans="2:9">
      <c r="B1024" s="545">
        <v>3</v>
      </c>
      <c r="C1024" s="545" t="str">
        <f>VLOOKUP(D1024,기본!$B$3:$C$90,2,0)</f>
        <v>삼성 생활가전</v>
      </c>
      <c r="D1024" t="s">
        <v>1874</v>
      </c>
      <c r="E1024" t="s">
        <v>1883</v>
      </c>
      <c r="F1024" t="s">
        <v>1883</v>
      </c>
      <c r="G1024" t="e">
        <f>VLOOKUP(E1024,기본!$F$3:$G$320,2,0)</f>
        <v>#N/A</v>
      </c>
      <c r="H1024" s="544">
        <v>0</v>
      </c>
      <c r="I1024">
        <v>9.7753000000000007E-2</v>
      </c>
    </row>
    <row r="1025" spans="2:9">
      <c r="B1025" s="545">
        <v>3</v>
      </c>
      <c r="C1025" s="545" t="str">
        <f>VLOOKUP(D1025,기본!$B$3:$C$90,2,0)</f>
        <v>삼성 생활가전</v>
      </c>
      <c r="D1025" t="s">
        <v>1874</v>
      </c>
      <c r="E1025" t="s">
        <v>224</v>
      </c>
      <c r="F1025" t="s">
        <v>224</v>
      </c>
      <c r="G1025" t="str">
        <f>VLOOKUP(E1025,기본!$F$3:$G$320,2,0)</f>
        <v>기타</v>
      </c>
      <c r="H1025" s="544">
        <v>0</v>
      </c>
      <c r="I1025">
        <v>0.2457</v>
      </c>
    </row>
    <row r="1026" spans="2:9">
      <c r="B1026" s="545">
        <v>3</v>
      </c>
      <c r="C1026" s="545" t="str">
        <f>VLOOKUP(D1026,기본!$B$3:$C$90,2,0)</f>
        <v>삼성 생활가전</v>
      </c>
      <c r="D1026" t="s">
        <v>1884</v>
      </c>
      <c r="E1026" t="s">
        <v>1410</v>
      </c>
      <c r="F1026" t="s">
        <v>1410</v>
      </c>
      <c r="G1026" t="e">
        <f>VLOOKUP(E1026,기본!$F$3:$G$320,2,0)</f>
        <v>#N/A</v>
      </c>
      <c r="H1026" s="544">
        <v>896</v>
      </c>
      <c r="I1026">
        <v>11.58976</v>
      </c>
    </row>
    <row r="1027" spans="2:9">
      <c r="B1027" s="545">
        <v>3</v>
      </c>
      <c r="C1027" s="545" t="str">
        <f>VLOOKUP(D1027,기본!$B$3:$C$90,2,0)</f>
        <v>E-Mob</v>
      </c>
      <c r="D1027" t="s">
        <v>2395</v>
      </c>
      <c r="E1027" t="s">
        <v>2346</v>
      </c>
      <c r="F1027" t="s">
        <v>2346</v>
      </c>
      <c r="G1027" t="e">
        <f>VLOOKUP(E1027,기본!$F$3:$G$320,2,0)</f>
        <v>#N/A</v>
      </c>
      <c r="H1027" s="544">
        <v>40080</v>
      </c>
      <c r="I1027">
        <v>143.79742080000003</v>
      </c>
    </row>
    <row r="1028" spans="2:9">
      <c r="B1028" s="545">
        <v>3</v>
      </c>
      <c r="C1028" s="545" t="str">
        <f>VLOOKUP(D1028,기본!$B$3:$C$90,2,0)</f>
        <v>E-Mob</v>
      </c>
      <c r="D1028" t="s">
        <v>2395</v>
      </c>
      <c r="E1028" t="s">
        <v>2344</v>
      </c>
      <c r="F1028" t="s">
        <v>2344</v>
      </c>
      <c r="G1028" t="e">
        <f>VLOOKUP(E1028,기본!$F$3:$G$320,2,0)</f>
        <v>#N/A</v>
      </c>
      <c r="H1028" s="544">
        <v>26064</v>
      </c>
      <c r="I1028">
        <v>93.511376639999995</v>
      </c>
    </row>
    <row r="1029" spans="2:9">
      <c r="B1029" s="545">
        <v>3</v>
      </c>
      <c r="C1029" s="545" t="str">
        <f>VLOOKUP(D1029,기본!$B$3:$C$90,2,0)</f>
        <v>E-Mob</v>
      </c>
      <c r="D1029" t="s">
        <v>2395</v>
      </c>
      <c r="E1029" t="s">
        <v>2345</v>
      </c>
      <c r="F1029" t="s">
        <v>2345</v>
      </c>
      <c r="G1029" t="e">
        <f>VLOOKUP(E1029,기본!$F$3:$G$320,2,0)</f>
        <v>#N/A</v>
      </c>
      <c r="H1029" s="544">
        <v>26064</v>
      </c>
      <c r="I1029">
        <v>93.511376639999995</v>
      </c>
    </row>
    <row r="1030" spans="2:9">
      <c r="B1030" s="545">
        <v>3</v>
      </c>
      <c r="C1030" s="545" t="str">
        <f>VLOOKUP(D1030,기본!$B$3:$C$90,2,0)</f>
        <v>코웨이</v>
      </c>
      <c r="D1030" t="s">
        <v>2192</v>
      </c>
      <c r="E1030" t="s">
        <v>873</v>
      </c>
      <c r="F1030" t="s">
        <v>873</v>
      </c>
      <c r="G1030" t="e">
        <f>VLOOKUP(E1030,기본!$F$3:$G$320,2,0)</f>
        <v>#N/A</v>
      </c>
      <c r="H1030" s="544">
        <v>7630</v>
      </c>
      <c r="I1030">
        <v>50.800539999999998</v>
      </c>
    </row>
    <row r="1031" spans="2:9">
      <c r="B1031" s="545">
        <v>3</v>
      </c>
      <c r="C1031" s="545" t="str">
        <f>VLOOKUP(D1031,기본!$B$3:$C$90,2,0)</f>
        <v>코웨이</v>
      </c>
      <c r="D1031" t="s">
        <v>2192</v>
      </c>
      <c r="E1031" t="s">
        <v>1932</v>
      </c>
      <c r="F1031" t="s">
        <v>1932</v>
      </c>
      <c r="G1031" t="e">
        <f>VLOOKUP(E1031,기본!$F$3:$G$320,2,0)</f>
        <v>#N/A</v>
      </c>
      <c r="H1031" s="544">
        <v>7500</v>
      </c>
      <c r="I1031">
        <v>144.9375</v>
      </c>
    </row>
    <row r="1032" spans="2:9">
      <c r="B1032" s="545">
        <v>3</v>
      </c>
      <c r="C1032" s="545" t="str">
        <f>VLOOKUP(D1032,기본!$B$3:$C$90,2,0)</f>
        <v>코웨이</v>
      </c>
      <c r="D1032" t="s">
        <v>2192</v>
      </c>
      <c r="E1032" t="s">
        <v>1935</v>
      </c>
      <c r="F1032" t="s">
        <v>1935</v>
      </c>
      <c r="G1032" t="e">
        <f>VLOOKUP(E1032,기본!$F$3:$G$320,2,0)</f>
        <v>#N/A</v>
      </c>
      <c r="H1032" s="544">
        <v>7632</v>
      </c>
      <c r="I1032">
        <v>111.54168</v>
      </c>
    </row>
    <row r="1033" spans="2:9">
      <c r="B1033" s="545">
        <v>3</v>
      </c>
      <c r="C1033" s="545" t="str">
        <f>VLOOKUP(D1033,기본!$B$3:$C$90,2,0)</f>
        <v>베터리</v>
      </c>
      <c r="D1033" t="s">
        <v>2041</v>
      </c>
      <c r="E1033" t="s">
        <v>1762</v>
      </c>
      <c r="F1033" t="s">
        <v>1762</v>
      </c>
      <c r="G1033" t="e">
        <f>VLOOKUP(E1033,기본!$F$3:$G$320,2,0)</f>
        <v>#N/A</v>
      </c>
      <c r="H1033" s="544">
        <v>112000</v>
      </c>
      <c r="I1033">
        <v>202.83199999999999</v>
      </c>
    </row>
    <row r="1034" spans="2:9">
      <c r="B1034" s="545">
        <v>3</v>
      </c>
      <c r="C1034" s="545" t="str">
        <f>VLOOKUP(D1034,기본!$B$3:$C$90,2,0)</f>
        <v>삼성 생활가전</v>
      </c>
      <c r="D1034" t="s">
        <v>2332</v>
      </c>
      <c r="E1034" t="s">
        <v>2299</v>
      </c>
      <c r="F1034" t="s">
        <v>2299</v>
      </c>
      <c r="G1034" t="e">
        <f>VLOOKUP(E1034,기본!$F$3:$G$320,2,0)</f>
        <v>#N/A</v>
      </c>
      <c r="H1034" s="544">
        <v>1152</v>
      </c>
      <c r="I1034">
        <v>3.42144</v>
      </c>
    </row>
    <row r="1035" spans="2:9">
      <c r="B1035" s="545">
        <v>3</v>
      </c>
      <c r="C1035" s="545" t="str">
        <f>VLOOKUP(D1035,기본!$B$3:$C$90,2,0)</f>
        <v>코웨이</v>
      </c>
      <c r="D1035" t="s">
        <v>2028</v>
      </c>
      <c r="E1035" t="s">
        <v>1894</v>
      </c>
      <c r="F1035" t="s">
        <v>1894</v>
      </c>
      <c r="G1035" t="e">
        <f>VLOOKUP(E1035,기본!$F$3:$G$320,2,0)</f>
        <v>#N/A</v>
      </c>
      <c r="H1035" s="544">
        <v>3168</v>
      </c>
      <c r="I1035">
        <v>25.401024</v>
      </c>
    </row>
    <row r="1036" spans="2:9">
      <c r="B1036" s="545">
        <v>3</v>
      </c>
      <c r="C1036" s="545" t="str">
        <f>VLOOKUP(D1036,기본!$B$3:$C$90,2,0)</f>
        <v>코웨이</v>
      </c>
      <c r="D1036" t="s">
        <v>2028</v>
      </c>
      <c r="E1036" t="s">
        <v>1488</v>
      </c>
      <c r="F1036" t="s">
        <v>1488</v>
      </c>
      <c r="G1036" t="e">
        <f>VLOOKUP(E1036,기본!$F$3:$G$320,2,0)</f>
        <v>#N/A</v>
      </c>
      <c r="H1036" s="544">
        <v>1920</v>
      </c>
      <c r="I1036">
        <v>13.309439999999999</v>
      </c>
    </row>
    <row r="1037" spans="2:9">
      <c r="B1037" s="545">
        <v>3</v>
      </c>
      <c r="C1037" s="545" t="str">
        <f>VLOOKUP(D1037,기본!$B$3:$C$90,2,0)</f>
        <v>코웨이</v>
      </c>
      <c r="D1037" t="s">
        <v>2028</v>
      </c>
      <c r="E1037" t="s">
        <v>2035</v>
      </c>
      <c r="F1037" t="s">
        <v>2035</v>
      </c>
      <c r="G1037" t="e">
        <f>VLOOKUP(E1037,기본!$F$3:$G$320,2,0)</f>
        <v>#N/A</v>
      </c>
      <c r="H1037" s="544">
        <v>3456</v>
      </c>
      <c r="I1037">
        <v>33.149951999999999</v>
      </c>
    </row>
    <row r="1038" spans="2:9">
      <c r="B1038" s="545">
        <v>3</v>
      </c>
      <c r="C1038" s="545" t="str">
        <f>VLOOKUP(D1038,기본!$B$3:$C$90,2,0)</f>
        <v>코웨이</v>
      </c>
      <c r="D1038" t="s">
        <v>2028</v>
      </c>
      <c r="E1038" t="s">
        <v>2468</v>
      </c>
      <c r="F1038" t="s">
        <v>2468</v>
      </c>
      <c r="G1038" t="e">
        <f>VLOOKUP(E1038,기본!$F$3:$G$320,2,0)</f>
        <v>#N/A</v>
      </c>
      <c r="H1038" s="544">
        <v>30</v>
      </c>
      <c r="I1038">
        <v>0.1641</v>
      </c>
    </row>
    <row r="1039" spans="2:9">
      <c r="B1039" s="545">
        <v>3</v>
      </c>
      <c r="C1039" s="545" t="str">
        <f>VLOOKUP(D1039,기본!$B$3:$C$90,2,0)</f>
        <v>코웨이</v>
      </c>
      <c r="D1039" t="s">
        <v>2028</v>
      </c>
      <c r="E1039" t="s">
        <v>1917</v>
      </c>
      <c r="F1039" t="s">
        <v>1917</v>
      </c>
      <c r="G1039" t="e">
        <f>VLOOKUP(E1039,기본!$F$3:$G$320,2,0)</f>
        <v>#N/A</v>
      </c>
      <c r="H1039" s="544">
        <v>576</v>
      </c>
      <c r="I1039">
        <v>14.759423999999999</v>
      </c>
    </row>
    <row r="1040" spans="2:9">
      <c r="B1040" s="545">
        <v>3</v>
      </c>
      <c r="C1040" s="545" t="str">
        <f>VLOOKUP(D1040,기본!$B$3:$C$90,2,0)</f>
        <v>코웨이</v>
      </c>
      <c r="D1040" t="s">
        <v>1885</v>
      </c>
      <c r="E1040" t="s">
        <v>1026</v>
      </c>
      <c r="F1040" t="s">
        <v>1026</v>
      </c>
      <c r="G1040" t="e">
        <f>VLOOKUP(E1040,기본!$F$3:$G$320,2,0)</f>
        <v>#N/A</v>
      </c>
      <c r="H1040" s="544">
        <v>7032</v>
      </c>
      <c r="I1040">
        <v>40.230072</v>
      </c>
    </row>
    <row r="1041" spans="2:9">
      <c r="B1041" s="545">
        <v>3</v>
      </c>
      <c r="C1041" s="545" t="str">
        <f>VLOOKUP(D1041,기본!$B$3:$C$90,2,0)</f>
        <v>코웨이</v>
      </c>
      <c r="D1041" t="s">
        <v>1885</v>
      </c>
      <c r="E1041" t="s">
        <v>1029</v>
      </c>
      <c r="F1041" t="s">
        <v>1029</v>
      </c>
      <c r="G1041" t="e">
        <f>VLOOKUP(E1041,기본!$F$3:$G$320,2,0)</f>
        <v>#N/A</v>
      </c>
      <c r="H1041" s="544">
        <v>13238</v>
      </c>
      <c r="I1041">
        <v>19.552526</v>
      </c>
    </row>
    <row r="1042" spans="2:9">
      <c r="B1042" s="545">
        <v>3</v>
      </c>
      <c r="C1042" s="545" t="str">
        <f>VLOOKUP(D1042,기본!$B$3:$C$90,2,0)</f>
        <v>삼성 생활가전</v>
      </c>
      <c r="D1042" t="s">
        <v>2161</v>
      </c>
      <c r="E1042" t="s">
        <v>2162</v>
      </c>
      <c r="F1042" t="s">
        <v>2162</v>
      </c>
      <c r="G1042" t="e">
        <f>VLOOKUP(E1042,기본!$F$3:$G$320,2,0)</f>
        <v>#N/A</v>
      </c>
      <c r="H1042" s="544">
        <v>5820</v>
      </c>
      <c r="I1042">
        <v>40.681799999999996</v>
      </c>
    </row>
    <row r="1043" spans="2:9">
      <c r="B1043" s="545">
        <v>3</v>
      </c>
      <c r="C1043" s="545" t="str">
        <f>VLOOKUP(D1043,기본!$B$3:$C$90,2,0)</f>
        <v>삼성 생활가전</v>
      </c>
      <c r="D1043" t="s">
        <v>2161</v>
      </c>
      <c r="E1043" t="s">
        <v>2451</v>
      </c>
      <c r="F1043" t="s">
        <v>2451</v>
      </c>
      <c r="G1043" t="e">
        <f>VLOOKUP(E1043,기본!$F$3:$G$320,2,0)</f>
        <v>#N/A</v>
      </c>
      <c r="H1043" s="544">
        <v>11440</v>
      </c>
      <c r="I1043">
        <v>83.397599999999997</v>
      </c>
    </row>
    <row r="1044" spans="2:9">
      <c r="B1044" s="545">
        <v>3</v>
      </c>
      <c r="C1044" s="545" t="str">
        <f>VLOOKUP(D1044,기본!$B$3:$C$90,2,0)</f>
        <v>코웨이</v>
      </c>
      <c r="D1044" t="s">
        <v>1886</v>
      </c>
      <c r="E1044" t="s">
        <v>1887</v>
      </c>
      <c r="F1044" t="s">
        <v>1887</v>
      </c>
      <c r="G1044" t="e">
        <f>VLOOKUP(E1044,기본!$F$3:$G$320,2,0)</f>
        <v>#N/A</v>
      </c>
      <c r="H1044" s="544">
        <v>12980</v>
      </c>
      <c r="I1044">
        <v>37.564120000000003</v>
      </c>
    </row>
    <row r="1045" spans="2:9">
      <c r="B1045" s="545">
        <v>3</v>
      </c>
      <c r="C1045" s="545" t="str">
        <f>VLOOKUP(D1045,기본!$B$3:$C$90,2,0)</f>
        <v>코웨이</v>
      </c>
      <c r="D1045" t="s">
        <v>1995</v>
      </c>
      <c r="E1045" t="s">
        <v>2547</v>
      </c>
      <c r="F1045" t="s">
        <v>2547</v>
      </c>
      <c r="G1045" t="e">
        <f>VLOOKUP(E1045,기본!$F$3:$G$320,2,0)</f>
        <v>#N/A</v>
      </c>
      <c r="H1045" s="544">
        <v>120</v>
      </c>
      <c r="I1045">
        <v>15.474817679999999</v>
      </c>
    </row>
    <row r="1046" spans="2:9">
      <c r="B1046" s="545">
        <v>3</v>
      </c>
      <c r="C1046" s="545" t="str">
        <f>VLOOKUP(D1046,기본!$B$3:$C$90,2,0)</f>
        <v>코웨이</v>
      </c>
      <c r="D1046" t="s">
        <v>1995</v>
      </c>
      <c r="E1046" t="s">
        <v>2548</v>
      </c>
      <c r="F1046" t="s">
        <v>2548</v>
      </c>
      <c r="G1046" t="e">
        <f>VLOOKUP(E1046,기본!$F$3:$G$320,2,0)</f>
        <v>#N/A</v>
      </c>
      <c r="H1046" s="544">
        <v>120</v>
      </c>
      <c r="I1046">
        <v>15.474817679999999</v>
      </c>
    </row>
    <row r="1047" spans="2:9">
      <c r="B1047" s="545">
        <v>3</v>
      </c>
      <c r="C1047" s="545" t="str">
        <f>VLOOKUP(D1047,기본!$B$3:$C$90,2,0)</f>
        <v>코웨이</v>
      </c>
      <c r="D1047" t="s">
        <v>1995</v>
      </c>
      <c r="E1047" t="s">
        <v>2549</v>
      </c>
      <c r="F1047" t="s">
        <v>2549</v>
      </c>
      <c r="G1047" t="e">
        <f>VLOOKUP(E1047,기본!$F$3:$G$320,2,0)</f>
        <v>#N/A</v>
      </c>
      <c r="H1047" s="544">
        <v>1728</v>
      </c>
      <c r="I1047">
        <v>205.60350182400003</v>
      </c>
    </row>
    <row r="1048" spans="2:9">
      <c r="B1048" s="545">
        <v>3</v>
      </c>
      <c r="C1048" s="545" t="str">
        <f>VLOOKUP(D1048,기본!$B$3:$C$90,2,0)</f>
        <v>코웨이</v>
      </c>
      <c r="D1048" t="s">
        <v>1995</v>
      </c>
      <c r="E1048" t="s">
        <v>2550</v>
      </c>
      <c r="F1048" t="s">
        <v>2550</v>
      </c>
      <c r="G1048" t="e">
        <f>VLOOKUP(E1048,기본!$F$3:$G$320,2,0)</f>
        <v>#N/A</v>
      </c>
      <c r="H1048" s="544">
        <v>1152</v>
      </c>
      <c r="I1048">
        <v>137.06900121600003</v>
      </c>
    </row>
    <row r="1049" spans="2:9">
      <c r="B1049" s="545">
        <v>3</v>
      </c>
      <c r="C1049" s="545" t="str">
        <f>VLOOKUP(D1049,기본!$B$3:$C$90,2,0)</f>
        <v>코웨이</v>
      </c>
      <c r="D1049" t="s">
        <v>1995</v>
      </c>
      <c r="E1049" t="s">
        <v>2551</v>
      </c>
      <c r="F1049" t="s">
        <v>2551</v>
      </c>
      <c r="G1049" t="e">
        <f>VLOOKUP(E1049,기본!$F$3:$G$320,2,0)</f>
        <v>#N/A</v>
      </c>
      <c r="H1049" s="544">
        <v>1080</v>
      </c>
      <c r="I1049">
        <v>130.62700224</v>
      </c>
    </row>
    <row r="1050" spans="2:9">
      <c r="B1050" s="545">
        <v>3</v>
      </c>
      <c r="C1050" s="545" t="str">
        <f>VLOOKUP(D1050,기본!$B$3:$C$90,2,0)</f>
        <v>코웨이</v>
      </c>
      <c r="D1050" t="s">
        <v>1995</v>
      </c>
      <c r="E1050" t="s">
        <v>2552</v>
      </c>
      <c r="F1050" t="s">
        <v>2552</v>
      </c>
      <c r="G1050" t="e">
        <f>VLOOKUP(E1050,기본!$F$3:$G$320,2,0)</f>
        <v>#N/A</v>
      </c>
      <c r="H1050" s="544">
        <v>350</v>
      </c>
      <c r="I1050">
        <v>15.721199200000001</v>
      </c>
    </row>
    <row r="1051" spans="2:9">
      <c r="B1051" s="545">
        <v>3</v>
      </c>
      <c r="C1051" s="545" t="str">
        <f>VLOOKUP(D1051,기본!$B$3:$C$90,2,0)</f>
        <v>코웨이</v>
      </c>
      <c r="D1051" t="s">
        <v>1995</v>
      </c>
      <c r="E1051" t="s">
        <v>1755</v>
      </c>
      <c r="F1051" t="s">
        <v>1755</v>
      </c>
      <c r="G1051" t="e">
        <f>VLOOKUP(E1051,기본!$F$3:$G$320,2,0)</f>
        <v>#N/A</v>
      </c>
      <c r="H1051" s="544">
        <v>1350</v>
      </c>
      <c r="I1051">
        <v>161.75143530000003</v>
      </c>
    </row>
    <row r="1052" spans="2:9">
      <c r="B1052" s="545">
        <v>3</v>
      </c>
      <c r="C1052" s="545" t="str">
        <f>VLOOKUP(D1052,기본!$B$3:$C$90,2,0)</f>
        <v>코웨이</v>
      </c>
      <c r="D1052" t="s">
        <v>1995</v>
      </c>
      <c r="E1052" t="s">
        <v>2553</v>
      </c>
      <c r="F1052" t="s">
        <v>2553</v>
      </c>
      <c r="G1052" t="e">
        <f>VLOOKUP(E1052,기본!$F$3:$G$320,2,0)</f>
        <v>#N/A</v>
      </c>
      <c r="H1052" s="544">
        <v>80</v>
      </c>
      <c r="I1052">
        <v>14.805894880000002</v>
      </c>
    </row>
    <row r="1053" spans="2:9">
      <c r="B1053" s="545">
        <v>3</v>
      </c>
      <c r="C1053" s="545" t="str">
        <f>VLOOKUP(D1053,기본!$B$3:$C$90,2,0)</f>
        <v>코웨이</v>
      </c>
      <c r="D1053" t="s">
        <v>1995</v>
      </c>
      <c r="E1053" t="s">
        <v>2554</v>
      </c>
      <c r="F1053" t="s">
        <v>2554</v>
      </c>
      <c r="G1053" t="e">
        <f>VLOOKUP(E1053,기본!$F$3:$G$320,2,0)</f>
        <v>#N/A</v>
      </c>
      <c r="H1053" s="544">
        <v>80</v>
      </c>
      <c r="I1053">
        <v>14.805894880000002</v>
      </c>
    </row>
    <row r="1054" spans="2:9">
      <c r="B1054" s="545">
        <v>3</v>
      </c>
      <c r="C1054" s="545" t="str">
        <f>VLOOKUP(D1054,기본!$B$3:$C$90,2,0)</f>
        <v>코웨이</v>
      </c>
      <c r="D1054" t="s">
        <v>1995</v>
      </c>
      <c r="E1054" t="s">
        <v>2398</v>
      </c>
      <c r="F1054" t="s">
        <v>2398</v>
      </c>
      <c r="G1054" t="e">
        <f>VLOOKUP(E1054,기본!$F$3:$G$320,2,0)</f>
        <v>#N/A</v>
      </c>
      <c r="H1054" s="544">
        <v>1680</v>
      </c>
      <c r="I1054">
        <v>285.44782223999999</v>
      </c>
    </row>
    <row r="1055" spans="2:9">
      <c r="B1055" s="545">
        <v>3</v>
      </c>
      <c r="C1055" s="545" t="str">
        <f>VLOOKUP(D1055,기본!$B$3:$C$90,2,0)</f>
        <v>코웨이</v>
      </c>
      <c r="D1055" t="s">
        <v>1995</v>
      </c>
      <c r="E1055" t="s">
        <v>2399</v>
      </c>
      <c r="F1055" t="s">
        <v>2399</v>
      </c>
      <c r="G1055" t="e">
        <f>VLOOKUP(E1055,기본!$F$3:$G$320,2,0)</f>
        <v>#N/A</v>
      </c>
      <c r="H1055" s="544">
        <v>840</v>
      </c>
      <c r="I1055">
        <v>142.72391112</v>
      </c>
    </row>
    <row r="1056" spans="2:9">
      <c r="B1056" s="545">
        <v>3</v>
      </c>
      <c r="C1056" s="545" t="str">
        <f>VLOOKUP(D1056,기본!$B$3:$C$90,2,0)</f>
        <v>코웨이</v>
      </c>
      <c r="D1056" t="s">
        <v>1995</v>
      </c>
      <c r="E1056" t="s">
        <v>2065</v>
      </c>
      <c r="F1056" t="s">
        <v>2065</v>
      </c>
      <c r="G1056" t="e">
        <f>VLOOKUP(E1056,기본!$F$3:$G$320,2,0)</f>
        <v>#N/A</v>
      </c>
      <c r="H1056" s="544">
        <v>264</v>
      </c>
      <c r="I1056">
        <v>44.912021615999997</v>
      </c>
    </row>
    <row r="1057" spans="2:9">
      <c r="B1057" s="545">
        <v>3</v>
      </c>
      <c r="C1057" s="545" t="str">
        <f>VLOOKUP(D1057,기본!$B$3:$C$90,2,0)</f>
        <v>코웨이</v>
      </c>
      <c r="D1057" t="s">
        <v>1995</v>
      </c>
      <c r="E1057" t="s">
        <v>2555</v>
      </c>
      <c r="F1057" t="s">
        <v>2555</v>
      </c>
      <c r="G1057" t="e">
        <f>VLOOKUP(E1057,기본!$F$3:$G$320,2,0)</f>
        <v>#N/A</v>
      </c>
      <c r="H1057" s="544">
        <v>2240</v>
      </c>
      <c r="I1057">
        <v>178.21314112000002</v>
      </c>
    </row>
    <row r="1058" spans="2:9">
      <c r="B1058" s="545">
        <v>3</v>
      </c>
      <c r="C1058" s="545" t="str">
        <f>VLOOKUP(D1058,기본!$B$3:$C$90,2,0)</f>
        <v>코웨이</v>
      </c>
      <c r="D1058" t="s">
        <v>1995</v>
      </c>
      <c r="E1058" t="s">
        <v>1997</v>
      </c>
      <c r="F1058" t="s">
        <v>1997</v>
      </c>
      <c r="G1058" t="e">
        <f>VLOOKUP(E1058,기본!$F$3:$G$320,2,0)</f>
        <v>#N/A</v>
      </c>
      <c r="H1058" s="544">
        <v>8400</v>
      </c>
      <c r="I1058">
        <v>682.41022080000005</v>
      </c>
    </row>
    <row r="1059" spans="2:9">
      <c r="B1059" s="545">
        <v>3</v>
      </c>
      <c r="C1059" s="545" t="str">
        <f>VLOOKUP(D1059,기본!$B$3:$C$90,2,0)</f>
        <v>코웨이</v>
      </c>
      <c r="D1059" t="s">
        <v>1995</v>
      </c>
      <c r="E1059" t="s">
        <v>224</v>
      </c>
      <c r="F1059" t="s">
        <v>224</v>
      </c>
      <c r="G1059" t="str">
        <f>VLOOKUP(E1059,기본!$F$3:$G$320,2,0)</f>
        <v>기타</v>
      </c>
      <c r="H1059" s="544">
        <v>0</v>
      </c>
      <c r="I1059">
        <v>20.109396</v>
      </c>
    </row>
    <row r="1060" spans="2:9">
      <c r="B1060" s="545">
        <v>3</v>
      </c>
      <c r="C1060" s="545" t="str">
        <f>VLOOKUP(D1060,기본!$B$3:$C$90,2,0)</f>
        <v>코웨이</v>
      </c>
      <c r="D1060" t="s">
        <v>1888</v>
      </c>
      <c r="E1060" t="s">
        <v>1889</v>
      </c>
      <c r="F1060" t="s">
        <v>1889</v>
      </c>
      <c r="G1060" t="e">
        <f>VLOOKUP(E1060,기본!$F$3:$G$320,2,0)</f>
        <v>#N/A</v>
      </c>
      <c r="H1060" s="544">
        <v>32</v>
      </c>
      <c r="I1060">
        <v>0.28995199999999999</v>
      </c>
    </row>
    <row r="1061" spans="2:9">
      <c r="B1061" s="545">
        <v>3</v>
      </c>
      <c r="C1061" s="545" t="str">
        <f>VLOOKUP(D1061,기본!$B$3:$C$90,2,0)</f>
        <v>코웨이</v>
      </c>
      <c r="D1061" t="s">
        <v>1888</v>
      </c>
      <c r="E1061" t="s">
        <v>1047</v>
      </c>
      <c r="F1061" t="s">
        <v>1047</v>
      </c>
      <c r="G1061" t="e">
        <f>VLOOKUP(E1061,기본!$F$3:$G$320,2,0)</f>
        <v>#N/A</v>
      </c>
      <c r="H1061" s="544">
        <v>60</v>
      </c>
      <c r="I1061">
        <v>0.33966000000000002</v>
      </c>
    </row>
    <row r="1062" spans="2:9">
      <c r="B1062" s="545">
        <v>3</v>
      </c>
      <c r="C1062" s="545" t="str">
        <f>VLOOKUP(D1062,기본!$B$3:$C$90,2,0)</f>
        <v>코웨이</v>
      </c>
      <c r="D1062" t="s">
        <v>1888</v>
      </c>
      <c r="E1062" t="s">
        <v>1048</v>
      </c>
      <c r="F1062" t="s">
        <v>1048</v>
      </c>
      <c r="G1062" t="e">
        <f>VLOOKUP(E1062,기본!$F$3:$G$320,2,0)</f>
        <v>#N/A</v>
      </c>
      <c r="H1062" s="544">
        <v>1404</v>
      </c>
      <c r="I1062">
        <v>4.6331999999999995</v>
      </c>
    </row>
    <row r="1063" spans="2:9">
      <c r="B1063" s="545">
        <v>3</v>
      </c>
      <c r="C1063" s="545" t="str">
        <f>VLOOKUP(D1063,기본!$B$3:$C$90,2,0)</f>
        <v>코웨이</v>
      </c>
      <c r="D1063" t="s">
        <v>1888</v>
      </c>
      <c r="E1063" t="s">
        <v>1049</v>
      </c>
      <c r="F1063" t="s">
        <v>1049</v>
      </c>
      <c r="G1063" t="e">
        <f>VLOOKUP(E1063,기본!$F$3:$G$320,2,0)</f>
        <v>#N/A</v>
      </c>
      <c r="H1063" s="544">
        <v>1360</v>
      </c>
      <c r="I1063">
        <v>8.7080800000000007</v>
      </c>
    </row>
    <row r="1064" spans="2:9">
      <c r="B1064" s="545">
        <v>3</v>
      </c>
      <c r="C1064" s="545" t="str">
        <f>VLOOKUP(D1064,기본!$B$3:$C$90,2,0)</f>
        <v>코웨이</v>
      </c>
      <c r="D1064" t="s">
        <v>1888</v>
      </c>
      <c r="E1064" t="s">
        <v>1894</v>
      </c>
      <c r="F1064" t="s">
        <v>1894</v>
      </c>
      <c r="G1064" t="e">
        <f>VLOOKUP(E1064,기본!$F$3:$G$320,2,0)</f>
        <v>#N/A</v>
      </c>
      <c r="H1064" s="544">
        <v>200</v>
      </c>
      <c r="I1064">
        <v>1.6035999999999999</v>
      </c>
    </row>
    <row r="1065" spans="2:9">
      <c r="B1065" s="545">
        <v>3</v>
      </c>
      <c r="C1065" s="545" t="str">
        <f>VLOOKUP(D1065,기본!$B$3:$C$90,2,0)</f>
        <v>코웨이</v>
      </c>
      <c r="D1065" t="s">
        <v>1888</v>
      </c>
      <c r="E1065" t="s">
        <v>2008</v>
      </c>
      <c r="F1065" t="s">
        <v>2008</v>
      </c>
      <c r="G1065" t="e">
        <f>VLOOKUP(E1065,기본!$F$3:$G$320,2,0)</f>
        <v>#N/A</v>
      </c>
      <c r="H1065" s="544">
        <v>1743</v>
      </c>
      <c r="I1065">
        <v>16.19247</v>
      </c>
    </row>
    <row r="1066" spans="2:9">
      <c r="B1066" s="545">
        <v>3</v>
      </c>
      <c r="C1066" s="545" t="str">
        <f>VLOOKUP(D1066,기본!$B$3:$C$90,2,0)</f>
        <v>코웨이</v>
      </c>
      <c r="D1066" t="s">
        <v>1888</v>
      </c>
      <c r="E1066" t="s">
        <v>2009</v>
      </c>
      <c r="F1066" t="s">
        <v>2009</v>
      </c>
      <c r="G1066" t="e">
        <f>VLOOKUP(E1066,기본!$F$3:$G$320,2,0)</f>
        <v>#N/A</v>
      </c>
      <c r="H1066" s="544">
        <v>2343</v>
      </c>
      <c r="I1066">
        <v>36.804990000000004</v>
      </c>
    </row>
    <row r="1067" spans="2:9">
      <c r="B1067" s="545">
        <v>3</v>
      </c>
      <c r="C1067" s="545" t="str">
        <f>VLOOKUP(D1067,기본!$B$3:$C$90,2,0)</f>
        <v>코웨이</v>
      </c>
      <c r="D1067" t="s">
        <v>1888</v>
      </c>
      <c r="E1067" t="s">
        <v>2519</v>
      </c>
      <c r="F1067" t="s">
        <v>2519</v>
      </c>
      <c r="G1067" t="e">
        <f>VLOOKUP(E1067,기본!$F$3:$G$320,2,0)</f>
        <v>#N/A</v>
      </c>
      <c r="H1067" s="544">
        <v>24</v>
      </c>
      <c r="I1067">
        <v>0.312504</v>
      </c>
    </row>
    <row r="1068" spans="2:9">
      <c r="B1068" s="545">
        <v>3</v>
      </c>
      <c r="C1068" s="545" t="str">
        <f>VLOOKUP(D1068,기본!$B$3:$C$90,2,0)</f>
        <v>코웨이</v>
      </c>
      <c r="D1068" t="s">
        <v>1888</v>
      </c>
      <c r="E1068" t="s">
        <v>2511</v>
      </c>
      <c r="F1068" t="s">
        <v>2511</v>
      </c>
      <c r="G1068" t="e">
        <f>VLOOKUP(E1068,기본!$F$3:$G$320,2,0)</f>
        <v>#N/A</v>
      </c>
      <c r="H1068" s="544">
        <v>400</v>
      </c>
      <c r="I1068">
        <v>7.2164000000000001</v>
      </c>
    </row>
    <row r="1069" spans="2:9">
      <c r="B1069" s="545">
        <v>3</v>
      </c>
      <c r="C1069" s="545" t="str">
        <f>VLOOKUP(D1069,기본!$B$3:$C$90,2,0)</f>
        <v>코웨이</v>
      </c>
      <c r="D1069" t="s">
        <v>1888</v>
      </c>
      <c r="E1069" t="s">
        <v>1896</v>
      </c>
      <c r="F1069" t="s">
        <v>1896</v>
      </c>
      <c r="G1069" t="e">
        <f>VLOOKUP(E1069,기본!$F$3:$G$320,2,0)</f>
        <v>#N/A</v>
      </c>
      <c r="H1069" s="544">
        <v>467</v>
      </c>
      <c r="I1069">
        <v>6.8989849999999997</v>
      </c>
    </row>
    <row r="1070" spans="2:9">
      <c r="B1070" s="545">
        <v>3</v>
      </c>
      <c r="C1070" s="545" t="str">
        <f>VLOOKUP(D1070,기본!$B$3:$C$90,2,0)</f>
        <v>코웨이</v>
      </c>
      <c r="D1070" t="s">
        <v>1888</v>
      </c>
      <c r="E1070" t="s">
        <v>1897</v>
      </c>
      <c r="F1070" t="s">
        <v>1897</v>
      </c>
      <c r="G1070" t="e">
        <f>VLOOKUP(E1070,기본!$F$3:$G$320,2,0)</f>
        <v>#N/A</v>
      </c>
      <c r="H1070" s="544">
        <v>12611</v>
      </c>
      <c r="I1070">
        <v>187.53455600000001</v>
      </c>
    </row>
    <row r="1071" spans="2:9">
      <c r="B1071" s="545">
        <v>3</v>
      </c>
      <c r="C1071" s="545" t="str">
        <f>VLOOKUP(D1071,기본!$B$3:$C$90,2,0)</f>
        <v>코웨이</v>
      </c>
      <c r="D1071" t="s">
        <v>1888</v>
      </c>
      <c r="E1071" t="s">
        <v>1486</v>
      </c>
      <c r="F1071" t="s">
        <v>1486</v>
      </c>
      <c r="G1071" t="e">
        <f>VLOOKUP(E1071,기본!$F$3:$G$320,2,0)</f>
        <v>#N/A</v>
      </c>
      <c r="H1071" s="544">
        <v>1156</v>
      </c>
      <c r="I1071">
        <v>9.5612760000000012</v>
      </c>
    </row>
    <row r="1072" spans="2:9">
      <c r="B1072" s="545">
        <v>3</v>
      </c>
      <c r="C1072" s="545" t="str">
        <f>VLOOKUP(D1072,기본!$B$3:$C$90,2,0)</f>
        <v>코웨이</v>
      </c>
      <c r="D1072" t="s">
        <v>1888</v>
      </c>
      <c r="E1072" t="s">
        <v>1898</v>
      </c>
      <c r="F1072" t="s">
        <v>1898</v>
      </c>
      <c r="G1072" t="e">
        <f>VLOOKUP(E1072,기본!$F$3:$G$320,2,0)</f>
        <v>#N/A</v>
      </c>
      <c r="H1072" s="544">
        <v>326</v>
      </c>
      <c r="I1072">
        <v>2.6911300000000002</v>
      </c>
    </row>
    <row r="1073" spans="2:9">
      <c r="B1073" s="545">
        <v>3</v>
      </c>
      <c r="C1073" s="545" t="str">
        <f>VLOOKUP(D1073,기본!$B$3:$C$90,2,0)</f>
        <v>코웨이</v>
      </c>
      <c r="D1073" t="s">
        <v>1888</v>
      </c>
      <c r="E1073" t="s">
        <v>2034</v>
      </c>
      <c r="F1073" t="s">
        <v>2034</v>
      </c>
      <c r="G1073" t="e">
        <f>VLOOKUP(E1073,기본!$F$3:$G$320,2,0)</f>
        <v>#N/A</v>
      </c>
      <c r="H1073" s="544">
        <v>255</v>
      </c>
      <c r="I1073">
        <v>5.6186699999999998</v>
      </c>
    </row>
    <row r="1074" spans="2:9">
      <c r="B1074" s="545">
        <v>3</v>
      </c>
      <c r="C1074" s="545" t="str">
        <f>VLOOKUP(D1074,기본!$B$3:$C$90,2,0)</f>
        <v>코웨이</v>
      </c>
      <c r="D1074" t="s">
        <v>1888</v>
      </c>
      <c r="E1074" t="s">
        <v>2304</v>
      </c>
      <c r="F1074" t="s">
        <v>2304</v>
      </c>
      <c r="G1074" t="e">
        <f>VLOOKUP(E1074,기본!$F$3:$G$320,2,0)</f>
        <v>#N/A</v>
      </c>
      <c r="H1074" s="544">
        <v>617</v>
      </c>
      <c r="I1074">
        <v>10.126234</v>
      </c>
    </row>
    <row r="1075" spans="2:9">
      <c r="B1075" s="545">
        <v>3</v>
      </c>
      <c r="C1075" s="545" t="str">
        <f>VLOOKUP(D1075,기본!$B$3:$C$90,2,0)</f>
        <v>코웨이</v>
      </c>
      <c r="D1075" t="s">
        <v>1888</v>
      </c>
      <c r="E1075" t="s">
        <v>2305</v>
      </c>
      <c r="F1075" t="s">
        <v>2305</v>
      </c>
      <c r="G1075" t="e">
        <f>VLOOKUP(E1075,기본!$F$3:$G$320,2,0)</f>
        <v>#N/A</v>
      </c>
      <c r="H1075" s="544">
        <v>626</v>
      </c>
      <c r="I1075">
        <v>13.198584</v>
      </c>
    </row>
    <row r="1076" spans="2:9">
      <c r="B1076" s="545">
        <v>3</v>
      </c>
      <c r="C1076" s="545" t="str">
        <f>VLOOKUP(D1076,기본!$B$3:$C$90,2,0)</f>
        <v>코웨이</v>
      </c>
      <c r="D1076" t="s">
        <v>1888</v>
      </c>
      <c r="E1076" t="s">
        <v>1899</v>
      </c>
      <c r="F1076" t="s">
        <v>1899</v>
      </c>
      <c r="G1076" t="e">
        <f>VLOOKUP(E1076,기본!$F$3:$G$320,2,0)</f>
        <v>#N/A</v>
      </c>
      <c r="H1076" s="544">
        <v>642</v>
      </c>
      <c r="I1076">
        <v>5.030138</v>
      </c>
    </row>
    <row r="1077" spans="2:9">
      <c r="B1077" s="545">
        <v>3</v>
      </c>
      <c r="C1077" s="545" t="str">
        <f>VLOOKUP(D1077,기본!$B$3:$C$90,2,0)</f>
        <v>코웨이</v>
      </c>
      <c r="D1077" t="s">
        <v>1888</v>
      </c>
      <c r="E1077" t="s">
        <v>1901</v>
      </c>
      <c r="F1077" t="s">
        <v>1901</v>
      </c>
      <c r="G1077" t="e">
        <f>VLOOKUP(E1077,기본!$F$3:$G$320,2,0)</f>
        <v>#N/A</v>
      </c>
      <c r="H1077" s="544">
        <v>48</v>
      </c>
      <c r="I1077">
        <v>0.485952</v>
      </c>
    </row>
    <row r="1078" spans="2:9">
      <c r="B1078" s="545">
        <v>3</v>
      </c>
      <c r="C1078" s="545" t="str">
        <f>VLOOKUP(D1078,기본!$B$3:$C$90,2,0)</f>
        <v>코웨이</v>
      </c>
      <c r="D1078" t="s">
        <v>1888</v>
      </c>
      <c r="E1078" t="s">
        <v>1902</v>
      </c>
      <c r="F1078" t="s">
        <v>1902</v>
      </c>
      <c r="G1078" t="e">
        <f>VLOOKUP(E1078,기본!$F$3:$G$320,2,0)</f>
        <v>#N/A</v>
      </c>
      <c r="H1078" s="544">
        <v>42</v>
      </c>
      <c r="I1078">
        <v>0.86171399999999998</v>
      </c>
    </row>
    <row r="1079" spans="2:9">
      <c r="B1079" s="545">
        <v>3</v>
      </c>
      <c r="C1079" s="545" t="str">
        <f>VLOOKUP(D1079,기본!$B$3:$C$90,2,0)</f>
        <v>코웨이</v>
      </c>
      <c r="D1079" t="s">
        <v>1888</v>
      </c>
      <c r="E1079" t="s">
        <v>1904</v>
      </c>
      <c r="F1079" t="s">
        <v>1904</v>
      </c>
      <c r="G1079" t="e">
        <f>VLOOKUP(E1079,기본!$F$3:$G$320,2,0)</f>
        <v>#N/A</v>
      </c>
      <c r="H1079" s="544">
        <v>1</v>
      </c>
      <c r="I1079">
        <v>2.1774999999999999E-2</v>
      </c>
    </row>
    <row r="1080" spans="2:9">
      <c r="B1080" s="545">
        <v>3</v>
      </c>
      <c r="C1080" s="545" t="str">
        <f>VLOOKUP(D1080,기본!$B$3:$C$90,2,0)</f>
        <v>코웨이</v>
      </c>
      <c r="D1080" t="s">
        <v>1888</v>
      </c>
      <c r="E1080" t="s">
        <v>1905</v>
      </c>
      <c r="F1080" t="s">
        <v>1905</v>
      </c>
      <c r="G1080" t="e">
        <f>VLOOKUP(E1080,기본!$F$3:$G$320,2,0)</f>
        <v>#N/A</v>
      </c>
      <c r="H1080" s="544">
        <v>205</v>
      </c>
      <c r="I1080">
        <v>4.4638749999999998</v>
      </c>
    </row>
    <row r="1081" spans="2:9">
      <c r="B1081" s="545">
        <v>3</v>
      </c>
      <c r="C1081" s="545" t="str">
        <f>VLOOKUP(D1081,기본!$B$3:$C$90,2,0)</f>
        <v>코웨이</v>
      </c>
      <c r="D1081" t="s">
        <v>1888</v>
      </c>
      <c r="E1081" t="s">
        <v>2512</v>
      </c>
      <c r="F1081" t="s">
        <v>2512</v>
      </c>
      <c r="G1081" t="e">
        <f>VLOOKUP(E1081,기본!$F$3:$G$320,2,0)</f>
        <v>#N/A</v>
      </c>
      <c r="H1081" s="544">
        <v>140</v>
      </c>
      <c r="I1081">
        <v>1.10222</v>
      </c>
    </row>
    <row r="1082" spans="2:9">
      <c r="B1082" s="545">
        <v>3</v>
      </c>
      <c r="C1082" s="545" t="str">
        <f>VLOOKUP(D1082,기본!$B$3:$C$90,2,0)</f>
        <v>코웨이</v>
      </c>
      <c r="D1082" t="s">
        <v>1888</v>
      </c>
      <c r="E1082" t="s">
        <v>1906</v>
      </c>
      <c r="F1082" t="s">
        <v>1906</v>
      </c>
      <c r="G1082" t="e">
        <f>VLOOKUP(E1082,기본!$F$3:$G$320,2,0)</f>
        <v>#N/A</v>
      </c>
      <c r="H1082" s="544">
        <v>290</v>
      </c>
      <c r="I1082">
        <v>0.67888999999999999</v>
      </c>
    </row>
    <row r="1083" spans="2:9">
      <c r="B1083" s="545">
        <v>3</v>
      </c>
      <c r="C1083" s="545" t="str">
        <f>VLOOKUP(D1083,기본!$B$3:$C$90,2,0)</f>
        <v>코웨이</v>
      </c>
      <c r="D1083" t="s">
        <v>1888</v>
      </c>
      <c r="E1083" t="s">
        <v>1907</v>
      </c>
      <c r="F1083" t="s">
        <v>1907</v>
      </c>
      <c r="G1083" t="e">
        <f>VLOOKUP(E1083,기본!$F$3:$G$320,2,0)</f>
        <v>#N/A</v>
      </c>
      <c r="H1083" s="544">
        <v>1627</v>
      </c>
      <c r="I1083">
        <v>11.080622999999999</v>
      </c>
    </row>
    <row r="1084" spans="2:9">
      <c r="B1084" s="545">
        <v>3</v>
      </c>
      <c r="C1084" s="545" t="str">
        <f>VLOOKUP(D1084,기본!$B$3:$C$90,2,0)</f>
        <v>코웨이</v>
      </c>
      <c r="D1084" t="s">
        <v>1888</v>
      </c>
      <c r="E1084" t="s">
        <v>1908</v>
      </c>
      <c r="F1084" t="s">
        <v>1908</v>
      </c>
      <c r="G1084" t="e">
        <f>VLOOKUP(E1084,기본!$F$3:$G$320,2,0)</f>
        <v>#N/A</v>
      </c>
      <c r="H1084" s="544">
        <v>1261</v>
      </c>
      <c r="I1084">
        <v>21.764859999999999</v>
      </c>
    </row>
    <row r="1085" spans="2:9">
      <c r="B1085" s="545">
        <v>3</v>
      </c>
      <c r="C1085" s="545" t="str">
        <f>VLOOKUP(D1085,기본!$B$3:$C$90,2,0)</f>
        <v>코웨이</v>
      </c>
      <c r="D1085" t="s">
        <v>1888</v>
      </c>
      <c r="E1085" t="s">
        <v>2035</v>
      </c>
      <c r="F1085" t="s">
        <v>2035</v>
      </c>
      <c r="G1085" t="e">
        <f>VLOOKUP(E1085,기본!$F$3:$G$320,2,0)</f>
        <v>#N/A</v>
      </c>
      <c r="H1085" s="544">
        <v>21821</v>
      </c>
      <c r="I1085">
        <v>209.48883200000003</v>
      </c>
    </row>
    <row r="1086" spans="2:9">
      <c r="B1086" s="545">
        <v>3</v>
      </c>
      <c r="C1086" s="545" t="str">
        <f>VLOOKUP(D1086,기본!$B$3:$C$90,2,0)</f>
        <v>코웨이</v>
      </c>
      <c r="D1086" t="s">
        <v>1888</v>
      </c>
      <c r="E1086" t="s">
        <v>1909</v>
      </c>
      <c r="F1086" t="s">
        <v>1909</v>
      </c>
      <c r="G1086" t="e">
        <f>VLOOKUP(E1086,기본!$F$3:$G$320,2,0)</f>
        <v>#N/A</v>
      </c>
      <c r="H1086" s="544">
        <v>45</v>
      </c>
      <c r="I1086">
        <v>0.79703999999999997</v>
      </c>
    </row>
    <row r="1087" spans="2:9">
      <c r="B1087" s="545">
        <v>3</v>
      </c>
      <c r="C1087" s="545" t="str">
        <f>VLOOKUP(D1087,기본!$B$3:$C$90,2,0)</f>
        <v>코웨이</v>
      </c>
      <c r="D1087" t="s">
        <v>1888</v>
      </c>
      <c r="E1087" t="s">
        <v>2556</v>
      </c>
      <c r="F1087" t="s">
        <v>2556</v>
      </c>
      <c r="G1087" t="e">
        <f>VLOOKUP(E1087,기본!$F$3:$G$320,2,0)</f>
        <v>#N/A</v>
      </c>
      <c r="H1087" s="544">
        <v>102</v>
      </c>
      <c r="I1087">
        <v>2.3125439999999999</v>
      </c>
    </row>
    <row r="1088" spans="2:9">
      <c r="B1088" s="545">
        <v>3</v>
      </c>
      <c r="C1088" s="545" t="str">
        <f>VLOOKUP(D1088,기본!$B$3:$C$90,2,0)</f>
        <v>코웨이</v>
      </c>
      <c r="D1088" t="s">
        <v>1888</v>
      </c>
      <c r="E1088" t="s">
        <v>2014</v>
      </c>
      <c r="F1088" t="s">
        <v>2014</v>
      </c>
      <c r="G1088" t="e">
        <f>VLOOKUP(E1088,기본!$F$3:$G$320,2,0)</f>
        <v>#N/A</v>
      </c>
      <c r="H1088" s="544">
        <v>698</v>
      </c>
      <c r="I1088">
        <v>15.013980000000002</v>
      </c>
    </row>
    <row r="1089" spans="2:9">
      <c r="B1089" s="545">
        <v>3</v>
      </c>
      <c r="C1089" s="545" t="str">
        <f>VLOOKUP(D1089,기본!$B$3:$C$90,2,0)</f>
        <v>코웨이</v>
      </c>
      <c r="D1089" t="s">
        <v>1888</v>
      </c>
      <c r="E1089" t="s">
        <v>1910</v>
      </c>
      <c r="F1089" t="s">
        <v>1910</v>
      </c>
      <c r="G1089" t="e">
        <f>VLOOKUP(E1089,기본!$F$3:$G$320,2,0)</f>
        <v>#N/A</v>
      </c>
      <c r="H1089" s="544">
        <v>2519</v>
      </c>
      <c r="I1089">
        <v>44.601348999999992</v>
      </c>
    </row>
    <row r="1090" spans="2:9">
      <c r="B1090" s="545">
        <v>3</v>
      </c>
      <c r="C1090" s="545" t="str">
        <f>VLOOKUP(D1090,기본!$B$3:$C$90,2,0)</f>
        <v>코웨이</v>
      </c>
      <c r="D1090" t="s">
        <v>1888</v>
      </c>
      <c r="E1090" t="s">
        <v>1911</v>
      </c>
      <c r="F1090" t="s">
        <v>1911</v>
      </c>
      <c r="G1090" t="e">
        <f>VLOOKUP(E1090,기본!$F$3:$G$320,2,0)</f>
        <v>#N/A</v>
      </c>
      <c r="H1090" s="544">
        <v>281</v>
      </c>
      <c r="I1090">
        <v>4.6387479999999996</v>
      </c>
    </row>
    <row r="1091" spans="2:9">
      <c r="B1091" s="545">
        <v>3</v>
      </c>
      <c r="C1091" s="545" t="str">
        <f>VLOOKUP(D1091,기본!$B$3:$C$90,2,0)</f>
        <v>코웨이</v>
      </c>
      <c r="D1091" t="s">
        <v>1888</v>
      </c>
      <c r="E1091" t="s">
        <v>2257</v>
      </c>
      <c r="F1091" t="s">
        <v>2257</v>
      </c>
      <c r="G1091" t="e">
        <f>VLOOKUP(E1091,기본!$F$3:$G$320,2,0)</f>
        <v>#N/A</v>
      </c>
      <c r="H1091" s="544">
        <v>1</v>
      </c>
      <c r="I1091">
        <v>1.6570999999999999E-2</v>
      </c>
    </row>
    <row r="1092" spans="2:9">
      <c r="B1092" s="545">
        <v>3</v>
      </c>
      <c r="C1092" s="545" t="str">
        <f>VLOOKUP(D1092,기본!$B$3:$C$90,2,0)</f>
        <v>코웨이</v>
      </c>
      <c r="D1092" t="s">
        <v>1888</v>
      </c>
      <c r="E1092" t="s">
        <v>1912</v>
      </c>
      <c r="F1092" t="s">
        <v>1912</v>
      </c>
      <c r="G1092" t="e">
        <f>VLOOKUP(E1092,기본!$F$3:$G$320,2,0)</f>
        <v>#N/A</v>
      </c>
      <c r="H1092" s="544">
        <v>5900</v>
      </c>
      <c r="I1092">
        <v>102.33884999999999</v>
      </c>
    </row>
    <row r="1093" spans="2:9">
      <c r="B1093" s="545">
        <v>3</v>
      </c>
      <c r="C1093" s="545" t="str">
        <f>VLOOKUP(D1093,기본!$B$3:$C$90,2,0)</f>
        <v>코웨이</v>
      </c>
      <c r="D1093" t="s">
        <v>1888</v>
      </c>
      <c r="E1093" t="s">
        <v>1043</v>
      </c>
      <c r="F1093" t="s">
        <v>1043</v>
      </c>
      <c r="G1093" t="e">
        <f>VLOOKUP(E1093,기본!$F$3:$G$320,2,0)</f>
        <v>#N/A</v>
      </c>
      <c r="H1093" s="544">
        <v>526</v>
      </c>
      <c r="I1093">
        <v>6.2446719999999996</v>
      </c>
    </row>
    <row r="1094" spans="2:9">
      <c r="B1094" s="545">
        <v>3</v>
      </c>
      <c r="C1094" s="545" t="str">
        <f>VLOOKUP(D1094,기본!$B$3:$C$90,2,0)</f>
        <v>코웨이</v>
      </c>
      <c r="D1094" t="s">
        <v>1888</v>
      </c>
      <c r="E1094" t="s">
        <v>1913</v>
      </c>
      <c r="F1094" t="s">
        <v>1913</v>
      </c>
      <c r="G1094" t="e">
        <f>VLOOKUP(E1094,기본!$F$3:$G$320,2,0)</f>
        <v>#N/A</v>
      </c>
      <c r="H1094" s="544">
        <v>220</v>
      </c>
      <c r="I1094">
        <v>1.9494200000000002</v>
      </c>
    </row>
    <row r="1095" spans="2:9">
      <c r="B1095" s="545">
        <v>3</v>
      </c>
      <c r="C1095" s="545" t="str">
        <f>VLOOKUP(D1095,기본!$B$3:$C$90,2,0)</f>
        <v>코웨이</v>
      </c>
      <c r="D1095" t="s">
        <v>1888</v>
      </c>
      <c r="E1095" t="s">
        <v>1915</v>
      </c>
      <c r="F1095" t="s">
        <v>1915</v>
      </c>
      <c r="G1095" t="e">
        <f>VLOOKUP(E1095,기본!$F$3:$G$320,2,0)</f>
        <v>#N/A</v>
      </c>
      <c r="H1095" s="544">
        <v>1302</v>
      </c>
      <c r="I1095">
        <v>24.223527999999998</v>
      </c>
    </row>
    <row r="1096" spans="2:9">
      <c r="B1096" s="545">
        <v>3</v>
      </c>
      <c r="C1096" s="545" t="str">
        <f>VLOOKUP(D1096,기본!$B$3:$C$90,2,0)</f>
        <v>코웨이</v>
      </c>
      <c r="D1096" t="s">
        <v>1888</v>
      </c>
      <c r="E1096" t="s">
        <v>2249</v>
      </c>
      <c r="F1096" t="s">
        <v>2249</v>
      </c>
      <c r="G1096" t="e">
        <f>VLOOKUP(E1096,기본!$F$3:$G$320,2,0)</f>
        <v>#N/A</v>
      </c>
      <c r="H1096" s="544">
        <v>408</v>
      </c>
      <c r="I1096">
        <v>3.003288</v>
      </c>
    </row>
    <row r="1097" spans="2:9">
      <c r="B1097" s="545">
        <v>3</v>
      </c>
      <c r="C1097" s="545" t="str">
        <f>VLOOKUP(D1097,기본!$B$3:$C$90,2,0)</f>
        <v>코웨이</v>
      </c>
      <c r="D1097" t="s">
        <v>1888</v>
      </c>
      <c r="E1097" t="s">
        <v>2258</v>
      </c>
      <c r="F1097" t="s">
        <v>2258</v>
      </c>
      <c r="G1097" t="e">
        <f>VLOOKUP(E1097,기본!$F$3:$G$320,2,0)</f>
        <v>#N/A</v>
      </c>
      <c r="H1097" s="544">
        <v>408</v>
      </c>
      <c r="I1097">
        <v>8.1351120000000012</v>
      </c>
    </row>
    <row r="1098" spans="2:9">
      <c r="B1098" s="545">
        <v>3</v>
      </c>
      <c r="C1098" s="545" t="str">
        <f>VLOOKUP(D1098,기본!$B$3:$C$90,2,0)</f>
        <v>코웨이</v>
      </c>
      <c r="D1098" t="s">
        <v>1888</v>
      </c>
      <c r="E1098" t="s">
        <v>1916</v>
      </c>
      <c r="F1098" t="s">
        <v>1916</v>
      </c>
      <c r="G1098" t="e">
        <f>VLOOKUP(E1098,기본!$F$3:$G$320,2,0)</f>
        <v>#N/A</v>
      </c>
      <c r="H1098" s="544">
        <v>110</v>
      </c>
      <c r="I1098">
        <v>1.0855900000000001</v>
      </c>
    </row>
    <row r="1099" spans="2:9">
      <c r="B1099" s="545">
        <v>3</v>
      </c>
      <c r="C1099" s="545" t="str">
        <f>VLOOKUP(D1099,기본!$B$3:$C$90,2,0)</f>
        <v>코웨이</v>
      </c>
      <c r="D1099" t="s">
        <v>1888</v>
      </c>
      <c r="E1099" t="s">
        <v>1167</v>
      </c>
      <c r="F1099" t="s">
        <v>1167</v>
      </c>
      <c r="G1099" t="e">
        <f>VLOOKUP(E1099,기본!$F$3:$G$320,2,0)</f>
        <v>#N/A</v>
      </c>
      <c r="H1099" s="544">
        <v>200</v>
      </c>
      <c r="I1099">
        <v>6.4767999999999999</v>
      </c>
    </row>
    <row r="1100" spans="2:9">
      <c r="B1100" s="545">
        <v>3</v>
      </c>
      <c r="C1100" s="545" t="str">
        <f>VLOOKUP(D1100,기본!$B$3:$C$90,2,0)</f>
        <v>코웨이</v>
      </c>
      <c r="D1100" t="s">
        <v>1888</v>
      </c>
      <c r="E1100" t="s">
        <v>2515</v>
      </c>
      <c r="F1100" t="s">
        <v>2515</v>
      </c>
      <c r="G1100" t="e">
        <f>VLOOKUP(E1100,기본!$F$3:$G$320,2,0)</f>
        <v>#N/A</v>
      </c>
      <c r="H1100" s="544">
        <v>180</v>
      </c>
      <c r="I1100">
        <v>4.7626200000000001</v>
      </c>
    </row>
    <row r="1101" spans="2:9">
      <c r="B1101" s="545">
        <v>3</v>
      </c>
      <c r="C1101" s="545" t="str">
        <f>VLOOKUP(D1101,기본!$B$3:$C$90,2,0)</f>
        <v>코웨이</v>
      </c>
      <c r="D1101" t="s">
        <v>1888</v>
      </c>
      <c r="E1101" t="s">
        <v>2516</v>
      </c>
      <c r="F1101" t="s">
        <v>2516</v>
      </c>
      <c r="G1101" t="e">
        <f>VLOOKUP(E1101,기본!$F$3:$G$320,2,0)</f>
        <v>#N/A</v>
      </c>
      <c r="H1101" s="544">
        <v>880</v>
      </c>
      <c r="I1101">
        <v>21.471119999999999</v>
      </c>
    </row>
    <row r="1102" spans="2:9">
      <c r="B1102" s="545">
        <v>3</v>
      </c>
      <c r="C1102" s="545" t="str">
        <f>VLOOKUP(D1102,기본!$B$3:$C$90,2,0)</f>
        <v>코웨이</v>
      </c>
      <c r="D1102" t="s">
        <v>1888</v>
      </c>
      <c r="E1102" t="s">
        <v>1918</v>
      </c>
      <c r="F1102" t="s">
        <v>1918</v>
      </c>
      <c r="G1102" t="e">
        <f>VLOOKUP(E1102,기본!$F$3:$G$320,2,0)</f>
        <v>#N/A</v>
      </c>
      <c r="H1102" s="544">
        <v>700</v>
      </c>
      <c r="I1102">
        <v>19.3551</v>
      </c>
    </row>
    <row r="1103" spans="2:9">
      <c r="B1103" s="545">
        <v>3</v>
      </c>
      <c r="C1103" s="545" t="str">
        <f>VLOOKUP(D1103,기본!$B$3:$C$90,2,0)</f>
        <v>코웨이</v>
      </c>
      <c r="D1103" t="s">
        <v>1888</v>
      </c>
      <c r="E1103" t="s">
        <v>1169</v>
      </c>
      <c r="F1103" t="s">
        <v>1169</v>
      </c>
      <c r="G1103" t="e">
        <f>VLOOKUP(E1103,기본!$F$3:$G$320,2,0)</f>
        <v>#N/A</v>
      </c>
      <c r="H1103" s="544">
        <v>40</v>
      </c>
      <c r="I1103">
        <v>1.34232</v>
      </c>
    </row>
    <row r="1104" spans="2:9">
      <c r="B1104" s="545">
        <v>3</v>
      </c>
      <c r="C1104" s="545" t="str">
        <f>VLOOKUP(D1104,기본!$B$3:$C$90,2,0)</f>
        <v>코웨이</v>
      </c>
      <c r="D1104" t="s">
        <v>1888</v>
      </c>
      <c r="E1104" t="s">
        <v>1920</v>
      </c>
      <c r="F1104" t="s">
        <v>1920</v>
      </c>
      <c r="G1104" t="e">
        <f>VLOOKUP(E1104,기본!$F$3:$G$320,2,0)</f>
        <v>#N/A</v>
      </c>
      <c r="H1104" s="544">
        <v>30</v>
      </c>
      <c r="I1104">
        <v>0.90990000000000004</v>
      </c>
    </row>
    <row r="1105" spans="2:9">
      <c r="B1105" s="545">
        <v>3</v>
      </c>
      <c r="C1105" s="545" t="str">
        <f>VLOOKUP(D1105,기본!$B$3:$C$90,2,0)</f>
        <v>코웨이</v>
      </c>
      <c r="D1105" t="s">
        <v>1888</v>
      </c>
      <c r="E1105" t="s">
        <v>1921</v>
      </c>
      <c r="F1105" t="s">
        <v>1921</v>
      </c>
      <c r="G1105" t="e">
        <f>VLOOKUP(E1105,기본!$F$3:$G$320,2,0)</f>
        <v>#N/A</v>
      </c>
      <c r="H1105" s="544">
        <v>46</v>
      </c>
      <c r="I1105">
        <v>0.87597800000000003</v>
      </c>
    </row>
    <row r="1106" spans="2:9">
      <c r="B1106" s="545">
        <v>3</v>
      </c>
      <c r="C1106" s="545" t="str">
        <f>VLOOKUP(D1106,기본!$B$3:$C$90,2,0)</f>
        <v>코웨이</v>
      </c>
      <c r="D1106" t="s">
        <v>1888</v>
      </c>
      <c r="E1106" t="s">
        <v>1983</v>
      </c>
      <c r="F1106" t="s">
        <v>1983</v>
      </c>
      <c r="G1106" t="e">
        <f>VLOOKUP(E1106,기본!$F$3:$G$320,2,0)</f>
        <v>#N/A</v>
      </c>
      <c r="H1106" s="544">
        <v>130</v>
      </c>
      <c r="I1106">
        <v>2.69828</v>
      </c>
    </row>
    <row r="1107" spans="2:9">
      <c r="B1107" s="545">
        <v>3</v>
      </c>
      <c r="C1107" s="545" t="str">
        <f>VLOOKUP(D1107,기본!$B$3:$C$90,2,0)</f>
        <v>코웨이</v>
      </c>
      <c r="D1107" t="s">
        <v>1888</v>
      </c>
      <c r="E1107" t="s">
        <v>1277</v>
      </c>
      <c r="F1107" t="s">
        <v>1277</v>
      </c>
      <c r="G1107" t="e">
        <f>VLOOKUP(E1107,기본!$F$3:$G$320,2,0)</f>
        <v>#N/A</v>
      </c>
      <c r="H1107" s="544">
        <v>51</v>
      </c>
      <c r="I1107">
        <v>0.16702500000000001</v>
      </c>
    </row>
    <row r="1108" spans="2:9">
      <c r="B1108" s="545">
        <v>3</v>
      </c>
      <c r="C1108" s="545" t="str">
        <f>VLOOKUP(D1108,기본!$B$3:$C$90,2,0)</f>
        <v>코웨이</v>
      </c>
      <c r="D1108" t="s">
        <v>1888</v>
      </c>
      <c r="E1108" t="s">
        <v>1276</v>
      </c>
      <c r="F1108" t="s">
        <v>1276</v>
      </c>
      <c r="G1108" t="e">
        <f>VLOOKUP(E1108,기본!$F$3:$G$320,2,0)</f>
        <v>#N/A</v>
      </c>
      <c r="H1108" s="544">
        <v>51</v>
      </c>
      <c r="I1108">
        <v>0.55799100000000001</v>
      </c>
    </row>
    <row r="1109" spans="2:9">
      <c r="B1109" s="545">
        <v>3</v>
      </c>
      <c r="C1109" s="545" t="str">
        <f>VLOOKUP(D1109,기본!$B$3:$C$90,2,0)</f>
        <v>코웨이</v>
      </c>
      <c r="D1109" t="s">
        <v>1888</v>
      </c>
      <c r="E1109" t="s">
        <v>1274</v>
      </c>
      <c r="F1109" t="s">
        <v>1274</v>
      </c>
      <c r="G1109" t="e">
        <f>VLOOKUP(E1109,기본!$F$3:$G$320,2,0)</f>
        <v>#N/A</v>
      </c>
      <c r="H1109" s="544">
        <v>100</v>
      </c>
      <c r="I1109">
        <v>3.578414</v>
      </c>
    </row>
    <row r="1110" spans="2:9">
      <c r="B1110" s="545">
        <v>3</v>
      </c>
      <c r="C1110" s="545" t="str">
        <f>VLOOKUP(D1110,기본!$B$3:$C$90,2,0)</f>
        <v>코웨이</v>
      </c>
      <c r="D1110" t="s">
        <v>1888</v>
      </c>
      <c r="E1110" t="s">
        <v>1940</v>
      </c>
      <c r="F1110" t="s">
        <v>1940</v>
      </c>
      <c r="G1110" t="e">
        <f>VLOOKUP(E1110,기본!$F$3:$G$320,2,0)</f>
        <v>#N/A</v>
      </c>
      <c r="H1110" s="544">
        <v>720</v>
      </c>
      <c r="I1110">
        <v>28.523520000000001</v>
      </c>
    </row>
    <row r="1111" spans="2:9">
      <c r="B1111" s="545">
        <v>3</v>
      </c>
      <c r="C1111" s="545" t="str">
        <f>VLOOKUP(D1111,기본!$B$3:$C$90,2,0)</f>
        <v>코웨이</v>
      </c>
      <c r="D1111" t="s">
        <v>1888</v>
      </c>
      <c r="E1111" t="s">
        <v>1999</v>
      </c>
      <c r="F1111" t="s">
        <v>1999</v>
      </c>
      <c r="G1111" t="e">
        <f>VLOOKUP(E1111,기본!$F$3:$G$320,2,0)</f>
        <v>#N/A</v>
      </c>
      <c r="H1111" s="544">
        <v>60</v>
      </c>
      <c r="I1111">
        <v>0.36036000000000001</v>
      </c>
    </row>
    <row r="1112" spans="2:9">
      <c r="B1112" s="545">
        <v>3</v>
      </c>
      <c r="C1112" s="545" t="str">
        <f>VLOOKUP(D1112,기본!$B$3:$C$90,2,0)</f>
        <v>코웨이</v>
      </c>
      <c r="D1112" t="s">
        <v>1888</v>
      </c>
      <c r="E1112" t="s">
        <v>1025</v>
      </c>
      <c r="F1112" t="s">
        <v>1025</v>
      </c>
      <c r="G1112" t="e">
        <f>VLOOKUP(E1112,기본!$F$3:$G$320,2,0)</f>
        <v>#N/A</v>
      </c>
      <c r="H1112" s="544">
        <v>108</v>
      </c>
      <c r="I1112">
        <v>0.20358000000000001</v>
      </c>
    </row>
    <row r="1113" spans="2:9">
      <c r="B1113" s="545">
        <v>3</v>
      </c>
      <c r="C1113" s="545" t="str">
        <f>VLOOKUP(D1113,기본!$B$3:$C$90,2,0)</f>
        <v>코웨이</v>
      </c>
      <c r="D1113" t="s">
        <v>1888</v>
      </c>
      <c r="E1113" t="s">
        <v>1984</v>
      </c>
      <c r="F1113" t="s">
        <v>1984</v>
      </c>
      <c r="G1113" t="e">
        <f>VLOOKUP(E1113,기본!$F$3:$G$320,2,0)</f>
        <v>#N/A</v>
      </c>
      <c r="H1113" s="544">
        <v>1054</v>
      </c>
      <c r="I1113">
        <v>6.3619439999999994</v>
      </c>
    </row>
    <row r="1114" spans="2:9">
      <c r="B1114" s="545">
        <v>3</v>
      </c>
      <c r="C1114" s="545" t="str">
        <f>VLOOKUP(D1114,기본!$B$3:$C$90,2,0)</f>
        <v>코웨이</v>
      </c>
      <c r="D1114" t="s">
        <v>1888</v>
      </c>
      <c r="E1114" t="s">
        <v>1023</v>
      </c>
      <c r="F1114" t="s">
        <v>1023</v>
      </c>
      <c r="G1114" t="e">
        <f>VLOOKUP(E1114,기본!$F$3:$G$320,2,0)</f>
        <v>#N/A</v>
      </c>
      <c r="H1114" s="544">
        <v>168</v>
      </c>
      <c r="I1114">
        <v>0.98985600000000007</v>
      </c>
    </row>
    <row r="1115" spans="2:9">
      <c r="B1115" s="545">
        <v>3</v>
      </c>
      <c r="C1115" s="545" t="str">
        <f>VLOOKUP(D1115,기본!$B$3:$C$90,2,0)</f>
        <v>코웨이</v>
      </c>
      <c r="D1115" t="s">
        <v>1888</v>
      </c>
      <c r="E1115" t="s">
        <v>1926</v>
      </c>
      <c r="F1115" t="s">
        <v>1926</v>
      </c>
      <c r="G1115" t="e">
        <f>VLOOKUP(E1115,기본!$F$3:$G$320,2,0)</f>
        <v>#N/A</v>
      </c>
      <c r="H1115" s="544">
        <v>301</v>
      </c>
      <c r="I1115">
        <v>1.9872019999999999</v>
      </c>
    </row>
    <row r="1116" spans="2:9">
      <c r="B1116" s="545">
        <v>3</v>
      </c>
      <c r="C1116" s="545" t="str">
        <f>VLOOKUP(D1116,기본!$B$3:$C$90,2,0)</f>
        <v>코웨이</v>
      </c>
      <c r="D1116" t="s">
        <v>1888</v>
      </c>
      <c r="E1116" t="s">
        <v>2557</v>
      </c>
      <c r="F1116" t="s">
        <v>2557</v>
      </c>
      <c r="G1116" t="e">
        <f>VLOOKUP(E1116,기본!$F$3:$G$320,2,0)</f>
        <v>#N/A</v>
      </c>
      <c r="H1116" s="544">
        <v>12</v>
      </c>
      <c r="I1116">
        <v>0.13717199999999999</v>
      </c>
    </row>
    <row r="1117" spans="2:9">
      <c r="B1117" s="545">
        <v>3</v>
      </c>
      <c r="C1117" s="545" t="str">
        <f>VLOOKUP(D1117,기본!$B$3:$C$90,2,0)</f>
        <v>코웨이</v>
      </c>
      <c r="D1117" t="s">
        <v>1888</v>
      </c>
      <c r="E1117" t="s">
        <v>1225</v>
      </c>
      <c r="F1117" t="s">
        <v>1225</v>
      </c>
      <c r="G1117" t="e">
        <f>VLOOKUP(E1117,기본!$F$3:$G$320,2,0)</f>
        <v>#N/A</v>
      </c>
      <c r="H1117" s="544">
        <v>2067</v>
      </c>
      <c r="I1117">
        <v>16.039662</v>
      </c>
    </row>
    <row r="1118" spans="2:9">
      <c r="B1118" s="545">
        <v>3</v>
      </c>
      <c r="C1118" s="545" t="str">
        <f>VLOOKUP(D1118,기본!$B$3:$C$90,2,0)</f>
        <v>코웨이</v>
      </c>
      <c r="D1118" t="s">
        <v>1888</v>
      </c>
      <c r="E1118" t="s">
        <v>1226</v>
      </c>
      <c r="F1118" t="s">
        <v>1226</v>
      </c>
      <c r="G1118" t="e">
        <f>VLOOKUP(E1118,기본!$F$3:$G$320,2,0)</f>
        <v>#N/A</v>
      </c>
      <c r="H1118" s="544">
        <v>910</v>
      </c>
      <c r="I1118">
        <v>6.9464560000000004</v>
      </c>
    </row>
    <row r="1119" spans="2:9">
      <c r="B1119" s="545">
        <v>3</v>
      </c>
      <c r="C1119" s="545" t="str">
        <f>VLOOKUP(D1119,기본!$B$3:$C$90,2,0)</f>
        <v>코웨이</v>
      </c>
      <c r="D1119" t="s">
        <v>1888</v>
      </c>
      <c r="E1119" t="s">
        <v>1928</v>
      </c>
      <c r="F1119" t="s">
        <v>1928</v>
      </c>
      <c r="G1119" t="e">
        <f>VLOOKUP(E1119,기본!$F$3:$G$320,2,0)</f>
        <v>#N/A</v>
      </c>
      <c r="H1119" s="544">
        <v>15</v>
      </c>
      <c r="I1119">
        <v>0.13627500000000001</v>
      </c>
    </row>
    <row r="1120" spans="2:9">
      <c r="B1120" s="545">
        <v>3</v>
      </c>
      <c r="C1120" s="545" t="str">
        <f>VLOOKUP(D1120,기본!$B$3:$C$90,2,0)</f>
        <v>코웨이</v>
      </c>
      <c r="D1120" t="s">
        <v>1888</v>
      </c>
      <c r="E1120" t="s">
        <v>224</v>
      </c>
      <c r="F1120" t="s">
        <v>224</v>
      </c>
      <c r="G1120" t="str">
        <f>VLOOKUP(E1120,기본!$F$3:$G$320,2,0)</f>
        <v>기타</v>
      </c>
      <c r="H1120" s="544">
        <v>0</v>
      </c>
      <c r="I1120">
        <v>0.42</v>
      </c>
    </row>
    <row r="1121" spans="2:9">
      <c r="B1121" s="545">
        <v>3</v>
      </c>
      <c r="C1121" s="545" t="str">
        <f>VLOOKUP(D1121,기본!$B$3:$C$90,2,0)</f>
        <v>코웨이</v>
      </c>
      <c r="D1121" t="s">
        <v>1929</v>
      </c>
      <c r="E1121" t="s">
        <v>1140</v>
      </c>
      <c r="F1121" t="s">
        <v>1140</v>
      </c>
      <c r="G1121" t="e">
        <f>VLOOKUP(E1121,기본!$F$3:$G$320,2,0)</f>
        <v>#N/A</v>
      </c>
      <c r="H1121" s="544">
        <v>2900</v>
      </c>
      <c r="I1121">
        <v>73.135099999999994</v>
      </c>
    </row>
    <row r="1122" spans="2:9">
      <c r="B1122" s="545">
        <v>3</v>
      </c>
      <c r="C1122" s="545" t="str">
        <f>VLOOKUP(D1122,기본!$B$3:$C$90,2,0)</f>
        <v>코웨이</v>
      </c>
      <c r="D1122" t="s">
        <v>1929</v>
      </c>
      <c r="E1122" t="s">
        <v>2426</v>
      </c>
      <c r="F1122" t="s">
        <v>2426</v>
      </c>
      <c r="G1122" t="e">
        <f>VLOOKUP(E1122,기본!$F$3:$G$320,2,0)</f>
        <v>#N/A</v>
      </c>
      <c r="H1122" s="544">
        <v>279</v>
      </c>
      <c r="I1122">
        <v>1.2870270000000001</v>
      </c>
    </row>
    <row r="1123" spans="2:9">
      <c r="B1123" s="545">
        <v>3</v>
      </c>
      <c r="C1123" s="545" t="str">
        <f>VLOOKUP(D1123,기본!$B$3:$C$90,2,0)</f>
        <v>코웨이</v>
      </c>
      <c r="D1123" t="s">
        <v>1929</v>
      </c>
      <c r="E1123" t="s">
        <v>1930</v>
      </c>
      <c r="F1123" t="s">
        <v>1930</v>
      </c>
      <c r="G1123" t="e">
        <f>VLOOKUP(E1123,기본!$F$3:$G$320,2,0)</f>
        <v>#N/A</v>
      </c>
      <c r="H1123" s="544">
        <v>3875</v>
      </c>
      <c r="I1123">
        <v>70.730374999999995</v>
      </c>
    </row>
    <row r="1124" spans="2:9">
      <c r="B1124" s="545">
        <v>3</v>
      </c>
      <c r="C1124" s="545" t="str">
        <f>VLOOKUP(D1124,기본!$B$3:$C$90,2,0)</f>
        <v>코웨이</v>
      </c>
      <c r="D1124" t="s">
        <v>1929</v>
      </c>
      <c r="E1124" t="s">
        <v>1931</v>
      </c>
      <c r="F1124" t="s">
        <v>1931</v>
      </c>
      <c r="G1124" t="e">
        <f>VLOOKUP(E1124,기본!$F$3:$G$320,2,0)</f>
        <v>#N/A</v>
      </c>
      <c r="H1124" s="544">
        <v>100</v>
      </c>
      <c r="I1124">
        <v>1.8535999999999999</v>
      </c>
    </row>
    <row r="1125" spans="2:9">
      <c r="B1125" s="545">
        <v>3</v>
      </c>
      <c r="C1125" s="545" t="str">
        <f>VLOOKUP(D1125,기본!$B$3:$C$90,2,0)</f>
        <v>코웨이</v>
      </c>
      <c r="D1125" t="s">
        <v>1929</v>
      </c>
      <c r="E1125" t="s">
        <v>1896</v>
      </c>
      <c r="F1125" t="s">
        <v>1896</v>
      </c>
      <c r="G1125" t="e">
        <f>VLOOKUP(E1125,기본!$F$3:$G$320,2,0)</f>
        <v>#N/A</v>
      </c>
      <c r="H1125" s="544">
        <v>800</v>
      </c>
      <c r="I1125">
        <v>11.6792</v>
      </c>
    </row>
    <row r="1126" spans="2:9">
      <c r="B1126" s="545">
        <v>3</v>
      </c>
      <c r="C1126" s="545" t="str">
        <f>VLOOKUP(D1126,기본!$B$3:$C$90,2,0)</f>
        <v>코웨이</v>
      </c>
      <c r="D1126" t="s">
        <v>1929</v>
      </c>
      <c r="E1126" t="s">
        <v>2000</v>
      </c>
      <c r="F1126" t="s">
        <v>2000</v>
      </c>
      <c r="G1126" t="e">
        <f>VLOOKUP(E1126,기본!$F$3:$G$320,2,0)</f>
        <v>#N/A</v>
      </c>
      <c r="H1126" s="544">
        <v>2460</v>
      </c>
      <c r="I1126">
        <v>91.3767</v>
      </c>
    </row>
    <row r="1127" spans="2:9">
      <c r="B1127" s="545">
        <v>3</v>
      </c>
      <c r="C1127" s="545" t="str">
        <f>VLOOKUP(D1127,기본!$B$3:$C$90,2,0)</f>
        <v>코웨이</v>
      </c>
      <c r="D1127" t="s">
        <v>1929</v>
      </c>
      <c r="E1127" t="s">
        <v>2001</v>
      </c>
      <c r="F1127" t="s">
        <v>2001</v>
      </c>
      <c r="G1127" t="e">
        <f>VLOOKUP(E1127,기본!$F$3:$G$320,2,0)</f>
        <v>#N/A</v>
      </c>
      <c r="H1127" s="544">
        <v>2470</v>
      </c>
      <c r="I1127">
        <v>26.95758</v>
      </c>
    </row>
    <row r="1128" spans="2:9">
      <c r="B1128" s="545">
        <v>3</v>
      </c>
      <c r="C1128" s="545" t="str">
        <f>VLOOKUP(D1128,기본!$B$3:$C$90,2,0)</f>
        <v>코웨이</v>
      </c>
      <c r="D1128" t="s">
        <v>1929</v>
      </c>
      <c r="E1128" t="s">
        <v>2021</v>
      </c>
      <c r="F1128" t="s">
        <v>2021</v>
      </c>
      <c r="G1128" t="e">
        <f>VLOOKUP(E1128,기본!$F$3:$G$320,2,0)</f>
        <v>#N/A</v>
      </c>
      <c r="H1128" s="544">
        <v>5309</v>
      </c>
      <c r="I1128">
        <v>46.713890999999997</v>
      </c>
    </row>
    <row r="1129" spans="2:9">
      <c r="B1129" s="545">
        <v>3</v>
      </c>
      <c r="C1129" s="545" t="str">
        <f>VLOOKUP(D1129,기본!$B$3:$C$90,2,0)</f>
        <v>코웨이</v>
      </c>
      <c r="D1129" t="s">
        <v>1929</v>
      </c>
      <c r="E1129" t="s">
        <v>873</v>
      </c>
      <c r="F1129" t="s">
        <v>873</v>
      </c>
      <c r="G1129" t="e">
        <f>VLOOKUP(E1129,기본!$F$3:$G$320,2,0)</f>
        <v>#N/A</v>
      </c>
      <c r="H1129" s="544">
        <v>1569</v>
      </c>
      <c r="I1129">
        <v>12.552225999999999</v>
      </c>
    </row>
    <row r="1130" spans="2:9">
      <c r="B1130" s="545">
        <v>3</v>
      </c>
      <c r="C1130" s="545" t="str">
        <f>VLOOKUP(D1130,기본!$B$3:$C$90,2,0)</f>
        <v>코웨이</v>
      </c>
      <c r="D1130" t="s">
        <v>1929</v>
      </c>
      <c r="E1130" t="s">
        <v>874</v>
      </c>
      <c r="F1130" t="s">
        <v>874</v>
      </c>
      <c r="G1130" t="e">
        <f>VLOOKUP(E1130,기본!$F$3:$G$320,2,0)</f>
        <v>#N/A</v>
      </c>
      <c r="H1130" s="544">
        <v>122</v>
      </c>
      <c r="I1130">
        <v>2.3888819999999997</v>
      </c>
    </row>
    <row r="1131" spans="2:9">
      <c r="B1131" s="545">
        <v>3</v>
      </c>
      <c r="C1131" s="545" t="str">
        <f>VLOOKUP(D1131,기본!$B$3:$C$90,2,0)</f>
        <v>코웨이</v>
      </c>
      <c r="D1131" t="s">
        <v>1929</v>
      </c>
      <c r="E1131" t="s">
        <v>1932</v>
      </c>
      <c r="F1131" t="s">
        <v>1932</v>
      </c>
      <c r="G1131" t="e">
        <f>VLOOKUP(E1131,기본!$F$3:$G$320,2,0)</f>
        <v>#N/A</v>
      </c>
      <c r="H1131" s="544">
        <v>463</v>
      </c>
      <c r="I1131">
        <v>9.2907410000000006</v>
      </c>
    </row>
    <row r="1132" spans="2:9">
      <c r="B1132" s="545">
        <v>3</v>
      </c>
      <c r="C1132" s="545" t="str">
        <f>VLOOKUP(D1132,기본!$B$3:$C$90,2,0)</f>
        <v>코웨이</v>
      </c>
      <c r="D1132" t="s">
        <v>1929</v>
      </c>
      <c r="E1132" t="s">
        <v>1933</v>
      </c>
      <c r="F1132" t="s">
        <v>1933</v>
      </c>
      <c r="G1132" t="e">
        <f>VLOOKUP(E1132,기본!$F$3:$G$320,2,0)</f>
        <v>#N/A</v>
      </c>
      <c r="H1132" s="544">
        <v>650</v>
      </c>
      <c r="I1132">
        <v>10.811450000000001</v>
      </c>
    </row>
    <row r="1133" spans="2:9">
      <c r="B1133" s="545">
        <v>3</v>
      </c>
      <c r="C1133" s="545" t="str">
        <f>VLOOKUP(D1133,기본!$B$3:$C$90,2,0)</f>
        <v>코웨이</v>
      </c>
      <c r="D1133" t="s">
        <v>1929</v>
      </c>
      <c r="E1133" t="s">
        <v>2035</v>
      </c>
      <c r="F1133" t="s">
        <v>2035</v>
      </c>
      <c r="G1133" t="e">
        <f>VLOOKUP(E1133,기본!$F$3:$G$320,2,0)</f>
        <v>#N/A</v>
      </c>
      <c r="H1133" s="544">
        <v>60</v>
      </c>
      <c r="I1133">
        <v>0.57552000000000003</v>
      </c>
    </row>
    <row r="1134" spans="2:9">
      <c r="B1134" s="545">
        <v>3</v>
      </c>
      <c r="C1134" s="545" t="str">
        <f>VLOOKUP(D1134,기본!$B$3:$C$90,2,0)</f>
        <v>코웨이</v>
      </c>
      <c r="D1134" t="s">
        <v>1929</v>
      </c>
      <c r="E1134" t="s">
        <v>1935</v>
      </c>
      <c r="F1134" t="s">
        <v>1935</v>
      </c>
      <c r="G1134" t="e">
        <f>VLOOKUP(E1134,기본!$F$3:$G$320,2,0)</f>
        <v>#N/A</v>
      </c>
      <c r="H1134" s="544">
        <v>11396</v>
      </c>
      <c r="I1134">
        <v>166.719348</v>
      </c>
    </row>
    <row r="1135" spans="2:9">
      <c r="B1135" s="545">
        <v>3</v>
      </c>
      <c r="C1135" s="545" t="str">
        <f>VLOOKUP(D1135,기본!$B$3:$C$90,2,0)</f>
        <v>코웨이</v>
      </c>
      <c r="D1135" t="s">
        <v>1929</v>
      </c>
      <c r="E1135" t="s">
        <v>2163</v>
      </c>
      <c r="F1135" t="s">
        <v>2163</v>
      </c>
      <c r="G1135" t="e">
        <f>VLOOKUP(E1135,기본!$F$3:$G$320,2,0)</f>
        <v>#N/A</v>
      </c>
      <c r="H1135" s="544">
        <v>1721</v>
      </c>
      <c r="I1135">
        <v>25.141199999999998</v>
      </c>
    </row>
    <row r="1136" spans="2:9">
      <c r="B1136" s="545">
        <v>3</v>
      </c>
      <c r="C1136" s="545" t="str">
        <f>VLOOKUP(D1136,기본!$B$3:$C$90,2,0)</f>
        <v>코웨이</v>
      </c>
      <c r="D1136" t="s">
        <v>1929</v>
      </c>
      <c r="E1136" t="s">
        <v>1142</v>
      </c>
      <c r="F1136" t="s">
        <v>1142</v>
      </c>
      <c r="G1136" t="e">
        <f>VLOOKUP(E1136,기본!$F$3:$G$320,2,0)</f>
        <v>#N/A</v>
      </c>
      <c r="H1136" s="544">
        <v>2900</v>
      </c>
      <c r="I1136">
        <v>6.3219999999999992</v>
      </c>
    </row>
    <row r="1137" spans="2:9">
      <c r="B1137" s="545">
        <v>3</v>
      </c>
      <c r="C1137" s="545" t="str">
        <f>VLOOKUP(D1137,기본!$B$3:$C$90,2,0)</f>
        <v>코웨이</v>
      </c>
      <c r="D1137" t="s">
        <v>1929</v>
      </c>
      <c r="E1137" t="s">
        <v>1141</v>
      </c>
      <c r="F1137" t="s">
        <v>1141</v>
      </c>
      <c r="G1137" t="e">
        <f>VLOOKUP(E1137,기본!$F$3:$G$320,2,0)</f>
        <v>#N/A</v>
      </c>
      <c r="H1137" s="544">
        <v>2912</v>
      </c>
      <c r="I1137">
        <v>37.748255999999998</v>
      </c>
    </row>
    <row r="1138" spans="2:9">
      <c r="B1138" s="545">
        <v>3</v>
      </c>
      <c r="C1138" s="545" t="str">
        <f>VLOOKUP(D1138,기본!$B$3:$C$90,2,0)</f>
        <v>코웨이</v>
      </c>
      <c r="D1138" t="s">
        <v>1929</v>
      </c>
      <c r="E1138" t="s">
        <v>1936</v>
      </c>
      <c r="F1138" t="s">
        <v>1936</v>
      </c>
      <c r="G1138" t="e">
        <f>VLOOKUP(E1138,기본!$F$3:$G$320,2,0)</f>
        <v>#N/A</v>
      </c>
      <c r="H1138" s="544">
        <v>221</v>
      </c>
      <c r="I1138">
        <v>5.1077519999999996</v>
      </c>
    </row>
    <row r="1139" spans="2:9">
      <c r="B1139" s="545">
        <v>3</v>
      </c>
      <c r="C1139" s="545" t="str">
        <f>VLOOKUP(D1139,기본!$B$3:$C$90,2,0)</f>
        <v>코웨이</v>
      </c>
      <c r="D1139" t="s">
        <v>1929</v>
      </c>
      <c r="E1139" t="s">
        <v>1937</v>
      </c>
      <c r="F1139" t="s">
        <v>1937</v>
      </c>
      <c r="G1139" t="e">
        <f>VLOOKUP(E1139,기본!$F$3:$G$320,2,0)</f>
        <v>#N/A</v>
      </c>
      <c r="H1139" s="544">
        <v>464</v>
      </c>
      <c r="I1139">
        <v>10.767528</v>
      </c>
    </row>
    <row r="1140" spans="2:9">
      <c r="B1140" s="545">
        <v>3</v>
      </c>
      <c r="C1140" s="545" t="str">
        <f>VLOOKUP(D1140,기본!$B$3:$C$90,2,0)</f>
        <v>코웨이</v>
      </c>
      <c r="D1140" t="s">
        <v>1929</v>
      </c>
      <c r="E1140" t="s">
        <v>1938</v>
      </c>
      <c r="F1140" t="s">
        <v>1938</v>
      </c>
      <c r="G1140" t="e">
        <f>VLOOKUP(E1140,기본!$F$3:$G$320,2,0)</f>
        <v>#N/A</v>
      </c>
      <c r="H1140" s="544">
        <v>3883</v>
      </c>
      <c r="I1140">
        <v>75.999590999999995</v>
      </c>
    </row>
    <row r="1141" spans="2:9">
      <c r="B1141" s="545">
        <v>3</v>
      </c>
      <c r="C1141" s="545" t="str">
        <f>VLOOKUP(D1141,기본!$B$3:$C$90,2,0)</f>
        <v>코웨이</v>
      </c>
      <c r="D1141" t="s">
        <v>1929</v>
      </c>
      <c r="E1141" t="s">
        <v>2319</v>
      </c>
      <c r="F1141" t="s">
        <v>2319</v>
      </c>
      <c r="G1141" t="e">
        <f>VLOOKUP(E1141,기본!$F$3:$G$320,2,0)</f>
        <v>#N/A</v>
      </c>
      <c r="H1141" s="544">
        <v>2897</v>
      </c>
      <c r="I1141">
        <v>56.47332200000001</v>
      </c>
    </row>
    <row r="1142" spans="2:9">
      <c r="B1142" s="545">
        <v>3</v>
      </c>
      <c r="C1142" s="545" t="str">
        <f>VLOOKUP(D1142,기본!$B$3:$C$90,2,0)</f>
        <v>코웨이</v>
      </c>
      <c r="D1142" t="s">
        <v>1929</v>
      </c>
      <c r="E1142" t="s">
        <v>2249</v>
      </c>
      <c r="F1142" t="s">
        <v>2249</v>
      </c>
      <c r="G1142" t="e">
        <f>VLOOKUP(E1142,기본!$F$3:$G$320,2,0)</f>
        <v>#N/A</v>
      </c>
      <c r="H1142" s="544">
        <v>8290</v>
      </c>
      <c r="I1142">
        <v>61.029979999999995</v>
      </c>
    </row>
    <row r="1143" spans="2:9">
      <c r="B1143" s="545">
        <v>3</v>
      </c>
      <c r="C1143" s="545" t="str">
        <f>VLOOKUP(D1143,기본!$B$3:$C$90,2,0)</f>
        <v>코웨이</v>
      </c>
      <c r="D1143" t="s">
        <v>1929</v>
      </c>
      <c r="E1143" t="s">
        <v>2468</v>
      </c>
      <c r="F1143" t="s">
        <v>2468</v>
      </c>
      <c r="G1143" t="e">
        <f>VLOOKUP(E1143,기본!$F$3:$G$320,2,0)</f>
        <v>#N/A</v>
      </c>
      <c r="H1143" s="544">
        <v>20490</v>
      </c>
      <c r="I1143">
        <v>112.08029999999999</v>
      </c>
    </row>
    <row r="1144" spans="2:9">
      <c r="B1144" s="545">
        <v>3</v>
      </c>
      <c r="C1144" s="545" t="str">
        <f>VLOOKUP(D1144,기본!$B$3:$C$90,2,0)</f>
        <v>코웨이</v>
      </c>
      <c r="D1144" t="s">
        <v>1929</v>
      </c>
      <c r="E1144" t="s">
        <v>2258</v>
      </c>
      <c r="F1144" t="s">
        <v>2258</v>
      </c>
      <c r="G1144" t="e">
        <f>VLOOKUP(E1144,기본!$F$3:$G$320,2,0)</f>
        <v>#N/A</v>
      </c>
      <c r="H1144" s="544">
        <v>8936</v>
      </c>
      <c r="I1144">
        <v>178.19362399999997</v>
      </c>
    </row>
    <row r="1145" spans="2:9">
      <c r="B1145" s="545">
        <v>3</v>
      </c>
      <c r="C1145" s="545" t="str">
        <f>VLOOKUP(D1145,기본!$B$3:$C$90,2,0)</f>
        <v>코웨이</v>
      </c>
      <c r="D1145" t="s">
        <v>1929</v>
      </c>
      <c r="E1145" t="s">
        <v>2236</v>
      </c>
      <c r="F1145" t="s">
        <v>2236</v>
      </c>
      <c r="G1145" t="e">
        <f>VLOOKUP(E1145,기본!$F$3:$G$320,2,0)</f>
        <v>#N/A</v>
      </c>
      <c r="H1145" s="544">
        <v>3056</v>
      </c>
      <c r="I1145">
        <v>84.194091999999998</v>
      </c>
    </row>
    <row r="1146" spans="2:9">
      <c r="B1146" s="545">
        <v>3</v>
      </c>
      <c r="C1146" s="545" t="str">
        <f>VLOOKUP(D1146,기본!$B$3:$C$90,2,0)</f>
        <v>코웨이</v>
      </c>
      <c r="D1146" t="s">
        <v>1929</v>
      </c>
      <c r="E1146" t="s">
        <v>1923</v>
      </c>
      <c r="F1146" t="s">
        <v>1923</v>
      </c>
      <c r="G1146" t="e">
        <f>VLOOKUP(E1146,기본!$F$3:$G$320,2,0)</f>
        <v>#N/A</v>
      </c>
      <c r="H1146" s="544">
        <v>4674</v>
      </c>
      <c r="I1146">
        <v>155.57876400000001</v>
      </c>
    </row>
    <row r="1147" spans="2:9">
      <c r="B1147" s="545">
        <v>3</v>
      </c>
      <c r="C1147" s="545" t="str">
        <f>VLOOKUP(D1147,기본!$B$3:$C$90,2,0)</f>
        <v>코웨이</v>
      </c>
      <c r="D1147" t="s">
        <v>1929</v>
      </c>
      <c r="E1147" t="s">
        <v>1939</v>
      </c>
      <c r="F1147" t="s">
        <v>1939</v>
      </c>
      <c r="G1147" t="e">
        <f>VLOOKUP(E1147,기본!$F$3:$G$320,2,0)</f>
        <v>#N/A</v>
      </c>
      <c r="H1147" s="544">
        <v>1072</v>
      </c>
      <c r="I1147">
        <v>35.802655999999999</v>
      </c>
    </row>
    <row r="1148" spans="2:9">
      <c r="B1148" s="545">
        <v>3</v>
      </c>
      <c r="C1148" s="545" t="str">
        <f>VLOOKUP(D1148,기본!$B$3:$C$90,2,0)</f>
        <v>코웨이</v>
      </c>
      <c r="D1148" t="s">
        <v>1929</v>
      </c>
      <c r="E1148" t="s">
        <v>1940</v>
      </c>
      <c r="F1148" t="s">
        <v>1940</v>
      </c>
      <c r="G1148" t="e">
        <f>VLOOKUP(E1148,기본!$F$3:$G$320,2,0)</f>
        <v>#N/A</v>
      </c>
      <c r="H1148" s="544">
        <v>1352</v>
      </c>
      <c r="I1148">
        <v>49.644087999999996</v>
      </c>
    </row>
    <row r="1149" spans="2:9">
      <c r="B1149" s="545">
        <v>3</v>
      </c>
      <c r="C1149" s="545" t="str">
        <f>VLOOKUP(D1149,기본!$B$3:$C$90,2,0)</f>
        <v>코웨이</v>
      </c>
      <c r="D1149" t="s">
        <v>1929</v>
      </c>
      <c r="E1149" t="s">
        <v>2002</v>
      </c>
      <c r="F1149" t="s">
        <v>2002</v>
      </c>
      <c r="G1149" t="e">
        <f>VLOOKUP(E1149,기본!$F$3:$G$320,2,0)</f>
        <v>#N/A</v>
      </c>
      <c r="H1149" s="544">
        <v>1119</v>
      </c>
      <c r="I1149">
        <v>43.64114</v>
      </c>
    </row>
    <row r="1150" spans="2:9">
      <c r="B1150" s="545">
        <v>3</v>
      </c>
      <c r="C1150" s="545" t="str">
        <f>VLOOKUP(D1150,기본!$B$3:$C$90,2,0)</f>
        <v>코웨이</v>
      </c>
      <c r="D1150" t="s">
        <v>1941</v>
      </c>
      <c r="E1150" t="s">
        <v>1892</v>
      </c>
      <c r="F1150" t="s">
        <v>1892</v>
      </c>
      <c r="G1150" t="e">
        <f>VLOOKUP(E1150,기본!$F$3:$G$320,2,0)</f>
        <v>#N/A</v>
      </c>
      <c r="H1150" s="544">
        <v>1690</v>
      </c>
      <c r="I1150">
        <v>14.113189999999999</v>
      </c>
    </row>
    <row r="1151" spans="2:9">
      <c r="B1151" s="545">
        <v>3</v>
      </c>
      <c r="C1151" s="545" t="str">
        <f>VLOOKUP(D1151,기본!$B$3:$C$90,2,0)</f>
        <v>코웨이</v>
      </c>
      <c r="D1151" t="s">
        <v>1941</v>
      </c>
      <c r="E1151" t="s">
        <v>2519</v>
      </c>
      <c r="F1151" t="s">
        <v>2519</v>
      </c>
      <c r="G1151" t="e">
        <f>VLOOKUP(E1151,기본!$F$3:$G$320,2,0)</f>
        <v>#N/A</v>
      </c>
      <c r="H1151" s="544">
        <v>1151</v>
      </c>
      <c r="I1151">
        <v>14.487636999999999</v>
      </c>
    </row>
    <row r="1152" spans="2:9">
      <c r="B1152" s="545">
        <v>3</v>
      </c>
      <c r="C1152" s="545" t="str">
        <f>VLOOKUP(D1152,기본!$B$3:$C$90,2,0)</f>
        <v>코웨이</v>
      </c>
      <c r="D1152" t="s">
        <v>1941</v>
      </c>
      <c r="E1152" t="s">
        <v>2558</v>
      </c>
      <c r="F1152" t="s">
        <v>2558</v>
      </c>
      <c r="G1152" t="e">
        <f>VLOOKUP(E1152,기본!$F$3:$G$320,2,0)</f>
        <v>#N/A</v>
      </c>
      <c r="H1152" s="544">
        <v>550</v>
      </c>
      <c r="I1152">
        <v>3.9039000000000001</v>
      </c>
    </row>
    <row r="1153" spans="2:9">
      <c r="B1153" s="545">
        <v>3</v>
      </c>
      <c r="C1153" s="545" t="str">
        <f>VLOOKUP(D1153,기본!$B$3:$C$90,2,0)</f>
        <v>코웨이</v>
      </c>
      <c r="D1153" t="s">
        <v>1941</v>
      </c>
      <c r="E1153" t="s">
        <v>1942</v>
      </c>
      <c r="F1153" t="s">
        <v>1942</v>
      </c>
      <c r="G1153" t="e">
        <f>VLOOKUP(E1153,기본!$F$3:$G$320,2,0)</f>
        <v>#N/A</v>
      </c>
      <c r="H1153" s="544">
        <v>750</v>
      </c>
      <c r="I1153">
        <v>7.1369999999999996</v>
      </c>
    </row>
    <row r="1154" spans="2:9">
      <c r="B1154" s="545">
        <v>3</v>
      </c>
      <c r="C1154" s="545" t="str">
        <f>VLOOKUP(D1154,기본!$B$3:$C$90,2,0)</f>
        <v>코웨이</v>
      </c>
      <c r="D1154" t="s">
        <v>1941</v>
      </c>
      <c r="E1154" t="s">
        <v>1043</v>
      </c>
      <c r="F1154" t="s">
        <v>1043</v>
      </c>
      <c r="G1154" t="e">
        <f>VLOOKUP(E1154,기본!$F$3:$G$320,2,0)</f>
        <v>#N/A</v>
      </c>
      <c r="H1154" s="544">
        <v>4378</v>
      </c>
      <c r="I1154">
        <v>51.975616000000002</v>
      </c>
    </row>
    <row r="1155" spans="2:9">
      <c r="B1155" s="545">
        <v>3</v>
      </c>
      <c r="C1155" s="545" t="str">
        <f>VLOOKUP(D1155,기본!$B$3:$C$90,2,0)</f>
        <v>코웨이</v>
      </c>
      <c r="D1155" t="s">
        <v>1941</v>
      </c>
      <c r="E1155" t="s">
        <v>1072</v>
      </c>
      <c r="F1155" t="s">
        <v>1072</v>
      </c>
      <c r="G1155" t="e">
        <f>VLOOKUP(E1155,기본!$F$3:$G$320,2,0)</f>
        <v>#N/A</v>
      </c>
      <c r="H1155" s="544">
        <v>290</v>
      </c>
      <c r="I1155">
        <v>5.5685200000000004</v>
      </c>
    </row>
    <row r="1156" spans="2:9">
      <c r="B1156" s="545">
        <v>3</v>
      </c>
      <c r="C1156" s="545" t="str">
        <f>VLOOKUP(D1156,기본!$B$3:$C$90,2,0)</f>
        <v>코웨이</v>
      </c>
      <c r="D1156" t="s">
        <v>1941</v>
      </c>
      <c r="E1156" t="s">
        <v>2061</v>
      </c>
      <c r="F1156" t="s">
        <v>2061</v>
      </c>
      <c r="G1156" t="e">
        <f>VLOOKUP(E1156,기본!$F$3:$G$320,2,0)</f>
        <v>#N/A</v>
      </c>
      <c r="H1156" s="544">
        <v>1336</v>
      </c>
      <c r="I1156">
        <v>23.239719999999998</v>
      </c>
    </row>
    <row r="1157" spans="2:9">
      <c r="B1157" s="545">
        <v>3</v>
      </c>
      <c r="C1157" s="545" t="str">
        <f>VLOOKUP(D1157,기본!$B$3:$C$90,2,0)</f>
        <v>코웨이</v>
      </c>
      <c r="D1157" t="s">
        <v>1943</v>
      </c>
      <c r="E1157" t="s">
        <v>2236</v>
      </c>
      <c r="F1157" t="s">
        <v>2236</v>
      </c>
      <c r="G1157" t="e">
        <f>VLOOKUP(E1157,기본!$F$3:$G$320,2,0)</f>
        <v>#N/A</v>
      </c>
      <c r="H1157" s="544">
        <v>50</v>
      </c>
      <c r="I1157">
        <v>1.3771</v>
      </c>
    </row>
    <row r="1158" spans="2:9">
      <c r="B1158" s="545">
        <v>3</v>
      </c>
      <c r="C1158" s="545" t="str">
        <f>VLOOKUP(D1158,기본!$B$3:$C$90,2,0)</f>
        <v>코웨이</v>
      </c>
      <c r="D1158" t="s">
        <v>1943</v>
      </c>
      <c r="E1158" t="s">
        <v>1923</v>
      </c>
      <c r="F1158" t="s">
        <v>1923</v>
      </c>
      <c r="G1158" t="e">
        <f>VLOOKUP(E1158,기본!$F$3:$G$320,2,0)</f>
        <v>#N/A</v>
      </c>
      <c r="H1158" s="544">
        <v>4247</v>
      </c>
      <c r="I1158">
        <v>137.62403499999999</v>
      </c>
    </row>
    <row r="1159" spans="2:9">
      <c r="B1159" s="545">
        <v>3</v>
      </c>
      <c r="C1159" s="545" t="str">
        <f>VLOOKUP(D1159,기본!$B$3:$C$90,2,0)</f>
        <v>코웨이</v>
      </c>
      <c r="D1159" t="s">
        <v>1943</v>
      </c>
      <c r="E1159" t="s">
        <v>1939</v>
      </c>
      <c r="F1159" t="s">
        <v>1939</v>
      </c>
      <c r="G1159" t="e">
        <f>VLOOKUP(E1159,기본!$F$3:$G$320,2,0)</f>
        <v>#N/A</v>
      </c>
      <c r="H1159" s="544">
        <v>685</v>
      </c>
      <c r="I1159">
        <v>22.270035</v>
      </c>
    </row>
    <row r="1160" spans="2:9">
      <c r="B1160" s="545">
        <v>3</v>
      </c>
      <c r="C1160" s="545" t="str">
        <f>VLOOKUP(D1160,기본!$B$3:$C$90,2,0)</f>
        <v>코웨이</v>
      </c>
      <c r="D1160" t="s">
        <v>2004</v>
      </c>
      <c r="E1160" t="s">
        <v>1028</v>
      </c>
      <c r="F1160" t="s">
        <v>1028</v>
      </c>
      <c r="G1160" t="e">
        <f>VLOOKUP(E1160,기본!$F$3:$G$320,2,0)</f>
        <v>#N/A</v>
      </c>
      <c r="H1160" s="544">
        <v>3360</v>
      </c>
      <c r="I1160">
        <v>17.256959999999999</v>
      </c>
    </row>
    <row r="1161" spans="2:9">
      <c r="B1161" s="545">
        <v>3</v>
      </c>
      <c r="C1161" s="545" t="str">
        <f>VLOOKUP(D1161,기본!$B$3:$C$90,2,0)</f>
        <v>코웨이</v>
      </c>
      <c r="D1161" t="s">
        <v>2004</v>
      </c>
      <c r="E1161" t="s">
        <v>1027</v>
      </c>
      <c r="F1161" t="s">
        <v>1027</v>
      </c>
      <c r="G1161" t="e">
        <f>VLOOKUP(E1161,기본!$F$3:$G$320,2,0)</f>
        <v>#N/A</v>
      </c>
      <c r="H1161" s="544">
        <v>3250</v>
      </c>
      <c r="I1161">
        <v>18.593250000000001</v>
      </c>
    </row>
    <row r="1162" spans="2:9">
      <c r="B1162" s="545">
        <v>3</v>
      </c>
      <c r="C1162" s="545" t="str">
        <f>VLOOKUP(D1162,기본!$B$3:$C$90,2,0)</f>
        <v>코웨이</v>
      </c>
      <c r="D1162" t="s">
        <v>2004</v>
      </c>
      <c r="E1162" t="s">
        <v>1029</v>
      </c>
      <c r="F1162" t="s">
        <v>1029</v>
      </c>
      <c r="G1162" t="e">
        <f>VLOOKUP(E1162,기본!$F$3:$G$320,2,0)</f>
        <v>#N/A</v>
      </c>
      <c r="H1162" s="544">
        <v>10278</v>
      </c>
      <c r="I1162">
        <v>15.180605999999999</v>
      </c>
    </row>
    <row r="1163" spans="2:9">
      <c r="B1163" s="545">
        <v>3</v>
      </c>
      <c r="C1163" s="545" t="str">
        <f>VLOOKUP(D1163,기본!$B$3:$C$90,2,0)</f>
        <v>한화비전</v>
      </c>
      <c r="D1163" t="s">
        <v>1949</v>
      </c>
      <c r="E1163" t="s">
        <v>1812</v>
      </c>
      <c r="F1163" t="s">
        <v>1813</v>
      </c>
      <c r="G1163" t="e">
        <f>VLOOKUP(E1163,기본!$F$3:$G$320,2,0)</f>
        <v>#N/A</v>
      </c>
      <c r="H1163" s="544">
        <v>699</v>
      </c>
      <c r="I1163">
        <v>27.302793209999997</v>
      </c>
    </row>
    <row r="1164" spans="2:9">
      <c r="B1164" s="545">
        <v>4</v>
      </c>
      <c r="C1164" s="545" t="str">
        <f>VLOOKUP(D1164,기본!$B$3:$C$90,2,0)</f>
        <v>AV JDM</v>
      </c>
      <c r="D1164" t="s">
        <v>2327</v>
      </c>
      <c r="E1164" t="s">
        <v>1775</v>
      </c>
      <c r="F1164" t="s">
        <v>1621</v>
      </c>
      <c r="G1164" t="e">
        <f>VLOOKUP(E1164,기본!$F$3:$G$320,2,0)</f>
        <v>#N/A</v>
      </c>
      <c r="H1164" s="544">
        <v>12080</v>
      </c>
      <c r="I1164">
        <v>118.4356008</v>
      </c>
    </row>
    <row r="1165" spans="2:9">
      <c r="B1165" s="545">
        <v>4</v>
      </c>
      <c r="C1165" s="545" t="str">
        <f>VLOOKUP(D1165,기본!$B$3:$C$90,2,0)</f>
        <v>AV JDM</v>
      </c>
      <c r="D1165" t="s">
        <v>2327</v>
      </c>
      <c r="E1165" t="s">
        <v>1961</v>
      </c>
      <c r="F1165" t="s">
        <v>1962</v>
      </c>
      <c r="G1165" t="e">
        <f>VLOOKUP(E1165,기본!$F$3:$G$320,2,0)</f>
        <v>#N/A</v>
      </c>
      <c r="H1165" s="544">
        <v>1520</v>
      </c>
      <c r="I1165">
        <v>15.861992399999998</v>
      </c>
    </row>
    <row r="1166" spans="2:9">
      <c r="B1166" s="545">
        <v>4</v>
      </c>
      <c r="C1166" s="545" t="str">
        <f>VLOOKUP(D1166,기본!$B$3:$C$90,2,0)</f>
        <v>AV JDM</v>
      </c>
      <c r="D1166" t="s">
        <v>2327</v>
      </c>
      <c r="E1166" t="s">
        <v>1597</v>
      </c>
      <c r="F1166" t="s">
        <v>1597</v>
      </c>
      <c r="G1166" t="str">
        <f>VLOOKUP(E1166,기본!$F$3:$G$320,2,0)</f>
        <v>MNT</v>
      </c>
      <c r="H1166" s="544">
        <v>9240</v>
      </c>
      <c r="I1166">
        <v>79.151291520000001</v>
      </c>
    </row>
    <row r="1167" spans="2:9">
      <c r="B1167" s="545">
        <v>4</v>
      </c>
      <c r="C1167" s="545" t="str">
        <f>VLOOKUP(D1167,기본!$B$3:$C$90,2,0)</f>
        <v>AV JDM</v>
      </c>
      <c r="D1167" t="s">
        <v>2327</v>
      </c>
      <c r="E1167" t="s">
        <v>1599</v>
      </c>
      <c r="F1167" t="s">
        <v>1599</v>
      </c>
      <c r="G1167" t="str">
        <f>VLOOKUP(E1167,기본!$F$3:$G$320,2,0)</f>
        <v>MNT</v>
      </c>
      <c r="H1167" s="544">
        <v>3976</v>
      </c>
      <c r="I1167">
        <v>36.764105000000001</v>
      </c>
    </row>
    <row r="1168" spans="2:9">
      <c r="B1168" s="545">
        <v>4</v>
      </c>
      <c r="C1168" s="545" t="str">
        <f>VLOOKUP(D1168,기본!$B$3:$C$90,2,0)</f>
        <v>AV JDM</v>
      </c>
      <c r="D1168" t="s">
        <v>2327</v>
      </c>
      <c r="E1168" t="s">
        <v>1600</v>
      </c>
      <c r="F1168" t="s">
        <v>1600</v>
      </c>
      <c r="G1168" t="e">
        <f>VLOOKUP(E1168,기본!$F$3:$G$320,2,0)</f>
        <v>#N/A</v>
      </c>
      <c r="H1168" s="544">
        <v>784</v>
      </c>
      <c r="I1168">
        <v>7.5775011199999991</v>
      </c>
    </row>
    <row r="1169" spans="2:9">
      <c r="B1169" s="545">
        <v>4</v>
      </c>
      <c r="C1169" s="545" t="str">
        <f>VLOOKUP(D1169,기본!$B$3:$C$90,2,0)</f>
        <v>AV JDM</v>
      </c>
      <c r="D1169" t="s">
        <v>2327</v>
      </c>
      <c r="E1169" t="s">
        <v>1601</v>
      </c>
      <c r="F1169" t="s">
        <v>1601</v>
      </c>
      <c r="G1169" t="str">
        <f>VLOOKUP(E1169,기본!$F$3:$G$320,2,0)</f>
        <v>MNT</v>
      </c>
      <c r="H1169" s="544">
        <v>32</v>
      </c>
      <c r="I1169">
        <v>0.32059007999999994</v>
      </c>
    </row>
    <row r="1170" spans="2:9">
      <c r="B1170" s="545">
        <v>4</v>
      </c>
      <c r="C1170" s="545" t="str">
        <f>VLOOKUP(D1170,기본!$B$3:$C$90,2,0)</f>
        <v>AV JDM</v>
      </c>
      <c r="D1170" t="s">
        <v>2327</v>
      </c>
      <c r="E1170" t="s">
        <v>1598</v>
      </c>
      <c r="F1170" t="s">
        <v>1598</v>
      </c>
      <c r="G1170" t="e">
        <f>VLOOKUP(E1170,기본!$F$3:$G$320,2,0)</f>
        <v>#N/A</v>
      </c>
      <c r="H1170" s="544">
        <v>336</v>
      </c>
      <c r="I1170">
        <v>3.0263368799999997</v>
      </c>
    </row>
    <row r="1171" spans="2:9">
      <c r="B1171" s="545">
        <v>4</v>
      </c>
      <c r="C1171" s="545" t="str">
        <f>VLOOKUP(D1171,기본!$B$3:$C$90,2,0)</f>
        <v>AV JDM</v>
      </c>
      <c r="D1171" t="s">
        <v>2327</v>
      </c>
      <c r="E1171" t="s">
        <v>2005</v>
      </c>
      <c r="F1171" t="s">
        <v>2005</v>
      </c>
      <c r="G1171" t="e">
        <f>VLOOKUP(E1171,기본!$F$3:$G$320,2,0)</f>
        <v>#N/A</v>
      </c>
      <c r="H1171" s="544">
        <v>31</v>
      </c>
      <c r="I1171">
        <v>0.30600441000000006</v>
      </c>
    </row>
    <row r="1172" spans="2:9">
      <c r="B1172" s="545">
        <v>4</v>
      </c>
      <c r="C1172" s="545" t="str">
        <f>VLOOKUP(D1172,기본!$B$3:$C$90,2,0)</f>
        <v>AV JDM</v>
      </c>
      <c r="D1172" t="s">
        <v>2327</v>
      </c>
      <c r="E1172" t="s">
        <v>2524</v>
      </c>
      <c r="F1172" t="s">
        <v>2524</v>
      </c>
      <c r="G1172" t="e">
        <f>VLOOKUP(E1172,기본!$F$3:$G$320,2,0)</f>
        <v>#N/A</v>
      </c>
      <c r="H1172" s="544">
        <v>44</v>
      </c>
      <c r="I1172">
        <v>0.45770736000000001</v>
      </c>
    </row>
    <row r="1173" spans="2:9">
      <c r="B1173" s="545">
        <v>4</v>
      </c>
      <c r="C1173" s="545" t="str">
        <f>VLOOKUP(D1173,기본!$B$3:$C$90,2,0)</f>
        <v>AV JDM</v>
      </c>
      <c r="D1173" t="s">
        <v>2327</v>
      </c>
      <c r="E1173" t="s">
        <v>1776</v>
      </c>
      <c r="F1173" t="s">
        <v>1287</v>
      </c>
      <c r="G1173" t="e">
        <f>VLOOKUP(E1173,기본!$F$3:$G$320,2,0)</f>
        <v>#N/A</v>
      </c>
      <c r="H1173" s="544">
        <v>1008</v>
      </c>
      <c r="I1173">
        <v>11.274528384</v>
      </c>
    </row>
    <row r="1174" spans="2:9">
      <c r="B1174" s="545">
        <v>4</v>
      </c>
      <c r="C1174" s="545" t="str">
        <f>VLOOKUP(D1174,기본!$B$3:$C$90,2,0)</f>
        <v>AV JDM</v>
      </c>
      <c r="D1174" t="s">
        <v>2327</v>
      </c>
      <c r="E1174" t="s">
        <v>1777</v>
      </c>
      <c r="F1174" t="s">
        <v>1283</v>
      </c>
      <c r="G1174" t="e">
        <f>VLOOKUP(E1174,기본!$F$3:$G$320,2,0)</f>
        <v>#N/A</v>
      </c>
      <c r="H1174" s="544">
        <v>4680</v>
      </c>
      <c r="I1174">
        <v>46.244257599999997</v>
      </c>
    </row>
    <row r="1175" spans="2:9">
      <c r="B1175" s="545">
        <v>4</v>
      </c>
      <c r="C1175" s="545" t="str">
        <f>VLOOKUP(D1175,기본!$B$3:$C$90,2,0)</f>
        <v>AV JDM</v>
      </c>
      <c r="D1175" t="s">
        <v>2327</v>
      </c>
      <c r="E1175" t="s">
        <v>2480</v>
      </c>
      <c r="F1175" t="s">
        <v>1284</v>
      </c>
      <c r="G1175" t="e">
        <f>VLOOKUP(E1175,기본!$F$3:$G$320,2,0)</f>
        <v>#N/A</v>
      </c>
      <c r="H1175" s="544">
        <v>2120</v>
      </c>
      <c r="I1175">
        <v>23.0071464</v>
      </c>
    </row>
    <row r="1176" spans="2:9">
      <c r="B1176" s="545">
        <v>4</v>
      </c>
      <c r="C1176" s="545" t="str">
        <f>VLOOKUP(D1176,기본!$B$3:$C$90,2,0)</f>
        <v>AV JDM</v>
      </c>
      <c r="D1176" t="s">
        <v>2327</v>
      </c>
      <c r="E1176" t="s">
        <v>2456</v>
      </c>
      <c r="F1176" t="s">
        <v>2456</v>
      </c>
      <c r="G1176" t="str">
        <f>VLOOKUP(E1176,기본!$F$3:$G$320,2,0)</f>
        <v>AV</v>
      </c>
      <c r="H1176" s="544">
        <v>2361</v>
      </c>
      <c r="I1176">
        <v>24.600797199999999</v>
      </c>
    </row>
    <row r="1177" spans="2:9">
      <c r="B1177" s="545">
        <v>4</v>
      </c>
      <c r="C1177" s="545" t="str">
        <f>VLOOKUP(D1177,기본!$B$3:$C$90,2,0)</f>
        <v>AV JDM</v>
      </c>
      <c r="D1177" t="s">
        <v>2327</v>
      </c>
      <c r="E1177" t="s">
        <v>2457</v>
      </c>
      <c r="F1177" t="s">
        <v>2457</v>
      </c>
      <c r="G1177" t="str">
        <f>VLOOKUP(E1177,기본!$F$3:$G$320,2,0)</f>
        <v>AV</v>
      </c>
      <c r="H1177" s="544">
        <v>2560</v>
      </c>
      <c r="I1177">
        <v>26.520928000000001</v>
      </c>
    </row>
    <row r="1178" spans="2:9">
      <c r="B1178" s="545">
        <v>4</v>
      </c>
      <c r="C1178" s="545" t="str">
        <f>VLOOKUP(D1178,기본!$B$3:$C$90,2,0)</f>
        <v>AV JDM</v>
      </c>
      <c r="D1178" t="s">
        <v>2327</v>
      </c>
      <c r="E1178" t="s">
        <v>2026</v>
      </c>
      <c r="F1178" t="s">
        <v>2026</v>
      </c>
      <c r="G1178" t="str">
        <f>VLOOKUP(E1178,기본!$F$3:$G$320,2,0)</f>
        <v>AV</v>
      </c>
      <c r="H1178" s="544">
        <v>4355</v>
      </c>
      <c r="I1178">
        <v>41.90147975</v>
      </c>
    </row>
    <row r="1179" spans="2:9">
      <c r="B1179" s="545">
        <v>4</v>
      </c>
      <c r="C1179" s="545" t="str">
        <f>VLOOKUP(D1179,기본!$B$3:$C$90,2,0)</f>
        <v>AV JDM</v>
      </c>
      <c r="D1179" t="s">
        <v>2327</v>
      </c>
      <c r="E1179" t="s">
        <v>2175</v>
      </c>
      <c r="F1179" t="s">
        <v>2175</v>
      </c>
      <c r="G1179" t="str">
        <f>VLOOKUP(E1179,기본!$F$3:$G$320,2,0)</f>
        <v>AV</v>
      </c>
      <c r="H1179" s="544">
        <v>390</v>
      </c>
      <c r="I1179">
        <v>3.9359209499999999</v>
      </c>
    </row>
    <row r="1180" spans="2:9">
      <c r="B1180" s="545">
        <v>4</v>
      </c>
      <c r="C1180" s="545" t="str">
        <f>VLOOKUP(D1180,기본!$B$3:$C$90,2,0)</f>
        <v>AV JDM</v>
      </c>
      <c r="D1180" t="s">
        <v>2327</v>
      </c>
      <c r="E1180" t="s">
        <v>2027</v>
      </c>
      <c r="F1180" t="s">
        <v>2027</v>
      </c>
      <c r="G1180" t="str">
        <f>VLOOKUP(E1180,기본!$F$3:$G$320,2,0)</f>
        <v>AV</v>
      </c>
      <c r="H1180" s="544">
        <v>2079</v>
      </c>
      <c r="I1180">
        <v>26.506465919999997</v>
      </c>
    </row>
    <row r="1181" spans="2:9">
      <c r="B1181" s="545">
        <v>4</v>
      </c>
      <c r="C1181" s="545" t="str">
        <f>VLOOKUP(D1181,기본!$B$3:$C$90,2,0)</f>
        <v>삼성 VD</v>
      </c>
      <c r="D1181" t="s">
        <v>1778</v>
      </c>
      <c r="E1181" t="s">
        <v>1787</v>
      </c>
      <c r="F1181" t="s">
        <v>1788</v>
      </c>
      <c r="G1181" t="str">
        <f>VLOOKUP(E1181,기본!$F$3:$G$320,2,0)</f>
        <v>MNT</v>
      </c>
      <c r="H1181" s="544">
        <v>684</v>
      </c>
      <c r="I1181">
        <v>27.246911256000001</v>
      </c>
    </row>
    <row r="1182" spans="2:9">
      <c r="B1182" s="545">
        <v>4</v>
      </c>
      <c r="C1182" s="545" t="str">
        <f>VLOOKUP(D1182,기본!$B$3:$C$90,2,0)</f>
        <v>삼성 VD</v>
      </c>
      <c r="D1182" t="s">
        <v>1778</v>
      </c>
      <c r="E1182" t="s">
        <v>1725</v>
      </c>
      <c r="F1182" t="s">
        <v>1822</v>
      </c>
      <c r="G1182" t="str">
        <f>VLOOKUP(E1182,기본!$F$3:$G$320,2,0)</f>
        <v>TV</v>
      </c>
      <c r="H1182" s="544">
        <v>396</v>
      </c>
      <c r="I1182">
        <v>5.4428647679999989</v>
      </c>
    </row>
    <row r="1183" spans="2:9">
      <c r="B1183" s="545">
        <v>4</v>
      </c>
      <c r="C1183" s="545" t="str">
        <f>VLOOKUP(D1183,기본!$B$3:$C$90,2,0)</f>
        <v>삼성 VD</v>
      </c>
      <c r="D1183" t="s">
        <v>1778</v>
      </c>
      <c r="E1183" t="s">
        <v>1727</v>
      </c>
      <c r="F1183" t="s">
        <v>1823</v>
      </c>
      <c r="G1183" t="str">
        <f>VLOOKUP(E1183,기본!$F$3:$G$320,2,0)</f>
        <v>TV</v>
      </c>
      <c r="H1183" s="544">
        <v>100</v>
      </c>
      <c r="I1183">
        <v>1.8054608999999999</v>
      </c>
    </row>
    <row r="1184" spans="2:9">
      <c r="B1184" s="545">
        <v>4</v>
      </c>
      <c r="C1184" s="545" t="str">
        <f>VLOOKUP(D1184,기본!$B$3:$C$90,2,0)</f>
        <v>삼성 VD</v>
      </c>
      <c r="D1184" t="s">
        <v>1778</v>
      </c>
      <c r="E1184" t="s">
        <v>2106</v>
      </c>
      <c r="F1184" t="s">
        <v>1748</v>
      </c>
      <c r="G1184" t="str">
        <f>VLOOKUP(E1184,기본!$F$3:$G$320,2,0)</f>
        <v>MNT</v>
      </c>
      <c r="H1184" s="544">
        <v>2808</v>
      </c>
      <c r="I1184">
        <v>32.189495903999997</v>
      </c>
    </row>
    <row r="1185" spans="2:9">
      <c r="B1185" s="545">
        <v>4</v>
      </c>
      <c r="C1185" s="545" t="str">
        <f>VLOOKUP(D1185,기본!$B$3:$C$90,2,0)</f>
        <v>삼성 VD</v>
      </c>
      <c r="D1185" t="s">
        <v>1778</v>
      </c>
      <c r="E1185" t="s">
        <v>2112</v>
      </c>
      <c r="F1185" t="s">
        <v>1748</v>
      </c>
      <c r="G1185" t="str">
        <f>VLOOKUP(E1185,기본!$F$3:$G$320,2,0)</f>
        <v>MNT</v>
      </c>
      <c r="H1185" s="544">
        <v>216</v>
      </c>
      <c r="I1185">
        <v>2.4669671040000001</v>
      </c>
    </row>
    <row r="1186" spans="2:9">
      <c r="B1186" s="545">
        <v>4</v>
      </c>
      <c r="C1186" s="545" t="str">
        <f>VLOOKUP(D1186,기본!$B$3:$C$90,2,0)</f>
        <v>삼성 VD</v>
      </c>
      <c r="D1186" t="s">
        <v>1778</v>
      </c>
      <c r="E1186" t="s">
        <v>2070</v>
      </c>
      <c r="F1186" t="s">
        <v>1746</v>
      </c>
      <c r="G1186" t="str">
        <f>VLOOKUP(E1186,기본!$F$3:$G$320,2,0)</f>
        <v>MNT</v>
      </c>
      <c r="H1186" s="544">
        <v>12312</v>
      </c>
      <c r="I1186">
        <v>86.837779871999984</v>
      </c>
    </row>
    <row r="1187" spans="2:9">
      <c r="B1187" s="545">
        <v>4</v>
      </c>
      <c r="C1187" s="545" t="str">
        <f>VLOOKUP(D1187,기본!$B$3:$C$90,2,0)</f>
        <v>삼성 VD</v>
      </c>
      <c r="D1187" t="s">
        <v>1778</v>
      </c>
      <c r="E1187" t="s">
        <v>1789</v>
      </c>
      <c r="F1187" t="s">
        <v>2470</v>
      </c>
      <c r="G1187" t="str">
        <f>VLOOKUP(E1187,기본!$F$3:$G$320,2,0)</f>
        <v>MNT</v>
      </c>
      <c r="H1187" s="544">
        <v>252</v>
      </c>
      <c r="I1187">
        <v>2.0751988319999999</v>
      </c>
    </row>
    <row r="1188" spans="2:9">
      <c r="B1188" s="545">
        <v>4</v>
      </c>
      <c r="C1188" s="545" t="str">
        <f>VLOOKUP(D1188,기본!$B$3:$C$90,2,0)</f>
        <v>삼성 VD</v>
      </c>
      <c r="D1188" t="s">
        <v>1778</v>
      </c>
      <c r="E1188" t="s">
        <v>2010</v>
      </c>
      <c r="F1188" t="s">
        <v>2011</v>
      </c>
      <c r="G1188" t="str">
        <f>VLOOKUP(E1188,기본!$F$3:$G$320,2,0)</f>
        <v>MNT</v>
      </c>
      <c r="H1188" s="544">
        <v>1892</v>
      </c>
      <c r="I1188">
        <v>8.8566034039999995</v>
      </c>
    </row>
    <row r="1189" spans="2:9">
      <c r="B1189" s="545">
        <v>4</v>
      </c>
      <c r="C1189" s="545" t="str">
        <f>VLOOKUP(D1189,기본!$B$3:$C$90,2,0)</f>
        <v>삼성 VD</v>
      </c>
      <c r="D1189" t="s">
        <v>1791</v>
      </c>
      <c r="E1189" t="s">
        <v>1119</v>
      </c>
      <c r="F1189" t="s">
        <v>1798</v>
      </c>
      <c r="G1189" t="str">
        <f>VLOOKUP(E1189,기본!$F$3:$G$320,2,0)</f>
        <v>TV</v>
      </c>
      <c r="H1189" s="544">
        <v>648</v>
      </c>
      <c r="I1189">
        <v>21.241961328000002</v>
      </c>
    </row>
    <row r="1190" spans="2:9">
      <c r="B1190" s="545">
        <v>4</v>
      </c>
      <c r="C1190" s="545" t="str">
        <f>VLOOKUP(D1190,기본!$B$3:$C$90,2,0)</f>
        <v>삼성 VD</v>
      </c>
      <c r="D1190" t="s">
        <v>1791</v>
      </c>
      <c r="E1190" t="s">
        <v>1792</v>
      </c>
      <c r="F1190" t="s">
        <v>1793</v>
      </c>
      <c r="G1190" t="str">
        <f>VLOOKUP(E1190,기본!$F$3:$G$320,2,0)</f>
        <v>TV</v>
      </c>
      <c r="H1190" s="544">
        <v>828</v>
      </c>
      <c r="I1190">
        <v>13.007203845999999</v>
      </c>
    </row>
    <row r="1191" spans="2:9">
      <c r="B1191" s="545">
        <v>4</v>
      </c>
      <c r="C1191" s="545" t="str">
        <f>VLOOKUP(D1191,기본!$B$3:$C$90,2,0)</f>
        <v>삼성 VD</v>
      </c>
      <c r="D1191" t="s">
        <v>1791</v>
      </c>
      <c r="E1191" t="s">
        <v>2112</v>
      </c>
      <c r="F1191" t="s">
        <v>1748</v>
      </c>
      <c r="G1191" t="str">
        <f>VLOOKUP(E1191,기본!$F$3:$G$320,2,0)</f>
        <v>MNT</v>
      </c>
      <c r="H1191" s="544">
        <v>6120</v>
      </c>
      <c r="I1191">
        <v>70.058510928000004</v>
      </c>
    </row>
    <row r="1192" spans="2:9">
      <c r="B1192" s="545">
        <v>4</v>
      </c>
      <c r="C1192" s="545" t="str">
        <f>VLOOKUP(D1192,기본!$B$3:$C$90,2,0)</f>
        <v>삼성 VD</v>
      </c>
      <c r="D1192" t="s">
        <v>1797</v>
      </c>
      <c r="E1192" t="s">
        <v>1119</v>
      </c>
      <c r="F1192" t="s">
        <v>1798</v>
      </c>
      <c r="G1192" t="str">
        <f>VLOOKUP(E1192,기본!$F$3:$G$320,2,0)</f>
        <v>TV</v>
      </c>
      <c r="H1192" s="544">
        <v>30</v>
      </c>
      <c r="I1192">
        <v>0.96201797999999994</v>
      </c>
    </row>
    <row r="1193" spans="2:9">
      <c r="B1193" s="545">
        <v>4</v>
      </c>
      <c r="C1193" s="545" t="str">
        <f>VLOOKUP(D1193,기본!$B$3:$C$90,2,0)</f>
        <v>삼성 VD</v>
      </c>
      <c r="D1193" t="s">
        <v>1797</v>
      </c>
      <c r="E1193" t="s">
        <v>1712</v>
      </c>
      <c r="F1193" t="s">
        <v>1613</v>
      </c>
      <c r="G1193" t="str">
        <f>VLOOKUP(E1193,기본!$F$3:$G$320,2,0)</f>
        <v>TV</v>
      </c>
      <c r="H1193" s="544">
        <v>40440</v>
      </c>
      <c r="I1193">
        <v>488.73902327999997</v>
      </c>
    </row>
    <row r="1194" spans="2:9">
      <c r="B1194" s="545">
        <v>4</v>
      </c>
      <c r="C1194" s="545" t="str">
        <f>VLOOKUP(D1194,기본!$B$3:$C$90,2,0)</f>
        <v>삼성 VD</v>
      </c>
      <c r="D1194" t="s">
        <v>1797</v>
      </c>
      <c r="E1194" t="s">
        <v>1714</v>
      </c>
      <c r="F1194" t="s">
        <v>1828</v>
      </c>
      <c r="G1194" t="str">
        <f>VLOOKUP(E1194,기본!$F$3:$G$320,2,0)</f>
        <v>TV</v>
      </c>
      <c r="H1194" s="544">
        <v>72</v>
      </c>
      <c r="I1194">
        <v>1.0943802</v>
      </c>
    </row>
    <row r="1195" spans="2:9">
      <c r="B1195" s="545">
        <v>4</v>
      </c>
      <c r="C1195" s="545" t="str">
        <f>VLOOKUP(D1195,기본!$B$3:$C$90,2,0)</f>
        <v>삼성 VD</v>
      </c>
      <c r="D1195" t="s">
        <v>1797</v>
      </c>
      <c r="E1195" t="s">
        <v>2441</v>
      </c>
      <c r="F1195" t="s">
        <v>2438</v>
      </c>
      <c r="G1195" t="str">
        <f>VLOOKUP(E1195,기본!$F$3:$G$320,2,0)</f>
        <v>TV</v>
      </c>
      <c r="H1195" s="544">
        <v>294</v>
      </c>
      <c r="I1195">
        <v>4.0025630399999992</v>
      </c>
    </row>
    <row r="1196" spans="2:9">
      <c r="B1196" s="545">
        <v>4</v>
      </c>
      <c r="C1196" s="545" t="str">
        <f>VLOOKUP(D1196,기본!$B$3:$C$90,2,0)</f>
        <v>기타</v>
      </c>
      <c r="D1196" t="s">
        <v>1799</v>
      </c>
      <c r="E1196" t="s">
        <v>224</v>
      </c>
      <c r="F1196" t="s">
        <v>224</v>
      </c>
      <c r="G1196" t="str">
        <f>VLOOKUP(E1196,기본!$F$3:$G$320,2,0)</f>
        <v>기타</v>
      </c>
      <c r="H1196" s="544">
        <v>0</v>
      </c>
      <c r="I1196">
        <v>7.0278999999999994E-2</v>
      </c>
    </row>
    <row r="1197" spans="2:9">
      <c r="B1197" s="545">
        <v>4</v>
      </c>
      <c r="C1197" s="545" t="str">
        <f>VLOOKUP(D1197,기본!$B$3:$C$90,2,0)</f>
        <v>코웨이</v>
      </c>
      <c r="D1197" t="s">
        <v>2260</v>
      </c>
      <c r="E1197" t="s">
        <v>1021</v>
      </c>
      <c r="F1197" t="s">
        <v>1021</v>
      </c>
      <c r="G1197" t="e">
        <f>VLOOKUP(E1197,기본!$F$3:$G$320,2,0)</f>
        <v>#N/A</v>
      </c>
      <c r="H1197" s="544">
        <v>1104</v>
      </c>
      <c r="I1197">
        <v>7.9863934080000005</v>
      </c>
    </row>
    <row r="1198" spans="2:9">
      <c r="B1198" s="545">
        <v>4</v>
      </c>
      <c r="C1198" s="545" t="str">
        <f>VLOOKUP(D1198,기본!$B$3:$C$90,2,0)</f>
        <v>코웨이</v>
      </c>
      <c r="D1198" t="s">
        <v>2260</v>
      </c>
      <c r="E1198" t="s">
        <v>2574</v>
      </c>
      <c r="F1198" t="s">
        <v>2574</v>
      </c>
      <c r="G1198" t="e">
        <f>VLOOKUP(E1198,기본!$F$3:$G$320,2,0)</f>
        <v>#N/A</v>
      </c>
      <c r="H1198" s="544">
        <v>1440</v>
      </c>
      <c r="I1198">
        <v>10.417034880000001</v>
      </c>
    </row>
    <row r="1199" spans="2:9">
      <c r="B1199" s="545">
        <v>4</v>
      </c>
      <c r="C1199" s="545" t="str">
        <f>VLOOKUP(D1199,기본!$B$3:$C$90,2,0)</f>
        <v>코웨이</v>
      </c>
      <c r="D1199" t="s">
        <v>2260</v>
      </c>
      <c r="E1199" t="s">
        <v>2471</v>
      </c>
      <c r="F1199" t="s">
        <v>2471</v>
      </c>
      <c r="G1199" t="e">
        <f>VLOOKUP(E1199,기본!$F$3:$G$320,2,0)</f>
        <v>#N/A</v>
      </c>
      <c r="H1199" s="544">
        <v>1440</v>
      </c>
      <c r="I1199">
        <v>10.417034880000001</v>
      </c>
    </row>
    <row r="1200" spans="2:9">
      <c r="B1200" s="545">
        <v>4</v>
      </c>
      <c r="C1200" s="545" t="str">
        <f>VLOOKUP(D1200,기본!$B$3:$C$90,2,0)</f>
        <v>코웨이</v>
      </c>
      <c r="D1200" t="s">
        <v>2260</v>
      </c>
      <c r="E1200" t="s">
        <v>1020</v>
      </c>
      <c r="F1200" t="s">
        <v>1020</v>
      </c>
      <c r="G1200" t="e">
        <f>VLOOKUP(E1200,기본!$F$3:$G$320,2,0)</f>
        <v>#N/A</v>
      </c>
      <c r="H1200" s="544">
        <v>1344</v>
      </c>
      <c r="I1200">
        <v>11.835264</v>
      </c>
    </row>
    <row r="1201" spans="2:9">
      <c r="B1201" s="545">
        <v>4</v>
      </c>
      <c r="C1201" s="545" t="str">
        <f>VLOOKUP(D1201,기본!$B$3:$C$90,2,0)</f>
        <v>MNT JDM</v>
      </c>
      <c r="D1201" t="s">
        <v>1963</v>
      </c>
      <c r="E1201" t="s">
        <v>676</v>
      </c>
      <c r="F1201" t="s">
        <v>1964</v>
      </c>
      <c r="G1201" t="str">
        <f>VLOOKUP(E1201,기본!$F$3:$G$320,2,0)</f>
        <v>MNT</v>
      </c>
      <c r="H1201" s="544">
        <v>9884</v>
      </c>
      <c r="I1201">
        <v>48.067213919999993</v>
      </c>
    </row>
    <row r="1202" spans="2:9">
      <c r="B1202" s="545">
        <v>4</v>
      </c>
      <c r="C1202" s="545" t="str">
        <f>VLOOKUP(D1202,기본!$B$3:$C$90,2,0)</f>
        <v>MNT JDM</v>
      </c>
      <c r="D1202" t="s">
        <v>1963</v>
      </c>
      <c r="E1202" t="s">
        <v>1110</v>
      </c>
      <c r="F1202" t="s">
        <v>1728</v>
      </c>
      <c r="G1202" t="str">
        <f>VLOOKUP(E1202,기본!$F$3:$G$320,2,0)</f>
        <v>MNT</v>
      </c>
      <c r="H1202" s="544">
        <v>12672</v>
      </c>
      <c r="I1202">
        <v>76.133223935999993</v>
      </c>
    </row>
    <row r="1203" spans="2:9">
      <c r="B1203" s="545">
        <v>4</v>
      </c>
      <c r="C1203" s="545" t="str">
        <f>VLOOKUP(D1203,기본!$B$3:$C$90,2,0)</f>
        <v>AV JDM</v>
      </c>
      <c r="D1203" t="s">
        <v>2176</v>
      </c>
      <c r="E1203" t="s">
        <v>2473</v>
      </c>
      <c r="F1203" t="s">
        <v>2474</v>
      </c>
      <c r="G1203" t="e">
        <f>VLOOKUP(E1203,기본!$F$3:$G$320,2,0)</f>
        <v>#N/A</v>
      </c>
      <c r="H1203" s="544">
        <v>600</v>
      </c>
      <c r="I1203">
        <v>5.1097950000000001</v>
      </c>
    </row>
    <row r="1204" spans="2:9">
      <c r="B1204" s="545">
        <v>4</v>
      </c>
      <c r="C1204" s="545" t="str">
        <f>VLOOKUP(D1204,기본!$B$3:$C$90,2,0)</f>
        <v>AV JDM</v>
      </c>
      <c r="D1204" t="s">
        <v>2176</v>
      </c>
      <c r="E1204" t="s">
        <v>2416</v>
      </c>
      <c r="F1204" t="s">
        <v>2417</v>
      </c>
      <c r="G1204" t="e">
        <f>VLOOKUP(E1204,기본!$F$3:$G$320,2,0)</f>
        <v>#N/A</v>
      </c>
      <c r="H1204" s="544">
        <v>1008</v>
      </c>
      <c r="I1204">
        <v>8.8083979199999991</v>
      </c>
    </row>
    <row r="1205" spans="2:9">
      <c r="B1205" s="545">
        <v>4</v>
      </c>
      <c r="C1205" s="545" t="str">
        <f>VLOOKUP(D1205,기본!$B$3:$C$90,2,0)</f>
        <v>AV JDM</v>
      </c>
      <c r="D1205" t="s">
        <v>2176</v>
      </c>
      <c r="E1205" t="s">
        <v>2418</v>
      </c>
      <c r="F1205" t="s">
        <v>2419</v>
      </c>
      <c r="G1205" t="e">
        <f>VLOOKUP(E1205,기본!$F$3:$G$320,2,0)</f>
        <v>#N/A</v>
      </c>
      <c r="H1205" s="544">
        <v>300</v>
      </c>
      <c r="I1205">
        <v>2.5410974999999998</v>
      </c>
    </row>
    <row r="1206" spans="2:9">
      <c r="B1206" s="545">
        <v>4</v>
      </c>
      <c r="C1206" s="545" t="str">
        <f>VLOOKUP(D1206,기본!$B$3:$C$90,2,0)</f>
        <v>AV JDM</v>
      </c>
      <c r="D1206" t="s">
        <v>2176</v>
      </c>
      <c r="E1206" t="s">
        <v>2475</v>
      </c>
      <c r="F1206" t="s">
        <v>2476</v>
      </c>
      <c r="G1206" t="e">
        <f>VLOOKUP(E1206,기본!$F$3:$G$320,2,0)</f>
        <v>#N/A</v>
      </c>
      <c r="H1206" s="544">
        <v>520</v>
      </c>
      <c r="I1206">
        <v>3.9315462000000001</v>
      </c>
    </row>
    <row r="1207" spans="2:9">
      <c r="B1207" s="545">
        <v>4</v>
      </c>
      <c r="C1207" s="545" t="str">
        <f>VLOOKUP(D1207,기본!$B$3:$C$90,2,0)</f>
        <v>AV JDM</v>
      </c>
      <c r="D1207" t="s">
        <v>2176</v>
      </c>
      <c r="E1207" t="s">
        <v>2575</v>
      </c>
      <c r="F1207" t="s">
        <v>2476</v>
      </c>
      <c r="G1207" t="e">
        <f>VLOOKUP(E1207,기본!$F$3:$G$320,2,0)</f>
        <v>#N/A</v>
      </c>
      <c r="H1207" s="544">
        <v>640</v>
      </c>
      <c r="I1207">
        <v>4.8290927999999997</v>
      </c>
    </row>
    <row r="1208" spans="2:9">
      <c r="B1208" s="545">
        <v>4</v>
      </c>
      <c r="C1208" s="545" t="str">
        <f>VLOOKUP(D1208,기본!$B$3:$C$90,2,0)</f>
        <v>AV JDM</v>
      </c>
      <c r="D1208" t="s">
        <v>2176</v>
      </c>
      <c r="E1208" t="s">
        <v>224</v>
      </c>
      <c r="F1208" t="s">
        <v>224</v>
      </c>
      <c r="G1208" t="str">
        <f>VLOOKUP(E1208,기본!$F$3:$G$320,2,0)</f>
        <v>기타</v>
      </c>
      <c r="H1208" s="544">
        <v>0</v>
      </c>
      <c r="I1208">
        <v>1.68</v>
      </c>
    </row>
    <row r="1209" spans="2:9">
      <c r="B1209" s="545">
        <v>4</v>
      </c>
      <c r="C1209" s="545" t="str">
        <f>VLOOKUP(D1209,기본!$B$3:$C$90,2,0)</f>
        <v>MNT JDM</v>
      </c>
      <c r="D1209" t="s">
        <v>1800</v>
      </c>
      <c r="E1209" t="s">
        <v>676</v>
      </c>
      <c r="F1209" t="s">
        <v>2477</v>
      </c>
      <c r="G1209" t="str">
        <f>VLOOKUP(E1209,기본!$F$3:$G$320,2,0)</f>
        <v>MNT</v>
      </c>
      <c r="H1209" s="544">
        <v>4224</v>
      </c>
      <c r="I1209">
        <v>21.522107903999995</v>
      </c>
    </row>
    <row r="1210" spans="2:9">
      <c r="B1210" s="545">
        <v>4</v>
      </c>
      <c r="C1210" s="545" t="str">
        <f>VLOOKUP(D1210,기본!$B$3:$C$90,2,0)</f>
        <v>코웨이</v>
      </c>
      <c r="D1210" t="s">
        <v>2178</v>
      </c>
      <c r="E1210" t="s">
        <v>1897</v>
      </c>
      <c r="F1210" t="s">
        <v>1897</v>
      </c>
      <c r="G1210" t="e">
        <f>VLOOKUP(E1210,기본!$F$3:$G$320,2,0)</f>
        <v>#N/A</v>
      </c>
      <c r="H1210" s="544">
        <v>17280</v>
      </c>
      <c r="I1210">
        <v>274.70070432</v>
      </c>
    </row>
    <row r="1211" spans="2:9">
      <c r="B1211" s="545">
        <v>4</v>
      </c>
      <c r="C1211" s="545" t="str">
        <f>VLOOKUP(D1211,기본!$B$3:$C$90,2,0)</f>
        <v>MNT JDM</v>
      </c>
      <c r="D1211" t="s">
        <v>154</v>
      </c>
      <c r="E1211" t="s">
        <v>676</v>
      </c>
      <c r="F1211" t="s">
        <v>1801</v>
      </c>
      <c r="G1211" t="str">
        <f>VLOOKUP(E1211,기본!$F$3:$G$320,2,0)</f>
        <v>MNT</v>
      </c>
      <c r="H1211" s="544">
        <v>19008</v>
      </c>
      <c r="I1211">
        <v>90.939076799999995</v>
      </c>
    </row>
    <row r="1212" spans="2:9">
      <c r="B1212" s="545">
        <v>4</v>
      </c>
      <c r="C1212" s="545" t="str">
        <f>VLOOKUP(D1212,기본!$B$3:$C$90,2,0)</f>
        <v>MNT JDM</v>
      </c>
      <c r="D1212" t="s">
        <v>154</v>
      </c>
      <c r="E1212" t="s">
        <v>1110</v>
      </c>
      <c r="F1212" t="s">
        <v>1730</v>
      </c>
      <c r="G1212" t="str">
        <f>VLOOKUP(E1212,기본!$F$3:$G$320,2,0)</f>
        <v>MNT</v>
      </c>
      <c r="H1212" s="544">
        <v>21120</v>
      </c>
      <c r="I1212">
        <v>124.59955199999999</v>
      </c>
    </row>
    <row r="1213" spans="2:9">
      <c r="B1213" s="545">
        <v>4</v>
      </c>
      <c r="C1213" s="545" t="str">
        <f>VLOOKUP(D1213,기본!$B$3:$C$90,2,0)</f>
        <v>AV JDM</v>
      </c>
      <c r="D1213" t="s">
        <v>2329</v>
      </c>
      <c r="E1213" t="s">
        <v>1776</v>
      </c>
      <c r="F1213" t="s">
        <v>1287</v>
      </c>
      <c r="G1213" t="e">
        <f>VLOOKUP(E1213,기본!$F$3:$G$320,2,0)</f>
        <v>#N/A</v>
      </c>
      <c r="H1213" s="544">
        <v>6468</v>
      </c>
      <c r="I1213">
        <v>70.667217600000015</v>
      </c>
    </row>
    <row r="1214" spans="2:9">
      <c r="B1214" s="545">
        <v>4</v>
      </c>
      <c r="C1214" s="545" t="str">
        <f>VLOOKUP(D1214,기본!$B$3:$C$90,2,0)</f>
        <v>AV JDM</v>
      </c>
      <c r="D1214" t="s">
        <v>2329</v>
      </c>
      <c r="E1214" t="s">
        <v>1777</v>
      </c>
      <c r="F1214" t="s">
        <v>1283</v>
      </c>
      <c r="G1214" t="e">
        <f>VLOOKUP(E1214,기본!$F$3:$G$320,2,0)</f>
        <v>#N/A</v>
      </c>
      <c r="H1214" s="544">
        <v>20000</v>
      </c>
      <c r="I1214">
        <v>192.53311200000005</v>
      </c>
    </row>
    <row r="1215" spans="2:9">
      <c r="B1215" s="545">
        <v>4</v>
      </c>
      <c r="C1215" s="545" t="str">
        <f>VLOOKUP(D1215,기본!$B$3:$C$90,2,0)</f>
        <v>AV JDM</v>
      </c>
      <c r="D1215" t="s">
        <v>2329</v>
      </c>
      <c r="E1215" t="s">
        <v>2480</v>
      </c>
      <c r="F1215" t="s">
        <v>1284</v>
      </c>
      <c r="G1215" t="e">
        <f>VLOOKUP(E1215,기본!$F$3:$G$320,2,0)</f>
        <v>#N/A</v>
      </c>
      <c r="H1215" s="544">
        <v>480</v>
      </c>
      <c r="I1215">
        <v>5.2007718000000001</v>
      </c>
    </row>
    <row r="1216" spans="2:9">
      <c r="B1216" s="545">
        <v>4</v>
      </c>
      <c r="C1216" s="545" t="str">
        <f>VLOOKUP(D1216,기본!$B$3:$C$90,2,0)</f>
        <v>AV JDM</v>
      </c>
      <c r="D1216" t="s">
        <v>2329</v>
      </c>
      <c r="E1216" t="s">
        <v>2481</v>
      </c>
      <c r="F1216" t="s">
        <v>2481</v>
      </c>
      <c r="G1216" t="e">
        <f>VLOOKUP(E1216,기본!$F$3:$G$320,2,0)</f>
        <v>#N/A</v>
      </c>
      <c r="H1216" s="544">
        <v>192</v>
      </c>
      <c r="I1216">
        <v>1.5954071039999997</v>
      </c>
    </row>
    <row r="1217" spans="2:9">
      <c r="B1217" s="545">
        <v>4</v>
      </c>
      <c r="C1217" s="545" t="str">
        <f>VLOOKUP(D1217,기본!$B$3:$C$90,2,0)</f>
        <v>AV JDM</v>
      </c>
      <c r="D1217" t="s">
        <v>2329</v>
      </c>
      <c r="E1217" t="s">
        <v>2052</v>
      </c>
      <c r="F1217" t="s">
        <v>2052</v>
      </c>
      <c r="G1217" t="e">
        <f>VLOOKUP(E1217,기본!$F$3:$G$320,2,0)</f>
        <v>#N/A</v>
      </c>
      <c r="H1217" s="544">
        <v>7014</v>
      </c>
      <c r="I1217">
        <v>39.340570079999999</v>
      </c>
    </row>
    <row r="1218" spans="2:9">
      <c r="B1218" s="545">
        <v>4</v>
      </c>
      <c r="C1218" s="545" t="str">
        <f>VLOOKUP(D1218,기본!$B$3:$C$90,2,0)</f>
        <v>AV JDM</v>
      </c>
      <c r="D1218" t="s">
        <v>2329</v>
      </c>
      <c r="E1218" t="s">
        <v>973</v>
      </c>
      <c r="F1218" t="s">
        <v>973</v>
      </c>
      <c r="G1218" t="e">
        <f>VLOOKUP(E1218,기본!$F$3:$G$320,2,0)</f>
        <v>#N/A</v>
      </c>
      <c r="H1218" s="544">
        <v>3776</v>
      </c>
      <c r="I1218">
        <v>32.744648832000003</v>
      </c>
    </row>
    <row r="1219" spans="2:9">
      <c r="B1219" s="545">
        <v>4</v>
      </c>
      <c r="C1219" s="545" t="str">
        <f>VLOOKUP(D1219,기본!$B$3:$C$90,2,0)</f>
        <v>AV JDM</v>
      </c>
      <c r="D1219" t="s">
        <v>2329</v>
      </c>
      <c r="E1219" t="s">
        <v>2053</v>
      </c>
      <c r="F1219" t="s">
        <v>2053</v>
      </c>
      <c r="G1219" t="e">
        <f>VLOOKUP(E1219,기본!$F$3:$G$320,2,0)</f>
        <v>#N/A</v>
      </c>
      <c r="H1219" s="544">
        <v>3276</v>
      </c>
      <c r="I1219">
        <v>19.12521744</v>
      </c>
    </row>
    <row r="1220" spans="2:9">
      <c r="B1220" s="545">
        <v>4</v>
      </c>
      <c r="C1220" s="545" t="str">
        <f>VLOOKUP(D1220,기본!$B$3:$C$90,2,0)</f>
        <v>AV JDM</v>
      </c>
      <c r="D1220" t="s">
        <v>2329</v>
      </c>
      <c r="E1220" t="s">
        <v>2576</v>
      </c>
      <c r="F1220" t="s">
        <v>2576</v>
      </c>
      <c r="G1220" t="e">
        <f>VLOOKUP(E1220,기본!$F$3:$G$320,2,0)</f>
        <v>#N/A</v>
      </c>
      <c r="H1220" s="544">
        <v>220</v>
      </c>
      <c r="I1220">
        <v>1.4258112000000001</v>
      </c>
    </row>
    <row r="1221" spans="2:9">
      <c r="B1221" s="545">
        <v>4</v>
      </c>
      <c r="C1221" s="545" t="str">
        <f>VLOOKUP(D1221,기본!$B$3:$C$90,2,0)</f>
        <v>AV JDM</v>
      </c>
      <c r="D1221" t="s">
        <v>2329</v>
      </c>
      <c r="E1221" t="s">
        <v>2180</v>
      </c>
      <c r="F1221" t="s">
        <v>2180</v>
      </c>
      <c r="G1221" t="e">
        <f>VLOOKUP(E1221,기본!$F$3:$G$320,2,0)</f>
        <v>#N/A</v>
      </c>
      <c r="H1221" s="544">
        <v>504</v>
      </c>
      <c r="I1221">
        <v>3.2460674399999996</v>
      </c>
    </row>
    <row r="1222" spans="2:9">
      <c r="B1222" s="545">
        <v>4</v>
      </c>
      <c r="C1222" s="545" t="str">
        <f>VLOOKUP(D1222,기본!$B$3:$C$90,2,0)</f>
        <v>AV JDM</v>
      </c>
      <c r="D1222" t="s">
        <v>2329</v>
      </c>
      <c r="E1222" t="s">
        <v>2402</v>
      </c>
      <c r="F1222" t="s">
        <v>2402</v>
      </c>
      <c r="G1222" t="str">
        <f>VLOOKUP(E1222,기본!$F$3:$G$320,2,0)</f>
        <v>AV</v>
      </c>
      <c r="H1222" s="544">
        <v>2016</v>
      </c>
      <c r="I1222">
        <v>23.3080848</v>
      </c>
    </row>
    <row r="1223" spans="2:9">
      <c r="B1223" s="545">
        <v>4</v>
      </c>
      <c r="C1223" s="545" t="str">
        <f>VLOOKUP(D1223,기본!$B$3:$C$90,2,0)</f>
        <v>AV JDM</v>
      </c>
      <c r="D1223" t="s">
        <v>2329</v>
      </c>
      <c r="E1223" t="s">
        <v>2544</v>
      </c>
      <c r="F1223" t="s">
        <v>2544</v>
      </c>
      <c r="G1223" t="e">
        <f>VLOOKUP(E1223,기본!$F$3:$G$320,2,0)</f>
        <v>#N/A</v>
      </c>
      <c r="H1223" s="544">
        <v>504</v>
      </c>
      <c r="I1223">
        <v>6.0632283600000001</v>
      </c>
    </row>
    <row r="1224" spans="2:9">
      <c r="B1224" s="545">
        <v>4</v>
      </c>
      <c r="C1224" s="545" t="str">
        <f>VLOOKUP(D1224,기본!$B$3:$C$90,2,0)</f>
        <v>AV JDM</v>
      </c>
      <c r="D1224" t="s">
        <v>2329</v>
      </c>
      <c r="E1224" t="s">
        <v>2026</v>
      </c>
      <c r="F1224" t="s">
        <v>2026</v>
      </c>
      <c r="G1224" t="str">
        <f>VLOOKUP(E1224,기본!$F$3:$G$320,2,0)</f>
        <v>AV</v>
      </c>
      <c r="H1224" s="544">
        <v>1040</v>
      </c>
      <c r="I1224">
        <v>10.572400799999999</v>
      </c>
    </row>
    <row r="1225" spans="2:9">
      <c r="B1225" s="545">
        <v>4</v>
      </c>
      <c r="C1225" s="545" t="str">
        <f>VLOOKUP(D1225,기본!$B$3:$C$90,2,0)</f>
        <v>AV JDM</v>
      </c>
      <c r="D1225" t="s">
        <v>2329</v>
      </c>
      <c r="E1225" t="s">
        <v>1805</v>
      </c>
      <c r="F1225" t="s">
        <v>1805</v>
      </c>
      <c r="G1225" t="e">
        <f>VLOOKUP(E1225,기본!$F$3:$G$320,2,0)</f>
        <v>#N/A</v>
      </c>
      <c r="H1225" s="544">
        <v>12200</v>
      </c>
      <c r="I1225">
        <v>90.012799999999999</v>
      </c>
    </row>
    <row r="1226" spans="2:9">
      <c r="B1226" s="545">
        <v>4</v>
      </c>
      <c r="C1226" s="545" t="str">
        <f>VLOOKUP(D1226,기본!$B$3:$C$90,2,0)</f>
        <v>AV JDM</v>
      </c>
      <c r="D1226" t="s">
        <v>2329</v>
      </c>
      <c r="E1226" t="s">
        <v>1987</v>
      </c>
      <c r="F1226" t="s">
        <v>1987</v>
      </c>
      <c r="G1226" t="e">
        <f>VLOOKUP(E1226,기본!$F$3:$G$320,2,0)</f>
        <v>#N/A</v>
      </c>
      <c r="H1226" s="544">
        <v>2160</v>
      </c>
      <c r="I1226">
        <v>16.797774</v>
      </c>
    </row>
    <row r="1227" spans="2:9">
      <c r="B1227" s="545">
        <v>4</v>
      </c>
      <c r="C1227" s="545" t="str">
        <f>VLOOKUP(D1227,기본!$B$3:$C$90,2,0)</f>
        <v>AV JDM</v>
      </c>
      <c r="D1227" t="s">
        <v>2329</v>
      </c>
      <c r="E1227" t="s">
        <v>2027</v>
      </c>
      <c r="F1227" t="s">
        <v>2027</v>
      </c>
      <c r="G1227" t="str">
        <f>VLOOKUP(E1227,기본!$F$3:$G$320,2,0)</f>
        <v>AV</v>
      </c>
      <c r="H1227" s="544">
        <v>1593</v>
      </c>
      <c r="I1227">
        <v>19.761461298</v>
      </c>
    </row>
    <row r="1228" spans="2:9">
      <c r="B1228" s="545">
        <v>4</v>
      </c>
      <c r="C1228" s="545" t="str">
        <f>VLOOKUP(D1228,기본!$B$3:$C$90,2,0)</f>
        <v>AV JDM</v>
      </c>
      <c r="D1228" t="s">
        <v>2329</v>
      </c>
      <c r="E1228" t="s">
        <v>2403</v>
      </c>
      <c r="F1228" t="s">
        <v>2403</v>
      </c>
      <c r="G1228" t="e">
        <f>VLOOKUP(E1228,기본!$F$3:$G$320,2,0)</f>
        <v>#N/A</v>
      </c>
      <c r="H1228" s="544">
        <v>3744</v>
      </c>
      <c r="I1228">
        <v>70.278924719999992</v>
      </c>
    </row>
    <row r="1229" spans="2:9">
      <c r="B1229" s="545">
        <v>4</v>
      </c>
      <c r="C1229" s="545" t="str">
        <f>VLOOKUP(D1229,기본!$B$3:$C$90,2,0)</f>
        <v>AV JDM</v>
      </c>
      <c r="D1229" t="s">
        <v>1809</v>
      </c>
      <c r="E1229" t="s">
        <v>1597</v>
      </c>
      <c r="F1229" t="s">
        <v>1597</v>
      </c>
      <c r="G1229" t="str">
        <f>VLOOKUP(E1229,기본!$F$3:$G$320,2,0)</f>
        <v>MNT</v>
      </c>
      <c r="H1229" s="544">
        <v>15176</v>
      </c>
      <c r="I1229">
        <v>133.66536848000001</v>
      </c>
    </row>
    <row r="1230" spans="2:9">
      <c r="B1230" s="545">
        <v>4</v>
      </c>
      <c r="C1230" s="545" t="str">
        <f>VLOOKUP(D1230,기본!$B$3:$C$90,2,0)</f>
        <v>MNT JDM</v>
      </c>
      <c r="D1230" t="s">
        <v>1810</v>
      </c>
      <c r="E1230" t="s">
        <v>2252</v>
      </c>
      <c r="F1230" t="s">
        <v>2264</v>
      </c>
      <c r="G1230" t="str">
        <f>VLOOKUP(E1230,기본!$F$3:$G$320,2,0)</f>
        <v>MNT</v>
      </c>
      <c r="H1230" s="544">
        <v>30</v>
      </c>
      <c r="I1230">
        <v>0.25557210000000002</v>
      </c>
    </row>
    <row r="1231" spans="2:9">
      <c r="B1231" s="545">
        <v>4</v>
      </c>
      <c r="C1231" s="545" t="str">
        <f>VLOOKUP(D1231,기본!$B$3:$C$90,2,0)</f>
        <v>MNT JDM</v>
      </c>
      <c r="D1231" t="s">
        <v>1810</v>
      </c>
      <c r="E1231" t="s">
        <v>1110</v>
      </c>
      <c r="F1231" t="s">
        <v>1965</v>
      </c>
      <c r="G1231" t="str">
        <f>VLOOKUP(E1231,기본!$F$3:$G$320,2,0)</f>
        <v>MNT</v>
      </c>
      <c r="H1231" s="544">
        <v>6336</v>
      </c>
      <c r="I1231">
        <v>37.275955199999999</v>
      </c>
    </row>
    <row r="1232" spans="2:9">
      <c r="B1232" s="545">
        <v>4</v>
      </c>
      <c r="C1232" s="545" t="str">
        <f>VLOOKUP(D1232,기본!$B$3:$C$90,2,0)</f>
        <v>MNT JDM</v>
      </c>
      <c r="D1232" t="s">
        <v>1810</v>
      </c>
      <c r="E1232" t="s">
        <v>1111</v>
      </c>
      <c r="F1232" t="s">
        <v>2577</v>
      </c>
      <c r="G1232" t="str">
        <f>VLOOKUP(E1232,기본!$F$3:$G$320,2,0)</f>
        <v>MNT</v>
      </c>
      <c r="H1232" s="544">
        <v>1056</v>
      </c>
      <c r="I1232">
        <v>7.3930644479999987</v>
      </c>
    </row>
    <row r="1233" spans="2:9">
      <c r="B1233" s="545">
        <v>4</v>
      </c>
      <c r="C1233" s="545" t="str">
        <f>VLOOKUP(D1233,기본!$B$3:$C$90,2,0)</f>
        <v>한화비전</v>
      </c>
      <c r="D1233" t="s">
        <v>1811</v>
      </c>
      <c r="E1233" t="s">
        <v>1966</v>
      </c>
      <c r="F1233" t="s">
        <v>1967</v>
      </c>
      <c r="G1233" t="e">
        <f>VLOOKUP(E1233,기본!$F$3:$G$320,2,0)</f>
        <v>#N/A</v>
      </c>
      <c r="H1233" s="544">
        <v>1120</v>
      </c>
      <c r="I1233">
        <v>4.4020659200000001</v>
      </c>
    </row>
    <row r="1234" spans="2:9">
      <c r="B1234" s="545">
        <v>4</v>
      </c>
      <c r="C1234" s="545" t="str">
        <f>VLOOKUP(D1234,기본!$B$3:$C$90,2,0)</f>
        <v>한화비전</v>
      </c>
      <c r="D1234" t="s">
        <v>1811</v>
      </c>
      <c r="E1234" t="s">
        <v>1812</v>
      </c>
      <c r="F1234" t="s">
        <v>1813</v>
      </c>
      <c r="G1234" t="e">
        <f>VLOOKUP(E1234,기본!$F$3:$G$320,2,0)</f>
        <v>#N/A</v>
      </c>
      <c r="H1234" s="544">
        <v>2564</v>
      </c>
      <c r="I1234">
        <v>98.123869759999977</v>
      </c>
    </row>
    <row r="1235" spans="2:9">
      <c r="B1235" s="545">
        <v>4</v>
      </c>
      <c r="C1235" s="545" t="str">
        <f>VLOOKUP(D1235,기본!$B$3:$C$90,2,0)</f>
        <v>한화비전</v>
      </c>
      <c r="D1235" t="s">
        <v>1811</v>
      </c>
      <c r="E1235" t="s">
        <v>2485</v>
      </c>
      <c r="F1235" t="s">
        <v>2486</v>
      </c>
      <c r="G1235" t="e">
        <f>VLOOKUP(E1235,기본!$F$3:$G$320,2,0)</f>
        <v>#N/A</v>
      </c>
      <c r="H1235" s="544">
        <v>792</v>
      </c>
      <c r="I1235">
        <v>16.425763200000002</v>
      </c>
    </row>
    <row r="1236" spans="2:9">
      <c r="B1236" s="545">
        <v>4</v>
      </c>
      <c r="C1236" s="545" t="str">
        <f>VLOOKUP(D1236,기본!$B$3:$C$90,2,0)</f>
        <v>한화비전</v>
      </c>
      <c r="D1236" t="s">
        <v>1811</v>
      </c>
      <c r="E1236" t="s">
        <v>2487</v>
      </c>
      <c r="F1236" t="s">
        <v>2488</v>
      </c>
      <c r="G1236" t="e">
        <f>VLOOKUP(E1236,기본!$F$3:$G$320,2,0)</f>
        <v>#N/A</v>
      </c>
      <c r="H1236" s="544">
        <v>1944</v>
      </c>
      <c r="I1236">
        <v>72.716000400000013</v>
      </c>
    </row>
    <row r="1237" spans="2:9">
      <c r="B1237" s="545">
        <v>4</v>
      </c>
      <c r="C1237" s="545" t="str">
        <f>VLOOKUP(D1237,기본!$B$3:$C$90,2,0)</f>
        <v>코웨이</v>
      </c>
      <c r="D1237" t="s">
        <v>1815</v>
      </c>
      <c r="E1237" t="s">
        <v>1819</v>
      </c>
      <c r="F1237" t="s">
        <v>1819</v>
      </c>
      <c r="G1237" t="e">
        <f>VLOOKUP(E1237,기본!$F$3:$G$320,2,0)</f>
        <v>#N/A</v>
      </c>
      <c r="H1237" s="544">
        <v>3210</v>
      </c>
      <c r="I1237">
        <v>21.018399479999999</v>
      </c>
    </row>
    <row r="1238" spans="2:9">
      <c r="B1238" s="545">
        <v>4</v>
      </c>
      <c r="C1238" s="545" t="str">
        <f>VLOOKUP(D1238,기본!$B$3:$C$90,2,0)</f>
        <v>삼성 VD</v>
      </c>
      <c r="D1238" t="s">
        <v>1824</v>
      </c>
      <c r="E1238" t="s">
        <v>1119</v>
      </c>
      <c r="F1238" t="s">
        <v>1798</v>
      </c>
      <c r="G1238" t="str">
        <f>VLOOKUP(E1238,기본!$F$3:$G$320,2,0)</f>
        <v>TV</v>
      </c>
      <c r="H1238" s="544">
        <v>60</v>
      </c>
      <c r="I1238">
        <v>1.9582372799999999</v>
      </c>
    </row>
    <row r="1239" spans="2:9">
      <c r="B1239" s="545">
        <v>4</v>
      </c>
      <c r="C1239" s="545" t="str">
        <f>VLOOKUP(D1239,기본!$B$3:$C$90,2,0)</f>
        <v>삼성 VD</v>
      </c>
      <c r="D1239" t="s">
        <v>1824</v>
      </c>
      <c r="E1239" t="s">
        <v>1118</v>
      </c>
      <c r="F1239" t="s">
        <v>1779</v>
      </c>
      <c r="G1239" t="str">
        <f>VLOOKUP(E1239,기본!$F$3:$G$320,2,0)</f>
        <v>TV</v>
      </c>
      <c r="H1239" s="544">
        <v>126</v>
      </c>
      <c r="I1239">
        <v>3.6604391040000004</v>
      </c>
    </row>
    <row r="1240" spans="2:9">
      <c r="B1240" s="545">
        <v>4</v>
      </c>
      <c r="C1240" s="545" t="str">
        <f>VLOOKUP(D1240,기본!$B$3:$C$90,2,0)</f>
        <v>삼성 VD</v>
      </c>
      <c r="D1240" t="s">
        <v>1824</v>
      </c>
      <c r="E1240" t="s">
        <v>1792</v>
      </c>
      <c r="F1240" t="s">
        <v>1793</v>
      </c>
      <c r="G1240" t="str">
        <f>VLOOKUP(E1240,기본!$F$3:$G$320,2,0)</f>
        <v>TV</v>
      </c>
      <c r="H1240" s="544">
        <v>244</v>
      </c>
      <c r="I1240">
        <v>3.8163024960000005</v>
      </c>
    </row>
    <row r="1241" spans="2:9">
      <c r="B1241" s="545">
        <v>4</v>
      </c>
      <c r="C1241" s="545" t="str">
        <f>VLOOKUP(D1241,기본!$B$3:$C$90,2,0)</f>
        <v>삼성 VD</v>
      </c>
      <c r="D1241" t="s">
        <v>1824</v>
      </c>
      <c r="E1241" t="s">
        <v>2414</v>
      </c>
      <c r="F1241" t="s">
        <v>2415</v>
      </c>
      <c r="G1241" t="str">
        <f>VLOOKUP(E1241,기본!$F$3:$G$320,2,0)</f>
        <v>TV</v>
      </c>
      <c r="H1241" s="544">
        <v>1386</v>
      </c>
      <c r="I1241">
        <v>18.577486199999999</v>
      </c>
    </row>
    <row r="1242" spans="2:9">
      <c r="B1242" s="545">
        <v>4</v>
      </c>
      <c r="C1242" s="545" t="str">
        <f>VLOOKUP(D1242,기본!$B$3:$C$90,2,0)</f>
        <v>삼성 VD</v>
      </c>
      <c r="D1242" t="s">
        <v>1824</v>
      </c>
      <c r="E1242" t="s">
        <v>2441</v>
      </c>
      <c r="F1242" t="s">
        <v>2438</v>
      </c>
      <c r="G1242" t="str">
        <f>VLOOKUP(E1242,기본!$F$3:$G$320,2,0)</f>
        <v>TV</v>
      </c>
      <c r="H1242" s="544">
        <v>672</v>
      </c>
      <c r="I1242">
        <v>9.3156403199999982</v>
      </c>
    </row>
    <row r="1243" spans="2:9">
      <c r="B1243" s="545">
        <v>4</v>
      </c>
      <c r="C1243" s="545" t="str">
        <f>VLOOKUP(D1243,기본!$B$3:$C$90,2,0)</f>
        <v>삼성 VD</v>
      </c>
      <c r="D1243" t="s">
        <v>1824</v>
      </c>
      <c r="E1243" t="s">
        <v>2443</v>
      </c>
      <c r="F1243" t="s">
        <v>2440</v>
      </c>
      <c r="G1243" t="str">
        <f>VLOOKUP(E1243,기본!$F$3:$G$320,2,0)</f>
        <v>TV</v>
      </c>
      <c r="H1243" s="544">
        <v>168</v>
      </c>
      <c r="I1243">
        <v>3.8770323899999992</v>
      </c>
    </row>
    <row r="1244" spans="2:9">
      <c r="B1244" s="545">
        <v>4</v>
      </c>
      <c r="C1244" s="545" t="str">
        <f>VLOOKUP(D1244,기본!$B$3:$C$90,2,0)</f>
        <v>삼성 VD</v>
      </c>
      <c r="D1244" t="s">
        <v>1833</v>
      </c>
      <c r="E1244" t="s">
        <v>1968</v>
      </c>
      <c r="F1244" t="s">
        <v>1969</v>
      </c>
      <c r="G1244" t="str">
        <f>VLOOKUP(E1244,기본!$F$3:$G$320,2,0)</f>
        <v>MNT</v>
      </c>
      <c r="H1244" s="544">
        <v>3456</v>
      </c>
      <c r="I1244">
        <v>71.26888766399999</v>
      </c>
    </row>
    <row r="1245" spans="2:9">
      <c r="B1245" s="545">
        <v>4</v>
      </c>
      <c r="C1245" s="545" t="str">
        <f>VLOOKUP(D1245,기본!$B$3:$C$90,2,0)</f>
        <v>삼성 VD</v>
      </c>
      <c r="D1245" t="s">
        <v>1833</v>
      </c>
      <c r="E1245" t="s">
        <v>1970</v>
      </c>
      <c r="F1245" t="s">
        <v>835</v>
      </c>
      <c r="G1245" t="str">
        <f>VLOOKUP(E1245,기본!$F$3:$G$320,2,0)</f>
        <v>MNT</v>
      </c>
      <c r="H1245" s="544">
        <v>72</v>
      </c>
      <c r="I1245">
        <v>1.5282948960000002</v>
      </c>
    </row>
    <row r="1246" spans="2:9">
      <c r="B1246" s="545">
        <v>4</v>
      </c>
      <c r="C1246" s="545" t="str">
        <f>VLOOKUP(D1246,기본!$B$3:$C$90,2,0)</f>
        <v>삼성 VD</v>
      </c>
      <c r="D1246" t="s">
        <v>1833</v>
      </c>
      <c r="E1246" t="s">
        <v>1781</v>
      </c>
      <c r="F1246" t="s">
        <v>1782</v>
      </c>
      <c r="G1246" t="str">
        <f>VLOOKUP(E1246,기본!$F$3:$G$320,2,0)</f>
        <v>TV</v>
      </c>
      <c r="H1246" s="544">
        <v>1</v>
      </c>
      <c r="I1246">
        <v>1.3651132E-2</v>
      </c>
    </row>
    <row r="1247" spans="2:9">
      <c r="B1247" s="545">
        <v>4</v>
      </c>
      <c r="C1247" s="545" t="str">
        <f>VLOOKUP(D1247,기본!$B$3:$C$90,2,0)</f>
        <v>삼성 VD</v>
      </c>
      <c r="D1247" t="s">
        <v>1833</v>
      </c>
      <c r="E1247" t="s">
        <v>1792</v>
      </c>
      <c r="F1247" t="s">
        <v>1793</v>
      </c>
      <c r="G1247" t="str">
        <f>VLOOKUP(E1247,기본!$F$3:$G$320,2,0)</f>
        <v>TV</v>
      </c>
      <c r="H1247" s="544">
        <v>23</v>
      </c>
      <c r="I1247">
        <v>0.36027117200000003</v>
      </c>
    </row>
    <row r="1248" spans="2:9">
      <c r="B1248" s="545">
        <v>4</v>
      </c>
      <c r="C1248" s="545" t="str">
        <f>VLOOKUP(D1248,기본!$B$3:$C$90,2,0)</f>
        <v>삼성 VD</v>
      </c>
      <c r="D1248" t="s">
        <v>1833</v>
      </c>
      <c r="E1248" t="s">
        <v>1785</v>
      </c>
      <c r="F1248" t="s">
        <v>1786</v>
      </c>
      <c r="G1248" t="str">
        <f>VLOOKUP(E1248,기본!$F$3:$G$320,2,0)</f>
        <v>MNT</v>
      </c>
      <c r="H1248" s="544">
        <v>48</v>
      </c>
      <c r="I1248">
        <v>0.89912203199999996</v>
      </c>
    </row>
    <row r="1249" spans="2:9">
      <c r="B1249" s="545">
        <v>4</v>
      </c>
      <c r="C1249" s="545" t="str">
        <f>VLOOKUP(D1249,기본!$B$3:$C$90,2,0)</f>
        <v>삼성 VD</v>
      </c>
      <c r="D1249" t="s">
        <v>1833</v>
      </c>
      <c r="E1249" t="s">
        <v>1260</v>
      </c>
      <c r="F1249" t="s">
        <v>1259</v>
      </c>
      <c r="G1249" t="str">
        <f>VLOOKUP(E1249,기본!$F$3:$G$320,2,0)</f>
        <v>MNT</v>
      </c>
      <c r="H1249" s="544">
        <v>360</v>
      </c>
      <c r="I1249">
        <v>9.0412963200000007</v>
      </c>
    </row>
    <row r="1250" spans="2:9">
      <c r="B1250" s="545">
        <v>4</v>
      </c>
      <c r="C1250" s="545" t="str">
        <f>VLOOKUP(D1250,기본!$B$3:$C$90,2,0)</f>
        <v>삼성 VD</v>
      </c>
      <c r="D1250" t="s">
        <v>1833</v>
      </c>
      <c r="E1250" t="s">
        <v>1787</v>
      </c>
      <c r="F1250" t="s">
        <v>1788</v>
      </c>
      <c r="G1250" t="str">
        <f>VLOOKUP(E1250,기본!$F$3:$G$320,2,0)</f>
        <v>MNT</v>
      </c>
      <c r="H1250" s="544">
        <v>3852</v>
      </c>
      <c r="I1250">
        <v>153.058888008</v>
      </c>
    </row>
    <row r="1251" spans="2:9">
      <c r="B1251" s="545">
        <v>4</v>
      </c>
      <c r="C1251" s="545" t="str">
        <f>VLOOKUP(D1251,기본!$B$3:$C$90,2,0)</f>
        <v>삼성 VD</v>
      </c>
      <c r="D1251" t="s">
        <v>1833</v>
      </c>
      <c r="E1251" t="s">
        <v>1837</v>
      </c>
      <c r="F1251" t="s">
        <v>1838</v>
      </c>
      <c r="G1251" t="str">
        <f>VLOOKUP(E1251,기본!$F$3:$G$320,2,0)</f>
        <v>MNT</v>
      </c>
      <c r="H1251" s="544">
        <v>1944</v>
      </c>
      <c r="I1251">
        <v>33.619598207999999</v>
      </c>
    </row>
    <row r="1252" spans="2:9">
      <c r="B1252" s="545">
        <v>4</v>
      </c>
      <c r="C1252" s="545" t="str">
        <f>VLOOKUP(D1252,기본!$B$3:$C$90,2,0)</f>
        <v>삼성 VD</v>
      </c>
      <c r="D1252" t="s">
        <v>1833</v>
      </c>
      <c r="E1252" t="s">
        <v>2051</v>
      </c>
      <c r="F1252" t="s">
        <v>2020</v>
      </c>
      <c r="G1252" t="str">
        <f>VLOOKUP(E1252,기본!$F$3:$G$320,2,0)</f>
        <v>MNT</v>
      </c>
      <c r="H1252" s="544">
        <v>9963</v>
      </c>
      <c r="I1252">
        <v>53.136126197999992</v>
      </c>
    </row>
    <row r="1253" spans="2:9">
      <c r="B1253" s="545">
        <v>4</v>
      </c>
      <c r="C1253" s="545" t="str">
        <f>VLOOKUP(D1253,기본!$B$3:$C$90,2,0)</f>
        <v>삼성 VD</v>
      </c>
      <c r="D1253" t="s">
        <v>1833</v>
      </c>
      <c r="E1253" t="s">
        <v>2184</v>
      </c>
      <c r="F1253" t="s">
        <v>1749</v>
      </c>
      <c r="G1253" t="str">
        <f>VLOOKUP(E1253,기본!$F$3:$G$320,2,0)</f>
        <v>MNT</v>
      </c>
      <c r="H1253" s="544">
        <v>2142</v>
      </c>
      <c r="I1253">
        <v>13.149333035999998</v>
      </c>
    </row>
    <row r="1254" spans="2:9">
      <c r="B1254" s="545">
        <v>4</v>
      </c>
      <c r="C1254" s="545" t="str">
        <f>VLOOKUP(D1254,기본!$B$3:$C$90,2,0)</f>
        <v>삼성 VD</v>
      </c>
      <c r="D1254" t="s">
        <v>1833</v>
      </c>
      <c r="E1254" t="s">
        <v>2054</v>
      </c>
      <c r="F1254" t="s">
        <v>1750</v>
      </c>
      <c r="G1254" t="str">
        <f>VLOOKUP(E1254,기본!$F$3:$G$320,2,0)</f>
        <v>MNT</v>
      </c>
      <c r="H1254" s="544">
        <v>9202</v>
      </c>
      <c r="I1254">
        <v>65.999482052000005</v>
      </c>
    </row>
    <row r="1255" spans="2:9">
      <c r="B1255" s="545">
        <v>4</v>
      </c>
      <c r="C1255" s="545" t="str">
        <f>VLOOKUP(D1255,기본!$B$3:$C$90,2,0)</f>
        <v>삼성 VD</v>
      </c>
      <c r="D1255" t="s">
        <v>1833</v>
      </c>
      <c r="E1255" t="s">
        <v>2110</v>
      </c>
      <c r="F1255" t="s">
        <v>1748</v>
      </c>
      <c r="G1255" t="str">
        <f>VLOOKUP(E1255,기본!$F$3:$G$320,2,0)</f>
        <v>MNT</v>
      </c>
      <c r="H1255" s="544">
        <v>122</v>
      </c>
      <c r="I1255">
        <v>1.425794454</v>
      </c>
    </row>
    <row r="1256" spans="2:9">
      <c r="B1256" s="545">
        <v>4</v>
      </c>
      <c r="C1256" s="545" t="str">
        <f>VLOOKUP(D1256,기본!$B$3:$C$90,2,0)</f>
        <v>삼성 VD</v>
      </c>
      <c r="D1256" t="s">
        <v>1833</v>
      </c>
      <c r="E1256" t="s">
        <v>2112</v>
      </c>
      <c r="F1256" t="s">
        <v>1748</v>
      </c>
      <c r="G1256" t="str">
        <f>VLOOKUP(E1256,기본!$F$3:$G$320,2,0)</f>
        <v>MNT</v>
      </c>
      <c r="H1256" s="544">
        <v>32</v>
      </c>
      <c r="I1256">
        <v>0.36671500799999995</v>
      </c>
    </row>
    <row r="1257" spans="2:9">
      <c r="B1257" s="545">
        <v>4</v>
      </c>
      <c r="C1257" s="545" t="str">
        <f>VLOOKUP(D1257,기본!$B$3:$C$90,2,0)</f>
        <v>삼성 VD</v>
      </c>
      <c r="D1257" t="s">
        <v>1833</v>
      </c>
      <c r="E1257" t="s">
        <v>2120</v>
      </c>
      <c r="F1257" t="s">
        <v>1748</v>
      </c>
      <c r="G1257" t="str">
        <f>VLOOKUP(E1257,기본!$F$3:$G$320,2,0)</f>
        <v>MNT</v>
      </c>
      <c r="H1257" s="544">
        <v>400</v>
      </c>
      <c r="I1257">
        <v>4.6372391999999989</v>
      </c>
    </row>
    <row r="1258" spans="2:9">
      <c r="B1258" s="545">
        <v>4</v>
      </c>
      <c r="C1258" s="545" t="str">
        <f>VLOOKUP(D1258,기본!$B$3:$C$90,2,0)</f>
        <v>삼성 VD</v>
      </c>
      <c r="D1258" t="s">
        <v>1833</v>
      </c>
      <c r="E1258" t="s">
        <v>2070</v>
      </c>
      <c r="F1258" t="s">
        <v>1746</v>
      </c>
      <c r="G1258" t="str">
        <f>VLOOKUP(E1258,기본!$F$3:$G$320,2,0)</f>
        <v>MNT</v>
      </c>
      <c r="H1258" s="544">
        <v>92</v>
      </c>
      <c r="I1258">
        <v>0.64874087599999986</v>
      </c>
    </row>
    <row r="1259" spans="2:9">
      <c r="B1259" s="545">
        <v>4</v>
      </c>
      <c r="C1259" s="545" t="str">
        <f>VLOOKUP(D1259,기본!$B$3:$C$90,2,0)</f>
        <v>삼성 VD</v>
      </c>
      <c r="D1259" t="s">
        <v>1833</v>
      </c>
      <c r="E1259" t="s">
        <v>2074</v>
      </c>
      <c r="F1259" t="s">
        <v>1746</v>
      </c>
      <c r="G1259" t="str">
        <f>VLOOKUP(E1259,기본!$F$3:$G$320,2,0)</f>
        <v>MNT</v>
      </c>
      <c r="H1259" s="544">
        <v>33</v>
      </c>
      <c r="I1259">
        <v>0.2329668</v>
      </c>
    </row>
    <row r="1260" spans="2:9">
      <c r="B1260" s="545">
        <v>4</v>
      </c>
      <c r="C1260" s="545" t="str">
        <f>VLOOKUP(D1260,기본!$B$3:$C$90,2,0)</f>
        <v>삼성 VD</v>
      </c>
      <c r="D1260" t="s">
        <v>1833</v>
      </c>
      <c r="E1260" t="s">
        <v>2076</v>
      </c>
      <c r="F1260" t="s">
        <v>1746</v>
      </c>
      <c r="G1260" t="str">
        <f>VLOOKUP(E1260,기본!$F$3:$G$320,2,0)</f>
        <v>MNT</v>
      </c>
      <c r="H1260" s="544">
        <v>179</v>
      </c>
      <c r="I1260">
        <v>1.2682800359999997</v>
      </c>
    </row>
    <row r="1261" spans="2:9">
      <c r="B1261" s="545">
        <v>4</v>
      </c>
      <c r="C1261" s="545" t="str">
        <f>VLOOKUP(D1261,기본!$B$3:$C$90,2,0)</f>
        <v>삼성 VD</v>
      </c>
      <c r="D1261" t="s">
        <v>1833</v>
      </c>
      <c r="E1261" t="s">
        <v>2078</v>
      </c>
      <c r="F1261" t="s">
        <v>1746</v>
      </c>
      <c r="G1261" t="str">
        <f>VLOOKUP(E1261,기본!$F$3:$G$320,2,0)</f>
        <v>MNT</v>
      </c>
      <c r="H1261" s="544">
        <v>198</v>
      </c>
      <c r="I1261">
        <v>1.4003508419999997</v>
      </c>
    </row>
    <row r="1262" spans="2:9">
      <c r="B1262" s="545">
        <v>4</v>
      </c>
      <c r="C1262" s="545" t="str">
        <f>VLOOKUP(D1262,기본!$B$3:$C$90,2,0)</f>
        <v>삼성 VD</v>
      </c>
      <c r="D1262" t="s">
        <v>1833</v>
      </c>
      <c r="E1262" t="s">
        <v>2082</v>
      </c>
      <c r="F1262" t="s">
        <v>1746</v>
      </c>
      <c r="G1262" t="str">
        <f>VLOOKUP(E1262,기본!$F$3:$G$320,2,0)</f>
        <v>MNT</v>
      </c>
      <c r="H1262" s="544">
        <v>36</v>
      </c>
      <c r="I1262">
        <v>0.25424863199999997</v>
      </c>
    </row>
    <row r="1263" spans="2:9">
      <c r="B1263" s="545">
        <v>4</v>
      </c>
      <c r="C1263" s="545" t="str">
        <f>VLOOKUP(D1263,기본!$B$3:$C$90,2,0)</f>
        <v>삼성 VD</v>
      </c>
      <c r="D1263" t="s">
        <v>1833</v>
      </c>
      <c r="E1263" t="s">
        <v>2084</v>
      </c>
      <c r="F1263" t="s">
        <v>1746</v>
      </c>
      <c r="G1263" t="str">
        <f>VLOOKUP(E1263,기본!$F$3:$G$320,2,0)</f>
        <v>MNT</v>
      </c>
      <c r="H1263" s="544">
        <v>289</v>
      </c>
      <c r="I1263">
        <v>2.0383283250000002</v>
      </c>
    </row>
    <row r="1264" spans="2:9">
      <c r="B1264" s="545">
        <v>4</v>
      </c>
      <c r="C1264" s="545" t="str">
        <f>VLOOKUP(D1264,기본!$B$3:$C$90,2,0)</f>
        <v>삼성 VD</v>
      </c>
      <c r="D1264" t="s">
        <v>1833</v>
      </c>
      <c r="E1264" t="s">
        <v>2088</v>
      </c>
      <c r="F1264" t="s">
        <v>1747</v>
      </c>
      <c r="G1264" t="str">
        <f>VLOOKUP(E1264,기본!$F$3:$G$320,2,0)</f>
        <v>MNT</v>
      </c>
      <c r="H1264" s="544">
        <v>123</v>
      </c>
      <c r="I1264">
        <v>0.870107148</v>
      </c>
    </row>
    <row r="1265" spans="2:9">
      <c r="B1265" s="545">
        <v>4</v>
      </c>
      <c r="C1265" s="545" t="str">
        <f>VLOOKUP(D1265,기본!$B$3:$C$90,2,0)</f>
        <v>삼성 VD</v>
      </c>
      <c r="D1265" t="s">
        <v>1833</v>
      </c>
      <c r="E1265" t="s">
        <v>2096</v>
      </c>
      <c r="F1265" t="s">
        <v>1747</v>
      </c>
      <c r="G1265" t="str">
        <f>VLOOKUP(E1265,기본!$F$3:$G$320,2,0)</f>
        <v>MNT</v>
      </c>
      <c r="H1265" s="544">
        <v>13</v>
      </c>
      <c r="I1265">
        <v>9.1359332999999987E-2</v>
      </c>
    </row>
    <row r="1266" spans="2:9">
      <c r="B1266" s="545">
        <v>4</v>
      </c>
      <c r="C1266" s="545" t="str">
        <f>VLOOKUP(D1266,기본!$B$3:$C$90,2,0)</f>
        <v>삼성 VD</v>
      </c>
      <c r="D1266" t="s">
        <v>1833</v>
      </c>
      <c r="E1266" t="s">
        <v>2098</v>
      </c>
      <c r="F1266" t="s">
        <v>1747</v>
      </c>
      <c r="G1266" t="str">
        <f>VLOOKUP(E1266,기본!$F$3:$G$320,2,0)</f>
        <v>MNT</v>
      </c>
      <c r="H1266" s="544">
        <v>35</v>
      </c>
      <c r="I1266">
        <v>0.24683795999999994</v>
      </c>
    </row>
    <row r="1267" spans="2:9">
      <c r="B1267" s="545">
        <v>4</v>
      </c>
      <c r="C1267" s="545" t="str">
        <f>VLOOKUP(D1267,기본!$B$3:$C$90,2,0)</f>
        <v>삼성 VD</v>
      </c>
      <c r="D1267" t="s">
        <v>1833</v>
      </c>
      <c r="E1267" t="s">
        <v>2252</v>
      </c>
      <c r="F1267" t="s">
        <v>2264</v>
      </c>
      <c r="G1267" t="str">
        <f>VLOOKUP(E1267,기본!$F$3:$G$320,2,0)</f>
        <v>MNT</v>
      </c>
      <c r="H1267" s="544">
        <v>16296</v>
      </c>
      <c r="I1267">
        <v>129.673844608</v>
      </c>
    </row>
    <row r="1268" spans="2:9">
      <c r="B1268" s="545">
        <v>4</v>
      </c>
      <c r="C1268" s="545" t="str">
        <f>VLOOKUP(D1268,기본!$B$3:$C$90,2,0)</f>
        <v>삼성 VD</v>
      </c>
      <c r="D1268" t="s">
        <v>1833</v>
      </c>
      <c r="E1268" t="s">
        <v>2265</v>
      </c>
      <c r="F1268" t="s">
        <v>2266</v>
      </c>
      <c r="G1268" t="str">
        <f>VLOOKUP(E1268,기본!$F$3:$G$320,2,0)</f>
        <v>MNT</v>
      </c>
      <c r="H1268" s="544">
        <v>3511</v>
      </c>
      <c r="I1268">
        <v>29.833898542</v>
      </c>
    </row>
    <row r="1269" spans="2:9">
      <c r="B1269" s="545">
        <v>4</v>
      </c>
      <c r="C1269" s="545" t="str">
        <f>VLOOKUP(D1269,기본!$B$3:$C$90,2,0)</f>
        <v>삼성 VD</v>
      </c>
      <c r="D1269" t="s">
        <v>1833</v>
      </c>
      <c r="E1269" t="s">
        <v>2420</v>
      </c>
      <c r="F1269" t="s">
        <v>2421</v>
      </c>
      <c r="G1269" t="str">
        <f>VLOOKUP(E1269,기본!$F$3:$G$320,2,0)</f>
        <v>MNT</v>
      </c>
      <c r="H1269" s="544">
        <v>1583</v>
      </c>
      <c r="I1269">
        <v>12.61772154</v>
      </c>
    </row>
    <row r="1270" spans="2:9">
      <c r="B1270" s="545">
        <v>4</v>
      </c>
      <c r="C1270" s="545" t="str">
        <f>VLOOKUP(D1270,기본!$B$3:$C$90,2,0)</f>
        <v>삼성 VD</v>
      </c>
      <c r="D1270" t="s">
        <v>1833</v>
      </c>
      <c r="E1270" t="s">
        <v>2422</v>
      </c>
      <c r="F1270" t="s">
        <v>2423</v>
      </c>
      <c r="G1270" t="str">
        <f>VLOOKUP(E1270,기본!$F$3:$G$320,2,0)</f>
        <v>MNT</v>
      </c>
      <c r="H1270" s="544">
        <v>308</v>
      </c>
      <c r="I1270">
        <v>2.614933825</v>
      </c>
    </row>
    <row r="1271" spans="2:9">
      <c r="B1271" s="545">
        <v>4</v>
      </c>
      <c r="C1271" s="545" t="str">
        <f>VLOOKUP(D1271,기본!$B$3:$C$90,2,0)</f>
        <v>삼성 VD</v>
      </c>
      <c r="D1271" t="s">
        <v>1833</v>
      </c>
      <c r="E1271" t="s">
        <v>2185</v>
      </c>
      <c r="F1271" t="s">
        <v>2186</v>
      </c>
      <c r="G1271" t="str">
        <f>VLOOKUP(E1271,기본!$F$3:$G$320,2,0)</f>
        <v>MNT</v>
      </c>
      <c r="H1271" s="544">
        <v>2928</v>
      </c>
      <c r="I1271">
        <v>141.11016892799998</v>
      </c>
    </row>
    <row r="1272" spans="2:9">
      <c r="B1272" s="545">
        <v>4</v>
      </c>
      <c r="C1272" s="545" t="str">
        <f>VLOOKUP(D1272,기본!$B$3:$C$90,2,0)</f>
        <v>삼성 VD</v>
      </c>
      <c r="D1272" t="s">
        <v>1833</v>
      </c>
      <c r="E1272" t="s">
        <v>2441</v>
      </c>
      <c r="F1272" t="s">
        <v>2438</v>
      </c>
      <c r="G1272" t="str">
        <f>VLOOKUP(E1272,기본!$F$3:$G$320,2,0)</f>
        <v>TV</v>
      </c>
      <c r="H1272" s="544">
        <v>5790</v>
      </c>
      <c r="I1272">
        <v>78.628894799999983</v>
      </c>
    </row>
    <row r="1273" spans="2:9">
      <c r="B1273" s="545">
        <v>4</v>
      </c>
      <c r="C1273" s="545" t="str">
        <f>VLOOKUP(D1273,기본!$B$3:$C$90,2,0)</f>
        <v>삼성 VD</v>
      </c>
      <c r="D1273" t="s">
        <v>1833</v>
      </c>
      <c r="E1273" t="s">
        <v>1841</v>
      </c>
      <c r="F1273" t="s">
        <v>1842</v>
      </c>
      <c r="G1273" t="str">
        <f>VLOOKUP(E1273,기본!$F$3:$G$320,2,0)</f>
        <v>MNT</v>
      </c>
      <c r="H1273" s="544">
        <v>628</v>
      </c>
      <c r="I1273">
        <v>8.8472404919999992</v>
      </c>
    </row>
    <row r="1274" spans="2:9">
      <c r="B1274" s="545">
        <v>4</v>
      </c>
      <c r="C1274" s="545" t="str">
        <f>VLOOKUP(D1274,기본!$B$3:$C$90,2,0)</f>
        <v>삼성 VD</v>
      </c>
      <c r="D1274" t="s">
        <v>1833</v>
      </c>
      <c r="E1274" t="s">
        <v>2267</v>
      </c>
      <c r="F1274" t="s">
        <v>2267</v>
      </c>
      <c r="G1274" t="str">
        <f>VLOOKUP(E1274,기본!$F$3:$G$320,2,0)</f>
        <v>MNT</v>
      </c>
      <c r="H1274" s="544">
        <v>164</v>
      </c>
      <c r="I1274">
        <v>3.1057014080000003</v>
      </c>
    </row>
    <row r="1275" spans="2:9">
      <c r="B1275" s="545">
        <v>4</v>
      </c>
      <c r="C1275" s="545" t="str">
        <f>VLOOKUP(D1275,기본!$B$3:$C$90,2,0)</f>
        <v>삼성 생활가전</v>
      </c>
      <c r="D1275" t="s">
        <v>1843</v>
      </c>
      <c r="E1275" t="s">
        <v>1844</v>
      </c>
      <c r="F1275" t="s">
        <v>1844</v>
      </c>
      <c r="G1275" t="e">
        <f>VLOOKUP(E1275,기본!$F$3:$G$320,2,0)</f>
        <v>#N/A</v>
      </c>
      <c r="H1275" s="544">
        <v>55680</v>
      </c>
      <c r="I1275">
        <v>438.48226271999999</v>
      </c>
    </row>
    <row r="1276" spans="2:9">
      <c r="B1276" s="545">
        <v>4</v>
      </c>
      <c r="C1276" s="545" t="str">
        <f>VLOOKUP(D1276,기본!$B$3:$C$90,2,0)</f>
        <v>삼성 생활가전</v>
      </c>
      <c r="D1276" t="s">
        <v>1843</v>
      </c>
      <c r="E1276" t="s">
        <v>2023</v>
      </c>
      <c r="F1276" t="s">
        <v>2023</v>
      </c>
      <c r="G1276" t="e">
        <f>VLOOKUP(E1276,기본!$F$3:$G$320,2,0)</f>
        <v>#N/A</v>
      </c>
      <c r="H1276" s="544">
        <v>1080</v>
      </c>
      <c r="I1276">
        <v>8.6563339199999998</v>
      </c>
    </row>
    <row r="1277" spans="2:9">
      <c r="B1277" s="545">
        <v>4</v>
      </c>
      <c r="C1277" s="545" t="str">
        <f>VLOOKUP(D1277,기본!$B$3:$C$90,2,0)</f>
        <v>삼성 생활가전</v>
      </c>
      <c r="D1277" t="s">
        <v>1843</v>
      </c>
      <c r="E1277" t="s">
        <v>1845</v>
      </c>
      <c r="F1277" t="s">
        <v>1845</v>
      </c>
      <c r="G1277" t="e">
        <f>VLOOKUP(E1277,기본!$F$3:$G$320,2,0)</f>
        <v>#N/A</v>
      </c>
      <c r="H1277" s="544">
        <v>1056</v>
      </c>
      <c r="I1277">
        <v>8.5067366399999997</v>
      </c>
    </row>
    <row r="1278" spans="2:9">
      <c r="B1278" s="545">
        <v>4</v>
      </c>
      <c r="C1278" s="545" t="str">
        <f>VLOOKUP(D1278,기본!$B$3:$C$90,2,0)</f>
        <v>삼성 생활가전</v>
      </c>
      <c r="D1278" t="s">
        <v>1843</v>
      </c>
      <c r="E1278" t="s">
        <v>2012</v>
      </c>
      <c r="F1278" t="s">
        <v>2012</v>
      </c>
      <c r="G1278" t="e">
        <f>VLOOKUP(E1278,기본!$F$3:$G$320,2,0)</f>
        <v>#N/A</v>
      </c>
      <c r="H1278" s="544">
        <v>288</v>
      </c>
      <c r="I1278">
        <v>2.2743748799999999</v>
      </c>
    </row>
    <row r="1279" spans="2:9">
      <c r="B1279" s="545">
        <v>4</v>
      </c>
      <c r="C1279" s="545" t="str">
        <f>VLOOKUP(D1279,기본!$B$3:$C$90,2,0)</f>
        <v>삼성 생활가전</v>
      </c>
      <c r="D1279" t="s">
        <v>1843</v>
      </c>
      <c r="E1279" t="s">
        <v>2024</v>
      </c>
      <c r="F1279" t="s">
        <v>2024</v>
      </c>
      <c r="G1279" t="e">
        <f>VLOOKUP(E1279,기본!$F$3:$G$320,2,0)</f>
        <v>#N/A</v>
      </c>
      <c r="H1279" s="544">
        <v>1728</v>
      </c>
      <c r="I1279">
        <v>14.078619072</v>
      </c>
    </row>
    <row r="1280" spans="2:9">
      <c r="B1280" s="545">
        <v>4</v>
      </c>
      <c r="C1280" s="545" t="str">
        <f>VLOOKUP(D1280,기본!$B$3:$C$90,2,0)</f>
        <v>삼성 생활가전</v>
      </c>
      <c r="D1280" t="s">
        <v>1843</v>
      </c>
      <c r="E1280" t="s">
        <v>1846</v>
      </c>
      <c r="F1280" t="s">
        <v>1846</v>
      </c>
      <c r="G1280" t="e">
        <f>VLOOKUP(E1280,기본!$F$3:$G$320,2,0)</f>
        <v>#N/A</v>
      </c>
      <c r="H1280" s="544">
        <v>27648</v>
      </c>
      <c r="I1280">
        <v>238.32064155520001</v>
      </c>
    </row>
    <row r="1281" spans="2:9">
      <c r="B1281" s="545">
        <v>4</v>
      </c>
      <c r="C1281" s="545" t="str">
        <f>VLOOKUP(D1281,기본!$B$3:$C$90,2,0)</f>
        <v>삼성 생활가전</v>
      </c>
      <c r="D1281" t="s">
        <v>1843</v>
      </c>
      <c r="E1281" t="s">
        <v>1867</v>
      </c>
      <c r="F1281" t="s">
        <v>1867</v>
      </c>
      <c r="G1281" t="e">
        <f>VLOOKUP(E1281,기본!$F$3:$G$320,2,0)</f>
        <v>#N/A</v>
      </c>
      <c r="H1281" s="544">
        <v>1728</v>
      </c>
      <c r="I1281">
        <v>15.764644800000001</v>
      </c>
    </row>
    <row r="1282" spans="2:9">
      <c r="B1282" s="545">
        <v>4</v>
      </c>
      <c r="C1282" s="545" t="str">
        <f>VLOOKUP(D1282,기본!$B$3:$C$90,2,0)</f>
        <v>삼성 생활가전</v>
      </c>
      <c r="D1282" t="s">
        <v>1843</v>
      </c>
      <c r="E1282" t="s">
        <v>2006</v>
      </c>
      <c r="F1282" t="s">
        <v>2006</v>
      </c>
      <c r="G1282" t="e">
        <f>VLOOKUP(E1282,기본!$F$3:$G$320,2,0)</f>
        <v>#N/A</v>
      </c>
      <c r="H1282" s="544">
        <v>192</v>
      </c>
      <c r="I1282">
        <v>1.7067455999999999</v>
      </c>
    </row>
    <row r="1283" spans="2:9">
      <c r="B1283" s="545">
        <v>4</v>
      </c>
      <c r="C1283" s="545" t="str">
        <f>VLOOKUP(D1283,기본!$B$3:$C$90,2,0)</f>
        <v>삼성 생활가전</v>
      </c>
      <c r="D1283" t="s">
        <v>1849</v>
      </c>
      <c r="E1283" t="s">
        <v>2033</v>
      </c>
      <c r="F1283" t="s">
        <v>2033</v>
      </c>
      <c r="G1283" t="e">
        <f>VLOOKUP(E1283,기본!$F$3:$G$320,2,0)</f>
        <v>#N/A</v>
      </c>
      <c r="H1283" s="544">
        <v>768</v>
      </c>
      <c r="I1283">
        <v>9.8879185919999983</v>
      </c>
    </row>
    <row r="1284" spans="2:9">
      <c r="B1284" s="545">
        <v>4</v>
      </c>
      <c r="C1284" s="545" t="str">
        <f>VLOOKUP(D1284,기본!$B$3:$C$90,2,0)</f>
        <v>MNT JDM</v>
      </c>
      <c r="D1284" t="s">
        <v>1851</v>
      </c>
      <c r="E1284" t="s">
        <v>676</v>
      </c>
      <c r="F1284" t="s">
        <v>1971</v>
      </c>
      <c r="G1284" t="str">
        <f>VLOOKUP(E1284,기본!$F$3:$G$320,2,0)</f>
        <v>MNT</v>
      </c>
      <c r="H1284" s="544">
        <v>19008</v>
      </c>
      <c r="I1284">
        <v>91.468130687999988</v>
      </c>
    </row>
    <row r="1285" spans="2:9">
      <c r="B1285" s="545">
        <v>4</v>
      </c>
      <c r="C1285" s="545" t="str">
        <f>VLOOKUP(D1285,기본!$B$3:$C$90,2,0)</f>
        <v>MNT JDM</v>
      </c>
      <c r="D1285" t="s">
        <v>1851</v>
      </c>
      <c r="E1285" t="s">
        <v>2578</v>
      </c>
      <c r="F1285" t="s">
        <v>2579</v>
      </c>
      <c r="G1285" t="str">
        <f>VLOOKUP(E1285,기본!$F$3:$G$320,2,0)</f>
        <v>MNT</v>
      </c>
      <c r="H1285" s="544">
        <v>150</v>
      </c>
      <c r="I1285">
        <v>0.74591579999999991</v>
      </c>
    </row>
    <row r="1286" spans="2:9">
      <c r="B1286" s="545">
        <v>4</v>
      </c>
      <c r="C1286" s="545" t="str">
        <f>VLOOKUP(D1286,기본!$B$3:$C$90,2,0)</f>
        <v>MNT JDM</v>
      </c>
      <c r="D1286" t="s">
        <v>1851</v>
      </c>
      <c r="E1286" t="s">
        <v>1110</v>
      </c>
      <c r="F1286" t="s">
        <v>2013</v>
      </c>
      <c r="G1286" t="str">
        <f>VLOOKUP(E1286,기본!$F$3:$G$320,2,0)</f>
        <v>MNT</v>
      </c>
      <c r="H1286" s="544">
        <v>71808</v>
      </c>
      <c r="I1286">
        <v>440.67245375999994</v>
      </c>
    </row>
    <row r="1287" spans="2:9">
      <c r="B1287" s="545">
        <v>4</v>
      </c>
      <c r="C1287" s="545" t="str">
        <f>VLOOKUP(D1287,기본!$B$3:$C$90,2,0)</f>
        <v>HP</v>
      </c>
      <c r="D1287" t="s">
        <v>1852</v>
      </c>
      <c r="E1287" t="s">
        <v>2165</v>
      </c>
      <c r="F1287" t="s">
        <v>2493</v>
      </c>
      <c r="G1287" t="e">
        <f>VLOOKUP(E1287,기본!$F$3:$G$320,2,0)</f>
        <v>#N/A</v>
      </c>
      <c r="H1287" s="544">
        <v>3</v>
      </c>
      <c r="I1287">
        <v>3.5891975999999999E-2</v>
      </c>
    </row>
    <row r="1288" spans="2:9">
      <c r="B1288" s="545">
        <v>4</v>
      </c>
      <c r="C1288" s="545" t="str">
        <f>VLOOKUP(D1288,기본!$B$3:$C$90,2,0)</f>
        <v>HP</v>
      </c>
      <c r="D1288" t="s">
        <v>1852</v>
      </c>
      <c r="E1288" t="s">
        <v>2294</v>
      </c>
      <c r="F1288" t="s">
        <v>2295</v>
      </c>
      <c r="G1288" t="e">
        <f>VLOOKUP(E1288,기본!$F$3:$G$320,2,0)</f>
        <v>#N/A</v>
      </c>
      <c r="H1288" s="544">
        <v>2</v>
      </c>
      <c r="I1288">
        <v>5.8915879999999997E-2</v>
      </c>
    </row>
    <row r="1289" spans="2:9">
      <c r="B1289" s="545">
        <v>4</v>
      </c>
      <c r="C1289" s="545" t="str">
        <f>VLOOKUP(D1289,기본!$B$3:$C$90,2,0)</f>
        <v>HP</v>
      </c>
      <c r="D1289" t="s">
        <v>1852</v>
      </c>
      <c r="E1289" t="s">
        <v>2494</v>
      </c>
      <c r="F1289" t="s">
        <v>2495</v>
      </c>
      <c r="G1289" t="e">
        <f>VLOOKUP(E1289,기본!$F$3:$G$320,2,0)</f>
        <v>#N/A</v>
      </c>
      <c r="H1289" s="544">
        <v>5</v>
      </c>
      <c r="I1289">
        <v>0.210952</v>
      </c>
    </row>
    <row r="1290" spans="2:9">
      <c r="B1290" s="545">
        <v>4</v>
      </c>
      <c r="C1290" s="545" t="str">
        <f>VLOOKUP(D1290,기본!$B$3:$C$90,2,0)</f>
        <v>HP</v>
      </c>
      <c r="D1290" t="s">
        <v>1852</v>
      </c>
      <c r="E1290" t="s">
        <v>1247</v>
      </c>
      <c r="F1290" t="s">
        <v>1243</v>
      </c>
      <c r="G1290" t="e">
        <f>VLOOKUP(E1290,기본!$F$3:$G$320,2,0)</f>
        <v>#N/A</v>
      </c>
      <c r="H1290" s="544">
        <v>1152</v>
      </c>
      <c r="I1290">
        <v>33.658325375999993</v>
      </c>
    </row>
    <row r="1291" spans="2:9">
      <c r="B1291" s="545">
        <v>4</v>
      </c>
      <c r="C1291" s="545" t="str">
        <f>VLOOKUP(D1291,기본!$B$3:$C$90,2,0)</f>
        <v>HP</v>
      </c>
      <c r="D1291" t="s">
        <v>1852</v>
      </c>
      <c r="E1291" t="s">
        <v>1248</v>
      </c>
      <c r="F1291" t="s">
        <v>1244</v>
      </c>
      <c r="G1291" t="e">
        <f>VLOOKUP(E1291,기본!$F$3:$G$320,2,0)</f>
        <v>#N/A</v>
      </c>
      <c r="H1291" s="544">
        <v>1152</v>
      </c>
      <c r="I1291">
        <v>41.033730816000002</v>
      </c>
    </row>
    <row r="1292" spans="2:9">
      <c r="B1292" s="545">
        <v>4</v>
      </c>
      <c r="C1292" s="545" t="str">
        <f>VLOOKUP(D1292,기본!$B$3:$C$90,2,0)</f>
        <v>HP</v>
      </c>
      <c r="D1292" t="s">
        <v>1852</v>
      </c>
      <c r="E1292" t="s">
        <v>1249</v>
      </c>
      <c r="F1292" t="s">
        <v>1245</v>
      </c>
      <c r="G1292" t="e">
        <f>VLOOKUP(E1292,기본!$F$3:$G$320,2,0)</f>
        <v>#N/A</v>
      </c>
      <c r="H1292" s="544">
        <v>1152</v>
      </c>
      <c r="I1292">
        <v>36.515626368</v>
      </c>
    </row>
    <row r="1293" spans="2:9">
      <c r="B1293" s="545">
        <v>4</v>
      </c>
      <c r="C1293" s="545" t="str">
        <f>VLOOKUP(D1293,기본!$B$3:$C$90,2,0)</f>
        <v>HP</v>
      </c>
      <c r="D1293" t="s">
        <v>1852</v>
      </c>
      <c r="E1293" t="s">
        <v>1853</v>
      </c>
      <c r="F1293" t="s">
        <v>1854</v>
      </c>
      <c r="G1293" t="e">
        <f>VLOOKUP(E1293,기본!$F$3:$G$320,2,0)</f>
        <v>#N/A</v>
      </c>
      <c r="H1293" s="544">
        <v>2800</v>
      </c>
      <c r="I1293">
        <v>37.936205999999999</v>
      </c>
    </row>
    <row r="1294" spans="2:9">
      <c r="B1294" s="545">
        <v>4</v>
      </c>
      <c r="C1294" s="545" t="str">
        <f>VLOOKUP(D1294,기본!$B$3:$C$90,2,0)</f>
        <v>HP</v>
      </c>
      <c r="D1294" t="s">
        <v>1852</v>
      </c>
      <c r="E1294" t="s">
        <v>1972</v>
      </c>
      <c r="F1294" t="s">
        <v>187</v>
      </c>
      <c r="G1294" t="e">
        <f>VLOOKUP(E1294,기본!$F$3:$G$320,2,0)</f>
        <v>#N/A</v>
      </c>
      <c r="H1294" s="544">
        <v>5400</v>
      </c>
      <c r="I1294">
        <v>28.149707520000003</v>
      </c>
    </row>
    <row r="1295" spans="2:9">
      <c r="B1295" s="545">
        <v>4</v>
      </c>
      <c r="C1295" s="545" t="str">
        <f>VLOOKUP(D1295,기본!$B$3:$C$90,2,0)</f>
        <v>HP</v>
      </c>
      <c r="D1295" t="s">
        <v>1852</v>
      </c>
      <c r="E1295" t="s">
        <v>1855</v>
      </c>
      <c r="F1295" t="s">
        <v>642</v>
      </c>
      <c r="G1295" t="e">
        <f>VLOOKUP(E1295,기본!$F$3:$G$320,2,0)</f>
        <v>#N/A</v>
      </c>
      <c r="H1295" s="544">
        <v>11880</v>
      </c>
      <c r="I1295">
        <v>101.61212040000001</v>
      </c>
    </row>
    <row r="1296" spans="2:9">
      <c r="B1296" s="545">
        <v>4</v>
      </c>
      <c r="C1296" s="545" t="str">
        <f>VLOOKUP(D1296,기본!$B$3:$C$90,2,0)</f>
        <v>HP</v>
      </c>
      <c r="D1296" t="s">
        <v>1852</v>
      </c>
      <c r="E1296" t="s">
        <v>1856</v>
      </c>
      <c r="F1296" t="s">
        <v>1857</v>
      </c>
      <c r="G1296" t="e">
        <f>VLOOKUP(E1296,기본!$F$3:$G$320,2,0)</f>
        <v>#N/A</v>
      </c>
      <c r="H1296" s="544">
        <v>1296</v>
      </c>
      <c r="I1296">
        <v>48.663625248000002</v>
      </c>
    </row>
    <row r="1297" spans="2:9">
      <c r="B1297" s="545">
        <v>4</v>
      </c>
      <c r="C1297" s="545" t="str">
        <f>VLOOKUP(D1297,기본!$B$3:$C$90,2,0)</f>
        <v>HP</v>
      </c>
      <c r="D1297" t="s">
        <v>1852</v>
      </c>
      <c r="E1297" t="s">
        <v>2496</v>
      </c>
      <c r="F1297" t="s">
        <v>2497</v>
      </c>
      <c r="G1297" t="e">
        <f>VLOOKUP(E1297,기본!$F$3:$G$320,2,0)</f>
        <v>#N/A</v>
      </c>
      <c r="H1297" s="544">
        <v>60</v>
      </c>
      <c r="I1297">
        <v>0.57539285999999989</v>
      </c>
    </row>
    <row r="1298" spans="2:9">
      <c r="B1298" s="545">
        <v>4</v>
      </c>
      <c r="C1298" s="545" t="str">
        <f>VLOOKUP(D1298,기본!$B$3:$C$90,2,0)</f>
        <v>HP</v>
      </c>
      <c r="D1298" t="s">
        <v>1852</v>
      </c>
      <c r="E1298" t="s">
        <v>1858</v>
      </c>
      <c r="F1298" t="s">
        <v>1859</v>
      </c>
      <c r="G1298" t="e">
        <f>VLOOKUP(E1298,기본!$F$3:$G$320,2,0)</f>
        <v>#N/A</v>
      </c>
      <c r="H1298" s="544">
        <v>6300</v>
      </c>
      <c r="I1298">
        <v>55.481548500000002</v>
      </c>
    </row>
    <row r="1299" spans="2:9">
      <c r="B1299" s="545">
        <v>4</v>
      </c>
      <c r="C1299" s="545" t="str">
        <f>VLOOKUP(D1299,기본!$B$3:$C$90,2,0)</f>
        <v>HP</v>
      </c>
      <c r="D1299" t="s">
        <v>1852</v>
      </c>
      <c r="E1299" t="s">
        <v>1860</v>
      </c>
      <c r="F1299" t="s">
        <v>1861</v>
      </c>
      <c r="G1299" t="e">
        <f>VLOOKUP(E1299,기본!$F$3:$G$320,2,0)</f>
        <v>#N/A</v>
      </c>
      <c r="H1299" s="544">
        <v>120</v>
      </c>
      <c r="I1299">
        <v>2.0303866800000003</v>
      </c>
    </row>
    <row r="1300" spans="2:9">
      <c r="B1300" s="545">
        <v>4</v>
      </c>
      <c r="C1300" s="545" t="str">
        <f>VLOOKUP(D1300,기본!$B$3:$C$90,2,0)</f>
        <v>HP</v>
      </c>
      <c r="D1300" t="s">
        <v>1852</v>
      </c>
      <c r="E1300" t="s">
        <v>1973</v>
      </c>
      <c r="F1300" t="s">
        <v>1974</v>
      </c>
      <c r="G1300" t="e">
        <f>VLOOKUP(E1300,기본!$F$3:$G$320,2,0)</f>
        <v>#N/A</v>
      </c>
      <c r="H1300" s="544">
        <v>1080</v>
      </c>
      <c r="I1300">
        <v>13.914734399999997</v>
      </c>
    </row>
    <row r="1301" spans="2:9">
      <c r="B1301" s="545">
        <v>4</v>
      </c>
      <c r="C1301" s="545" t="str">
        <f>VLOOKUP(D1301,기본!$B$3:$C$90,2,0)</f>
        <v>HP</v>
      </c>
      <c r="D1301" t="s">
        <v>1852</v>
      </c>
      <c r="E1301" t="s">
        <v>1989</v>
      </c>
      <c r="F1301" t="s">
        <v>1990</v>
      </c>
      <c r="G1301" t="e">
        <f>VLOOKUP(E1301,기본!$F$3:$G$320,2,0)</f>
        <v>#N/A</v>
      </c>
      <c r="H1301" s="544">
        <v>288</v>
      </c>
      <c r="I1301">
        <v>11.232077760000001</v>
      </c>
    </row>
    <row r="1302" spans="2:9">
      <c r="B1302" s="545">
        <v>4</v>
      </c>
      <c r="C1302" s="545" t="str">
        <f>VLOOKUP(D1302,기본!$B$3:$C$90,2,0)</f>
        <v>HP</v>
      </c>
      <c r="D1302" t="s">
        <v>1852</v>
      </c>
      <c r="E1302" t="s">
        <v>1975</v>
      </c>
      <c r="F1302" t="s">
        <v>1976</v>
      </c>
      <c r="G1302" t="e">
        <f>VLOOKUP(E1302,기본!$F$3:$G$320,2,0)</f>
        <v>#N/A</v>
      </c>
      <c r="H1302" s="544">
        <v>120</v>
      </c>
      <c r="I1302">
        <v>0.94573019999999997</v>
      </c>
    </row>
    <row r="1303" spans="2:9">
      <c r="B1303" s="545">
        <v>4</v>
      </c>
      <c r="C1303" s="545" t="str">
        <f>VLOOKUP(D1303,기본!$B$3:$C$90,2,0)</f>
        <v>경동나비엔</v>
      </c>
      <c r="D1303" t="s">
        <v>1865</v>
      </c>
      <c r="E1303" t="s">
        <v>2501</v>
      </c>
      <c r="F1303" t="s">
        <v>2501</v>
      </c>
      <c r="G1303" t="e">
        <f>VLOOKUP(E1303,기본!$F$3:$G$320,2,0)</f>
        <v>#N/A</v>
      </c>
      <c r="H1303" s="544">
        <v>1000</v>
      </c>
      <c r="I1303">
        <v>31.071897</v>
      </c>
    </row>
    <row r="1304" spans="2:9">
      <c r="B1304" s="545">
        <v>4</v>
      </c>
      <c r="C1304" s="545" t="str">
        <f>VLOOKUP(D1304,기본!$B$3:$C$90,2,0)</f>
        <v>경동나비엔</v>
      </c>
      <c r="D1304" t="s">
        <v>1865</v>
      </c>
      <c r="E1304" t="s">
        <v>2580</v>
      </c>
      <c r="F1304" t="s">
        <v>2580</v>
      </c>
      <c r="G1304" t="e">
        <f>VLOOKUP(E1304,기본!$F$3:$G$320,2,0)</f>
        <v>#N/A</v>
      </c>
      <c r="H1304" s="544">
        <v>31</v>
      </c>
      <c r="I1304">
        <v>1.5421929600000002</v>
      </c>
    </row>
    <row r="1305" spans="2:9">
      <c r="B1305" s="545">
        <v>4</v>
      </c>
      <c r="C1305" s="545" t="str">
        <f>VLOOKUP(D1305,기본!$B$3:$C$90,2,0)</f>
        <v>경동나비엔</v>
      </c>
      <c r="D1305" t="s">
        <v>1865</v>
      </c>
      <c r="E1305" t="s">
        <v>2581</v>
      </c>
      <c r="F1305" t="s">
        <v>2581</v>
      </c>
      <c r="G1305" t="e">
        <f>VLOOKUP(E1305,기본!$F$3:$G$320,2,0)</f>
        <v>#N/A</v>
      </c>
      <c r="H1305" s="544">
        <v>25</v>
      </c>
      <c r="I1305">
        <v>1.2400024999999999</v>
      </c>
    </row>
    <row r="1306" spans="2:9">
      <c r="B1306" s="545">
        <v>4</v>
      </c>
      <c r="C1306" s="545" t="str">
        <f>VLOOKUP(D1306,기본!$B$3:$C$90,2,0)</f>
        <v>삼성 생활가전</v>
      </c>
      <c r="D1306" t="s">
        <v>1866</v>
      </c>
      <c r="E1306" t="s">
        <v>2582</v>
      </c>
      <c r="F1306" t="s">
        <v>2582</v>
      </c>
      <c r="G1306" t="e">
        <f>VLOOKUP(E1306,기본!$F$3:$G$320,2,0)</f>
        <v>#N/A</v>
      </c>
      <c r="H1306" s="544">
        <v>2</v>
      </c>
      <c r="I1306">
        <v>1.506E-2</v>
      </c>
    </row>
    <row r="1307" spans="2:9">
      <c r="B1307" s="545">
        <v>4</v>
      </c>
      <c r="C1307" s="545" t="str">
        <f>VLOOKUP(D1307,기본!$B$3:$C$90,2,0)</f>
        <v>삼성 생활가전</v>
      </c>
      <c r="D1307" t="s">
        <v>1866</v>
      </c>
      <c r="E1307" t="s">
        <v>1844</v>
      </c>
      <c r="F1307" t="s">
        <v>1844</v>
      </c>
      <c r="G1307" t="e">
        <f>VLOOKUP(E1307,기본!$F$3:$G$320,2,0)</f>
        <v>#N/A</v>
      </c>
      <c r="H1307" s="544">
        <v>1246</v>
      </c>
      <c r="I1307">
        <v>9.3823799999999995</v>
      </c>
    </row>
    <row r="1308" spans="2:9">
      <c r="B1308" s="545">
        <v>4</v>
      </c>
      <c r="C1308" s="545" t="str">
        <f>VLOOKUP(D1308,기본!$B$3:$C$90,2,0)</f>
        <v>삼성 생활가전</v>
      </c>
      <c r="D1308" t="s">
        <v>1866</v>
      </c>
      <c r="E1308" t="s">
        <v>1867</v>
      </c>
      <c r="F1308" t="s">
        <v>1867</v>
      </c>
      <c r="G1308" t="e">
        <f>VLOOKUP(E1308,기본!$F$3:$G$320,2,0)</f>
        <v>#N/A</v>
      </c>
      <c r="H1308" s="544">
        <v>960</v>
      </c>
      <c r="I1308">
        <v>7.7952000000000004</v>
      </c>
    </row>
    <row r="1309" spans="2:9">
      <c r="B1309" s="545">
        <v>4</v>
      </c>
      <c r="C1309" s="545" t="str">
        <f>VLOOKUP(D1309,기본!$B$3:$C$90,2,0)</f>
        <v>대덕</v>
      </c>
      <c r="D1309" t="s">
        <v>1868</v>
      </c>
      <c r="E1309" t="s">
        <v>2536</v>
      </c>
      <c r="F1309" t="s">
        <v>2536</v>
      </c>
      <c r="G1309" t="e">
        <f>VLOOKUP(E1309,기본!$F$3:$G$320,2,0)</f>
        <v>#N/A</v>
      </c>
      <c r="H1309" s="544">
        <v>300</v>
      </c>
      <c r="I1309">
        <v>3.1377030000000001</v>
      </c>
    </row>
    <row r="1310" spans="2:9">
      <c r="B1310" s="545">
        <v>4</v>
      </c>
      <c r="C1310" s="545" t="str">
        <f>VLOOKUP(D1310,기본!$B$3:$C$90,2,0)</f>
        <v>대덕</v>
      </c>
      <c r="D1310" t="s">
        <v>1868</v>
      </c>
      <c r="E1310" t="s">
        <v>2007</v>
      </c>
      <c r="F1310" t="s">
        <v>2007</v>
      </c>
      <c r="G1310" t="e">
        <f>VLOOKUP(E1310,기본!$F$3:$G$320,2,0)</f>
        <v>#N/A</v>
      </c>
      <c r="H1310" s="544">
        <v>300</v>
      </c>
      <c r="I1310">
        <v>3.2570240999999998</v>
      </c>
    </row>
    <row r="1311" spans="2:9">
      <c r="B1311" s="545">
        <v>4</v>
      </c>
      <c r="C1311" s="545" t="str">
        <f>VLOOKUP(D1311,기본!$B$3:$C$90,2,0)</f>
        <v>대덕</v>
      </c>
      <c r="D1311" t="s">
        <v>1868</v>
      </c>
      <c r="E1311" t="s">
        <v>2583</v>
      </c>
      <c r="F1311" t="s">
        <v>2583</v>
      </c>
      <c r="G1311" t="e">
        <f>VLOOKUP(E1311,기본!$F$3:$G$320,2,0)</f>
        <v>#N/A</v>
      </c>
      <c r="H1311" s="544">
        <v>300</v>
      </c>
      <c r="I1311">
        <v>3.8094365999999993</v>
      </c>
    </row>
    <row r="1312" spans="2:9">
      <c r="B1312" s="545">
        <v>4</v>
      </c>
      <c r="C1312" s="545" t="str">
        <f>VLOOKUP(D1312,기본!$B$3:$C$90,2,0)</f>
        <v>대덕</v>
      </c>
      <c r="D1312" t="s">
        <v>1868</v>
      </c>
      <c r="E1312" t="s">
        <v>2232</v>
      </c>
      <c r="F1312" t="s">
        <v>2232</v>
      </c>
      <c r="G1312" t="e">
        <f>VLOOKUP(E1312,기본!$F$3:$G$320,2,0)</f>
        <v>#N/A</v>
      </c>
      <c r="H1312" s="544">
        <v>300</v>
      </c>
      <c r="I1312">
        <v>4.1806578000000005</v>
      </c>
    </row>
    <row r="1313" spans="2:9">
      <c r="B1313" s="545">
        <v>4</v>
      </c>
      <c r="C1313" s="545" t="str">
        <f>VLOOKUP(D1313,기본!$B$3:$C$90,2,0)</f>
        <v>대덕</v>
      </c>
      <c r="D1313" t="s">
        <v>1868</v>
      </c>
      <c r="E1313" t="s">
        <v>2460</v>
      </c>
      <c r="F1313" t="s">
        <v>2460</v>
      </c>
      <c r="G1313" t="e">
        <f>VLOOKUP(E1313,기본!$F$3:$G$320,2,0)</f>
        <v>#N/A</v>
      </c>
      <c r="H1313" s="544">
        <v>150</v>
      </c>
      <c r="I1313">
        <v>4.6468939499999991</v>
      </c>
    </row>
    <row r="1314" spans="2:9">
      <c r="B1314" s="545">
        <v>4</v>
      </c>
      <c r="C1314" s="545" t="str">
        <f>VLOOKUP(D1314,기본!$B$3:$C$90,2,0)</f>
        <v>대덕</v>
      </c>
      <c r="D1314" t="s">
        <v>1870</v>
      </c>
      <c r="E1314" t="s">
        <v>2230</v>
      </c>
      <c r="F1314" t="s">
        <v>2230</v>
      </c>
      <c r="G1314" t="e">
        <f>VLOOKUP(E1314,기본!$F$3:$G$320,2,0)</f>
        <v>#N/A</v>
      </c>
      <c r="H1314" s="544">
        <v>1500</v>
      </c>
      <c r="I1314">
        <v>9.181146</v>
      </c>
    </row>
    <row r="1315" spans="2:9">
      <c r="B1315" s="545">
        <v>4</v>
      </c>
      <c r="C1315" s="545" t="str">
        <f>VLOOKUP(D1315,기본!$B$3:$C$90,2,0)</f>
        <v>대덕</v>
      </c>
      <c r="D1315" t="s">
        <v>1870</v>
      </c>
      <c r="E1315" t="s">
        <v>2039</v>
      </c>
      <c r="F1315" t="s">
        <v>2039</v>
      </c>
      <c r="G1315" t="e">
        <f>VLOOKUP(E1315,기본!$F$3:$G$320,2,0)</f>
        <v>#N/A</v>
      </c>
      <c r="H1315" s="544">
        <v>1500</v>
      </c>
      <c r="I1315">
        <v>9.0900180000000006</v>
      </c>
    </row>
    <row r="1316" spans="2:9">
      <c r="B1316" s="545">
        <v>4</v>
      </c>
      <c r="C1316" s="545" t="str">
        <f>VLOOKUP(D1316,기본!$B$3:$C$90,2,0)</f>
        <v>대덕</v>
      </c>
      <c r="D1316" t="s">
        <v>1870</v>
      </c>
      <c r="E1316" t="s">
        <v>2025</v>
      </c>
      <c r="F1316" t="s">
        <v>2025</v>
      </c>
      <c r="G1316" t="e">
        <f>VLOOKUP(E1316,기본!$F$3:$G$320,2,0)</f>
        <v>#N/A</v>
      </c>
      <c r="H1316" s="544">
        <v>700</v>
      </c>
      <c r="I1316">
        <v>4.2420083999999996</v>
      </c>
    </row>
    <row r="1317" spans="2:9">
      <c r="B1317" s="545">
        <v>4</v>
      </c>
      <c r="C1317" s="545" t="str">
        <f>VLOOKUP(D1317,기본!$B$3:$C$90,2,0)</f>
        <v>대덕</v>
      </c>
      <c r="D1317" t="s">
        <v>1870</v>
      </c>
      <c r="E1317" t="s">
        <v>2535</v>
      </c>
      <c r="F1317" t="s">
        <v>2535</v>
      </c>
      <c r="G1317" t="e">
        <f>VLOOKUP(E1317,기본!$F$3:$G$320,2,0)</f>
        <v>#N/A</v>
      </c>
      <c r="H1317" s="544">
        <v>200</v>
      </c>
      <c r="I1317">
        <v>3.5131691999999997</v>
      </c>
    </row>
    <row r="1318" spans="2:9">
      <c r="B1318" s="545">
        <v>4</v>
      </c>
      <c r="C1318" s="545" t="str">
        <f>VLOOKUP(D1318,기본!$B$3:$C$90,2,0)</f>
        <v>대덕</v>
      </c>
      <c r="D1318" t="s">
        <v>1870</v>
      </c>
      <c r="E1318" t="s">
        <v>2253</v>
      </c>
      <c r="F1318" t="s">
        <v>2253</v>
      </c>
      <c r="G1318" t="e">
        <f>VLOOKUP(E1318,기본!$F$3:$G$320,2,0)</f>
        <v>#N/A</v>
      </c>
      <c r="H1318" s="544">
        <v>500</v>
      </c>
      <c r="I1318">
        <v>11.326589999999999</v>
      </c>
    </row>
    <row r="1319" spans="2:9">
      <c r="B1319" s="545">
        <v>4</v>
      </c>
      <c r="C1319" s="545" t="str">
        <f>VLOOKUP(D1319,기본!$B$3:$C$90,2,0)</f>
        <v>대덕</v>
      </c>
      <c r="D1319" t="s">
        <v>1870</v>
      </c>
      <c r="E1319" t="s">
        <v>2254</v>
      </c>
      <c r="F1319" t="s">
        <v>2254</v>
      </c>
      <c r="G1319" t="e">
        <f>VLOOKUP(E1319,기본!$F$3:$G$320,2,0)</f>
        <v>#N/A</v>
      </c>
      <c r="H1319" s="544">
        <v>1200</v>
      </c>
      <c r="I1319">
        <v>27.521392799999997</v>
      </c>
    </row>
    <row r="1320" spans="2:9">
      <c r="B1320" s="545">
        <v>4</v>
      </c>
      <c r="C1320" s="545" t="str">
        <f>VLOOKUP(D1320,기본!$B$3:$C$90,2,0)</f>
        <v>대덕</v>
      </c>
      <c r="D1320" t="s">
        <v>1870</v>
      </c>
      <c r="E1320" t="s">
        <v>2166</v>
      </c>
      <c r="F1320" t="s">
        <v>2166</v>
      </c>
      <c r="G1320" t="e">
        <f>VLOOKUP(E1320,기본!$F$3:$G$320,2,0)</f>
        <v>#N/A</v>
      </c>
      <c r="H1320" s="544">
        <v>2000</v>
      </c>
      <c r="I1320">
        <v>47.034844</v>
      </c>
    </row>
    <row r="1321" spans="2:9">
      <c r="B1321" s="545">
        <v>4</v>
      </c>
      <c r="C1321" s="545" t="str">
        <f>VLOOKUP(D1321,기본!$B$3:$C$90,2,0)</f>
        <v>대덕</v>
      </c>
      <c r="D1321" t="s">
        <v>1870</v>
      </c>
      <c r="E1321" t="s">
        <v>2584</v>
      </c>
      <c r="F1321" t="s">
        <v>2584</v>
      </c>
      <c r="G1321" t="e">
        <f>VLOOKUP(E1321,기본!$F$3:$G$320,2,0)</f>
        <v>#N/A</v>
      </c>
      <c r="H1321" s="544">
        <v>18</v>
      </c>
      <c r="I1321">
        <v>0.43028917199999994</v>
      </c>
    </row>
    <row r="1322" spans="2:9">
      <c r="B1322" s="545">
        <v>4</v>
      </c>
      <c r="C1322" s="545" t="str">
        <f>VLOOKUP(D1322,기본!$B$3:$C$90,2,0)</f>
        <v>대덕</v>
      </c>
      <c r="D1322" t="s">
        <v>1870</v>
      </c>
      <c r="E1322" t="s">
        <v>2168</v>
      </c>
      <c r="F1322" t="s">
        <v>2168</v>
      </c>
      <c r="G1322" t="e">
        <f>VLOOKUP(E1322,기본!$F$3:$G$320,2,0)</f>
        <v>#N/A</v>
      </c>
      <c r="H1322" s="544">
        <v>2000</v>
      </c>
      <c r="I1322">
        <v>47.809908</v>
      </c>
    </row>
    <row r="1323" spans="2:9">
      <c r="B1323" s="545">
        <v>4</v>
      </c>
      <c r="C1323" s="545" t="str">
        <f>VLOOKUP(D1323,기본!$B$3:$C$90,2,0)</f>
        <v>대덕</v>
      </c>
      <c r="D1323" t="s">
        <v>1870</v>
      </c>
      <c r="E1323" t="s">
        <v>2585</v>
      </c>
      <c r="F1323" t="s">
        <v>2585</v>
      </c>
      <c r="G1323" t="e">
        <f>VLOOKUP(E1323,기본!$F$3:$G$320,2,0)</f>
        <v>#N/A</v>
      </c>
      <c r="H1323" s="544">
        <v>1000</v>
      </c>
      <c r="I1323">
        <v>23.979009000000001</v>
      </c>
    </row>
    <row r="1324" spans="2:9">
      <c r="B1324" s="545">
        <v>4</v>
      </c>
      <c r="C1324" s="545" t="str">
        <f>VLOOKUP(D1324,기본!$B$3:$C$90,2,0)</f>
        <v>대덕</v>
      </c>
      <c r="D1324" t="s">
        <v>1870</v>
      </c>
      <c r="E1324" t="s">
        <v>934</v>
      </c>
      <c r="F1324" t="s">
        <v>934</v>
      </c>
      <c r="G1324" t="e">
        <f>VLOOKUP(E1324,기본!$F$3:$G$320,2,0)</f>
        <v>#N/A</v>
      </c>
      <c r="H1324" s="544">
        <v>500</v>
      </c>
      <c r="I1324">
        <v>0.72902400000000001</v>
      </c>
    </row>
    <row r="1325" spans="2:9">
      <c r="B1325" s="545">
        <v>4</v>
      </c>
      <c r="C1325" s="545" t="str">
        <f>VLOOKUP(D1325,기본!$B$3:$C$90,2,0)</f>
        <v>대덕</v>
      </c>
      <c r="D1325" t="s">
        <v>1870</v>
      </c>
      <c r="E1325" t="s">
        <v>2057</v>
      </c>
      <c r="F1325" t="s">
        <v>2057</v>
      </c>
      <c r="G1325" t="e">
        <f>VLOOKUP(E1325,기본!$F$3:$G$320,2,0)</f>
        <v>#N/A</v>
      </c>
      <c r="H1325" s="544">
        <v>500</v>
      </c>
      <c r="I1325">
        <v>0.75939999999999996</v>
      </c>
    </row>
    <row r="1326" spans="2:9">
      <c r="B1326" s="545">
        <v>4</v>
      </c>
      <c r="C1326" s="545" t="str">
        <f>VLOOKUP(D1326,기본!$B$3:$C$90,2,0)</f>
        <v>대덕</v>
      </c>
      <c r="D1326" t="s">
        <v>1870</v>
      </c>
      <c r="E1326" t="s">
        <v>935</v>
      </c>
      <c r="F1326" t="s">
        <v>935</v>
      </c>
      <c r="G1326" t="e">
        <f>VLOOKUP(E1326,기본!$F$3:$G$320,2,0)</f>
        <v>#N/A</v>
      </c>
      <c r="H1326" s="544">
        <v>1000</v>
      </c>
      <c r="I1326">
        <v>1.5187999999999999</v>
      </c>
    </row>
    <row r="1327" spans="2:9">
      <c r="B1327" s="545">
        <v>4</v>
      </c>
      <c r="C1327" s="545" t="str">
        <f>VLOOKUP(D1327,기본!$B$3:$C$90,2,0)</f>
        <v>대덕</v>
      </c>
      <c r="D1327" t="s">
        <v>1870</v>
      </c>
      <c r="E1327" t="s">
        <v>2586</v>
      </c>
      <c r="F1327" t="s">
        <v>2586</v>
      </c>
      <c r="G1327" t="e">
        <f>VLOOKUP(E1327,기본!$F$3:$G$320,2,0)</f>
        <v>#N/A</v>
      </c>
      <c r="H1327" s="544">
        <v>300</v>
      </c>
      <c r="I1327">
        <v>0.47527259999999999</v>
      </c>
    </row>
    <row r="1328" spans="2:9">
      <c r="B1328" s="545">
        <v>4</v>
      </c>
      <c r="C1328" s="545" t="str">
        <f>VLOOKUP(D1328,기본!$B$3:$C$90,2,0)</f>
        <v>대덕</v>
      </c>
      <c r="D1328" t="s">
        <v>1870</v>
      </c>
      <c r="E1328" t="s">
        <v>936</v>
      </c>
      <c r="F1328" t="s">
        <v>936</v>
      </c>
      <c r="G1328" t="e">
        <f>VLOOKUP(E1328,기본!$F$3:$G$320,2,0)</f>
        <v>#N/A</v>
      </c>
      <c r="H1328" s="544">
        <v>1000</v>
      </c>
      <c r="I1328">
        <v>1.625116</v>
      </c>
    </row>
    <row r="1329" spans="2:9">
      <c r="B1329" s="545">
        <v>4</v>
      </c>
      <c r="C1329" s="545" t="str">
        <f>VLOOKUP(D1329,기본!$B$3:$C$90,2,0)</f>
        <v>대덕</v>
      </c>
      <c r="D1329" t="s">
        <v>1870</v>
      </c>
      <c r="E1329" t="s">
        <v>2314</v>
      </c>
      <c r="F1329" t="s">
        <v>2314</v>
      </c>
      <c r="G1329" t="e">
        <f>VLOOKUP(E1329,기본!$F$3:$G$320,2,0)</f>
        <v>#N/A</v>
      </c>
      <c r="H1329" s="544">
        <v>200</v>
      </c>
      <c r="I1329">
        <v>0.33717360000000002</v>
      </c>
    </row>
    <row r="1330" spans="2:9">
      <c r="B1330" s="545">
        <v>4</v>
      </c>
      <c r="C1330" s="545" t="str">
        <f>VLOOKUP(D1330,기본!$B$3:$C$90,2,0)</f>
        <v>대덕</v>
      </c>
      <c r="D1330" t="s">
        <v>1870</v>
      </c>
      <c r="E1330" t="s">
        <v>937</v>
      </c>
      <c r="F1330" t="s">
        <v>937</v>
      </c>
      <c r="G1330" t="e">
        <f>VLOOKUP(E1330,기본!$F$3:$G$320,2,0)</f>
        <v>#N/A</v>
      </c>
      <c r="H1330" s="544">
        <v>300</v>
      </c>
      <c r="I1330">
        <v>0.50576040000000011</v>
      </c>
    </row>
    <row r="1331" spans="2:9">
      <c r="B1331" s="545">
        <v>4</v>
      </c>
      <c r="C1331" s="545" t="str">
        <f>VLOOKUP(D1331,기본!$B$3:$C$90,2,0)</f>
        <v>대덕</v>
      </c>
      <c r="D1331" t="s">
        <v>1870</v>
      </c>
      <c r="E1331" t="s">
        <v>2231</v>
      </c>
      <c r="F1331" t="s">
        <v>2231</v>
      </c>
      <c r="G1331" t="e">
        <f>VLOOKUP(E1331,기본!$F$3:$G$320,2,0)</f>
        <v>#N/A</v>
      </c>
      <c r="H1331" s="544">
        <v>768</v>
      </c>
      <c r="I1331">
        <v>1.5350860800000001</v>
      </c>
    </row>
    <row r="1332" spans="2:9">
      <c r="B1332" s="545">
        <v>4</v>
      </c>
      <c r="C1332" s="545" t="str">
        <f>VLOOKUP(D1332,기본!$B$3:$C$90,2,0)</f>
        <v>대덕</v>
      </c>
      <c r="D1332" t="s">
        <v>1870</v>
      </c>
      <c r="E1332" t="s">
        <v>2536</v>
      </c>
      <c r="F1332" t="s">
        <v>2536</v>
      </c>
      <c r="G1332" t="e">
        <f>VLOOKUP(E1332,기본!$F$3:$G$320,2,0)</f>
        <v>#N/A</v>
      </c>
      <c r="H1332" s="544">
        <v>500</v>
      </c>
      <c r="I1332">
        <v>5.2579050000000001</v>
      </c>
    </row>
    <row r="1333" spans="2:9">
      <c r="B1333" s="545">
        <v>4</v>
      </c>
      <c r="C1333" s="545" t="str">
        <f>VLOOKUP(D1333,기본!$B$3:$C$90,2,0)</f>
        <v>대덕</v>
      </c>
      <c r="D1333" t="s">
        <v>1870</v>
      </c>
      <c r="E1333" t="s">
        <v>2007</v>
      </c>
      <c r="F1333" t="s">
        <v>2007</v>
      </c>
      <c r="G1333" t="e">
        <f>VLOOKUP(E1333,기본!$F$3:$G$320,2,0)</f>
        <v>#N/A</v>
      </c>
      <c r="H1333" s="544">
        <v>1000</v>
      </c>
      <c r="I1333">
        <v>10.853062</v>
      </c>
    </row>
    <row r="1334" spans="2:9">
      <c r="B1334" s="545">
        <v>4</v>
      </c>
      <c r="C1334" s="545" t="str">
        <f>VLOOKUP(D1334,기본!$B$3:$C$90,2,0)</f>
        <v>대덕</v>
      </c>
      <c r="D1334" t="s">
        <v>1870</v>
      </c>
      <c r="E1334" t="s">
        <v>1869</v>
      </c>
      <c r="F1334" t="s">
        <v>1869</v>
      </c>
      <c r="G1334" t="e">
        <f>VLOOKUP(E1334,기본!$F$3:$G$320,2,0)</f>
        <v>#N/A</v>
      </c>
      <c r="H1334" s="544">
        <v>3660</v>
      </c>
      <c r="I1334">
        <v>46.843975319999998</v>
      </c>
    </row>
    <row r="1335" spans="2:9">
      <c r="B1335" s="545">
        <v>4</v>
      </c>
      <c r="C1335" s="545" t="str">
        <f>VLOOKUP(D1335,기본!$B$3:$C$90,2,0)</f>
        <v>대덕</v>
      </c>
      <c r="D1335" t="s">
        <v>1870</v>
      </c>
      <c r="E1335" t="s">
        <v>2583</v>
      </c>
      <c r="F1335" t="s">
        <v>2583</v>
      </c>
      <c r="G1335" t="e">
        <f>VLOOKUP(E1335,기본!$F$3:$G$320,2,0)</f>
        <v>#N/A</v>
      </c>
      <c r="H1335" s="544">
        <v>67</v>
      </c>
      <c r="I1335">
        <v>0.8511750039999999</v>
      </c>
    </row>
    <row r="1336" spans="2:9">
      <c r="B1336" s="545">
        <v>4</v>
      </c>
      <c r="C1336" s="545" t="str">
        <f>VLOOKUP(D1336,기본!$B$3:$C$90,2,0)</f>
        <v>대덕</v>
      </c>
      <c r="D1336" t="s">
        <v>1870</v>
      </c>
      <c r="E1336" t="s">
        <v>2587</v>
      </c>
      <c r="F1336" t="s">
        <v>2587</v>
      </c>
      <c r="G1336" t="e">
        <f>VLOOKUP(E1336,기본!$F$3:$G$320,2,0)</f>
        <v>#N/A</v>
      </c>
      <c r="H1336" s="544">
        <v>65</v>
      </c>
      <c r="I1336">
        <v>0.84305363999999994</v>
      </c>
    </row>
    <row r="1337" spans="2:9">
      <c r="B1337" s="545">
        <v>4</v>
      </c>
      <c r="C1337" s="545" t="str">
        <f>VLOOKUP(D1337,기본!$B$3:$C$90,2,0)</f>
        <v>대덕</v>
      </c>
      <c r="D1337" t="s">
        <v>1870</v>
      </c>
      <c r="E1337" t="s">
        <v>2269</v>
      </c>
      <c r="F1337" t="s">
        <v>2269</v>
      </c>
      <c r="G1337" t="e">
        <f>VLOOKUP(E1337,기본!$F$3:$G$320,2,0)</f>
        <v>#N/A</v>
      </c>
      <c r="H1337" s="544">
        <v>1000</v>
      </c>
      <c r="I1337">
        <v>15.664747999999998</v>
      </c>
    </row>
    <row r="1338" spans="2:9">
      <c r="B1338" s="545">
        <v>4</v>
      </c>
      <c r="C1338" s="545" t="str">
        <f>VLOOKUP(D1338,기본!$B$3:$C$90,2,0)</f>
        <v>대덕</v>
      </c>
      <c r="D1338" t="s">
        <v>1870</v>
      </c>
      <c r="E1338" t="s">
        <v>2588</v>
      </c>
      <c r="F1338" t="s">
        <v>2588</v>
      </c>
      <c r="G1338" t="e">
        <f>VLOOKUP(E1338,기본!$F$3:$G$320,2,0)</f>
        <v>#N/A</v>
      </c>
      <c r="H1338" s="544">
        <v>800</v>
      </c>
      <c r="I1338">
        <v>14.516936799999998</v>
      </c>
    </row>
    <row r="1339" spans="2:9">
      <c r="B1339" s="545">
        <v>4</v>
      </c>
      <c r="C1339" s="545" t="str">
        <f>VLOOKUP(D1339,기본!$B$3:$C$90,2,0)</f>
        <v>대덕</v>
      </c>
      <c r="D1339" t="s">
        <v>1870</v>
      </c>
      <c r="E1339" t="s">
        <v>1515</v>
      </c>
      <c r="F1339" t="s">
        <v>1515</v>
      </c>
      <c r="G1339" t="e">
        <f>VLOOKUP(E1339,기본!$F$3:$G$320,2,0)</f>
        <v>#N/A</v>
      </c>
      <c r="H1339" s="544">
        <v>1000</v>
      </c>
      <c r="I1339">
        <v>12.973606</v>
      </c>
    </row>
    <row r="1340" spans="2:9">
      <c r="B1340" s="545">
        <v>4</v>
      </c>
      <c r="C1340" s="545" t="str">
        <f>VLOOKUP(D1340,기본!$B$3:$C$90,2,0)</f>
        <v>대덕</v>
      </c>
      <c r="D1340" t="s">
        <v>1870</v>
      </c>
      <c r="E1340" t="s">
        <v>1516</v>
      </c>
      <c r="F1340" t="s">
        <v>1516</v>
      </c>
      <c r="G1340" t="e">
        <f>VLOOKUP(E1340,기본!$F$3:$G$320,2,0)</f>
        <v>#N/A</v>
      </c>
      <c r="H1340" s="544">
        <v>1500</v>
      </c>
      <c r="I1340">
        <v>21.360063</v>
      </c>
    </row>
    <row r="1341" spans="2:9">
      <c r="B1341" s="545">
        <v>4</v>
      </c>
      <c r="C1341" s="545" t="str">
        <f>VLOOKUP(D1341,기본!$B$3:$C$90,2,0)</f>
        <v>대덕</v>
      </c>
      <c r="D1341" t="s">
        <v>1870</v>
      </c>
      <c r="E1341" t="s">
        <v>2221</v>
      </c>
      <c r="F1341" t="s">
        <v>2221</v>
      </c>
      <c r="G1341" t="e">
        <f>VLOOKUP(E1341,기본!$F$3:$G$320,2,0)</f>
        <v>#N/A</v>
      </c>
      <c r="H1341" s="544">
        <v>10000</v>
      </c>
      <c r="I1341">
        <v>163.75435999999999</v>
      </c>
    </row>
    <row r="1342" spans="2:9">
      <c r="B1342" s="545">
        <v>4</v>
      </c>
      <c r="C1342" s="545" t="str">
        <f>VLOOKUP(D1342,기본!$B$3:$C$90,2,0)</f>
        <v>대덕</v>
      </c>
      <c r="D1342" t="s">
        <v>1870</v>
      </c>
      <c r="E1342" t="s">
        <v>2589</v>
      </c>
      <c r="F1342" t="s">
        <v>2589</v>
      </c>
      <c r="G1342" t="e">
        <f>VLOOKUP(E1342,기본!$F$3:$G$320,2,0)</f>
        <v>#N/A</v>
      </c>
      <c r="H1342" s="544">
        <v>470</v>
      </c>
      <c r="I1342">
        <v>7.6548693199999995</v>
      </c>
    </row>
    <row r="1343" spans="2:9">
      <c r="B1343" s="545">
        <v>4</v>
      </c>
      <c r="C1343" s="545" t="str">
        <f>VLOOKUP(D1343,기본!$B$3:$C$90,2,0)</f>
        <v>대덕</v>
      </c>
      <c r="D1343" t="s">
        <v>1870</v>
      </c>
      <c r="E1343" t="s">
        <v>2190</v>
      </c>
      <c r="F1343" t="s">
        <v>2190</v>
      </c>
      <c r="G1343" t="e">
        <f>VLOOKUP(E1343,기본!$F$3:$G$320,2,0)</f>
        <v>#N/A</v>
      </c>
      <c r="H1343" s="544">
        <v>15000</v>
      </c>
      <c r="I1343">
        <v>245.63153999999997</v>
      </c>
    </row>
    <row r="1344" spans="2:9">
      <c r="B1344" s="545">
        <v>4</v>
      </c>
      <c r="C1344" s="545" t="str">
        <f>VLOOKUP(D1344,기본!$B$3:$C$90,2,0)</f>
        <v>코웨이</v>
      </c>
      <c r="D1344" t="s">
        <v>1979</v>
      </c>
      <c r="E1344" t="s">
        <v>1980</v>
      </c>
      <c r="F1344" t="s">
        <v>1980</v>
      </c>
      <c r="G1344" t="e">
        <f>VLOOKUP(E1344,기본!$F$3:$G$320,2,0)</f>
        <v>#N/A</v>
      </c>
      <c r="H1344" s="544">
        <v>1230</v>
      </c>
      <c r="I1344">
        <v>6.8289600000000004</v>
      </c>
    </row>
    <row r="1345" spans="2:9">
      <c r="B1345" s="545">
        <v>4</v>
      </c>
      <c r="C1345" s="545" t="str">
        <f>VLOOKUP(D1345,기본!$B$3:$C$90,2,0)</f>
        <v>삼성 생활가전</v>
      </c>
      <c r="D1345" t="s">
        <v>2404</v>
      </c>
      <c r="E1345" t="s">
        <v>1882</v>
      </c>
      <c r="F1345" t="s">
        <v>1882</v>
      </c>
      <c r="G1345" t="e">
        <f>VLOOKUP(E1345,기본!$F$3:$G$320,2,0)</f>
        <v>#N/A</v>
      </c>
      <c r="H1345" s="544">
        <v>3000</v>
      </c>
      <c r="I1345">
        <v>20.34</v>
      </c>
    </row>
    <row r="1346" spans="2:9">
      <c r="B1346" s="545">
        <v>4</v>
      </c>
      <c r="C1346" s="545" t="str">
        <f>VLOOKUP(D1346,기본!$B$3:$C$90,2,0)</f>
        <v>코웨이</v>
      </c>
      <c r="D1346" t="s">
        <v>2405</v>
      </c>
      <c r="E1346" t="s">
        <v>2316</v>
      </c>
      <c r="F1346" t="s">
        <v>2316</v>
      </c>
      <c r="G1346" t="e">
        <f>VLOOKUP(E1346,기본!$F$3:$G$320,2,0)</f>
        <v>#N/A</v>
      </c>
      <c r="H1346" s="544">
        <v>25164</v>
      </c>
      <c r="I1346">
        <v>147.72643999999997</v>
      </c>
    </row>
    <row r="1347" spans="2:9">
      <c r="B1347" s="545">
        <v>4</v>
      </c>
      <c r="C1347" s="545" t="e">
        <f>VLOOKUP(D1347,기본!$B$3:$C$90,2,0)</f>
        <v>#N/A</v>
      </c>
      <c r="D1347" t="s">
        <v>2590</v>
      </c>
      <c r="E1347" t="s">
        <v>224</v>
      </c>
      <c r="F1347" t="s">
        <v>224</v>
      </c>
      <c r="G1347" t="str">
        <f>VLOOKUP(E1347,기본!$F$3:$G$320,2,0)</f>
        <v>기타</v>
      </c>
      <c r="H1347" s="544">
        <v>0</v>
      </c>
      <c r="I1347">
        <v>0.8</v>
      </c>
    </row>
    <row r="1348" spans="2:9">
      <c r="B1348" s="545">
        <v>4</v>
      </c>
      <c r="C1348" s="545" t="str">
        <f>VLOOKUP(D1348,기본!$B$3:$C$90,2,0)</f>
        <v>머큐리</v>
      </c>
      <c r="D1348" t="s">
        <v>1872</v>
      </c>
      <c r="E1348" t="s">
        <v>2063</v>
      </c>
      <c r="F1348" t="s">
        <v>2063</v>
      </c>
      <c r="G1348" t="e">
        <f>VLOOKUP(E1348,기본!$F$3:$G$320,2,0)</f>
        <v>#N/A</v>
      </c>
      <c r="H1348" s="544">
        <v>216</v>
      </c>
      <c r="I1348">
        <v>1.163808</v>
      </c>
    </row>
    <row r="1349" spans="2:9">
      <c r="B1349" s="545">
        <v>4</v>
      </c>
      <c r="C1349" s="545" t="str">
        <f>VLOOKUP(D1349,기본!$B$3:$C$90,2,0)</f>
        <v>머큐리</v>
      </c>
      <c r="D1349" t="s">
        <v>1872</v>
      </c>
      <c r="E1349" t="s">
        <v>2591</v>
      </c>
      <c r="F1349" t="s">
        <v>2591</v>
      </c>
      <c r="G1349" t="e">
        <f>VLOOKUP(E1349,기본!$F$3:$G$320,2,0)</f>
        <v>#N/A</v>
      </c>
      <c r="H1349" s="544">
        <v>360</v>
      </c>
      <c r="I1349">
        <v>1.3564799999999999</v>
      </c>
    </row>
    <row r="1350" spans="2:9">
      <c r="B1350" s="545">
        <v>4</v>
      </c>
      <c r="C1350" s="545" t="str">
        <f>VLOOKUP(D1350,기본!$B$3:$C$90,2,0)</f>
        <v>머큐리</v>
      </c>
      <c r="D1350" t="s">
        <v>1872</v>
      </c>
      <c r="E1350" t="s">
        <v>2592</v>
      </c>
      <c r="F1350" t="s">
        <v>2592</v>
      </c>
      <c r="G1350" t="e">
        <f>VLOOKUP(E1350,기본!$F$3:$G$320,2,0)</f>
        <v>#N/A</v>
      </c>
      <c r="H1350" s="544">
        <v>11000</v>
      </c>
      <c r="I1350">
        <v>30.459</v>
      </c>
    </row>
    <row r="1351" spans="2:9">
      <c r="B1351" s="545">
        <v>4</v>
      </c>
      <c r="C1351" s="545" t="str">
        <f>VLOOKUP(D1351,기본!$B$3:$C$90,2,0)</f>
        <v>머큐리</v>
      </c>
      <c r="D1351" t="s">
        <v>1872</v>
      </c>
      <c r="E1351" t="s">
        <v>2191</v>
      </c>
      <c r="F1351" t="s">
        <v>2191</v>
      </c>
      <c r="G1351" t="e">
        <f>VLOOKUP(E1351,기본!$F$3:$G$320,2,0)</f>
        <v>#N/A</v>
      </c>
      <c r="H1351" s="544">
        <v>720</v>
      </c>
      <c r="I1351">
        <v>1.9936799999999999</v>
      </c>
    </row>
    <row r="1352" spans="2:9">
      <c r="B1352" s="545">
        <v>4</v>
      </c>
      <c r="C1352" s="545" t="str">
        <f>VLOOKUP(D1352,기본!$B$3:$C$90,2,0)</f>
        <v>머큐리</v>
      </c>
      <c r="D1352" t="s">
        <v>1872</v>
      </c>
      <c r="E1352" t="s">
        <v>1379</v>
      </c>
      <c r="F1352" t="s">
        <v>1379</v>
      </c>
      <c r="G1352" t="e">
        <f>VLOOKUP(E1352,기본!$F$3:$G$320,2,0)</f>
        <v>#N/A</v>
      </c>
      <c r="H1352" s="544">
        <v>3600</v>
      </c>
      <c r="I1352">
        <v>10.357200000000001</v>
      </c>
    </row>
    <row r="1353" spans="2:9">
      <c r="B1353" s="545">
        <v>4</v>
      </c>
      <c r="C1353" s="545" t="str">
        <f>VLOOKUP(D1353,기본!$B$3:$C$90,2,0)</f>
        <v>머큐리</v>
      </c>
      <c r="D1353" t="s">
        <v>1872</v>
      </c>
      <c r="E1353" t="s">
        <v>2593</v>
      </c>
      <c r="F1353" t="s">
        <v>2593</v>
      </c>
      <c r="G1353" t="e">
        <f>VLOOKUP(E1353,기본!$F$3:$G$320,2,0)</f>
        <v>#N/A</v>
      </c>
      <c r="H1353" s="544">
        <v>600</v>
      </c>
      <c r="I1353">
        <v>3.3515999999999999</v>
      </c>
    </row>
    <row r="1354" spans="2:9">
      <c r="B1354" s="545">
        <v>4</v>
      </c>
      <c r="C1354" s="545" t="str">
        <f>VLOOKUP(D1354,기본!$B$3:$C$90,2,0)</f>
        <v>머큐리</v>
      </c>
      <c r="D1354" t="s">
        <v>1872</v>
      </c>
      <c r="E1354" t="s">
        <v>2594</v>
      </c>
      <c r="F1354" t="s">
        <v>2594</v>
      </c>
      <c r="G1354" t="e">
        <f>VLOOKUP(E1354,기본!$F$3:$G$320,2,0)</f>
        <v>#N/A</v>
      </c>
      <c r="H1354" s="544">
        <v>6144</v>
      </c>
      <c r="I1354">
        <v>16.40448</v>
      </c>
    </row>
    <row r="1355" spans="2:9">
      <c r="B1355" s="545">
        <v>4</v>
      </c>
      <c r="C1355" s="545" t="str">
        <f>VLOOKUP(D1355,기본!$B$3:$C$90,2,0)</f>
        <v>삼성 생활가전</v>
      </c>
      <c r="D1355" t="s">
        <v>1981</v>
      </c>
      <c r="E1355" t="s">
        <v>2504</v>
      </c>
      <c r="F1355" t="s">
        <v>2504</v>
      </c>
      <c r="G1355" t="e">
        <f>VLOOKUP(E1355,기본!$F$3:$G$320,2,0)</f>
        <v>#N/A</v>
      </c>
      <c r="H1355" s="544">
        <v>720</v>
      </c>
      <c r="I1355">
        <v>5.1048</v>
      </c>
    </row>
    <row r="1356" spans="2:9">
      <c r="B1356" s="545">
        <v>4</v>
      </c>
      <c r="C1356" s="545" t="str">
        <f>VLOOKUP(D1356,기본!$B$3:$C$90,2,0)</f>
        <v>삼성 생활가전</v>
      </c>
      <c r="D1356" t="s">
        <v>1981</v>
      </c>
      <c r="E1356" t="s">
        <v>2543</v>
      </c>
      <c r="F1356" t="s">
        <v>2543</v>
      </c>
      <c r="G1356" t="e">
        <f>VLOOKUP(E1356,기본!$F$3:$G$320,2,0)</f>
        <v>#N/A</v>
      </c>
      <c r="H1356" s="544">
        <v>440</v>
      </c>
      <c r="I1356">
        <v>3.1415999999999999</v>
      </c>
    </row>
    <row r="1357" spans="2:9">
      <c r="B1357" s="545">
        <v>4</v>
      </c>
      <c r="C1357" s="545" t="str">
        <f>VLOOKUP(D1357,기본!$B$3:$C$90,2,0)</f>
        <v>삼성 VD</v>
      </c>
      <c r="D1357" t="s">
        <v>1873</v>
      </c>
      <c r="E1357" t="s">
        <v>2252</v>
      </c>
      <c r="F1357" t="s">
        <v>2264</v>
      </c>
      <c r="G1357" t="str">
        <f>VLOOKUP(E1357,기본!$F$3:$G$320,2,0)</f>
        <v>MNT</v>
      </c>
      <c r="H1357" s="544">
        <v>40</v>
      </c>
      <c r="I1357">
        <v>0.31938984000000004</v>
      </c>
    </row>
    <row r="1358" spans="2:9">
      <c r="B1358" s="545">
        <v>4</v>
      </c>
      <c r="C1358" s="545" t="str">
        <f>VLOOKUP(D1358,기본!$B$3:$C$90,2,0)</f>
        <v>삼성 VD</v>
      </c>
      <c r="D1358" t="s">
        <v>1873</v>
      </c>
      <c r="E1358" t="s">
        <v>2414</v>
      </c>
      <c r="F1358" t="s">
        <v>2415</v>
      </c>
      <c r="G1358" t="str">
        <f>VLOOKUP(E1358,기본!$F$3:$G$320,2,0)</f>
        <v>TV</v>
      </c>
      <c r="H1358" s="544">
        <v>20</v>
      </c>
      <c r="I1358">
        <v>0.26274579999999997</v>
      </c>
    </row>
    <row r="1359" spans="2:9">
      <c r="B1359" s="545">
        <v>4</v>
      </c>
      <c r="C1359" s="545" t="str">
        <f>VLOOKUP(D1359,기본!$B$3:$C$90,2,0)</f>
        <v>삼성 VD</v>
      </c>
      <c r="D1359" t="s">
        <v>1873</v>
      </c>
      <c r="E1359" t="s">
        <v>676</v>
      </c>
      <c r="F1359" t="s">
        <v>1790</v>
      </c>
      <c r="G1359" t="str">
        <f>VLOOKUP(E1359,기본!$F$3:$G$320,2,0)</f>
        <v>MNT</v>
      </c>
      <c r="H1359" s="544">
        <v>396</v>
      </c>
      <c r="I1359">
        <v>1.39778672</v>
      </c>
    </row>
    <row r="1360" spans="2:9">
      <c r="B1360" s="545">
        <v>4</v>
      </c>
      <c r="C1360" s="545" t="str">
        <f>VLOOKUP(D1360,기본!$B$3:$C$90,2,0)</f>
        <v>삼성 VD</v>
      </c>
      <c r="D1360" t="s">
        <v>1873</v>
      </c>
      <c r="E1360" t="s">
        <v>1599</v>
      </c>
      <c r="F1360" t="s">
        <v>1599</v>
      </c>
      <c r="G1360" t="str">
        <f>VLOOKUP(E1360,기본!$F$3:$G$320,2,0)</f>
        <v>MNT</v>
      </c>
      <c r="H1360" s="544">
        <v>280</v>
      </c>
      <c r="I1360">
        <v>2.6245057999999997</v>
      </c>
    </row>
    <row r="1361" spans="2:9">
      <c r="B1361" s="545">
        <v>4</v>
      </c>
      <c r="C1361" s="545" t="str">
        <f>VLOOKUP(D1361,기본!$B$3:$C$90,2,0)</f>
        <v>삼성 VD</v>
      </c>
      <c r="D1361" t="s">
        <v>1873</v>
      </c>
      <c r="E1361" t="s">
        <v>2595</v>
      </c>
      <c r="F1361" t="s">
        <v>2596</v>
      </c>
      <c r="G1361" t="str">
        <f>VLOOKUP(E1361,기본!$F$3:$G$320,2,0)</f>
        <v>기타</v>
      </c>
      <c r="H1361" s="544">
        <v>30</v>
      </c>
      <c r="I1361">
        <v>1.266597</v>
      </c>
    </row>
    <row r="1362" spans="2:9">
      <c r="B1362" s="545">
        <v>4</v>
      </c>
      <c r="C1362" s="545" t="str">
        <f>VLOOKUP(D1362,기본!$B$3:$C$90,2,0)</f>
        <v>삼성 VD</v>
      </c>
      <c r="D1362" t="s">
        <v>1873</v>
      </c>
      <c r="E1362" t="s">
        <v>2597</v>
      </c>
      <c r="F1362" t="s">
        <v>2598</v>
      </c>
      <c r="G1362" t="str">
        <f>VLOOKUP(E1362,기본!$F$3:$G$320,2,0)</f>
        <v>기타</v>
      </c>
      <c r="H1362" s="544">
        <v>30</v>
      </c>
      <c r="I1362">
        <v>1.266597</v>
      </c>
    </row>
    <row r="1363" spans="2:9">
      <c r="B1363" s="545">
        <v>4</v>
      </c>
      <c r="C1363" s="545" t="str">
        <f>VLOOKUP(D1363,기본!$B$3:$C$90,2,0)</f>
        <v>삼성 VD</v>
      </c>
      <c r="D1363" t="s">
        <v>1873</v>
      </c>
      <c r="E1363" t="s">
        <v>2599</v>
      </c>
      <c r="F1363" t="s">
        <v>2600</v>
      </c>
      <c r="G1363" t="str">
        <f>VLOOKUP(E1363,기본!$F$3:$G$320,2,0)</f>
        <v>기타</v>
      </c>
      <c r="H1363" s="544">
        <v>30</v>
      </c>
      <c r="I1363">
        <v>1.266597</v>
      </c>
    </row>
    <row r="1364" spans="2:9">
      <c r="B1364" s="545">
        <v>4</v>
      </c>
      <c r="C1364" s="545" t="str">
        <f>VLOOKUP(D1364,기본!$B$3:$C$90,2,0)</f>
        <v>삼성 VD</v>
      </c>
      <c r="D1364" t="s">
        <v>1873</v>
      </c>
      <c r="E1364" t="s">
        <v>2228</v>
      </c>
      <c r="F1364" t="s">
        <v>2601</v>
      </c>
      <c r="G1364" t="str">
        <f>VLOOKUP(E1364,기본!$F$3:$G$320,2,0)</f>
        <v>기타</v>
      </c>
      <c r="H1364" s="544">
        <v>30</v>
      </c>
      <c r="I1364">
        <v>1.266597</v>
      </c>
    </row>
    <row r="1365" spans="2:9">
      <c r="B1365" s="545">
        <v>4</v>
      </c>
      <c r="C1365" s="545" t="str">
        <f>VLOOKUP(D1365,기본!$B$3:$C$90,2,0)</f>
        <v>삼성 VD</v>
      </c>
      <c r="D1365" t="s">
        <v>1873</v>
      </c>
      <c r="E1365" t="s">
        <v>224</v>
      </c>
      <c r="F1365" t="s">
        <v>224</v>
      </c>
      <c r="G1365" t="str">
        <f>VLOOKUP(E1365,기본!$F$3:$G$320,2,0)</f>
        <v>기타</v>
      </c>
      <c r="H1365" s="544">
        <v>0</v>
      </c>
      <c r="I1365">
        <v>0.78405599999999998</v>
      </c>
    </row>
    <row r="1366" spans="2:9">
      <c r="B1366" s="545">
        <v>4</v>
      </c>
      <c r="C1366" s="545" t="str">
        <f>VLOOKUP(D1366,기본!$B$3:$C$90,2,0)</f>
        <v>삼성 생활가전</v>
      </c>
      <c r="D1366" t="s">
        <v>1874</v>
      </c>
      <c r="E1366" t="s">
        <v>2506</v>
      </c>
      <c r="F1366" t="s">
        <v>2506</v>
      </c>
      <c r="G1366" t="e">
        <f>VLOOKUP(E1366,기본!$F$3:$G$320,2,0)</f>
        <v>#N/A</v>
      </c>
      <c r="H1366" s="544">
        <v>45</v>
      </c>
      <c r="I1366">
        <v>0.37664999999999998</v>
      </c>
    </row>
    <row r="1367" spans="2:9">
      <c r="B1367" s="545">
        <v>4</v>
      </c>
      <c r="C1367" s="545" t="str">
        <f>VLOOKUP(D1367,기본!$B$3:$C$90,2,0)</f>
        <v>삼성 생활가전</v>
      </c>
      <c r="D1367" t="s">
        <v>1874</v>
      </c>
      <c r="E1367" t="s">
        <v>680</v>
      </c>
      <c r="F1367" t="s">
        <v>680</v>
      </c>
      <c r="G1367" t="e">
        <f>VLOOKUP(E1367,기본!$F$3:$G$320,2,0)</f>
        <v>#N/A</v>
      </c>
      <c r="H1367" s="544">
        <v>3035</v>
      </c>
      <c r="I1367">
        <v>24.249650000000003</v>
      </c>
    </row>
    <row r="1368" spans="2:9">
      <c r="B1368" s="545">
        <v>4</v>
      </c>
      <c r="C1368" s="545" t="str">
        <f>VLOOKUP(D1368,기본!$B$3:$C$90,2,0)</f>
        <v>삼성 생활가전</v>
      </c>
      <c r="D1368" t="s">
        <v>1874</v>
      </c>
      <c r="E1368" t="s">
        <v>1875</v>
      </c>
      <c r="F1368" t="s">
        <v>1875</v>
      </c>
      <c r="G1368" t="e">
        <f>VLOOKUP(E1368,기본!$F$3:$G$320,2,0)</f>
        <v>#N/A</v>
      </c>
      <c r="H1368" s="544">
        <v>2880</v>
      </c>
      <c r="I1368">
        <v>17.135999999999999</v>
      </c>
    </row>
    <row r="1369" spans="2:9">
      <c r="B1369" s="545">
        <v>4</v>
      </c>
      <c r="C1369" s="545" t="str">
        <f>VLOOKUP(D1369,기본!$B$3:$C$90,2,0)</f>
        <v>삼성 생활가전</v>
      </c>
      <c r="D1369" t="s">
        <v>1874</v>
      </c>
      <c r="E1369" t="s">
        <v>1876</v>
      </c>
      <c r="F1369" t="s">
        <v>1876</v>
      </c>
      <c r="G1369" t="e">
        <f>VLOOKUP(E1369,기본!$F$3:$G$320,2,0)</f>
        <v>#N/A</v>
      </c>
      <c r="H1369" s="544">
        <v>2800</v>
      </c>
      <c r="I1369">
        <v>16.631999999999998</v>
      </c>
    </row>
    <row r="1370" spans="2:9">
      <c r="B1370" s="545">
        <v>4</v>
      </c>
      <c r="C1370" s="545" t="str">
        <f>VLOOKUP(D1370,기본!$B$3:$C$90,2,0)</f>
        <v>삼성 생활가전</v>
      </c>
      <c r="D1370" t="s">
        <v>1874</v>
      </c>
      <c r="E1370" t="s">
        <v>1877</v>
      </c>
      <c r="F1370" t="s">
        <v>1877</v>
      </c>
      <c r="G1370" t="e">
        <f>VLOOKUP(E1370,기본!$F$3:$G$320,2,0)</f>
        <v>#N/A</v>
      </c>
      <c r="H1370" s="544">
        <v>2640</v>
      </c>
      <c r="I1370">
        <v>15.576000000000001</v>
      </c>
    </row>
    <row r="1371" spans="2:9">
      <c r="B1371" s="545">
        <v>4</v>
      </c>
      <c r="C1371" s="545" t="str">
        <f>VLOOKUP(D1371,기본!$B$3:$C$90,2,0)</f>
        <v>삼성 생활가전</v>
      </c>
      <c r="D1371" t="s">
        <v>1874</v>
      </c>
      <c r="E1371" t="s">
        <v>1878</v>
      </c>
      <c r="F1371" t="s">
        <v>1878</v>
      </c>
      <c r="G1371" t="e">
        <f>VLOOKUP(E1371,기본!$F$3:$G$320,2,0)</f>
        <v>#N/A</v>
      </c>
      <c r="H1371" s="544">
        <v>4320</v>
      </c>
      <c r="I1371">
        <v>25.824960000000001</v>
      </c>
    </row>
    <row r="1372" spans="2:9">
      <c r="B1372" s="545">
        <v>4</v>
      </c>
      <c r="C1372" s="545" t="str">
        <f>VLOOKUP(D1372,기본!$B$3:$C$90,2,0)</f>
        <v>삼성 생활가전</v>
      </c>
      <c r="D1372" t="s">
        <v>1874</v>
      </c>
      <c r="E1372" t="s">
        <v>1879</v>
      </c>
      <c r="F1372" t="s">
        <v>1879</v>
      </c>
      <c r="G1372" t="e">
        <f>VLOOKUP(E1372,기본!$F$3:$G$320,2,0)</f>
        <v>#N/A</v>
      </c>
      <c r="H1372" s="544">
        <v>320</v>
      </c>
      <c r="I1372">
        <v>1.8879999999999999</v>
      </c>
    </row>
    <row r="1373" spans="2:9">
      <c r="B1373" s="545">
        <v>4</v>
      </c>
      <c r="C1373" s="545" t="str">
        <f>VLOOKUP(D1373,기본!$B$3:$C$90,2,0)</f>
        <v>삼성 생활가전</v>
      </c>
      <c r="D1373" t="s">
        <v>1874</v>
      </c>
      <c r="E1373" t="s">
        <v>2299</v>
      </c>
      <c r="F1373" t="s">
        <v>2299</v>
      </c>
      <c r="G1373" t="e">
        <f>VLOOKUP(E1373,기본!$F$3:$G$320,2,0)</f>
        <v>#N/A</v>
      </c>
      <c r="H1373" s="544">
        <v>73728</v>
      </c>
      <c r="I1373">
        <v>220.42460160000002</v>
      </c>
    </row>
    <row r="1374" spans="2:9">
      <c r="B1374" s="545">
        <v>4</v>
      </c>
      <c r="C1374" s="545" t="str">
        <f>VLOOKUP(D1374,기본!$B$3:$C$90,2,0)</f>
        <v>삼성 생활가전</v>
      </c>
      <c r="D1374" t="s">
        <v>1874</v>
      </c>
      <c r="E1374" t="s">
        <v>2003</v>
      </c>
      <c r="F1374" t="s">
        <v>2003</v>
      </c>
      <c r="G1374" t="e">
        <f>VLOOKUP(E1374,기본!$F$3:$G$320,2,0)</f>
        <v>#N/A</v>
      </c>
      <c r="H1374" s="544">
        <v>2880</v>
      </c>
      <c r="I1374">
        <v>17.562989599999998</v>
      </c>
    </row>
    <row r="1375" spans="2:9">
      <c r="B1375" s="545">
        <v>4</v>
      </c>
      <c r="C1375" s="545" t="str">
        <f>VLOOKUP(D1375,기본!$B$3:$C$90,2,0)</f>
        <v>삼성 생활가전</v>
      </c>
      <c r="D1375" t="s">
        <v>1874</v>
      </c>
      <c r="E1375" t="s">
        <v>1194</v>
      </c>
      <c r="F1375" t="s">
        <v>1194</v>
      </c>
      <c r="G1375" t="e">
        <f>VLOOKUP(E1375,기본!$F$3:$G$320,2,0)</f>
        <v>#N/A</v>
      </c>
      <c r="H1375" s="544">
        <v>4655</v>
      </c>
      <c r="I1375">
        <v>23.88015</v>
      </c>
    </row>
    <row r="1376" spans="2:9">
      <c r="B1376" s="545">
        <v>4</v>
      </c>
      <c r="C1376" s="545" t="str">
        <f>VLOOKUP(D1376,기본!$B$3:$C$90,2,0)</f>
        <v>삼성 생활가전</v>
      </c>
      <c r="D1376" t="s">
        <v>1874</v>
      </c>
      <c r="E1376" t="s">
        <v>2546</v>
      </c>
      <c r="F1376" t="s">
        <v>2546</v>
      </c>
      <c r="G1376" t="e">
        <f>VLOOKUP(E1376,기본!$F$3:$G$320,2,0)</f>
        <v>#N/A</v>
      </c>
      <c r="H1376" s="544">
        <v>11682</v>
      </c>
      <c r="I1376">
        <v>62.755704000000001</v>
      </c>
    </row>
    <row r="1377" spans="2:9">
      <c r="B1377" s="545">
        <v>4</v>
      </c>
      <c r="C1377" s="545" t="str">
        <f>VLOOKUP(D1377,기본!$B$3:$C$90,2,0)</f>
        <v>삼성 생활가전</v>
      </c>
      <c r="D1377" t="s">
        <v>1874</v>
      </c>
      <c r="E1377" t="s">
        <v>2033</v>
      </c>
      <c r="F1377" t="s">
        <v>2033</v>
      </c>
      <c r="G1377" t="e">
        <f>VLOOKUP(E1377,기본!$F$3:$G$320,2,0)</f>
        <v>#N/A</v>
      </c>
      <c r="H1377" s="544">
        <v>1156</v>
      </c>
      <c r="I1377">
        <v>15.064929279999999</v>
      </c>
    </row>
    <row r="1378" spans="2:9">
      <c r="B1378" s="545">
        <v>4</v>
      </c>
      <c r="C1378" s="545" t="str">
        <f>VLOOKUP(D1378,기본!$B$3:$C$90,2,0)</f>
        <v>삼성 생활가전</v>
      </c>
      <c r="D1378" t="s">
        <v>1874</v>
      </c>
      <c r="E1378" t="s">
        <v>1946</v>
      </c>
      <c r="F1378" t="s">
        <v>1946</v>
      </c>
      <c r="G1378" t="e">
        <f>VLOOKUP(E1378,기본!$F$3:$G$320,2,0)</f>
        <v>#N/A</v>
      </c>
      <c r="H1378" s="544">
        <v>5</v>
      </c>
      <c r="I1378">
        <v>5.2249999999999998E-2</v>
      </c>
    </row>
    <row r="1379" spans="2:9">
      <c r="B1379" s="545">
        <v>4</v>
      </c>
      <c r="C1379" s="545" t="str">
        <f>VLOOKUP(D1379,기본!$B$3:$C$90,2,0)</f>
        <v>삼성 생활가전</v>
      </c>
      <c r="D1379" t="s">
        <v>1874</v>
      </c>
      <c r="E1379" t="s">
        <v>1947</v>
      </c>
      <c r="F1379" t="s">
        <v>1947</v>
      </c>
      <c r="G1379" t="e">
        <f>VLOOKUP(E1379,기본!$F$3:$G$320,2,0)</f>
        <v>#N/A</v>
      </c>
      <c r="H1379" s="544">
        <v>798</v>
      </c>
      <c r="I1379">
        <v>8.7250659299999995</v>
      </c>
    </row>
    <row r="1380" spans="2:9">
      <c r="B1380" s="545">
        <v>4</v>
      </c>
      <c r="C1380" s="545" t="str">
        <f>VLOOKUP(D1380,기본!$B$3:$C$90,2,0)</f>
        <v>삼성 생활가전</v>
      </c>
      <c r="D1380" t="s">
        <v>1874</v>
      </c>
      <c r="E1380" t="s">
        <v>2507</v>
      </c>
      <c r="F1380" t="s">
        <v>2507</v>
      </c>
      <c r="G1380" t="e">
        <f>VLOOKUP(E1380,기본!$F$3:$G$320,2,0)</f>
        <v>#N/A</v>
      </c>
      <c r="H1380" s="544">
        <v>420</v>
      </c>
      <c r="I1380">
        <v>2.4188703</v>
      </c>
    </row>
    <row r="1381" spans="2:9">
      <c r="B1381" s="545">
        <v>4</v>
      </c>
      <c r="C1381" s="545" t="str">
        <f>VLOOKUP(D1381,기본!$B$3:$C$90,2,0)</f>
        <v>삼성 생활가전</v>
      </c>
      <c r="D1381" t="s">
        <v>1874</v>
      </c>
      <c r="E1381" t="s">
        <v>1410</v>
      </c>
      <c r="F1381" t="s">
        <v>1410</v>
      </c>
      <c r="G1381" t="e">
        <f>VLOOKUP(E1381,기본!$F$3:$G$320,2,0)</f>
        <v>#N/A</v>
      </c>
      <c r="H1381" s="544">
        <v>6753</v>
      </c>
      <c r="I1381">
        <v>95.685888427199998</v>
      </c>
    </row>
    <row r="1382" spans="2:9">
      <c r="B1382" s="545">
        <v>4</v>
      </c>
      <c r="C1382" s="545" t="str">
        <f>VLOOKUP(D1382,기본!$B$3:$C$90,2,0)</f>
        <v>삼성 생활가전</v>
      </c>
      <c r="D1382" t="s">
        <v>1874</v>
      </c>
      <c r="E1382" t="s">
        <v>1883</v>
      </c>
      <c r="F1382" t="s">
        <v>1883</v>
      </c>
      <c r="G1382" t="e">
        <f>VLOOKUP(E1382,기본!$F$3:$G$320,2,0)</f>
        <v>#N/A</v>
      </c>
      <c r="H1382" s="544">
        <v>0</v>
      </c>
      <c r="I1382">
        <v>1.0876680000000001</v>
      </c>
    </row>
    <row r="1383" spans="2:9">
      <c r="B1383" s="545">
        <v>4</v>
      </c>
      <c r="C1383" s="545" t="str">
        <f>VLOOKUP(D1383,기본!$B$3:$C$90,2,0)</f>
        <v>삼성 생활가전</v>
      </c>
      <c r="D1383" t="s">
        <v>1874</v>
      </c>
      <c r="E1383" t="s">
        <v>224</v>
      </c>
      <c r="F1383" t="s">
        <v>224</v>
      </c>
      <c r="G1383" t="str">
        <f>VLOOKUP(E1383,기본!$F$3:$G$320,2,0)</f>
        <v>기타</v>
      </c>
      <c r="H1383" s="544">
        <v>0</v>
      </c>
      <c r="I1383">
        <v>2.5649999999999999</v>
      </c>
    </row>
    <row r="1384" spans="2:9">
      <c r="B1384" s="545">
        <v>4</v>
      </c>
      <c r="C1384" s="545" t="str">
        <f>VLOOKUP(D1384,기본!$B$3:$C$90,2,0)</f>
        <v>삼성 생활가전</v>
      </c>
      <c r="D1384" t="s">
        <v>1884</v>
      </c>
      <c r="E1384" t="s">
        <v>1410</v>
      </c>
      <c r="F1384" t="s">
        <v>1410</v>
      </c>
      <c r="G1384" t="e">
        <f>VLOOKUP(E1384,기본!$F$3:$G$320,2,0)</f>
        <v>#N/A</v>
      </c>
      <c r="H1384" s="544">
        <v>576</v>
      </c>
      <c r="I1384">
        <v>7.4505600000000003</v>
      </c>
    </row>
    <row r="1385" spans="2:9">
      <c r="B1385" s="545">
        <v>4</v>
      </c>
      <c r="C1385" s="545" t="e">
        <f>VLOOKUP(D1385,기본!$B$3:$C$90,2,0)</f>
        <v>#N/A</v>
      </c>
      <c r="D1385" t="s">
        <v>2602</v>
      </c>
      <c r="E1385" t="s">
        <v>224</v>
      </c>
      <c r="F1385" t="s">
        <v>224</v>
      </c>
      <c r="G1385" t="str">
        <f>VLOOKUP(E1385,기본!$F$3:$G$320,2,0)</f>
        <v>기타</v>
      </c>
      <c r="H1385" s="544">
        <v>0</v>
      </c>
      <c r="I1385">
        <v>6.9742800000000003</v>
      </c>
    </row>
    <row r="1386" spans="2:9">
      <c r="B1386" s="545">
        <v>4</v>
      </c>
      <c r="C1386" s="545" t="str">
        <f>VLOOKUP(D1386,기본!$B$3:$C$90,2,0)</f>
        <v>E-Mob</v>
      </c>
      <c r="D1386" t="s">
        <v>2395</v>
      </c>
      <c r="E1386" t="s">
        <v>2603</v>
      </c>
      <c r="F1386" t="s">
        <v>2603</v>
      </c>
      <c r="G1386" t="e">
        <f>VLOOKUP(E1386,기본!$F$3:$G$320,2,0)</f>
        <v>#N/A</v>
      </c>
      <c r="H1386" s="544">
        <v>22896</v>
      </c>
      <c r="I1386">
        <v>73.001056895999994</v>
      </c>
    </row>
    <row r="1387" spans="2:9">
      <c r="B1387" s="545">
        <v>4</v>
      </c>
      <c r="C1387" s="545" t="str">
        <f>VLOOKUP(D1387,기본!$B$3:$C$90,2,0)</f>
        <v>E-Mob</v>
      </c>
      <c r="D1387" t="s">
        <v>2395</v>
      </c>
      <c r="E1387" t="s">
        <v>2348</v>
      </c>
      <c r="F1387" t="s">
        <v>2348</v>
      </c>
      <c r="G1387" t="e">
        <f>VLOOKUP(E1387,기본!$F$3:$G$320,2,0)</f>
        <v>#N/A</v>
      </c>
      <c r="H1387" s="544">
        <v>5040</v>
      </c>
      <c r="I1387">
        <v>17.334137519999999</v>
      </c>
    </row>
    <row r="1388" spans="2:9">
      <c r="B1388" s="545">
        <v>4</v>
      </c>
      <c r="C1388" s="545" t="str">
        <f>VLOOKUP(D1388,기본!$B$3:$C$90,2,0)</f>
        <v>E-Mob</v>
      </c>
      <c r="D1388" t="s">
        <v>2395</v>
      </c>
      <c r="E1388" t="s">
        <v>2349</v>
      </c>
      <c r="F1388" t="s">
        <v>2349</v>
      </c>
      <c r="G1388" t="e">
        <f>VLOOKUP(E1388,기본!$F$3:$G$320,2,0)</f>
        <v>#N/A</v>
      </c>
      <c r="H1388" s="544">
        <v>23175</v>
      </c>
      <c r="I1388">
        <v>59.865080624999997</v>
      </c>
    </row>
    <row r="1389" spans="2:9">
      <c r="B1389" s="545">
        <v>4</v>
      </c>
      <c r="C1389" s="545" t="str">
        <f>VLOOKUP(D1389,기본!$B$3:$C$90,2,0)</f>
        <v>코웨이</v>
      </c>
      <c r="D1389" t="s">
        <v>2192</v>
      </c>
      <c r="E1389" t="s">
        <v>873</v>
      </c>
      <c r="F1389" t="s">
        <v>873</v>
      </c>
      <c r="G1389" t="e">
        <f>VLOOKUP(E1389,기본!$F$3:$G$320,2,0)</f>
        <v>#N/A</v>
      </c>
      <c r="H1389" s="544">
        <v>3080</v>
      </c>
      <c r="I1389">
        <v>21.717079999999999</v>
      </c>
    </row>
    <row r="1390" spans="2:9">
      <c r="B1390" s="545">
        <v>4</v>
      </c>
      <c r="C1390" s="545" t="str">
        <f>VLOOKUP(D1390,기본!$B$3:$C$90,2,0)</f>
        <v>코웨이</v>
      </c>
      <c r="D1390" t="s">
        <v>2192</v>
      </c>
      <c r="E1390" t="s">
        <v>1932</v>
      </c>
      <c r="F1390" t="s">
        <v>1932</v>
      </c>
      <c r="G1390" t="e">
        <f>VLOOKUP(E1390,기본!$F$3:$G$320,2,0)</f>
        <v>#N/A</v>
      </c>
      <c r="H1390" s="544">
        <v>4250</v>
      </c>
      <c r="I1390">
        <v>86.976250000000007</v>
      </c>
    </row>
    <row r="1391" spans="2:9">
      <c r="B1391" s="545">
        <v>4</v>
      </c>
      <c r="C1391" s="545" t="str">
        <f>VLOOKUP(D1391,기본!$B$3:$C$90,2,0)</f>
        <v>코웨이</v>
      </c>
      <c r="D1391" t="s">
        <v>2192</v>
      </c>
      <c r="E1391" t="s">
        <v>1935</v>
      </c>
      <c r="F1391" t="s">
        <v>1935</v>
      </c>
      <c r="G1391" t="e">
        <f>VLOOKUP(E1391,기본!$F$3:$G$320,2,0)</f>
        <v>#N/A</v>
      </c>
      <c r="H1391" s="544">
        <v>4048</v>
      </c>
      <c r="I1391">
        <v>62.650896000000003</v>
      </c>
    </row>
    <row r="1392" spans="2:9">
      <c r="B1392" s="545">
        <v>4</v>
      </c>
      <c r="C1392" s="545" t="str">
        <f>VLOOKUP(D1392,기본!$B$3:$C$90,2,0)</f>
        <v>베터리</v>
      </c>
      <c r="D1392" t="s">
        <v>2041</v>
      </c>
      <c r="E1392" t="s">
        <v>1762</v>
      </c>
      <c r="F1392" t="s">
        <v>1762</v>
      </c>
      <c r="G1392" t="e">
        <f>VLOOKUP(E1392,기본!$F$3:$G$320,2,0)</f>
        <v>#N/A</v>
      </c>
      <c r="H1392" s="544">
        <v>112000</v>
      </c>
      <c r="I1392">
        <v>208.096</v>
      </c>
    </row>
    <row r="1393" spans="2:9">
      <c r="B1393" s="545">
        <v>4</v>
      </c>
      <c r="C1393" s="545" t="str">
        <f>VLOOKUP(D1393,기본!$B$3:$C$90,2,0)</f>
        <v>코웨이</v>
      </c>
      <c r="D1393" t="s">
        <v>2028</v>
      </c>
      <c r="E1393" t="s">
        <v>1894</v>
      </c>
      <c r="F1393" t="s">
        <v>1894</v>
      </c>
      <c r="G1393" t="e">
        <f>VLOOKUP(E1393,기본!$F$3:$G$320,2,0)</f>
        <v>#N/A</v>
      </c>
      <c r="H1393" s="544">
        <v>5352</v>
      </c>
      <c r="I1393">
        <v>45.443832</v>
      </c>
    </row>
    <row r="1394" spans="2:9">
      <c r="B1394" s="545">
        <v>4</v>
      </c>
      <c r="C1394" s="545" t="str">
        <f>VLOOKUP(D1394,기본!$B$3:$C$90,2,0)</f>
        <v>코웨이</v>
      </c>
      <c r="D1394" t="s">
        <v>2028</v>
      </c>
      <c r="E1394" t="s">
        <v>1488</v>
      </c>
      <c r="F1394" t="s">
        <v>1488</v>
      </c>
      <c r="G1394" t="e">
        <f>VLOOKUP(E1394,기본!$F$3:$G$320,2,0)</f>
        <v>#N/A</v>
      </c>
      <c r="H1394" s="544">
        <v>4126</v>
      </c>
      <c r="I1394">
        <v>30.288965999999999</v>
      </c>
    </row>
    <row r="1395" spans="2:9">
      <c r="B1395" s="545">
        <v>4</v>
      </c>
      <c r="C1395" s="545" t="str">
        <f>VLOOKUP(D1395,기본!$B$3:$C$90,2,0)</f>
        <v>코웨이</v>
      </c>
      <c r="D1395" t="s">
        <v>2028</v>
      </c>
      <c r="E1395" t="s">
        <v>1489</v>
      </c>
      <c r="F1395" t="s">
        <v>1489</v>
      </c>
      <c r="G1395" t="e">
        <f>VLOOKUP(E1395,기본!$F$3:$G$320,2,0)</f>
        <v>#N/A</v>
      </c>
      <c r="H1395" s="544">
        <v>704</v>
      </c>
      <c r="I1395">
        <v>4.6992000000000003</v>
      </c>
    </row>
    <row r="1396" spans="2:9">
      <c r="B1396" s="545">
        <v>4</v>
      </c>
      <c r="C1396" s="545" t="str">
        <f>VLOOKUP(D1396,기본!$B$3:$C$90,2,0)</f>
        <v>코웨이</v>
      </c>
      <c r="D1396" t="s">
        <v>2028</v>
      </c>
      <c r="E1396" t="s">
        <v>1900</v>
      </c>
      <c r="F1396" t="s">
        <v>1900</v>
      </c>
      <c r="G1396" t="e">
        <f>VLOOKUP(E1396,기본!$F$3:$G$320,2,0)</f>
        <v>#N/A</v>
      </c>
      <c r="H1396" s="544">
        <v>480</v>
      </c>
      <c r="I1396">
        <v>5.1863999999999999</v>
      </c>
    </row>
    <row r="1397" spans="2:9">
      <c r="B1397" s="545">
        <v>4</v>
      </c>
      <c r="C1397" s="545" t="str">
        <f>VLOOKUP(D1397,기본!$B$3:$C$90,2,0)</f>
        <v>코웨이</v>
      </c>
      <c r="D1397" t="s">
        <v>2028</v>
      </c>
      <c r="E1397" t="s">
        <v>2035</v>
      </c>
      <c r="F1397" t="s">
        <v>2035</v>
      </c>
      <c r="G1397" t="e">
        <f>VLOOKUP(E1397,기본!$F$3:$G$320,2,0)</f>
        <v>#N/A</v>
      </c>
      <c r="H1397" s="544">
        <v>5120</v>
      </c>
      <c r="I1397">
        <v>52.008960000000002</v>
      </c>
    </row>
    <row r="1398" spans="2:9">
      <c r="B1398" s="545">
        <v>4</v>
      </c>
      <c r="C1398" s="545" t="str">
        <f>VLOOKUP(D1398,기본!$B$3:$C$90,2,0)</f>
        <v>코웨이</v>
      </c>
      <c r="D1398" t="s">
        <v>2028</v>
      </c>
      <c r="E1398" t="s">
        <v>1917</v>
      </c>
      <c r="F1398" t="s">
        <v>1917</v>
      </c>
      <c r="G1398" t="e">
        <f>VLOOKUP(E1398,기본!$F$3:$G$320,2,0)</f>
        <v>#N/A</v>
      </c>
      <c r="H1398" s="544">
        <v>1512</v>
      </c>
      <c r="I1398">
        <v>41.029631999999999</v>
      </c>
    </row>
    <row r="1399" spans="2:9">
      <c r="B1399" s="545">
        <v>4</v>
      </c>
      <c r="C1399" s="545" t="str">
        <f>VLOOKUP(D1399,기본!$B$3:$C$90,2,0)</f>
        <v>코웨이</v>
      </c>
      <c r="D1399" t="s">
        <v>1885</v>
      </c>
      <c r="E1399" t="s">
        <v>1026</v>
      </c>
      <c r="F1399" t="s">
        <v>1026</v>
      </c>
      <c r="G1399" t="e">
        <f>VLOOKUP(E1399,기본!$F$3:$G$320,2,0)</f>
        <v>#N/A</v>
      </c>
      <c r="H1399" s="544">
        <v>4152</v>
      </c>
      <c r="I1399">
        <v>25.156967999999999</v>
      </c>
    </row>
    <row r="1400" spans="2:9">
      <c r="B1400" s="545">
        <v>4</v>
      </c>
      <c r="C1400" s="545" t="str">
        <f>VLOOKUP(D1400,기본!$B$3:$C$90,2,0)</f>
        <v>코웨이</v>
      </c>
      <c r="D1400" t="s">
        <v>1885</v>
      </c>
      <c r="E1400" t="s">
        <v>1029</v>
      </c>
      <c r="F1400" t="s">
        <v>1029</v>
      </c>
      <c r="G1400" t="e">
        <f>VLOOKUP(E1400,기본!$F$3:$G$320,2,0)</f>
        <v>#N/A</v>
      </c>
      <c r="H1400" s="544">
        <v>3456</v>
      </c>
      <c r="I1400">
        <v>5.4051840000000002</v>
      </c>
    </row>
    <row r="1401" spans="2:9">
      <c r="B1401" s="545">
        <v>4</v>
      </c>
      <c r="C1401" s="545" t="str">
        <f>VLOOKUP(D1401,기본!$B$3:$C$90,2,0)</f>
        <v>삼성 생활가전</v>
      </c>
      <c r="D1401" t="s">
        <v>2161</v>
      </c>
      <c r="E1401" t="s">
        <v>2162</v>
      </c>
      <c r="F1401" t="s">
        <v>2162</v>
      </c>
      <c r="G1401" t="e">
        <f>VLOOKUP(E1401,기본!$F$3:$G$320,2,0)</f>
        <v>#N/A</v>
      </c>
      <c r="H1401" s="544">
        <v>2880</v>
      </c>
      <c r="I1401">
        <v>20.1312</v>
      </c>
    </row>
    <row r="1402" spans="2:9">
      <c r="B1402" s="545">
        <v>4</v>
      </c>
      <c r="C1402" s="545" t="str">
        <f>VLOOKUP(D1402,기본!$B$3:$C$90,2,0)</f>
        <v>삼성 생활가전</v>
      </c>
      <c r="D1402" t="s">
        <v>2161</v>
      </c>
      <c r="E1402" t="s">
        <v>2451</v>
      </c>
      <c r="F1402" t="s">
        <v>2451</v>
      </c>
      <c r="G1402" t="e">
        <f>VLOOKUP(E1402,기본!$F$3:$G$320,2,0)</f>
        <v>#N/A</v>
      </c>
      <c r="H1402" s="544">
        <v>8520</v>
      </c>
      <c r="I1402">
        <v>62.110799999999998</v>
      </c>
    </row>
    <row r="1403" spans="2:9">
      <c r="B1403" s="545">
        <v>4</v>
      </c>
      <c r="C1403" s="545" t="str">
        <f>VLOOKUP(D1403,기본!$B$3:$C$90,2,0)</f>
        <v>코웨이</v>
      </c>
      <c r="D1403" t="s">
        <v>1886</v>
      </c>
      <c r="E1403" t="s">
        <v>1887</v>
      </c>
      <c r="F1403" t="s">
        <v>1887</v>
      </c>
      <c r="G1403" t="e">
        <f>VLOOKUP(E1403,기본!$F$3:$G$320,2,0)</f>
        <v>#N/A</v>
      </c>
      <c r="H1403" s="544">
        <v>5460</v>
      </c>
      <c r="I1403">
        <v>16.7349</v>
      </c>
    </row>
    <row r="1404" spans="2:9">
      <c r="B1404" s="545">
        <v>4</v>
      </c>
      <c r="C1404" s="545" t="str">
        <f>VLOOKUP(D1404,기본!$B$3:$C$90,2,0)</f>
        <v>코웨이</v>
      </c>
      <c r="D1404" t="s">
        <v>1995</v>
      </c>
      <c r="E1404" t="s">
        <v>2604</v>
      </c>
      <c r="F1404" t="s">
        <v>2604</v>
      </c>
      <c r="G1404" t="e">
        <f>VLOOKUP(E1404,기본!$F$3:$G$320,2,0)</f>
        <v>#N/A</v>
      </c>
      <c r="H1404" s="544">
        <v>900</v>
      </c>
      <c r="I1404">
        <v>108.01952189999999</v>
      </c>
    </row>
    <row r="1405" spans="2:9">
      <c r="B1405" s="545">
        <v>4</v>
      </c>
      <c r="C1405" s="545" t="str">
        <f>VLOOKUP(D1405,기본!$B$3:$C$90,2,0)</f>
        <v>코웨이</v>
      </c>
      <c r="D1405" t="s">
        <v>1995</v>
      </c>
      <c r="E1405" t="s">
        <v>2551</v>
      </c>
      <c r="F1405" t="s">
        <v>2551</v>
      </c>
      <c r="G1405" t="e">
        <f>VLOOKUP(E1405,기본!$F$3:$G$320,2,0)</f>
        <v>#N/A</v>
      </c>
      <c r="H1405" s="544">
        <v>540</v>
      </c>
      <c r="I1405">
        <v>63.703752479999999</v>
      </c>
    </row>
    <row r="1406" spans="2:9">
      <c r="B1406" s="545">
        <v>4</v>
      </c>
      <c r="C1406" s="545" t="str">
        <f>VLOOKUP(D1406,기본!$B$3:$C$90,2,0)</f>
        <v>코웨이</v>
      </c>
      <c r="D1406" t="s">
        <v>1995</v>
      </c>
      <c r="E1406" t="s">
        <v>2605</v>
      </c>
      <c r="F1406" t="s">
        <v>2605</v>
      </c>
      <c r="G1406" t="e">
        <f>VLOOKUP(E1406,기본!$F$3:$G$320,2,0)</f>
        <v>#N/A</v>
      </c>
      <c r="H1406" s="544">
        <v>360</v>
      </c>
      <c r="I1406">
        <v>43.308774</v>
      </c>
    </row>
    <row r="1407" spans="2:9">
      <c r="B1407" s="545">
        <v>4</v>
      </c>
      <c r="C1407" s="545" t="str">
        <f>VLOOKUP(D1407,기본!$B$3:$C$90,2,0)</f>
        <v>코웨이</v>
      </c>
      <c r="D1407" t="s">
        <v>1995</v>
      </c>
      <c r="E1407" t="s">
        <v>1755</v>
      </c>
      <c r="F1407" t="s">
        <v>1755</v>
      </c>
      <c r="G1407" t="e">
        <f>VLOOKUP(E1407,기본!$F$3:$G$320,2,0)</f>
        <v>#N/A</v>
      </c>
      <c r="H1407" s="544">
        <v>1350</v>
      </c>
      <c r="I1407">
        <v>157.76482994999998</v>
      </c>
    </row>
    <row r="1408" spans="2:9">
      <c r="B1408" s="545">
        <v>4</v>
      </c>
      <c r="C1408" s="545" t="str">
        <f>VLOOKUP(D1408,기본!$B$3:$C$90,2,0)</f>
        <v>코웨이</v>
      </c>
      <c r="D1408" t="s">
        <v>1995</v>
      </c>
      <c r="E1408" t="s">
        <v>1754</v>
      </c>
      <c r="F1408" t="s">
        <v>1754</v>
      </c>
      <c r="G1408" t="e">
        <f>VLOOKUP(E1408,기본!$F$3:$G$320,2,0)</f>
        <v>#N/A</v>
      </c>
      <c r="H1408" s="544">
        <v>1800</v>
      </c>
      <c r="I1408">
        <v>210.35310659999999</v>
      </c>
    </row>
    <row r="1409" spans="2:9">
      <c r="B1409" s="545">
        <v>4</v>
      </c>
      <c r="C1409" s="545" t="str">
        <f>VLOOKUP(D1409,기본!$B$3:$C$90,2,0)</f>
        <v>코웨이</v>
      </c>
      <c r="D1409" t="s">
        <v>1995</v>
      </c>
      <c r="E1409" t="s">
        <v>2606</v>
      </c>
      <c r="F1409" t="s">
        <v>2606</v>
      </c>
      <c r="G1409" t="e">
        <f>VLOOKUP(E1409,기본!$F$3:$G$320,2,0)</f>
        <v>#N/A</v>
      </c>
      <c r="H1409" s="544">
        <v>240</v>
      </c>
      <c r="I1409">
        <v>41.44534535999999</v>
      </c>
    </row>
    <row r="1410" spans="2:9">
      <c r="B1410" s="545">
        <v>4</v>
      </c>
      <c r="C1410" s="545" t="str">
        <f>VLOOKUP(D1410,기본!$B$3:$C$90,2,0)</f>
        <v>코웨이</v>
      </c>
      <c r="D1410" t="s">
        <v>1995</v>
      </c>
      <c r="E1410" t="s">
        <v>2398</v>
      </c>
      <c r="F1410" t="s">
        <v>2398</v>
      </c>
      <c r="G1410" t="e">
        <f>VLOOKUP(E1410,기본!$F$3:$G$320,2,0)</f>
        <v>#N/A</v>
      </c>
      <c r="H1410" s="544">
        <v>2720</v>
      </c>
      <c r="I1410">
        <v>450.76315183999992</v>
      </c>
    </row>
    <row r="1411" spans="2:9">
      <c r="B1411" s="545">
        <v>4</v>
      </c>
      <c r="C1411" s="545" t="str">
        <f>VLOOKUP(D1411,기본!$B$3:$C$90,2,0)</f>
        <v>코웨이</v>
      </c>
      <c r="D1411" t="s">
        <v>1995</v>
      </c>
      <c r="E1411" t="s">
        <v>2399</v>
      </c>
      <c r="F1411" t="s">
        <v>2399</v>
      </c>
      <c r="G1411" t="e">
        <f>VLOOKUP(E1411,기본!$F$3:$G$320,2,0)</f>
        <v>#N/A</v>
      </c>
      <c r="H1411" s="544">
        <v>920</v>
      </c>
      <c r="I1411">
        <v>152.46400723999997</v>
      </c>
    </row>
    <row r="1412" spans="2:9">
      <c r="B1412" s="545">
        <v>4</v>
      </c>
      <c r="C1412" s="545" t="str">
        <f>VLOOKUP(D1412,기본!$B$3:$C$90,2,0)</f>
        <v>코웨이</v>
      </c>
      <c r="D1412" t="s">
        <v>1995</v>
      </c>
      <c r="E1412" t="s">
        <v>2607</v>
      </c>
      <c r="F1412" t="s">
        <v>2607</v>
      </c>
      <c r="G1412" t="e">
        <f>VLOOKUP(E1412,기본!$F$3:$G$320,2,0)</f>
        <v>#N/A</v>
      </c>
      <c r="H1412" s="544">
        <v>160</v>
      </c>
      <c r="I1412">
        <v>27.719977119999999</v>
      </c>
    </row>
    <row r="1413" spans="2:9">
      <c r="B1413" s="545">
        <v>4</v>
      </c>
      <c r="C1413" s="545" t="str">
        <f>VLOOKUP(D1413,기본!$B$3:$C$90,2,0)</f>
        <v>코웨이</v>
      </c>
      <c r="D1413" t="s">
        <v>1995</v>
      </c>
      <c r="E1413" t="s">
        <v>2064</v>
      </c>
      <c r="F1413" t="s">
        <v>2064</v>
      </c>
      <c r="G1413" t="e">
        <f>VLOOKUP(E1413,기본!$F$3:$G$320,2,0)</f>
        <v>#N/A</v>
      </c>
      <c r="H1413" s="544">
        <v>528</v>
      </c>
      <c r="I1413">
        <v>87.610195727999979</v>
      </c>
    </row>
    <row r="1414" spans="2:9">
      <c r="B1414" s="545">
        <v>4</v>
      </c>
      <c r="C1414" s="545" t="str">
        <f>VLOOKUP(D1414,기본!$B$3:$C$90,2,0)</f>
        <v>코웨이</v>
      </c>
      <c r="D1414" t="s">
        <v>1995</v>
      </c>
      <c r="E1414" t="s">
        <v>2065</v>
      </c>
      <c r="F1414" t="s">
        <v>2065</v>
      </c>
      <c r="G1414" t="e">
        <f>VLOOKUP(E1414,기본!$F$3:$G$320,2,0)</f>
        <v>#N/A</v>
      </c>
      <c r="H1414" s="544">
        <v>528</v>
      </c>
      <c r="I1414">
        <v>87.610195727999979</v>
      </c>
    </row>
    <row r="1415" spans="2:9">
      <c r="B1415" s="545">
        <v>4</v>
      </c>
      <c r="C1415" s="545" t="str">
        <f>VLOOKUP(D1415,기본!$B$3:$C$90,2,0)</f>
        <v>코웨이</v>
      </c>
      <c r="D1415" t="s">
        <v>1995</v>
      </c>
      <c r="E1415" t="s">
        <v>2509</v>
      </c>
      <c r="F1415" t="s">
        <v>2509</v>
      </c>
      <c r="G1415" t="e">
        <f>VLOOKUP(E1415,기본!$F$3:$G$320,2,0)</f>
        <v>#N/A</v>
      </c>
      <c r="H1415" s="544">
        <v>280</v>
      </c>
      <c r="I1415">
        <v>29.051419320000001</v>
      </c>
    </row>
    <row r="1416" spans="2:9">
      <c r="B1416" s="545">
        <v>4</v>
      </c>
      <c r="C1416" s="545" t="str">
        <f>VLOOKUP(D1416,기본!$B$3:$C$90,2,0)</f>
        <v>코웨이</v>
      </c>
      <c r="D1416" t="s">
        <v>1995</v>
      </c>
      <c r="E1416" t="s">
        <v>2608</v>
      </c>
      <c r="F1416" t="s">
        <v>2608</v>
      </c>
      <c r="G1416" t="e">
        <f>VLOOKUP(E1416,기본!$F$3:$G$320,2,0)</f>
        <v>#N/A</v>
      </c>
      <c r="H1416" s="544">
        <v>144</v>
      </c>
      <c r="I1416">
        <v>12.162591647999999</v>
      </c>
    </row>
    <row r="1417" spans="2:9">
      <c r="B1417" s="545">
        <v>4</v>
      </c>
      <c r="C1417" s="545" t="str">
        <f>VLOOKUP(D1417,기본!$B$3:$C$90,2,0)</f>
        <v>코웨이</v>
      </c>
      <c r="D1417" t="s">
        <v>1995</v>
      </c>
      <c r="E1417" t="s">
        <v>2510</v>
      </c>
      <c r="F1417" t="s">
        <v>2510</v>
      </c>
      <c r="G1417" t="e">
        <f>VLOOKUP(E1417,기본!$F$3:$G$320,2,0)</f>
        <v>#N/A</v>
      </c>
      <c r="H1417" s="544">
        <v>3776</v>
      </c>
      <c r="I1417">
        <v>318.93018099199998</v>
      </c>
    </row>
    <row r="1418" spans="2:9">
      <c r="B1418" s="545">
        <v>4</v>
      </c>
      <c r="C1418" s="545" t="str">
        <f>VLOOKUP(D1418,기본!$B$3:$C$90,2,0)</f>
        <v>코웨이</v>
      </c>
      <c r="D1418" t="s">
        <v>1995</v>
      </c>
      <c r="E1418" t="s">
        <v>1996</v>
      </c>
      <c r="F1418" t="s">
        <v>1996</v>
      </c>
      <c r="G1418" t="str">
        <f>VLOOKUP(E1418,기본!$F$3:$G$320,2,0)</f>
        <v>EMS</v>
      </c>
      <c r="H1418" s="544">
        <v>560</v>
      </c>
      <c r="I1418">
        <v>44.372746879999994</v>
      </c>
    </row>
    <row r="1419" spans="2:9">
      <c r="B1419" s="545">
        <v>4</v>
      </c>
      <c r="C1419" s="545" t="str">
        <f>VLOOKUP(D1419,기본!$B$3:$C$90,2,0)</f>
        <v>코웨이</v>
      </c>
      <c r="D1419" t="s">
        <v>1995</v>
      </c>
      <c r="E1419" t="s">
        <v>1997</v>
      </c>
      <c r="F1419" t="s">
        <v>1997</v>
      </c>
      <c r="G1419" t="e">
        <f>VLOOKUP(E1419,기본!$F$3:$G$320,2,0)</f>
        <v>#N/A</v>
      </c>
      <c r="H1419" s="544">
        <v>3640</v>
      </c>
      <c r="I1419">
        <v>288.42285472000003</v>
      </c>
    </row>
    <row r="1420" spans="2:9">
      <c r="B1420" s="545">
        <v>4</v>
      </c>
      <c r="C1420" s="545" t="str">
        <f>VLOOKUP(D1420,기본!$B$3:$C$90,2,0)</f>
        <v>코웨이</v>
      </c>
      <c r="D1420" t="s">
        <v>1888</v>
      </c>
      <c r="E1420" t="s">
        <v>1889</v>
      </c>
      <c r="F1420" t="s">
        <v>1889</v>
      </c>
      <c r="G1420" t="e">
        <f>VLOOKUP(E1420,기본!$F$3:$G$320,2,0)</f>
        <v>#N/A</v>
      </c>
      <c r="H1420" s="544">
        <v>161</v>
      </c>
      <c r="I1420">
        <v>1.024054</v>
      </c>
    </row>
    <row r="1421" spans="2:9">
      <c r="B1421" s="545">
        <v>4</v>
      </c>
      <c r="C1421" s="545" t="str">
        <f>VLOOKUP(D1421,기본!$B$3:$C$90,2,0)</f>
        <v>코웨이</v>
      </c>
      <c r="D1421" t="s">
        <v>1888</v>
      </c>
      <c r="E1421" t="s">
        <v>1047</v>
      </c>
      <c r="F1421" t="s">
        <v>1047</v>
      </c>
      <c r="G1421" t="e">
        <f>VLOOKUP(E1421,기본!$F$3:$G$320,2,0)</f>
        <v>#N/A</v>
      </c>
      <c r="H1421" s="544">
        <v>370</v>
      </c>
      <c r="I1421">
        <v>2.2181500000000001</v>
      </c>
    </row>
    <row r="1422" spans="2:9">
      <c r="B1422" s="545">
        <v>4</v>
      </c>
      <c r="C1422" s="545" t="str">
        <f>VLOOKUP(D1422,기본!$B$3:$C$90,2,0)</f>
        <v>코웨이</v>
      </c>
      <c r="D1422" t="s">
        <v>1888</v>
      </c>
      <c r="E1422" t="s">
        <v>1048</v>
      </c>
      <c r="F1422" t="s">
        <v>1048</v>
      </c>
      <c r="G1422" t="e">
        <f>VLOOKUP(E1422,기본!$F$3:$G$320,2,0)</f>
        <v>#N/A</v>
      </c>
      <c r="H1422" s="544">
        <v>2726</v>
      </c>
      <c r="I1422">
        <v>9.6073620000000002</v>
      </c>
    </row>
    <row r="1423" spans="2:9">
      <c r="B1423" s="545">
        <v>4</v>
      </c>
      <c r="C1423" s="545" t="str">
        <f>VLOOKUP(D1423,기본!$B$3:$C$90,2,0)</f>
        <v>코웨이</v>
      </c>
      <c r="D1423" t="s">
        <v>1888</v>
      </c>
      <c r="E1423" t="s">
        <v>1049</v>
      </c>
      <c r="F1423" t="s">
        <v>1049</v>
      </c>
      <c r="G1423" t="e">
        <f>VLOOKUP(E1423,기본!$F$3:$G$320,2,0)</f>
        <v>#N/A</v>
      </c>
      <c r="H1423" s="544">
        <v>1939</v>
      </c>
      <c r="I1423">
        <v>13.148358999999999</v>
      </c>
    </row>
    <row r="1424" spans="2:9">
      <c r="B1424" s="545">
        <v>4</v>
      </c>
      <c r="C1424" s="545" t="str">
        <f>VLOOKUP(D1424,기본!$B$3:$C$90,2,0)</f>
        <v>코웨이</v>
      </c>
      <c r="D1424" t="s">
        <v>1888</v>
      </c>
      <c r="E1424" t="s">
        <v>1998</v>
      </c>
      <c r="F1424" t="s">
        <v>1998</v>
      </c>
      <c r="G1424" t="e">
        <f>VLOOKUP(E1424,기본!$F$3:$G$320,2,0)</f>
        <v>#N/A</v>
      </c>
      <c r="H1424" s="544">
        <v>218</v>
      </c>
      <c r="I1424">
        <v>1.851038</v>
      </c>
    </row>
    <row r="1425" spans="2:9">
      <c r="B1425" s="545">
        <v>4</v>
      </c>
      <c r="C1425" s="545" t="str">
        <f>VLOOKUP(D1425,기본!$B$3:$C$90,2,0)</f>
        <v>코웨이</v>
      </c>
      <c r="D1425" t="s">
        <v>1888</v>
      </c>
      <c r="E1425" t="s">
        <v>1894</v>
      </c>
      <c r="F1425" t="s">
        <v>1894</v>
      </c>
      <c r="G1425" t="e">
        <f>VLOOKUP(E1425,기본!$F$3:$G$320,2,0)</f>
        <v>#N/A</v>
      </c>
      <c r="H1425" s="544">
        <v>40</v>
      </c>
      <c r="I1425">
        <v>0.36343999999999999</v>
      </c>
    </row>
    <row r="1426" spans="2:9">
      <c r="B1426" s="545">
        <v>4</v>
      </c>
      <c r="C1426" s="545" t="str">
        <f>VLOOKUP(D1426,기본!$B$3:$C$90,2,0)</f>
        <v>코웨이</v>
      </c>
      <c r="D1426" t="s">
        <v>1888</v>
      </c>
      <c r="E1426" t="s">
        <v>2008</v>
      </c>
      <c r="F1426" t="s">
        <v>2008</v>
      </c>
      <c r="G1426" t="e">
        <f>VLOOKUP(E1426,기본!$F$3:$G$320,2,0)</f>
        <v>#N/A</v>
      </c>
      <c r="H1426" s="544">
        <v>1415</v>
      </c>
      <c r="I1426">
        <v>13.920770000000001</v>
      </c>
    </row>
    <row r="1427" spans="2:9">
      <c r="B1427" s="545">
        <v>4</v>
      </c>
      <c r="C1427" s="545" t="str">
        <f>VLOOKUP(D1427,기본!$B$3:$C$90,2,0)</f>
        <v>코웨이</v>
      </c>
      <c r="D1427" t="s">
        <v>1888</v>
      </c>
      <c r="E1427" t="s">
        <v>2009</v>
      </c>
      <c r="F1427" t="s">
        <v>2009</v>
      </c>
      <c r="G1427" t="e">
        <f>VLOOKUP(E1427,기본!$F$3:$G$320,2,0)</f>
        <v>#N/A</v>
      </c>
      <c r="H1427" s="544">
        <v>1515</v>
      </c>
      <c r="I1427">
        <v>24.98949</v>
      </c>
    </row>
    <row r="1428" spans="2:9">
      <c r="B1428" s="545">
        <v>4</v>
      </c>
      <c r="C1428" s="545" t="str">
        <f>VLOOKUP(D1428,기본!$B$3:$C$90,2,0)</f>
        <v>코웨이</v>
      </c>
      <c r="D1428" t="s">
        <v>1888</v>
      </c>
      <c r="E1428" t="s">
        <v>2519</v>
      </c>
      <c r="F1428" t="s">
        <v>2519</v>
      </c>
      <c r="G1428" t="e">
        <f>VLOOKUP(E1428,기본!$F$3:$G$320,2,0)</f>
        <v>#N/A</v>
      </c>
      <c r="H1428" s="544">
        <v>24</v>
      </c>
      <c r="I1428">
        <v>0.33093600000000001</v>
      </c>
    </row>
    <row r="1429" spans="2:9">
      <c r="B1429" s="545">
        <v>4</v>
      </c>
      <c r="C1429" s="545" t="str">
        <f>VLOOKUP(D1429,기본!$B$3:$C$90,2,0)</f>
        <v>코웨이</v>
      </c>
      <c r="D1429" t="s">
        <v>1888</v>
      </c>
      <c r="E1429" t="s">
        <v>1895</v>
      </c>
      <c r="F1429" t="s">
        <v>1895</v>
      </c>
      <c r="G1429" t="e">
        <f>VLOOKUP(E1429,기본!$F$3:$G$320,2,0)</f>
        <v>#N/A</v>
      </c>
      <c r="H1429" s="544">
        <v>300</v>
      </c>
      <c r="I1429">
        <v>4.3187999999999995</v>
      </c>
    </row>
    <row r="1430" spans="2:9">
      <c r="B1430" s="545">
        <v>4</v>
      </c>
      <c r="C1430" s="545" t="str">
        <f>VLOOKUP(D1430,기본!$B$3:$C$90,2,0)</f>
        <v>코웨이</v>
      </c>
      <c r="D1430" t="s">
        <v>1888</v>
      </c>
      <c r="E1430" t="s">
        <v>2511</v>
      </c>
      <c r="F1430" t="s">
        <v>2511</v>
      </c>
      <c r="G1430" t="e">
        <f>VLOOKUP(E1430,기본!$F$3:$G$320,2,0)</f>
        <v>#N/A</v>
      </c>
      <c r="H1430" s="544">
        <v>250</v>
      </c>
      <c r="I1430">
        <v>4.7762500000000001</v>
      </c>
    </row>
    <row r="1431" spans="2:9">
      <c r="B1431" s="545">
        <v>4</v>
      </c>
      <c r="C1431" s="545" t="str">
        <f>VLOOKUP(D1431,기본!$B$3:$C$90,2,0)</f>
        <v>코웨이</v>
      </c>
      <c r="D1431" t="s">
        <v>1888</v>
      </c>
      <c r="E1431" t="s">
        <v>1896</v>
      </c>
      <c r="F1431" t="s">
        <v>1896</v>
      </c>
      <c r="G1431" t="e">
        <f>VLOOKUP(E1431,기본!$F$3:$G$320,2,0)</f>
        <v>#N/A</v>
      </c>
      <c r="H1431" s="544">
        <v>795</v>
      </c>
      <c r="I1431">
        <v>12.348084000000002</v>
      </c>
    </row>
    <row r="1432" spans="2:9">
      <c r="B1432" s="545">
        <v>4</v>
      </c>
      <c r="C1432" s="545" t="str">
        <f>VLOOKUP(D1432,기본!$B$3:$C$90,2,0)</f>
        <v>코웨이</v>
      </c>
      <c r="D1432" t="s">
        <v>1888</v>
      </c>
      <c r="E1432" t="s">
        <v>1897</v>
      </c>
      <c r="F1432" t="s">
        <v>1897</v>
      </c>
      <c r="G1432" t="e">
        <f>VLOOKUP(E1432,기본!$F$3:$G$320,2,0)</f>
        <v>#N/A</v>
      </c>
      <c r="H1432" s="544">
        <v>22183</v>
      </c>
      <c r="I1432">
        <v>351.59853500000003</v>
      </c>
    </row>
    <row r="1433" spans="2:9">
      <c r="B1433" s="545">
        <v>4</v>
      </c>
      <c r="C1433" s="545" t="str">
        <f>VLOOKUP(D1433,기본!$B$3:$C$90,2,0)</f>
        <v>코웨이</v>
      </c>
      <c r="D1433" t="s">
        <v>1888</v>
      </c>
      <c r="E1433" t="s">
        <v>1486</v>
      </c>
      <c r="F1433" t="s">
        <v>1486</v>
      </c>
      <c r="G1433" t="e">
        <f>VLOOKUP(E1433,기본!$F$3:$G$320,2,0)</f>
        <v>#N/A</v>
      </c>
      <c r="H1433" s="544">
        <v>1001</v>
      </c>
      <c r="I1433">
        <v>8.7677589999999999</v>
      </c>
    </row>
    <row r="1434" spans="2:9">
      <c r="B1434" s="545">
        <v>4</v>
      </c>
      <c r="C1434" s="545" t="str">
        <f>VLOOKUP(D1434,기본!$B$3:$C$90,2,0)</f>
        <v>코웨이</v>
      </c>
      <c r="D1434" t="s">
        <v>1888</v>
      </c>
      <c r="E1434" t="s">
        <v>1487</v>
      </c>
      <c r="F1434" t="s">
        <v>1487</v>
      </c>
      <c r="G1434" t="e">
        <f>VLOOKUP(E1434,기본!$F$3:$G$320,2,0)</f>
        <v>#N/A</v>
      </c>
      <c r="H1434" s="544">
        <v>143</v>
      </c>
      <c r="I1434">
        <v>1.154439</v>
      </c>
    </row>
    <row r="1435" spans="2:9">
      <c r="B1435" s="545">
        <v>4</v>
      </c>
      <c r="C1435" s="545" t="str">
        <f>VLOOKUP(D1435,기본!$B$3:$C$90,2,0)</f>
        <v>코웨이</v>
      </c>
      <c r="D1435" t="s">
        <v>1888</v>
      </c>
      <c r="E1435" t="s">
        <v>1898</v>
      </c>
      <c r="F1435" t="s">
        <v>1898</v>
      </c>
      <c r="G1435" t="e">
        <f>VLOOKUP(E1435,기본!$F$3:$G$320,2,0)</f>
        <v>#N/A</v>
      </c>
      <c r="H1435" s="544">
        <v>812</v>
      </c>
      <c r="I1435">
        <v>7.0985040000000001</v>
      </c>
    </row>
    <row r="1436" spans="2:9">
      <c r="B1436" s="545">
        <v>4</v>
      </c>
      <c r="C1436" s="545" t="str">
        <f>VLOOKUP(D1436,기본!$B$3:$C$90,2,0)</f>
        <v>코웨이</v>
      </c>
      <c r="D1436" t="s">
        <v>1888</v>
      </c>
      <c r="E1436" t="s">
        <v>2034</v>
      </c>
      <c r="F1436" t="s">
        <v>2034</v>
      </c>
      <c r="G1436" t="e">
        <f>VLOOKUP(E1436,기본!$F$3:$G$320,2,0)</f>
        <v>#N/A</v>
      </c>
      <c r="H1436" s="544">
        <v>91</v>
      </c>
      <c r="I1436">
        <v>2.1233940000000002</v>
      </c>
    </row>
    <row r="1437" spans="2:9">
      <c r="B1437" s="545">
        <v>4</v>
      </c>
      <c r="C1437" s="545" t="str">
        <f>VLOOKUP(D1437,기본!$B$3:$C$90,2,0)</f>
        <v>코웨이</v>
      </c>
      <c r="D1437" t="s">
        <v>1888</v>
      </c>
      <c r="E1437" t="s">
        <v>1899</v>
      </c>
      <c r="F1437" t="s">
        <v>1899</v>
      </c>
      <c r="G1437" t="e">
        <f>VLOOKUP(E1437,기본!$F$3:$G$320,2,0)</f>
        <v>#N/A</v>
      </c>
      <c r="H1437" s="544">
        <v>200</v>
      </c>
      <c r="I1437">
        <v>1.8846000000000001</v>
      </c>
    </row>
    <row r="1438" spans="2:9">
      <c r="B1438" s="545">
        <v>4</v>
      </c>
      <c r="C1438" s="545" t="str">
        <f>VLOOKUP(D1438,기본!$B$3:$C$90,2,0)</f>
        <v>코웨이</v>
      </c>
      <c r="D1438" t="s">
        <v>1888</v>
      </c>
      <c r="E1438" t="s">
        <v>1901</v>
      </c>
      <c r="F1438" t="s">
        <v>1901</v>
      </c>
      <c r="G1438" t="e">
        <f>VLOOKUP(E1438,기본!$F$3:$G$320,2,0)</f>
        <v>#N/A</v>
      </c>
      <c r="H1438" s="544">
        <v>249</v>
      </c>
      <c r="I1438">
        <v>2.5194540000000001</v>
      </c>
    </row>
    <row r="1439" spans="2:9">
      <c r="B1439" s="545">
        <v>4</v>
      </c>
      <c r="C1439" s="545" t="str">
        <f>VLOOKUP(D1439,기본!$B$3:$C$90,2,0)</f>
        <v>코웨이</v>
      </c>
      <c r="D1439" t="s">
        <v>1888</v>
      </c>
      <c r="E1439" t="s">
        <v>1902</v>
      </c>
      <c r="F1439" t="s">
        <v>1902</v>
      </c>
      <c r="G1439" t="e">
        <f>VLOOKUP(E1439,기본!$F$3:$G$320,2,0)</f>
        <v>#N/A</v>
      </c>
      <c r="H1439" s="544">
        <v>22</v>
      </c>
      <c r="I1439">
        <v>0.478016</v>
      </c>
    </row>
    <row r="1440" spans="2:9">
      <c r="B1440" s="545">
        <v>4</v>
      </c>
      <c r="C1440" s="545" t="str">
        <f>VLOOKUP(D1440,기본!$B$3:$C$90,2,0)</f>
        <v>코웨이</v>
      </c>
      <c r="D1440" t="s">
        <v>1888</v>
      </c>
      <c r="E1440" t="s">
        <v>1904</v>
      </c>
      <c r="F1440" t="s">
        <v>1904</v>
      </c>
      <c r="G1440" t="e">
        <f>VLOOKUP(E1440,기본!$F$3:$G$320,2,0)</f>
        <v>#N/A</v>
      </c>
      <c r="H1440" s="544">
        <v>586</v>
      </c>
      <c r="I1440">
        <v>13.22246</v>
      </c>
    </row>
    <row r="1441" spans="2:9">
      <c r="B1441" s="545">
        <v>4</v>
      </c>
      <c r="C1441" s="545" t="str">
        <f>VLOOKUP(D1441,기본!$B$3:$C$90,2,0)</f>
        <v>코웨이</v>
      </c>
      <c r="D1441" t="s">
        <v>1888</v>
      </c>
      <c r="E1441" t="s">
        <v>1905</v>
      </c>
      <c r="F1441" t="s">
        <v>1905</v>
      </c>
      <c r="G1441" t="e">
        <f>VLOOKUP(E1441,기본!$F$3:$G$320,2,0)</f>
        <v>#N/A</v>
      </c>
      <c r="H1441" s="544">
        <v>108</v>
      </c>
      <c r="I1441">
        <v>2.4904799999999998</v>
      </c>
    </row>
    <row r="1442" spans="2:9">
      <c r="B1442" s="545">
        <v>4</v>
      </c>
      <c r="C1442" s="545" t="str">
        <f>VLOOKUP(D1442,기본!$B$3:$C$90,2,0)</f>
        <v>코웨이</v>
      </c>
      <c r="D1442" t="s">
        <v>1888</v>
      </c>
      <c r="E1442" t="s">
        <v>2512</v>
      </c>
      <c r="F1442" t="s">
        <v>2512</v>
      </c>
      <c r="G1442" t="e">
        <f>VLOOKUP(E1442,기본!$F$3:$G$320,2,0)</f>
        <v>#N/A</v>
      </c>
      <c r="H1442" s="544">
        <v>356</v>
      </c>
      <c r="I1442">
        <v>2.9683280000000001</v>
      </c>
    </row>
    <row r="1443" spans="2:9">
      <c r="B1443" s="545">
        <v>4</v>
      </c>
      <c r="C1443" s="545" t="str">
        <f>VLOOKUP(D1443,기본!$B$3:$C$90,2,0)</f>
        <v>코웨이</v>
      </c>
      <c r="D1443" t="s">
        <v>1888</v>
      </c>
      <c r="E1443" t="s">
        <v>1906</v>
      </c>
      <c r="F1443" t="s">
        <v>1906</v>
      </c>
      <c r="G1443" t="e">
        <f>VLOOKUP(E1443,기본!$F$3:$G$320,2,0)</f>
        <v>#N/A</v>
      </c>
      <c r="H1443" s="544">
        <v>417</v>
      </c>
      <c r="I1443">
        <v>1.0337430000000001</v>
      </c>
    </row>
    <row r="1444" spans="2:9">
      <c r="B1444" s="545">
        <v>4</v>
      </c>
      <c r="C1444" s="545" t="str">
        <f>VLOOKUP(D1444,기본!$B$3:$C$90,2,0)</f>
        <v>코웨이</v>
      </c>
      <c r="D1444" t="s">
        <v>1888</v>
      </c>
      <c r="E1444" t="s">
        <v>1907</v>
      </c>
      <c r="F1444" t="s">
        <v>1907</v>
      </c>
      <c r="G1444" t="e">
        <f>VLOOKUP(E1444,기본!$F$3:$G$320,2,0)</f>
        <v>#N/A</v>
      </c>
      <c r="H1444" s="544">
        <v>2148</v>
      </c>
      <c r="I1444">
        <v>15.518040000000001</v>
      </c>
    </row>
    <row r="1445" spans="2:9">
      <c r="B1445" s="545">
        <v>4</v>
      </c>
      <c r="C1445" s="545" t="str">
        <f>VLOOKUP(D1445,기본!$B$3:$C$90,2,0)</f>
        <v>코웨이</v>
      </c>
      <c r="D1445" t="s">
        <v>1888</v>
      </c>
      <c r="E1445" t="s">
        <v>1908</v>
      </c>
      <c r="F1445" t="s">
        <v>1908</v>
      </c>
      <c r="G1445" t="e">
        <f>VLOOKUP(E1445,기본!$F$3:$G$320,2,0)</f>
        <v>#N/A</v>
      </c>
      <c r="H1445" s="544">
        <v>2368</v>
      </c>
      <c r="I1445">
        <v>41.839615999999999</v>
      </c>
    </row>
    <row r="1446" spans="2:9">
      <c r="B1446" s="545">
        <v>4</v>
      </c>
      <c r="C1446" s="545" t="str">
        <f>VLOOKUP(D1446,기본!$B$3:$C$90,2,0)</f>
        <v>코웨이</v>
      </c>
      <c r="D1446" t="s">
        <v>1888</v>
      </c>
      <c r="E1446" t="s">
        <v>2035</v>
      </c>
      <c r="F1446" t="s">
        <v>2035</v>
      </c>
      <c r="G1446" t="e">
        <f>VLOOKUP(E1446,기본!$F$3:$G$320,2,0)</f>
        <v>#N/A</v>
      </c>
      <c r="H1446" s="544">
        <v>15358</v>
      </c>
      <c r="I1446">
        <v>156.05132400000002</v>
      </c>
    </row>
    <row r="1447" spans="2:9">
      <c r="B1447" s="545">
        <v>4</v>
      </c>
      <c r="C1447" s="545" t="str">
        <f>VLOOKUP(D1447,기본!$B$3:$C$90,2,0)</f>
        <v>코웨이</v>
      </c>
      <c r="D1447" t="s">
        <v>1888</v>
      </c>
      <c r="E1447" t="s">
        <v>2556</v>
      </c>
      <c r="F1447" t="s">
        <v>2556</v>
      </c>
      <c r="G1447" t="e">
        <f>VLOOKUP(E1447,기본!$F$3:$G$320,2,0)</f>
        <v>#N/A</v>
      </c>
      <c r="H1447" s="544">
        <v>150</v>
      </c>
      <c r="I1447">
        <v>3.6015000000000001</v>
      </c>
    </row>
    <row r="1448" spans="2:9">
      <c r="B1448" s="545">
        <v>4</v>
      </c>
      <c r="C1448" s="545" t="str">
        <f>VLOOKUP(D1448,기본!$B$3:$C$90,2,0)</f>
        <v>코웨이</v>
      </c>
      <c r="D1448" t="s">
        <v>1888</v>
      </c>
      <c r="E1448" t="s">
        <v>1910</v>
      </c>
      <c r="F1448" t="s">
        <v>1910</v>
      </c>
      <c r="G1448" t="e">
        <f>VLOOKUP(E1448,기본!$F$3:$G$320,2,0)</f>
        <v>#N/A</v>
      </c>
      <c r="H1448" s="544">
        <v>2260</v>
      </c>
      <c r="I1448">
        <v>42.317270000000008</v>
      </c>
    </row>
    <row r="1449" spans="2:9">
      <c r="B1449" s="545">
        <v>4</v>
      </c>
      <c r="C1449" s="545" t="str">
        <f>VLOOKUP(D1449,기본!$B$3:$C$90,2,0)</f>
        <v>코웨이</v>
      </c>
      <c r="D1449" t="s">
        <v>1888</v>
      </c>
      <c r="E1449" t="s">
        <v>1911</v>
      </c>
      <c r="F1449" t="s">
        <v>1911</v>
      </c>
      <c r="G1449" t="e">
        <f>VLOOKUP(E1449,기본!$F$3:$G$320,2,0)</f>
        <v>#N/A</v>
      </c>
      <c r="H1449" s="544">
        <v>90</v>
      </c>
      <c r="I1449">
        <v>1.60398</v>
      </c>
    </row>
    <row r="1450" spans="2:9">
      <c r="B1450" s="545">
        <v>4</v>
      </c>
      <c r="C1450" s="545" t="str">
        <f>VLOOKUP(D1450,기본!$B$3:$C$90,2,0)</f>
        <v>코웨이</v>
      </c>
      <c r="D1450" t="s">
        <v>1888</v>
      </c>
      <c r="E1450" t="s">
        <v>1912</v>
      </c>
      <c r="F1450" t="s">
        <v>1912</v>
      </c>
      <c r="G1450" t="e">
        <f>VLOOKUP(E1450,기본!$F$3:$G$320,2,0)</f>
        <v>#N/A</v>
      </c>
      <c r="H1450" s="544">
        <v>8322</v>
      </c>
      <c r="I1450">
        <v>152.87099599999999</v>
      </c>
    </row>
    <row r="1451" spans="2:9">
      <c r="B1451" s="545">
        <v>4</v>
      </c>
      <c r="C1451" s="545" t="str">
        <f>VLOOKUP(D1451,기본!$B$3:$C$90,2,0)</f>
        <v>코웨이</v>
      </c>
      <c r="D1451" t="s">
        <v>1888</v>
      </c>
      <c r="E1451" t="s">
        <v>1043</v>
      </c>
      <c r="F1451" t="s">
        <v>1043</v>
      </c>
      <c r="G1451" t="e">
        <f>VLOOKUP(E1451,기본!$F$3:$G$320,2,0)</f>
        <v>#N/A</v>
      </c>
      <c r="H1451" s="544">
        <v>558</v>
      </c>
      <c r="I1451">
        <v>7.0151760000000003</v>
      </c>
    </row>
    <row r="1452" spans="2:9">
      <c r="B1452" s="545">
        <v>4</v>
      </c>
      <c r="C1452" s="545" t="str">
        <f>VLOOKUP(D1452,기본!$B$3:$C$90,2,0)</f>
        <v>코웨이</v>
      </c>
      <c r="D1452" t="s">
        <v>1888</v>
      </c>
      <c r="E1452" t="s">
        <v>2061</v>
      </c>
      <c r="F1452" t="s">
        <v>2061</v>
      </c>
      <c r="G1452" t="e">
        <f>VLOOKUP(E1452,기본!$F$3:$G$320,2,0)</f>
        <v>#N/A</v>
      </c>
      <c r="H1452" s="544">
        <v>20</v>
      </c>
      <c r="I1452">
        <v>0.38647999999999999</v>
      </c>
    </row>
    <row r="1453" spans="2:9">
      <c r="B1453" s="545">
        <v>4</v>
      </c>
      <c r="C1453" s="545" t="str">
        <f>VLOOKUP(D1453,기본!$B$3:$C$90,2,0)</f>
        <v>코웨이</v>
      </c>
      <c r="D1453" t="s">
        <v>1888</v>
      </c>
      <c r="E1453" t="s">
        <v>1913</v>
      </c>
      <c r="F1453" t="s">
        <v>1913</v>
      </c>
      <c r="G1453" t="e">
        <f>VLOOKUP(E1453,기본!$F$3:$G$320,2,0)</f>
        <v>#N/A</v>
      </c>
      <c r="H1453" s="544">
        <v>1062</v>
      </c>
      <c r="I1453">
        <v>9.9658080000000009</v>
      </c>
    </row>
    <row r="1454" spans="2:9">
      <c r="B1454" s="545">
        <v>4</v>
      </c>
      <c r="C1454" s="545" t="str">
        <f>VLOOKUP(D1454,기본!$B$3:$C$90,2,0)</f>
        <v>코웨이</v>
      </c>
      <c r="D1454" t="s">
        <v>1888</v>
      </c>
      <c r="E1454" t="s">
        <v>1915</v>
      </c>
      <c r="F1454" t="s">
        <v>1915</v>
      </c>
      <c r="G1454" t="e">
        <f>VLOOKUP(E1454,기본!$F$3:$G$320,2,0)</f>
        <v>#N/A</v>
      </c>
      <c r="H1454" s="544">
        <v>822</v>
      </c>
      <c r="I1454">
        <v>16.277256000000001</v>
      </c>
    </row>
    <row r="1455" spans="2:9">
      <c r="B1455" s="545">
        <v>4</v>
      </c>
      <c r="C1455" s="545" t="str">
        <f>VLOOKUP(D1455,기본!$B$3:$C$90,2,0)</f>
        <v>코웨이</v>
      </c>
      <c r="D1455" t="s">
        <v>1888</v>
      </c>
      <c r="E1455" t="s">
        <v>2249</v>
      </c>
      <c r="F1455" t="s">
        <v>2249</v>
      </c>
      <c r="G1455" t="e">
        <f>VLOOKUP(E1455,기본!$F$3:$G$320,2,0)</f>
        <v>#N/A</v>
      </c>
      <c r="H1455" s="544">
        <v>250</v>
      </c>
      <c r="I1455">
        <v>1.94875</v>
      </c>
    </row>
    <row r="1456" spans="2:9">
      <c r="B1456" s="545">
        <v>4</v>
      </c>
      <c r="C1456" s="545" t="str">
        <f>VLOOKUP(D1456,기본!$B$3:$C$90,2,0)</f>
        <v>코웨이</v>
      </c>
      <c r="D1456" t="s">
        <v>1888</v>
      </c>
      <c r="E1456" t="s">
        <v>2258</v>
      </c>
      <c r="F1456" t="s">
        <v>2258</v>
      </c>
      <c r="G1456" t="e">
        <f>VLOOKUP(E1456,기본!$F$3:$G$320,2,0)</f>
        <v>#N/A</v>
      </c>
      <c r="H1456" s="544">
        <v>249</v>
      </c>
      <c r="I1456">
        <v>5.2576350000000005</v>
      </c>
    </row>
    <row r="1457" spans="2:9">
      <c r="B1457" s="545">
        <v>4</v>
      </c>
      <c r="C1457" s="545" t="str">
        <f>VLOOKUP(D1457,기본!$B$3:$C$90,2,0)</f>
        <v>코웨이</v>
      </c>
      <c r="D1457" t="s">
        <v>1888</v>
      </c>
      <c r="E1457" t="s">
        <v>1916</v>
      </c>
      <c r="F1457" t="s">
        <v>1916</v>
      </c>
      <c r="G1457" t="e">
        <f>VLOOKUP(E1457,기본!$F$3:$G$320,2,0)</f>
        <v>#N/A</v>
      </c>
      <c r="H1457" s="544">
        <v>18</v>
      </c>
      <c r="I1457">
        <v>0.18811800000000001</v>
      </c>
    </row>
    <row r="1458" spans="2:9">
      <c r="B1458" s="545">
        <v>4</v>
      </c>
      <c r="C1458" s="545" t="str">
        <f>VLOOKUP(D1458,기본!$B$3:$C$90,2,0)</f>
        <v>코웨이</v>
      </c>
      <c r="D1458" t="s">
        <v>1888</v>
      </c>
      <c r="E1458" t="s">
        <v>2609</v>
      </c>
      <c r="F1458" t="s">
        <v>2609</v>
      </c>
      <c r="G1458" t="e">
        <f>VLOOKUP(E1458,기본!$F$3:$G$320,2,0)</f>
        <v>#N/A</v>
      </c>
      <c r="H1458" s="544">
        <v>20</v>
      </c>
      <c r="I1458">
        <v>0.53900000000000003</v>
      </c>
    </row>
    <row r="1459" spans="2:9">
      <c r="B1459" s="545">
        <v>4</v>
      </c>
      <c r="C1459" s="545" t="str">
        <f>VLOOKUP(D1459,기본!$B$3:$C$90,2,0)</f>
        <v>코웨이</v>
      </c>
      <c r="D1459" t="s">
        <v>1888</v>
      </c>
      <c r="E1459" t="s">
        <v>2610</v>
      </c>
      <c r="F1459" t="s">
        <v>2610</v>
      </c>
      <c r="G1459" t="e">
        <f>VLOOKUP(E1459,기본!$F$3:$G$320,2,0)</f>
        <v>#N/A</v>
      </c>
      <c r="H1459" s="544">
        <v>144</v>
      </c>
      <c r="I1459">
        <v>5.5575359999999998</v>
      </c>
    </row>
    <row r="1460" spans="2:9">
      <c r="B1460" s="545">
        <v>4</v>
      </c>
      <c r="C1460" s="545" t="str">
        <f>VLOOKUP(D1460,기본!$B$3:$C$90,2,0)</f>
        <v>코웨이</v>
      </c>
      <c r="D1460" t="s">
        <v>1888</v>
      </c>
      <c r="E1460" t="s">
        <v>2515</v>
      </c>
      <c r="F1460" t="s">
        <v>2515</v>
      </c>
      <c r="G1460" t="e">
        <f>VLOOKUP(E1460,기본!$F$3:$G$320,2,0)</f>
        <v>#N/A</v>
      </c>
      <c r="H1460" s="544">
        <v>54</v>
      </c>
      <c r="I1460">
        <v>1.4691240000000001</v>
      </c>
    </row>
    <row r="1461" spans="2:9">
      <c r="B1461" s="545">
        <v>4</v>
      </c>
      <c r="C1461" s="545" t="str">
        <f>VLOOKUP(D1461,기본!$B$3:$C$90,2,0)</f>
        <v>코웨이</v>
      </c>
      <c r="D1461" t="s">
        <v>1888</v>
      </c>
      <c r="E1461" t="s">
        <v>2516</v>
      </c>
      <c r="F1461" t="s">
        <v>2516</v>
      </c>
      <c r="G1461" t="e">
        <f>VLOOKUP(E1461,기본!$F$3:$G$320,2,0)</f>
        <v>#N/A</v>
      </c>
      <c r="H1461" s="544">
        <v>400</v>
      </c>
      <c r="I1461">
        <v>10.335599999999999</v>
      </c>
    </row>
    <row r="1462" spans="2:9">
      <c r="B1462" s="545">
        <v>4</v>
      </c>
      <c r="C1462" s="545" t="str">
        <f>VLOOKUP(D1462,기본!$B$3:$C$90,2,0)</f>
        <v>코웨이</v>
      </c>
      <c r="D1462" t="s">
        <v>1888</v>
      </c>
      <c r="E1462" t="s">
        <v>1918</v>
      </c>
      <c r="F1462" t="s">
        <v>1918</v>
      </c>
      <c r="G1462" t="e">
        <f>VLOOKUP(E1462,기본!$F$3:$G$320,2,0)</f>
        <v>#N/A</v>
      </c>
      <c r="H1462" s="544">
        <v>150</v>
      </c>
      <c r="I1462">
        <v>4.4231999999999996</v>
      </c>
    </row>
    <row r="1463" spans="2:9">
      <c r="B1463" s="545">
        <v>4</v>
      </c>
      <c r="C1463" s="545" t="str">
        <f>VLOOKUP(D1463,기본!$B$3:$C$90,2,0)</f>
        <v>코웨이</v>
      </c>
      <c r="D1463" t="s">
        <v>1888</v>
      </c>
      <c r="E1463" t="s">
        <v>1169</v>
      </c>
      <c r="F1463" t="s">
        <v>1169</v>
      </c>
      <c r="G1463" t="e">
        <f>VLOOKUP(E1463,기본!$F$3:$G$320,2,0)</f>
        <v>#N/A</v>
      </c>
      <c r="H1463" s="544">
        <v>41</v>
      </c>
      <c r="I1463">
        <v>1.457058</v>
      </c>
    </row>
    <row r="1464" spans="2:9">
      <c r="B1464" s="545">
        <v>4</v>
      </c>
      <c r="C1464" s="545" t="str">
        <f>VLOOKUP(D1464,기본!$B$3:$C$90,2,0)</f>
        <v>코웨이</v>
      </c>
      <c r="D1464" t="s">
        <v>1888</v>
      </c>
      <c r="E1464" t="s">
        <v>1919</v>
      </c>
      <c r="F1464" t="s">
        <v>1919</v>
      </c>
      <c r="G1464" t="e">
        <f>VLOOKUP(E1464,기본!$F$3:$G$320,2,0)</f>
        <v>#N/A</v>
      </c>
      <c r="H1464" s="544">
        <v>10</v>
      </c>
      <c r="I1464">
        <v>0.35415000000000002</v>
      </c>
    </row>
    <row r="1465" spans="2:9">
      <c r="B1465" s="545">
        <v>4</v>
      </c>
      <c r="C1465" s="545" t="str">
        <f>VLOOKUP(D1465,기본!$B$3:$C$90,2,0)</f>
        <v>코웨이</v>
      </c>
      <c r="D1465" t="s">
        <v>1888</v>
      </c>
      <c r="E1465" t="s">
        <v>1920</v>
      </c>
      <c r="F1465" t="s">
        <v>1920</v>
      </c>
      <c r="G1465" t="e">
        <f>VLOOKUP(E1465,기본!$F$3:$G$320,2,0)</f>
        <v>#N/A</v>
      </c>
      <c r="H1465" s="544">
        <v>30</v>
      </c>
      <c r="I1465">
        <v>0.96357000000000004</v>
      </c>
    </row>
    <row r="1466" spans="2:9">
      <c r="B1466" s="545">
        <v>4</v>
      </c>
      <c r="C1466" s="545" t="str">
        <f>VLOOKUP(D1466,기본!$B$3:$C$90,2,0)</f>
        <v>코웨이</v>
      </c>
      <c r="D1466" t="s">
        <v>1888</v>
      </c>
      <c r="E1466" t="s">
        <v>1921</v>
      </c>
      <c r="F1466" t="s">
        <v>1921</v>
      </c>
      <c r="G1466" t="e">
        <f>VLOOKUP(E1466,기본!$F$3:$G$320,2,0)</f>
        <v>#N/A</v>
      </c>
      <c r="H1466" s="544">
        <v>94</v>
      </c>
      <c r="I1466">
        <v>1.9629940000000001</v>
      </c>
    </row>
    <row r="1467" spans="2:9">
      <c r="B1467" s="545">
        <v>4</v>
      </c>
      <c r="C1467" s="545" t="str">
        <f>VLOOKUP(D1467,기본!$B$3:$C$90,2,0)</f>
        <v>코웨이</v>
      </c>
      <c r="D1467" t="s">
        <v>1888</v>
      </c>
      <c r="E1467" t="s">
        <v>1983</v>
      </c>
      <c r="F1467" t="s">
        <v>1983</v>
      </c>
      <c r="G1467" t="e">
        <f>VLOOKUP(E1467,기본!$F$3:$G$320,2,0)</f>
        <v>#N/A</v>
      </c>
      <c r="H1467" s="544">
        <v>35</v>
      </c>
      <c r="I1467">
        <v>0.76933499999999999</v>
      </c>
    </row>
    <row r="1468" spans="2:9">
      <c r="B1468" s="545">
        <v>4</v>
      </c>
      <c r="C1468" s="545" t="str">
        <f>VLOOKUP(D1468,기본!$B$3:$C$90,2,0)</f>
        <v>코웨이</v>
      </c>
      <c r="D1468" t="s">
        <v>1888</v>
      </c>
      <c r="E1468" t="s">
        <v>1274</v>
      </c>
      <c r="F1468" t="s">
        <v>1274</v>
      </c>
      <c r="G1468" t="e">
        <f>VLOOKUP(E1468,기본!$F$3:$G$320,2,0)</f>
        <v>#N/A</v>
      </c>
      <c r="H1468" s="544">
        <v>36</v>
      </c>
      <c r="I1468">
        <v>1.383408</v>
      </c>
    </row>
    <row r="1469" spans="2:9">
      <c r="B1469" s="545">
        <v>4</v>
      </c>
      <c r="C1469" s="545" t="str">
        <f>VLOOKUP(D1469,기본!$B$3:$C$90,2,0)</f>
        <v>코웨이</v>
      </c>
      <c r="D1469" t="s">
        <v>1888</v>
      </c>
      <c r="E1469" t="s">
        <v>1999</v>
      </c>
      <c r="F1469" t="s">
        <v>1999</v>
      </c>
      <c r="G1469" t="e">
        <f>VLOOKUP(E1469,기본!$F$3:$G$320,2,0)</f>
        <v>#N/A</v>
      </c>
      <c r="H1469" s="544">
        <v>370</v>
      </c>
      <c r="I1469">
        <v>2.3532000000000002</v>
      </c>
    </row>
    <row r="1470" spans="2:9">
      <c r="B1470" s="545">
        <v>4</v>
      </c>
      <c r="C1470" s="545" t="str">
        <f>VLOOKUP(D1470,기본!$B$3:$C$90,2,0)</f>
        <v>코웨이</v>
      </c>
      <c r="D1470" t="s">
        <v>1888</v>
      </c>
      <c r="E1470" t="s">
        <v>1025</v>
      </c>
      <c r="F1470" t="s">
        <v>1025</v>
      </c>
      <c r="G1470" t="e">
        <f>VLOOKUP(E1470,기본!$F$3:$G$320,2,0)</f>
        <v>#N/A</v>
      </c>
      <c r="H1470" s="544">
        <v>36</v>
      </c>
      <c r="I1470">
        <v>7.1856000000000003E-2</v>
      </c>
    </row>
    <row r="1471" spans="2:9">
      <c r="B1471" s="545">
        <v>4</v>
      </c>
      <c r="C1471" s="545" t="str">
        <f>VLOOKUP(D1471,기본!$B$3:$C$90,2,0)</f>
        <v>코웨이</v>
      </c>
      <c r="D1471" t="s">
        <v>1888</v>
      </c>
      <c r="E1471" t="s">
        <v>1984</v>
      </c>
      <c r="F1471" t="s">
        <v>1984</v>
      </c>
      <c r="G1471" t="e">
        <f>VLOOKUP(E1471,기본!$F$3:$G$320,2,0)</f>
        <v>#N/A</v>
      </c>
      <c r="H1471" s="544">
        <v>1088</v>
      </c>
      <c r="I1471">
        <v>6.9610359999999991</v>
      </c>
    </row>
    <row r="1472" spans="2:9">
      <c r="B1472" s="545">
        <v>4</v>
      </c>
      <c r="C1472" s="545" t="str">
        <f>VLOOKUP(D1472,기본!$B$3:$C$90,2,0)</f>
        <v>코웨이</v>
      </c>
      <c r="D1472" t="s">
        <v>1888</v>
      </c>
      <c r="E1472" t="s">
        <v>1023</v>
      </c>
      <c r="F1472" t="s">
        <v>1023</v>
      </c>
      <c r="G1472" t="e">
        <f>VLOOKUP(E1472,기본!$F$3:$G$320,2,0)</f>
        <v>#N/A</v>
      </c>
      <c r="H1472" s="544">
        <v>50</v>
      </c>
      <c r="I1472">
        <v>0.312</v>
      </c>
    </row>
    <row r="1473" spans="2:9">
      <c r="B1473" s="545">
        <v>4</v>
      </c>
      <c r="C1473" s="545" t="str">
        <f>VLOOKUP(D1473,기본!$B$3:$C$90,2,0)</f>
        <v>코웨이</v>
      </c>
      <c r="D1473" t="s">
        <v>1888</v>
      </c>
      <c r="E1473" t="s">
        <v>2611</v>
      </c>
      <c r="F1473" t="s">
        <v>2611</v>
      </c>
      <c r="G1473" t="e">
        <f>VLOOKUP(E1473,기본!$F$3:$G$320,2,0)</f>
        <v>#N/A</v>
      </c>
      <c r="H1473" s="544">
        <v>608</v>
      </c>
      <c r="I1473">
        <v>4.1921600000000003</v>
      </c>
    </row>
    <row r="1474" spans="2:9">
      <c r="B1474" s="545">
        <v>4</v>
      </c>
      <c r="C1474" s="545" t="str">
        <f>VLOOKUP(D1474,기본!$B$3:$C$90,2,0)</f>
        <v>코웨이</v>
      </c>
      <c r="D1474" t="s">
        <v>1888</v>
      </c>
      <c r="E1474" t="s">
        <v>1926</v>
      </c>
      <c r="F1474" t="s">
        <v>1926</v>
      </c>
      <c r="G1474" t="e">
        <f>VLOOKUP(E1474,기본!$F$3:$G$320,2,0)</f>
        <v>#N/A</v>
      </c>
      <c r="H1474" s="544">
        <v>253</v>
      </c>
      <c r="I1474">
        <v>1.7689760000000001</v>
      </c>
    </row>
    <row r="1475" spans="2:9">
      <c r="B1475" s="545">
        <v>4</v>
      </c>
      <c r="C1475" s="545" t="str">
        <f>VLOOKUP(D1475,기본!$B$3:$C$90,2,0)</f>
        <v>코웨이</v>
      </c>
      <c r="D1475" t="s">
        <v>1888</v>
      </c>
      <c r="E1475" t="s">
        <v>2065</v>
      </c>
      <c r="F1475" t="s">
        <v>2065</v>
      </c>
      <c r="G1475" t="e">
        <f>VLOOKUP(E1475,기본!$F$3:$G$320,2,0)</f>
        <v>#N/A</v>
      </c>
      <c r="H1475" s="544">
        <v>12</v>
      </c>
      <c r="I1475">
        <v>2.0542560000000001</v>
      </c>
    </row>
    <row r="1476" spans="2:9">
      <c r="B1476" s="545">
        <v>4</v>
      </c>
      <c r="C1476" s="545" t="str">
        <f>VLOOKUP(D1476,기본!$B$3:$C$90,2,0)</f>
        <v>코웨이</v>
      </c>
      <c r="D1476" t="s">
        <v>1888</v>
      </c>
      <c r="E1476" t="s">
        <v>2557</v>
      </c>
      <c r="F1476" t="s">
        <v>2557</v>
      </c>
      <c r="G1476" t="e">
        <f>VLOOKUP(E1476,기본!$F$3:$G$320,2,0)</f>
        <v>#N/A</v>
      </c>
      <c r="H1476" s="544">
        <v>12</v>
      </c>
      <c r="I1476">
        <v>0.14526</v>
      </c>
    </row>
    <row r="1477" spans="2:9">
      <c r="B1477" s="545">
        <v>4</v>
      </c>
      <c r="C1477" s="545" t="str">
        <f>VLOOKUP(D1477,기본!$B$3:$C$90,2,0)</f>
        <v>코웨이</v>
      </c>
      <c r="D1477" t="s">
        <v>1888</v>
      </c>
      <c r="E1477" t="s">
        <v>1225</v>
      </c>
      <c r="F1477" t="s">
        <v>1225</v>
      </c>
      <c r="G1477" t="e">
        <f>VLOOKUP(E1477,기본!$F$3:$G$320,2,0)</f>
        <v>#N/A</v>
      </c>
      <c r="H1477" s="544">
        <v>883</v>
      </c>
      <c r="I1477">
        <v>7.2631769999999989</v>
      </c>
    </row>
    <row r="1478" spans="2:9">
      <c r="B1478" s="545">
        <v>4</v>
      </c>
      <c r="C1478" s="545" t="str">
        <f>VLOOKUP(D1478,기본!$B$3:$C$90,2,0)</f>
        <v>코웨이</v>
      </c>
      <c r="D1478" t="s">
        <v>1888</v>
      </c>
      <c r="E1478" t="s">
        <v>1226</v>
      </c>
      <c r="F1478" t="s">
        <v>1226</v>
      </c>
      <c r="G1478" t="e">
        <f>VLOOKUP(E1478,기본!$F$3:$G$320,2,0)</f>
        <v>#N/A</v>
      </c>
      <c r="H1478" s="544">
        <v>1906</v>
      </c>
      <c r="I1478">
        <v>16.226265999999999</v>
      </c>
    </row>
    <row r="1479" spans="2:9">
      <c r="B1479" s="545">
        <v>4</v>
      </c>
      <c r="C1479" s="545" t="str">
        <f>VLOOKUP(D1479,기본!$B$3:$C$90,2,0)</f>
        <v>코웨이</v>
      </c>
      <c r="D1479" t="s">
        <v>1888</v>
      </c>
      <c r="E1479" t="s">
        <v>1928</v>
      </c>
      <c r="F1479" t="s">
        <v>1928</v>
      </c>
      <c r="G1479" t="e">
        <f>VLOOKUP(E1479,기본!$F$3:$G$320,2,0)</f>
        <v>#N/A</v>
      </c>
      <c r="H1479" s="544">
        <v>5</v>
      </c>
      <c r="I1479">
        <v>4.8105000000000002E-2</v>
      </c>
    </row>
    <row r="1480" spans="2:9">
      <c r="B1480" s="545">
        <v>4</v>
      </c>
      <c r="C1480" s="545" t="str">
        <f>VLOOKUP(D1480,기본!$B$3:$C$90,2,0)</f>
        <v>코웨이</v>
      </c>
      <c r="D1480" t="s">
        <v>1888</v>
      </c>
      <c r="E1480" t="s">
        <v>224</v>
      </c>
      <c r="F1480" t="s">
        <v>224</v>
      </c>
      <c r="G1480" t="str">
        <f>VLOOKUP(E1480,기본!$F$3:$G$320,2,0)</f>
        <v>기타</v>
      </c>
      <c r="H1480" s="544">
        <v>0</v>
      </c>
      <c r="I1480">
        <v>2.3491759999999999</v>
      </c>
    </row>
    <row r="1481" spans="2:9">
      <c r="B1481" s="545">
        <v>4</v>
      </c>
      <c r="C1481" s="545" t="str">
        <f>VLOOKUP(D1481,기본!$B$3:$C$90,2,0)</f>
        <v>코웨이</v>
      </c>
      <c r="D1481" t="s">
        <v>1929</v>
      </c>
      <c r="E1481" t="s">
        <v>1930</v>
      </c>
      <c r="F1481" t="s">
        <v>1930</v>
      </c>
      <c r="G1481" t="e">
        <f>VLOOKUP(E1481,기본!$F$3:$G$320,2,0)</f>
        <v>#N/A</v>
      </c>
      <c r="H1481" s="544">
        <v>4569</v>
      </c>
      <c r="I1481">
        <v>88.338785999999999</v>
      </c>
    </row>
    <row r="1482" spans="2:9">
      <c r="B1482" s="545">
        <v>4</v>
      </c>
      <c r="C1482" s="545" t="str">
        <f>VLOOKUP(D1482,기본!$B$3:$C$90,2,0)</f>
        <v>코웨이</v>
      </c>
      <c r="D1482" t="s">
        <v>1929</v>
      </c>
      <c r="E1482" t="s">
        <v>1931</v>
      </c>
      <c r="F1482" t="s">
        <v>1931</v>
      </c>
      <c r="G1482" t="e">
        <f>VLOOKUP(E1482,기본!$F$3:$G$320,2,0)</f>
        <v>#N/A</v>
      </c>
      <c r="H1482" s="544">
        <v>500</v>
      </c>
      <c r="I1482">
        <v>9.8150000000000013</v>
      </c>
    </row>
    <row r="1483" spans="2:9">
      <c r="B1483" s="545">
        <v>4</v>
      </c>
      <c r="C1483" s="545" t="str">
        <f>VLOOKUP(D1483,기본!$B$3:$C$90,2,0)</f>
        <v>코웨이</v>
      </c>
      <c r="D1483" t="s">
        <v>1929</v>
      </c>
      <c r="E1483" t="s">
        <v>2021</v>
      </c>
      <c r="F1483" t="s">
        <v>2021</v>
      </c>
      <c r="G1483" t="e">
        <f>VLOOKUP(E1483,기본!$F$3:$G$320,2,0)</f>
        <v>#N/A</v>
      </c>
      <c r="H1483" s="544">
        <v>4250</v>
      </c>
      <c r="I1483">
        <v>39.601499999999994</v>
      </c>
    </row>
    <row r="1484" spans="2:9">
      <c r="B1484" s="545">
        <v>4</v>
      </c>
      <c r="C1484" s="545" t="str">
        <f>VLOOKUP(D1484,기본!$B$3:$C$90,2,0)</f>
        <v>코웨이</v>
      </c>
      <c r="D1484" t="s">
        <v>1929</v>
      </c>
      <c r="E1484" t="s">
        <v>873</v>
      </c>
      <c r="F1484" t="s">
        <v>873</v>
      </c>
      <c r="G1484" t="e">
        <f>VLOOKUP(E1484,기본!$F$3:$G$320,2,0)</f>
        <v>#N/A</v>
      </c>
      <c r="H1484" s="544">
        <v>809</v>
      </c>
      <c r="I1484">
        <v>6.8546570000000004</v>
      </c>
    </row>
    <row r="1485" spans="2:9">
      <c r="B1485" s="545">
        <v>4</v>
      </c>
      <c r="C1485" s="545" t="str">
        <f>VLOOKUP(D1485,기본!$B$3:$C$90,2,0)</f>
        <v>코웨이</v>
      </c>
      <c r="D1485" t="s">
        <v>1929</v>
      </c>
      <c r="E1485" t="s">
        <v>874</v>
      </c>
      <c r="F1485" t="s">
        <v>874</v>
      </c>
      <c r="G1485" t="e">
        <f>VLOOKUP(E1485,기본!$F$3:$G$320,2,0)</f>
        <v>#N/A</v>
      </c>
      <c r="H1485" s="544">
        <v>544</v>
      </c>
      <c r="I1485">
        <v>11.280383999999998</v>
      </c>
    </row>
    <row r="1486" spans="2:9">
      <c r="B1486" s="545">
        <v>4</v>
      </c>
      <c r="C1486" s="545" t="str">
        <f>VLOOKUP(D1486,기본!$B$3:$C$90,2,0)</f>
        <v>코웨이</v>
      </c>
      <c r="D1486" t="s">
        <v>1929</v>
      </c>
      <c r="E1486" t="s">
        <v>1932</v>
      </c>
      <c r="F1486" t="s">
        <v>1932</v>
      </c>
      <c r="G1486" t="e">
        <f>VLOOKUP(E1486,기본!$F$3:$G$320,2,0)</f>
        <v>#N/A</v>
      </c>
      <c r="H1486" s="544">
        <v>249</v>
      </c>
      <c r="I1486">
        <v>5.2917480000000001</v>
      </c>
    </row>
    <row r="1487" spans="2:9">
      <c r="B1487" s="545">
        <v>4</v>
      </c>
      <c r="C1487" s="545" t="str">
        <f>VLOOKUP(D1487,기본!$B$3:$C$90,2,0)</f>
        <v>코웨이</v>
      </c>
      <c r="D1487" t="s">
        <v>1929</v>
      </c>
      <c r="E1487" t="s">
        <v>1933</v>
      </c>
      <c r="F1487" t="s">
        <v>1933</v>
      </c>
      <c r="G1487" t="e">
        <f>VLOOKUP(E1487,기본!$F$3:$G$320,2,0)</f>
        <v>#N/A</v>
      </c>
      <c r="H1487" s="544">
        <v>870</v>
      </c>
      <c r="I1487">
        <v>15.38382</v>
      </c>
    </row>
    <row r="1488" spans="2:9">
      <c r="B1488" s="545">
        <v>4</v>
      </c>
      <c r="C1488" s="545" t="str">
        <f>VLOOKUP(D1488,기본!$B$3:$C$90,2,0)</f>
        <v>코웨이</v>
      </c>
      <c r="D1488" t="s">
        <v>1929</v>
      </c>
      <c r="E1488" t="s">
        <v>1934</v>
      </c>
      <c r="F1488" t="s">
        <v>1934</v>
      </c>
      <c r="G1488" t="e">
        <f>VLOOKUP(E1488,기본!$F$3:$G$320,2,0)</f>
        <v>#N/A</v>
      </c>
      <c r="H1488" s="544">
        <v>24</v>
      </c>
      <c r="I1488">
        <v>0.35508000000000001</v>
      </c>
    </row>
    <row r="1489" spans="2:9">
      <c r="B1489" s="545">
        <v>4</v>
      </c>
      <c r="C1489" s="545" t="str">
        <f>VLOOKUP(D1489,기본!$B$3:$C$90,2,0)</f>
        <v>코웨이</v>
      </c>
      <c r="D1489" t="s">
        <v>1929</v>
      </c>
      <c r="E1489" t="s">
        <v>1908</v>
      </c>
      <c r="F1489" t="s">
        <v>1908</v>
      </c>
      <c r="G1489" t="e">
        <f>VLOOKUP(E1489,기본!$F$3:$G$320,2,0)</f>
        <v>#N/A</v>
      </c>
      <c r="H1489" s="544">
        <v>1098</v>
      </c>
      <c r="I1489">
        <v>19.173276000000001</v>
      </c>
    </row>
    <row r="1490" spans="2:9">
      <c r="B1490" s="545">
        <v>4</v>
      </c>
      <c r="C1490" s="545" t="str">
        <f>VLOOKUP(D1490,기본!$B$3:$C$90,2,0)</f>
        <v>코웨이</v>
      </c>
      <c r="D1490" t="s">
        <v>1929</v>
      </c>
      <c r="E1490" t="s">
        <v>1935</v>
      </c>
      <c r="F1490" t="s">
        <v>1935</v>
      </c>
      <c r="G1490" t="e">
        <f>VLOOKUP(E1490,기본!$F$3:$G$320,2,0)</f>
        <v>#N/A</v>
      </c>
      <c r="H1490" s="544">
        <v>12531</v>
      </c>
      <c r="I1490">
        <v>194.07944700000002</v>
      </c>
    </row>
    <row r="1491" spans="2:9">
      <c r="B1491" s="545">
        <v>4</v>
      </c>
      <c r="C1491" s="545" t="str">
        <f>VLOOKUP(D1491,기본!$B$3:$C$90,2,0)</f>
        <v>코웨이</v>
      </c>
      <c r="D1491" t="s">
        <v>1929</v>
      </c>
      <c r="E1491" t="s">
        <v>2163</v>
      </c>
      <c r="F1491" t="s">
        <v>2163</v>
      </c>
      <c r="G1491" t="e">
        <f>VLOOKUP(E1491,기본!$F$3:$G$320,2,0)</f>
        <v>#N/A</v>
      </c>
      <c r="H1491" s="544">
        <v>1996</v>
      </c>
      <c r="I1491">
        <v>30.891076000000005</v>
      </c>
    </row>
    <row r="1492" spans="2:9">
      <c r="B1492" s="545">
        <v>4</v>
      </c>
      <c r="C1492" s="545" t="str">
        <f>VLOOKUP(D1492,기본!$B$3:$C$90,2,0)</f>
        <v>코웨이</v>
      </c>
      <c r="D1492" t="s">
        <v>1929</v>
      </c>
      <c r="E1492" t="s">
        <v>1141</v>
      </c>
      <c r="F1492" t="s">
        <v>1141</v>
      </c>
      <c r="G1492" t="e">
        <f>VLOOKUP(E1492,기본!$F$3:$G$320,2,0)</f>
        <v>#N/A</v>
      </c>
      <c r="H1492" s="544">
        <v>10</v>
      </c>
      <c r="I1492">
        <v>0.14543</v>
      </c>
    </row>
    <row r="1493" spans="2:9">
      <c r="B1493" s="545">
        <v>4</v>
      </c>
      <c r="C1493" s="545" t="str">
        <f>VLOOKUP(D1493,기본!$B$3:$C$90,2,0)</f>
        <v>코웨이</v>
      </c>
      <c r="D1493" t="s">
        <v>1929</v>
      </c>
      <c r="E1493" t="s">
        <v>1936</v>
      </c>
      <c r="F1493" t="s">
        <v>1936</v>
      </c>
      <c r="G1493" t="e">
        <f>VLOOKUP(E1493,기본!$F$3:$G$320,2,0)</f>
        <v>#N/A</v>
      </c>
      <c r="H1493" s="544">
        <v>255</v>
      </c>
      <c r="I1493">
        <v>6.2413800000000004</v>
      </c>
    </row>
    <row r="1494" spans="2:9">
      <c r="B1494" s="545">
        <v>4</v>
      </c>
      <c r="C1494" s="545" t="str">
        <f>VLOOKUP(D1494,기본!$B$3:$C$90,2,0)</f>
        <v>코웨이</v>
      </c>
      <c r="D1494" t="s">
        <v>1929</v>
      </c>
      <c r="E1494" t="s">
        <v>1937</v>
      </c>
      <c r="F1494" t="s">
        <v>1937</v>
      </c>
      <c r="G1494" t="e">
        <f>VLOOKUP(E1494,기본!$F$3:$G$320,2,0)</f>
        <v>#N/A</v>
      </c>
      <c r="H1494" s="544">
        <v>619</v>
      </c>
      <c r="I1494">
        <v>15.242231</v>
      </c>
    </row>
    <row r="1495" spans="2:9">
      <c r="B1495" s="545">
        <v>4</v>
      </c>
      <c r="C1495" s="545" t="str">
        <f>VLOOKUP(D1495,기본!$B$3:$C$90,2,0)</f>
        <v>코웨이</v>
      </c>
      <c r="D1495" t="s">
        <v>1929</v>
      </c>
      <c r="E1495" t="s">
        <v>1938</v>
      </c>
      <c r="F1495" t="s">
        <v>1938</v>
      </c>
      <c r="G1495" t="e">
        <f>VLOOKUP(E1495,기본!$F$3:$G$320,2,0)</f>
        <v>#N/A</v>
      </c>
      <c r="H1495" s="544">
        <v>3323</v>
      </c>
      <c r="I1495">
        <v>68.93390500000001</v>
      </c>
    </row>
    <row r="1496" spans="2:9">
      <c r="B1496" s="545">
        <v>4</v>
      </c>
      <c r="C1496" s="545" t="str">
        <f>VLOOKUP(D1496,기본!$B$3:$C$90,2,0)</f>
        <v>코웨이</v>
      </c>
      <c r="D1496" t="s">
        <v>1929</v>
      </c>
      <c r="E1496" t="s">
        <v>2319</v>
      </c>
      <c r="F1496" t="s">
        <v>2319</v>
      </c>
      <c r="G1496" t="e">
        <f>VLOOKUP(E1496,기본!$F$3:$G$320,2,0)</f>
        <v>#N/A</v>
      </c>
      <c r="H1496" s="544">
        <v>1949</v>
      </c>
      <c r="I1496">
        <v>39.865273999999999</v>
      </c>
    </row>
    <row r="1497" spans="2:9">
      <c r="B1497" s="545">
        <v>4</v>
      </c>
      <c r="C1497" s="545" t="str">
        <f>VLOOKUP(D1497,기본!$B$3:$C$90,2,0)</f>
        <v>코웨이</v>
      </c>
      <c r="D1497" t="s">
        <v>1929</v>
      </c>
      <c r="E1497" t="s">
        <v>2249</v>
      </c>
      <c r="F1497" t="s">
        <v>2249</v>
      </c>
      <c r="G1497" t="e">
        <f>VLOOKUP(E1497,기본!$F$3:$G$320,2,0)</f>
        <v>#N/A</v>
      </c>
      <c r="H1497" s="544">
        <v>6514</v>
      </c>
      <c r="I1497">
        <v>50.792069999999995</v>
      </c>
    </row>
    <row r="1498" spans="2:9">
      <c r="B1498" s="545">
        <v>4</v>
      </c>
      <c r="C1498" s="545" t="str">
        <f>VLOOKUP(D1498,기본!$B$3:$C$90,2,0)</f>
        <v>코웨이</v>
      </c>
      <c r="D1498" t="s">
        <v>1929</v>
      </c>
      <c r="E1498" t="s">
        <v>2468</v>
      </c>
      <c r="F1498" t="s">
        <v>2468</v>
      </c>
      <c r="G1498" t="e">
        <f>VLOOKUP(E1498,기본!$F$3:$G$320,2,0)</f>
        <v>#N/A</v>
      </c>
      <c r="H1498" s="544">
        <v>29265</v>
      </c>
      <c r="I1498">
        <v>169.53214500000001</v>
      </c>
    </row>
    <row r="1499" spans="2:9">
      <c r="B1499" s="545">
        <v>4</v>
      </c>
      <c r="C1499" s="545" t="str">
        <f>VLOOKUP(D1499,기본!$B$3:$C$90,2,0)</f>
        <v>코웨이</v>
      </c>
      <c r="D1499" t="s">
        <v>1929</v>
      </c>
      <c r="E1499" t="s">
        <v>2258</v>
      </c>
      <c r="F1499" t="s">
        <v>2258</v>
      </c>
      <c r="G1499" t="e">
        <f>VLOOKUP(E1499,기본!$F$3:$G$320,2,0)</f>
        <v>#N/A</v>
      </c>
      <c r="H1499" s="544">
        <v>6959</v>
      </c>
      <c r="I1499">
        <v>147.05336499999999</v>
      </c>
    </row>
    <row r="1500" spans="2:9">
      <c r="B1500" s="545">
        <v>4</v>
      </c>
      <c r="C1500" s="545" t="str">
        <f>VLOOKUP(D1500,기본!$B$3:$C$90,2,0)</f>
        <v>코웨이</v>
      </c>
      <c r="D1500" t="s">
        <v>1929</v>
      </c>
      <c r="E1500" t="s">
        <v>2236</v>
      </c>
      <c r="F1500" t="s">
        <v>2236</v>
      </c>
      <c r="G1500" t="e">
        <f>VLOOKUP(E1500,기본!$F$3:$G$320,2,0)</f>
        <v>#N/A</v>
      </c>
      <c r="H1500" s="544">
        <v>477</v>
      </c>
      <c r="I1500">
        <v>13.935383999999999</v>
      </c>
    </row>
    <row r="1501" spans="2:9">
      <c r="B1501" s="545">
        <v>4</v>
      </c>
      <c r="C1501" s="545" t="str">
        <f>VLOOKUP(D1501,기본!$B$3:$C$90,2,0)</f>
        <v>코웨이</v>
      </c>
      <c r="D1501" t="s">
        <v>1929</v>
      </c>
      <c r="E1501" t="s">
        <v>2612</v>
      </c>
      <c r="F1501" t="s">
        <v>2612</v>
      </c>
      <c r="G1501" t="e">
        <f>VLOOKUP(E1501,기본!$F$3:$G$320,2,0)</f>
        <v>#N/A</v>
      </c>
      <c r="H1501" s="544">
        <v>200</v>
      </c>
      <c r="I1501">
        <v>6.7233999999999998</v>
      </c>
    </row>
    <row r="1502" spans="2:9">
      <c r="B1502" s="545">
        <v>4</v>
      </c>
      <c r="C1502" s="545" t="str">
        <f>VLOOKUP(D1502,기본!$B$3:$C$90,2,0)</f>
        <v>코웨이</v>
      </c>
      <c r="D1502" t="s">
        <v>1929</v>
      </c>
      <c r="E1502" t="s">
        <v>1923</v>
      </c>
      <c r="F1502" t="s">
        <v>1923</v>
      </c>
      <c r="G1502" t="e">
        <f>VLOOKUP(E1502,기본!$F$3:$G$320,2,0)</f>
        <v>#N/A</v>
      </c>
      <c r="H1502" s="544">
        <v>4925</v>
      </c>
      <c r="I1502">
        <v>173.60625000000002</v>
      </c>
    </row>
    <row r="1503" spans="2:9">
      <c r="B1503" s="545">
        <v>4</v>
      </c>
      <c r="C1503" s="545" t="str">
        <f>VLOOKUP(D1503,기본!$B$3:$C$90,2,0)</f>
        <v>코웨이</v>
      </c>
      <c r="D1503" t="s">
        <v>1929</v>
      </c>
      <c r="E1503" t="s">
        <v>1939</v>
      </c>
      <c r="F1503" t="s">
        <v>1939</v>
      </c>
      <c r="G1503" t="e">
        <f>VLOOKUP(E1503,기본!$F$3:$G$320,2,0)</f>
        <v>#N/A</v>
      </c>
      <c r="H1503" s="544">
        <v>1333</v>
      </c>
      <c r="I1503">
        <v>47.145544000000001</v>
      </c>
    </row>
    <row r="1504" spans="2:9">
      <c r="B1504" s="545">
        <v>4</v>
      </c>
      <c r="C1504" s="545" t="str">
        <f>VLOOKUP(D1504,기본!$B$3:$C$90,2,0)</f>
        <v>코웨이</v>
      </c>
      <c r="D1504" t="s">
        <v>1929</v>
      </c>
      <c r="E1504" t="s">
        <v>1940</v>
      </c>
      <c r="F1504" t="s">
        <v>1940</v>
      </c>
      <c r="G1504" t="e">
        <f>VLOOKUP(E1504,기본!$F$3:$G$320,2,0)</f>
        <v>#N/A</v>
      </c>
      <c r="H1504" s="544">
        <v>1872</v>
      </c>
      <c r="I1504">
        <v>72.792720000000003</v>
      </c>
    </row>
    <row r="1505" spans="2:9">
      <c r="B1505" s="545">
        <v>4</v>
      </c>
      <c r="C1505" s="545" t="str">
        <f>VLOOKUP(D1505,기본!$B$3:$C$90,2,0)</f>
        <v>코웨이</v>
      </c>
      <c r="D1505" t="s">
        <v>1929</v>
      </c>
      <c r="E1505" t="s">
        <v>2002</v>
      </c>
      <c r="F1505" t="s">
        <v>2002</v>
      </c>
      <c r="G1505" t="e">
        <f>VLOOKUP(E1505,기본!$F$3:$G$320,2,0)</f>
        <v>#N/A</v>
      </c>
      <c r="H1505" s="544">
        <v>134</v>
      </c>
      <c r="I1505">
        <v>5.5367699999999997</v>
      </c>
    </row>
    <row r="1506" spans="2:9">
      <c r="B1506" s="545">
        <v>4</v>
      </c>
      <c r="C1506" s="545" t="str">
        <f>VLOOKUP(D1506,기본!$B$3:$C$90,2,0)</f>
        <v>코웨이</v>
      </c>
      <c r="D1506" t="s">
        <v>1941</v>
      </c>
      <c r="E1506" t="s">
        <v>1892</v>
      </c>
      <c r="F1506" t="s">
        <v>1892</v>
      </c>
      <c r="G1506" t="e">
        <f>VLOOKUP(E1506,기본!$F$3:$G$320,2,0)</f>
        <v>#N/A</v>
      </c>
      <c r="H1506" s="544">
        <v>2107</v>
      </c>
      <c r="I1506">
        <v>18.634307999999997</v>
      </c>
    </row>
    <row r="1507" spans="2:9">
      <c r="B1507" s="545">
        <v>4</v>
      </c>
      <c r="C1507" s="545" t="str">
        <f>VLOOKUP(D1507,기본!$B$3:$C$90,2,0)</f>
        <v>코웨이</v>
      </c>
      <c r="D1507" t="s">
        <v>1941</v>
      </c>
      <c r="E1507" t="s">
        <v>1047</v>
      </c>
      <c r="F1507" t="s">
        <v>1047</v>
      </c>
      <c r="G1507" t="e">
        <f>VLOOKUP(E1507,기본!$F$3:$G$320,2,0)</f>
        <v>#N/A</v>
      </c>
      <c r="H1507" s="544">
        <v>1912</v>
      </c>
      <c r="I1507">
        <v>11.462440000000001</v>
      </c>
    </row>
    <row r="1508" spans="2:9">
      <c r="B1508" s="545">
        <v>4</v>
      </c>
      <c r="C1508" s="545" t="str">
        <f>VLOOKUP(D1508,기본!$B$3:$C$90,2,0)</f>
        <v>코웨이</v>
      </c>
      <c r="D1508" t="s">
        <v>1941</v>
      </c>
      <c r="E1508" t="s">
        <v>1048</v>
      </c>
      <c r="F1508" t="s">
        <v>1048</v>
      </c>
      <c r="G1508" t="e">
        <f>VLOOKUP(E1508,기본!$F$3:$G$320,2,0)</f>
        <v>#N/A</v>
      </c>
      <c r="H1508" s="544">
        <v>1929</v>
      </c>
      <c r="I1508">
        <v>6.7418549999999993</v>
      </c>
    </row>
    <row r="1509" spans="2:9">
      <c r="B1509" s="545">
        <v>4</v>
      </c>
      <c r="C1509" s="545" t="str">
        <f>VLOOKUP(D1509,기본!$B$3:$C$90,2,0)</f>
        <v>코웨이</v>
      </c>
      <c r="D1509" t="s">
        <v>1941</v>
      </c>
      <c r="E1509" t="s">
        <v>2519</v>
      </c>
      <c r="F1509" t="s">
        <v>2519</v>
      </c>
      <c r="G1509" t="e">
        <f>VLOOKUP(E1509,기본!$F$3:$G$320,2,0)</f>
        <v>#N/A</v>
      </c>
      <c r="H1509" s="544">
        <v>400</v>
      </c>
      <c r="I1509">
        <v>5.3319999999999999</v>
      </c>
    </row>
    <row r="1510" spans="2:9">
      <c r="B1510" s="545">
        <v>4</v>
      </c>
      <c r="C1510" s="545" t="str">
        <f>VLOOKUP(D1510,기본!$B$3:$C$90,2,0)</f>
        <v>코웨이</v>
      </c>
      <c r="D1510" t="s">
        <v>1941</v>
      </c>
      <c r="E1510" t="s">
        <v>2558</v>
      </c>
      <c r="F1510" t="s">
        <v>2558</v>
      </c>
      <c r="G1510" t="e">
        <f>VLOOKUP(E1510,기본!$F$3:$G$320,2,0)</f>
        <v>#N/A</v>
      </c>
      <c r="H1510" s="544">
        <v>300</v>
      </c>
      <c r="I1510">
        <v>2.2551000000000001</v>
      </c>
    </row>
    <row r="1511" spans="2:9">
      <c r="B1511" s="545">
        <v>4</v>
      </c>
      <c r="C1511" s="545" t="str">
        <f>VLOOKUP(D1511,기본!$B$3:$C$90,2,0)</f>
        <v>코웨이</v>
      </c>
      <c r="D1511" t="s">
        <v>1941</v>
      </c>
      <c r="E1511" t="s">
        <v>1942</v>
      </c>
      <c r="F1511" t="s">
        <v>1942</v>
      </c>
      <c r="G1511" t="e">
        <f>VLOOKUP(E1511,기본!$F$3:$G$320,2,0)</f>
        <v>#N/A</v>
      </c>
      <c r="H1511" s="544">
        <v>300</v>
      </c>
      <c r="I1511">
        <v>3.0230999999999999</v>
      </c>
    </row>
    <row r="1512" spans="2:9">
      <c r="B1512" s="545">
        <v>4</v>
      </c>
      <c r="C1512" s="545" t="str">
        <f>VLOOKUP(D1512,기본!$B$3:$C$90,2,0)</f>
        <v>코웨이</v>
      </c>
      <c r="D1512" t="s">
        <v>1941</v>
      </c>
      <c r="E1512" t="s">
        <v>1043</v>
      </c>
      <c r="F1512" t="s">
        <v>1043</v>
      </c>
      <c r="G1512" t="e">
        <f>VLOOKUP(E1512,기본!$F$3:$G$320,2,0)</f>
        <v>#N/A</v>
      </c>
      <c r="H1512" s="544">
        <v>3929</v>
      </c>
      <c r="I1512">
        <v>49.395387999999997</v>
      </c>
    </row>
    <row r="1513" spans="2:9">
      <c r="B1513" s="545">
        <v>4</v>
      </c>
      <c r="C1513" s="545" t="str">
        <f>VLOOKUP(D1513,기본!$B$3:$C$90,2,0)</f>
        <v>코웨이</v>
      </c>
      <c r="D1513" t="s">
        <v>1941</v>
      </c>
      <c r="E1513" t="s">
        <v>1072</v>
      </c>
      <c r="F1513" t="s">
        <v>1072</v>
      </c>
      <c r="G1513" t="e">
        <f>VLOOKUP(E1513,기본!$F$3:$G$320,2,0)</f>
        <v>#N/A</v>
      </c>
      <c r="H1513" s="544">
        <v>10</v>
      </c>
      <c r="I1513">
        <v>0.2104</v>
      </c>
    </row>
    <row r="1514" spans="2:9">
      <c r="B1514" s="545">
        <v>4</v>
      </c>
      <c r="C1514" s="545" t="str">
        <f>VLOOKUP(D1514,기본!$B$3:$C$90,2,0)</f>
        <v>코웨이</v>
      </c>
      <c r="D1514" t="s">
        <v>1941</v>
      </c>
      <c r="E1514" t="s">
        <v>2061</v>
      </c>
      <c r="F1514" t="s">
        <v>2061</v>
      </c>
      <c r="G1514" t="e">
        <f>VLOOKUP(E1514,기본!$F$3:$G$320,2,0)</f>
        <v>#N/A</v>
      </c>
      <c r="H1514" s="544">
        <v>650</v>
      </c>
      <c r="I1514">
        <v>11.973649999999999</v>
      </c>
    </row>
    <row r="1515" spans="2:9">
      <c r="B1515" s="545">
        <v>4</v>
      </c>
      <c r="C1515" s="545" t="str">
        <f>VLOOKUP(D1515,기본!$B$3:$C$90,2,0)</f>
        <v>코웨이</v>
      </c>
      <c r="D1515" t="s">
        <v>1941</v>
      </c>
      <c r="E1515" t="s">
        <v>1925</v>
      </c>
      <c r="F1515" t="s">
        <v>1925</v>
      </c>
      <c r="G1515" t="e">
        <f>VLOOKUP(E1515,기본!$F$3:$G$320,2,0)</f>
        <v>#N/A</v>
      </c>
      <c r="H1515" s="544">
        <v>1912</v>
      </c>
      <c r="I1515">
        <v>12.016920000000001</v>
      </c>
    </row>
    <row r="1516" spans="2:9">
      <c r="B1516" s="545">
        <v>4</v>
      </c>
      <c r="C1516" s="545" t="str">
        <f>VLOOKUP(D1516,기본!$B$3:$C$90,2,0)</f>
        <v>코웨이</v>
      </c>
      <c r="D1516" t="s">
        <v>1943</v>
      </c>
      <c r="E1516" t="s">
        <v>2236</v>
      </c>
      <c r="F1516" t="s">
        <v>2236</v>
      </c>
      <c r="G1516" t="e">
        <f>VLOOKUP(E1516,기본!$F$3:$G$320,2,0)</f>
        <v>#N/A</v>
      </c>
      <c r="H1516" s="544">
        <v>6264</v>
      </c>
      <c r="I1516">
        <v>182.702088</v>
      </c>
    </row>
    <row r="1517" spans="2:9">
      <c r="B1517" s="545">
        <v>4</v>
      </c>
      <c r="C1517" s="545" t="str">
        <f>VLOOKUP(D1517,기본!$B$3:$C$90,2,0)</f>
        <v>코웨이</v>
      </c>
      <c r="D1517" t="s">
        <v>2004</v>
      </c>
      <c r="E1517" t="s">
        <v>1027</v>
      </c>
      <c r="F1517" t="s">
        <v>1027</v>
      </c>
      <c r="G1517" t="e">
        <f>VLOOKUP(E1517,기본!$F$3:$G$320,2,0)</f>
        <v>#N/A</v>
      </c>
      <c r="H1517" s="544">
        <v>3272</v>
      </c>
      <c r="I1517">
        <v>19.825047999999999</v>
      </c>
    </row>
    <row r="1518" spans="2:9">
      <c r="B1518" s="545">
        <v>4</v>
      </c>
      <c r="C1518" s="545" t="str">
        <f>VLOOKUP(D1518,기본!$B$3:$C$90,2,0)</f>
        <v>한화비전</v>
      </c>
      <c r="D1518" t="s">
        <v>1949</v>
      </c>
      <c r="E1518" t="s">
        <v>2613</v>
      </c>
      <c r="F1518" t="s">
        <v>49</v>
      </c>
      <c r="G1518" t="e">
        <f>VLOOKUP(E1518,기본!$F$3:$G$320,2,0)</f>
        <v>#N/A</v>
      </c>
      <c r="H1518" s="544">
        <v>924</v>
      </c>
      <c r="I1518">
        <v>22.626912000000001</v>
      </c>
    </row>
    <row r="1519" spans="2:9">
      <c r="B1519" s="545">
        <v>5</v>
      </c>
      <c r="C1519" s="545" t="str">
        <f>VLOOKUP(D1519,기본!$B$3:$C$90,2,0)</f>
        <v>AV JDM</v>
      </c>
      <c r="D1519" t="s">
        <v>2327</v>
      </c>
      <c r="E1519" t="s">
        <v>1775</v>
      </c>
      <c r="F1519" t="s">
        <v>1621</v>
      </c>
      <c r="G1519" t="e">
        <f>VLOOKUP(E1519,기본!$F$3:$G$320,2,0)</f>
        <v>#N/A</v>
      </c>
      <c r="H1519" s="544">
        <v>19200</v>
      </c>
      <c r="I1519">
        <v>189.49497600000001</v>
      </c>
    </row>
    <row r="1520" spans="2:9">
      <c r="B1520" s="545">
        <v>5</v>
      </c>
      <c r="C1520" s="545" t="str">
        <f>VLOOKUP(D1520,기본!$B$3:$C$90,2,0)</f>
        <v>AV JDM</v>
      </c>
      <c r="D1520" t="s">
        <v>2327</v>
      </c>
      <c r="E1520" t="s">
        <v>1961</v>
      </c>
      <c r="F1520" t="s">
        <v>1962</v>
      </c>
      <c r="G1520" t="e">
        <f>VLOOKUP(E1520,기본!$F$3:$G$320,2,0)</f>
        <v>#N/A</v>
      </c>
      <c r="H1520" s="544">
        <v>1600</v>
      </c>
      <c r="I1520">
        <v>16.817126399999999</v>
      </c>
    </row>
    <row r="1521" spans="2:9">
      <c r="B1521" s="545">
        <v>5</v>
      </c>
      <c r="C1521" s="545" t="str">
        <f>VLOOKUP(D1521,기본!$B$3:$C$90,2,0)</f>
        <v>AV JDM</v>
      </c>
      <c r="D1521" t="s">
        <v>2327</v>
      </c>
      <c r="E1521" t="s">
        <v>1597</v>
      </c>
      <c r="F1521" t="s">
        <v>1597</v>
      </c>
      <c r="G1521" t="str">
        <f>VLOOKUP(E1521,기본!$F$3:$G$320,2,0)</f>
        <v>MNT</v>
      </c>
      <c r="H1521" s="544">
        <v>23072</v>
      </c>
      <c r="I1521">
        <v>199.50398271999998</v>
      </c>
    </row>
    <row r="1522" spans="2:9">
      <c r="B1522" s="545">
        <v>5</v>
      </c>
      <c r="C1522" s="545" t="str">
        <f>VLOOKUP(D1522,기본!$B$3:$C$90,2,0)</f>
        <v>AV JDM</v>
      </c>
      <c r="D1522" t="s">
        <v>2327</v>
      </c>
      <c r="E1522" t="s">
        <v>1599</v>
      </c>
      <c r="F1522" t="s">
        <v>1599</v>
      </c>
      <c r="G1522" t="str">
        <f>VLOOKUP(E1522,기본!$F$3:$G$320,2,0)</f>
        <v>MNT</v>
      </c>
      <c r="H1522" s="544">
        <v>1512</v>
      </c>
      <c r="I1522">
        <v>14.165234999999999</v>
      </c>
    </row>
    <row r="1523" spans="2:9">
      <c r="B1523" s="545">
        <v>5</v>
      </c>
      <c r="C1523" s="545" t="str">
        <f>VLOOKUP(D1523,기본!$B$3:$C$90,2,0)</f>
        <v>AV JDM</v>
      </c>
      <c r="D1523" t="s">
        <v>2327</v>
      </c>
      <c r="E1523" t="s">
        <v>1600</v>
      </c>
      <c r="F1523" t="s">
        <v>1600</v>
      </c>
      <c r="G1523" t="e">
        <f>VLOOKUP(E1523,기본!$F$3:$G$320,2,0)</f>
        <v>#N/A</v>
      </c>
      <c r="H1523" s="544">
        <v>1288</v>
      </c>
      <c r="I1523">
        <v>12.581203319999998</v>
      </c>
    </row>
    <row r="1524" spans="2:9">
      <c r="B1524" s="545">
        <v>5</v>
      </c>
      <c r="C1524" s="545" t="str">
        <f>VLOOKUP(D1524,기본!$B$3:$C$90,2,0)</f>
        <v>AV JDM</v>
      </c>
      <c r="D1524" t="s">
        <v>2327</v>
      </c>
      <c r="E1524" t="s">
        <v>1601</v>
      </c>
      <c r="F1524" t="s">
        <v>1601</v>
      </c>
      <c r="G1524" t="str">
        <f>VLOOKUP(E1524,기본!$F$3:$G$320,2,0)</f>
        <v>MNT</v>
      </c>
      <c r="H1524" s="544">
        <v>2072</v>
      </c>
      <c r="I1524">
        <v>21.00325248</v>
      </c>
    </row>
    <row r="1525" spans="2:9">
      <c r="B1525" s="545">
        <v>5</v>
      </c>
      <c r="C1525" s="545" t="str">
        <f>VLOOKUP(D1525,기본!$B$3:$C$90,2,0)</f>
        <v>AV JDM</v>
      </c>
      <c r="D1525" t="s">
        <v>2327</v>
      </c>
      <c r="E1525" t="s">
        <v>1598</v>
      </c>
      <c r="F1525" t="s">
        <v>1598</v>
      </c>
      <c r="G1525" t="e">
        <f>VLOOKUP(E1525,기본!$F$3:$G$320,2,0)</f>
        <v>#N/A</v>
      </c>
      <c r="H1525" s="544">
        <v>1008</v>
      </c>
      <c r="I1525">
        <v>9.1727798399999987</v>
      </c>
    </row>
    <row r="1526" spans="2:9">
      <c r="B1526" s="545">
        <v>5</v>
      </c>
      <c r="C1526" s="545" t="str">
        <f>VLOOKUP(D1526,기본!$B$3:$C$90,2,0)</f>
        <v>AV JDM</v>
      </c>
      <c r="D1526" t="s">
        <v>2327</v>
      </c>
      <c r="E1526" t="s">
        <v>1986</v>
      </c>
      <c r="F1526" t="s">
        <v>1986</v>
      </c>
      <c r="G1526" t="e">
        <f>VLOOKUP(E1526,기본!$F$3:$G$320,2,0)</f>
        <v>#N/A</v>
      </c>
      <c r="H1526" s="544">
        <v>512</v>
      </c>
      <c r="I1526">
        <v>5.3955158400000007</v>
      </c>
    </row>
    <row r="1527" spans="2:9">
      <c r="B1527" s="545">
        <v>5</v>
      </c>
      <c r="C1527" s="545" t="str">
        <f>VLOOKUP(D1527,기본!$B$3:$C$90,2,0)</f>
        <v>AV JDM</v>
      </c>
      <c r="D1527" t="s">
        <v>2327</v>
      </c>
      <c r="E1527" t="s">
        <v>1776</v>
      </c>
      <c r="F1527" t="s">
        <v>1287</v>
      </c>
      <c r="G1527" t="e">
        <f>VLOOKUP(E1527,기본!$F$3:$G$320,2,0)</f>
        <v>#N/A</v>
      </c>
      <c r="H1527" s="544">
        <v>4536</v>
      </c>
      <c r="I1527">
        <v>50.912258543999997</v>
      </c>
    </row>
    <row r="1528" spans="2:9">
      <c r="B1528" s="545">
        <v>5</v>
      </c>
      <c r="C1528" s="545" t="str">
        <f>VLOOKUP(D1528,기본!$B$3:$C$90,2,0)</f>
        <v>AV JDM</v>
      </c>
      <c r="D1528" t="s">
        <v>2327</v>
      </c>
      <c r="E1528" t="s">
        <v>1777</v>
      </c>
      <c r="F1528" t="s">
        <v>1283</v>
      </c>
      <c r="G1528" t="e">
        <f>VLOOKUP(E1528,기본!$F$3:$G$320,2,0)</f>
        <v>#N/A</v>
      </c>
      <c r="H1528" s="544">
        <v>14960</v>
      </c>
      <c r="I1528">
        <v>149.640748</v>
      </c>
    </row>
    <row r="1529" spans="2:9">
      <c r="B1529" s="545">
        <v>5</v>
      </c>
      <c r="C1529" s="545" t="str">
        <f>VLOOKUP(D1529,기본!$B$3:$C$90,2,0)</f>
        <v>AV JDM</v>
      </c>
      <c r="D1529" t="s">
        <v>2327</v>
      </c>
      <c r="E1529" t="s">
        <v>2480</v>
      </c>
      <c r="F1529" t="s">
        <v>1284</v>
      </c>
      <c r="G1529" t="e">
        <f>VLOOKUP(E1529,기본!$F$3:$G$320,2,0)</f>
        <v>#N/A</v>
      </c>
      <c r="H1529" s="544">
        <v>1080</v>
      </c>
      <c r="I1529">
        <v>11.934782999999999</v>
      </c>
    </row>
    <row r="1530" spans="2:9">
      <c r="B1530" s="545">
        <v>5</v>
      </c>
      <c r="C1530" s="545" t="str">
        <f>VLOOKUP(D1530,기본!$B$3:$C$90,2,0)</f>
        <v>AV JDM</v>
      </c>
      <c r="D1530" t="s">
        <v>2327</v>
      </c>
      <c r="E1530" t="s">
        <v>973</v>
      </c>
      <c r="F1530" t="s">
        <v>973</v>
      </c>
      <c r="G1530" t="e">
        <f>VLOOKUP(E1530,기본!$F$3:$G$320,2,0)</f>
        <v>#N/A</v>
      </c>
      <c r="H1530" s="544">
        <v>3456</v>
      </c>
      <c r="I1530">
        <v>31.726785024000002</v>
      </c>
    </row>
    <row r="1531" spans="2:9">
      <c r="B1531" s="545">
        <v>5</v>
      </c>
      <c r="C1531" s="545" t="str">
        <f>VLOOKUP(D1531,기본!$B$3:$C$90,2,0)</f>
        <v>AV JDM</v>
      </c>
      <c r="D1531" t="s">
        <v>2327</v>
      </c>
      <c r="E1531" t="s">
        <v>2456</v>
      </c>
      <c r="F1531" t="s">
        <v>2456</v>
      </c>
      <c r="G1531" t="str">
        <f>VLOOKUP(E1531,기본!$F$3:$G$320,2,0)</f>
        <v>AV</v>
      </c>
      <c r="H1531" s="544">
        <v>206</v>
      </c>
      <c r="I1531">
        <v>2.0920535999999998</v>
      </c>
    </row>
    <row r="1532" spans="2:9">
      <c r="B1532" s="545">
        <v>5</v>
      </c>
      <c r="C1532" s="545" t="str">
        <f>VLOOKUP(D1532,기본!$B$3:$C$90,2,0)</f>
        <v>AV JDM</v>
      </c>
      <c r="D1532" t="s">
        <v>2327</v>
      </c>
      <c r="E1532" t="s">
        <v>2457</v>
      </c>
      <c r="F1532" t="s">
        <v>2457</v>
      </c>
      <c r="G1532" t="str">
        <f>VLOOKUP(E1532,기본!$F$3:$G$320,2,0)</f>
        <v>AV</v>
      </c>
      <c r="H1532" s="544">
        <v>5</v>
      </c>
      <c r="I1532">
        <v>5.2213000000000002E-2</v>
      </c>
    </row>
    <row r="1533" spans="2:9">
      <c r="B1533" s="545">
        <v>5</v>
      </c>
      <c r="C1533" s="545" t="str">
        <f>VLOOKUP(D1533,기본!$B$3:$C$90,2,0)</f>
        <v>AV JDM</v>
      </c>
      <c r="D1533" t="s">
        <v>2327</v>
      </c>
      <c r="E1533" t="s">
        <v>2026</v>
      </c>
      <c r="F1533" t="s">
        <v>2026</v>
      </c>
      <c r="G1533" t="str">
        <f>VLOOKUP(E1533,기본!$F$3:$G$320,2,0)</f>
        <v>AV</v>
      </c>
      <c r="H1533" s="544">
        <v>7115</v>
      </c>
      <c r="I1533">
        <v>69.357980249999997</v>
      </c>
    </row>
    <row r="1534" spans="2:9">
      <c r="B1534" s="545">
        <v>5</v>
      </c>
      <c r="C1534" s="545" t="str">
        <f>VLOOKUP(D1534,기본!$B$3:$C$90,2,0)</f>
        <v>AV JDM</v>
      </c>
      <c r="D1534" t="s">
        <v>2327</v>
      </c>
      <c r="E1534" t="s">
        <v>2027</v>
      </c>
      <c r="F1534" t="s">
        <v>2027</v>
      </c>
      <c r="G1534" t="str">
        <f>VLOOKUP(E1534,기본!$F$3:$G$320,2,0)</f>
        <v>AV</v>
      </c>
      <c r="H1534" s="544">
        <v>3159</v>
      </c>
      <c r="I1534">
        <v>40.277946060000005</v>
      </c>
    </row>
    <row r="1535" spans="2:9">
      <c r="B1535" s="545">
        <v>5</v>
      </c>
      <c r="C1535" s="545" t="str">
        <f>VLOOKUP(D1535,기본!$B$3:$C$90,2,0)</f>
        <v>삼성 VD</v>
      </c>
      <c r="D1535" t="s">
        <v>1778</v>
      </c>
      <c r="E1535" t="s">
        <v>1781</v>
      </c>
      <c r="F1535" t="s">
        <v>1782</v>
      </c>
      <c r="G1535" t="str">
        <f>VLOOKUP(E1535,기본!$F$3:$G$320,2,0)</f>
        <v>TV</v>
      </c>
      <c r="H1535" s="544">
        <v>720</v>
      </c>
      <c r="I1535">
        <v>9.9682214399999989</v>
      </c>
    </row>
    <row r="1536" spans="2:9">
      <c r="B1536" s="545">
        <v>5</v>
      </c>
      <c r="C1536" s="545" t="str">
        <f>VLOOKUP(D1536,기본!$B$3:$C$90,2,0)</f>
        <v>삼성 VD</v>
      </c>
      <c r="D1536" t="s">
        <v>1778</v>
      </c>
      <c r="E1536" t="s">
        <v>1787</v>
      </c>
      <c r="F1536" t="s">
        <v>1788</v>
      </c>
      <c r="G1536" t="str">
        <f>VLOOKUP(E1536,기본!$F$3:$G$320,2,0)</f>
        <v>MNT</v>
      </c>
      <c r="H1536" s="544">
        <v>5712</v>
      </c>
      <c r="I1536">
        <v>230.68640102400002</v>
      </c>
    </row>
    <row r="1537" spans="2:9">
      <c r="B1537" s="545">
        <v>5</v>
      </c>
      <c r="C1537" s="545" t="str">
        <f>VLOOKUP(D1537,기본!$B$3:$C$90,2,0)</f>
        <v>삼성 VD</v>
      </c>
      <c r="D1537" t="s">
        <v>1778</v>
      </c>
      <c r="E1537" t="s">
        <v>1723</v>
      </c>
      <c r="F1537" t="s">
        <v>1821</v>
      </c>
      <c r="G1537" t="str">
        <f>VLOOKUP(E1537,기본!$F$3:$G$320,2,0)</f>
        <v>TV</v>
      </c>
      <c r="H1537" s="544">
        <v>240</v>
      </c>
      <c r="I1537">
        <v>3.0200179200000004</v>
      </c>
    </row>
    <row r="1538" spans="2:9">
      <c r="B1538" s="545">
        <v>5</v>
      </c>
      <c r="C1538" s="545" t="str">
        <f>VLOOKUP(D1538,기본!$B$3:$C$90,2,0)</f>
        <v>삼성 VD</v>
      </c>
      <c r="D1538" t="s">
        <v>1778</v>
      </c>
      <c r="E1538" t="s">
        <v>1725</v>
      </c>
      <c r="F1538" t="s">
        <v>1822</v>
      </c>
      <c r="G1538" t="str">
        <f>VLOOKUP(E1538,기본!$F$3:$G$320,2,0)</f>
        <v>TV</v>
      </c>
      <c r="H1538" s="544">
        <v>1008</v>
      </c>
      <c r="I1538">
        <v>14.036294159999999</v>
      </c>
    </row>
    <row r="1539" spans="2:9">
      <c r="B1539" s="545">
        <v>5</v>
      </c>
      <c r="C1539" s="545" t="str">
        <f>VLOOKUP(D1539,기본!$B$3:$C$90,2,0)</f>
        <v>삼성 VD</v>
      </c>
      <c r="D1539" t="s">
        <v>1778</v>
      </c>
      <c r="E1539" t="s">
        <v>1727</v>
      </c>
      <c r="F1539" t="s">
        <v>1823</v>
      </c>
      <c r="G1539" t="str">
        <f>VLOOKUP(E1539,기본!$F$3:$G$320,2,0)</f>
        <v>TV</v>
      </c>
      <c r="H1539" s="544">
        <v>500</v>
      </c>
      <c r="I1539">
        <v>9.104707239999998</v>
      </c>
    </row>
    <row r="1540" spans="2:9">
      <c r="B1540" s="545">
        <v>5</v>
      </c>
      <c r="C1540" s="545" t="str">
        <f>VLOOKUP(D1540,기본!$B$3:$C$90,2,0)</f>
        <v>삼성 VD</v>
      </c>
      <c r="D1540" t="s">
        <v>1778</v>
      </c>
      <c r="E1540" t="s">
        <v>2106</v>
      </c>
      <c r="F1540" t="s">
        <v>1748</v>
      </c>
      <c r="G1540" t="str">
        <f>VLOOKUP(E1540,기본!$F$3:$G$320,2,0)</f>
        <v>MNT</v>
      </c>
      <c r="H1540" s="544">
        <v>432</v>
      </c>
      <c r="I1540">
        <v>5.0272228800000009</v>
      </c>
    </row>
    <row r="1541" spans="2:9">
      <c r="B1541" s="545">
        <v>5</v>
      </c>
      <c r="C1541" s="545" t="str">
        <f>VLOOKUP(D1541,기본!$B$3:$C$90,2,0)</f>
        <v>삼성 VD</v>
      </c>
      <c r="D1541" t="s">
        <v>1778</v>
      </c>
      <c r="E1541" t="s">
        <v>2070</v>
      </c>
      <c r="F1541" t="s">
        <v>1746</v>
      </c>
      <c r="G1541" t="str">
        <f>VLOOKUP(E1541,기본!$F$3:$G$320,2,0)</f>
        <v>MNT</v>
      </c>
      <c r="H1541" s="544">
        <v>3168</v>
      </c>
      <c r="I1541">
        <v>22.67229888</v>
      </c>
    </row>
    <row r="1542" spans="2:9">
      <c r="B1542" s="545">
        <v>5</v>
      </c>
      <c r="C1542" s="545" t="str">
        <f>VLOOKUP(D1542,기본!$B$3:$C$90,2,0)</f>
        <v>삼성 VD</v>
      </c>
      <c r="D1542" t="s">
        <v>1778</v>
      </c>
      <c r="E1542" t="s">
        <v>1789</v>
      </c>
      <c r="F1542" t="s">
        <v>2470</v>
      </c>
      <c r="G1542" t="str">
        <f>VLOOKUP(E1542,기본!$F$3:$G$320,2,0)</f>
        <v>MNT</v>
      </c>
      <c r="H1542" s="544">
        <v>4536</v>
      </c>
      <c r="I1542">
        <v>37.623434688000003</v>
      </c>
    </row>
    <row r="1543" spans="2:9">
      <c r="B1543" s="545">
        <v>5</v>
      </c>
      <c r="C1543" s="545" t="str">
        <f>VLOOKUP(D1543,기본!$B$3:$C$90,2,0)</f>
        <v>삼성 VD</v>
      </c>
      <c r="D1543" t="s">
        <v>1778</v>
      </c>
      <c r="E1543" t="s">
        <v>2010</v>
      </c>
      <c r="F1543" t="s">
        <v>2011</v>
      </c>
      <c r="G1543" t="str">
        <f>VLOOKUP(E1543,기본!$F$3:$G$320,2,0)</f>
        <v>MNT</v>
      </c>
      <c r="H1543" s="544">
        <v>25784</v>
      </c>
      <c r="I1543">
        <v>122.163604752</v>
      </c>
    </row>
    <row r="1544" spans="2:9">
      <c r="B1544" s="545">
        <v>5</v>
      </c>
      <c r="C1544" s="545" t="str">
        <f>VLOOKUP(D1544,기본!$B$3:$C$90,2,0)</f>
        <v>삼성 VD</v>
      </c>
      <c r="D1544" t="s">
        <v>1791</v>
      </c>
      <c r="E1544" t="s">
        <v>2112</v>
      </c>
      <c r="F1544" t="s">
        <v>1748</v>
      </c>
      <c r="G1544" t="str">
        <f>VLOOKUP(E1544,기본!$F$3:$G$320,2,0)</f>
        <v>MNT</v>
      </c>
      <c r="H1544" s="544">
        <v>5040</v>
      </c>
      <c r="I1544">
        <v>57.901949279999997</v>
      </c>
    </row>
    <row r="1545" spans="2:9">
      <c r="B1545" s="545">
        <v>5</v>
      </c>
      <c r="C1545" s="545" t="str">
        <f>VLOOKUP(D1545,기본!$B$3:$C$90,2,0)</f>
        <v>삼성 VD</v>
      </c>
      <c r="D1545" t="s">
        <v>1797</v>
      </c>
      <c r="E1545" t="s">
        <v>1712</v>
      </c>
      <c r="F1545" t="s">
        <v>1613</v>
      </c>
      <c r="G1545" t="str">
        <f>VLOOKUP(E1545,기본!$F$3:$G$320,2,0)</f>
        <v>TV</v>
      </c>
      <c r="H1545" s="544">
        <v>46840</v>
      </c>
      <c r="I1545">
        <v>575.82092407999994</v>
      </c>
    </row>
    <row r="1546" spans="2:9">
      <c r="B1546" s="545">
        <v>5</v>
      </c>
      <c r="C1546" s="545" t="str">
        <f>VLOOKUP(D1546,기본!$B$3:$C$90,2,0)</f>
        <v>삼성 VD</v>
      </c>
      <c r="D1546" t="s">
        <v>1797</v>
      </c>
      <c r="E1546" t="s">
        <v>1713</v>
      </c>
      <c r="F1546" t="s">
        <v>1827</v>
      </c>
      <c r="G1546" t="str">
        <f>VLOOKUP(E1546,기본!$F$3:$G$320,2,0)</f>
        <v>TV</v>
      </c>
      <c r="H1546" s="544">
        <v>560</v>
      </c>
      <c r="I1546">
        <v>7.7697356799999984</v>
      </c>
    </row>
    <row r="1547" spans="2:9">
      <c r="B1547" s="545">
        <v>5</v>
      </c>
      <c r="C1547" s="545" t="str">
        <f>VLOOKUP(D1547,기본!$B$3:$C$90,2,0)</f>
        <v>삼성 VD</v>
      </c>
      <c r="D1547" t="s">
        <v>1797</v>
      </c>
      <c r="E1547" t="s">
        <v>1714</v>
      </c>
      <c r="F1547" t="s">
        <v>1828</v>
      </c>
      <c r="G1547" t="str">
        <f>VLOOKUP(E1547,기본!$F$3:$G$320,2,0)</f>
        <v>TV</v>
      </c>
      <c r="H1547" s="544">
        <v>108</v>
      </c>
      <c r="I1547">
        <v>1.6550757</v>
      </c>
    </row>
    <row r="1548" spans="2:9">
      <c r="B1548" s="545">
        <v>5</v>
      </c>
      <c r="C1548" s="545" t="str">
        <f>VLOOKUP(D1548,기본!$B$3:$C$90,2,0)</f>
        <v>삼성 VD</v>
      </c>
      <c r="D1548" t="s">
        <v>1797</v>
      </c>
      <c r="E1548" t="s">
        <v>2441</v>
      </c>
      <c r="F1548" t="s">
        <v>2438</v>
      </c>
      <c r="G1548" t="str">
        <f>VLOOKUP(E1548,기본!$F$3:$G$320,2,0)</f>
        <v>TV</v>
      </c>
      <c r="H1548" s="544">
        <v>7140</v>
      </c>
      <c r="I1548">
        <v>98.210128799999993</v>
      </c>
    </row>
    <row r="1549" spans="2:9">
      <c r="B1549" s="545">
        <v>5</v>
      </c>
      <c r="C1549" s="545" t="str">
        <f>VLOOKUP(D1549,기본!$B$3:$C$90,2,0)</f>
        <v>삼성 VD</v>
      </c>
      <c r="D1549" t="s">
        <v>1797</v>
      </c>
      <c r="E1549" t="s">
        <v>2443</v>
      </c>
      <c r="F1549" t="s">
        <v>2440</v>
      </c>
      <c r="G1549" t="str">
        <f>VLOOKUP(E1549,기본!$F$3:$G$320,2,0)</f>
        <v>TV</v>
      </c>
      <c r="H1549" s="544">
        <v>378</v>
      </c>
      <c r="I1549">
        <v>8.6750187299999997</v>
      </c>
    </row>
    <row r="1550" spans="2:9">
      <c r="B1550" s="545">
        <v>5</v>
      </c>
      <c r="C1550" s="545" t="str">
        <f>VLOOKUP(D1550,기본!$B$3:$C$90,2,0)</f>
        <v>기타</v>
      </c>
      <c r="D1550" t="s">
        <v>1799</v>
      </c>
      <c r="E1550" t="s">
        <v>224</v>
      </c>
      <c r="F1550" t="s">
        <v>224</v>
      </c>
      <c r="G1550" t="str">
        <f>VLOOKUP(E1550,기본!$F$3:$G$320,2,0)</f>
        <v>기타</v>
      </c>
      <c r="H1550" s="544">
        <v>0</v>
      </c>
      <c r="I1550">
        <v>8.0709000000000003E-2</v>
      </c>
    </row>
    <row r="1551" spans="2:9">
      <c r="B1551" s="545">
        <v>5</v>
      </c>
      <c r="C1551" s="545" t="str">
        <f>VLOOKUP(D1551,기본!$B$3:$C$90,2,0)</f>
        <v>코웨이</v>
      </c>
      <c r="D1551" t="s">
        <v>2260</v>
      </c>
      <c r="E1551" t="s">
        <v>1021</v>
      </c>
      <c r="F1551" t="s">
        <v>1021</v>
      </c>
      <c r="G1551" t="e">
        <f>VLOOKUP(E1551,기본!$F$3:$G$320,2,0)</f>
        <v>#N/A</v>
      </c>
      <c r="H1551" s="544">
        <v>1440</v>
      </c>
      <c r="I1551">
        <v>10.160291519999999</v>
      </c>
    </row>
    <row r="1552" spans="2:9">
      <c r="B1552" s="545">
        <v>5</v>
      </c>
      <c r="C1552" s="545" t="str">
        <f>VLOOKUP(D1552,기본!$B$3:$C$90,2,0)</f>
        <v>코웨이</v>
      </c>
      <c r="D1552" t="s">
        <v>2260</v>
      </c>
      <c r="E1552" t="s">
        <v>1020</v>
      </c>
      <c r="F1552" t="s">
        <v>1020</v>
      </c>
      <c r="G1552" t="e">
        <f>VLOOKUP(E1552,기본!$F$3:$G$320,2,0)</f>
        <v>#N/A</v>
      </c>
      <c r="H1552" s="544">
        <v>2880</v>
      </c>
      <c r="I1552">
        <v>25.294449599999997</v>
      </c>
    </row>
    <row r="1553" spans="2:9">
      <c r="B1553" s="545">
        <v>5</v>
      </c>
      <c r="C1553" s="545" t="str">
        <f>VLOOKUP(D1553,기본!$B$3:$C$90,2,0)</f>
        <v>MNT JDM</v>
      </c>
      <c r="D1553" t="s">
        <v>1963</v>
      </c>
      <c r="E1553" t="s">
        <v>676</v>
      </c>
      <c r="F1553" t="s">
        <v>1964</v>
      </c>
      <c r="G1553" t="str">
        <f>VLOOKUP(E1553,기본!$F$3:$G$320,2,0)</f>
        <v>MNT</v>
      </c>
      <c r="H1553" s="544">
        <v>5280</v>
      </c>
      <c r="I1553">
        <v>25.993123199999999</v>
      </c>
    </row>
    <row r="1554" spans="2:9">
      <c r="B1554" s="545">
        <v>5</v>
      </c>
      <c r="C1554" s="545" t="str">
        <f>VLOOKUP(D1554,기본!$B$3:$C$90,2,0)</f>
        <v>MNT JDM</v>
      </c>
      <c r="D1554" t="s">
        <v>1963</v>
      </c>
      <c r="E1554" t="s">
        <v>1110</v>
      </c>
      <c r="F1554" t="s">
        <v>1728</v>
      </c>
      <c r="G1554" t="str">
        <f>VLOOKUP(E1554,기본!$F$3:$G$320,2,0)</f>
        <v>MNT</v>
      </c>
      <c r="H1554" s="544">
        <v>12672</v>
      </c>
      <c r="I1554">
        <v>76.750603775999991</v>
      </c>
    </row>
    <row r="1555" spans="2:9">
      <c r="B1555" s="545">
        <v>5</v>
      </c>
      <c r="C1555" s="545" t="str">
        <f>VLOOKUP(D1555,기본!$B$3:$C$90,2,0)</f>
        <v>AV JDM</v>
      </c>
      <c r="D1555" t="s">
        <v>2176</v>
      </c>
      <c r="E1555" t="s">
        <v>2473</v>
      </c>
      <c r="F1555" t="s">
        <v>2474</v>
      </c>
      <c r="G1555" t="e">
        <f>VLOOKUP(E1555,기본!$F$3:$G$320,2,0)</f>
        <v>#N/A</v>
      </c>
      <c r="H1555" s="544">
        <v>504</v>
      </c>
      <c r="I1555">
        <v>4.3510571999999996</v>
      </c>
    </row>
    <row r="1556" spans="2:9">
      <c r="B1556" s="545">
        <v>5</v>
      </c>
      <c r="C1556" s="545" t="str">
        <f>VLOOKUP(D1556,기본!$B$3:$C$90,2,0)</f>
        <v>AV JDM</v>
      </c>
      <c r="D1556" t="s">
        <v>2176</v>
      </c>
      <c r="E1556" t="s">
        <v>2416</v>
      </c>
      <c r="F1556" t="s">
        <v>2417</v>
      </c>
      <c r="G1556" t="e">
        <f>VLOOKUP(E1556,기본!$F$3:$G$320,2,0)</f>
        <v>#N/A</v>
      </c>
      <c r="H1556" s="544">
        <v>1456</v>
      </c>
      <c r="I1556">
        <v>12.914807359999999</v>
      </c>
    </row>
    <row r="1557" spans="2:9">
      <c r="B1557" s="545">
        <v>5</v>
      </c>
      <c r="C1557" s="545" t="str">
        <f>VLOOKUP(D1557,기본!$B$3:$C$90,2,0)</f>
        <v>AV JDM</v>
      </c>
      <c r="D1557" t="s">
        <v>2176</v>
      </c>
      <c r="E1557" t="s">
        <v>2418</v>
      </c>
      <c r="F1557" t="s">
        <v>2419</v>
      </c>
      <c r="G1557" t="e">
        <f>VLOOKUP(E1557,기본!$F$3:$G$320,2,0)</f>
        <v>#N/A</v>
      </c>
      <c r="H1557" s="544">
        <v>1736</v>
      </c>
      <c r="I1557">
        <v>14.6432076</v>
      </c>
    </row>
    <row r="1558" spans="2:9">
      <c r="B1558" s="545">
        <v>5</v>
      </c>
      <c r="C1558" s="545" t="str">
        <f>VLOOKUP(D1558,기본!$B$3:$C$90,2,0)</f>
        <v>AV JDM</v>
      </c>
      <c r="D1558" t="s">
        <v>2176</v>
      </c>
      <c r="E1558" t="s">
        <v>2475</v>
      </c>
      <c r="F1558" t="s">
        <v>2476</v>
      </c>
      <c r="G1558" t="e">
        <f>VLOOKUP(E1558,기본!$F$3:$G$320,2,0)</f>
        <v>#N/A</v>
      </c>
      <c r="H1558" s="544">
        <v>1800</v>
      </c>
      <c r="I1558">
        <v>13.755896999999999</v>
      </c>
    </row>
    <row r="1559" spans="2:9">
      <c r="B1559" s="545">
        <v>5</v>
      </c>
      <c r="C1559" s="545" t="str">
        <f>VLOOKUP(D1559,기본!$B$3:$C$90,2,0)</f>
        <v>AV JDM</v>
      </c>
      <c r="D1559" t="s">
        <v>2176</v>
      </c>
      <c r="E1559" t="s">
        <v>2525</v>
      </c>
      <c r="F1559" t="s">
        <v>2526</v>
      </c>
      <c r="G1559" t="e">
        <f>VLOOKUP(E1559,기본!$F$3:$G$320,2,0)</f>
        <v>#N/A</v>
      </c>
      <c r="H1559" s="544">
        <v>55</v>
      </c>
      <c r="I1559">
        <v>1.0420583800000001</v>
      </c>
    </row>
    <row r="1560" spans="2:9">
      <c r="B1560" s="545">
        <v>5</v>
      </c>
      <c r="C1560" s="545" t="str">
        <f>VLOOKUP(D1560,기본!$B$3:$C$90,2,0)</f>
        <v>AV JDM</v>
      </c>
      <c r="D1560" t="s">
        <v>2176</v>
      </c>
      <c r="E1560" t="s">
        <v>2527</v>
      </c>
      <c r="F1560" t="s">
        <v>2528</v>
      </c>
      <c r="G1560" t="e">
        <f>VLOOKUP(E1560,기본!$F$3:$G$320,2,0)</f>
        <v>#N/A</v>
      </c>
      <c r="H1560" s="544">
        <v>37</v>
      </c>
      <c r="I1560">
        <v>0.70102109199999996</v>
      </c>
    </row>
    <row r="1561" spans="2:9">
      <c r="B1561" s="545">
        <v>5</v>
      </c>
      <c r="C1561" s="545" t="str">
        <f>VLOOKUP(D1561,기본!$B$3:$C$90,2,0)</f>
        <v>코웨이</v>
      </c>
      <c r="D1561" t="s">
        <v>2178</v>
      </c>
      <c r="E1561" t="s">
        <v>2328</v>
      </c>
      <c r="F1561" t="s">
        <v>2328</v>
      </c>
      <c r="G1561" t="e">
        <f>VLOOKUP(E1561,기본!$F$3:$G$320,2,0)</f>
        <v>#N/A</v>
      </c>
      <c r="H1561" s="544">
        <v>41472</v>
      </c>
      <c r="I1561">
        <v>115.29515635200001</v>
      </c>
    </row>
    <row r="1562" spans="2:9">
      <c r="B1562" s="545">
        <v>5</v>
      </c>
      <c r="C1562" s="545" t="str">
        <f>VLOOKUP(D1562,기본!$B$3:$C$90,2,0)</f>
        <v>코웨이</v>
      </c>
      <c r="D1562" t="s">
        <v>2178</v>
      </c>
      <c r="E1562" t="s">
        <v>1897</v>
      </c>
      <c r="F1562" t="s">
        <v>1897</v>
      </c>
      <c r="G1562" t="e">
        <f>VLOOKUP(E1562,기본!$F$3:$G$320,2,0)</f>
        <v>#N/A</v>
      </c>
      <c r="H1562" s="544">
        <v>4320</v>
      </c>
      <c r="I1562">
        <v>69.799250879999988</v>
      </c>
    </row>
    <row r="1563" spans="2:9">
      <c r="B1563" s="545">
        <v>5</v>
      </c>
      <c r="C1563" s="545" t="str">
        <f>VLOOKUP(D1563,기본!$B$3:$C$90,2,0)</f>
        <v>MNT JDM</v>
      </c>
      <c r="D1563" t="s">
        <v>154</v>
      </c>
      <c r="E1563" t="s">
        <v>676</v>
      </c>
      <c r="F1563" t="s">
        <v>1801</v>
      </c>
      <c r="G1563" t="str">
        <f>VLOOKUP(E1563,기본!$F$3:$G$320,2,0)</f>
        <v>MNT</v>
      </c>
      <c r="H1563" s="544">
        <v>28512</v>
      </c>
      <c r="I1563">
        <v>140.02765920000002</v>
      </c>
    </row>
    <row r="1564" spans="2:9">
      <c r="B1564" s="545">
        <v>5</v>
      </c>
      <c r="C1564" s="545" t="str">
        <f>VLOOKUP(D1564,기본!$B$3:$C$90,2,0)</f>
        <v>MNT JDM</v>
      </c>
      <c r="D1564" t="s">
        <v>154</v>
      </c>
      <c r="E1564" t="s">
        <v>677</v>
      </c>
      <c r="F1564" t="s">
        <v>2291</v>
      </c>
      <c r="G1564" t="str">
        <f>VLOOKUP(E1564,기본!$F$3:$G$320,2,0)</f>
        <v>MNT</v>
      </c>
      <c r="H1564" s="544">
        <v>880</v>
      </c>
      <c r="I1564">
        <v>5.1402771200000004</v>
      </c>
    </row>
    <row r="1565" spans="2:9">
      <c r="B1565" s="545">
        <v>5</v>
      </c>
      <c r="C1565" s="545" t="str">
        <f>VLOOKUP(D1565,기본!$B$3:$C$90,2,0)</f>
        <v>MNT JDM</v>
      </c>
      <c r="D1565" t="s">
        <v>154</v>
      </c>
      <c r="E1565" t="s">
        <v>1110</v>
      </c>
      <c r="F1565" t="s">
        <v>1730</v>
      </c>
      <c r="G1565" t="str">
        <f>VLOOKUP(E1565,기본!$F$3:$G$320,2,0)</f>
        <v>MNT</v>
      </c>
      <c r="H1565" s="544">
        <v>12672</v>
      </c>
      <c r="I1565">
        <v>76.4324352</v>
      </c>
    </row>
    <row r="1566" spans="2:9">
      <c r="B1566" s="545">
        <v>5</v>
      </c>
      <c r="C1566" s="545" t="str">
        <f>VLOOKUP(D1566,기본!$B$3:$C$90,2,0)</f>
        <v>AV JDM</v>
      </c>
      <c r="D1566" t="s">
        <v>2329</v>
      </c>
      <c r="E1566" t="s">
        <v>1775</v>
      </c>
      <c r="F1566" t="s">
        <v>1621</v>
      </c>
      <c r="G1566" t="e">
        <f>VLOOKUP(E1566,기본!$F$3:$G$320,2,0)</f>
        <v>#N/A</v>
      </c>
      <c r="H1566" s="544">
        <v>2240</v>
      </c>
      <c r="I1566">
        <v>22.287830400000004</v>
      </c>
    </row>
    <row r="1567" spans="2:9">
      <c r="B1567" s="545">
        <v>5</v>
      </c>
      <c r="C1567" s="545" t="str">
        <f>VLOOKUP(D1567,기본!$B$3:$C$90,2,0)</f>
        <v>AV JDM</v>
      </c>
      <c r="D1567" t="s">
        <v>2329</v>
      </c>
      <c r="E1567" t="s">
        <v>1599</v>
      </c>
      <c r="F1567" t="s">
        <v>1599</v>
      </c>
      <c r="G1567" t="str">
        <f>VLOOKUP(E1567,기본!$F$3:$G$320,2,0)</f>
        <v>MNT</v>
      </c>
      <c r="H1567" s="544">
        <v>1344</v>
      </c>
      <c r="I1567">
        <v>12.884383679999999</v>
      </c>
    </row>
    <row r="1568" spans="2:9">
      <c r="B1568" s="545">
        <v>5</v>
      </c>
      <c r="C1568" s="545" t="str">
        <f>VLOOKUP(D1568,기본!$B$3:$C$90,2,0)</f>
        <v>AV JDM</v>
      </c>
      <c r="D1568" t="s">
        <v>2329</v>
      </c>
      <c r="E1568" t="s">
        <v>1776</v>
      </c>
      <c r="F1568" t="s">
        <v>1287</v>
      </c>
      <c r="G1568" t="e">
        <f>VLOOKUP(E1568,기본!$F$3:$G$320,2,0)</f>
        <v>#N/A</v>
      </c>
      <c r="H1568" s="544">
        <v>17766</v>
      </c>
      <c r="I1568">
        <v>196.49068152000001</v>
      </c>
    </row>
    <row r="1569" spans="2:9">
      <c r="B1569" s="545">
        <v>5</v>
      </c>
      <c r="C1569" s="545" t="str">
        <f>VLOOKUP(D1569,기본!$B$3:$C$90,2,0)</f>
        <v>AV JDM</v>
      </c>
      <c r="D1569" t="s">
        <v>2329</v>
      </c>
      <c r="E1569" t="s">
        <v>2479</v>
      </c>
      <c r="F1569" t="s">
        <v>1288</v>
      </c>
      <c r="G1569" t="e">
        <f>VLOOKUP(E1569,기본!$F$3:$G$320,2,0)</f>
        <v>#N/A</v>
      </c>
      <c r="H1569" s="544">
        <v>336</v>
      </c>
      <c r="I1569">
        <v>4.2355451040000007</v>
      </c>
    </row>
    <row r="1570" spans="2:9">
      <c r="B1570" s="545">
        <v>5</v>
      </c>
      <c r="C1570" s="545" t="str">
        <f>VLOOKUP(D1570,기본!$B$3:$C$90,2,0)</f>
        <v>AV JDM</v>
      </c>
      <c r="D1570" t="s">
        <v>2329</v>
      </c>
      <c r="E1570" t="s">
        <v>1777</v>
      </c>
      <c r="F1570" t="s">
        <v>1283</v>
      </c>
      <c r="G1570" t="e">
        <f>VLOOKUP(E1570,기본!$F$3:$G$320,2,0)</f>
        <v>#N/A</v>
      </c>
      <c r="H1570" s="544">
        <v>24320</v>
      </c>
      <c r="I1570">
        <v>236.02062528000002</v>
      </c>
    </row>
    <row r="1571" spans="2:9">
      <c r="B1571" s="545">
        <v>5</v>
      </c>
      <c r="C1571" s="545" t="str">
        <f>VLOOKUP(D1571,기본!$B$3:$C$90,2,0)</f>
        <v>AV JDM</v>
      </c>
      <c r="D1571" t="s">
        <v>2329</v>
      </c>
      <c r="E1571" t="s">
        <v>2480</v>
      </c>
      <c r="F1571" t="s">
        <v>1284</v>
      </c>
      <c r="G1571" t="e">
        <f>VLOOKUP(E1571,기본!$F$3:$G$320,2,0)</f>
        <v>#N/A</v>
      </c>
      <c r="H1571" s="544">
        <v>600</v>
      </c>
      <c r="I1571">
        <v>6.4244880000000002</v>
      </c>
    </row>
    <row r="1572" spans="2:9">
      <c r="B1572" s="545">
        <v>5</v>
      </c>
      <c r="C1572" s="545" t="str">
        <f>VLOOKUP(D1572,기본!$B$3:$C$90,2,0)</f>
        <v>AV JDM</v>
      </c>
      <c r="D1572" t="s">
        <v>2329</v>
      </c>
      <c r="E1572" t="s">
        <v>972</v>
      </c>
      <c r="F1572" t="s">
        <v>972</v>
      </c>
      <c r="G1572" t="e">
        <f>VLOOKUP(E1572,기본!$F$3:$G$320,2,0)</f>
        <v>#N/A</v>
      </c>
      <c r="H1572" s="544">
        <v>9408</v>
      </c>
      <c r="I1572">
        <v>68.592077311999986</v>
      </c>
    </row>
    <row r="1573" spans="2:9">
      <c r="B1573" s="545">
        <v>5</v>
      </c>
      <c r="C1573" s="545" t="str">
        <f>VLOOKUP(D1573,기본!$B$3:$C$90,2,0)</f>
        <v>AV JDM</v>
      </c>
      <c r="D1573" t="s">
        <v>2329</v>
      </c>
      <c r="E1573" t="s">
        <v>2052</v>
      </c>
      <c r="F1573" t="s">
        <v>2052</v>
      </c>
      <c r="G1573" t="e">
        <f>VLOOKUP(E1573,기본!$F$3:$G$320,2,0)</f>
        <v>#N/A</v>
      </c>
      <c r="H1573" s="544">
        <v>16274</v>
      </c>
      <c r="I1573">
        <v>92.561474639999986</v>
      </c>
    </row>
    <row r="1574" spans="2:9">
      <c r="B1574" s="545">
        <v>5</v>
      </c>
      <c r="C1574" s="545" t="str">
        <f>VLOOKUP(D1574,기본!$B$3:$C$90,2,0)</f>
        <v>AV JDM</v>
      </c>
      <c r="D1574" t="s">
        <v>2329</v>
      </c>
      <c r="E1574" t="s">
        <v>2179</v>
      </c>
      <c r="F1574" t="s">
        <v>2179</v>
      </c>
      <c r="G1574" t="e">
        <f>VLOOKUP(E1574,기본!$F$3:$G$320,2,0)</f>
        <v>#N/A</v>
      </c>
      <c r="H1574" s="544">
        <v>798</v>
      </c>
      <c r="I1574">
        <v>5.0468392800000004</v>
      </c>
    </row>
    <row r="1575" spans="2:9">
      <c r="B1575" s="545">
        <v>5</v>
      </c>
      <c r="C1575" s="545" t="str">
        <f>VLOOKUP(D1575,기본!$B$3:$C$90,2,0)</f>
        <v>AV JDM</v>
      </c>
      <c r="D1575" t="s">
        <v>2329</v>
      </c>
      <c r="E1575" t="s">
        <v>973</v>
      </c>
      <c r="F1575" t="s">
        <v>973</v>
      </c>
      <c r="G1575" t="e">
        <f>VLOOKUP(E1575,기본!$F$3:$G$320,2,0)</f>
        <v>#N/A</v>
      </c>
      <c r="H1575" s="544">
        <v>24140</v>
      </c>
      <c r="I1575">
        <v>207.56206687200003</v>
      </c>
    </row>
    <row r="1576" spans="2:9">
      <c r="B1576" s="545">
        <v>5</v>
      </c>
      <c r="C1576" s="545" t="str">
        <f>VLOOKUP(D1576,기본!$B$3:$C$90,2,0)</f>
        <v>AV JDM</v>
      </c>
      <c r="D1576" t="s">
        <v>2329</v>
      </c>
      <c r="E1576" t="s">
        <v>2053</v>
      </c>
      <c r="F1576" t="s">
        <v>2053</v>
      </c>
      <c r="G1576" t="e">
        <f>VLOOKUP(E1576,기본!$F$3:$G$320,2,0)</f>
        <v>#N/A</v>
      </c>
      <c r="H1576" s="544">
        <v>1008</v>
      </c>
      <c r="I1576">
        <v>5.8003948799999998</v>
      </c>
    </row>
    <row r="1577" spans="2:9">
      <c r="B1577" s="545">
        <v>5</v>
      </c>
      <c r="C1577" s="545" t="str">
        <f>VLOOKUP(D1577,기본!$B$3:$C$90,2,0)</f>
        <v>AV JDM</v>
      </c>
      <c r="D1577" t="s">
        <v>2329</v>
      </c>
      <c r="E1577" t="s">
        <v>2180</v>
      </c>
      <c r="F1577" t="s">
        <v>2180</v>
      </c>
      <c r="G1577" t="e">
        <f>VLOOKUP(E1577,기본!$F$3:$G$320,2,0)</f>
        <v>#N/A</v>
      </c>
      <c r="H1577" s="544">
        <v>924</v>
      </c>
      <c r="I1577">
        <v>5.9924869199999993</v>
      </c>
    </row>
    <row r="1578" spans="2:9">
      <c r="B1578" s="545">
        <v>5</v>
      </c>
      <c r="C1578" s="545" t="str">
        <f>VLOOKUP(D1578,기본!$B$3:$C$90,2,0)</f>
        <v>AV JDM</v>
      </c>
      <c r="D1578" t="s">
        <v>2329</v>
      </c>
      <c r="E1578" t="s">
        <v>2402</v>
      </c>
      <c r="F1578" t="s">
        <v>2402</v>
      </c>
      <c r="G1578" t="str">
        <f>VLOOKUP(E1578,기본!$F$3:$G$320,2,0)</f>
        <v>AV</v>
      </c>
      <c r="H1578" s="544">
        <v>2058</v>
      </c>
      <c r="I1578">
        <v>24.24315348</v>
      </c>
    </row>
    <row r="1579" spans="2:9">
      <c r="B1579" s="545">
        <v>5</v>
      </c>
      <c r="C1579" s="545" t="str">
        <f>VLOOKUP(D1579,기본!$B$3:$C$90,2,0)</f>
        <v>AV JDM</v>
      </c>
      <c r="D1579" t="s">
        <v>2329</v>
      </c>
      <c r="E1579" t="s">
        <v>2026</v>
      </c>
      <c r="F1579" t="s">
        <v>2026</v>
      </c>
      <c r="G1579" t="str">
        <f>VLOOKUP(E1579,기본!$F$3:$G$320,2,0)</f>
        <v>AV</v>
      </c>
      <c r="H1579" s="544">
        <v>65</v>
      </c>
      <c r="I1579">
        <v>0.67871504999999988</v>
      </c>
    </row>
    <row r="1580" spans="2:9">
      <c r="B1580" s="545">
        <v>5</v>
      </c>
      <c r="C1580" s="545" t="str">
        <f>VLOOKUP(D1580,기본!$B$3:$C$90,2,0)</f>
        <v>AV JDM</v>
      </c>
      <c r="D1580" t="s">
        <v>2329</v>
      </c>
      <c r="E1580" t="s">
        <v>1805</v>
      </c>
      <c r="F1580" t="s">
        <v>1805</v>
      </c>
      <c r="G1580" t="e">
        <f>VLOOKUP(E1580,기본!$F$3:$G$320,2,0)</f>
        <v>#N/A</v>
      </c>
      <c r="H1580" s="544">
        <v>31960</v>
      </c>
      <c r="I1580">
        <v>239.36142000000001</v>
      </c>
    </row>
    <row r="1581" spans="2:9">
      <c r="B1581" s="545">
        <v>5</v>
      </c>
      <c r="C1581" s="545" t="str">
        <f>VLOOKUP(D1581,기본!$B$3:$C$90,2,0)</f>
        <v>AV JDM</v>
      </c>
      <c r="D1581" t="s">
        <v>2329</v>
      </c>
      <c r="E1581" t="s">
        <v>1987</v>
      </c>
      <c r="F1581" t="s">
        <v>1987</v>
      </c>
      <c r="G1581" t="e">
        <f>VLOOKUP(E1581,기본!$F$3:$G$320,2,0)</f>
        <v>#N/A</v>
      </c>
      <c r="H1581" s="544">
        <v>2240</v>
      </c>
      <c r="I1581">
        <v>17.711777999999999</v>
      </c>
    </row>
    <row r="1582" spans="2:9">
      <c r="B1582" s="545">
        <v>5</v>
      </c>
      <c r="C1582" s="545" t="str">
        <f>VLOOKUP(D1582,기본!$B$3:$C$90,2,0)</f>
        <v>AV JDM</v>
      </c>
      <c r="D1582" t="s">
        <v>2329</v>
      </c>
      <c r="E1582" t="s">
        <v>2027</v>
      </c>
      <c r="F1582" t="s">
        <v>2027</v>
      </c>
      <c r="G1582" t="str">
        <f>VLOOKUP(E1582,기본!$F$3:$G$320,2,0)</f>
        <v>AV</v>
      </c>
      <c r="H1582" s="544">
        <v>12717</v>
      </c>
      <c r="I1582">
        <v>160.07755075199998</v>
      </c>
    </row>
    <row r="1583" spans="2:9">
      <c r="B1583" s="545">
        <v>5</v>
      </c>
      <c r="C1583" s="545" t="str">
        <f>VLOOKUP(D1583,기본!$B$3:$C$90,2,0)</f>
        <v>AV JDM</v>
      </c>
      <c r="D1583" t="s">
        <v>2329</v>
      </c>
      <c r="E1583" t="s">
        <v>2403</v>
      </c>
      <c r="F1583" t="s">
        <v>2403</v>
      </c>
      <c r="G1583" t="e">
        <f>VLOOKUP(E1583,기본!$F$3:$G$320,2,0)</f>
        <v>#N/A</v>
      </c>
      <c r="H1583" s="544">
        <v>2736</v>
      </c>
      <c r="I1583">
        <v>52.018326239999993</v>
      </c>
    </row>
    <row r="1584" spans="2:9">
      <c r="B1584" s="545">
        <v>5</v>
      </c>
      <c r="C1584" s="545" t="str">
        <f>VLOOKUP(D1584,기본!$B$3:$C$90,2,0)</f>
        <v>JDM</v>
      </c>
      <c r="D1584" t="s">
        <v>1806</v>
      </c>
      <c r="E1584" t="s">
        <v>2031</v>
      </c>
      <c r="F1584" t="s">
        <v>1807</v>
      </c>
      <c r="G1584" t="str">
        <f>VLOOKUP(E1584,기본!$F$3:$G$320,2,0)</f>
        <v>기타</v>
      </c>
      <c r="H1584" s="544">
        <v>120</v>
      </c>
      <c r="I1584">
        <v>3.7404071999999999</v>
      </c>
    </row>
    <row r="1585" spans="2:9">
      <c r="B1585" s="545">
        <v>5</v>
      </c>
      <c r="C1585" s="545" t="str">
        <f>VLOOKUP(D1585,기본!$B$3:$C$90,2,0)</f>
        <v>JDM</v>
      </c>
      <c r="D1585" t="s">
        <v>1806</v>
      </c>
      <c r="E1585" t="s">
        <v>2228</v>
      </c>
      <c r="F1585" t="s">
        <v>1807</v>
      </c>
      <c r="G1585" t="str">
        <f>VLOOKUP(E1585,기본!$F$3:$G$320,2,0)</f>
        <v>기타</v>
      </c>
      <c r="H1585" s="544">
        <v>90</v>
      </c>
      <c r="I1585">
        <v>2.8053053999999999</v>
      </c>
    </row>
    <row r="1586" spans="2:9">
      <c r="B1586" s="545">
        <v>5</v>
      </c>
      <c r="C1586" s="545" t="str">
        <f>VLOOKUP(D1586,기본!$B$3:$C$90,2,0)</f>
        <v>MNT JDM</v>
      </c>
      <c r="D1586" t="s">
        <v>1810</v>
      </c>
      <c r="E1586" t="s">
        <v>2252</v>
      </c>
      <c r="F1586" t="s">
        <v>2264</v>
      </c>
      <c r="G1586" t="str">
        <f>VLOOKUP(E1586,기본!$F$3:$G$320,2,0)</f>
        <v>MNT</v>
      </c>
      <c r="H1586" s="544">
        <v>390</v>
      </c>
      <c r="I1586">
        <v>3.2944528499999994</v>
      </c>
    </row>
    <row r="1587" spans="2:9">
      <c r="B1587" s="545">
        <v>5</v>
      </c>
      <c r="C1587" s="545" t="str">
        <f>VLOOKUP(D1587,기본!$B$3:$C$90,2,0)</f>
        <v>MNT JDM</v>
      </c>
      <c r="D1587" t="s">
        <v>1810</v>
      </c>
      <c r="E1587" t="s">
        <v>2265</v>
      </c>
      <c r="F1587" t="s">
        <v>2266</v>
      </c>
      <c r="G1587" t="str">
        <f>VLOOKUP(E1587,기본!$F$3:$G$320,2,0)</f>
        <v>MNT</v>
      </c>
      <c r="H1587" s="544">
        <v>5</v>
      </c>
      <c r="I1587">
        <v>4.4852999999999997E-2</v>
      </c>
    </row>
    <row r="1588" spans="2:9">
      <c r="B1588" s="545">
        <v>5</v>
      </c>
      <c r="C1588" s="545" t="str">
        <f>VLOOKUP(D1588,기본!$B$3:$C$90,2,0)</f>
        <v>MNT JDM</v>
      </c>
      <c r="D1588" t="s">
        <v>1810</v>
      </c>
      <c r="E1588" t="s">
        <v>676</v>
      </c>
      <c r="F1588" t="s">
        <v>2482</v>
      </c>
      <c r="G1588" t="str">
        <f>VLOOKUP(E1588,기본!$F$3:$G$320,2,0)</f>
        <v>MNT</v>
      </c>
      <c r="H1588" s="544">
        <v>7392</v>
      </c>
      <c r="I1588">
        <v>36.139317983999995</v>
      </c>
    </row>
    <row r="1589" spans="2:9">
      <c r="B1589" s="545">
        <v>5</v>
      </c>
      <c r="C1589" s="545" t="str">
        <f>VLOOKUP(D1589,기본!$B$3:$C$90,2,0)</f>
        <v>MNT JDM</v>
      </c>
      <c r="D1589" t="s">
        <v>1810</v>
      </c>
      <c r="E1589" t="s">
        <v>1110</v>
      </c>
      <c r="F1589" t="s">
        <v>1965</v>
      </c>
      <c r="G1589" t="str">
        <f>VLOOKUP(E1589,기본!$F$3:$G$320,2,0)</f>
        <v>MNT</v>
      </c>
      <c r="H1589" s="544">
        <v>8448</v>
      </c>
      <c r="I1589">
        <v>50.522419199999995</v>
      </c>
    </row>
    <row r="1590" spans="2:9">
      <c r="B1590" s="545">
        <v>5</v>
      </c>
      <c r="C1590" s="545" t="str">
        <f>VLOOKUP(D1590,기본!$B$3:$C$90,2,0)</f>
        <v>MNT JDM</v>
      </c>
      <c r="D1590" t="s">
        <v>1810</v>
      </c>
      <c r="E1590" t="s">
        <v>1111</v>
      </c>
      <c r="F1590" t="s">
        <v>2577</v>
      </c>
      <c r="G1590" t="str">
        <f>VLOOKUP(E1590,기본!$F$3:$G$320,2,0)</f>
        <v>MNT</v>
      </c>
      <c r="H1590" s="544">
        <v>1056</v>
      </c>
      <c r="I1590">
        <v>7.5152098559999985</v>
      </c>
    </row>
    <row r="1591" spans="2:9">
      <c r="B1591" s="545">
        <v>5</v>
      </c>
      <c r="C1591" s="545" t="str">
        <f>VLOOKUP(D1591,기본!$B$3:$C$90,2,0)</f>
        <v>한화비전</v>
      </c>
      <c r="D1591" t="s">
        <v>1811</v>
      </c>
      <c r="E1591" t="s">
        <v>1966</v>
      </c>
      <c r="F1591" t="s">
        <v>1967</v>
      </c>
      <c r="G1591" t="e">
        <f>VLOOKUP(E1591,기본!$F$3:$G$320,2,0)</f>
        <v>#N/A</v>
      </c>
      <c r="H1591" s="544">
        <v>1120</v>
      </c>
      <c r="I1591">
        <v>4.47356672</v>
      </c>
    </row>
    <row r="1592" spans="2:9">
      <c r="B1592" s="545">
        <v>5</v>
      </c>
      <c r="C1592" s="545" t="str">
        <f>VLOOKUP(D1592,기본!$B$3:$C$90,2,0)</f>
        <v>한화비전</v>
      </c>
      <c r="D1592" t="s">
        <v>1811</v>
      </c>
      <c r="E1592" t="s">
        <v>2485</v>
      </c>
      <c r="F1592" t="s">
        <v>2486</v>
      </c>
      <c r="G1592" t="e">
        <f>VLOOKUP(E1592,기본!$F$3:$G$320,2,0)</f>
        <v>#N/A</v>
      </c>
      <c r="H1592" s="544">
        <v>2200</v>
      </c>
      <c r="I1592">
        <v>45.865511999999995</v>
      </c>
    </row>
    <row r="1593" spans="2:9">
      <c r="B1593" s="545">
        <v>5</v>
      </c>
      <c r="C1593" s="545" t="str">
        <f>VLOOKUP(D1593,기본!$B$3:$C$90,2,0)</f>
        <v>한화비전</v>
      </c>
      <c r="D1593" t="s">
        <v>1811</v>
      </c>
      <c r="E1593" t="s">
        <v>2487</v>
      </c>
      <c r="F1593" t="s">
        <v>2488</v>
      </c>
      <c r="G1593" t="e">
        <f>VLOOKUP(E1593,기본!$F$3:$G$320,2,0)</f>
        <v>#N/A</v>
      </c>
      <c r="H1593" s="544">
        <v>828</v>
      </c>
      <c r="I1593">
        <v>31.3939512</v>
      </c>
    </row>
    <row r="1594" spans="2:9">
      <c r="B1594" s="545">
        <v>5</v>
      </c>
      <c r="C1594" s="545" t="str">
        <f>VLOOKUP(D1594,기본!$B$3:$C$90,2,0)</f>
        <v>삼성 VD</v>
      </c>
      <c r="D1594" t="s">
        <v>2037</v>
      </c>
      <c r="E1594" t="s">
        <v>2038</v>
      </c>
      <c r="F1594" t="s">
        <v>1768</v>
      </c>
      <c r="G1594" t="str">
        <f>VLOOKUP(E1594,기본!$F$3:$G$320,2,0)</f>
        <v>기타</v>
      </c>
      <c r="H1594" s="544">
        <v>18310</v>
      </c>
      <c r="I1594">
        <v>68.822712499999994</v>
      </c>
    </row>
    <row r="1595" spans="2:9">
      <c r="B1595" s="545">
        <v>5</v>
      </c>
      <c r="C1595" s="545" t="str">
        <f>VLOOKUP(D1595,기본!$B$3:$C$90,2,0)</f>
        <v>JDM</v>
      </c>
      <c r="D1595" t="s">
        <v>2489</v>
      </c>
      <c r="E1595" t="s">
        <v>2029</v>
      </c>
      <c r="F1595" t="s">
        <v>1807</v>
      </c>
      <c r="G1595" t="str">
        <f>VLOOKUP(E1595,기본!$F$3:$G$320,2,0)</f>
        <v>기타</v>
      </c>
      <c r="H1595" s="544">
        <v>180</v>
      </c>
      <c r="I1595">
        <v>5.3185535999999995</v>
      </c>
    </row>
    <row r="1596" spans="2:9">
      <c r="B1596" s="545">
        <v>5</v>
      </c>
      <c r="C1596" s="545" t="str">
        <f>VLOOKUP(D1596,기본!$B$3:$C$90,2,0)</f>
        <v>JDM</v>
      </c>
      <c r="D1596" t="s">
        <v>2489</v>
      </c>
      <c r="E1596" t="s">
        <v>2031</v>
      </c>
      <c r="F1596" t="s">
        <v>1807</v>
      </c>
      <c r="G1596" t="str">
        <f>VLOOKUP(E1596,기본!$F$3:$G$320,2,0)</f>
        <v>기타</v>
      </c>
      <c r="H1596" s="544">
        <v>4410</v>
      </c>
      <c r="I1596">
        <v>131.55826319999997</v>
      </c>
    </row>
    <row r="1597" spans="2:9">
      <c r="B1597" s="545">
        <v>5</v>
      </c>
      <c r="C1597" s="545" t="str">
        <f>VLOOKUP(D1597,기본!$B$3:$C$90,2,0)</f>
        <v>JDM</v>
      </c>
      <c r="D1597" t="s">
        <v>2489</v>
      </c>
      <c r="E1597" t="s">
        <v>2228</v>
      </c>
      <c r="F1597" t="s">
        <v>1807</v>
      </c>
      <c r="G1597" t="str">
        <f>VLOOKUP(E1597,기본!$F$3:$G$320,2,0)</f>
        <v>기타</v>
      </c>
      <c r="H1597" s="544">
        <v>300</v>
      </c>
      <c r="I1597">
        <v>8.8642559999999992</v>
      </c>
    </row>
    <row r="1598" spans="2:9">
      <c r="B1598" s="545">
        <v>5</v>
      </c>
      <c r="C1598" s="545" t="str">
        <f>VLOOKUP(D1598,기본!$B$3:$C$90,2,0)</f>
        <v>코웨이</v>
      </c>
      <c r="D1598" t="s">
        <v>1815</v>
      </c>
      <c r="E1598" t="s">
        <v>1816</v>
      </c>
      <c r="F1598" t="s">
        <v>1816</v>
      </c>
      <c r="G1598" t="e">
        <f>VLOOKUP(E1598,기본!$F$3:$G$320,2,0)</f>
        <v>#N/A</v>
      </c>
      <c r="H1598" s="544">
        <v>5300</v>
      </c>
      <c r="I1598">
        <v>38.053321600000004</v>
      </c>
    </row>
    <row r="1599" spans="2:9">
      <c r="B1599" s="545">
        <v>5</v>
      </c>
      <c r="C1599" s="545" t="str">
        <f>VLOOKUP(D1599,기본!$B$3:$C$90,2,0)</f>
        <v>코웨이</v>
      </c>
      <c r="D1599" t="s">
        <v>1815</v>
      </c>
      <c r="E1599" t="s">
        <v>1817</v>
      </c>
      <c r="F1599" t="s">
        <v>1817</v>
      </c>
      <c r="G1599" t="e">
        <f>VLOOKUP(E1599,기본!$F$3:$G$320,2,0)</f>
        <v>#N/A</v>
      </c>
      <c r="H1599" s="544">
        <v>2270</v>
      </c>
      <c r="I1599">
        <v>18.395601030000002</v>
      </c>
    </row>
    <row r="1600" spans="2:9">
      <c r="B1600" s="545">
        <v>5</v>
      </c>
      <c r="C1600" s="545" t="str">
        <f>VLOOKUP(D1600,기본!$B$3:$C$90,2,0)</f>
        <v>코웨이</v>
      </c>
      <c r="D1600" t="s">
        <v>1815</v>
      </c>
      <c r="E1600" t="s">
        <v>1818</v>
      </c>
      <c r="F1600" t="s">
        <v>1818</v>
      </c>
      <c r="G1600" t="e">
        <f>VLOOKUP(E1600,기본!$F$3:$G$320,2,0)</f>
        <v>#N/A</v>
      </c>
      <c r="H1600" s="544">
        <v>2460</v>
      </c>
      <c r="I1600">
        <v>15.069504899999998</v>
      </c>
    </row>
    <row r="1601" spans="2:9">
      <c r="B1601" s="545">
        <v>5</v>
      </c>
      <c r="C1601" s="545" t="str">
        <f>VLOOKUP(D1601,기본!$B$3:$C$90,2,0)</f>
        <v>코웨이</v>
      </c>
      <c r="D1601" t="s">
        <v>1815</v>
      </c>
      <c r="E1601" t="s">
        <v>1988</v>
      </c>
      <c r="F1601" t="s">
        <v>1988</v>
      </c>
      <c r="G1601" t="e">
        <f>VLOOKUP(E1601,기본!$F$3:$G$320,2,0)</f>
        <v>#N/A</v>
      </c>
      <c r="H1601" s="544">
        <v>4320</v>
      </c>
      <c r="I1601">
        <v>30.616401600000003</v>
      </c>
    </row>
    <row r="1602" spans="2:9">
      <c r="B1602" s="545">
        <v>5</v>
      </c>
      <c r="C1602" s="545" t="str">
        <f>VLOOKUP(D1602,기본!$B$3:$C$90,2,0)</f>
        <v>코웨이</v>
      </c>
      <c r="D1602" t="s">
        <v>1815</v>
      </c>
      <c r="E1602" t="s">
        <v>1819</v>
      </c>
      <c r="F1602" t="s">
        <v>1819</v>
      </c>
      <c r="G1602" t="e">
        <f>VLOOKUP(E1602,기본!$F$3:$G$320,2,0)</f>
        <v>#N/A</v>
      </c>
      <c r="H1602" s="544">
        <v>3220</v>
      </c>
      <c r="I1602">
        <v>21.008445639999998</v>
      </c>
    </row>
    <row r="1603" spans="2:9">
      <c r="B1603" s="545">
        <v>5</v>
      </c>
      <c r="C1603" s="545" t="str">
        <f>VLOOKUP(D1603,기본!$B$3:$C$90,2,0)</f>
        <v>삼성 VD</v>
      </c>
      <c r="D1603" t="s">
        <v>1824</v>
      </c>
      <c r="E1603" t="s">
        <v>1119</v>
      </c>
      <c r="F1603" t="s">
        <v>1798</v>
      </c>
      <c r="G1603" t="str">
        <f>VLOOKUP(E1603,기본!$F$3:$G$320,2,0)</f>
        <v>TV</v>
      </c>
      <c r="H1603" s="544">
        <v>144</v>
      </c>
      <c r="I1603">
        <v>4.7200432320000001</v>
      </c>
    </row>
    <row r="1604" spans="2:9">
      <c r="B1604" s="545">
        <v>5</v>
      </c>
      <c r="C1604" s="545" t="str">
        <f>VLOOKUP(D1604,기본!$B$3:$C$90,2,0)</f>
        <v>삼성 VD</v>
      </c>
      <c r="D1604" t="s">
        <v>1824</v>
      </c>
      <c r="E1604" t="s">
        <v>1118</v>
      </c>
      <c r="F1604" t="s">
        <v>1779</v>
      </c>
      <c r="G1604" t="str">
        <f>VLOOKUP(E1604,기본!$F$3:$G$320,2,0)</f>
        <v>TV</v>
      </c>
      <c r="H1604" s="544">
        <v>204</v>
      </c>
      <c r="I1604">
        <v>5.9519904960000005</v>
      </c>
    </row>
    <row r="1605" spans="2:9">
      <c r="B1605" s="545">
        <v>5</v>
      </c>
      <c r="C1605" s="545" t="str">
        <f>VLOOKUP(D1605,기본!$B$3:$C$90,2,0)</f>
        <v>삼성 VD</v>
      </c>
      <c r="D1605" t="s">
        <v>1824</v>
      </c>
      <c r="E1605" t="s">
        <v>1792</v>
      </c>
      <c r="F1605" t="s">
        <v>1793</v>
      </c>
      <c r="G1605" t="str">
        <f>VLOOKUP(E1605,기본!$F$3:$G$320,2,0)</f>
        <v>TV</v>
      </c>
      <c r="H1605" s="544">
        <v>239</v>
      </c>
      <c r="I1605">
        <v>3.7542249060000001</v>
      </c>
    </row>
    <row r="1606" spans="2:9">
      <c r="B1606" s="545">
        <v>5</v>
      </c>
      <c r="C1606" s="545" t="str">
        <f>VLOOKUP(D1606,기본!$B$3:$C$90,2,0)</f>
        <v>삼성 VD</v>
      </c>
      <c r="D1606" t="s">
        <v>1824</v>
      </c>
      <c r="E1606" t="s">
        <v>2414</v>
      </c>
      <c r="F1606" t="s">
        <v>2415</v>
      </c>
      <c r="G1606" t="str">
        <f>VLOOKUP(E1606,기본!$F$3:$G$320,2,0)</f>
        <v>TV</v>
      </c>
      <c r="H1606" s="544">
        <v>6804</v>
      </c>
      <c r="I1606">
        <v>91.63878948</v>
      </c>
    </row>
    <row r="1607" spans="2:9">
      <c r="B1607" s="545">
        <v>5</v>
      </c>
      <c r="C1607" s="545" t="str">
        <f>VLOOKUP(D1607,기본!$B$3:$C$90,2,0)</f>
        <v>삼성 VD</v>
      </c>
      <c r="D1607" t="s">
        <v>1824</v>
      </c>
      <c r="E1607" t="s">
        <v>2441</v>
      </c>
      <c r="F1607" t="s">
        <v>2438</v>
      </c>
      <c r="G1607" t="str">
        <f>VLOOKUP(E1607,기본!$F$3:$G$320,2,0)</f>
        <v>TV</v>
      </c>
      <c r="H1607" s="544">
        <v>3024</v>
      </c>
      <c r="I1607">
        <v>42.101216640000004</v>
      </c>
    </row>
    <row r="1608" spans="2:9">
      <c r="B1608" s="545">
        <v>5</v>
      </c>
      <c r="C1608" s="545" t="str">
        <f>VLOOKUP(D1608,기본!$B$3:$C$90,2,0)</f>
        <v>삼성 VD</v>
      </c>
      <c r="D1608" t="s">
        <v>1824</v>
      </c>
      <c r="E1608" t="s">
        <v>2443</v>
      </c>
      <c r="F1608" t="s">
        <v>2440</v>
      </c>
      <c r="G1608" t="str">
        <f>VLOOKUP(E1608,기본!$F$3:$G$320,2,0)</f>
        <v>TV</v>
      </c>
      <c r="H1608" s="544">
        <v>63</v>
      </c>
      <c r="I1608">
        <v>1.463436765</v>
      </c>
    </row>
    <row r="1609" spans="2:9">
      <c r="B1609" s="545">
        <v>5</v>
      </c>
      <c r="C1609" s="545" t="str">
        <f>VLOOKUP(D1609,기본!$B$3:$C$90,2,0)</f>
        <v>삼성 VD</v>
      </c>
      <c r="D1609" t="s">
        <v>1833</v>
      </c>
      <c r="E1609" t="s">
        <v>1968</v>
      </c>
      <c r="F1609" t="s">
        <v>1969</v>
      </c>
      <c r="G1609" t="str">
        <f>VLOOKUP(E1609,기본!$F$3:$G$320,2,0)</f>
        <v>MNT</v>
      </c>
      <c r="H1609" s="544">
        <v>9216</v>
      </c>
      <c r="I1609">
        <v>193.81387640600002</v>
      </c>
    </row>
    <row r="1610" spans="2:9">
      <c r="B1610" s="545">
        <v>5</v>
      </c>
      <c r="C1610" s="545" t="str">
        <f>VLOOKUP(D1610,기본!$B$3:$C$90,2,0)</f>
        <v>삼성 VD</v>
      </c>
      <c r="D1610" t="s">
        <v>1833</v>
      </c>
      <c r="E1610" t="s">
        <v>1970</v>
      </c>
      <c r="F1610" t="s">
        <v>835</v>
      </c>
      <c r="G1610" t="str">
        <f>VLOOKUP(E1610,기본!$F$3:$G$320,2,0)</f>
        <v>MNT</v>
      </c>
      <c r="H1610" s="544">
        <v>408</v>
      </c>
      <c r="I1610">
        <v>8.8205079360000003</v>
      </c>
    </row>
    <row r="1611" spans="2:9">
      <c r="B1611" s="545">
        <v>5</v>
      </c>
      <c r="C1611" s="545" t="str">
        <f>VLOOKUP(D1611,기본!$B$3:$C$90,2,0)</f>
        <v>삼성 VD</v>
      </c>
      <c r="D1611" t="s">
        <v>1833</v>
      </c>
      <c r="E1611" t="s">
        <v>1119</v>
      </c>
      <c r="F1611" t="s">
        <v>1798</v>
      </c>
      <c r="G1611" t="str">
        <f>VLOOKUP(E1611,기본!$F$3:$G$320,2,0)</f>
        <v>TV</v>
      </c>
      <c r="H1611" s="544">
        <v>564</v>
      </c>
      <c r="I1611">
        <v>18.442857528000001</v>
      </c>
    </row>
    <row r="1612" spans="2:9">
      <c r="B1612" s="545">
        <v>5</v>
      </c>
      <c r="C1612" s="545" t="str">
        <f>VLOOKUP(D1612,기본!$B$3:$C$90,2,0)</f>
        <v>삼성 VD</v>
      </c>
      <c r="D1612" t="s">
        <v>1833</v>
      </c>
      <c r="E1612" t="s">
        <v>1118</v>
      </c>
      <c r="F1612" t="s">
        <v>1779</v>
      </c>
      <c r="G1612" t="str">
        <f>VLOOKUP(E1612,기본!$F$3:$G$320,2,0)</f>
        <v>TV</v>
      </c>
      <c r="H1612" s="544">
        <v>2520</v>
      </c>
      <c r="I1612">
        <v>73.228487926</v>
      </c>
    </row>
    <row r="1613" spans="2:9">
      <c r="B1613" s="545">
        <v>5</v>
      </c>
      <c r="C1613" s="545" t="str">
        <f>VLOOKUP(D1613,기본!$B$3:$C$90,2,0)</f>
        <v>삼성 VD</v>
      </c>
      <c r="D1613" t="s">
        <v>1833</v>
      </c>
      <c r="E1613" t="s">
        <v>1792</v>
      </c>
      <c r="F1613" t="s">
        <v>1793</v>
      </c>
      <c r="G1613" t="str">
        <f>VLOOKUP(E1613,기본!$F$3:$G$320,2,0)</f>
        <v>TV</v>
      </c>
      <c r="H1613" s="544">
        <v>1035</v>
      </c>
      <c r="I1613">
        <v>16.040821229999999</v>
      </c>
    </row>
    <row r="1614" spans="2:9">
      <c r="B1614" s="545">
        <v>5</v>
      </c>
      <c r="C1614" s="545" t="str">
        <f>VLOOKUP(D1614,기본!$B$3:$C$90,2,0)</f>
        <v>삼성 VD</v>
      </c>
      <c r="D1614" t="s">
        <v>1833</v>
      </c>
      <c r="E1614" t="s">
        <v>1834</v>
      </c>
      <c r="F1614" t="s">
        <v>1835</v>
      </c>
      <c r="G1614" t="str">
        <f>VLOOKUP(E1614,기본!$F$3:$G$320,2,0)</f>
        <v>MNT</v>
      </c>
      <c r="H1614" s="544">
        <v>1770</v>
      </c>
      <c r="I1614">
        <v>19.170186510000004</v>
      </c>
    </row>
    <row r="1615" spans="2:9">
      <c r="B1615" s="545">
        <v>5</v>
      </c>
      <c r="C1615" s="545" t="str">
        <f>VLOOKUP(D1615,기본!$B$3:$C$90,2,0)</f>
        <v>삼성 VD</v>
      </c>
      <c r="D1615" t="s">
        <v>1833</v>
      </c>
      <c r="E1615" t="s">
        <v>993</v>
      </c>
      <c r="F1615" t="s">
        <v>992</v>
      </c>
      <c r="G1615" t="str">
        <f>VLOOKUP(E1615,기본!$F$3:$G$320,2,0)</f>
        <v>MNT</v>
      </c>
      <c r="H1615" s="544">
        <v>251</v>
      </c>
      <c r="I1615">
        <v>2.942230286</v>
      </c>
    </row>
    <row r="1616" spans="2:9">
      <c r="B1616" s="545">
        <v>5</v>
      </c>
      <c r="C1616" s="545" t="str">
        <f>VLOOKUP(D1616,기본!$B$3:$C$90,2,0)</f>
        <v>삼성 VD</v>
      </c>
      <c r="D1616" t="s">
        <v>1833</v>
      </c>
      <c r="E1616" t="s">
        <v>1260</v>
      </c>
      <c r="F1616" t="s">
        <v>1259</v>
      </c>
      <c r="G1616" t="str">
        <f>VLOOKUP(E1616,기본!$F$3:$G$320,2,0)</f>
        <v>MNT</v>
      </c>
      <c r="H1616" s="544">
        <v>183</v>
      </c>
      <c r="I1616">
        <v>4.7022022019999996</v>
      </c>
    </row>
    <row r="1617" spans="2:9">
      <c r="B1617" s="545">
        <v>5</v>
      </c>
      <c r="C1617" s="545" t="str">
        <f>VLOOKUP(D1617,기본!$B$3:$C$90,2,0)</f>
        <v>삼성 VD</v>
      </c>
      <c r="D1617" t="s">
        <v>1833</v>
      </c>
      <c r="E1617" t="s">
        <v>1787</v>
      </c>
      <c r="F1617" t="s">
        <v>1788</v>
      </c>
      <c r="G1617" t="str">
        <f>VLOOKUP(E1617,기본!$F$3:$G$320,2,0)</f>
        <v>MNT</v>
      </c>
      <c r="H1617" s="544">
        <v>9072</v>
      </c>
      <c r="I1617">
        <v>367.70436172799998</v>
      </c>
    </row>
    <row r="1618" spans="2:9">
      <c r="B1618" s="545">
        <v>5</v>
      </c>
      <c r="C1618" s="545" t="str">
        <f>VLOOKUP(D1618,기본!$B$3:$C$90,2,0)</f>
        <v>삼성 VD</v>
      </c>
      <c r="D1618" t="s">
        <v>1833</v>
      </c>
      <c r="E1618" t="s">
        <v>1837</v>
      </c>
      <c r="F1618" t="s">
        <v>1838</v>
      </c>
      <c r="G1618" t="str">
        <f>VLOOKUP(E1618,기본!$F$3:$G$320,2,0)</f>
        <v>MNT</v>
      </c>
      <c r="H1618" s="544">
        <v>10584</v>
      </c>
      <c r="I1618">
        <v>186.87389515200005</v>
      </c>
    </row>
    <row r="1619" spans="2:9">
      <c r="B1619" s="545">
        <v>5</v>
      </c>
      <c r="C1619" s="545" t="str">
        <f>VLOOKUP(D1619,기본!$B$3:$C$90,2,0)</f>
        <v>삼성 VD</v>
      </c>
      <c r="D1619" t="s">
        <v>1833</v>
      </c>
      <c r="E1619" t="s">
        <v>2022</v>
      </c>
      <c r="F1619" t="s">
        <v>1720</v>
      </c>
      <c r="G1619" t="str">
        <f>VLOOKUP(E1619,기본!$F$3:$G$320,2,0)</f>
        <v>TV</v>
      </c>
      <c r="H1619" s="544">
        <v>21</v>
      </c>
      <c r="I1619">
        <v>0.251651442</v>
      </c>
    </row>
    <row r="1620" spans="2:9">
      <c r="B1620" s="545">
        <v>5</v>
      </c>
      <c r="C1620" s="545" t="str">
        <f>VLOOKUP(D1620,기본!$B$3:$C$90,2,0)</f>
        <v>삼성 VD</v>
      </c>
      <c r="D1620" t="s">
        <v>1833</v>
      </c>
      <c r="E1620" t="s">
        <v>2051</v>
      </c>
      <c r="F1620" t="s">
        <v>2020</v>
      </c>
      <c r="G1620" t="str">
        <f>VLOOKUP(E1620,기본!$F$3:$G$320,2,0)</f>
        <v>MNT</v>
      </c>
      <c r="H1620" s="544">
        <v>31878</v>
      </c>
      <c r="I1620">
        <v>173.45754465600001</v>
      </c>
    </row>
    <row r="1621" spans="2:9">
      <c r="B1621" s="545">
        <v>5</v>
      </c>
      <c r="C1621" s="545" t="str">
        <f>VLOOKUP(D1621,기본!$B$3:$C$90,2,0)</f>
        <v>삼성 VD</v>
      </c>
      <c r="D1621" t="s">
        <v>1833</v>
      </c>
      <c r="E1621" t="s">
        <v>2054</v>
      </c>
      <c r="F1621" t="s">
        <v>1750</v>
      </c>
      <c r="G1621" t="str">
        <f>VLOOKUP(E1621,기본!$F$3:$G$320,2,0)</f>
        <v>MNT</v>
      </c>
      <c r="H1621" s="544">
        <v>11109</v>
      </c>
      <c r="I1621">
        <v>80.009307066000005</v>
      </c>
    </row>
    <row r="1622" spans="2:9">
      <c r="B1622" s="545">
        <v>5</v>
      </c>
      <c r="C1622" s="545" t="str">
        <f>VLOOKUP(D1622,기본!$B$3:$C$90,2,0)</f>
        <v>삼성 VD</v>
      </c>
      <c r="D1622" t="s">
        <v>1833</v>
      </c>
      <c r="E1622" t="s">
        <v>2106</v>
      </c>
      <c r="F1622" t="s">
        <v>1748</v>
      </c>
      <c r="G1622" t="str">
        <f>VLOOKUP(E1622,기본!$F$3:$G$320,2,0)</f>
        <v>MNT</v>
      </c>
      <c r="H1622" s="544">
        <v>52</v>
      </c>
      <c r="I1622">
        <v>0.606054384</v>
      </c>
    </row>
    <row r="1623" spans="2:9">
      <c r="B1623" s="545">
        <v>5</v>
      </c>
      <c r="C1623" s="545" t="str">
        <f>VLOOKUP(D1623,기본!$B$3:$C$90,2,0)</f>
        <v>삼성 VD</v>
      </c>
      <c r="D1623" t="s">
        <v>1833</v>
      </c>
      <c r="E1623" t="s">
        <v>2110</v>
      </c>
      <c r="F1623" t="s">
        <v>1748</v>
      </c>
      <c r="G1623" t="str">
        <f>VLOOKUP(E1623,기본!$F$3:$G$320,2,0)</f>
        <v>MNT</v>
      </c>
      <c r="H1623" s="544">
        <v>35</v>
      </c>
      <c r="I1623">
        <v>0.41200677000000002</v>
      </c>
    </row>
    <row r="1624" spans="2:9">
      <c r="B1624" s="545">
        <v>5</v>
      </c>
      <c r="C1624" s="545" t="str">
        <f>VLOOKUP(D1624,기본!$B$3:$C$90,2,0)</f>
        <v>삼성 VD</v>
      </c>
      <c r="D1624" t="s">
        <v>1833</v>
      </c>
      <c r="E1624" t="s">
        <v>2112</v>
      </c>
      <c r="F1624" t="s">
        <v>1748</v>
      </c>
      <c r="G1624" t="str">
        <f>VLOOKUP(E1624,기본!$F$3:$G$320,2,0)</f>
        <v>MNT</v>
      </c>
      <c r="H1624" s="544">
        <v>1566</v>
      </c>
      <c r="I1624">
        <v>18.225771192</v>
      </c>
    </row>
    <row r="1625" spans="2:9">
      <c r="B1625" s="545">
        <v>5</v>
      </c>
      <c r="C1625" s="545" t="str">
        <f>VLOOKUP(D1625,기본!$B$3:$C$90,2,0)</f>
        <v>삼성 VD</v>
      </c>
      <c r="D1625" t="s">
        <v>1833</v>
      </c>
      <c r="E1625" t="s">
        <v>2114</v>
      </c>
      <c r="F1625" t="s">
        <v>1748</v>
      </c>
      <c r="G1625" t="str">
        <f>VLOOKUP(E1625,기본!$F$3:$G$320,2,0)</f>
        <v>MNT</v>
      </c>
      <c r="H1625" s="544">
        <v>96</v>
      </c>
      <c r="I1625">
        <v>1.129601214</v>
      </c>
    </row>
    <row r="1626" spans="2:9">
      <c r="B1626" s="545">
        <v>5</v>
      </c>
      <c r="C1626" s="545" t="str">
        <f>VLOOKUP(D1626,기본!$B$3:$C$90,2,0)</f>
        <v>삼성 VD</v>
      </c>
      <c r="D1626" t="s">
        <v>1833</v>
      </c>
      <c r="E1626" t="s">
        <v>2120</v>
      </c>
      <c r="F1626" t="s">
        <v>1748</v>
      </c>
      <c r="G1626" t="str">
        <f>VLOOKUP(E1626,기본!$F$3:$G$320,2,0)</f>
        <v>MNT</v>
      </c>
      <c r="H1626" s="544">
        <v>640</v>
      </c>
      <c r="I1626">
        <v>7.475708159999999</v>
      </c>
    </row>
    <row r="1627" spans="2:9">
      <c r="B1627" s="545">
        <v>5</v>
      </c>
      <c r="C1627" s="545" t="str">
        <f>VLOOKUP(D1627,기본!$B$3:$C$90,2,0)</f>
        <v>삼성 VD</v>
      </c>
      <c r="D1627" t="s">
        <v>1833</v>
      </c>
      <c r="E1627" t="s">
        <v>2122</v>
      </c>
      <c r="F1627" t="s">
        <v>1748</v>
      </c>
      <c r="G1627" t="str">
        <f>VLOOKUP(E1627,기본!$F$3:$G$320,2,0)</f>
        <v>MNT</v>
      </c>
      <c r="H1627" s="544">
        <v>126</v>
      </c>
      <c r="I1627">
        <v>1.48332303</v>
      </c>
    </row>
    <row r="1628" spans="2:9">
      <c r="B1628" s="545">
        <v>5</v>
      </c>
      <c r="C1628" s="545" t="str">
        <f>VLOOKUP(D1628,기본!$B$3:$C$90,2,0)</f>
        <v>삼성 VD</v>
      </c>
      <c r="D1628" t="s">
        <v>1833</v>
      </c>
      <c r="E1628" t="s">
        <v>2070</v>
      </c>
      <c r="F1628" t="s">
        <v>1746</v>
      </c>
      <c r="G1628" t="str">
        <f>VLOOKUP(E1628,기본!$F$3:$G$320,2,0)</f>
        <v>MNT</v>
      </c>
      <c r="H1628" s="544">
        <v>34</v>
      </c>
      <c r="I1628">
        <v>0.24343211199999995</v>
      </c>
    </row>
    <row r="1629" spans="2:9">
      <c r="B1629" s="545">
        <v>5</v>
      </c>
      <c r="C1629" s="545" t="str">
        <f>VLOOKUP(D1629,기본!$B$3:$C$90,2,0)</f>
        <v>삼성 VD</v>
      </c>
      <c r="D1629" t="s">
        <v>1833</v>
      </c>
      <c r="E1629" t="s">
        <v>2074</v>
      </c>
      <c r="F1629" t="s">
        <v>1746</v>
      </c>
      <c r="G1629" t="str">
        <f>VLOOKUP(E1629,기본!$F$3:$G$320,2,0)</f>
        <v>MNT</v>
      </c>
      <c r="H1629" s="544">
        <v>240</v>
      </c>
      <c r="I1629">
        <v>1.7238398399999999</v>
      </c>
    </row>
    <row r="1630" spans="2:9">
      <c r="B1630" s="545">
        <v>5</v>
      </c>
      <c r="C1630" s="545" t="str">
        <f>VLOOKUP(D1630,기본!$B$3:$C$90,2,0)</f>
        <v>삼성 VD</v>
      </c>
      <c r="D1630" t="s">
        <v>1833</v>
      </c>
      <c r="E1630" t="s">
        <v>2076</v>
      </c>
      <c r="F1630" t="s">
        <v>1746</v>
      </c>
      <c r="G1630" t="str">
        <f>VLOOKUP(E1630,기본!$F$3:$G$320,2,0)</f>
        <v>MNT</v>
      </c>
      <c r="H1630" s="544">
        <v>295</v>
      </c>
      <c r="I1630">
        <v>2.0991863699999995</v>
      </c>
    </row>
    <row r="1631" spans="2:9">
      <c r="B1631" s="545">
        <v>5</v>
      </c>
      <c r="C1631" s="545" t="str">
        <f>VLOOKUP(D1631,기본!$B$3:$C$90,2,0)</f>
        <v>삼성 VD</v>
      </c>
      <c r="D1631" t="s">
        <v>1833</v>
      </c>
      <c r="E1631" t="s">
        <v>2082</v>
      </c>
      <c r="F1631" t="s">
        <v>1746</v>
      </c>
      <c r="G1631" t="str">
        <f>VLOOKUP(E1631,기본!$F$3:$G$320,2,0)</f>
        <v>MNT</v>
      </c>
      <c r="H1631" s="544">
        <v>30</v>
      </c>
      <c r="I1631">
        <v>0.21547997999999999</v>
      </c>
    </row>
    <row r="1632" spans="2:9">
      <c r="B1632" s="545">
        <v>5</v>
      </c>
      <c r="C1632" s="545" t="str">
        <f>VLOOKUP(D1632,기본!$B$3:$C$90,2,0)</f>
        <v>삼성 VD</v>
      </c>
      <c r="D1632" t="s">
        <v>1833</v>
      </c>
      <c r="E1632" t="s">
        <v>2084</v>
      </c>
      <c r="F1632" t="s">
        <v>1746</v>
      </c>
      <c r="G1632" t="str">
        <f>VLOOKUP(E1632,기본!$F$3:$G$320,2,0)</f>
        <v>MNT</v>
      </c>
      <c r="H1632" s="544">
        <v>307</v>
      </c>
      <c r="I1632">
        <v>2.1877452359999996</v>
      </c>
    </row>
    <row r="1633" spans="2:9">
      <c r="B1633" s="545">
        <v>5</v>
      </c>
      <c r="C1633" s="545" t="str">
        <f>VLOOKUP(D1633,기본!$B$3:$C$90,2,0)</f>
        <v>삼성 VD</v>
      </c>
      <c r="D1633" t="s">
        <v>1833</v>
      </c>
      <c r="E1633" t="s">
        <v>2088</v>
      </c>
      <c r="F1633" t="s">
        <v>1747</v>
      </c>
      <c r="G1633" t="str">
        <f>VLOOKUP(E1633,기본!$F$3:$G$320,2,0)</f>
        <v>MNT</v>
      </c>
      <c r="H1633" s="544">
        <v>79</v>
      </c>
      <c r="I1633">
        <v>0.56743061399999994</v>
      </c>
    </row>
    <row r="1634" spans="2:9">
      <c r="B1634" s="545">
        <v>5</v>
      </c>
      <c r="C1634" s="545" t="str">
        <f>VLOOKUP(D1634,기본!$B$3:$C$90,2,0)</f>
        <v>삼성 VD</v>
      </c>
      <c r="D1634" t="s">
        <v>1833</v>
      </c>
      <c r="E1634" t="s">
        <v>2094</v>
      </c>
      <c r="F1634" t="s">
        <v>1747</v>
      </c>
      <c r="G1634" t="str">
        <f>VLOOKUP(E1634,기본!$F$3:$G$320,2,0)</f>
        <v>MNT</v>
      </c>
      <c r="H1634" s="544">
        <v>5084</v>
      </c>
      <c r="I1634">
        <v>35.93159</v>
      </c>
    </row>
    <row r="1635" spans="2:9">
      <c r="B1635" s="545">
        <v>5</v>
      </c>
      <c r="C1635" s="545" t="str">
        <f>VLOOKUP(D1635,기본!$B$3:$C$90,2,0)</f>
        <v>삼성 VD</v>
      </c>
      <c r="D1635" t="s">
        <v>1833</v>
      </c>
      <c r="E1635" t="s">
        <v>2098</v>
      </c>
      <c r="F1635" t="s">
        <v>1747</v>
      </c>
      <c r="G1635" t="str">
        <f>VLOOKUP(E1635,기본!$F$3:$G$320,2,0)</f>
        <v>MNT</v>
      </c>
      <c r="H1635" s="544">
        <v>75</v>
      </c>
      <c r="I1635">
        <v>0.53564476500000002</v>
      </c>
    </row>
    <row r="1636" spans="2:9">
      <c r="B1636" s="545">
        <v>5</v>
      </c>
      <c r="C1636" s="545" t="str">
        <f>VLOOKUP(D1636,기본!$B$3:$C$90,2,0)</f>
        <v>삼성 VD</v>
      </c>
      <c r="D1636" t="s">
        <v>1833</v>
      </c>
      <c r="E1636" t="s">
        <v>2252</v>
      </c>
      <c r="F1636" t="s">
        <v>2264</v>
      </c>
      <c r="G1636" t="str">
        <f>VLOOKUP(E1636,기본!$F$3:$G$320,2,0)</f>
        <v>MNT</v>
      </c>
      <c r="H1636" s="544">
        <v>29120</v>
      </c>
      <c r="I1636">
        <v>235.55142770399999</v>
      </c>
    </row>
    <row r="1637" spans="2:9">
      <c r="B1637" s="545">
        <v>5</v>
      </c>
      <c r="C1637" s="545" t="str">
        <f>VLOOKUP(D1637,기본!$B$3:$C$90,2,0)</f>
        <v>삼성 VD</v>
      </c>
      <c r="D1637" t="s">
        <v>1833</v>
      </c>
      <c r="E1637" t="s">
        <v>2265</v>
      </c>
      <c r="F1637" t="s">
        <v>2266</v>
      </c>
      <c r="G1637" t="str">
        <f>VLOOKUP(E1637,기본!$F$3:$G$320,2,0)</f>
        <v>MNT</v>
      </c>
      <c r="H1637" s="544">
        <v>1745</v>
      </c>
      <c r="I1637">
        <v>15.073553978</v>
      </c>
    </row>
    <row r="1638" spans="2:9">
      <c r="B1638" s="545">
        <v>5</v>
      </c>
      <c r="C1638" s="545" t="str">
        <f>VLOOKUP(D1638,기본!$B$3:$C$90,2,0)</f>
        <v>삼성 VD</v>
      </c>
      <c r="D1638" t="s">
        <v>1833</v>
      </c>
      <c r="E1638" t="s">
        <v>2420</v>
      </c>
      <c r="F1638" t="s">
        <v>2421</v>
      </c>
      <c r="G1638" t="str">
        <f>VLOOKUP(E1638,기본!$F$3:$G$320,2,0)</f>
        <v>MNT</v>
      </c>
      <c r="H1638" s="544">
        <v>2292</v>
      </c>
      <c r="I1638">
        <v>18.540471780000004</v>
      </c>
    </row>
    <row r="1639" spans="2:9">
      <c r="B1639" s="545">
        <v>5</v>
      </c>
      <c r="C1639" s="545" t="str">
        <f>VLOOKUP(D1639,기본!$B$3:$C$90,2,0)</f>
        <v>삼성 VD</v>
      </c>
      <c r="D1639" t="s">
        <v>1833</v>
      </c>
      <c r="E1639" t="s">
        <v>2422</v>
      </c>
      <c r="F1639" t="s">
        <v>2423</v>
      </c>
      <c r="G1639" t="str">
        <f>VLOOKUP(E1639,기본!$F$3:$G$320,2,0)</f>
        <v>MNT</v>
      </c>
      <c r="H1639" s="544">
        <v>256</v>
      </c>
      <c r="I1639">
        <v>2.213152</v>
      </c>
    </row>
    <row r="1640" spans="2:9">
      <c r="B1640" s="545">
        <v>5</v>
      </c>
      <c r="C1640" s="545" t="str">
        <f>VLOOKUP(D1640,기본!$B$3:$C$90,2,0)</f>
        <v>삼성 VD</v>
      </c>
      <c r="D1640" t="s">
        <v>1833</v>
      </c>
      <c r="E1640" t="s">
        <v>2185</v>
      </c>
      <c r="F1640" t="s">
        <v>2186</v>
      </c>
      <c r="G1640" t="str">
        <f>VLOOKUP(E1640,기본!$F$3:$G$320,2,0)</f>
        <v>MNT</v>
      </c>
      <c r="H1640" s="544">
        <v>2112</v>
      </c>
      <c r="I1640">
        <v>103.898932608</v>
      </c>
    </row>
    <row r="1641" spans="2:9">
      <c r="B1641" s="545">
        <v>5</v>
      </c>
      <c r="C1641" s="545" t="str">
        <f>VLOOKUP(D1641,기본!$B$3:$C$90,2,0)</f>
        <v>삼성 VD</v>
      </c>
      <c r="D1641" t="s">
        <v>1833</v>
      </c>
      <c r="E1641" t="s">
        <v>2414</v>
      </c>
      <c r="F1641" t="s">
        <v>2415</v>
      </c>
      <c r="G1641" t="str">
        <f>VLOOKUP(E1641,기본!$F$3:$G$320,2,0)</f>
        <v>TV</v>
      </c>
      <c r="H1641" s="544">
        <v>1680</v>
      </c>
      <c r="I1641">
        <v>22.499022000000004</v>
      </c>
    </row>
    <row r="1642" spans="2:9">
      <c r="B1642" s="545">
        <v>5</v>
      </c>
      <c r="C1642" s="545" t="str">
        <f>VLOOKUP(D1642,기본!$B$3:$C$90,2,0)</f>
        <v>삼성 VD</v>
      </c>
      <c r="D1642" t="s">
        <v>1833</v>
      </c>
      <c r="E1642" t="s">
        <v>2443</v>
      </c>
      <c r="F1642" t="s">
        <v>2440</v>
      </c>
      <c r="G1642" t="str">
        <f>VLOOKUP(E1642,기본!$F$3:$G$320,2,0)</f>
        <v>TV</v>
      </c>
      <c r="H1642" s="544">
        <v>525</v>
      </c>
      <c r="I1642">
        <v>12.146180234999999</v>
      </c>
    </row>
    <row r="1643" spans="2:9">
      <c r="B1643" s="545">
        <v>5</v>
      </c>
      <c r="C1643" s="545" t="str">
        <f>VLOOKUP(D1643,기본!$B$3:$C$90,2,0)</f>
        <v>삼성 VD</v>
      </c>
      <c r="D1643" t="s">
        <v>1833</v>
      </c>
      <c r="E1643" t="s">
        <v>1841</v>
      </c>
      <c r="F1643" t="s">
        <v>1842</v>
      </c>
      <c r="G1643" t="str">
        <f>VLOOKUP(E1643,기본!$F$3:$G$320,2,0)</f>
        <v>MNT</v>
      </c>
      <c r="H1643" s="544">
        <v>81</v>
      </c>
      <c r="I1643">
        <v>1.162937007</v>
      </c>
    </row>
    <row r="1644" spans="2:9">
      <c r="B1644" s="545">
        <v>5</v>
      </c>
      <c r="C1644" s="545" t="str">
        <f>VLOOKUP(D1644,기본!$B$3:$C$90,2,0)</f>
        <v>삼성 VD</v>
      </c>
      <c r="D1644" t="s">
        <v>1833</v>
      </c>
      <c r="E1644" t="s">
        <v>676</v>
      </c>
      <c r="F1644" t="s">
        <v>1790</v>
      </c>
      <c r="G1644" t="str">
        <f>VLOOKUP(E1644,기본!$F$3:$G$320,2,0)</f>
        <v>MNT</v>
      </c>
      <c r="H1644" s="544">
        <v>129844</v>
      </c>
      <c r="I1644">
        <v>466.30834848400002</v>
      </c>
    </row>
    <row r="1645" spans="2:9">
      <c r="B1645" s="545">
        <v>5</v>
      </c>
      <c r="C1645" s="545" t="str">
        <f>VLOOKUP(D1645,기본!$B$3:$C$90,2,0)</f>
        <v>삼성 VD</v>
      </c>
      <c r="D1645" t="s">
        <v>1833</v>
      </c>
      <c r="E1645" t="s">
        <v>1111</v>
      </c>
      <c r="F1645" t="s">
        <v>2630</v>
      </c>
      <c r="G1645" t="str">
        <f>VLOOKUP(E1645,기본!$F$3:$G$320,2,0)</f>
        <v>MNT</v>
      </c>
      <c r="H1645" s="544">
        <v>183</v>
      </c>
      <c r="I1645">
        <v>0.96292770000000005</v>
      </c>
    </row>
    <row r="1646" spans="2:9">
      <c r="B1646" s="545">
        <v>5</v>
      </c>
      <c r="C1646" s="545" t="str">
        <f>VLOOKUP(D1646,기본!$B$3:$C$90,2,0)</f>
        <v>삼성 VD</v>
      </c>
      <c r="D1646" t="s">
        <v>1833</v>
      </c>
      <c r="E1646" t="s">
        <v>2010</v>
      </c>
      <c r="F1646" t="s">
        <v>2011</v>
      </c>
      <c r="G1646" t="str">
        <f>VLOOKUP(E1646,기본!$F$3:$G$320,2,0)</f>
        <v>MNT</v>
      </c>
      <c r="H1646" s="544">
        <v>5984</v>
      </c>
      <c r="I1646">
        <v>28.469496704000001</v>
      </c>
    </row>
    <row r="1647" spans="2:9">
      <c r="B1647" s="545">
        <v>5</v>
      </c>
      <c r="C1647" s="545" t="str">
        <f>VLOOKUP(D1647,기본!$B$3:$C$90,2,0)</f>
        <v>삼성 VD</v>
      </c>
      <c r="D1647" t="s">
        <v>1833</v>
      </c>
      <c r="E1647" t="s">
        <v>2267</v>
      </c>
      <c r="F1647" t="s">
        <v>2267</v>
      </c>
      <c r="G1647" t="str">
        <f>VLOOKUP(E1647,기본!$F$3:$G$320,2,0)</f>
        <v>MNT</v>
      </c>
      <c r="H1647" s="544">
        <v>408</v>
      </c>
      <c r="I1647">
        <v>7.8636239040000007</v>
      </c>
    </row>
    <row r="1648" spans="2:9">
      <c r="B1648" s="545">
        <v>5</v>
      </c>
      <c r="C1648" s="545" t="str">
        <f>VLOOKUP(D1648,기본!$B$3:$C$90,2,0)</f>
        <v>삼성 VD</v>
      </c>
      <c r="D1648" t="s">
        <v>1833</v>
      </c>
      <c r="E1648" t="s">
        <v>2270</v>
      </c>
      <c r="F1648" t="s">
        <v>2270</v>
      </c>
      <c r="G1648" t="str">
        <f>VLOOKUP(E1648,기본!$F$3:$G$320,2,0)</f>
        <v>MNT</v>
      </c>
      <c r="H1648" s="544">
        <v>2276</v>
      </c>
      <c r="I1648">
        <v>43.612556732999998</v>
      </c>
    </row>
    <row r="1649" spans="2:9">
      <c r="B1649" s="545">
        <v>5</v>
      </c>
      <c r="C1649" s="545" t="str">
        <f>VLOOKUP(D1649,기본!$B$3:$C$90,2,0)</f>
        <v>삼성 생활가전</v>
      </c>
      <c r="D1649" t="s">
        <v>1843</v>
      </c>
      <c r="E1649" t="s">
        <v>2490</v>
      </c>
      <c r="F1649" t="s">
        <v>2490</v>
      </c>
      <c r="G1649" t="e">
        <f>VLOOKUP(E1649,기본!$F$3:$G$320,2,0)</f>
        <v>#N/A</v>
      </c>
      <c r="H1649" s="544">
        <v>2304</v>
      </c>
      <c r="I1649">
        <v>17.716008959999996</v>
      </c>
    </row>
    <row r="1650" spans="2:9">
      <c r="B1650" s="545">
        <v>5</v>
      </c>
      <c r="C1650" s="545" t="str">
        <f>VLOOKUP(D1650,기본!$B$3:$C$90,2,0)</f>
        <v>삼성 생활가전</v>
      </c>
      <c r="D1650" t="s">
        <v>1843</v>
      </c>
      <c r="E1650" t="s">
        <v>1844</v>
      </c>
      <c r="F1650" t="s">
        <v>1844</v>
      </c>
      <c r="G1650" t="e">
        <f>VLOOKUP(E1650,기본!$F$3:$G$320,2,0)</f>
        <v>#N/A</v>
      </c>
      <c r="H1650" s="544">
        <v>32256</v>
      </c>
      <c r="I1650">
        <v>256.80275712000002</v>
      </c>
    </row>
    <row r="1651" spans="2:9">
      <c r="B1651" s="545">
        <v>5</v>
      </c>
      <c r="C1651" s="545" t="str">
        <f>VLOOKUP(D1651,기본!$B$3:$C$90,2,0)</f>
        <v>삼성 생활가전</v>
      </c>
      <c r="D1651" t="s">
        <v>1843</v>
      </c>
      <c r="E1651" t="s">
        <v>1845</v>
      </c>
      <c r="F1651" t="s">
        <v>1845</v>
      </c>
      <c r="G1651" t="e">
        <f>VLOOKUP(E1651,기본!$F$3:$G$320,2,0)</f>
        <v>#N/A</v>
      </c>
      <c r="H1651" s="544">
        <v>576</v>
      </c>
      <c r="I1651">
        <v>4.656787200000001</v>
      </c>
    </row>
    <row r="1652" spans="2:9">
      <c r="B1652" s="545">
        <v>5</v>
      </c>
      <c r="C1652" s="545" t="str">
        <f>VLOOKUP(D1652,기본!$B$3:$C$90,2,0)</f>
        <v>삼성 생활가전</v>
      </c>
      <c r="D1652" t="s">
        <v>1843</v>
      </c>
      <c r="E1652" t="s">
        <v>2012</v>
      </c>
      <c r="F1652" t="s">
        <v>2012</v>
      </c>
      <c r="G1652" t="e">
        <f>VLOOKUP(E1652,기본!$F$3:$G$320,2,0)</f>
        <v>#N/A</v>
      </c>
      <c r="H1652" s="544">
        <v>192</v>
      </c>
      <c r="I1652">
        <v>1.5323769599999997</v>
      </c>
    </row>
    <row r="1653" spans="2:9">
      <c r="B1653" s="545">
        <v>5</v>
      </c>
      <c r="C1653" s="545" t="str">
        <f>VLOOKUP(D1653,기본!$B$3:$C$90,2,0)</f>
        <v>삼성 생활가전</v>
      </c>
      <c r="D1653" t="s">
        <v>1843</v>
      </c>
      <c r="E1653" t="s">
        <v>1846</v>
      </c>
      <c r="F1653" t="s">
        <v>1846</v>
      </c>
      <c r="G1653" t="e">
        <f>VLOOKUP(E1653,기본!$F$3:$G$320,2,0)</f>
        <v>#N/A</v>
      </c>
      <c r="H1653" s="544">
        <v>9216</v>
      </c>
      <c r="I1653">
        <v>79.589654323200008</v>
      </c>
    </row>
    <row r="1654" spans="2:9">
      <c r="B1654" s="545">
        <v>5</v>
      </c>
      <c r="C1654" s="545" t="str">
        <f>VLOOKUP(D1654,기본!$B$3:$C$90,2,0)</f>
        <v>삼성 생활가전</v>
      </c>
      <c r="D1654" t="s">
        <v>1843</v>
      </c>
      <c r="E1654" t="s">
        <v>1867</v>
      </c>
      <c r="F1654" t="s">
        <v>1867</v>
      </c>
      <c r="G1654" t="e">
        <f>VLOOKUP(E1654,기본!$F$3:$G$320,2,0)</f>
        <v>#N/A</v>
      </c>
      <c r="H1654" s="544">
        <v>960</v>
      </c>
      <c r="I1654">
        <v>8.8019779199999988</v>
      </c>
    </row>
    <row r="1655" spans="2:9">
      <c r="B1655" s="545">
        <v>5</v>
      </c>
      <c r="C1655" s="545" t="str">
        <f>VLOOKUP(D1655,기본!$B$3:$C$90,2,0)</f>
        <v>MNT JDM</v>
      </c>
      <c r="D1655" t="s">
        <v>1851</v>
      </c>
      <c r="E1655" t="s">
        <v>676</v>
      </c>
      <c r="F1655" t="s">
        <v>1971</v>
      </c>
      <c r="G1655" t="str">
        <f>VLOOKUP(E1655,기본!$F$3:$G$320,2,0)</f>
        <v>MNT</v>
      </c>
      <c r="H1655" s="544">
        <v>74976</v>
      </c>
      <c r="I1655">
        <v>368.40314860799998</v>
      </c>
    </row>
    <row r="1656" spans="2:9">
      <c r="B1656" s="545">
        <v>5</v>
      </c>
      <c r="C1656" s="545" t="str">
        <f>VLOOKUP(D1656,기본!$B$3:$C$90,2,0)</f>
        <v>MNT JDM</v>
      </c>
      <c r="D1656" t="s">
        <v>1851</v>
      </c>
      <c r="E1656" t="s">
        <v>1110</v>
      </c>
      <c r="F1656" t="s">
        <v>2013</v>
      </c>
      <c r="G1656" t="str">
        <f>VLOOKUP(E1656,기본!$F$3:$G$320,2,0)</f>
        <v>MNT</v>
      </c>
      <c r="H1656" s="544">
        <v>9504</v>
      </c>
      <c r="I1656">
        <v>58.869429695999997</v>
      </c>
    </row>
    <row r="1657" spans="2:9">
      <c r="B1657" s="545">
        <v>5</v>
      </c>
      <c r="C1657" s="545" t="str">
        <f>VLOOKUP(D1657,기본!$B$3:$C$90,2,0)</f>
        <v>HP</v>
      </c>
      <c r="D1657" t="s">
        <v>1852</v>
      </c>
      <c r="E1657" t="s">
        <v>2165</v>
      </c>
      <c r="F1657" t="s">
        <v>2493</v>
      </c>
      <c r="G1657" t="e">
        <f>VLOOKUP(E1657,기본!$F$3:$G$320,2,0)</f>
        <v>#N/A</v>
      </c>
      <c r="H1657" s="544">
        <v>20</v>
      </c>
      <c r="I1657">
        <v>0.23280080000000003</v>
      </c>
    </row>
    <row r="1658" spans="2:9">
      <c r="B1658" s="545">
        <v>5</v>
      </c>
      <c r="C1658" s="545" t="str">
        <f>VLOOKUP(D1658,기본!$B$3:$C$90,2,0)</f>
        <v>HP</v>
      </c>
      <c r="D1658" t="s">
        <v>1852</v>
      </c>
      <c r="E1658" t="s">
        <v>2292</v>
      </c>
      <c r="F1658" t="s">
        <v>2293</v>
      </c>
      <c r="G1658" t="e">
        <f>VLOOKUP(E1658,기본!$F$3:$G$320,2,0)</f>
        <v>#N/A</v>
      </c>
      <c r="H1658" s="544">
        <v>8</v>
      </c>
      <c r="I1658">
        <v>0.23104160000000001</v>
      </c>
    </row>
    <row r="1659" spans="2:9">
      <c r="B1659" s="545">
        <v>5</v>
      </c>
      <c r="C1659" s="545" t="str">
        <f>VLOOKUP(D1659,기본!$B$3:$C$90,2,0)</f>
        <v>HP</v>
      </c>
      <c r="D1659" t="s">
        <v>1852</v>
      </c>
      <c r="E1659" t="s">
        <v>2294</v>
      </c>
      <c r="F1659" t="s">
        <v>2295</v>
      </c>
      <c r="G1659" t="e">
        <f>VLOOKUP(E1659,기본!$F$3:$G$320,2,0)</f>
        <v>#N/A</v>
      </c>
      <c r="H1659" s="544">
        <v>13</v>
      </c>
      <c r="I1659">
        <v>0.37258390000000002</v>
      </c>
    </row>
    <row r="1660" spans="2:9">
      <c r="B1660" s="545">
        <v>5</v>
      </c>
      <c r="C1660" s="545" t="str">
        <f>VLOOKUP(D1660,기본!$B$3:$C$90,2,0)</f>
        <v>HP</v>
      </c>
      <c r="D1660" t="s">
        <v>1852</v>
      </c>
      <c r="E1660" t="s">
        <v>2494</v>
      </c>
      <c r="F1660" t="s">
        <v>2495</v>
      </c>
      <c r="G1660" t="e">
        <f>VLOOKUP(E1660,기본!$F$3:$G$320,2,0)</f>
        <v>#N/A</v>
      </c>
      <c r="H1660" s="544">
        <v>44</v>
      </c>
      <c r="I1660">
        <v>1.8061119999999999</v>
      </c>
    </row>
    <row r="1661" spans="2:9">
      <c r="B1661" s="545">
        <v>5</v>
      </c>
      <c r="C1661" s="545" t="str">
        <f>VLOOKUP(D1661,기본!$B$3:$C$90,2,0)</f>
        <v>HP</v>
      </c>
      <c r="D1661" t="s">
        <v>1852</v>
      </c>
      <c r="E1661" t="s">
        <v>1247</v>
      </c>
      <c r="F1661" t="s">
        <v>1243</v>
      </c>
      <c r="G1661" t="e">
        <f>VLOOKUP(E1661,기본!$F$3:$G$320,2,0)</f>
        <v>#N/A</v>
      </c>
      <c r="H1661" s="544">
        <v>1152</v>
      </c>
      <c r="I1661">
        <v>34.038293375999999</v>
      </c>
    </row>
    <row r="1662" spans="2:9">
      <c r="B1662" s="545">
        <v>5</v>
      </c>
      <c r="C1662" s="545" t="str">
        <f>VLOOKUP(D1662,기본!$B$3:$C$90,2,0)</f>
        <v>HP</v>
      </c>
      <c r="D1662" t="s">
        <v>1852</v>
      </c>
      <c r="E1662" t="s">
        <v>1248</v>
      </c>
      <c r="F1662" t="s">
        <v>1244</v>
      </c>
      <c r="G1662" t="e">
        <f>VLOOKUP(E1662,기본!$F$3:$G$320,2,0)</f>
        <v>#N/A</v>
      </c>
      <c r="H1662" s="544">
        <v>896</v>
      </c>
      <c r="I1662">
        <v>32.179749887999996</v>
      </c>
    </row>
    <row r="1663" spans="2:9">
      <c r="B1663" s="545">
        <v>5</v>
      </c>
      <c r="C1663" s="545" t="str">
        <f>VLOOKUP(D1663,기본!$B$3:$C$90,2,0)</f>
        <v>HP</v>
      </c>
      <c r="D1663" t="s">
        <v>1852</v>
      </c>
      <c r="E1663" t="s">
        <v>1249</v>
      </c>
      <c r="F1663" t="s">
        <v>1245</v>
      </c>
      <c r="G1663" t="e">
        <f>VLOOKUP(E1663,기본!$F$3:$G$320,2,0)</f>
        <v>#N/A</v>
      </c>
      <c r="H1663" s="544">
        <v>1920</v>
      </c>
      <c r="I1663">
        <v>61.657992575999998</v>
      </c>
    </row>
    <row r="1664" spans="2:9">
      <c r="B1664" s="545">
        <v>5</v>
      </c>
      <c r="C1664" s="545" t="str">
        <f>VLOOKUP(D1664,기본!$B$3:$C$90,2,0)</f>
        <v>HP</v>
      </c>
      <c r="D1664" t="s">
        <v>1852</v>
      </c>
      <c r="E1664" t="s">
        <v>1853</v>
      </c>
      <c r="F1664" t="s">
        <v>1854</v>
      </c>
      <c r="G1664" t="e">
        <f>VLOOKUP(E1664,기본!$F$3:$G$320,2,0)</f>
        <v>#N/A</v>
      </c>
      <c r="H1664" s="544">
        <v>1680</v>
      </c>
      <c r="I1664">
        <v>22.972466159999996</v>
      </c>
    </row>
    <row r="1665" spans="2:9">
      <c r="B1665" s="545">
        <v>5</v>
      </c>
      <c r="C1665" s="545" t="str">
        <f>VLOOKUP(D1665,기본!$B$3:$C$90,2,0)</f>
        <v>HP</v>
      </c>
      <c r="D1665" t="s">
        <v>1852</v>
      </c>
      <c r="E1665" t="s">
        <v>1972</v>
      </c>
      <c r="F1665" t="s">
        <v>187</v>
      </c>
      <c r="G1665" t="e">
        <f>VLOOKUP(E1665,기본!$F$3:$G$320,2,0)</f>
        <v>#N/A</v>
      </c>
      <c r="H1665" s="544">
        <v>7128</v>
      </c>
      <c r="I1665">
        <v>37.687085568000001</v>
      </c>
    </row>
    <row r="1666" spans="2:9">
      <c r="B1666" s="545">
        <v>5</v>
      </c>
      <c r="C1666" s="545" t="str">
        <f>VLOOKUP(D1666,기본!$B$3:$C$90,2,0)</f>
        <v>HP</v>
      </c>
      <c r="D1666" t="s">
        <v>1852</v>
      </c>
      <c r="E1666" t="s">
        <v>1855</v>
      </c>
      <c r="F1666" t="s">
        <v>642</v>
      </c>
      <c r="G1666" t="e">
        <f>VLOOKUP(E1666,기본!$F$3:$G$320,2,0)</f>
        <v>#N/A</v>
      </c>
      <c r="H1666" s="544">
        <v>10080</v>
      </c>
      <c r="I1666">
        <v>86.441644800000006</v>
      </c>
    </row>
    <row r="1667" spans="2:9">
      <c r="B1667" s="545">
        <v>5</v>
      </c>
      <c r="C1667" s="545" t="str">
        <f>VLOOKUP(D1667,기본!$B$3:$C$90,2,0)</f>
        <v>HP</v>
      </c>
      <c r="D1667" t="s">
        <v>1852</v>
      </c>
      <c r="E1667" t="s">
        <v>1856</v>
      </c>
      <c r="F1667" t="s">
        <v>1857</v>
      </c>
      <c r="G1667" t="e">
        <f>VLOOKUP(E1667,기본!$F$3:$G$320,2,0)</f>
        <v>#N/A</v>
      </c>
      <c r="H1667" s="544">
        <v>2016</v>
      </c>
      <c r="I1667">
        <v>76.198312512000001</v>
      </c>
    </row>
    <row r="1668" spans="2:9">
      <c r="B1668" s="545">
        <v>5</v>
      </c>
      <c r="C1668" s="545" t="str">
        <f>VLOOKUP(D1668,기본!$B$3:$C$90,2,0)</f>
        <v>HP</v>
      </c>
      <c r="D1668" t="s">
        <v>1852</v>
      </c>
      <c r="E1668" t="s">
        <v>2496</v>
      </c>
      <c r="F1668" t="s">
        <v>2497</v>
      </c>
      <c r="G1668" t="e">
        <f>VLOOKUP(E1668,기본!$F$3:$G$320,2,0)</f>
        <v>#N/A</v>
      </c>
      <c r="H1668" s="544">
        <v>30</v>
      </c>
      <c r="I1668">
        <v>0.29554748999999997</v>
      </c>
    </row>
    <row r="1669" spans="2:9">
      <c r="B1669" s="545">
        <v>5</v>
      </c>
      <c r="C1669" s="545" t="str">
        <f>VLOOKUP(D1669,기본!$B$3:$C$90,2,0)</f>
        <v>HP</v>
      </c>
      <c r="D1669" t="s">
        <v>1852</v>
      </c>
      <c r="E1669" t="s">
        <v>1858</v>
      </c>
      <c r="F1669" t="s">
        <v>1859</v>
      </c>
      <c r="G1669" t="e">
        <f>VLOOKUP(E1669,기본!$F$3:$G$320,2,0)</f>
        <v>#N/A</v>
      </c>
      <c r="H1669" s="544">
        <v>7200</v>
      </c>
      <c r="I1669">
        <v>64.106311500000004</v>
      </c>
    </row>
    <row r="1670" spans="2:9">
      <c r="B1670" s="545">
        <v>5</v>
      </c>
      <c r="C1670" s="545" t="str">
        <f>VLOOKUP(D1670,기본!$B$3:$C$90,2,0)</f>
        <v>HP</v>
      </c>
      <c r="D1670" t="s">
        <v>1852</v>
      </c>
      <c r="E1670" t="s">
        <v>2529</v>
      </c>
      <c r="F1670" t="s">
        <v>2530</v>
      </c>
      <c r="G1670" t="e">
        <f>VLOOKUP(E1670,기본!$F$3:$G$320,2,0)</f>
        <v>#N/A</v>
      </c>
      <c r="H1670" s="544">
        <v>360</v>
      </c>
      <c r="I1670">
        <v>7.0005258000000001</v>
      </c>
    </row>
    <row r="1671" spans="2:9">
      <c r="B1671" s="545">
        <v>5</v>
      </c>
      <c r="C1671" s="545" t="str">
        <f>VLOOKUP(D1671,기본!$B$3:$C$90,2,0)</f>
        <v>HP</v>
      </c>
      <c r="D1671" t="s">
        <v>1852</v>
      </c>
      <c r="E1671" t="s">
        <v>1860</v>
      </c>
      <c r="F1671" t="s">
        <v>1861</v>
      </c>
      <c r="G1671" t="e">
        <f>VLOOKUP(E1671,기본!$F$3:$G$320,2,0)</f>
        <v>#N/A</v>
      </c>
      <c r="H1671" s="544">
        <v>320</v>
      </c>
      <c r="I1671">
        <v>5.5253609599999995</v>
      </c>
    </row>
    <row r="1672" spans="2:9">
      <c r="B1672" s="545">
        <v>5</v>
      </c>
      <c r="C1672" s="545" t="str">
        <f>VLOOKUP(D1672,기본!$B$3:$C$90,2,0)</f>
        <v>HP</v>
      </c>
      <c r="D1672" t="s">
        <v>1852</v>
      </c>
      <c r="E1672" t="s">
        <v>1973</v>
      </c>
      <c r="F1672" t="s">
        <v>1974</v>
      </c>
      <c r="G1672" t="e">
        <f>VLOOKUP(E1672,기본!$F$3:$G$320,2,0)</f>
        <v>#N/A</v>
      </c>
      <c r="H1672" s="544">
        <v>2592</v>
      </c>
      <c r="I1672">
        <v>33.489731519999999</v>
      </c>
    </row>
    <row r="1673" spans="2:9">
      <c r="B1673" s="545">
        <v>5</v>
      </c>
      <c r="C1673" s="545" t="str">
        <f>VLOOKUP(D1673,기본!$B$3:$C$90,2,0)</f>
        <v>HP</v>
      </c>
      <c r="D1673" t="s">
        <v>1852</v>
      </c>
      <c r="E1673" t="s">
        <v>1989</v>
      </c>
      <c r="F1673" t="s">
        <v>1990</v>
      </c>
      <c r="G1673" t="e">
        <f>VLOOKUP(E1673,기본!$F$3:$G$320,2,0)</f>
        <v>#N/A</v>
      </c>
      <c r="H1673" s="544">
        <v>1008</v>
      </c>
      <c r="I1673">
        <v>39.299395680000003</v>
      </c>
    </row>
    <row r="1674" spans="2:9">
      <c r="B1674" s="545">
        <v>5</v>
      </c>
      <c r="C1674" s="545" t="str">
        <f>VLOOKUP(D1674,기본!$B$3:$C$90,2,0)</f>
        <v>HP</v>
      </c>
      <c r="D1674" t="s">
        <v>1852</v>
      </c>
      <c r="E1674" t="s">
        <v>1862</v>
      </c>
      <c r="F1674" t="s">
        <v>1863</v>
      </c>
      <c r="G1674" t="e">
        <f>VLOOKUP(E1674,기본!$F$3:$G$320,2,0)</f>
        <v>#N/A</v>
      </c>
      <c r="H1674" s="544">
        <v>240</v>
      </c>
      <c r="I1674">
        <v>3.1960896000000001</v>
      </c>
    </row>
    <row r="1675" spans="2:9">
      <c r="B1675" s="545">
        <v>5</v>
      </c>
      <c r="C1675" s="545" t="str">
        <f>VLOOKUP(D1675,기본!$B$3:$C$90,2,0)</f>
        <v>HP</v>
      </c>
      <c r="D1675" t="s">
        <v>1852</v>
      </c>
      <c r="E1675" t="s">
        <v>1975</v>
      </c>
      <c r="F1675" t="s">
        <v>1976</v>
      </c>
      <c r="G1675" t="e">
        <f>VLOOKUP(E1675,기본!$F$3:$G$320,2,0)</f>
        <v>#N/A</v>
      </c>
      <c r="H1675" s="544">
        <v>480</v>
      </c>
      <c r="I1675">
        <v>3.8861544000000001</v>
      </c>
    </row>
    <row r="1676" spans="2:9">
      <c r="B1676" s="545">
        <v>5</v>
      </c>
      <c r="C1676" s="545" t="str">
        <f>VLOOKUP(D1676,기본!$B$3:$C$90,2,0)</f>
        <v>경동나비엔</v>
      </c>
      <c r="D1676" t="s">
        <v>1865</v>
      </c>
      <c r="E1676" t="s">
        <v>2631</v>
      </c>
      <c r="F1676" t="s">
        <v>2631</v>
      </c>
      <c r="G1676" t="e">
        <f>VLOOKUP(E1676,기본!$F$3:$G$320,2,0)</f>
        <v>#N/A</v>
      </c>
      <c r="H1676" s="544">
        <v>1340</v>
      </c>
      <c r="I1676">
        <v>42.554811479999998</v>
      </c>
    </row>
    <row r="1677" spans="2:9">
      <c r="B1677" s="545">
        <v>5</v>
      </c>
      <c r="C1677" s="545" t="str">
        <f>VLOOKUP(D1677,기본!$B$3:$C$90,2,0)</f>
        <v>경동나비엔</v>
      </c>
      <c r="D1677" t="s">
        <v>1865</v>
      </c>
      <c r="E1677" t="s">
        <v>2580</v>
      </c>
      <c r="F1677" t="s">
        <v>2580</v>
      </c>
      <c r="G1677" t="e">
        <f>VLOOKUP(E1677,기본!$F$3:$G$320,2,0)</f>
        <v>#N/A</v>
      </c>
      <c r="H1677" s="544">
        <v>499</v>
      </c>
      <c r="I1677">
        <v>25.012115519999998</v>
      </c>
    </row>
    <row r="1678" spans="2:9">
      <c r="B1678" s="545">
        <v>5</v>
      </c>
      <c r="C1678" s="545" t="str">
        <f>VLOOKUP(D1678,기본!$B$3:$C$90,2,0)</f>
        <v>경동나비엔</v>
      </c>
      <c r="D1678" t="s">
        <v>1865</v>
      </c>
      <c r="E1678" t="s">
        <v>2581</v>
      </c>
      <c r="F1678" t="s">
        <v>2581</v>
      </c>
      <c r="G1678" t="e">
        <f>VLOOKUP(E1678,기본!$F$3:$G$320,2,0)</f>
        <v>#N/A</v>
      </c>
      <c r="H1678" s="544">
        <v>1520</v>
      </c>
      <c r="I1678">
        <v>76.898111</v>
      </c>
    </row>
    <row r="1679" spans="2:9">
      <c r="B1679" s="545">
        <v>5</v>
      </c>
      <c r="C1679" s="545" t="str">
        <f>VLOOKUP(D1679,기본!$B$3:$C$90,2,0)</f>
        <v>대덕</v>
      </c>
      <c r="D1679" t="s">
        <v>1868</v>
      </c>
      <c r="E1679" t="s">
        <v>2632</v>
      </c>
      <c r="F1679" t="s">
        <v>2632</v>
      </c>
      <c r="G1679" t="e">
        <f>VLOOKUP(E1679,기본!$F$3:$G$320,2,0)</f>
        <v>#N/A</v>
      </c>
      <c r="H1679" s="544">
        <v>2400</v>
      </c>
      <c r="I1679">
        <v>20.021116800000001</v>
      </c>
    </row>
    <row r="1680" spans="2:9">
      <c r="B1680" s="545">
        <v>5</v>
      </c>
      <c r="C1680" s="545" t="str">
        <f>VLOOKUP(D1680,기본!$B$3:$C$90,2,0)</f>
        <v>대덕</v>
      </c>
      <c r="D1680" t="s">
        <v>1868</v>
      </c>
      <c r="E1680" t="s">
        <v>2633</v>
      </c>
      <c r="F1680" t="s">
        <v>2633</v>
      </c>
      <c r="G1680" t="e">
        <f>VLOOKUP(E1680,기본!$F$3:$G$320,2,0)</f>
        <v>#N/A</v>
      </c>
      <c r="H1680" s="544">
        <v>2400</v>
      </c>
      <c r="I1680">
        <v>20.021116800000001</v>
      </c>
    </row>
    <row r="1681" spans="2:9">
      <c r="B1681" s="545">
        <v>5</v>
      </c>
      <c r="C1681" s="545" t="str">
        <f>VLOOKUP(D1681,기본!$B$3:$C$90,2,0)</f>
        <v>대덕</v>
      </c>
      <c r="D1681" t="s">
        <v>1870</v>
      </c>
      <c r="E1681" t="s">
        <v>2230</v>
      </c>
      <c r="F1681" t="s">
        <v>2230</v>
      </c>
      <c r="G1681" t="e">
        <f>VLOOKUP(E1681,기본!$F$3:$G$320,2,0)</f>
        <v>#N/A</v>
      </c>
      <c r="H1681" s="544">
        <v>2300</v>
      </c>
      <c r="I1681">
        <v>13.4474652</v>
      </c>
    </row>
    <row r="1682" spans="2:9">
      <c r="B1682" s="545">
        <v>5</v>
      </c>
      <c r="C1682" s="545" t="str">
        <f>VLOOKUP(D1682,기본!$B$3:$C$90,2,0)</f>
        <v>대덕</v>
      </c>
      <c r="D1682" t="s">
        <v>1870</v>
      </c>
      <c r="E1682" t="s">
        <v>2055</v>
      </c>
      <c r="F1682" t="s">
        <v>2055</v>
      </c>
      <c r="G1682" t="e">
        <f>VLOOKUP(E1682,기본!$F$3:$G$320,2,0)</f>
        <v>#N/A</v>
      </c>
      <c r="H1682" s="544">
        <v>500</v>
      </c>
      <c r="I1682">
        <v>2.8943460000000001</v>
      </c>
    </row>
    <row r="1683" spans="2:9">
      <c r="B1683" s="545">
        <v>5</v>
      </c>
      <c r="C1683" s="545" t="str">
        <f>VLOOKUP(D1683,기본!$B$3:$C$90,2,0)</f>
        <v>대덕</v>
      </c>
      <c r="D1683" t="s">
        <v>1870</v>
      </c>
      <c r="E1683" t="s">
        <v>2039</v>
      </c>
      <c r="F1683" t="s">
        <v>2039</v>
      </c>
      <c r="G1683" t="e">
        <f>VLOOKUP(E1683,기본!$F$3:$G$320,2,0)</f>
        <v>#N/A</v>
      </c>
      <c r="H1683" s="544">
        <v>1500</v>
      </c>
      <c r="I1683">
        <v>8.6830379999999998</v>
      </c>
    </row>
    <row r="1684" spans="2:9">
      <c r="B1684" s="545">
        <v>5</v>
      </c>
      <c r="C1684" s="545" t="str">
        <f>VLOOKUP(D1684,기본!$B$3:$C$90,2,0)</f>
        <v>대덕</v>
      </c>
      <c r="D1684" t="s">
        <v>1870</v>
      </c>
      <c r="E1684" t="s">
        <v>2025</v>
      </c>
      <c r="F1684" t="s">
        <v>2025</v>
      </c>
      <c r="G1684" t="e">
        <f>VLOOKUP(E1684,기본!$F$3:$G$320,2,0)</f>
        <v>#N/A</v>
      </c>
      <c r="H1684" s="544">
        <v>600</v>
      </c>
      <c r="I1684">
        <v>3.5390501999999997</v>
      </c>
    </row>
    <row r="1685" spans="2:9">
      <c r="B1685" s="545">
        <v>5</v>
      </c>
      <c r="C1685" s="545" t="str">
        <f>VLOOKUP(D1685,기본!$B$3:$C$90,2,0)</f>
        <v>대덕</v>
      </c>
      <c r="D1685" t="s">
        <v>1870</v>
      </c>
      <c r="E1685" t="s">
        <v>2060</v>
      </c>
      <c r="F1685" t="s">
        <v>2060</v>
      </c>
      <c r="G1685" t="e">
        <f>VLOOKUP(E1685,기본!$F$3:$G$320,2,0)</f>
        <v>#N/A</v>
      </c>
      <c r="H1685" s="544">
        <v>190</v>
      </c>
      <c r="I1685">
        <v>1.5625875499999999</v>
      </c>
    </row>
    <row r="1686" spans="2:9">
      <c r="B1686" s="545">
        <v>5</v>
      </c>
      <c r="C1686" s="545" t="str">
        <f>VLOOKUP(D1686,기본!$B$3:$C$90,2,0)</f>
        <v>대덕</v>
      </c>
      <c r="D1686" t="s">
        <v>1870</v>
      </c>
      <c r="E1686" t="s">
        <v>2535</v>
      </c>
      <c r="F1686" t="s">
        <v>2535</v>
      </c>
      <c r="G1686" t="e">
        <f>VLOOKUP(E1686,기본!$F$3:$G$320,2,0)</f>
        <v>#N/A</v>
      </c>
      <c r="H1686" s="544">
        <v>497</v>
      </c>
      <c r="I1686">
        <v>8.655127942</v>
      </c>
    </row>
    <row r="1687" spans="2:9">
      <c r="B1687" s="545">
        <v>5</v>
      </c>
      <c r="C1687" s="545" t="str">
        <f>VLOOKUP(D1687,기본!$B$3:$C$90,2,0)</f>
        <v>대덕</v>
      </c>
      <c r="D1687" t="s">
        <v>1870</v>
      </c>
      <c r="E1687" t="s">
        <v>2188</v>
      </c>
      <c r="F1687" t="s">
        <v>2188</v>
      </c>
      <c r="G1687" t="e">
        <f>VLOOKUP(E1687,기본!$F$3:$G$320,2,0)</f>
        <v>#N/A</v>
      </c>
      <c r="H1687" s="544">
        <v>265</v>
      </c>
      <c r="I1687">
        <v>4.7781900899999998</v>
      </c>
    </row>
    <row r="1688" spans="2:9">
      <c r="B1688" s="545">
        <v>5</v>
      </c>
      <c r="C1688" s="545" t="str">
        <f>VLOOKUP(D1688,기본!$B$3:$C$90,2,0)</f>
        <v>대덕</v>
      </c>
      <c r="D1688" t="s">
        <v>1870</v>
      </c>
      <c r="E1688" t="s">
        <v>2634</v>
      </c>
      <c r="F1688" t="s">
        <v>2634</v>
      </c>
      <c r="G1688" t="e">
        <f>VLOOKUP(E1688,기본!$F$3:$G$320,2,0)</f>
        <v>#N/A</v>
      </c>
      <c r="H1688" s="544">
        <v>9</v>
      </c>
      <c r="I1688">
        <v>0.20843189099999998</v>
      </c>
    </row>
    <row r="1689" spans="2:9">
      <c r="B1689" s="545">
        <v>5</v>
      </c>
      <c r="C1689" s="545" t="str">
        <f>VLOOKUP(D1689,기본!$B$3:$C$90,2,0)</f>
        <v>대덕</v>
      </c>
      <c r="D1689" t="s">
        <v>1870</v>
      </c>
      <c r="E1689" t="s">
        <v>2254</v>
      </c>
      <c r="F1689" t="s">
        <v>2254</v>
      </c>
      <c r="G1689" t="e">
        <f>VLOOKUP(E1689,기본!$F$3:$G$320,2,0)</f>
        <v>#N/A</v>
      </c>
      <c r="H1689" s="544">
        <v>1500</v>
      </c>
      <c r="I1689">
        <v>34.738648499999996</v>
      </c>
    </row>
    <row r="1690" spans="2:9">
      <c r="B1690" s="545">
        <v>5</v>
      </c>
      <c r="C1690" s="545" t="str">
        <f>VLOOKUP(D1690,기본!$B$3:$C$90,2,0)</f>
        <v>대덕</v>
      </c>
      <c r="D1690" t="s">
        <v>1870</v>
      </c>
      <c r="E1690" t="s">
        <v>2166</v>
      </c>
      <c r="F1690" t="s">
        <v>2166</v>
      </c>
      <c r="G1690" t="e">
        <f>VLOOKUP(E1690,기본!$F$3:$G$320,2,0)</f>
        <v>#N/A</v>
      </c>
      <c r="H1690" s="544">
        <v>3000</v>
      </c>
      <c r="I1690">
        <v>71.898537000000005</v>
      </c>
    </row>
    <row r="1691" spans="2:9">
      <c r="B1691" s="545">
        <v>5</v>
      </c>
      <c r="C1691" s="545" t="str">
        <f>VLOOKUP(D1691,기본!$B$3:$C$90,2,0)</f>
        <v>대덕</v>
      </c>
      <c r="D1691" t="s">
        <v>1870</v>
      </c>
      <c r="E1691" t="s">
        <v>2464</v>
      </c>
      <c r="F1691" t="s">
        <v>2464</v>
      </c>
      <c r="G1691" t="e">
        <f>VLOOKUP(E1691,기본!$F$3:$G$320,2,0)</f>
        <v>#N/A</v>
      </c>
      <c r="H1691" s="544">
        <v>300</v>
      </c>
      <c r="I1691">
        <v>7.3317402000000005</v>
      </c>
    </row>
    <row r="1692" spans="2:9">
      <c r="B1692" s="545">
        <v>5</v>
      </c>
      <c r="C1692" s="545" t="str">
        <f>VLOOKUP(D1692,기본!$B$3:$C$90,2,0)</f>
        <v>대덕</v>
      </c>
      <c r="D1692" t="s">
        <v>1870</v>
      </c>
      <c r="E1692" t="s">
        <v>2584</v>
      </c>
      <c r="F1692" t="s">
        <v>2584</v>
      </c>
      <c r="G1692" t="e">
        <f>VLOOKUP(E1692,기본!$F$3:$G$320,2,0)</f>
        <v>#N/A</v>
      </c>
      <c r="H1692" s="544">
        <v>9</v>
      </c>
      <c r="I1692">
        <v>0.21717822599999997</v>
      </c>
    </row>
    <row r="1693" spans="2:9">
      <c r="B1693" s="545">
        <v>5</v>
      </c>
      <c r="C1693" s="545" t="str">
        <f>VLOOKUP(D1693,기본!$B$3:$C$90,2,0)</f>
        <v>대덕</v>
      </c>
      <c r="D1693" t="s">
        <v>1870</v>
      </c>
      <c r="E1693" t="s">
        <v>2168</v>
      </c>
      <c r="F1693" t="s">
        <v>2168</v>
      </c>
      <c r="G1693" t="e">
        <f>VLOOKUP(E1693,기본!$F$3:$G$320,2,0)</f>
        <v>#N/A</v>
      </c>
      <c r="H1693" s="544">
        <v>10000</v>
      </c>
      <c r="I1693">
        <v>241.30914000000001</v>
      </c>
    </row>
    <row r="1694" spans="2:9">
      <c r="B1694" s="545">
        <v>5</v>
      </c>
      <c r="C1694" s="545" t="str">
        <f>VLOOKUP(D1694,기본!$B$3:$C$90,2,0)</f>
        <v>대덕</v>
      </c>
      <c r="D1694" t="s">
        <v>1870</v>
      </c>
      <c r="E1694" t="s">
        <v>2585</v>
      </c>
      <c r="F1694" t="s">
        <v>2585</v>
      </c>
      <c r="G1694" t="e">
        <f>VLOOKUP(E1694,기본!$F$3:$G$320,2,0)</f>
        <v>#N/A</v>
      </c>
      <c r="H1694" s="544">
        <v>1000</v>
      </c>
      <c r="I1694">
        <v>24.378902000000004</v>
      </c>
    </row>
    <row r="1695" spans="2:9">
      <c r="B1695" s="545">
        <v>5</v>
      </c>
      <c r="C1695" s="545" t="str">
        <f>VLOOKUP(D1695,기본!$B$3:$C$90,2,0)</f>
        <v>대덕</v>
      </c>
      <c r="D1695" t="s">
        <v>1870</v>
      </c>
      <c r="E1695" t="s">
        <v>934</v>
      </c>
      <c r="F1695" t="s">
        <v>934</v>
      </c>
      <c r="G1695" t="e">
        <f>VLOOKUP(E1695,기본!$F$3:$G$320,2,0)</f>
        <v>#N/A</v>
      </c>
      <c r="H1695" s="544">
        <v>500</v>
      </c>
      <c r="I1695">
        <v>0.696384</v>
      </c>
    </row>
    <row r="1696" spans="2:9">
      <c r="B1696" s="545">
        <v>5</v>
      </c>
      <c r="C1696" s="545" t="str">
        <f>VLOOKUP(D1696,기본!$B$3:$C$90,2,0)</f>
        <v>대덕</v>
      </c>
      <c r="D1696" t="s">
        <v>1870</v>
      </c>
      <c r="E1696" t="s">
        <v>2057</v>
      </c>
      <c r="F1696" t="s">
        <v>2057</v>
      </c>
      <c r="G1696" t="e">
        <f>VLOOKUP(E1696,기본!$F$3:$G$320,2,0)</f>
        <v>#N/A</v>
      </c>
      <c r="H1696" s="544">
        <v>500</v>
      </c>
      <c r="I1696">
        <v>0.72540000000000004</v>
      </c>
    </row>
    <row r="1697" spans="2:9">
      <c r="B1697" s="545">
        <v>5</v>
      </c>
      <c r="C1697" s="545" t="str">
        <f>VLOOKUP(D1697,기본!$B$3:$C$90,2,0)</f>
        <v>대덕</v>
      </c>
      <c r="D1697" t="s">
        <v>1870</v>
      </c>
      <c r="E1697" t="s">
        <v>935</v>
      </c>
      <c r="F1697" t="s">
        <v>935</v>
      </c>
      <c r="G1697" t="e">
        <f>VLOOKUP(E1697,기본!$F$3:$G$320,2,0)</f>
        <v>#N/A</v>
      </c>
      <c r="H1697" s="544">
        <v>1000</v>
      </c>
      <c r="I1697">
        <v>1.5058</v>
      </c>
    </row>
    <row r="1698" spans="2:9">
      <c r="B1698" s="545">
        <v>5</v>
      </c>
      <c r="C1698" s="545" t="str">
        <f>VLOOKUP(D1698,기본!$B$3:$C$90,2,0)</f>
        <v>대덕</v>
      </c>
      <c r="D1698" t="s">
        <v>1870</v>
      </c>
      <c r="E1698" t="s">
        <v>2189</v>
      </c>
      <c r="F1698" t="s">
        <v>2189</v>
      </c>
      <c r="G1698" t="e">
        <f>VLOOKUP(E1698,기본!$F$3:$G$320,2,0)</f>
        <v>#N/A</v>
      </c>
      <c r="H1698" s="544">
        <v>300</v>
      </c>
      <c r="I1698">
        <v>0.46570679999999998</v>
      </c>
    </row>
    <row r="1699" spans="2:9">
      <c r="B1699" s="545">
        <v>5</v>
      </c>
      <c r="C1699" s="545" t="str">
        <f>VLOOKUP(D1699,기본!$B$3:$C$90,2,0)</f>
        <v>대덕</v>
      </c>
      <c r="D1699" t="s">
        <v>1870</v>
      </c>
      <c r="E1699" t="s">
        <v>936</v>
      </c>
      <c r="F1699" t="s">
        <v>936</v>
      </c>
      <c r="G1699" t="e">
        <f>VLOOKUP(E1699,기본!$F$3:$G$320,2,0)</f>
        <v>#N/A</v>
      </c>
      <c r="H1699" s="544">
        <v>300</v>
      </c>
      <c r="I1699">
        <v>0.46570679999999998</v>
      </c>
    </row>
    <row r="1700" spans="2:9">
      <c r="B1700" s="545">
        <v>5</v>
      </c>
      <c r="C1700" s="545" t="str">
        <f>VLOOKUP(D1700,기본!$B$3:$C$90,2,0)</f>
        <v>대덕</v>
      </c>
      <c r="D1700" t="s">
        <v>1870</v>
      </c>
      <c r="E1700" t="s">
        <v>2635</v>
      </c>
      <c r="F1700" t="s">
        <v>2635</v>
      </c>
      <c r="G1700" t="e">
        <f>VLOOKUP(E1700,기본!$F$3:$G$320,2,0)</f>
        <v>#N/A</v>
      </c>
      <c r="H1700" s="544">
        <v>480</v>
      </c>
      <c r="I1700">
        <v>0.79658928000000007</v>
      </c>
    </row>
    <row r="1701" spans="2:9">
      <c r="B1701" s="545">
        <v>5</v>
      </c>
      <c r="C1701" s="545" t="str">
        <f>VLOOKUP(D1701,기본!$B$3:$C$90,2,0)</f>
        <v>대덕</v>
      </c>
      <c r="D1701" t="s">
        <v>1870</v>
      </c>
      <c r="E1701" t="s">
        <v>937</v>
      </c>
      <c r="F1701" t="s">
        <v>937</v>
      </c>
      <c r="G1701" t="e">
        <f>VLOOKUP(E1701,기본!$F$3:$G$320,2,0)</f>
        <v>#N/A</v>
      </c>
      <c r="H1701" s="544">
        <v>300</v>
      </c>
      <c r="I1701">
        <v>0.50143140000000008</v>
      </c>
    </row>
    <row r="1702" spans="2:9">
      <c r="B1702" s="545">
        <v>5</v>
      </c>
      <c r="C1702" s="545" t="str">
        <f>VLOOKUP(D1702,기본!$B$3:$C$90,2,0)</f>
        <v>대덕</v>
      </c>
      <c r="D1702" t="s">
        <v>1870</v>
      </c>
      <c r="E1702" t="s">
        <v>2256</v>
      </c>
      <c r="F1702" t="s">
        <v>2256</v>
      </c>
      <c r="G1702" t="e">
        <f>VLOOKUP(E1702,기본!$F$3:$G$320,2,0)</f>
        <v>#N/A</v>
      </c>
      <c r="H1702" s="544">
        <v>500</v>
      </c>
      <c r="I1702">
        <v>0.97928999999999999</v>
      </c>
    </row>
    <row r="1703" spans="2:9">
      <c r="B1703" s="545">
        <v>5</v>
      </c>
      <c r="C1703" s="545" t="str">
        <f>VLOOKUP(D1703,기본!$B$3:$C$90,2,0)</f>
        <v>대덕</v>
      </c>
      <c r="D1703" t="s">
        <v>1870</v>
      </c>
      <c r="E1703" t="s">
        <v>2231</v>
      </c>
      <c r="F1703" t="s">
        <v>2231</v>
      </c>
      <c r="G1703" t="e">
        <f>VLOOKUP(E1703,기본!$F$3:$G$320,2,0)</f>
        <v>#N/A</v>
      </c>
      <c r="H1703" s="544">
        <v>2232</v>
      </c>
      <c r="I1703">
        <v>4.5246211199999999</v>
      </c>
    </row>
    <row r="1704" spans="2:9">
      <c r="B1704" s="545">
        <v>5</v>
      </c>
      <c r="C1704" s="545" t="str">
        <f>VLOOKUP(D1704,기본!$B$3:$C$90,2,0)</f>
        <v>대덕</v>
      </c>
      <c r="D1704" t="s">
        <v>1870</v>
      </c>
      <c r="E1704" t="s">
        <v>1869</v>
      </c>
      <c r="F1704" t="s">
        <v>1869</v>
      </c>
      <c r="G1704" t="e">
        <f>VLOOKUP(E1704,기본!$F$3:$G$320,2,0)</f>
        <v>#N/A</v>
      </c>
      <c r="H1704" s="544">
        <v>9000</v>
      </c>
      <c r="I1704">
        <v>115.89449099999999</v>
      </c>
    </row>
    <row r="1705" spans="2:9">
      <c r="B1705" s="545">
        <v>5</v>
      </c>
      <c r="C1705" s="545" t="str">
        <f>VLOOKUP(D1705,기본!$B$3:$C$90,2,0)</f>
        <v>대덕</v>
      </c>
      <c r="D1705" t="s">
        <v>1870</v>
      </c>
      <c r="E1705" t="s">
        <v>2636</v>
      </c>
      <c r="F1705" t="s">
        <v>2636</v>
      </c>
      <c r="G1705" t="e">
        <f>VLOOKUP(E1705,기본!$F$3:$G$320,2,0)</f>
        <v>#N/A</v>
      </c>
      <c r="H1705" s="544">
        <v>5000</v>
      </c>
      <c r="I1705">
        <v>80.043599999999998</v>
      </c>
    </row>
    <row r="1706" spans="2:9">
      <c r="B1706" s="545">
        <v>5</v>
      </c>
      <c r="C1706" s="545" t="str">
        <f>VLOOKUP(D1706,기본!$B$3:$C$90,2,0)</f>
        <v>대덕</v>
      </c>
      <c r="D1706" t="s">
        <v>1870</v>
      </c>
      <c r="E1706" t="s">
        <v>1507</v>
      </c>
      <c r="F1706" t="s">
        <v>1507</v>
      </c>
      <c r="G1706" t="e">
        <f>VLOOKUP(E1706,기본!$F$3:$G$320,2,0)</f>
        <v>#N/A</v>
      </c>
      <c r="H1706" s="544">
        <v>58</v>
      </c>
      <c r="I1706">
        <v>1.6420324899999998</v>
      </c>
    </row>
    <row r="1707" spans="2:9">
      <c r="B1707" s="545">
        <v>5</v>
      </c>
      <c r="C1707" s="545" t="str">
        <f>VLOOKUP(D1707,기본!$B$3:$C$90,2,0)</f>
        <v>대덕</v>
      </c>
      <c r="D1707" t="s">
        <v>1870</v>
      </c>
      <c r="E1707" t="s">
        <v>1510</v>
      </c>
      <c r="F1707" t="s">
        <v>1510</v>
      </c>
      <c r="G1707" t="e">
        <f>VLOOKUP(E1707,기본!$F$3:$G$320,2,0)</f>
        <v>#N/A</v>
      </c>
      <c r="H1707" s="544">
        <v>27</v>
      </c>
      <c r="I1707">
        <v>0.85370233500000003</v>
      </c>
    </row>
    <row r="1708" spans="2:9">
      <c r="B1708" s="545">
        <v>5</v>
      </c>
      <c r="C1708" s="545" t="str">
        <f>VLOOKUP(D1708,기본!$B$3:$C$90,2,0)</f>
        <v>대덕</v>
      </c>
      <c r="D1708" t="s">
        <v>1870</v>
      </c>
      <c r="E1708" t="s">
        <v>1513</v>
      </c>
      <c r="F1708" t="s">
        <v>1513</v>
      </c>
      <c r="G1708" t="e">
        <f>VLOOKUP(E1708,기본!$F$3:$G$320,2,0)</f>
        <v>#N/A</v>
      </c>
      <c r="H1708" s="544">
        <v>500</v>
      </c>
      <c r="I1708">
        <v>6.6229174999999998</v>
      </c>
    </row>
    <row r="1709" spans="2:9">
      <c r="B1709" s="545">
        <v>5</v>
      </c>
      <c r="C1709" s="545" t="str">
        <f>VLOOKUP(D1709,기본!$B$3:$C$90,2,0)</f>
        <v>대덕</v>
      </c>
      <c r="D1709" t="s">
        <v>1870</v>
      </c>
      <c r="E1709" t="s">
        <v>1515</v>
      </c>
      <c r="F1709" t="s">
        <v>1515</v>
      </c>
      <c r="G1709" t="e">
        <f>VLOOKUP(E1709,기본!$F$3:$G$320,2,0)</f>
        <v>#N/A</v>
      </c>
      <c r="H1709" s="544">
        <v>4600</v>
      </c>
      <c r="I1709">
        <v>60.590422599999997</v>
      </c>
    </row>
    <row r="1710" spans="2:9">
      <c r="B1710" s="545">
        <v>5</v>
      </c>
      <c r="C1710" s="545" t="str">
        <f>VLOOKUP(D1710,기본!$B$3:$C$90,2,0)</f>
        <v>대덕</v>
      </c>
      <c r="D1710" t="s">
        <v>1870</v>
      </c>
      <c r="E1710" t="s">
        <v>1516</v>
      </c>
      <c r="F1710" t="s">
        <v>1516</v>
      </c>
      <c r="G1710" t="e">
        <f>VLOOKUP(E1710,기본!$F$3:$G$320,2,0)</f>
        <v>#N/A</v>
      </c>
      <c r="H1710" s="544">
        <v>3000</v>
      </c>
      <c r="I1710">
        <v>43.472436527999989</v>
      </c>
    </row>
    <row r="1711" spans="2:9">
      <c r="B1711" s="545">
        <v>5</v>
      </c>
      <c r="C1711" s="545" t="str">
        <f>VLOOKUP(D1711,기본!$B$3:$C$90,2,0)</f>
        <v>대덕</v>
      </c>
      <c r="D1711" t="s">
        <v>1870</v>
      </c>
      <c r="E1711" t="s">
        <v>2221</v>
      </c>
      <c r="F1711" t="s">
        <v>2221</v>
      </c>
      <c r="G1711" t="e">
        <f>VLOOKUP(E1711,기본!$F$3:$G$320,2,0)</f>
        <v>#N/A</v>
      </c>
      <c r="H1711" s="544">
        <v>15000</v>
      </c>
      <c r="I1711">
        <v>245.97243</v>
      </c>
    </row>
    <row r="1712" spans="2:9">
      <c r="B1712" s="545">
        <v>5</v>
      </c>
      <c r="C1712" s="545" t="str">
        <f>VLOOKUP(D1712,기본!$B$3:$C$90,2,0)</f>
        <v>대덕</v>
      </c>
      <c r="D1712" t="s">
        <v>1870</v>
      </c>
      <c r="E1712" t="s">
        <v>2315</v>
      </c>
      <c r="F1712" t="s">
        <v>2315</v>
      </c>
      <c r="G1712" t="e">
        <f>VLOOKUP(E1712,기본!$F$3:$G$320,2,0)</f>
        <v>#N/A</v>
      </c>
      <c r="H1712" s="544">
        <v>110</v>
      </c>
      <c r="I1712">
        <v>1.79098029</v>
      </c>
    </row>
    <row r="1713" spans="2:9">
      <c r="B1713" s="545">
        <v>5</v>
      </c>
      <c r="C1713" s="545" t="str">
        <f>VLOOKUP(D1713,기본!$B$3:$C$90,2,0)</f>
        <v>대덕</v>
      </c>
      <c r="D1713" t="s">
        <v>1870</v>
      </c>
      <c r="E1713" t="s">
        <v>2190</v>
      </c>
      <c r="F1713" t="s">
        <v>2190</v>
      </c>
      <c r="G1713" t="e">
        <f>VLOOKUP(E1713,기본!$F$3:$G$320,2,0)</f>
        <v>#N/A</v>
      </c>
      <c r="H1713" s="544">
        <v>30000</v>
      </c>
      <c r="I1713">
        <v>490.77963</v>
      </c>
    </row>
    <row r="1714" spans="2:9">
      <c r="B1714" s="545">
        <v>5</v>
      </c>
      <c r="C1714" s="545" t="str">
        <f>VLOOKUP(D1714,기본!$B$3:$C$90,2,0)</f>
        <v>대덕</v>
      </c>
      <c r="D1714" t="s">
        <v>1870</v>
      </c>
      <c r="E1714" t="s">
        <v>2187</v>
      </c>
      <c r="F1714" t="s">
        <v>2187</v>
      </c>
      <c r="G1714" t="e">
        <f>VLOOKUP(E1714,기본!$F$3:$G$320,2,0)</f>
        <v>#N/A</v>
      </c>
      <c r="H1714" s="544">
        <v>2000</v>
      </c>
      <c r="I1714">
        <v>32.563277999999997</v>
      </c>
    </row>
    <row r="1715" spans="2:9">
      <c r="B1715" s="545">
        <v>5</v>
      </c>
      <c r="C1715" s="545" t="str">
        <f>VLOOKUP(D1715,기본!$B$3:$C$90,2,0)</f>
        <v>삼성 생활가전</v>
      </c>
      <c r="D1715" t="s">
        <v>2404</v>
      </c>
      <c r="E1715" t="s">
        <v>1882</v>
      </c>
      <c r="F1715" t="s">
        <v>1882</v>
      </c>
      <c r="G1715" t="e">
        <f>VLOOKUP(E1715,기본!$F$3:$G$320,2,0)</f>
        <v>#N/A</v>
      </c>
      <c r="H1715" s="544">
        <v>2000</v>
      </c>
      <c r="I1715">
        <v>13.56</v>
      </c>
    </row>
    <row r="1716" spans="2:9">
      <c r="B1716" s="545">
        <v>5</v>
      </c>
      <c r="C1716" s="545" t="str">
        <f>VLOOKUP(D1716,기본!$B$3:$C$90,2,0)</f>
        <v>코웨이</v>
      </c>
      <c r="D1716" t="s">
        <v>2405</v>
      </c>
      <c r="E1716" t="s">
        <v>2542</v>
      </c>
      <c r="F1716" t="s">
        <v>2542</v>
      </c>
      <c r="G1716" t="e">
        <f>VLOOKUP(E1716,기본!$F$3:$G$320,2,0)</f>
        <v>#N/A</v>
      </c>
      <c r="H1716" s="544">
        <v>1820</v>
      </c>
      <c r="I1716">
        <v>10.950140000000001</v>
      </c>
    </row>
    <row r="1717" spans="2:9">
      <c r="B1717" s="545">
        <v>5</v>
      </c>
      <c r="C1717" s="545" t="str">
        <f>VLOOKUP(D1717,기본!$B$3:$C$90,2,0)</f>
        <v>코웨이</v>
      </c>
      <c r="D1717" t="s">
        <v>2405</v>
      </c>
      <c r="E1717" t="s">
        <v>2316</v>
      </c>
      <c r="F1717" t="s">
        <v>2316</v>
      </c>
      <c r="G1717" t="e">
        <f>VLOOKUP(E1717,기본!$F$3:$G$320,2,0)</f>
        <v>#N/A</v>
      </c>
      <c r="H1717" s="544">
        <v>20034</v>
      </c>
      <c r="I1717">
        <v>117.59957999999999</v>
      </c>
    </row>
    <row r="1718" spans="2:9">
      <c r="B1718" s="545">
        <v>5</v>
      </c>
      <c r="C1718" s="545" t="e">
        <f>VLOOKUP(D1718,기본!$B$3:$C$90,2,0)</f>
        <v>#N/A</v>
      </c>
      <c r="D1718" t="s">
        <v>2590</v>
      </c>
      <c r="E1718" t="s">
        <v>2351</v>
      </c>
      <c r="F1718" t="s">
        <v>2351</v>
      </c>
      <c r="G1718" t="e">
        <f>VLOOKUP(E1718,기본!$F$3:$G$320,2,0)</f>
        <v>#N/A</v>
      </c>
      <c r="H1718" s="544">
        <v>12</v>
      </c>
      <c r="I1718">
        <v>4.8000000000000001E-2</v>
      </c>
    </row>
    <row r="1719" spans="2:9">
      <c r="B1719" s="545">
        <v>5</v>
      </c>
      <c r="C1719" s="545" t="e">
        <f>VLOOKUP(D1719,기본!$B$3:$C$90,2,0)</f>
        <v>#N/A</v>
      </c>
      <c r="D1719" t="s">
        <v>2590</v>
      </c>
      <c r="E1719" t="s">
        <v>2352</v>
      </c>
      <c r="F1719" t="s">
        <v>2352</v>
      </c>
      <c r="G1719" t="e">
        <f>VLOOKUP(E1719,기본!$F$3:$G$320,2,0)</f>
        <v>#N/A</v>
      </c>
      <c r="H1719" s="544">
        <v>12</v>
      </c>
      <c r="I1719">
        <v>4.8000000000000001E-2</v>
      </c>
    </row>
    <row r="1720" spans="2:9">
      <c r="B1720" s="545">
        <v>5</v>
      </c>
      <c r="C1720" s="545" t="e">
        <f>VLOOKUP(D1720,기본!$B$3:$C$90,2,0)</f>
        <v>#N/A</v>
      </c>
      <c r="D1720" t="s">
        <v>2590</v>
      </c>
      <c r="E1720" t="s">
        <v>2396</v>
      </c>
      <c r="F1720" t="s">
        <v>2396</v>
      </c>
      <c r="G1720" t="e">
        <f>VLOOKUP(E1720,기본!$F$3:$G$320,2,0)</f>
        <v>#N/A</v>
      </c>
      <c r="H1720" s="544">
        <v>12</v>
      </c>
      <c r="I1720">
        <v>4.8000000000000001E-2</v>
      </c>
    </row>
    <row r="1721" spans="2:9">
      <c r="B1721" s="545">
        <v>5</v>
      </c>
      <c r="C1721" s="545" t="e">
        <f>VLOOKUP(D1721,기본!$B$3:$C$90,2,0)</f>
        <v>#N/A</v>
      </c>
      <c r="D1721" t="s">
        <v>2590</v>
      </c>
      <c r="E1721" t="s">
        <v>2353</v>
      </c>
      <c r="F1721" t="s">
        <v>2353</v>
      </c>
      <c r="G1721" t="e">
        <f>VLOOKUP(E1721,기본!$F$3:$G$320,2,0)</f>
        <v>#N/A</v>
      </c>
      <c r="H1721" s="544">
        <v>12</v>
      </c>
      <c r="I1721">
        <v>4.8000000000000001E-2</v>
      </c>
    </row>
    <row r="1722" spans="2:9">
      <c r="B1722" s="545">
        <v>5</v>
      </c>
      <c r="C1722" s="545" t="e">
        <f>VLOOKUP(D1722,기본!$B$3:$C$90,2,0)</f>
        <v>#N/A</v>
      </c>
      <c r="D1722" t="s">
        <v>2590</v>
      </c>
      <c r="E1722" t="s">
        <v>2346</v>
      </c>
      <c r="F1722" t="s">
        <v>2346</v>
      </c>
      <c r="G1722" t="e">
        <f>VLOOKUP(E1722,기본!$F$3:$G$320,2,0)</f>
        <v>#N/A</v>
      </c>
      <c r="H1722" s="544">
        <v>8</v>
      </c>
      <c r="I1722">
        <v>3.2000000000000001E-2</v>
      </c>
    </row>
    <row r="1723" spans="2:9">
      <c r="B1723" s="545">
        <v>5</v>
      </c>
      <c r="C1723" s="545" t="e">
        <f>VLOOKUP(D1723,기본!$B$3:$C$90,2,0)</f>
        <v>#N/A</v>
      </c>
      <c r="D1723" t="s">
        <v>2590</v>
      </c>
      <c r="E1723" t="s">
        <v>2344</v>
      </c>
      <c r="F1723" t="s">
        <v>2344</v>
      </c>
      <c r="G1723" t="e">
        <f>VLOOKUP(E1723,기본!$F$3:$G$320,2,0)</f>
        <v>#N/A</v>
      </c>
      <c r="H1723" s="544">
        <v>8</v>
      </c>
      <c r="I1723">
        <v>3.2000000000000001E-2</v>
      </c>
    </row>
    <row r="1724" spans="2:9">
      <c r="B1724" s="545">
        <v>5</v>
      </c>
      <c r="C1724" s="545" t="e">
        <f>VLOOKUP(D1724,기본!$B$3:$C$90,2,0)</f>
        <v>#N/A</v>
      </c>
      <c r="D1724" t="s">
        <v>2590</v>
      </c>
      <c r="E1724" t="s">
        <v>2345</v>
      </c>
      <c r="F1724" t="s">
        <v>2345</v>
      </c>
      <c r="G1724" t="e">
        <f>VLOOKUP(E1724,기본!$F$3:$G$320,2,0)</f>
        <v>#N/A</v>
      </c>
      <c r="H1724" s="544">
        <v>8</v>
      </c>
      <c r="I1724">
        <v>3.2000000000000001E-2</v>
      </c>
    </row>
    <row r="1725" spans="2:9">
      <c r="B1725" s="545">
        <v>5</v>
      </c>
      <c r="C1725" s="545" t="e">
        <f>VLOOKUP(D1725,기본!$B$3:$C$90,2,0)</f>
        <v>#N/A</v>
      </c>
      <c r="D1725" t="s">
        <v>2590</v>
      </c>
      <c r="E1725" t="s">
        <v>2347</v>
      </c>
      <c r="F1725" t="s">
        <v>2347</v>
      </c>
      <c r="G1725" t="e">
        <f>VLOOKUP(E1725,기본!$F$3:$G$320,2,0)</f>
        <v>#N/A</v>
      </c>
      <c r="H1725" s="544">
        <v>12</v>
      </c>
      <c r="I1725">
        <v>4.8000000000000001E-2</v>
      </c>
    </row>
    <row r="1726" spans="2:9">
      <c r="B1726" s="545">
        <v>5</v>
      </c>
      <c r="C1726" s="545" t="e">
        <f>VLOOKUP(D1726,기본!$B$3:$C$90,2,0)</f>
        <v>#N/A</v>
      </c>
      <c r="D1726" t="s">
        <v>2590</v>
      </c>
      <c r="E1726" t="s">
        <v>2348</v>
      </c>
      <c r="F1726" t="s">
        <v>2348</v>
      </c>
      <c r="G1726" t="e">
        <f>VLOOKUP(E1726,기본!$F$3:$G$320,2,0)</f>
        <v>#N/A</v>
      </c>
      <c r="H1726" s="544">
        <v>8</v>
      </c>
      <c r="I1726">
        <v>3.2000000000000001E-2</v>
      </c>
    </row>
    <row r="1727" spans="2:9">
      <c r="B1727" s="545">
        <v>5</v>
      </c>
      <c r="C1727" s="545" t="e">
        <f>VLOOKUP(D1727,기본!$B$3:$C$90,2,0)</f>
        <v>#N/A</v>
      </c>
      <c r="D1727" t="s">
        <v>2590</v>
      </c>
      <c r="E1727" t="s">
        <v>2349</v>
      </c>
      <c r="F1727" t="s">
        <v>2349</v>
      </c>
      <c r="G1727" t="e">
        <f>VLOOKUP(E1727,기본!$F$3:$G$320,2,0)</f>
        <v>#N/A</v>
      </c>
      <c r="H1727" s="544">
        <v>15</v>
      </c>
      <c r="I1727">
        <v>0.06</v>
      </c>
    </row>
    <row r="1728" spans="2:9">
      <c r="B1728" s="545">
        <v>5</v>
      </c>
      <c r="C1728" s="545" t="e">
        <f>VLOOKUP(D1728,기본!$B$3:$C$90,2,0)</f>
        <v>#N/A</v>
      </c>
      <c r="D1728" t="s">
        <v>2590</v>
      </c>
      <c r="E1728" t="s">
        <v>2350</v>
      </c>
      <c r="F1728" t="s">
        <v>2350</v>
      </c>
      <c r="G1728" t="e">
        <f>VLOOKUP(E1728,기본!$F$3:$G$320,2,0)</f>
        <v>#N/A</v>
      </c>
      <c r="H1728" s="544">
        <v>15</v>
      </c>
      <c r="I1728">
        <v>0.06</v>
      </c>
    </row>
    <row r="1729" spans="2:9">
      <c r="B1729" s="545">
        <v>5</v>
      </c>
      <c r="C1729" s="545" t="str">
        <f>VLOOKUP(D1729,기본!$B$3:$C$90,2,0)</f>
        <v>상품A</v>
      </c>
      <c r="D1729" t="s">
        <v>2296</v>
      </c>
      <c r="E1729" t="s">
        <v>2344</v>
      </c>
      <c r="F1729" t="s">
        <v>2344</v>
      </c>
      <c r="G1729" t="e">
        <f>VLOOKUP(E1729,기본!$F$3:$G$320,2,0)</f>
        <v>#N/A</v>
      </c>
      <c r="H1729" s="544">
        <v>80</v>
      </c>
      <c r="I1729">
        <v>0.32</v>
      </c>
    </row>
    <row r="1730" spans="2:9">
      <c r="B1730" s="545">
        <v>5</v>
      </c>
      <c r="C1730" s="545" t="str">
        <f>VLOOKUP(D1730,기본!$B$3:$C$90,2,0)</f>
        <v>상품A</v>
      </c>
      <c r="D1730" t="s">
        <v>2296</v>
      </c>
      <c r="E1730" t="s">
        <v>2345</v>
      </c>
      <c r="F1730" t="s">
        <v>2345</v>
      </c>
      <c r="G1730" t="e">
        <f>VLOOKUP(E1730,기본!$F$3:$G$320,2,0)</f>
        <v>#N/A</v>
      </c>
      <c r="H1730" s="544">
        <v>176</v>
      </c>
      <c r="I1730">
        <v>0.70399999999999996</v>
      </c>
    </row>
    <row r="1731" spans="2:9">
      <c r="B1731" s="545">
        <v>5</v>
      </c>
      <c r="C1731" s="545" t="str">
        <f>VLOOKUP(D1731,기본!$B$3:$C$90,2,0)</f>
        <v>삼성 생활가전</v>
      </c>
      <c r="D1731" t="s">
        <v>1981</v>
      </c>
      <c r="E1731" t="s">
        <v>2504</v>
      </c>
      <c r="F1731" t="s">
        <v>2504</v>
      </c>
      <c r="G1731" t="e">
        <f>VLOOKUP(E1731,기본!$F$3:$G$320,2,0)</f>
        <v>#N/A</v>
      </c>
      <c r="H1731" s="544">
        <v>2431</v>
      </c>
      <c r="I1731">
        <v>17.235790000000001</v>
      </c>
    </row>
    <row r="1732" spans="2:9">
      <c r="B1732" s="545">
        <v>5</v>
      </c>
      <c r="C1732" s="545" t="str">
        <f>VLOOKUP(D1732,기본!$B$3:$C$90,2,0)</f>
        <v>삼성 생활가전</v>
      </c>
      <c r="D1732" t="s">
        <v>1981</v>
      </c>
      <c r="E1732" t="s">
        <v>2543</v>
      </c>
      <c r="F1732" t="s">
        <v>2543</v>
      </c>
      <c r="G1732" t="e">
        <f>VLOOKUP(E1732,기본!$F$3:$G$320,2,0)</f>
        <v>#N/A</v>
      </c>
      <c r="H1732" s="544">
        <v>983</v>
      </c>
      <c r="I1732">
        <v>7.0186200000000003</v>
      </c>
    </row>
    <row r="1733" spans="2:9">
      <c r="B1733" s="545">
        <v>5</v>
      </c>
      <c r="C1733" s="545" t="str">
        <f>VLOOKUP(D1733,기본!$B$3:$C$90,2,0)</f>
        <v>삼성 VD</v>
      </c>
      <c r="D1733" t="s">
        <v>1873</v>
      </c>
      <c r="E1733" t="s">
        <v>2114</v>
      </c>
      <c r="F1733" t="s">
        <v>1748</v>
      </c>
      <c r="G1733" t="str">
        <f>VLOOKUP(E1733,기본!$F$3:$G$320,2,0)</f>
        <v>MNT</v>
      </c>
      <c r="H1733" s="544">
        <v>20</v>
      </c>
      <c r="I1733">
        <v>0.23641901999999998</v>
      </c>
    </row>
    <row r="1734" spans="2:9">
      <c r="B1734" s="545">
        <v>5</v>
      </c>
      <c r="C1734" s="545" t="str">
        <f>VLOOKUP(D1734,기본!$B$3:$C$90,2,0)</f>
        <v>삼성 VD</v>
      </c>
      <c r="D1734" t="s">
        <v>1873</v>
      </c>
      <c r="E1734" t="s">
        <v>2443</v>
      </c>
      <c r="F1734" t="s">
        <v>2440</v>
      </c>
      <c r="G1734" t="str">
        <f>VLOOKUP(E1734,기본!$F$3:$G$320,2,0)</f>
        <v>TV</v>
      </c>
      <c r="H1734" s="544">
        <v>30</v>
      </c>
      <c r="I1734">
        <v>0.78667200000000004</v>
      </c>
    </row>
    <row r="1735" spans="2:9">
      <c r="B1735" s="545">
        <v>5</v>
      </c>
      <c r="C1735" s="545" t="str">
        <f>VLOOKUP(D1735,기본!$B$3:$C$90,2,0)</f>
        <v>삼성 VD</v>
      </c>
      <c r="D1735" t="s">
        <v>1873</v>
      </c>
      <c r="E1735" t="s">
        <v>2637</v>
      </c>
      <c r="F1735" t="s">
        <v>2638</v>
      </c>
      <c r="G1735" t="e">
        <f>VLOOKUP(E1735,기본!$F$3:$G$320,2,0)</f>
        <v>#N/A</v>
      </c>
      <c r="H1735" s="544">
        <v>346</v>
      </c>
      <c r="I1735">
        <v>4.2945298559999996</v>
      </c>
    </row>
    <row r="1736" spans="2:9">
      <c r="B1736" s="545">
        <v>5</v>
      </c>
      <c r="C1736" s="545" t="str">
        <f>VLOOKUP(D1736,기본!$B$3:$C$90,2,0)</f>
        <v>삼성 VD</v>
      </c>
      <c r="D1736" t="s">
        <v>1873</v>
      </c>
      <c r="E1736" t="s">
        <v>676</v>
      </c>
      <c r="F1736" t="s">
        <v>1790</v>
      </c>
      <c r="G1736" t="str">
        <f>VLOOKUP(E1736,기본!$F$3:$G$320,2,0)</f>
        <v>MNT</v>
      </c>
      <c r="H1736" s="544">
        <v>132</v>
      </c>
      <c r="I1736">
        <v>0.47432418000000004</v>
      </c>
    </row>
    <row r="1737" spans="2:9">
      <c r="B1737" s="545">
        <v>5</v>
      </c>
      <c r="C1737" s="545" t="str">
        <f>VLOOKUP(D1737,기본!$B$3:$C$90,2,0)</f>
        <v>삼성 VD</v>
      </c>
      <c r="D1737" t="s">
        <v>1873</v>
      </c>
      <c r="E1737" t="s">
        <v>2010</v>
      </c>
      <c r="F1737" t="s">
        <v>2011</v>
      </c>
      <c r="G1737" t="str">
        <f>VLOOKUP(E1737,기본!$F$3:$G$320,2,0)</f>
        <v>MNT</v>
      </c>
      <c r="H1737" s="544">
        <v>400</v>
      </c>
      <c r="I1737">
        <v>1.8848503000000001</v>
      </c>
    </row>
    <row r="1738" spans="2:9">
      <c r="B1738" s="545">
        <v>5</v>
      </c>
      <c r="C1738" s="545" t="str">
        <f>VLOOKUP(D1738,기본!$B$3:$C$90,2,0)</f>
        <v>삼성 VD</v>
      </c>
      <c r="D1738" t="s">
        <v>1873</v>
      </c>
      <c r="E1738" t="s">
        <v>2456</v>
      </c>
      <c r="F1738" t="s">
        <v>2456</v>
      </c>
      <c r="G1738" t="str">
        <f>VLOOKUP(E1738,기본!$F$3:$G$320,2,0)</f>
        <v>AV</v>
      </c>
      <c r="H1738" s="544">
        <v>80</v>
      </c>
      <c r="I1738">
        <v>0.84196000000000004</v>
      </c>
    </row>
    <row r="1739" spans="2:9">
      <c r="B1739" s="545">
        <v>5</v>
      </c>
      <c r="C1739" s="545" t="str">
        <f>VLOOKUP(D1739,기본!$B$3:$C$90,2,0)</f>
        <v>삼성 VD</v>
      </c>
      <c r="D1739" t="s">
        <v>1873</v>
      </c>
      <c r="E1739" t="s">
        <v>224</v>
      </c>
      <c r="F1739" t="s">
        <v>224</v>
      </c>
      <c r="G1739" t="str">
        <f>VLOOKUP(E1739,기본!$F$3:$G$320,2,0)</f>
        <v>기타</v>
      </c>
      <c r="H1739" s="544">
        <v>0</v>
      </c>
      <c r="I1739">
        <v>0.14402499999999999</v>
      </c>
    </row>
    <row r="1740" spans="2:9">
      <c r="B1740" s="545">
        <v>5</v>
      </c>
      <c r="C1740" s="545" t="str">
        <f>VLOOKUP(D1740,기본!$B$3:$C$90,2,0)</f>
        <v>삼성 생활가전</v>
      </c>
      <c r="D1740" t="s">
        <v>1874</v>
      </c>
      <c r="E1740" t="s">
        <v>1867</v>
      </c>
      <c r="F1740" t="s">
        <v>1867</v>
      </c>
      <c r="G1740" t="e">
        <f>VLOOKUP(E1740,기본!$F$3:$G$320,2,0)</f>
        <v>#N/A</v>
      </c>
      <c r="H1740" s="544">
        <v>20</v>
      </c>
      <c r="I1740">
        <v>0.16539999999999999</v>
      </c>
    </row>
    <row r="1741" spans="2:9">
      <c r="B1741" s="545">
        <v>5</v>
      </c>
      <c r="C1741" s="545" t="str">
        <f>VLOOKUP(D1741,기본!$B$3:$C$90,2,0)</f>
        <v>삼성 생활가전</v>
      </c>
      <c r="D1741" t="s">
        <v>1874</v>
      </c>
      <c r="E1741" t="s">
        <v>680</v>
      </c>
      <c r="F1741" t="s">
        <v>680</v>
      </c>
      <c r="G1741" t="e">
        <f>VLOOKUP(E1741,기본!$F$3:$G$320,2,0)</f>
        <v>#N/A</v>
      </c>
      <c r="H1741" s="544">
        <v>2016</v>
      </c>
      <c r="I1741">
        <v>16.107839999999999</v>
      </c>
    </row>
    <row r="1742" spans="2:9">
      <c r="B1742" s="545">
        <v>5</v>
      </c>
      <c r="C1742" s="545" t="str">
        <f>VLOOKUP(D1742,기본!$B$3:$C$90,2,0)</f>
        <v>삼성 생활가전</v>
      </c>
      <c r="D1742" t="s">
        <v>1874</v>
      </c>
      <c r="E1742" t="s">
        <v>1875</v>
      </c>
      <c r="F1742" t="s">
        <v>1875</v>
      </c>
      <c r="G1742" t="e">
        <f>VLOOKUP(E1742,기본!$F$3:$G$320,2,0)</f>
        <v>#N/A</v>
      </c>
      <c r="H1742" s="544">
        <v>2880</v>
      </c>
      <c r="I1742">
        <v>17.135999999999999</v>
      </c>
    </row>
    <row r="1743" spans="2:9">
      <c r="B1743" s="545">
        <v>5</v>
      </c>
      <c r="C1743" s="545" t="str">
        <f>VLOOKUP(D1743,기본!$B$3:$C$90,2,0)</f>
        <v>삼성 생활가전</v>
      </c>
      <c r="D1743" t="s">
        <v>1874</v>
      </c>
      <c r="E1743" t="s">
        <v>1876</v>
      </c>
      <c r="F1743" t="s">
        <v>1876</v>
      </c>
      <c r="G1743" t="e">
        <f>VLOOKUP(E1743,기본!$F$3:$G$320,2,0)</f>
        <v>#N/A</v>
      </c>
      <c r="H1743" s="544">
        <v>2880</v>
      </c>
      <c r="I1743">
        <v>17.107199999999999</v>
      </c>
    </row>
    <row r="1744" spans="2:9">
      <c r="B1744" s="545">
        <v>5</v>
      </c>
      <c r="C1744" s="545" t="str">
        <f>VLOOKUP(D1744,기본!$B$3:$C$90,2,0)</f>
        <v>삼성 생활가전</v>
      </c>
      <c r="D1744" t="s">
        <v>1874</v>
      </c>
      <c r="E1744" t="s">
        <v>1877</v>
      </c>
      <c r="F1744" t="s">
        <v>1877</v>
      </c>
      <c r="G1744" t="e">
        <f>VLOOKUP(E1744,기본!$F$3:$G$320,2,0)</f>
        <v>#N/A</v>
      </c>
      <c r="H1744" s="544">
        <v>1360</v>
      </c>
      <c r="I1744">
        <v>8.0239999999999991</v>
      </c>
    </row>
    <row r="1745" spans="2:9">
      <c r="B1745" s="545">
        <v>5</v>
      </c>
      <c r="C1745" s="545" t="str">
        <f>VLOOKUP(D1745,기본!$B$3:$C$90,2,0)</f>
        <v>삼성 생활가전</v>
      </c>
      <c r="D1745" t="s">
        <v>1874</v>
      </c>
      <c r="E1745" t="s">
        <v>1878</v>
      </c>
      <c r="F1745" t="s">
        <v>1878</v>
      </c>
      <c r="G1745" t="e">
        <f>VLOOKUP(E1745,기본!$F$3:$G$320,2,0)</f>
        <v>#N/A</v>
      </c>
      <c r="H1745" s="544">
        <v>3480</v>
      </c>
      <c r="I1745">
        <v>20.803439999999998</v>
      </c>
    </row>
    <row r="1746" spans="2:9">
      <c r="B1746" s="545">
        <v>5</v>
      </c>
      <c r="C1746" s="545" t="str">
        <f>VLOOKUP(D1746,기본!$B$3:$C$90,2,0)</f>
        <v>삼성 생활가전</v>
      </c>
      <c r="D1746" t="s">
        <v>1874</v>
      </c>
      <c r="E1746" t="s">
        <v>1880</v>
      </c>
      <c r="F1746" t="s">
        <v>1880</v>
      </c>
      <c r="G1746" t="e">
        <f>VLOOKUP(E1746,기본!$F$3:$G$320,2,0)</f>
        <v>#N/A</v>
      </c>
      <c r="H1746" s="544">
        <v>2880</v>
      </c>
      <c r="I1746">
        <v>15.7536</v>
      </c>
    </row>
    <row r="1747" spans="2:9">
      <c r="B1747" s="545">
        <v>5</v>
      </c>
      <c r="C1747" s="545" t="str">
        <f>VLOOKUP(D1747,기본!$B$3:$C$90,2,0)</f>
        <v>삼성 생활가전</v>
      </c>
      <c r="D1747" t="s">
        <v>1874</v>
      </c>
      <c r="E1747" t="s">
        <v>2299</v>
      </c>
      <c r="F1747" t="s">
        <v>2299</v>
      </c>
      <c r="G1747" t="e">
        <f>VLOOKUP(E1747,기본!$F$3:$G$320,2,0)</f>
        <v>#N/A</v>
      </c>
      <c r="H1747" s="544">
        <v>27648</v>
      </c>
      <c r="I1747">
        <v>82.827878400000003</v>
      </c>
    </row>
    <row r="1748" spans="2:9">
      <c r="B1748" s="545">
        <v>5</v>
      </c>
      <c r="C1748" s="545" t="str">
        <f>VLOOKUP(D1748,기본!$B$3:$C$90,2,0)</f>
        <v>삼성 생활가전</v>
      </c>
      <c r="D1748" t="s">
        <v>1874</v>
      </c>
      <c r="E1748" t="s">
        <v>1881</v>
      </c>
      <c r="F1748" t="s">
        <v>1881</v>
      </c>
      <c r="G1748" t="e">
        <f>VLOOKUP(E1748,기본!$F$3:$G$320,2,0)</f>
        <v>#N/A</v>
      </c>
      <c r="H1748" s="544">
        <v>720</v>
      </c>
      <c r="I1748">
        <v>7.1128799999999996</v>
      </c>
    </row>
    <row r="1749" spans="2:9">
      <c r="B1749" s="545">
        <v>5</v>
      </c>
      <c r="C1749" s="545" t="str">
        <f>VLOOKUP(D1749,기본!$B$3:$C$90,2,0)</f>
        <v>삼성 생활가전</v>
      </c>
      <c r="D1749" t="s">
        <v>1874</v>
      </c>
      <c r="E1749" t="s">
        <v>2300</v>
      </c>
      <c r="F1749" t="s">
        <v>2300</v>
      </c>
      <c r="G1749" t="e">
        <f>VLOOKUP(E1749,기본!$F$3:$G$320,2,0)</f>
        <v>#N/A</v>
      </c>
      <c r="H1749" s="544">
        <v>288</v>
      </c>
      <c r="I1749">
        <v>2.8684799999999999</v>
      </c>
    </row>
    <row r="1750" spans="2:9">
      <c r="B1750" s="545">
        <v>5</v>
      </c>
      <c r="C1750" s="545" t="str">
        <f>VLOOKUP(D1750,기본!$B$3:$C$90,2,0)</f>
        <v>삼성 생활가전</v>
      </c>
      <c r="D1750" t="s">
        <v>1874</v>
      </c>
      <c r="E1750" t="s">
        <v>2003</v>
      </c>
      <c r="F1750" t="s">
        <v>2003</v>
      </c>
      <c r="G1750" t="e">
        <f>VLOOKUP(E1750,기본!$F$3:$G$320,2,0)</f>
        <v>#N/A</v>
      </c>
      <c r="H1750" s="544">
        <v>1440</v>
      </c>
      <c r="I1750">
        <v>8.8784351999999984</v>
      </c>
    </row>
    <row r="1751" spans="2:9">
      <c r="B1751" s="545">
        <v>5</v>
      </c>
      <c r="C1751" s="545" t="str">
        <f>VLOOKUP(D1751,기본!$B$3:$C$90,2,0)</f>
        <v>삼성 생활가전</v>
      </c>
      <c r="D1751" t="s">
        <v>1874</v>
      </c>
      <c r="E1751" t="s">
        <v>2639</v>
      </c>
      <c r="F1751" t="s">
        <v>2639</v>
      </c>
      <c r="G1751" t="e">
        <f>VLOOKUP(E1751,기본!$F$3:$G$320,2,0)</f>
        <v>#N/A</v>
      </c>
      <c r="H1751" s="544">
        <v>480</v>
      </c>
      <c r="I1751">
        <v>2.9594783999999996</v>
      </c>
    </row>
    <row r="1752" spans="2:9">
      <c r="B1752" s="545">
        <v>5</v>
      </c>
      <c r="C1752" s="545" t="str">
        <f>VLOOKUP(D1752,기본!$B$3:$C$90,2,0)</f>
        <v>삼성 생활가전</v>
      </c>
      <c r="D1752" t="s">
        <v>1874</v>
      </c>
      <c r="E1752" t="s">
        <v>1194</v>
      </c>
      <c r="F1752" t="s">
        <v>1194</v>
      </c>
      <c r="G1752" t="e">
        <f>VLOOKUP(E1752,기본!$F$3:$G$320,2,0)</f>
        <v>#N/A</v>
      </c>
      <c r="H1752" s="544">
        <v>3566</v>
      </c>
      <c r="I1752">
        <v>18.293579999999999</v>
      </c>
    </row>
    <row r="1753" spans="2:9">
      <c r="B1753" s="545">
        <v>5</v>
      </c>
      <c r="C1753" s="545" t="str">
        <f>VLOOKUP(D1753,기본!$B$3:$C$90,2,0)</f>
        <v>삼성 생활가전</v>
      </c>
      <c r="D1753" t="s">
        <v>1874</v>
      </c>
      <c r="E1753" t="s">
        <v>2546</v>
      </c>
      <c r="F1753" t="s">
        <v>2546</v>
      </c>
      <c r="G1753" t="e">
        <f>VLOOKUP(E1753,기본!$F$3:$G$320,2,0)</f>
        <v>#N/A</v>
      </c>
      <c r="H1753" s="544">
        <v>7555</v>
      </c>
      <c r="I1753">
        <v>40.585459999999998</v>
      </c>
    </row>
    <row r="1754" spans="2:9">
      <c r="B1754" s="545">
        <v>5</v>
      </c>
      <c r="C1754" s="545" t="str">
        <f>VLOOKUP(D1754,기본!$B$3:$C$90,2,0)</f>
        <v>삼성 생활가전</v>
      </c>
      <c r="D1754" t="s">
        <v>1874</v>
      </c>
      <c r="E1754" t="s">
        <v>2033</v>
      </c>
      <c r="F1754" t="s">
        <v>2033</v>
      </c>
      <c r="G1754" t="e">
        <f>VLOOKUP(E1754,기본!$F$3:$G$320,2,0)</f>
        <v>#N/A</v>
      </c>
      <c r="H1754" s="544">
        <v>1658</v>
      </c>
      <c r="I1754">
        <v>21.660955328</v>
      </c>
    </row>
    <row r="1755" spans="2:9">
      <c r="B1755" s="545">
        <v>5</v>
      </c>
      <c r="C1755" s="545" t="str">
        <f>VLOOKUP(D1755,기본!$B$3:$C$90,2,0)</f>
        <v>삼성 생활가전</v>
      </c>
      <c r="D1755" t="s">
        <v>1874</v>
      </c>
      <c r="E1755" t="s">
        <v>1946</v>
      </c>
      <c r="F1755" t="s">
        <v>1946</v>
      </c>
      <c r="G1755" t="e">
        <f>VLOOKUP(E1755,기본!$F$3:$G$320,2,0)</f>
        <v>#N/A</v>
      </c>
      <c r="H1755" s="544">
        <v>20</v>
      </c>
      <c r="I1755">
        <v>0.20899999999999999</v>
      </c>
    </row>
    <row r="1756" spans="2:9">
      <c r="B1756" s="545">
        <v>5</v>
      </c>
      <c r="C1756" s="545" t="str">
        <f>VLOOKUP(D1756,기본!$B$3:$C$90,2,0)</f>
        <v>삼성 생활가전</v>
      </c>
      <c r="D1756" t="s">
        <v>1874</v>
      </c>
      <c r="E1756" t="s">
        <v>1947</v>
      </c>
      <c r="F1756" t="s">
        <v>1947</v>
      </c>
      <c r="G1756" t="e">
        <f>VLOOKUP(E1756,기본!$F$3:$G$320,2,0)</f>
        <v>#N/A</v>
      </c>
      <c r="H1756" s="544">
        <v>210</v>
      </c>
      <c r="I1756">
        <v>2.3211152999999998</v>
      </c>
    </row>
    <row r="1757" spans="2:9">
      <c r="B1757" s="545">
        <v>5</v>
      </c>
      <c r="C1757" s="545" t="str">
        <f>VLOOKUP(D1757,기본!$B$3:$C$90,2,0)</f>
        <v>삼성 생활가전</v>
      </c>
      <c r="D1757" t="s">
        <v>1874</v>
      </c>
      <c r="E1757" t="s">
        <v>2507</v>
      </c>
      <c r="F1757" t="s">
        <v>2507</v>
      </c>
      <c r="G1757" t="e">
        <f>VLOOKUP(E1757,기본!$F$3:$G$320,2,0)</f>
        <v>#N/A</v>
      </c>
      <c r="H1757" s="544">
        <v>210</v>
      </c>
      <c r="I1757">
        <v>1.2158223000000001</v>
      </c>
    </row>
    <row r="1758" spans="2:9">
      <c r="B1758" s="545">
        <v>5</v>
      </c>
      <c r="C1758" s="545" t="str">
        <f>VLOOKUP(D1758,기본!$B$3:$C$90,2,0)</f>
        <v>삼성 생활가전</v>
      </c>
      <c r="D1758" t="s">
        <v>1874</v>
      </c>
      <c r="E1758" t="s">
        <v>1410</v>
      </c>
      <c r="F1758" t="s">
        <v>1410</v>
      </c>
      <c r="G1758" t="e">
        <f>VLOOKUP(E1758,기본!$F$3:$G$320,2,0)</f>
        <v>#N/A</v>
      </c>
      <c r="H1758" s="544">
        <v>3785</v>
      </c>
      <c r="I1758">
        <v>52.692381060799995</v>
      </c>
    </row>
    <row r="1759" spans="2:9">
      <c r="B1759" s="545">
        <v>5</v>
      </c>
      <c r="C1759" s="545" t="str">
        <f>VLOOKUP(D1759,기본!$B$3:$C$90,2,0)</f>
        <v>삼성 생활가전</v>
      </c>
      <c r="D1759" t="s">
        <v>1874</v>
      </c>
      <c r="E1759" t="s">
        <v>1883</v>
      </c>
      <c r="F1759" t="s">
        <v>1883</v>
      </c>
      <c r="G1759" t="e">
        <f>VLOOKUP(E1759,기본!$F$3:$G$320,2,0)</f>
        <v>#N/A</v>
      </c>
      <c r="H1759" s="544">
        <v>0</v>
      </c>
      <c r="I1759">
        <v>2.250235</v>
      </c>
    </row>
    <row r="1760" spans="2:9">
      <c r="B1760" s="545">
        <v>5</v>
      </c>
      <c r="C1760" s="545" t="str">
        <f>VLOOKUP(D1760,기본!$B$3:$C$90,2,0)</f>
        <v>삼성 생활가전</v>
      </c>
      <c r="D1760" t="s">
        <v>1874</v>
      </c>
      <c r="E1760" t="s">
        <v>224</v>
      </c>
      <c r="F1760" t="s">
        <v>224</v>
      </c>
      <c r="G1760" t="str">
        <f>VLOOKUP(E1760,기본!$F$3:$G$320,2,0)</f>
        <v>기타</v>
      </c>
      <c r="H1760" s="544">
        <v>0</v>
      </c>
      <c r="I1760">
        <v>0.70199999999999996</v>
      </c>
    </row>
    <row r="1761" spans="2:9">
      <c r="B1761" s="545">
        <v>5</v>
      </c>
      <c r="C1761" s="545" t="str">
        <f>VLOOKUP(D1761,기본!$B$3:$C$90,2,0)</f>
        <v>삼성 생활가전</v>
      </c>
      <c r="D1761" t="s">
        <v>1884</v>
      </c>
      <c r="E1761" t="s">
        <v>1410</v>
      </c>
      <c r="F1761" t="s">
        <v>1410</v>
      </c>
      <c r="G1761" t="e">
        <f>VLOOKUP(E1761,기본!$F$3:$G$320,2,0)</f>
        <v>#N/A</v>
      </c>
      <c r="H1761" s="544">
        <v>640</v>
      </c>
      <c r="I1761">
        <v>8.2783999999999995</v>
      </c>
    </row>
    <row r="1762" spans="2:9">
      <c r="B1762" s="545">
        <v>5</v>
      </c>
      <c r="C1762" s="545" t="str">
        <f>VLOOKUP(D1762,기본!$B$3:$C$90,2,0)</f>
        <v>E-Mob</v>
      </c>
      <c r="D1762" t="s">
        <v>2395</v>
      </c>
      <c r="E1762" t="s">
        <v>2346</v>
      </c>
      <c r="F1762" t="s">
        <v>2346</v>
      </c>
      <c r="G1762" t="e">
        <f>VLOOKUP(E1762,기본!$F$3:$G$320,2,0)</f>
        <v>#N/A</v>
      </c>
      <c r="H1762" s="544">
        <v>18048</v>
      </c>
      <c r="I1762">
        <v>63.937566719999992</v>
      </c>
    </row>
    <row r="1763" spans="2:9">
      <c r="B1763" s="545">
        <v>5</v>
      </c>
      <c r="C1763" s="545" t="str">
        <f>VLOOKUP(D1763,기본!$B$3:$C$90,2,0)</f>
        <v>E-Mob</v>
      </c>
      <c r="D1763" t="s">
        <v>2395</v>
      </c>
      <c r="E1763" t="s">
        <v>2603</v>
      </c>
      <c r="F1763" t="s">
        <v>2603</v>
      </c>
      <c r="G1763" t="e">
        <f>VLOOKUP(E1763,기본!$F$3:$G$320,2,0)</f>
        <v>#N/A</v>
      </c>
      <c r="H1763" s="544">
        <v>7104</v>
      </c>
      <c r="I1763">
        <v>22.650223104000002</v>
      </c>
    </row>
    <row r="1764" spans="2:9">
      <c r="B1764" s="545">
        <v>5</v>
      </c>
      <c r="C1764" s="545" t="str">
        <f>VLOOKUP(D1764,기본!$B$3:$C$90,2,0)</f>
        <v>코웨이</v>
      </c>
      <c r="D1764" t="s">
        <v>2192</v>
      </c>
      <c r="E1764" t="s">
        <v>873</v>
      </c>
      <c r="F1764" t="s">
        <v>873</v>
      </c>
      <c r="G1764" t="e">
        <f>VLOOKUP(E1764,기본!$F$3:$G$320,2,0)</f>
        <v>#N/A</v>
      </c>
      <c r="H1764" s="544">
        <v>5845</v>
      </c>
      <c r="I1764">
        <v>41.213094999999996</v>
      </c>
    </row>
    <row r="1765" spans="2:9">
      <c r="B1765" s="545">
        <v>5</v>
      </c>
      <c r="C1765" s="545" t="str">
        <f>VLOOKUP(D1765,기본!$B$3:$C$90,2,0)</f>
        <v>코웨이</v>
      </c>
      <c r="D1765" t="s">
        <v>2192</v>
      </c>
      <c r="E1765" t="s">
        <v>1932</v>
      </c>
      <c r="F1765" t="s">
        <v>1932</v>
      </c>
      <c r="G1765" t="e">
        <f>VLOOKUP(E1765,기본!$F$3:$G$320,2,0)</f>
        <v>#N/A</v>
      </c>
      <c r="H1765" s="544">
        <v>5835</v>
      </c>
      <c r="I1765">
        <v>119.413275</v>
      </c>
    </row>
    <row r="1766" spans="2:9">
      <c r="B1766" s="545">
        <v>5</v>
      </c>
      <c r="C1766" s="545" t="str">
        <f>VLOOKUP(D1766,기본!$B$3:$C$90,2,0)</f>
        <v>코웨이</v>
      </c>
      <c r="D1766" t="s">
        <v>2192</v>
      </c>
      <c r="E1766" t="s">
        <v>1935</v>
      </c>
      <c r="F1766" t="s">
        <v>1935</v>
      </c>
      <c r="G1766" t="e">
        <f>VLOOKUP(E1766,기본!$F$3:$G$320,2,0)</f>
        <v>#N/A</v>
      </c>
      <c r="H1766" s="544">
        <v>2256</v>
      </c>
      <c r="I1766">
        <v>34.916111999999998</v>
      </c>
    </row>
    <row r="1767" spans="2:9">
      <c r="B1767" s="545">
        <v>5</v>
      </c>
      <c r="C1767" s="545" t="str">
        <f>VLOOKUP(D1767,기본!$B$3:$C$90,2,0)</f>
        <v>베터리</v>
      </c>
      <c r="D1767" t="s">
        <v>2041</v>
      </c>
      <c r="E1767" t="s">
        <v>1762</v>
      </c>
      <c r="F1767" t="s">
        <v>1762</v>
      </c>
      <c r="G1767" t="e">
        <f>VLOOKUP(E1767,기본!$F$3:$G$320,2,0)</f>
        <v>#N/A</v>
      </c>
      <c r="H1767" s="544">
        <v>134400</v>
      </c>
      <c r="I1767">
        <v>279.82080000000002</v>
      </c>
    </row>
    <row r="1768" spans="2:9">
      <c r="B1768" s="545">
        <v>5</v>
      </c>
      <c r="C1768" s="545" t="str">
        <f>VLOOKUP(D1768,기본!$B$3:$C$90,2,0)</f>
        <v>코웨이</v>
      </c>
      <c r="D1768" t="s">
        <v>2028</v>
      </c>
      <c r="E1768" t="s">
        <v>1894</v>
      </c>
      <c r="F1768" t="s">
        <v>1894</v>
      </c>
      <c r="G1768" t="e">
        <f>VLOOKUP(E1768,기본!$F$3:$G$320,2,0)</f>
        <v>#N/A</v>
      </c>
      <c r="H1768" s="544">
        <v>2376</v>
      </c>
      <c r="I1768">
        <v>20.174616</v>
      </c>
    </row>
    <row r="1769" spans="2:9">
      <c r="B1769" s="545">
        <v>5</v>
      </c>
      <c r="C1769" s="545" t="str">
        <f>VLOOKUP(D1769,기본!$B$3:$C$90,2,0)</f>
        <v>코웨이</v>
      </c>
      <c r="D1769" t="s">
        <v>2028</v>
      </c>
      <c r="E1769" t="s">
        <v>1488</v>
      </c>
      <c r="F1769" t="s">
        <v>1488</v>
      </c>
      <c r="G1769" t="e">
        <f>VLOOKUP(E1769,기본!$F$3:$G$320,2,0)</f>
        <v>#N/A</v>
      </c>
      <c r="H1769" s="544">
        <v>2240</v>
      </c>
      <c r="I1769">
        <v>16.443840000000002</v>
      </c>
    </row>
    <row r="1770" spans="2:9">
      <c r="B1770" s="545">
        <v>5</v>
      </c>
      <c r="C1770" s="545" t="str">
        <f>VLOOKUP(D1770,기본!$B$3:$C$90,2,0)</f>
        <v>코웨이</v>
      </c>
      <c r="D1770" t="s">
        <v>2028</v>
      </c>
      <c r="E1770" t="s">
        <v>1489</v>
      </c>
      <c r="F1770" t="s">
        <v>1489</v>
      </c>
      <c r="G1770" t="e">
        <f>VLOOKUP(E1770,기본!$F$3:$G$320,2,0)</f>
        <v>#N/A</v>
      </c>
      <c r="H1770" s="544">
        <v>320</v>
      </c>
      <c r="I1770">
        <v>2.1360000000000001</v>
      </c>
    </row>
    <row r="1771" spans="2:9">
      <c r="B1771" s="545">
        <v>5</v>
      </c>
      <c r="C1771" s="545" t="str">
        <f>VLOOKUP(D1771,기본!$B$3:$C$90,2,0)</f>
        <v>코웨이</v>
      </c>
      <c r="D1771" t="s">
        <v>2028</v>
      </c>
      <c r="E1771" t="s">
        <v>1900</v>
      </c>
      <c r="F1771" t="s">
        <v>1900</v>
      </c>
      <c r="G1771" t="e">
        <f>VLOOKUP(E1771,기본!$F$3:$G$320,2,0)</f>
        <v>#N/A</v>
      </c>
      <c r="H1771" s="544">
        <v>408</v>
      </c>
      <c r="I1771">
        <v>4.4084399999999997</v>
      </c>
    </row>
    <row r="1772" spans="2:9">
      <c r="B1772" s="545">
        <v>5</v>
      </c>
      <c r="C1772" s="545" t="str">
        <f>VLOOKUP(D1772,기본!$B$3:$C$90,2,0)</f>
        <v>코웨이</v>
      </c>
      <c r="D1772" t="s">
        <v>2028</v>
      </c>
      <c r="E1772" t="s">
        <v>2035</v>
      </c>
      <c r="F1772" t="s">
        <v>2035</v>
      </c>
      <c r="G1772" t="e">
        <f>VLOOKUP(E1772,기본!$F$3:$G$320,2,0)</f>
        <v>#N/A</v>
      </c>
      <c r="H1772" s="544">
        <v>2804</v>
      </c>
      <c r="I1772">
        <v>28.483032000000001</v>
      </c>
    </row>
    <row r="1773" spans="2:9">
      <c r="B1773" s="545">
        <v>5</v>
      </c>
      <c r="C1773" s="545" t="str">
        <f>VLOOKUP(D1773,기본!$B$3:$C$90,2,0)</f>
        <v>코웨이</v>
      </c>
      <c r="D1773" t="s">
        <v>2028</v>
      </c>
      <c r="E1773" t="s">
        <v>2468</v>
      </c>
      <c r="F1773" t="s">
        <v>2468</v>
      </c>
      <c r="G1773" t="e">
        <f>VLOOKUP(E1773,기본!$F$3:$G$320,2,0)</f>
        <v>#N/A</v>
      </c>
      <c r="H1773" s="544">
        <v>8613</v>
      </c>
      <c r="I1773">
        <v>49.895108999999998</v>
      </c>
    </row>
    <row r="1774" spans="2:9">
      <c r="B1774" s="545">
        <v>5</v>
      </c>
      <c r="C1774" s="545" t="str">
        <f>VLOOKUP(D1774,기본!$B$3:$C$90,2,0)</f>
        <v>코웨이</v>
      </c>
      <c r="D1774" t="s">
        <v>1885</v>
      </c>
      <c r="E1774" t="s">
        <v>1026</v>
      </c>
      <c r="F1774" t="s">
        <v>1026</v>
      </c>
      <c r="G1774" t="e">
        <f>VLOOKUP(E1774,기본!$F$3:$G$320,2,0)</f>
        <v>#N/A</v>
      </c>
      <c r="H1774" s="544">
        <v>10776</v>
      </c>
      <c r="I1774">
        <v>65.291784000000007</v>
      </c>
    </row>
    <row r="1775" spans="2:9">
      <c r="B1775" s="545">
        <v>5</v>
      </c>
      <c r="C1775" s="545" t="str">
        <f>VLOOKUP(D1775,기본!$B$3:$C$90,2,0)</f>
        <v>코웨이</v>
      </c>
      <c r="D1775" t="s">
        <v>1885</v>
      </c>
      <c r="E1775" t="s">
        <v>1029</v>
      </c>
      <c r="F1775" t="s">
        <v>1029</v>
      </c>
      <c r="G1775" t="e">
        <f>VLOOKUP(E1775,기본!$F$3:$G$320,2,0)</f>
        <v>#N/A</v>
      </c>
      <c r="H1775" s="544">
        <v>12318</v>
      </c>
      <c r="I1775">
        <v>19.265352</v>
      </c>
    </row>
    <row r="1776" spans="2:9">
      <c r="B1776" s="545">
        <v>5</v>
      </c>
      <c r="C1776" s="545" t="str">
        <f>VLOOKUP(D1776,기본!$B$3:$C$90,2,0)</f>
        <v>삼성 생활가전</v>
      </c>
      <c r="D1776" t="s">
        <v>2161</v>
      </c>
      <c r="E1776" t="s">
        <v>2162</v>
      </c>
      <c r="F1776" t="s">
        <v>2162</v>
      </c>
      <c r="G1776" t="e">
        <f>VLOOKUP(E1776,기본!$F$3:$G$320,2,0)</f>
        <v>#N/A</v>
      </c>
      <c r="H1776" s="544">
        <v>480</v>
      </c>
      <c r="I1776">
        <v>3.3552</v>
      </c>
    </row>
    <row r="1777" spans="2:9">
      <c r="B1777" s="545">
        <v>5</v>
      </c>
      <c r="C1777" s="545" t="str">
        <f>VLOOKUP(D1777,기본!$B$3:$C$90,2,0)</f>
        <v>삼성 생활가전</v>
      </c>
      <c r="D1777" t="s">
        <v>2161</v>
      </c>
      <c r="E1777" t="s">
        <v>2451</v>
      </c>
      <c r="F1777" t="s">
        <v>2451</v>
      </c>
      <c r="G1777" t="e">
        <f>VLOOKUP(E1777,기본!$F$3:$G$320,2,0)</f>
        <v>#N/A</v>
      </c>
      <c r="H1777" s="544">
        <v>8640</v>
      </c>
      <c r="I1777">
        <v>62.985600000000005</v>
      </c>
    </row>
    <row r="1778" spans="2:9">
      <c r="B1778" s="545">
        <v>5</v>
      </c>
      <c r="C1778" s="545" t="str">
        <f>VLOOKUP(D1778,기본!$B$3:$C$90,2,0)</f>
        <v>코웨이</v>
      </c>
      <c r="D1778" t="s">
        <v>1886</v>
      </c>
      <c r="E1778" t="s">
        <v>1887</v>
      </c>
      <c r="F1778" t="s">
        <v>1887</v>
      </c>
      <c r="G1778" t="e">
        <f>VLOOKUP(E1778,기본!$F$3:$G$320,2,0)</f>
        <v>#N/A</v>
      </c>
      <c r="H1778" s="544">
        <v>4420</v>
      </c>
      <c r="I1778">
        <v>13.5473</v>
      </c>
    </row>
    <row r="1779" spans="2:9">
      <c r="B1779" s="545">
        <v>5</v>
      </c>
      <c r="C1779" s="545" t="str">
        <f>VLOOKUP(D1779,기본!$B$3:$C$90,2,0)</f>
        <v>코웨이</v>
      </c>
      <c r="D1779" t="s">
        <v>1995</v>
      </c>
      <c r="E1779" t="s">
        <v>2604</v>
      </c>
      <c r="F1779" t="s">
        <v>2604</v>
      </c>
      <c r="G1779" t="e">
        <f>VLOOKUP(E1779,기본!$F$3:$G$320,2,0)</f>
        <v>#N/A</v>
      </c>
      <c r="H1779" s="544">
        <v>360</v>
      </c>
      <c r="I1779">
        <v>44.331956640000001</v>
      </c>
    </row>
    <row r="1780" spans="2:9">
      <c r="B1780" s="545">
        <v>5</v>
      </c>
      <c r="C1780" s="545" t="str">
        <f>VLOOKUP(D1780,기본!$B$3:$C$90,2,0)</f>
        <v>코웨이</v>
      </c>
      <c r="D1780" t="s">
        <v>1995</v>
      </c>
      <c r="E1780" t="s">
        <v>2549</v>
      </c>
      <c r="F1780" t="s">
        <v>2549</v>
      </c>
      <c r="G1780" t="e">
        <f>VLOOKUP(E1780,기본!$F$3:$G$320,2,0)</f>
        <v>#N/A</v>
      </c>
      <c r="H1780" s="544">
        <v>4308</v>
      </c>
      <c r="I1780">
        <v>513.0557543760001</v>
      </c>
    </row>
    <row r="1781" spans="2:9">
      <c r="B1781" s="545">
        <v>5</v>
      </c>
      <c r="C1781" s="545" t="str">
        <f>VLOOKUP(D1781,기본!$B$3:$C$90,2,0)</f>
        <v>코웨이</v>
      </c>
      <c r="D1781" t="s">
        <v>1995</v>
      </c>
      <c r="E1781" t="s">
        <v>2640</v>
      </c>
      <c r="F1781" t="s">
        <v>2640</v>
      </c>
      <c r="G1781" t="e">
        <f>VLOOKUP(E1781,기본!$F$3:$G$320,2,0)</f>
        <v>#N/A</v>
      </c>
      <c r="H1781" s="544">
        <v>3180</v>
      </c>
      <c r="I1781">
        <v>378.71803595999995</v>
      </c>
    </row>
    <row r="1782" spans="2:9">
      <c r="B1782" s="545">
        <v>5</v>
      </c>
      <c r="C1782" s="545" t="str">
        <f>VLOOKUP(D1782,기본!$B$3:$C$90,2,0)</f>
        <v>코웨이</v>
      </c>
      <c r="D1782" t="s">
        <v>1995</v>
      </c>
      <c r="E1782" t="s">
        <v>1755</v>
      </c>
      <c r="F1782" t="s">
        <v>1755</v>
      </c>
      <c r="G1782" t="e">
        <f>VLOOKUP(E1782,기본!$F$3:$G$320,2,0)</f>
        <v>#N/A</v>
      </c>
      <c r="H1782" s="544">
        <v>1800</v>
      </c>
      <c r="I1782">
        <v>215.8594416</v>
      </c>
    </row>
    <row r="1783" spans="2:9">
      <c r="B1783" s="545">
        <v>5</v>
      </c>
      <c r="C1783" s="545" t="str">
        <f>VLOOKUP(D1783,기본!$B$3:$C$90,2,0)</f>
        <v>코웨이</v>
      </c>
      <c r="D1783" t="s">
        <v>1995</v>
      </c>
      <c r="E1783" t="s">
        <v>2606</v>
      </c>
      <c r="F1783" t="s">
        <v>2606</v>
      </c>
      <c r="G1783" t="e">
        <f>VLOOKUP(E1783,기본!$F$3:$G$320,2,0)</f>
        <v>#N/A</v>
      </c>
      <c r="H1783" s="544">
        <v>160</v>
      </c>
      <c r="I1783">
        <v>28.369271999999999</v>
      </c>
    </row>
    <row r="1784" spans="2:9">
      <c r="B1784" s="545">
        <v>5</v>
      </c>
      <c r="C1784" s="545" t="str">
        <f>VLOOKUP(D1784,기본!$B$3:$C$90,2,0)</f>
        <v>코웨이</v>
      </c>
      <c r="D1784" t="s">
        <v>1995</v>
      </c>
      <c r="E1784" t="s">
        <v>2398</v>
      </c>
      <c r="F1784" t="s">
        <v>2398</v>
      </c>
      <c r="G1784" t="e">
        <f>VLOOKUP(E1784,기본!$F$3:$G$320,2,0)</f>
        <v>#N/A</v>
      </c>
      <c r="H1784" s="544">
        <v>1960</v>
      </c>
      <c r="I1784">
        <v>333.59312503999996</v>
      </c>
    </row>
    <row r="1785" spans="2:9">
      <c r="B1785" s="545">
        <v>5</v>
      </c>
      <c r="C1785" s="545" t="str">
        <f>VLOOKUP(D1785,기본!$B$3:$C$90,2,0)</f>
        <v>코웨이</v>
      </c>
      <c r="D1785" t="s">
        <v>1995</v>
      </c>
      <c r="E1785" t="s">
        <v>2399</v>
      </c>
      <c r="F1785" t="s">
        <v>2399</v>
      </c>
      <c r="G1785" t="e">
        <f>VLOOKUP(E1785,기본!$F$3:$G$320,2,0)</f>
        <v>#N/A</v>
      </c>
      <c r="H1785" s="544">
        <v>1680</v>
      </c>
      <c r="I1785">
        <v>285.93696432000002</v>
      </c>
    </row>
    <row r="1786" spans="2:9">
      <c r="B1786" s="545">
        <v>5</v>
      </c>
      <c r="C1786" s="545" t="str">
        <f>VLOOKUP(D1786,기본!$B$3:$C$90,2,0)</f>
        <v>코웨이</v>
      </c>
      <c r="D1786" t="s">
        <v>1995</v>
      </c>
      <c r="E1786" t="s">
        <v>1996</v>
      </c>
      <c r="F1786" t="s">
        <v>1996</v>
      </c>
      <c r="G1786" t="str">
        <f>VLOOKUP(E1786,기본!$F$3:$G$320,2,0)</f>
        <v>EMS</v>
      </c>
      <c r="H1786" s="544">
        <v>3920</v>
      </c>
      <c r="I1786">
        <v>319.39704495999996</v>
      </c>
    </row>
    <row r="1787" spans="2:9">
      <c r="B1787" s="545">
        <v>5</v>
      </c>
      <c r="C1787" s="545" t="str">
        <f>VLOOKUP(D1787,기본!$B$3:$C$90,2,0)</f>
        <v>코웨이</v>
      </c>
      <c r="D1787" t="s">
        <v>1995</v>
      </c>
      <c r="E1787" t="s">
        <v>1997</v>
      </c>
      <c r="F1787" t="s">
        <v>1997</v>
      </c>
      <c r="G1787" t="e">
        <f>VLOOKUP(E1787,기본!$F$3:$G$320,2,0)</f>
        <v>#N/A</v>
      </c>
      <c r="H1787" s="544">
        <v>6160</v>
      </c>
      <c r="I1787">
        <v>502.00239936000003</v>
      </c>
    </row>
    <row r="1788" spans="2:9">
      <c r="B1788" s="545">
        <v>5</v>
      </c>
      <c r="C1788" s="545" t="str">
        <f>VLOOKUP(D1788,기본!$B$3:$C$90,2,0)</f>
        <v>코웨이</v>
      </c>
      <c r="D1788" t="s">
        <v>1888</v>
      </c>
      <c r="E1788" t="s">
        <v>1889</v>
      </c>
      <c r="F1788" t="s">
        <v>1889</v>
      </c>
      <c r="G1788" t="e">
        <f>VLOOKUP(E1788,기본!$F$3:$G$320,2,0)</f>
        <v>#N/A</v>
      </c>
      <c r="H1788" s="544">
        <v>142</v>
      </c>
      <c r="I1788">
        <v>0.78923600000000005</v>
      </c>
    </row>
    <row r="1789" spans="2:9">
      <c r="B1789" s="545">
        <v>5</v>
      </c>
      <c r="C1789" s="545" t="str">
        <f>VLOOKUP(D1789,기본!$B$3:$C$90,2,0)</f>
        <v>코웨이</v>
      </c>
      <c r="D1789" t="s">
        <v>1888</v>
      </c>
      <c r="E1789" t="s">
        <v>1047</v>
      </c>
      <c r="F1789" t="s">
        <v>1047</v>
      </c>
      <c r="G1789" t="e">
        <f>VLOOKUP(E1789,기본!$F$3:$G$320,2,0)</f>
        <v>#N/A</v>
      </c>
      <c r="H1789" s="544">
        <v>333</v>
      </c>
      <c r="I1789">
        <v>1.996335</v>
      </c>
    </row>
    <row r="1790" spans="2:9">
      <c r="B1790" s="545">
        <v>5</v>
      </c>
      <c r="C1790" s="545" t="str">
        <f>VLOOKUP(D1790,기본!$B$3:$C$90,2,0)</f>
        <v>코웨이</v>
      </c>
      <c r="D1790" t="s">
        <v>1888</v>
      </c>
      <c r="E1790" t="s">
        <v>1048</v>
      </c>
      <c r="F1790" t="s">
        <v>1048</v>
      </c>
      <c r="G1790" t="e">
        <f>VLOOKUP(E1790,기본!$F$3:$G$320,2,0)</f>
        <v>#N/A</v>
      </c>
      <c r="H1790" s="544">
        <v>2902</v>
      </c>
      <c r="I1790">
        <v>10.209149999999999</v>
      </c>
    </row>
    <row r="1791" spans="2:9">
      <c r="B1791" s="545">
        <v>5</v>
      </c>
      <c r="C1791" s="545" t="str">
        <f>VLOOKUP(D1791,기본!$B$3:$C$90,2,0)</f>
        <v>코웨이</v>
      </c>
      <c r="D1791" t="s">
        <v>1888</v>
      </c>
      <c r="E1791" t="s">
        <v>1049</v>
      </c>
      <c r="F1791" t="s">
        <v>1049</v>
      </c>
      <c r="G1791" t="e">
        <f>VLOOKUP(E1791,기본!$F$3:$G$320,2,0)</f>
        <v>#N/A</v>
      </c>
      <c r="H1791" s="544">
        <v>3182</v>
      </c>
      <c r="I1791">
        <v>21.577141999999998</v>
      </c>
    </row>
    <row r="1792" spans="2:9">
      <c r="B1792" s="545">
        <v>5</v>
      </c>
      <c r="C1792" s="545" t="str">
        <f>VLOOKUP(D1792,기본!$B$3:$C$90,2,0)</f>
        <v>코웨이</v>
      </c>
      <c r="D1792" t="s">
        <v>1888</v>
      </c>
      <c r="E1792" t="s">
        <v>1893</v>
      </c>
      <c r="F1792" t="s">
        <v>1893</v>
      </c>
      <c r="G1792" t="e">
        <f>VLOOKUP(E1792,기본!$F$3:$G$320,2,0)</f>
        <v>#N/A</v>
      </c>
      <c r="H1792" s="544">
        <v>60</v>
      </c>
      <c r="I1792">
        <v>0.86699999999999999</v>
      </c>
    </row>
    <row r="1793" spans="2:9">
      <c r="B1793" s="545">
        <v>5</v>
      </c>
      <c r="C1793" s="545" t="str">
        <f>VLOOKUP(D1793,기본!$B$3:$C$90,2,0)</f>
        <v>코웨이</v>
      </c>
      <c r="D1793" t="s">
        <v>1888</v>
      </c>
      <c r="E1793" t="s">
        <v>1998</v>
      </c>
      <c r="F1793" t="s">
        <v>1998</v>
      </c>
      <c r="G1793" t="e">
        <f>VLOOKUP(E1793,기본!$F$3:$G$320,2,0)</f>
        <v>#N/A</v>
      </c>
      <c r="H1793" s="544">
        <v>161</v>
      </c>
      <c r="I1793">
        <v>1.3711060000000002</v>
      </c>
    </row>
    <row r="1794" spans="2:9">
      <c r="B1794" s="545">
        <v>5</v>
      </c>
      <c r="C1794" s="545" t="str">
        <f>VLOOKUP(D1794,기본!$B$3:$C$90,2,0)</f>
        <v>코웨이</v>
      </c>
      <c r="D1794" t="s">
        <v>1888</v>
      </c>
      <c r="E1794" t="s">
        <v>1894</v>
      </c>
      <c r="F1794" t="s">
        <v>1894</v>
      </c>
      <c r="G1794" t="e">
        <f>VLOOKUP(E1794,기본!$F$3:$G$320,2,0)</f>
        <v>#N/A</v>
      </c>
      <c r="H1794" s="544">
        <v>495</v>
      </c>
      <c r="I1794">
        <v>4.4975699999999996</v>
      </c>
    </row>
    <row r="1795" spans="2:9">
      <c r="B1795" s="545">
        <v>5</v>
      </c>
      <c r="C1795" s="545" t="str">
        <f>VLOOKUP(D1795,기본!$B$3:$C$90,2,0)</f>
        <v>코웨이</v>
      </c>
      <c r="D1795" t="s">
        <v>1888</v>
      </c>
      <c r="E1795" t="s">
        <v>2008</v>
      </c>
      <c r="F1795" t="s">
        <v>2008</v>
      </c>
      <c r="G1795" t="e">
        <f>VLOOKUP(E1795,기본!$F$3:$G$320,2,0)</f>
        <v>#N/A</v>
      </c>
      <c r="H1795" s="544">
        <v>1173</v>
      </c>
      <c r="I1795">
        <v>11.539973999999999</v>
      </c>
    </row>
    <row r="1796" spans="2:9">
      <c r="B1796" s="545">
        <v>5</v>
      </c>
      <c r="C1796" s="545" t="str">
        <f>VLOOKUP(D1796,기본!$B$3:$C$90,2,0)</f>
        <v>코웨이</v>
      </c>
      <c r="D1796" t="s">
        <v>1888</v>
      </c>
      <c r="E1796" t="s">
        <v>2009</v>
      </c>
      <c r="F1796" t="s">
        <v>2009</v>
      </c>
      <c r="G1796" t="e">
        <f>VLOOKUP(E1796,기본!$F$3:$G$320,2,0)</f>
        <v>#N/A</v>
      </c>
      <c r="H1796" s="544">
        <v>1174</v>
      </c>
      <c r="I1796">
        <v>19.307603999999998</v>
      </c>
    </row>
    <row r="1797" spans="2:9">
      <c r="B1797" s="545">
        <v>5</v>
      </c>
      <c r="C1797" s="545" t="str">
        <f>VLOOKUP(D1797,기본!$B$3:$C$90,2,0)</f>
        <v>코웨이</v>
      </c>
      <c r="D1797" t="s">
        <v>1888</v>
      </c>
      <c r="E1797" t="s">
        <v>2519</v>
      </c>
      <c r="F1797" t="s">
        <v>2519</v>
      </c>
      <c r="G1797" t="e">
        <f>VLOOKUP(E1797,기본!$F$3:$G$320,2,0)</f>
        <v>#N/A</v>
      </c>
      <c r="H1797" s="544">
        <v>1</v>
      </c>
      <c r="I1797">
        <v>1.333E-2</v>
      </c>
    </row>
    <row r="1798" spans="2:9">
      <c r="B1798" s="545">
        <v>5</v>
      </c>
      <c r="C1798" s="545" t="str">
        <f>VLOOKUP(D1798,기본!$B$3:$C$90,2,0)</f>
        <v>코웨이</v>
      </c>
      <c r="D1798" t="s">
        <v>1888</v>
      </c>
      <c r="E1798" t="s">
        <v>2641</v>
      </c>
      <c r="F1798" t="s">
        <v>2641</v>
      </c>
      <c r="G1798" t="e">
        <f>VLOOKUP(E1798,기본!$F$3:$G$320,2,0)</f>
        <v>#N/A</v>
      </c>
      <c r="H1798" s="544">
        <v>5</v>
      </c>
      <c r="I1798">
        <v>3.1570000000000001E-2</v>
      </c>
    </row>
    <row r="1799" spans="2:9">
      <c r="B1799" s="545">
        <v>5</v>
      </c>
      <c r="C1799" s="545" t="str">
        <f>VLOOKUP(D1799,기본!$B$3:$C$90,2,0)</f>
        <v>코웨이</v>
      </c>
      <c r="D1799" t="s">
        <v>1888</v>
      </c>
      <c r="E1799" t="s">
        <v>2511</v>
      </c>
      <c r="F1799" t="s">
        <v>2511</v>
      </c>
      <c r="G1799" t="e">
        <f>VLOOKUP(E1799,기본!$F$3:$G$320,2,0)</f>
        <v>#N/A</v>
      </c>
      <c r="H1799" s="544">
        <v>24</v>
      </c>
      <c r="I1799">
        <v>0.469752</v>
      </c>
    </row>
    <row r="1800" spans="2:9">
      <c r="B1800" s="545">
        <v>5</v>
      </c>
      <c r="C1800" s="545" t="str">
        <f>VLOOKUP(D1800,기본!$B$3:$C$90,2,0)</f>
        <v>코웨이</v>
      </c>
      <c r="D1800" t="s">
        <v>1888</v>
      </c>
      <c r="E1800" t="s">
        <v>1896</v>
      </c>
      <c r="F1800" t="s">
        <v>1896</v>
      </c>
      <c r="G1800" t="e">
        <f>VLOOKUP(E1800,기본!$F$3:$G$320,2,0)</f>
        <v>#N/A</v>
      </c>
      <c r="H1800" s="544">
        <v>1699</v>
      </c>
      <c r="I1800">
        <v>26.381308000000001</v>
      </c>
    </row>
    <row r="1801" spans="2:9">
      <c r="B1801" s="545">
        <v>5</v>
      </c>
      <c r="C1801" s="545" t="str">
        <f>VLOOKUP(D1801,기본!$B$3:$C$90,2,0)</f>
        <v>코웨이</v>
      </c>
      <c r="D1801" t="s">
        <v>1888</v>
      </c>
      <c r="E1801" t="s">
        <v>1897</v>
      </c>
      <c r="F1801" t="s">
        <v>1897</v>
      </c>
      <c r="G1801" t="e">
        <f>VLOOKUP(E1801,기본!$F$3:$G$320,2,0)</f>
        <v>#N/A</v>
      </c>
      <c r="H1801" s="544">
        <v>22389</v>
      </c>
      <c r="I1801">
        <v>355.55970900000005</v>
      </c>
    </row>
    <row r="1802" spans="2:9">
      <c r="B1802" s="545">
        <v>5</v>
      </c>
      <c r="C1802" s="545" t="str">
        <f>VLOOKUP(D1802,기본!$B$3:$C$90,2,0)</f>
        <v>코웨이</v>
      </c>
      <c r="D1802" t="s">
        <v>1888</v>
      </c>
      <c r="E1802" t="s">
        <v>1486</v>
      </c>
      <c r="F1802" t="s">
        <v>1486</v>
      </c>
      <c r="G1802" t="e">
        <f>VLOOKUP(E1802,기본!$F$3:$G$320,2,0)</f>
        <v>#N/A</v>
      </c>
      <c r="H1802" s="544">
        <v>1129</v>
      </c>
      <c r="I1802">
        <v>9.8889110000000002</v>
      </c>
    </row>
    <row r="1803" spans="2:9">
      <c r="B1803" s="545">
        <v>5</v>
      </c>
      <c r="C1803" s="545" t="str">
        <f>VLOOKUP(D1803,기본!$B$3:$C$90,2,0)</f>
        <v>코웨이</v>
      </c>
      <c r="D1803" t="s">
        <v>1888</v>
      </c>
      <c r="E1803" t="s">
        <v>1487</v>
      </c>
      <c r="F1803" t="s">
        <v>1487</v>
      </c>
      <c r="G1803" t="e">
        <f>VLOOKUP(E1803,기본!$F$3:$G$320,2,0)</f>
        <v>#N/A</v>
      </c>
      <c r="H1803" s="544">
        <v>27</v>
      </c>
      <c r="I1803">
        <v>0.217971</v>
      </c>
    </row>
    <row r="1804" spans="2:9">
      <c r="B1804" s="545">
        <v>5</v>
      </c>
      <c r="C1804" s="545" t="str">
        <f>VLOOKUP(D1804,기본!$B$3:$C$90,2,0)</f>
        <v>코웨이</v>
      </c>
      <c r="D1804" t="s">
        <v>1888</v>
      </c>
      <c r="E1804" t="s">
        <v>1898</v>
      </c>
      <c r="F1804" t="s">
        <v>1898</v>
      </c>
      <c r="G1804" t="e">
        <f>VLOOKUP(E1804,기본!$F$3:$G$320,2,0)</f>
        <v>#N/A</v>
      </c>
      <c r="H1804" s="544">
        <v>144</v>
      </c>
      <c r="I1804">
        <v>1.258848</v>
      </c>
    </row>
    <row r="1805" spans="2:9">
      <c r="B1805" s="545">
        <v>5</v>
      </c>
      <c r="C1805" s="545" t="str">
        <f>VLOOKUP(D1805,기본!$B$3:$C$90,2,0)</f>
        <v>코웨이</v>
      </c>
      <c r="D1805" t="s">
        <v>1888</v>
      </c>
      <c r="E1805" t="s">
        <v>2034</v>
      </c>
      <c r="F1805" t="s">
        <v>2034</v>
      </c>
      <c r="G1805" t="e">
        <f>VLOOKUP(E1805,기본!$F$3:$G$320,2,0)</f>
        <v>#N/A</v>
      </c>
      <c r="H1805" s="544">
        <v>271</v>
      </c>
      <c r="I1805">
        <v>6.3235140000000003</v>
      </c>
    </row>
    <row r="1806" spans="2:9">
      <c r="B1806" s="545">
        <v>5</v>
      </c>
      <c r="C1806" s="545" t="str">
        <f>VLOOKUP(D1806,기본!$B$3:$C$90,2,0)</f>
        <v>코웨이</v>
      </c>
      <c r="D1806" t="s">
        <v>1888</v>
      </c>
      <c r="E1806" t="s">
        <v>1899</v>
      </c>
      <c r="F1806" t="s">
        <v>1899</v>
      </c>
      <c r="G1806" t="e">
        <f>VLOOKUP(E1806,기본!$F$3:$G$320,2,0)</f>
        <v>#N/A</v>
      </c>
      <c r="H1806" s="544">
        <v>2066</v>
      </c>
      <c r="I1806">
        <v>16.720604999999999</v>
      </c>
    </row>
    <row r="1807" spans="2:9">
      <c r="B1807" s="545">
        <v>5</v>
      </c>
      <c r="C1807" s="545" t="str">
        <f>VLOOKUP(D1807,기본!$B$3:$C$90,2,0)</f>
        <v>코웨이</v>
      </c>
      <c r="D1807" t="s">
        <v>1888</v>
      </c>
      <c r="E1807" t="s">
        <v>1901</v>
      </c>
      <c r="F1807" t="s">
        <v>1901</v>
      </c>
      <c r="G1807" t="e">
        <f>VLOOKUP(E1807,기본!$F$3:$G$320,2,0)</f>
        <v>#N/A</v>
      </c>
      <c r="H1807" s="544">
        <v>276</v>
      </c>
      <c r="I1807">
        <v>2.7749040000000003</v>
      </c>
    </row>
    <row r="1808" spans="2:9">
      <c r="B1808" s="545">
        <v>5</v>
      </c>
      <c r="C1808" s="545" t="str">
        <f>VLOOKUP(D1808,기본!$B$3:$C$90,2,0)</f>
        <v>코웨이</v>
      </c>
      <c r="D1808" t="s">
        <v>1888</v>
      </c>
      <c r="E1808" t="s">
        <v>2642</v>
      </c>
      <c r="F1808" t="s">
        <v>2642</v>
      </c>
      <c r="G1808" t="e">
        <f>VLOOKUP(E1808,기본!$F$3:$G$320,2,0)</f>
        <v>#N/A</v>
      </c>
      <c r="H1808" s="544">
        <v>252</v>
      </c>
      <c r="I1808">
        <v>4.8084119999999997</v>
      </c>
    </row>
    <row r="1809" spans="2:9">
      <c r="B1809" s="545">
        <v>5</v>
      </c>
      <c r="C1809" s="545" t="str">
        <f>VLOOKUP(D1809,기본!$B$3:$C$90,2,0)</f>
        <v>코웨이</v>
      </c>
      <c r="D1809" t="s">
        <v>1888</v>
      </c>
      <c r="E1809" t="s">
        <v>1902</v>
      </c>
      <c r="F1809" t="s">
        <v>1902</v>
      </c>
      <c r="G1809" t="e">
        <f>VLOOKUP(E1809,기본!$F$3:$G$320,2,0)</f>
        <v>#N/A</v>
      </c>
      <c r="H1809" s="544">
        <v>40</v>
      </c>
      <c r="I1809">
        <v>0.86912</v>
      </c>
    </row>
    <row r="1810" spans="2:9">
      <c r="B1810" s="545">
        <v>5</v>
      </c>
      <c r="C1810" s="545" t="str">
        <f>VLOOKUP(D1810,기본!$B$3:$C$90,2,0)</f>
        <v>코웨이</v>
      </c>
      <c r="D1810" t="s">
        <v>1888</v>
      </c>
      <c r="E1810" t="s">
        <v>1904</v>
      </c>
      <c r="F1810" t="s">
        <v>1904</v>
      </c>
      <c r="G1810" t="e">
        <f>VLOOKUP(E1810,기본!$F$3:$G$320,2,0)</f>
        <v>#N/A</v>
      </c>
      <c r="H1810" s="544">
        <v>196</v>
      </c>
      <c r="I1810">
        <v>4.2406880000000005</v>
      </c>
    </row>
    <row r="1811" spans="2:9">
      <c r="B1811" s="545">
        <v>5</v>
      </c>
      <c r="C1811" s="545" t="str">
        <f>VLOOKUP(D1811,기본!$B$3:$C$90,2,0)</f>
        <v>코웨이</v>
      </c>
      <c r="D1811" t="s">
        <v>1888</v>
      </c>
      <c r="E1811" t="s">
        <v>1905</v>
      </c>
      <c r="F1811" t="s">
        <v>1905</v>
      </c>
      <c r="G1811" t="e">
        <f>VLOOKUP(E1811,기본!$F$3:$G$320,2,0)</f>
        <v>#N/A</v>
      </c>
      <c r="H1811" s="544">
        <v>18</v>
      </c>
      <c r="I1811">
        <v>0.41508</v>
      </c>
    </row>
    <row r="1812" spans="2:9">
      <c r="B1812" s="545">
        <v>5</v>
      </c>
      <c r="C1812" s="545" t="str">
        <f>VLOOKUP(D1812,기본!$B$3:$C$90,2,0)</f>
        <v>코웨이</v>
      </c>
      <c r="D1812" t="s">
        <v>1888</v>
      </c>
      <c r="E1812" t="s">
        <v>2512</v>
      </c>
      <c r="F1812" t="s">
        <v>2512</v>
      </c>
      <c r="G1812" t="e">
        <f>VLOOKUP(E1812,기본!$F$3:$G$320,2,0)</f>
        <v>#N/A</v>
      </c>
      <c r="H1812" s="544">
        <v>545</v>
      </c>
      <c r="I1812">
        <v>4.5442100000000005</v>
      </c>
    </row>
    <row r="1813" spans="2:9">
      <c r="B1813" s="545">
        <v>5</v>
      </c>
      <c r="C1813" s="545" t="str">
        <f>VLOOKUP(D1813,기본!$B$3:$C$90,2,0)</f>
        <v>코웨이</v>
      </c>
      <c r="D1813" t="s">
        <v>1888</v>
      </c>
      <c r="E1813" t="s">
        <v>1906</v>
      </c>
      <c r="F1813" t="s">
        <v>1906</v>
      </c>
      <c r="G1813" t="e">
        <f>VLOOKUP(E1813,기본!$F$3:$G$320,2,0)</f>
        <v>#N/A</v>
      </c>
      <c r="H1813" s="544">
        <v>185</v>
      </c>
      <c r="I1813">
        <v>0.45861499999999999</v>
      </c>
    </row>
    <row r="1814" spans="2:9">
      <c r="B1814" s="545">
        <v>5</v>
      </c>
      <c r="C1814" s="545" t="str">
        <f>VLOOKUP(D1814,기본!$B$3:$C$90,2,0)</f>
        <v>코웨이</v>
      </c>
      <c r="D1814" t="s">
        <v>1888</v>
      </c>
      <c r="E1814" t="s">
        <v>1907</v>
      </c>
      <c r="F1814" t="s">
        <v>1907</v>
      </c>
      <c r="G1814" t="e">
        <f>VLOOKUP(E1814,기본!$F$3:$G$320,2,0)</f>
        <v>#N/A</v>
      </c>
      <c r="H1814" s="544">
        <v>662</v>
      </c>
      <c r="I1814">
        <v>4.7597800000000001</v>
      </c>
    </row>
    <row r="1815" spans="2:9">
      <c r="B1815" s="545">
        <v>5</v>
      </c>
      <c r="C1815" s="545" t="str">
        <f>VLOOKUP(D1815,기본!$B$3:$C$90,2,0)</f>
        <v>코웨이</v>
      </c>
      <c r="D1815" t="s">
        <v>1888</v>
      </c>
      <c r="E1815" t="s">
        <v>1908</v>
      </c>
      <c r="F1815" t="s">
        <v>1908</v>
      </c>
      <c r="G1815" t="e">
        <f>VLOOKUP(E1815,기본!$F$3:$G$320,2,0)</f>
        <v>#N/A</v>
      </c>
      <c r="H1815" s="544">
        <v>1780</v>
      </c>
      <c r="I1815">
        <v>32.534840000000003</v>
      </c>
    </row>
    <row r="1816" spans="2:9">
      <c r="B1816" s="545">
        <v>5</v>
      </c>
      <c r="C1816" s="545" t="str">
        <f>VLOOKUP(D1816,기본!$B$3:$C$90,2,0)</f>
        <v>코웨이</v>
      </c>
      <c r="D1816" t="s">
        <v>1888</v>
      </c>
      <c r="E1816" t="s">
        <v>2035</v>
      </c>
      <c r="F1816" t="s">
        <v>2035</v>
      </c>
      <c r="G1816" t="e">
        <f>VLOOKUP(E1816,기본!$F$3:$G$320,2,0)</f>
        <v>#N/A</v>
      </c>
      <c r="H1816" s="544">
        <v>6747</v>
      </c>
      <c r="I1816">
        <v>68.542355999999998</v>
      </c>
    </row>
    <row r="1817" spans="2:9">
      <c r="B1817" s="545">
        <v>5</v>
      </c>
      <c r="C1817" s="545" t="str">
        <f>VLOOKUP(D1817,기본!$B$3:$C$90,2,0)</f>
        <v>코웨이</v>
      </c>
      <c r="D1817" t="s">
        <v>1888</v>
      </c>
      <c r="E1817" t="s">
        <v>1909</v>
      </c>
      <c r="F1817" t="s">
        <v>1909</v>
      </c>
      <c r="G1817" t="e">
        <f>VLOOKUP(E1817,기본!$F$3:$G$320,2,0)</f>
        <v>#N/A</v>
      </c>
      <c r="H1817" s="544">
        <v>216</v>
      </c>
      <c r="I1817">
        <v>4.0679280000000002</v>
      </c>
    </row>
    <row r="1818" spans="2:9">
      <c r="B1818" s="545">
        <v>5</v>
      </c>
      <c r="C1818" s="545" t="str">
        <f>VLOOKUP(D1818,기본!$B$3:$C$90,2,0)</f>
        <v>코웨이</v>
      </c>
      <c r="D1818" t="s">
        <v>1888</v>
      </c>
      <c r="E1818" t="s">
        <v>2556</v>
      </c>
      <c r="F1818" t="s">
        <v>2556</v>
      </c>
      <c r="G1818" t="e">
        <f>VLOOKUP(E1818,기본!$F$3:$G$320,2,0)</f>
        <v>#N/A</v>
      </c>
      <c r="H1818" s="544">
        <v>180</v>
      </c>
      <c r="I1818">
        <v>4.3217999999999996</v>
      </c>
    </row>
    <row r="1819" spans="2:9">
      <c r="B1819" s="545">
        <v>5</v>
      </c>
      <c r="C1819" s="545" t="str">
        <f>VLOOKUP(D1819,기본!$B$3:$C$90,2,0)</f>
        <v>코웨이</v>
      </c>
      <c r="D1819" t="s">
        <v>1888</v>
      </c>
      <c r="E1819" t="s">
        <v>1910</v>
      </c>
      <c r="F1819" t="s">
        <v>1910</v>
      </c>
      <c r="G1819" t="e">
        <f>VLOOKUP(E1819,기본!$F$3:$G$320,2,0)</f>
        <v>#N/A</v>
      </c>
      <c r="H1819" s="544">
        <v>2238</v>
      </c>
      <c r="I1819">
        <v>41.694470000000003</v>
      </c>
    </row>
    <row r="1820" spans="2:9">
      <c r="B1820" s="545">
        <v>5</v>
      </c>
      <c r="C1820" s="545" t="str">
        <f>VLOOKUP(D1820,기본!$B$3:$C$90,2,0)</f>
        <v>코웨이</v>
      </c>
      <c r="D1820" t="s">
        <v>1888</v>
      </c>
      <c r="E1820" t="s">
        <v>1911</v>
      </c>
      <c r="F1820" t="s">
        <v>1911</v>
      </c>
      <c r="G1820" t="e">
        <f>VLOOKUP(E1820,기본!$F$3:$G$320,2,0)</f>
        <v>#N/A</v>
      </c>
      <c r="H1820" s="544">
        <v>520</v>
      </c>
      <c r="I1820">
        <v>9.0906400000000005</v>
      </c>
    </row>
    <row r="1821" spans="2:9">
      <c r="B1821" s="545">
        <v>5</v>
      </c>
      <c r="C1821" s="545" t="str">
        <f>VLOOKUP(D1821,기본!$B$3:$C$90,2,0)</f>
        <v>코웨이</v>
      </c>
      <c r="D1821" t="s">
        <v>1888</v>
      </c>
      <c r="E1821" t="s">
        <v>2257</v>
      </c>
      <c r="F1821" t="s">
        <v>2257</v>
      </c>
      <c r="G1821" t="e">
        <f>VLOOKUP(E1821,기본!$F$3:$G$320,2,0)</f>
        <v>#N/A</v>
      </c>
      <c r="H1821" s="544">
        <v>25</v>
      </c>
      <c r="I1821">
        <v>0.43872499999999998</v>
      </c>
    </row>
    <row r="1822" spans="2:9">
      <c r="B1822" s="545">
        <v>5</v>
      </c>
      <c r="C1822" s="545" t="str">
        <f>VLOOKUP(D1822,기본!$B$3:$C$90,2,0)</f>
        <v>코웨이</v>
      </c>
      <c r="D1822" t="s">
        <v>1888</v>
      </c>
      <c r="E1822" t="s">
        <v>1912</v>
      </c>
      <c r="F1822" t="s">
        <v>1912</v>
      </c>
      <c r="G1822" t="e">
        <f>VLOOKUP(E1822,기본!$F$3:$G$320,2,0)</f>
        <v>#N/A</v>
      </c>
      <c r="H1822" s="544">
        <v>8274</v>
      </c>
      <c r="I1822">
        <v>152.01680400000001</v>
      </c>
    </row>
    <row r="1823" spans="2:9">
      <c r="B1823" s="545">
        <v>5</v>
      </c>
      <c r="C1823" s="545" t="str">
        <f>VLOOKUP(D1823,기본!$B$3:$C$90,2,0)</f>
        <v>코웨이</v>
      </c>
      <c r="D1823" t="s">
        <v>1888</v>
      </c>
      <c r="E1823" t="s">
        <v>1043</v>
      </c>
      <c r="F1823" t="s">
        <v>1043</v>
      </c>
      <c r="G1823" t="e">
        <f>VLOOKUP(E1823,기본!$F$3:$G$320,2,0)</f>
        <v>#N/A</v>
      </c>
      <c r="H1823" s="544">
        <v>462</v>
      </c>
      <c r="I1823">
        <v>5.9422440000000005</v>
      </c>
    </row>
    <row r="1824" spans="2:9">
      <c r="B1824" s="545">
        <v>5</v>
      </c>
      <c r="C1824" s="545" t="str">
        <f>VLOOKUP(D1824,기본!$B$3:$C$90,2,0)</f>
        <v>코웨이</v>
      </c>
      <c r="D1824" t="s">
        <v>1888</v>
      </c>
      <c r="E1824" t="s">
        <v>2061</v>
      </c>
      <c r="F1824" t="s">
        <v>2061</v>
      </c>
      <c r="G1824" t="e">
        <f>VLOOKUP(E1824,기본!$F$3:$G$320,2,0)</f>
        <v>#N/A</v>
      </c>
      <c r="H1824" s="544">
        <v>2</v>
      </c>
      <c r="I1824">
        <v>3.8648000000000002E-2</v>
      </c>
    </row>
    <row r="1825" spans="2:9">
      <c r="B1825" s="545">
        <v>5</v>
      </c>
      <c r="C1825" s="545" t="str">
        <f>VLOOKUP(D1825,기본!$B$3:$C$90,2,0)</f>
        <v>코웨이</v>
      </c>
      <c r="D1825" t="s">
        <v>1888</v>
      </c>
      <c r="E1825" t="s">
        <v>1913</v>
      </c>
      <c r="F1825" t="s">
        <v>1913</v>
      </c>
      <c r="G1825" t="e">
        <f>VLOOKUP(E1825,기본!$F$3:$G$320,2,0)</f>
        <v>#N/A</v>
      </c>
      <c r="H1825" s="544">
        <v>510</v>
      </c>
      <c r="I1825">
        <v>4.7858400000000003</v>
      </c>
    </row>
    <row r="1826" spans="2:9">
      <c r="B1826" s="545">
        <v>5</v>
      </c>
      <c r="C1826" s="545" t="str">
        <f>VLOOKUP(D1826,기본!$B$3:$C$90,2,0)</f>
        <v>코웨이</v>
      </c>
      <c r="D1826" t="s">
        <v>1888</v>
      </c>
      <c r="E1826" t="s">
        <v>1915</v>
      </c>
      <c r="F1826" t="s">
        <v>1915</v>
      </c>
      <c r="G1826" t="e">
        <f>VLOOKUP(E1826,기본!$F$3:$G$320,2,0)</f>
        <v>#N/A</v>
      </c>
      <c r="H1826" s="544">
        <v>798</v>
      </c>
      <c r="I1826">
        <v>15.800328</v>
      </c>
    </row>
    <row r="1827" spans="2:9">
      <c r="B1827" s="545">
        <v>5</v>
      </c>
      <c r="C1827" s="545" t="str">
        <f>VLOOKUP(D1827,기본!$B$3:$C$90,2,0)</f>
        <v>코웨이</v>
      </c>
      <c r="D1827" t="s">
        <v>1888</v>
      </c>
      <c r="E1827" t="s">
        <v>2249</v>
      </c>
      <c r="F1827" t="s">
        <v>2249</v>
      </c>
      <c r="G1827" t="e">
        <f>VLOOKUP(E1827,기본!$F$3:$G$320,2,0)</f>
        <v>#N/A</v>
      </c>
      <c r="H1827" s="544">
        <v>800</v>
      </c>
      <c r="I1827">
        <v>6.2359999999999998</v>
      </c>
    </row>
    <row r="1828" spans="2:9">
      <c r="B1828" s="545">
        <v>5</v>
      </c>
      <c r="C1828" s="545" t="str">
        <f>VLOOKUP(D1828,기본!$B$3:$C$90,2,0)</f>
        <v>코웨이</v>
      </c>
      <c r="D1828" t="s">
        <v>1888</v>
      </c>
      <c r="E1828" t="s">
        <v>2258</v>
      </c>
      <c r="F1828" t="s">
        <v>2258</v>
      </c>
      <c r="G1828" t="e">
        <f>VLOOKUP(E1828,기본!$F$3:$G$320,2,0)</f>
        <v>#N/A</v>
      </c>
      <c r="H1828" s="544">
        <v>800</v>
      </c>
      <c r="I1828">
        <v>16.891999999999999</v>
      </c>
    </row>
    <row r="1829" spans="2:9">
      <c r="B1829" s="545">
        <v>5</v>
      </c>
      <c r="C1829" s="545" t="str">
        <f>VLOOKUP(D1829,기본!$B$3:$C$90,2,0)</f>
        <v>코웨이</v>
      </c>
      <c r="D1829" t="s">
        <v>1888</v>
      </c>
      <c r="E1829" t="s">
        <v>1916</v>
      </c>
      <c r="F1829" t="s">
        <v>1916</v>
      </c>
      <c r="G1829" t="e">
        <f>VLOOKUP(E1829,기본!$F$3:$G$320,2,0)</f>
        <v>#N/A</v>
      </c>
      <c r="H1829" s="544">
        <v>18</v>
      </c>
      <c r="I1829">
        <v>0.18811800000000001</v>
      </c>
    </row>
    <row r="1830" spans="2:9">
      <c r="B1830" s="545">
        <v>5</v>
      </c>
      <c r="C1830" s="545" t="str">
        <f>VLOOKUP(D1830,기본!$B$3:$C$90,2,0)</f>
        <v>코웨이</v>
      </c>
      <c r="D1830" t="s">
        <v>1888</v>
      </c>
      <c r="E1830" t="s">
        <v>1168</v>
      </c>
      <c r="F1830" t="s">
        <v>1168</v>
      </c>
      <c r="G1830" t="e">
        <f>VLOOKUP(E1830,기본!$F$3:$G$320,2,0)</f>
        <v>#N/A</v>
      </c>
      <c r="H1830" s="544">
        <v>20</v>
      </c>
      <c r="I1830">
        <v>0.60450000000000004</v>
      </c>
    </row>
    <row r="1831" spans="2:9">
      <c r="B1831" s="545">
        <v>5</v>
      </c>
      <c r="C1831" s="545" t="str">
        <f>VLOOKUP(D1831,기본!$B$3:$C$90,2,0)</f>
        <v>코웨이</v>
      </c>
      <c r="D1831" t="s">
        <v>1888</v>
      </c>
      <c r="E1831" t="s">
        <v>2515</v>
      </c>
      <c r="F1831" t="s">
        <v>2515</v>
      </c>
      <c r="G1831" t="e">
        <f>VLOOKUP(E1831,기본!$F$3:$G$320,2,0)</f>
        <v>#N/A</v>
      </c>
      <c r="H1831" s="544">
        <v>18</v>
      </c>
      <c r="I1831">
        <v>0.48970799999999998</v>
      </c>
    </row>
    <row r="1832" spans="2:9">
      <c r="B1832" s="545">
        <v>5</v>
      </c>
      <c r="C1832" s="545" t="str">
        <f>VLOOKUP(D1832,기본!$B$3:$C$90,2,0)</f>
        <v>코웨이</v>
      </c>
      <c r="D1832" t="s">
        <v>1888</v>
      </c>
      <c r="E1832" t="s">
        <v>2516</v>
      </c>
      <c r="F1832" t="s">
        <v>2516</v>
      </c>
      <c r="G1832" t="e">
        <f>VLOOKUP(E1832,기본!$F$3:$G$320,2,0)</f>
        <v>#N/A</v>
      </c>
      <c r="H1832" s="544">
        <v>300</v>
      </c>
      <c r="I1832">
        <v>7.7516999999999996</v>
      </c>
    </row>
    <row r="1833" spans="2:9">
      <c r="B1833" s="545">
        <v>5</v>
      </c>
      <c r="C1833" s="545" t="str">
        <f>VLOOKUP(D1833,기본!$B$3:$C$90,2,0)</f>
        <v>코웨이</v>
      </c>
      <c r="D1833" t="s">
        <v>1888</v>
      </c>
      <c r="E1833" t="s">
        <v>1169</v>
      </c>
      <c r="F1833" t="s">
        <v>1169</v>
      </c>
      <c r="G1833" t="e">
        <f>VLOOKUP(E1833,기본!$F$3:$G$320,2,0)</f>
        <v>#N/A</v>
      </c>
      <c r="H1833" s="544">
        <v>109</v>
      </c>
      <c r="I1833">
        <v>3.8736420000000003</v>
      </c>
    </row>
    <row r="1834" spans="2:9">
      <c r="B1834" s="545">
        <v>5</v>
      </c>
      <c r="C1834" s="545" t="str">
        <f>VLOOKUP(D1834,기본!$B$3:$C$90,2,0)</f>
        <v>코웨이</v>
      </c>
      <c r="D1834" t="s">
        <v>1888</v>
      </c>
      <c r="E1834" t="s">
        <v>1919</v>
      </c>
      <c r="F1834" t="s">
        <v>1919</v>
      </c>
      <c r="G1834" t="e">
        <f>VLOOKUP(E1834,기본!$F$3:$G$320,2,0)</f>
        <v>#N/A</v>
      </c>
      <c r="H1834" s="544">
        <v>63</v>
      </c>
      <c r="I1834">
        <v>2.2311450000000002</v>
      </c>
    </row>
    <row r="1835" spans="2:9">
      <c r="B1835" s="545">
        <v>5</v>
      </c>
      <c r="C1835" s="545" t="str">
        <f>VLOOKUP(D1835,기본!$B$3:$C$90,2,0)</f>
        <v>코웨이</v>
      </c>
      <c r="D1835" t="s">
        <v>1888</v>
      </c>
      <c r="E1835" t="s">
        <v>1921</v>
      </c>
      <c r="F1835" t="s">
        <v>1921</v>
      </c>
      <c r="G1835" t="e">
        <f>VLOOKUP(E1835,기본!$F$3:$G$320,2,0)</f>
        <v>#N/A</v>
      </c>
      <c r="H1835" s="544">
        <v>250</v>
      </c>
      <c r="I1835">
        <v>5.3922499999999998</v>
      </c>
    </row>
    <row r="1836" spans="2:9">
      <c r="B1836" s="545">
        <v>5</v>
      </c>
      <c r="C1836" s="545" t="str">
        <f>VLOOKUP(D1836,기본!$B$3:$C$90,2,0)</f>
        <v>코웨이</v>
      </c>
      <c r="D1836" t="s">
        <v>1888</v>
      </c>
      <c r="E1836" t="s">
        <v>1983</v>
      </c>
      <c r="F1836" t="s">
        <v>1983</v>
      </c>
      <c r="G1836" t="e">
        <f>VLOOKUP(E1836,기본!$F$3:$G$320,2,0)</f>
        <v>#N/A</v>
      </c>
      <c r="H1836" s="544">
        <v>76</v>
      </c>
      <c r="I1836">
        <v>1.673001</v>
      </c>
    </row>
    <row r="1837" spans="2:9">
      <c r="B1837" s="545">
        <v>5</v>
      </c>
      <c r="C1837" s="545" t="str">
        <f>VLOOKUP(D1837,기본!$B$3:$C$90,2,0)</f>
        <v>코웨이</v>
      </c>
      <c r="D1837" t="s">
        <v>1888</v>
      </c>
      <c r="E1837" t="s">
        <v>1922</v>
      </c>
      <c r="F1837" t="s">
        <v>1922</v>
      </c>
      <c r="G1837" t="e">
        <f>VLOOKUP(E1837,기본!$F$3:$G$320,2,0)</f>
        <v>#N/A</v>
      </c>
      <c r="H1837" s="544">
        <v>34</v>
      </c>
      <c r="I1837">
        <v>1.1626300000000001</v>
      </c>
    </row>
    <row r="1838" spans="2:9">
      <c r="B1838" s="545">
        <v>5</v>
      </c>
      <c r="C1838" s="545" t="str">
        <f>VLOOKUP(D1838,기본!$B$3:$C$90,2,0)</f>
        <v>코웨이</v>
      </c>
      <c r="D1838" t="s">
        <v>1888</v>
      </c>
      <c r="E1838" t="s">
        <v>1274</v>
      </c>
      <c r="F1838" t="s">
        <v>1274</v>
      </c>
      <c r="G1838" t="e">
        <f>VLOOKUP(E1838,기본!$F$3:$G$320,2,0)</f>
        <v>#N/A</v>
      </c>
      <c r="H1838" s="544">
        <v>77</v>
      </c>
      <c r="I1838">
        <v>2.9589560000000001</v>
      </c>
    </row>
    <row r="1839" spans="2:9">
      <c r="B1839" s="545">
        <v>5</v>
      </c>
      <c r="C1839" s="545" t="str">
        <f>VLOOKUP(D1839,기본!$B$3:$C$90,2,0)</f>
        <v>코웨이</v>
      </c>
      <c r="D1839" t="s">
        <v>1888</v>
      </c>
      <c r="E1839" t="s">
        <v>1999</v>
      </c>
      <c r="F1839" t="s">
        <v>1999</v>
      </c>
      <c r="G1839" t="e">
        <f>VLOOKUP(E1839,기본!$F$3:$G$320,2,0)</f>
        <v>#N/A</v>
      </c>
      <c r="H1839" s="544">
        <v>343</v>
      </c>
      <c r="I1839">
        <v>2.18668</v>
      </c>
    </row>
    <row r="1840" spans="2:9">
      <c r="B1840" s="545">
        <v>5</v>
      </c>
      <c r="C1840" s="545" t="str">
        <f>VLOOKUP(D1840,기본!$B$3:$C$90,2,0)</f>
        <v>코웨이</v>
      </c>
      <c r="D1840" t="s">
        <v>1888</v>
      </c>
      <c r="E1840" t="s">
        <v>1984</v>
      </c>
      <c r="F1840" t="s">
        <v>1984</v>
      </c>
      <c r="G1840" t="e">
        <f>VLOOKUP(E1840,기본!$F$3:$G$320,2,0)</f>
        <v>#N/A</v>
      </c>
      <c r="H1840" s="544">
        <v>1773</v>
      </c>
      <c r="I1840">
        <v>11.333016000000001</v>
      </c>
    </row>
    <row r="1841" spans="2:9">
      <c r="B1841" s="545">
        <v>5</v>
      </c>
      <c r="C1841" s="545" t="str">
        <f>VLOOKUP(D1841,기본!$B$3:$C$90,2,0)</f>
        <v>코웨이</v>
      </c>
      <c r="D1841" t="s">
        <v>1888</v>
      </c>
      <c r="E1841" t="s">
        <v>1023</v>
      </c>
      <c r="F1841" t="s">
        <v>1023</v>
      </c>
      <c r="G1841" t="e">
        <f>VLOOKUP(E1841,기본!$F$3:$G$320,2,0)</f>
        <v>#N/A</v>
      </c>
      <c r="H1841" s="544">
        <v>30</v>
      </c>
      <c r="I1841">
        <v>0.18720000000000001</v>
      </c>
    </row>
    <row r="1842" spans="2:9">
      <c r="B1842" s="545">
        <v>5</v>
      </c>
      <c r="C1842" s="545" t="str">
        <f>VLOOKUP(D1842,기본!$B$3:$C$90,2,0)</f>
        <v>코웨이</v>
      </c>
      <c r="D1842" t="s">
        <v>1888</v>
      </c>
      <c r="E1842" t="s">
        <v>2611</v>
      </c>
      <c r="F1842" t="s">
        <v>2611</v>
      </c>
      <c r="G1842" t="e">
        <f>VLOOKUP(E1842,기본!$F$3:$G$320,2,0)</f>
        <v>#N/A</v>
      </c>
      <c r="H1842" s="544">
        <v>1312</v>
      </c>
      <c r="I1842">
        <v>9.0462400000000009</v>
      </c>
    </row>
    <row r="1843" spans="2:9">
      <c r="B1843" s="545">
        <v>5</v>
      </c>
      <c r="C1843" s="545" t="str">
        <f>VLOOKUP(D1843,기본!$B$3:$C$90,2,0)</f>
        <v>코웨이</v>
      </c>
      <c r="D1843" t="s">
        <v>1888</v>
      </c>
      <c r="E1843" t="s">
        <v>1926</v>
      </c>
      <c r="F1843" t="s">
        <v>1926</v>
      </c>
      <c r="G1843" t="e">
        <f>VLOOKUP(E1843,기본!$F$3:$G$320,2,0)</f>
        <v>#N/A</v>
      </c>
      <c r="H1843" s="544">
        <v>96</v>
      </c>
      <c r="I1843">
        <v>0.67123200000000005</v>
      </c>
    </row>
    <row r="1844" spans="2:9">
      <c r="B1844" s="545">
        <v>5</v>
      </c>
      <c r="C1844" s="545" t="str">
        <f>VLOOKUP(D1844,기본!$B$3:$C$90,2,0)</f>
        <v>코웨이</v>
      </c>
      <c r="D1844" t="s">
        <v>1888</v>
      </c>
      <c r="E1844" t="s">
        <v>1225</v>
      </c>
      <c r="F1844" t="s">
        <v>1225</v>
      </c>
      <c r="G1844" t="e">
        <f>VLOOKUP(E1844,기본!$F$3:$G$320,2,0)</f>
        <v>#N/A</v>
      </c>
      <c r="H1844" s="544">
        <v>2781</v>
      </c>
      <c r="I1844">
        <v>22.834791000000003</v>
      </c>
    </row>
    <row r="1845" spans="2:9">
      <c r="B1845" s="545">
        <v>5</v>
      </c>
      <c r="C1845" s="545" t="str">
        <f>VLOOKUP(D1845,기본!$B$3:$C$90,2,0)</f>
        <v>코웨이</v>
      </c>
      <c r="D1845" t="s">
        <v>1888</v>
      </c>
      <c r="E1845" t="s">
        <v>1226</v>
      </c>
      <c r="F1845" t="s">
        <v>1226</v>
      </c>
      <c r="G1845" t="e">
        <f>VLOOKUP(E1845,기본!$F$3:$G$320,2,0)</f>
        <v>#N/A</v>
      </c>
      <c r="H1845" s="544">
        <v>1794</v>
      </c>
      <c r="I1845">
        <v>15.964762</v>
      </c>
    </row>
    <row r="1846" spans="2:9">
      <c r="B1846" s="545">
        <v>5</v>
      </c>
      <c r="C1846" s="545" t="str">
        <f>VLOOKUP(D1846,기본!$B$3:$C$90,2,0)</f>
        <v>코웨이</v>
      </c>
      <c r="D1846" t="s">
        <v>1888</v>
      </c>
      <c r="E1846" t="s">
        <v>224</v>
      </c>
      <c r="F1846" t="s">
        <v>224</v>
      </c>
      <c r="G1846" t="str">
        <f>VLOOKUP(E1846,기본!$F$3:$G$320,2,0)</f>
        <v>기타</v>
      </c>
      <c r="H1846" s="544">
        <v>0</v>
      </c>
      <c r="I1846">
        <v>1.6109419999999999</v>
      </c>
    </row>
    <row r="1847" spans="2:9">
      <c r="B1847" s="545">
        <v>5</v>
      </c>
      <c r="C1847" s="545" t="str">
        <f>VLOOKUP(D1847,기본!$B$3:$C$90,2,0)</f>
        <v>코웨이</v>
      </c>
      <c r="D1847" t="s">
        <v>1929</v>
      </c>
      <c r="E1847" t="s">
        <v>1140</v>
      </c>
      <c r="F1847" t="s">
        <v>1140</v>
      </c>
      <c r="G1847" t="e">
        <f>VLOOKUP(E1847,기본!$F$3:$G$320,2,0)</f>
        <v>#N/A</v>
      </c>
      <c r="H1847" s="544">
        <v>1666</v>
      </c>
      <c r="I1847">
        <v>44.493861999999993</v>
      </c>
    </row>
    <row r="1848" spans="2:9">
      <c r="B1848" s="545">
        <v>5</v>
      </c>
      <c r="C1848" s="545" t="str">
        <f>VLOOKUP(D1848,기본!$B$3:$C$90,2,0)</f>
        <v>코웨이</v>
      </c>
      <c r="D1848" t="s">
        <v>1929</v>
      </c>
      <c r="E1848" t="s">
        <v>1930</v>
      </c>
      <c r="F1848" t="s">
        <v>1930</v>
      </c>
      <c r="G1848" t="e">
        <f>VLOOKUP(E1848,기본!$F$3:$G$320,2,0)</f>
        <v>#N/A</v>
      </c>
      <c r="H1848" s="544">
        <v>3066</v>
      </c>
      <c r="I1848">
        <v>59.279123999999996</v>
      </c>
    </row>
    <row r="1849" spans="2:9">
      <c r="B1849" s="545">
        <v>5</v>
      </c>
      <c r="C1849" s="545" t="str">
        <f>VLOOKUP(D1849,기본!$B$3:$C$90,2,0)</f>
        <v>코웨이</v>
      </c>
      <c r="D1849" t="s">
        <v>1929</v>
      </c>
      <c r="E1849" t="s">
        <v>2000</v>
      </c>
      <c r="F1849" t="s">
        <v>2000</v>
      </c>
      <c r="G1849" t="e">
        <f>VLOOKUP(E1849,기본!$F$3:$G$320,2,0)</f>
        <v>#N/A</v>
      </c>
      <c r="H1849" s="544">
        <v>1572</v>
      </c>
      <c r="I1849">
        <v>61.837764000000007</v>
      </c>
    </row>
    <row r="1850" spans="2:9">
      <c r="B1850" s="545">
        <v>5</v>
      </c>
      <c r="C1850" s="545" t="str">
        <f>VLOOKUP(D1850,기본!$B$3:$C$90,2,0)</f>
        <v>코웨이</v>
      </c>
      <c r="D1850" t="s">
        <v>1929</v>
      </c>
      <c r="E1850" t="s">
        <v>2001</v>
      </c>
      <c r="F1850" t="s">
        <v>2001</v>
      </c>
      <c r="G1850" t="e">
        <f>VLOOKUP(E1850,기본!$F$3:$G$320,2,0)</f>
        <v>#N/A</v>
      </c>
      <c r="H1850" s="544">
        <v>1570</v>
      </c>
      <c r="I1850">
        <v>18.146059999999999</v>
      </c>
    </row>
    <row r="1851" spans="2:9">
      <c r="B1851" s="545">
        <v>5</v>
      </c>
      <c r="C1851" s="545" t="str">
        <f>VLOOKUP(D1851,기본!$B$3:$C$90,2,0)</f>
        <v>코웨이</v>
      </c>
      <c r="D1851" t="s">
        <v>1929</v>
      </c>
      <c r="E1851" t="s">
        <v>2235</v>
      </c>
      <c r="F1851" t="s">
        <v>2235</v>
      </c>
      <c r="G1851" t="e">
        <f>VLOOKUP(E1851,기본!$F$3:$G$320,2,0)</f>
        <v>#N/A</v>
      </c>
      <c r="H1851" s="544">
        <v>150</v>
      </c>
      <c r="I1851">
        <v>2.58345</v>
      </c>
    </row>
    <row r="1852" spans="2:9">
      <c r="B1852" s="545">
        <v>5</v>
      </c>
      <c r="C1852" s="545" t="str">
        <f>VLOOKUP(D1852,기본!$B$3:$C$90,2,0)</f>
        <v>코웨이</v>
      </c>
      <c r="D1852" t="s">
        <v>1929</v>
      </c>
      <c r="E1852" t="s">
        <v>1488</v>
      </c>
      <c r="F1852" t="s">
        <v>1488</v>
      </c>
      <c r="G1852" t="e">
        <f>VLOOKUP(E1852,기본!$F$3:$G$320,2,0)</f>
        <v>#N/A</v>
      </c>
      <c r="H1852" s="544">
        <v>48</v>
      </c>
      <c r="I1852">
        <v>0.38328000000000001</v>
      </c>
    </row>
    <row r="1853" spans="2:9">
      <c r="B1853" s="545">
        <v>5</v>
      </c>
      <c r="C1853" s="545" t="str">
        <f>VLOOKUP(D1853,기본!$B$3:$C$90,2,0)</f>
        <v>코웨이</v>
      </c>
      <c r="D1853" t="s">
        <v>1929</v>
      </c>
      <c r="E1853" t="s">
        <v>2021</v>
      </c>
      <c r="F1853" t="s">
        <v>2021</v>
      </c>
      <c r="G1853" t="e">
        <f>VLOOKUP(E1853,기본!$F$3:$G$320,2,0)</f>
        <v>#N/A</v>
      </c>
      <c r="H1853" s="544">
        <v>7472</v>
      </c>
      <c r="I1853">
        <v>69.624095999999994</v>
      </c>
    </row>
    <row r="1854" spans="2:9">
      <c r="B1854" s="545">
        <v>5</v>
      </c>
      <c r="C1854" s="545" t="str">
        <f>VLOOKUP(D1854,기본!$B$3:$C$90,2,0)</f>
        <v>코웨이</v>
      </c>
      <c r="D1854" t="s">
        <v>1929</v>
      </c>
      <c r="E1854" t="s">
        <v>873</v>
      </c>
      <c r="F1854" t="s">
        <v>873</v>
      </c>
      <c r="G1854" t="e">
        <f>VLOOKUP(E1854,기본!$F$3:$G$320,2,0)</f>
        <v>#N/A</v>
      </c>
      <c r="H1854" s="544">
        <v>3825</v>
      </c>
      <c r="I1854">
        <v>30.486681000000004</v>
      </c>
    </row>
    <row r="1855" spans="2:9">
      <c r="B1855" s="545">
        <v>5</v>
      </c>
      <c r="C1855" s="545" t="str">
        <f>VLOOKUP(D1855,기본!$B$3:$C$90,2,0)</f>
        <v>코웨이</v>
      </c>
      <c r="D1855" t="s">
        <v>1929</v>
      </c>
      <c r="E1855" t="s">
        <v>874</v>
      </c>
      <c r="F1855" t="s">
        <v>874</v>
      </c>
      <c r="G1855" t="e">
        <f>VLOOKUP(E1855,기본!$F$3:$G$320,2,0)</f>
        <v>#N/A</v>
      </c>
      <c r="H1855" s="544">
        <v>1530</v>
      </c>
      <c r="I1855">
        <v>31.72608</v>
      </c>
    </row>
    <row r="1856" spans="2:9">
      <c r="B1856" s="545">
        <v>5</v>
      </c>
      <c r="C1856" s="545" t="str">
        <f>VLOOKUP(D1856,기본!$B$3:$C$90,2,0)</f>
        <v>코웨이</v>
      </c>
      <c r="D1856" t="s">
        <v>1929</v>
      </c>
      <c r="E1856" t="s">
        <v>1932</v>
      </c>
      <c r="F1856" t="s">
        <v>1932</v>
      </c>
      <c r="G1856" t="e">
        <f>VLOOKUP(E1856,기본!$F$3:$G$320,2,0)</f>
        <v>#N/A</v>
      </c>
      <c r="H1856" s="544">
        <v>1925</v>
      </c>
      <c r="I1856">
        <v>39.846076000000004</v>
      </c>
    </row>
    <row r="1857" spans="2:9">
      <c r="B1857" s="545">
        <v>5</v>
      </c>
      <c r="C1857" s="545" t="str">
        <f>VLOOKUP(D1857,기본!$B$3:$C$90,2,0)</f>
        <v>코웨이</v>
      </c>
      <c r="D1857" t="s">
        <v>1929</v>
      </c>
      <c r="E1857" t="s">
        <v>1933</v>
      </c>
      <c r="F1857" t="s">
        <v>1933</v>
      </c>
      <c r="G1857" t="e">
        <f>VLOOKUP(E1857,기본!$F$3:$G$320,2,0)</f>
        <v>#N/A</v>
      </c>
      <c r="H1857" s="544">
        <v>402</v>
      </c>
      <c r="I1857">
        <v>7.1563720000000002</v>
      </c>
    </row>
    <row r="1858" spans="2:9">
      <c r="B1858" s="545">
        <v>5</v>
      </c>
      <c r="C1858" s="545" t="str">
        <f>VLOOKUP(D1858,기본!$B$3:$C$90,2,0)</f>
        <v>코웨이</v>
      </c>
      <c r="D1858" t="s">
        <v>1929</v>
      </c>
      <c r="E1858" t="s">
        <v>1934</v>
      </c>
      <c r="F1858" t="s">
        <v>1934</v>
      </c>
      <c r="G1858" t="e">
        <f>VLOOKUP(E1858,기본!$F$3:$G$320,2,0)</f>
        <v>#N/A</v>
      </c>
      <c r="H1858" s="544">
        <v>384</v>
      </c>
      <c r="I1858">
        <v>5.6812800000000001</v>
      </c>
    </row>
    <row r="1859" spans="2:9">
      <c r="B1859" s="545">
        <v>5</v>
      </c>
      <c r="C1859" s="545" t="str">
        <f>VLOOKUP(D1859,기본!$B$3:$C$90,2,0)</f>
        <v>코웨이</v>
      </c>
      <c r="D1859" t="s">
        <v>1929</v>
      </c>
      <c r="E1859" t="s">
        <v>1908</v>
      </c>
      <c r="F1859" t="s">
        <v>1908</v>
      </c>
      <c r="G1859" t="e">
        <f>VLOOKUP(E1859,기본!$F$3:$G$320,2,0)</f>
        <v>#N/A</v>
      </c>
      <c r="H1859" s="544">
        <v>3038</v>
      </c>
      <c r="I1859">
        <v>53.049556000000003</v>
      </c>
    </row>
    <row r="1860" spans="2:9">
      <c r="B1860" s="545">
        <v>5</v>
      </c>
      <c r="C1860" s="545" t="str">
        <f>VLOOKUP(D1860,기본!$B$3:$C$90,2,0)</f>
        <v>코웨이</v>
      </c>
      <c r="D1860" t="s">
        <v>1929</v>
      </c>
      <c r="E1860" t="s">
        <v>1912</v>
      </c>
      <c r="F1860" t="s">
        <v>1912</v>
      </c>
      <c r="G1860" t="e">
        <f>VLOOKUP(E1860,기본!$F$3:$G$320,2,0)</f>
        <v>#N/A</v>
      </c>
      <c r="H1860" s="544">
        <v>60</v>
      </c>
      <c r="I1860">
        <v>1.10178</v>
      </c>
    </row>
    <row r="1861" spans="2:9">
      <c r="B1861" s="545">
        <v>5</v>
      </c>
      <c r="C1861" s="545" t="str">
        <f>VLOOKUP(D1861,기본!$B$3:$C$90,2,0)</f>
        <v>코웨이</v>
      </c>
      <c r="D1861" t="s">
        <v>1929</v>
      </c>
      <c r="E1861" t="s">
        <v>1935</v>
      </c>
      <c r="F1861" t="s">
        <v>1935</v>
      </c>
      <c r="G1861" t="e">
        <f>VLOOKUP(E1861,기본!$F$3:$G$320,2,0)</f>
        <v>#N/A</v>
      </c>
      <c r="H1861" s="544">
        <v>9438</v>
      </c>
      <c r="I1861">
        <v>146.59465800000001</v>
      </c>
    </row>
    <row r="1862" spans="2:9">
      <c r="B1862" s="545">
        <v>5</v>
      </c>
      <c r="C1862" s="545" t="str">
        <f>VLOOKUP(D1862,기본!$B$3:$C$90,2,0)</f>
        <v>코웨이</v>
      </c>
      <c r="D1862" t="s">
        <v>1929</v>
      </c>
      <c r="E1862" t="s">
        <v>2163</v>
      </c>
      <c r="F1862" t="s">
        <v>2163</v>
      </c>
      <c r="G1862" t="e">
        <f>VLOOKUP(E1862,기본!$F$3:$G$320,2,0)</f>
        <v>#N/A</v>
      </c>
      <c r="H1862" s="544">
        <v>1328</v>
      </c>
      <c r="I1862">
        <v>20.553851999999999</v>
      </c>
    </row>
    <row r="1863" spans="2:9">
      <c r="B1863" s="545">
        <v>5</v>
      </c>
      <c r="C1863" s="545" t="str">
        <f>VLOOKUP(D1863,기본!$B$3:$C$90,2,0)</f>
        <v>코웨이</v>
      </c>
      <c r="D1863" t="s">
        <v>1929</v>
      </c>
      <c r="E1863" t="s">
        <v>1142</v>
      </c>
      <c r="F1863" t="s">
        <v>1142</v>
      </c>
      <c r="G1863" t="e">
        <f>VLOOKUP(E1863,기본!$F$3:$G$320,2,0)</f>
        <v>#N/A</v>
      </c>
      <c r="H1863" s="544">
        <v>1655</v>
      </c>
      <c r="I1863">
        <v>3.8281650000000003</v>
      </c>
    </row>
    <row r="1864" spans="2:9">
      <c r="B1864" s="545">
        <v>5</v>
      </c>
      <c r="C1864" s="545" t="str">
        <f>VLOOKUP(D1864,기본!$B$3:$C$90,2,0)</f>
        <v>코웨이</v>
      </c>
      <c r="D1864" t="s">
        <v>1929</v>
      </c>
      <c r="E1864" t="s">
        <v>1141</v>
      </c>
      <c r="F1864" t="s">
        <v>1141</v>
      </c>
      <c r="G1864" t="e">
        <f>VLOOKUP(E1864,기본!$F$3:$G$320,2,0)</f>
        <v>#N/A</v>
      </c>
      <c r="H1864" s="544">
        <v>1644</v>
      </c>
      <c r="I1864">
        <v>22.568832</v>
      </c>
    </row>
    <row r="1865" spans="2:9">
      <c r="B1865" s="545">
        <v>5</v>
      </c>
      <c r="C1865" s="545" t="str">
        <f>VLOOKUP(D1865,기본!$B$3:$C$90,2,0)</f>
        <v>코웨이</v>
      </c>
      <c r="D1865" t="s">
        <v>1929</v>
      </c>
      <c r="E1865" t="s">
        <v>1936</v>
      </c>
      <c r="F1865" t="s">
        <v>1936</v>
      </c>
      <c r="G1865" t="e">
        <f>VLOOKUP(E1865,기본!$F$3:$G$320,2,0)</f>
        <v>#N/A</v>
      </c>
      <c r="H1865" s="544">
        <v>353</v>
      </c>
      <c r="I1865">
        <v>8.6400280000000009</v>
      </c>
    </row>
    <row r="1866" spans="2:9">
      <c r="B1866" s="545">
        <v>5</v>
      </c>
      <c r="C1866" s="545" t="str">
        <f>VLOOKUP(D1866,기본!$B$3:$C$90,2,0)</f>
        <v>코웨이</v>
      </c>
      <c r="D1866" t="s">
        <v>1929</v>
      </c>
      <c r="E1866" t="s">
        <v>1937</v>
      </c>
      <c r="F1866" t="s">
        <v>1937</v>
      </c>
      <c r="G1866" t="e">
        <f>VLOOKUP(E1866,기본!$F$3:$G$320,2,0)</f>
        <v>#N/A</v>
      </c>
      <c r="H1866" s="544">
        <v>330</v>
      </c>
      <c r="I1866">
        <v>8.1611700000000003</v>
      </c>
    </row>
    <row r="1867" spans="2:9">
      <c r="B1867" s="545">
        <v>5</v>
      </c>
      <c r="C1867" s="545" t="str">
        <f>VLOOKUP(D1867,기본!$B$3:$C$90,2,0)</f>
        <v>코웨이</v>
      </c>
      <c r="D1867" t="s">
        <v>1929</v>
      </c>
      <c r="E1867" t="s">
        <v>1938</v>
      </c>
      <c r="F1867" t="s">
        <v>1938</v>
      </c>
      <c r="G1867" t="e">
        <f>VLOOKUP(E1867,기본!$F$3:$G$320,2,0)</f>
        <v>#N/A</v>
      </c>
      <c r="H1867" s="544">
        <v>1650</v>
      </c>
      <c r="I1867">
        <v>34.272210000000001</v>
      </c>
    </row>
    <row r="1868" spans="2:9">
      <c r="B1868" s="545">
        <v>5</v>
      </c>
      <c r="C1868" s="545" t="str">
        <f>VLOOKUP(D1868,기본!$B$3:$C$90,2,0)</f>
        <v>코웨이</v>
      </c>
      <c r="D1868" t="s">
        <v>1929</v>
      </c>
      <c r="E1868" t="s">
        <v>2643</v>
      </c>
      <c r="F1868" t="s">
        <v>2643</v>
      </c>
      <c r="G1868" t="e">
        <f>VLOOKUP(E1868,기본!$F$3:$G$320,2,0)</f>
        <v>#N/A</v>
      </c>
      <c r="H1868" s="544">
        <v>100</v>
      </c>
      <c r="I1868">
        <v>0.71719999999999995</v>
      </c>
    </row>
    <row r="1869" spans="2:9">
      <c r="B1869" s="545">
        <v>5</v>
      </c>
      <c r="C1869" s="545" t="str">
        <f>VLOOKUP(D1869,기본!$B$3:$C$90,2,0)</f>
        <v>코웨이</v>
      </c>
      <c r="D1869" t="s">
        <v>1929</v>
      </c>
      <c r="E1869" t="s">
        <v>2319</v>
      </c>
      <c r="F1869" t="s">
        <v>2319</v>
      </c>
      <c r="G1869" t="e">
        <f>VLOOKUP(E1869,기본!$F$3:$G$320,2,0)</f>
        <v>#N/A</v>
      </c>
      <c r="H1869" s="544">
        <v>1422</v>
      </c>
      <c r="I1869">
        <v>29.115772</v>
      </c>
    </row>
    <row r="1870" spans="2:9">
      <c r="B1870" s="545">
        <v>5</v>
      </c>
      <c r="C1870" s="545" t="str">
        <f>VLOOKUP(D1870,기본!$B$3:$C$90,2,0)</f>
        <v>코웨이</v>
      </c>
      <c r="D1870" t="s">
        <v>1929</v>
      </c>
      <c r="E1870" t="s">
        <v>2249</v>
      </c>
      <c r="F1870" t="s">
        <v>2249</v>
      </c>
      <c r="G1870" t="e">
        <f>VLOOKUP(E1870,기본!$F$3:$G$320,2,0)</f>
        <v>#N/A</v>
      </c>
      <c r="H1870" s="544">
        <v>4271</v>
      </c>
      <c r="I1870">
        <v>33.315604999999998</v>
      </c>
    </row>
    <row r="1871" spans="2:9">
      <c r="B1871" s="545">
        <v>5</v>
      </c>
      <c r="C1871" s="545" t="str">
        <f>VLOOKUP(D1871,기본!$B$3:$C$90,2,0)</f>
        <v>코웨이</v>
      </c>
      <c r="D1871" t="s">
        <v>1929</v>
      </c>
      <c r="E1871" t="s">
        <v>2468</v>
      </c>
      <c r="F1871" t="s">
        <v>2468</v>
      </c>
      <c r="G1871" t="e">
        <f>VLOOKUP(E1871,기본!$F$3:$G$320,2,0)</f>
        <v>#N/A</v>
      </c>
      <c r="H1871" s="544">
        <v>13704</v>
      </c>
      <c r="I1871">
        <v>79.387271999999996</v>
      </c>
    </row>
    <row r="1872" spans="2:9">
      <c r="B1872" s="545">
        <v>5</v>
      </c>
      <c r="C1872" s="545" t="str">
        <f>VLOOKUP(D1872,기본!$B$3:$C$90,2,0)</f>
        <v>코웨이</v>
      </c>
      <c r="D1872" t="s">
        <v>1929</v>
      </c>
      <c r="E1872" t="s">
        <v>2258</v>
      </c>
      <c r="F1872" t="s">
        <v>2258</v>
      </c>
      <c r="G1872" t="e">
        <f>VLOOKUP(E1872,기본!$F$3:$G$320,2,0)</f>
        <v>#N/A</v>
      </c>
      <c r="H1872" s="544">
        <v>5390</v>
      </c>
      <c r="I1872">
        <v>113.87234600000002</v>
      </c>
    </row>
    <row r="1873" spans="2:9">
      <c r="B1873" s="545">
        <v>5</v>
      </c>
      <c r="C1873" s="545" t="str">
        <f>VLOOKUP(D1873,기본!$B$3:$C$90,2,0)</f>
        <v>코웨이</v>
      </c>
      <c r="D1873" t="s">
        <v>1929</v>
      </c>
      <c r="E1873" t="s">
        <v>1923</v>
      </c>
      <c r="F1873" t="s">
        <v>1923</v>
      </c>
      <c r="G1873" t="e">
        <f>VLOOKUP(E1873,기본!$F$3:$G$320,2,0)</f>
        <v>#N/A</v>
      </c>
      <c r="H1873" s="544">
        <v>5336</v>
      </c>
      <c r="I1873">
        <v>188.09400000000002</v>
      </c>
    </row>
    <row r="1874" spans="2:9">
      <c r="B1874" s="545">
        <v>5</v>
      </c>
      <c r="C1874" s="545" t="str">
        <f>VLOOKUP(D1874,기본!$B$3:$C$90,2,0)</f>
        <v>코웨이</v>
      </c>
      <c r="D1874" t="s">
        <v>1929</v>
      </c>
      <c r="E1874" t="s">
        <v>1939</v>
      </c>
      <c r="F1874" t="s">
        <v>1939</v>
      </c>
      <c r="G1874" t="e">
        <f>VLOOKUP(E1874,기본!$F$3:$G$320,2,0)</f>
        <v>#N/A</v>
      </c>
      <c r="H1874" s="544">
        <v>2370</v>
      </c>
      <c r="I1874">
        <v>83.822159999999997</v>
      </c>
    </row>
    <row r="1875" spans="2:9">
      <c r="B1875" s="545">
        <v>5</v>
      </c>
      <c r="C1875" s="545" t="str">
        <f>VLOOKUP(D1875,기본!$B$3:$C$90,2,0)</f>
        <v>코웨이</v>
      </c>
      <c r="D1875" t="s">
        <v>1929</v>
      </c>
      <c r="E1875" t="s">
        <v>1940</v>
      </c>
      <c r="F1875" t="s">
        <v>1940</v>
      </c>
      <c r="G1875" t="e">
        <f>VLOOKUP(E1875,기본!$F$3:$G$320,2,0)</f>
        <v>#N/A</v>
      </c>
      <c r="H1875" s="544">
        <v>936</v>
      </c>
      <c r="I1875">
        <v>36.396360000000001</v>
      </c>
    </row>
    <row r="1876" spans="2:9">
      <c r="B1876" s="545">
        <v>5</v>
      </c>
      <c r="C1876" s="545" t="str">
        <f>VLOOKUP(D1876,기본!$B$3:$C$90,2,0)</f>
        <v>코웨이</v>
      </c>
      <c r="D1876" t="s">
        <v>1929</v>
      </c>
      <c r="E1876" t="s">
        <v>2002</v>
      </c>
      <c r="F1876" t="s">
        <v>2002</v>
      </c>
      <c r="G1876" t="e">
        <f>VLOOKUP(E1876,기본!$F$3:$G$320,2,0)</f>
        <v>#N/A</v>
      </c>
      <c r="H1876" s="544">
        <v>1816</v>
      </c>
      <c r="I1876">
        <v>74.735500000000002</v>
      </c>
    </row>
    <row r="1877" spans="2:9">
      <c r="B1877" s="545">
        <v>5</v>
      </c>
      <c r="C1877" s="545" t="str">
        <f>VLOOKUP(D1877,기본!$B$3:$C$90,2,0)</f>
        <v>코웨이</v>
      </c>
      <c r="D1877" t="s">
        <v>1941</v>
      </c>
      <c r="E1877" t="s">
        <v>1892</v>
      </c>
      <c r="F1877" t="s">
        <v>1892</v>
      </c>
      <c r="G1877" t="e">
        <f>VLOOKUP(E1877,기본!$F$3:$G$320,2,0)</f>
        <v>#N/A</v>
      </c>
      <c r="H1877" s="544">
        <v>700</v>
      </c>
      <c r="I1877">
        <v>6.1908000000000003</v>
      </c>
    </row>
    <row r="1878" spans="2:9">
      <c r="B1878" s="545">
        <v>5</v>
      </c>
      <c r="C1878" s="545" t="str">
        <f>VLOOKUP(D1878,기본!$B$3:$C$90,2,0)</f>
        <v>코웨이</v>
      </c>
      <c r="D1878" t="s">
        <v>1941</v>
      </c>
      <c r="E1878" t="s">
        <v>1047</v>
      </c>
      <c r="F1878" t="s">
        <v>1047</v>
      </c>
      <c r="G1878" t="e">
        <f>VLOOKUP(E1878,기본!$F$3:$G$320,2,0)</f>
        <v>#N/A</v>
      </c>
      <c r="H1878" s="544">
        <v>1113</v>
      </c>
      <c r="I1878">
        <v>6.6724350000000001</v>
      </c>
    </row>
    <row r="1879" spans="2:9">
      <c r="B1879" s="545">
        <v>5</v>
      </c>
      <c r="C1879" s="545" t="str">
        <f>VLOOKUP(D1879,기본!$B$3:$C$90,2,0)</f>
        <v>코웨이</v>
      </c>
      <c r="D1879" t="s">
        <v>1941</v>
      </c>
      <c r="E1879" t="s">
        <v>1048</v>
      </c>
      <c r="F1879" t="s">
        <v>1048</v>
      </c>
      <c r="G1879" t="e">
        <f>VLOOKUP(E1879,기본!$F$3:$G$320,2,0)</f>
        <v>#N/A</v>
      </c>
      <c r="H1879" s="544">
        <v>1114</v>
      </c>
      <c r="I1879">
        <v>3.8934299999999999</v>
      </c>
    </row>
    <row r="1880" spans="2:9">
      <c r="B1880" s="545">
        <v>5</v>
      </c>
      <c r="C1880" s="545" t="str">
        <f>VLOOKUP(D1880,기본!$B$3:$C$90,2,0)</f>
        <v>코웨이</v>
      </c>
      <c r="D1880" t="s">
        <v>1941</v>
      </c>
      <c r="E1880" t="s">
        <v>2558</v>
      </c>
      <c r="F1880" t="s">
        <v>2558</v>
      </c>
      <c r="G1880" t="e">
        <f>VLOOKUP(E1880,기본!$F$3:$G$320,2,0)</f>
        <v>#N/A</v>
      </c>
      <c r="H1880" s="544">
        <v>150</v>
      </c>
      <c r="I1880">
        <v>1.1275500000000001</v>
      </c>
    </row>
    <row r="1881" spans="2:9">
      <c r="B1881" s="545">
        <v>5</v>
      </c>
      <c r="C1881" s="545" t="str">
        <f>VLOOKUP(D1881,기본!$B$3:$C$90,2,0)</f>
        <v>코웨이</v>
      </c>
      <c r="D1881" t="s">
        <v>1941</v>
      </c>
      <c r="E1881" t="s">
        <v>1942</v>
      </c>
      <c r="F1881" t="s">
        <v>1942</v>
      </c>
      <c r="G1881" t="e">
        <f>VLOOKUP(E1881,기본!$F$3:$G$320,2,0)</f>
        <v>#N/A</v>
      </c>
      <c r="H1881" s="544">
        <v>370</v>
      </c>
      <c r="I1881">
        <v>3.7284899999999999</v>
      </c>
    </row>
    <row r="1882" spans="2:9">
      <c r="B1882" s="545">
        <v>5</v>
      </c>
      <c r="C1882" s="545" t="str">
        <f>VLOOKUP(D1882,기본!$B$3:$C$90,2,0)</f>
        <v>코웨이</v>
      </c>
      <c r="D1882" t="s">
        <v>1941</v>
      </c>
      <c r="E1882" t="s">
        <v>1043</v>
      </c>
      <c r="F1882" t="s">
        <v>1043</v>
      </c>
      <c r="G1882" t="e">
        <f>VLOOKUP(E1882,기본!$F$3:$G$320,2,0)</f>
        <v>#N/A</v>
      </c>
      <c r="H1882" s="544">
        <v>4497</v>
      </c>
      <c r="I1882">
        <v>56.536283999999995</v>
      </c>
    </row>
    <row r="1883" spans="2:9">
      <c r="B1883" s="545">
        <v>5</v>
      </c>
      <c r="C1883" s="545" t="str">
        <f>VLOOKUP(D1883,기본!$B$3:$C$90,2,0)</f>
        <v>코웨이</v>
      </c>
      <c r="D1883" t="s">
        <v>1941</v>
      </c>
      <c r="E1883" t="s">
        <v>1072</v>
      </c>
      <c r="F1883" t="s">
        <v>1072</v>
      </c>
      <c r="G1883" t="e">
        <f>VLOOKUP(E1883,기본!$F$3:$G$320,2,0)</f>
        <v>#N/A</v>
      </c>
      <c r="H1883" s="544">
        <v>420</v>
      </c>
      <c r="I1883">
        <v>8.5550200000000007</v>
      </c>
    </row>
    <row r="1884" spans="2:9">
      <c r="B1884" s="545">
        <v>5</v>
      </c>
      <c r="C1884" s="545" t="str">
        <f>VLOOKUP(D1884,기본!$B$3:$C$90,2,0)</f>
        <v>코웨이</v>
      </c>
      <c r="D1884" t="s">
        <v>1941</v>
      </c>
      <c r="E1884" t="s">
        <v>2061</v>
      </c>
      <c r="F1884" t="s">
        <v>2061</v>
      </c>
      <c r="G1884" t="e">
        <f>VLOOKUP(E1884,기본!$F$3:$G$320,2,0)</f>
        <v>#N/A</v>
      </c>
      <c r="H1884" s="544">
        <v>491</v>
      </c>
      <c r="I1884">
        <v>9.0447109999999995</v>
      </c>
    </row>
    <row r="1885" spans="2:9">
      <c r="B1885" s="545">
        <v>5</v>
      </c>
      <c r="C1885" s="545" t="str">
        <f>VLOOKUP(D1885,기본!$B$3:$C$90,2,0)</f>
        <v>코웨이</v>
      </c>
      <c r="D1885" t="s">
        <v>1941</v>
      </c>
      <c r="E1885" t="s">
        <v>1925</v>
      </c>
      <c r="F1885" t="s">
        <v>1925</v>
      </c>
      <c r="G1885" t="e">
        <f>VLOOKUP(E1885,기본!$F$3:$G$320,2,0)</f>
        <v>#N/A</v>
      </c>
      <c r="H1885" s="544">
        <v>1113</v>
      </c>
      <c r="I1885">
        <v>6.9952050000000003</v>
      </c>
    </row>
    <row r="1886" spans="2:9">
      <c r="B1886" s="545">
        <v>5</v>
      </c>
      <c r="C1886" s="545" t="str">
        <f>VLOOKUP(D1886,기본!$B$3:$C$90,2,0)</f>
        <v>코웨이</v>
      </c>
      <c r="D1886" t="s">
        <v>1943</v>
      </c>
      <c r="E1886" t="s">
        <v>2249</v>
      </c>
      <c r="F1886" t="s">
        <v>2249</v>
      </c>
      <c r="G1886" t="e">
        <f>VLOOKUP(E1886,기본!$F$3:$G$320,2,0)</f>
        <v>#N/A</v>
      </c>
      <c r="H1886" s="544">
        <v>40</v>
      </c>
      <c r="I1886">
        <v>0.31180000000000002</v>
      </c>
    </row>
    <row r="1887" spans="2:9">
      <c r="B1887" s="545">
        <v>5</v>
      </c>
      <c r="C1887" s="545" t="str">
        <f>VLOOKUP(D1887,기본!$B$3:$C$90,2,0)</f>
        <v>코웨이</v>
      </c>
      <c r="D1887" t="s">
        <v>1943</v>
      </c>
      <c r="E1887" t="s">
        <v>2258</v>
      </c>
      <c r="F1887" t="s">
        <v>2258</v>
      </c>
      <c r="G1887" t="e">
        <f>VLOOKUP(E1887,기본!$F$3:$G$320,2,0)</f>
        <v>#N/A</v>
      </c>
      <c r="H1887" s="544">
        <v>50</v>
      </c>
      <c r="I1887">
        <v>1.05575</v>
      </c>
    </row>
    <row r="1888" spans="2:9">
      <c r="B1888" s="545">
        <v>5</v>
      </c>
      <c r="C1888" s="545" t="str">
        <f>VLOOKUP(D1888,기본!$B$3:$C$90,2,0)</f>
        <v>코웨이</v>
      </c>
      <c r="D1888" t="s">
        <v>1943</v>
      </c>
      <c r="E1888" t="s">
        <v>2236</v>
      </c>
      <c r="F1888" t="s">
        <v>2236</v>
      </c>
      <c r="G1888" t="e">
        <f>VLOOKUP(E1888,기본!$F$3:$G$320,2,0)</f>
        <v>#N/A</v>
      </c>
      <c r="H1888" s="544">
        <v>8856</v>
      </c>
      <c r="I1888">
        <v>258.302952</v>
      </c>
    </row>
    <row r="1889" spans="2:9">
      <c r="B1889" s="545">
        <v>5</v>
      </c>
      <c r="C1889" s="545" t="str">
        <f>VLOOKUP(D1889,기본!$B$3:$C$90,2,0)</f>
        <v>코웨이</v>
      </c>
      <c r="D1889" t="s">
        <v>2004</v>
      </c>
      <c r="E1889" t="s">
        <v>1028</v>
      </c>
      <c r="F1889" t="s">
        <v>1028</v>
      </c>
      <c r="G1889" t="e">
        <f>VLOOKUP(E1889,기본!$F$3:$G$320,2,0)</f>
        <v>#N/A</v>
      </c>
      <c r="H1889" s="544">
        <v>3130</v>
      </c>
      <c r="I1889">
        <v>17.024069999999998</v>
      </c>
    </row>
    <row r="1890" spans="2:9">
      <c r="B1890" s="545">
        <v>5</v>
      </c>
      <c r="C1890" s="545" t="str">
        <f>VLOOKUP(D1890,기본!$B$3:$C$90,2,0)</f>
        <v>코웨이</v>
      </c>
      <c r="D1890" t="s">
        <v>2004</v>
      </c>
      <c r="E1890" t="s">
        <v>1029</v>
      </c>
      <c r="F1890" t="s">
        <v>1029</v>
      </c>
      <c r="G1890" t="e">
        <f>VLOOKUP(E1890,기본!$F$3:$G$320,2,0)</f>
        <v>#N/A</v>
      </c>
      <c r="H1890" s="544">
        <v>3426</v>
      </c>
      <c r="I1890">
        <v>5.3582640000000001</v>
      </c>
    </row>
    <row r="1891" spans="2:9">
      <c r="B1891" s="545">
        <v>5</v>
      </c>
      <c r="C1891" s="545" t="str">
        <f>VLOOKUP(D1891,기본!$B$3:$C$90,2,0)</f>
        <v>한화비전</v>
      </c>
      <c r="D1891" t="s">
        <v>1949</v>
      </c>
      <c r="E1891" t="s">
        <v>2483</v>
      </c>
      <c r="F1891" t="s">
        <v>2484</v>
      </c>
      <c r="G1891" t="e">
        <f>VLOOKUP(E1891,기본!$F$3:$G$320,2,0)</f>
        <v>#N/A</v>
      </c>
      <c r="H1891" s="544">
        <v>756</v>
      </c>
      <c r="I1891">
        <v>19.188436679999999</v>
      </c>
    </row>
    <row r="1892" spans="2:9">
      <c r="C1892" s="545" t="e">
        <f>VLOOKUP(D1892,기본!$B$3:$C$90,2,0)</f>
        <v>#N/A</v>
      </c>
      <c r="G1892" t="e">
        <f>VLOOKUP(E1892,기본!$F$3:$G$320,2,0)</f>
        <v>#N/A</v>
      </c>
      <c r="I1892" s="554"/>
    </row>
    <row r="1893" spans="2:9">
      <c r="C1893" s="545" t="e">
        <f>VLOOKUP(D1893,기본!$B$3:$C$90,2,0)</f>
        <v>#N/A</v>
      </c>
      <c r="G1893" t="e">
        <f>VLOOKUP(E1893,기본!$F$3:$G$320,2,0)</f>
        <v>#N/A</v>
      </c>
      <c r="I1893" s="554"/>
    </row>
    <row r="1894" spans="2:9">
      <c r="C1894" s="545" t="e">
        <f>VLOOKUP(D1894,기본!$B$3:$C$90,2,0)</f>
        <v>#N/A</v>
      </c>
      <c r="G1894" t="e">
        <f>VLOOKUP(E1894,기본!$F$3:$G$320,2,0)</f>
        <v>#N/A</v>
      </c>
      <c r="I1894" s="554"/>
    </row>
    <row r="1895" spans="2:9">
      <c r="C1895" s="545" t="e">
        <f>VLOOKUP(D1895,기본!$B$3:$C$90,2,0)</f>
        <v>#N/A</v>
      </c>
      <c r="G1895" t="e">
        <f>VLOOKUP(E1895,기본!$F$3:$G$320,2,0)</f>
        <v>#N/A</v>
      </c>
      <c r="I1895" s="554"/>
    </row>
    <row r="1896" spans="2:9">
      <c r="C1896" s="545" t="e">
        <f>VLOOKUP(D1896,기본!$B$3:$C$90,2,0)</f>
        <v>#N/A</v>
      </c>
      <c r="G1896" t="e">
        <f>VLOOKUP(E1896,기본!$F$3:$G$320,2,0)</f>
        <v>#N/A</v>
      </c>
      <c r="I1896" s="554"/>
    </row>
    <row r="1897" spans="2:9">
      <c r="C1897" s="545" t="e">
        <f>VLOOKUP(D1897,기본!$B$3:$C$90,2,0)</f>
        <v>#N/A</v>
      </c>
      <c r="G1897" t="e">
        <f>VLOOKUP(E1897,기본!$F$3:$G$320,2,0)</f>
        <v>#N/A</v>
      </c>
      <c r="I1897" s="554"/>
    </row>
    <row r="1898" spans="2:9">
      <c r="C1898" s="545" t="e">
        <f>VLOOKUP(D1898,기본!$B$3:$C$90,2,0)</f>
        <v>#N/A</v>
      </c>
      <c r="G1898" t="e">
        <f>VLOOKUP(E1898,기본!$F$3:$G$320,2,0)</f>
        <v>#N/A</v>
      </c>
      <c r="I1898" s="554"/>
    </row>
    <row r="1899" spans="2:9">
      <c r="C1899" s="545" t="e">
        <f>VLOOKUP(D1899,기본!$B$3:$C$90,2,0)</f>
        <v>#N/A</v>
      </c>
      <c r="G1899" t="e">
        <f>VLOOKUP(E1899,기본!$F$3:$G$320,2,0)</f>
        <v>#N/A</v>
      </c>
      <c r="I1899" s="554"/>
    </row>
    <row r="1900" spans="2:9">
      <c r="C1900" s="545" t="e">
        <f>VLOOKUP(D1900,기본!$B$3:$C$90,2,0)</f>
        <v>#N/A</v>
      </c>
      <c r="G1900" t="e">
        <f>VLOOKUP(E1900,기본!$F$3:$G$320,2,0)</f>
        <v>#N/A</v>
      </c>
      <c r="I1900" s="554"/>
    </row>
    <row r="1901" spans="2:9">
      <c r="C1901" s="545" t="e">
        <f>VLOOKUP(D1901,기본!$B$3:$C$90,2,0)</f>
        <v>#N/A</v>
      </c>
      <c r="G1901" t="e">
        <f>VLOOKUP(E1901,기본!$F$3:$G$320,2,0)</f>
        <v>#N/A</v>
      </c>
      <c r="I1901" s="554"/>
    </row>
    <row r="1902" spans="2:9">
      <c r="C1902" s="545" t="e">
        <f>VLOOKUP(D1902,기본!$B$3:$C$90,2,0)</f>
        <v>#N/A</v>
      </c>
      <c r="G1902" t="e">
        <f>VLOOKUP(E1902,기본!$F$3:$G$320,2,0)</f>
        <v>#N/A</v>
      </c>
      <c r="I1902" s="554"/>
    </row>
    <row r="1903" spans="2:9">
      <c r="C1903" s="545" t="e">
        <f>VLOOKUP(D1903,기본!$B$3:$C$90,2,0)</f>
        <v>#N/A</v>
      </c>
      <c r="G1903" t="e">
        <f>VLOOKUP(E1903,기본!$F$3:$G$320,2,0)</f>
        <v>#N/A</v>
      </c>
      <c r="I1903" s="554"/>
    </row>
    <row r="1904" spans="2:9">
      <c r="C1904" s="545" t="e">
        <f>VLOOKUP(D1904,기본!$B$3:$C$90,2,0)</f>
        <v>#N/A</v>
      </c>
      <c r="G1904" t="e">
        <f>VLOOKUP(E1904,기본!$F$3:$G$320,2,0)</f>
        <v>#N/A</v>
      </c>
      <c r="I1904" s="554"/>
    </row>
    <row r="1905" spans="3:9">
      <c r="C1905" s="545" t="e">
        <f>VLOOKUP(D1905,기본!$B$3:$C$90,2,0)</f>
        <v>#N/A</v>
      </c>
      <c r="G1905" t="e">
        <f>VLOOKUP(E1905,기본!$F$3:$G$320,2,0)</f>
        <v>#N/A</v>
      </c>
      <c r="I1905" s="554"/>
    </row>
    <row r="1906" spans="3:9">
      <c r="C1906" s="545" t="e">
        <f>VLOOKUP(D1906,기본!$B$3:$C$90,2,0)</f>
        <v>#N/A</v>
      </c>
      <c r="G1906" t="e">
        <f>VLOOKUP(E1906,기본!$F$3:$G$320,2,0)</f>
        <v>#N/A</v>
      </c>
      <c r="I1906" s="554"/>
    </row>
    <row r="1907" spans="3:9">
      <c r="C1907" s="545" t="e">
        <f>VLOOKUP(D1907,기본!$B$3:$C$90,2,0)</f>
        <v>#N/A</v>
      </c>
      <c r="G1907" t="e">
        <f>VLOOKUP(E1907,기본!$F$3:$G$320,2,0)</f>
        <v>#N/A</v>
      </c>
      <c r="I1907" s="554"/>
    </row>
    <row r="1908" spans="3:9">
      <c r="C1908" s="545" t="e">
        <f>VLOOKUP(D1908,기본!$B$3:$C$90,2,0)</f>
        <v>#N/A</v>
      </c>
      <c r="G1908" t="e">
        <f>VLOOKUP(E1908,기본!$F$3:$G$320,2,0)</f>
        <v>#N/A</v>
      </c>
      <c r="I1908" s="554"/>
    </row>
    <row r="1909" spans="3:9">
      <c r="C1909" s="545" t="e">
        <f>VLOOKUP(D1909,기본!$B$3:$C$90,2,0)</f>
        <v>#N/A</v>
      </c>
      <c r="G1909" t="e">
        <f>VLOOKUP(E1909,기본!$F$3:$G$320,2,0)</f>
        <v>#N/A</v>
      </c>
      <c r="I1909" s="554"/>
    </row>
    <row r="1910" spans="3:9">
      <c r="C1910" s="545" t="e">
        <f>VLOOKUP(D1910,기본!$B$3:$C$90,2,0)</f>
        <v>#N/A</v>
      </c>
      <c r="G1910" t="e">
        <f>VLOOKUP(E1910,기본!$F$3:$G$320,2,0)</f>
        <v>#N/A</v>
      </c>
      <c r="I1910" s="554"/>
    </row>
    <row r="1911" spans="3:9">
      <c r="C1911" s="545" t="e">
        <f>VLOOKUP(D1911,기본!$B$3:$C$90,2,0)</f>
        <v>#N/A</v>
      </c>
      <c r="G1911" t="e">
        <f>VLOOKUP(E1911,기본!$F$3:$G$320,2,0)</f>
        <v>#N/A</v>
      </c>
      <c r="I1911" s="554"/>
    </row>
    <row r="1912" spans="3:9">
      <c r="C1912" s="545" t="e">
        <f>VLOOKUP(D1912,기본!$B$3:$C$90,2,0)</f>
        <v>#N/A</v>
      </c>
      <c r="G1912" t="e">
        <f>VLOOKUP(E1912,기본!$F$3:$G$320,2,0)</f>
        <v>#N/A</v>
      </c>
      <c r="I1912" s="554"/>
    </row>
    <row r="1913" spans="3:9">
      <c r="C1913" s="545" t="e">
        <f>VLOOKUP(D1913,기본!$B$3:$C$90,2,0)</f>
        <v>#N/A</v>
      </c>
      <c r="G1913" t="e">
        <f>VLOOKUP(E1913,기본!$F$3:$G$320,2,0)</f>
        <v>#N/A</v>
      </c>
      <c r="I1913" s="554"/>
    </row>
    <row r="1914" spans="3:9">
      <c r="C1914" s="545" t="e">
        <f>VLOOKUP(D1914,기본!$B$3:$C$90,2,0)</f>
        <v>#N/A</v>
      </c>
      <c r="G1914" t="e">
        <f>VLOOKUP(E1914,기본!$F$3:$G$320,2,0)</f>
        <v>#N/A</v>
      </c>
      <c r="I1914" s="554"/>
    </row>
    <row r="1915" spans="3:9">
      <c r="C1915" s="545" t="e">
        <f>VLOOKUP(D1915,기본!$B$3:$C$90,2,0)</f>
        <v>#N/A</v>
      </c>
      <c r="G1915" t="e">
        <f>VLOOKUP(E1915,기본!$F$3:$G$320,2,0)</f>
        <v>#N/A</v>
      </c>
      <c r="I1915" s="554"/>
    </row>
    <row r="1916" spans="3:9">
      <c r="C1916" s="545" t="e">
        <f>VLOOKUP(D1916,기본!$B$3:$C$90,2,0)</f>
        <v>#N/A</v>
      </c>
      <c r="G1916" t="e">
        <f>VLOOKUP(E1916,기본!$F$3:$G$320,2,0)</f>
        <v>#N/A</v>
      </c>
      <c r="I1916" s="554"/>
    </row>
    <row r="1917" spans="3:9">
      <c r="C1917" s="545" t="e">
        <f>VLOOKUP(D1917,기본!$B$3:$C$90,2,0)</f>
        <v>#N/A</v>
      </c>
      <c r="G1917" t="e">
        <f>VLOOKUP(E1917,기본!$F$3:$G$320,2,0)</f>
        <v>#N/A</v>
      </c>
      <c r="I1917" s="554"/>
    </row>
    <row r="1918" spans="3:9">
      <c r="C1918" s="545" t="e">
        <f>VLOOKUP(D1918,기본!$B$3:$C$90,2,0)</f>
        <v>#N/A</v>
      </c>
      <c r="G1918" t="e">
        <f>VLOOKUP(E1918,기본!$F$3:$G$320,2,0)</f>
        <v>#N/A</v>
      </c>
      <c r="I1918" s="554"/>
    </row>
    <row r="1919" spans="3:9">
      <c r="C1919" s="545" t="e">
        <f>VLOOKUP(D1919,기본!$B$3:$C$90,2,0)</f>
        <v>#N/A</v>
      </c>
      <c r="G1919" t="e">
        <f>VLOOKUP(E1919,기본!$F$3:$G$320,2,0)</f>
        <v>#N/A</v>
      </c>
      <c r="I1919" s="554"/>
    </row>
    <row r="1920" spans="3:9">
      <c r="C1920" s="545" t="e">
        <f>VLOOKUP(D1920,기본!$B$3:$C$90,2,0)</f>
        <v>#N/A</v>
      </c>
      <c r="G1920" t="e">
        <f>VLOOKUP(E1920,기본!$F$3:$G$320,2,0)</f>
        <v>#N/A</v>
      </c>
      <c r="I1920" s="554"/>
    </row>
    <row r="1921" spans="3:9">
      <c r="C1921" s="545" t="e">
        <f>VLOOKUP(D1921,기본!$B$3:$C$90,2,0)</f>
        <v>#N/A</v>
      </c>
      <c r="G1921" t="e">
        <f>VLOOKUP(E1921,기본!$F$3:$G$320,2,0)</f>
        <v>#N/A</v>
      </c>
      <c r="I1921" s="554"/>
    </row>
    <row r="1922" spans="3:9">
      <c r="C1922" s="545" t="e">
        <f>VLOOKUP(D1922,기본!$B$3:$C$90,2,0)</f>
        <v>#N/A</v>
      </c>
      <c r="G1922" t="e">
        <f>VLOOKUP(E1922,기본!$F$3:$G$320,2,0)</f>
        <v>#N/A</v>
      </c>
      <c r="I1922" s="554"/>
    </row>
    <row r="1923" spans="3:9">
      <c r="C1923" s="545" t="e">
        <f>VLOOKUP(D1923,기본!$B$3:$C$90,2,0)</f>
        <v>#N/A</v>
      </c>
      <c r="G1923" t="e">
        <f>VLOOKUP(E1923,기본!$F$3:$G$320,2,0)</f>
        <v>#N/A</v>
      </c>
      <c r="I1923" s="554"/>
    </row>
    <row r="1924" spans="3:9">
      <c r="C1924" s="545" t="e">
        <f>VLOOKUP(D1924,기본!$B$3:$C$90,2,0)</f>
        <v>#N/A</v>
      </c>
      <c r="G1924" t="e">
        <f>VLOOKUP(E1924,기본!$F$3:$G$320,2,0)</f>
        <v>#N/A</v>
      </c>
      <c r="I1924" s="554"/>
    </row>
    <row r="1925" spans="3:9">
      <c r="C1925" s="545" t="e">
        <f>VLOOKUP(D1925,기본!$B$3:$C$90,2,0)</f>
        <v>#N/A</v>
      </c>
      <c r="G1925" t="e">
        <f>VLOOKUP(E1925,기본!$F$3:$G$320,2,0)</f>
        <v>#N/A</v>
      </c>
      <c r="I1925" s="554"/>
    </row>
    <row r="1926" spans="3:9">
      <c r="C1926" s="545" t="e">
        <f>VLOOKUP(D1926,기본!$B$3:$C$90,2,0)</f>
        <v>#N/A</v>
      </c>
      <c r="G1926" t="e">
        <f>VLOOKUP(E1926,기본!$F$3:$G$320,2,0)</f>
        <v>#N/A</v>
      </c>
      <c r="I1926" s="554"/>
    </row>
    <row r="1927" spans="3:9">
      <c r="C1927" s="545" t="e">
        <f>VLOOKUP(D1927,기본!$B$3:$C$90,2,0)</f>
        <v>#N/A</v>
      </c>
      <c r="G1927" t="e">
        <f>VLOOKUP(E1927,기본!$F$3:$G$320,2,0)</f>
        <v>#N/A</v>
      </c>
      <c r="I1927" s="554"/>
    </row>
    <row r="1928" spans="3:9">
      <c r="C1928" s="545" t="e">
        <f>VLOOKUP(D1928,기본!$B$3:$C$90,2,0)</f>
        <v>#N/A</v>
      </c>
      <c r="G1928" t="e">
        <f>VLOOKUP(E1928,기본!$F$3:$G$320,2,0)</f>
        <v>#N/A</v>
      </c>
      <c r="I1928" s="554"/>
    </row>
    <row r="1929" spans="3:9">
      <c r="C1929" s="545" t="e">
        <f>VLOOKUP(D1929,기본!$B$3:$C$90,2,0)</f>
        <v>#N/A</v>
      </c>
      <c r="G1929" t="e">
        <f>VLOOKUP(E1929,기본!$F$3:$G$320,2,0)</f>
        <v>#N/A</v>
      </c>
      <c r="I1929" s="554"/>
    </row>
    <row r="1930" spans="3:9">
      <c r="C1930" s="545" t="e">
        <f>VLOOKUP(D1930,기본!$B$3:$C$90,2,0)</f>
        <v>#N/A</v>
      </c>
      <c r="G1930" t="e">
        <f>VLOOKUP(E1930,기본!$F$3:$G$320,2,0)</f>
        <v>#N/A</v>
      </c>
      <c r="I1930" s="554"/>
    </row>
    <row r="1931" spans="3:9">
      <c r="C1931" s="545" t="e">
        <f>VLOOKUP(D1931,기본!$B$3:$C$90,2,0)</f>
        <v>#N/A</v>
      </c>
      <c r="G1931" t="e">
        <f>VLOOKUP(E1931,기본!$F$3:$G$320,2,0)</f>
        <v>#N/A</v>
      </c>
      <c r="I1931" s="554"/>
    </row>
    <row r="1932" spans="3:9">
      <c r="C1932" s="545" t="e">
        <f>VLOOKUP(D1932,기본!$B$3:$C$90,2,0)</f>
        <v>#N/A</v>
      </c>
      <c r="G1932" t="e">
        <f>VLOOKUP(E1932,기본!$F$3:$G$320,2,0)</f>
        <v>#N/A</v>
      </c>
      <c r="I1932" s="554"/>
    </row>
    <row r="1933" spans="3:9">
      <c r="C1933" s="545" t="e">
        <f>VLOOKUP(D1933,기본!$B$3:$C$90,2,0)</f>
        <v>#N/A</v>
      </c>
      <c r="G1933" t="e">
        <f>VLOOKUP(E1933,기본!$F$3:$G$320,2,0)</f>
        <v>#N/A</v>
      </c>
      <c r="I1933" s="554"/>
    </row>
    <row r="1934" spans="3:9">
      <c r="C1934" s="545" t="e">
        <f>VLOOKUP(D1934,기본!$B$3:$C$90,2,0)</f>
        <v>#N/A</v>
      </c>
      <c r="G1934" t="e">
        <f>VLOOKUP(E1934,기본!$F$3:$G$320,2,0)</f>
        <v>#N/A</v>
      </c>
      <c r="I1934" s="554"/>
    </row>
    <row r="1935" spans="3:9">
      <c r="C1935" s="545" t="e">
        <f>VLOOKUP(D1935,기본!$B$3:$C$90,2,0)</f>
        <v>#N/A</v>
      </c>
      <c r="G1935" t="e">
        <f>VLOOKUP(E1935,기본!$F$3:$G$320,2,0)</f>
        <v>#N/A</v>
      </c>
      <c r="I1935" s="554"/>
    </row>
    <row r="1936" spans="3:9">
      <c r="C1936" s="545" t="e">
        <f>VLOOKUP(D1936,기본!$B$3:$C$90,2,0)</f>
        <v>#N/A</v>
      </c>
      <c r="G1936" t="e">
        <f>VLOOKUP(E1936,기본!$F$3:$G$320,2,0)</f>
        <v>#N/A</v>
      </c>
      <c r="I1936" s="554"/>
    </row>
    <row r="1937" spans="3:9">
      <c r="C1937" s="545" t="e">
        <f>VLOOKUP(D1937,기본!$B$3:$C$90,2,0)</f>
        <v>#N/A</v>
      </c>
      <c r="G1937" t="e">
        <f>VLOOKUP(E1937,기본!$F$3:$G$320,2,0)</f>
        <v>#N/A</v>
      </c>
      <c r="I1937" s="554"/>
    </row>
    <row r="1938" spans="3:9">
      <c r="C1938" s="545" t="e">
        <f>VLOOKUP(D1938,기본!$B$3:$C$90,2,0)</f>
        <v>#N/A</v>
      </c>
      <c r="G1938" t="e">
        <f>VLOOKUP(E1938,기본!$F$3:$G$320,2,0)</f>
        <v>#N/A</v>
      </c>
      <c r="I1938" s="554"/>
    </row>
    <row r="1939" spans="3:9">
      <c r="C1939" s="545" t="e">
        <f>VLOOKUP(D1939,기본!$B$3:$C$90,2,0)</f>
        <v>#N/A</v>
      </c>
      <c r="G1939" t="e">
        <f>VLOOKUP(E1939,기본!$F$3:$G$320,2,0)</f>
        <v>#N/A</v>
      </c>
      <c r="I1939" s="554"/>
    </row>
    <row r="1940" spans="3:9">
      <c r="C1940" s="545" t="e">
        <f>VLOOKUP(D1940,기본!$B$3:$C$90,2,0)</f>
        <v>#N/A</v>
      </c>
      <c r="G1940" t="e">
        <f>VLOOKUP(E1940,기본!$F$3:$G$320,2,0)</f>
        <v>#N/A</v>
      </c>
      <c r="I1940" s="554"/>
    </row>
    <row r="1941" spans="3:9">
      <c r="C1941" s="545" t="e">
        <f>VLOOKUP(D1941,기본!$B$3:$C$90,2,0)</f>
        <v>#N/A</v>
      </c>
      <c r="G1941" t="e">
        <f>VLOOKUP(E1941,기본!$F$3:$G$320,2,0)</f>
        <v>#N/A</v>
      </c>
      <c r="I1941" s="554"/>
    </row>
    <row r="1942" spans="3:9">
      <c r="C1942" s="545" t="e">
        <f>VLOOKUP(D1942,기본!$B$3:$C$90,2,0)</f>
        <v>#N/A</v>
      </c>
      <c r="G1942" t="e">
        <f>VLOOKUP(E1942,기본!$F$3:$G$320,2,0)</f>
        <v>#N/A</v>
      </c>
      <c r="I1942" s="554"/>
    </row>
    <row r="1943" spans="3:9">
      <c r="C1943" s="545" t="e">
        <f>VLOOKUP(D1943,기본!$B$3:$C$90,2,0)</f>
        <v>#N/A</v>
      </c>
      <c r="G1943" t="e">
        <f>VLOOKUP(E1943,기본!$F$3:$G$320,2,0)</f>
        <v>#N/A</v>
      </c>
      <c r="I1943" s="554"/>
    </row>
    <row r="1944" spans="3:9">
      <c r="C1944" s="545" t="e">
        <f>VLOOKUP(D1944,기본!$B$3:$C$90,2,0)</f>
        <v>#N/A</v>
      </c>
      <c r="G1944" t="e">
        <f>VLOOKUP(E1944,기본!$F$3:$G$320,2,0)</f>
        <v>#N/A</v>
      </c>
      <c r="I1944" s="554"/>
    </row>
    <row r="1945" spans="3:9">
      <c r="C1945" s="545" t="e">
        <f>VLOOKUP(D1945,기본!$B$3:$C$90,2,0)</f>
        <v>#N/A</v>
      </c>
      <c r="G1945" t="e">
        <f>VLOOKUP(E1945,기본!$F$3:$G$320,2,0)</f>
        <v>#N/A</v>
      </c>
      <c r="I1945" s="554"/>
    </row>
    <row r="1946" spans="3:9">
      <c r="C1946" s="545" t="e">
        <f>VLOOKUP(D1946,기본!$B$3:$C$90,2,0)</f>
        <v>#N/A</v>
      </c>
      <c r="G1946" t="e">
        <f>VLOOKUP(E1946,기본!$F$3:$G$320,2,0)</f>
        <v>#N/A</v>
      </c>
      <c r="I1946" s="554"/>
    </row>
    <row r="1947" spans="3:9">
      <c r="C1947" s="545" t="e">
        <f>VLOOKUP(D1947,기본!$B$3:$C$90,2,0)</f>
        <v>#N/A</v>
      </c>
      <c r="G1947" t="e">
        <f>VLOOKUP(E1947,기본!$F$3:$G$320,2,0)</f>
        <v>#N/A</v>
      </c>
      <c r="I1947" s="554"/>
    </row>
    <row r="1948" spans="3:9">
      <c r="C1948" s="545" t="e">
        <f>VLOOKUP(D1948,기본!$B$3:$C$90,2,0)</f>
        <v>#N/A</v>
      </c>
      <c r="G1948" t="e">
        <f>VLOOKUP(E1948,기본!$F$3:$G$320,2,0)</f>
        <v>#N/A</v>
      </c>
      <c r="I1948" s="554"/>
    </row>
    <row r="1949" spans="3:9">
      <c r="C1949" s="545" t="e">
        <f>VLOOKUP(D1949,기본!$B$3:$C$90,2,0)</f>
        <v>#N/A</v>
      </c>
      <c r="G1949" t="e">
        <f>VLOOKUP(E1949,기본!$F$3:$G$320,2,0)</f>
        <v>#N/A</v>
      </c>
      <c r="I1949" s="554"/>
    </row>
    <row r="1950" spans="3:9">
      <c r="C1950" s="545" t="e">
        <f>VLOOKUP(D1950,기본!$B$3:$C$90,2,0)</f>
        <v>#N/A</v>
      </c>
      <c r="G1950" t="e">
        <f>VLOOKUP(E1950,기본!$F$3:$G$320,2,0)</f>
        <v>#N/A</v>
      </c>
      <c r="I1950" s="554"/>
    </row>
    <row r="1951" spans="3:9">
      <c r="C1951" s="545" t="e">
        <f>VLOOKUP(D1951,기본!$B$3:$C$90,2,0)</f>
        <v>#N/A</v>
      </c>
      <c r="G1951" t="e">
        <f>VLOOKUP(E1951,기본!$F$3:$G$320,2,0)</f>
        <v>#N/A</v>
      </c>
      <c r="I1951" s="554"/>
    </row>
    <row r="1952" spans="3:9">
      <c r="C1952" s="545" t="e">
        <f>VLOOKUP(D1952,기본!$B$3:$C$90,2,0)</f>
        <v>#N/A</v>
      </c>
      <c r="G1952" t="e">
        <f>VLOOKUP(E1952,기본!$F$3:$G$320,2,0)</f>
        <v>#N/A</v>
      </c>
      <c r="I1952" s="554"/>
    </row>
    <row r="1953" spans="3:9">
      <c r="C1953" s="545" t="e">
        <f>VLOOKUP(D1953,기본!$B$3:$C$90,2,0)</f>
        <v>#N/A</v>
      </c>
      <c r="G1953" t="e">
        <f>VLOOKUP(E1953,기본!$F$3:$G$320,2,0)</f>
        <v>#N/A</v>
      </c>
      <c r="I1953" s="554"/>
    </row>
    <row r="1954" spans="3:9">
      <c r="C1954" s="545" t="e">
        <f>VLOOKUP(D1954,기본!$B$3:$C$90,2,0)</f>
        <v>#N/A</v>
      </c>
      <c r="G1954" t="e">
        <f>VLOOKUP(E1954,기본!$F$3:$G$320,2,0)</f>
        <v>#N/A</v>
      </c>
      <c r="I1954" s="554"/>
    </row>
    <row r="1955" spans="3:9">
      <c r="C1955" s="545" t="e">
        <f>VLOOKUP(D1955,기본!$B$3:$C$90,2,0)</f>
        <v>#N/A</v>
      </c>
      <c r="G1955" t="e">
        <f>VLOOKUP(E1955,기본!$F$3:$G$320,2,0)</f>
        <v>#N/A</v>
      </c>
      <c r="I1955" s="554"/>
    </row>
    <row r="1956" spans="3:9">
      <c r="C1956" s="545" t="e">
        <f>VLOOKUP(D1956,기본!$B$3:$C$90,2,0)</f>
        <v>#N/A</v>
      </c>
      <c r="G1956" t="e">
        <f>VLOOKUP(E1956,기본!$F$3:$G$320,2,0)</f>
        <v>#N/A</v>
      </c>
      <c r="I1956" s="554"/>
    </row>
    <row r="1957" spans="3:9">
      <c r="C1957" s="545" t="e">
        <f>VLOOKUP(D1957,기본!$B$3:$C$90,2,0)</f>
        <v>#N/A</v>
      </c>
      <c r="G1957" t="e">
        <f>VLOOKUP(E1957,기본!$F$3:$G$320,2,0)</f>
        <v>#N/A</v>
      </c>
      <c r="I1957" s="554"/>
    </row>
    <row r="1958" spans="3:9">
      <c r="C1958" s="545" t="e">
        <f>VLOOKUP(D1958,기본!$B$3:$C$90,2,0)</f>
        <v>#N/A</v>
      </c>
      <c r="G1958" t="e">
        <f>VLOOKUP(E1958,기본!$F$3:$G$320,2,0)</f>
        <v>#N/A</v>
      </c>
      <c r="I1958" s="554"/>
    </row>
    <row r="1959" spans="3:9">
      <c r="C1959" s="545" t="e">
        <f>VLOOKUP(D1959,기본!$B$3:$C$90,2,0)</f>
        <v>#N/A</v>
      </c>
      <c r="G1959" t="e">
        <f>VLOOKUP(E1959,기본!$F$3:$G$320,2,0)</f>
        <v>#N/A</v>
      </c>
      <c r="I1959" s="554"/>
    </row>
    <row r="1960" spans="3:9">
      <c r="C1960" s="545" t="e">
        <f>VLOOKUP(D1960,기본!$B$3:$C$90,2,0)</f>
        <v>#N/A</v>
      </c>
      <c r="G1960" t="e">
        <f>VLOOKUP(E1960,기본!$F$3:$G$320,2,0)</f>
        <v>#N/A</v>
      </c>
      <c r="I1960" s="554"/>
    </row>
    <row r="1961" spans="3:9">
      <c r="C1961" s="545" t="e">
        <f>VLOOKUP(D1961,기본!$B$3:$C$90,2,0)</f>
        <v>#N/A</v>
      </c>
      <c r="G1961" t="e">
        <f>VLOOKUP(E1961,기본!$F$3:$G$320,2,0)</f>
        <v>#N/A</v>
      </c>
      <c r="I1961" s="554"/>
    </row>
    <row r="1962" spans="3:9">
      <c r="C1962" s="545" t="e">
        <f>VLOOKUP(D1962,기본!$B$3:$C$90,2,0)</f>
        <v>#N/A</v>
      </c>
      <c r="G1962" t="e">
        <f>VLOOKUP(E1962,기본!$F$3:$G$320,2,0)</f>
        <v>#N/A</v>
      </c>
      <c r="I1962" s="554"/>
    </row>
    <row r="1963" spans="3:9">
      <c r="C1963" s="545" t="e">
        <f>VLOOKUP(D1963,기본!$B$3:$C$90,2,0)</f>
        <v>#N/A</v>
      </c>
      <c r="G1963" t="e">
        <f>VLOOKUP(E1963,기본!$F$3:$G$320,2,0)</f>
        <v>#N/A</v>
      </c>
      <c r="I1963" s="554"/>
    </row>
    <row r="1964" spans="3:9">
      <c r="C1964" s="545" t="e">
        <f>VLOOKUP(D1964,기본!$B$3:$C$90,2,0)</f>
        <v>#N/A</v>
      </c>
      <c r="G1964" t="e">
        <f>VLOOKUP(E1964,기본!$F$3:$G$320,2,0)</f>
        <v>#N/A</v>
      </c>
      <c r="I1964" s="554"/>
    </row>
    <row r="1965" spans="3:9">
      <c r="C1965" s="545" t="e">
        <f>VLOOKUP(D1965,기본!$B$3:$C$90,2,0)</f>
        <v>#N/A</v>
      </c>
      <c r="G1965" t="e">
        <f>VLOOKUP(E1965,기본!$F$3:$G$320,2,0)</f>
        <v>#N/A</v>
      </c>
      <c r="I1965" s="554"/>
    </row>
    <row r="1966" spans="3:9">
      <c r="C1966" s="545" t="e">
        <f>VLOOKUP(D1966,기본!$B$3:$C$90,2,0)</f>
        <v>#N/A</v>
      </c>
      <c r="G1966" t="e">
        <f>VLOOKUP(E1966,기본!$F$3:$G$320,2,0)</f>
        <v>#N/A</v>
      </c>
      <c r="I1966" s="554"/>
    </row>
    <row r="1967" spans="3:9">
      <c r="C1967" s="545" t="e">
        <f>VLOOKUP(D1967,기본!$B$3:$C$90,2,0)</f>
        <v>#N/A</v>
      </c>
      <c r="G1967" t="e">
        <f>VLOOKUP(E1967,기본!$F$3:$G$320,2,0)</f>
        <v>#N/A</v>
      </c>
      <c r="I1967" s="554"/>
    </row>
    <row r="1968" spans="3:9">
      <c r="C1968" s="545" t="e">
        <f>VLOOKUP(D1968,기본!$B$3:$C$90,2,0)</f>
        <v>#N/A</v>
      </c>
      <c r="G1968" t="e">
        <f>VLOOKUP(E1968,기본!$F$3:$G$320,2,0)</f>
        <v>#N/A</v>
      </c>
      <c r="I1968" s="554"/>
    </row>
    <row r="1969" spans="3:9">
      <c r="C1969" s="545" t="e">
        <f>VLOOKUP(D1969,기본!$B$3:$C$90,2,0)</f>
        <v>#N/A</v>
      </c>
      <c r="G1969" t="e">
        <f>VLOOKUP(E1969,기본!$F$3:$G$320,2,0)</f>
        <v>#N/A</v>
      </c>
      <c r="I1969" s="554"/>
    </row>
    <row r="1970" spans="3:9">
      <c r="C1970" s="545" t="e">
        <f>VLOOKUP(D1970,기본!$B$3:$C$90,2,0)</f>
        <v>#N/A</v>
      </c>
      <c r="G1970" t="e">
        <f>VLOOKUP(E1970,기본!$F$3:$G$320,2,0)</f>
        <v>#N/A</v>
      </c>
      <c r="I1970" s="554"/>
    </row>
    <row r="1971" spans="3:9">
      <c r="C1971" s="545" t="e">
        <f>VLOOKUP(D1971,기본!$B$3:$C$90,2,0)</f>
        <v>#N/A</v>
      </c>
      <c r="G1971" t="e">
        <f>VLOOKUP(E1971,기본!$F$3:$G$320,2,0)</f>
        <v>#N/A</v>
      </c>
      <c r="H1971" s="544"/>
    </row>
    <row r="1972" spans="3:9">
      <c r="C1972" s="545" t="e">
        <f>VLOOKUP(D1972,기본!$B$3:$C$90,2,0)</f>
        <v>#N/A</v>
      </c>
      <c r="G1972" t="e">
        <f>VLOOKUP(E1972,기본!$F$3:$G$320,2,0)</f>
        <v>#N/A</v>
      </c>
      <c r="H1972" s="544"/>
    </row>
    <row r="1973" spans="3:9">
      <c r="C1973" s="545" t="e">
        <f>VLOOKUP(D1973,기본!$B$3:$C$90,2,0)</f>
        <v>#N/A</v>
      </c>
      <c r="G1973" t="e">
        <f>VLOOKUP(E1973,기본!$F$3:$G$320,2,0)</f>
        <v>#N/A</v>
      </c>
      <c r="H1973" s="544"/>
    </row>
    <row r="1974" spans="3:9">
      <c r="C1974" s="545" t="e">
        <f>VLOOKUP(D1974,기본!$B$3:$C$90,2,0)</f>
        <v>#N/A</v>
      </c>
      <c r="G1974" t="e">
        <f>VLOOKUP(E1974,기본!$F$3:$G$320,2,0)</f>
        <v>#N/A</v>
      </c>
      <c r="H1974" s="544"/>
    </row>
    <row r="1975" spans="3:9">
      <c r="C1975" s="545" t="e">
        <f>VLOOKUP(D1975,기본!$B$3:$C$90,2,0)</f>
        <v>#N/A</v>
      </c>
      <c r="G1975" t="e">
        <f>VLOOKUP(E1975,기본!$F$3:$G$320,2,0)</f>
        <v>#N/A</v>
      </c>
      <c r="H1975" s="544"/>
    </row>
    <row r="1976" spans="3:9">
      <c r="C1976" s="545" t="e">
        <f>VLOOKUP(D1976,기본!$B$3:$C$90,2,0)</f>
        <v>#N/A</v>
      </c>
      <c r="G1976" t="e">
        <f>VLOOKUP(E1976,기본!$F$3:$G$320,2,0)</f>
        <v>#N/A</v>
      </c>
      <c r="H1976" s="544"/>
    </row>
    <row r="1977" spans="3:9">
      <c r="C1977" s="545" t="e">
        <f>VLOOKUP(D1977,기본!$B$3:$C$90,2,0)</f>
        <v>#N/A</v>
      </c>
      <c r="G1977" t="e">
        <f>VLOOKUP(E1977,기본!$F$3:$G$320,2,0)</f>
        <v>#N/A</v>
      </c>
      <c r="H1977" s="544"/>
    </row>
    <row r="1978" spans="3:9">
      <c r="C1978" s="545" t="e">
        <f>VLOOKUP(D1978,기본!$B$3:$C$90,2,0)</f>
        <v>#N/A</v>
      </c>
      <c r="G1978" t="e">
        <f>VLOOKUP(E1978,기본!$F$3:$G$320,2,0)</f>
        <v>#N/A</v>
      </c>
      <c r="H1978" s="544"/>
    </row>
    <row r="1979" spans="3:9">
      <c r="C1979" s="545" t="e">
        <f>VLOOKUP(D1979,기본!$B$3:$C$90,2,0)</f>
        <v>#N/A</v>
      </c>
      <c r="G1979" t="e">
        <f>VLOOKUP(E1979,기본!$F$3:$G$320,2,0)</f>
        <v>#N/A</v>
      </c>
      <c r="H1979" s="544"/>
    </row>
    <row r="1980" spans="3:9">
      <c r="C1980" s="545" t="e">
        <f>VLOOKUP(D1980,기본!$B$3:$C$90,2,0)</f>
        <v>#N/A</v>
      </c>
      <c r="G1980" t="e">
        <f>VLOOKUP(E1980,기본!$F$3:$G$320,2,0)</f>
        <v>#N/A</v>
      </c>
      <c r="H1980" s="544"/>
    </row>
    <row r="1981" spans="3:9">
      <c r="C1981" s="545" t="e">
        <f>VLOOKUP(D1981,기본!$B$3:$C$90,2,0)</f>
        <v>#N/A</v>
      </c>
      <c r="G1981" t="e">
        <f>VLOOKUP(E1981,기본!$F$3:$G$320,2,0)</f>
        <v>#N/A</v>
      </c>
      <c r="H1981" s="544"/>
    </row>
    <row r="1982" spans="3:9">
      <c r="C1982" s="545" t="e">
        <f>VLOOKUP(D1982,기본!$B$3:$C$90,2,0)</f>
        <v>#N/A</v>
      </c>
      <c r="G1982" t="e">
        <f>VLOOKUP(E1982,기본!$F$3:$G$320,2,0)</f>
        <v>#N/A</v>
      </c>
      <c r="H1982" s="544"/>
    </row>
    <row r="1983" spans="3:9">
      <c r="C1983" s="545" t="e">
        <f>VLOOKUP(D1983,기본!$B$3:$C$90,2,0)</f>
        <v>#N/A</v>
      </c>
      <c r="G1983" t="e">
        <f>VLOOKUP(E1983,기본!$F$3:$G$320,2,0)</f>
        <v>#N/A</v>
      </c>
      <c r="H1983" s="544"/>
    </row>
    <row r="1984" spans="3:9">
      <c r="C1984" s="545" t="e">
        <f>VLOOKUP(D1984,기본!$B$3:$C$90,2,0)</f>
        <v>#N/A</v>
      </c>
      <c r="G1984" t="e">
        <f>VLOOKUP(E1984,기본!$F$3:$G$320,2,0)</f>
        <v>#N/A</v>
      </c>
      <c r="H1984" s="544"/>
    </row>
    <row r="1985" spans="3:8">
      <c r="C1985" s="545" t="e">
        <f>VLOOKUP(D1985,기본!$B$3:$C$90,2,0)</f>
        <v>#N/A</v>
      </c>
      <c r="G1985" t="e">
        <f>VLOOKUP(E1985,기본!$F$3:$G$320,2,0)</f>
        <v>#N/A</v>
      </c>
      <c r="H1985" s="544"/>
    </row>
    <row r="1986" spans="3:8">
      <c r="C1986" s="545" t="e">
        <f>VLOOKUP(D1986,기본!$B$3:$C$90,2,0)</f>
        <v>#N/A</v>
      </c>
      <c r="G1986" t="e">
        <f>VLOOKUP(E1986,기본!$F$3:$G$320,2,0)</f>
        <v>#N/A</v>
      </c>
      <c r="H1986" s="544"/>
    </row>
    <row r="1987" spans="3:8">
      <c r="C1987" s="545" t="e">
        <f>VLOOKUP(D1987,기본!$B$3:$C$90,2,0)</f>
        <v>#N/A</v>
      </c>
      <c r="G1987" t="e">
        <f>VLOOKUP(E1987,기본!$F$3:$G$320,2,0)</f>
        <v>#N/A</v>
      </c>
      <c r="H1987" s="544"/>
    </row>
    <row r="1988" spans="3:8">
      <c r="C1988" s="545" t="e">
        <f>VLOOKUP(D1988,기본!$B$3:$C$90,2,0)</f>
        <v>#N/A</v>
      </c>
      <c r="G1988" t="e">
        <f>VLOOKUP(E1988,기본!$F$3:$G$320,2,0)</f>
        <v>#N/A</v>
      </c>
      <c r="H1988" s="544"/>
    </row>
    <row r="1989" spans="3:8">
      <c r="C1989" s="545" t="e">
        <f>VLOOKUP(D1989,기본!$B$3:$C$90,2,0)</f>
        <v>#N/A</v>
      </c>
      <c r="G1989" t="e">
        <f>VLOOKUP(E1989,기본!$F$3:$G$320,2,0)</f>
        <v>#N/A</v>
      </c>
      <c r="H1989" s="544"/>
    </row>
    <row r="1990" spans="3:8">
      <c r="C1990" s="545" t="e">
        <f>VLOOKUP(D1990,기본!$B$3:$C$90,2,0)</f>
        <v>#N/A</v>
      </c>
      <c r="G1990" t="e">
        <f>VLOOKUP(E1990,기본!$F$3:$G$320,2,0)</f>
        <v>#N/A</v>
      </c>
      <c r="H1990" s="544"/>
    </row>
    <row r="1991" spans="3:8">
      <c r="C1991" s="545" t="e">
        <f>VLOOKUP(D1991,기본!$B$3:$C$90,2,0)</f>
        <v>#N/A</v>
      </c>
      <c r="G1991" t="e">
        <f>VLOOKUP(E1991,기본!$F$3:$G$320,2,0)</f>
        <v>#N/A</v>
      </c>
      <c r="H1991" s="544"/>
    </row>
    <row r="1992" spans="3:8">
      <c r="C1992" s="545" t="e">
        <f>VLOOKUP(D1992,기본!$B$3:$C$90,2,0)</f>
        <v>#N/A</v>
      </c>
      <c r="G1992" t="e">
        <f>VLOOKUP(E1992,기본!$F$3:$G$320,2,0)</f>
        <v>#N/A</v>
      </c>
      <c r="H1992" s="544"/>
    </row>
    <row r="1993" spans="3:8">
      <c r="C1993" s="545" t="e">
        <f>VLOOKUP(D1993,기본!$B$3:$C$90,2,0)</f>
        <v>#N/A</v>
      </c>
      <c r="G1993" t="e">
        <f>VLOOKUP(E1993,기본!$F$3:$G$320,2,0)</f>
        <v>#N/A</v>
      </c>
      <c r="H1993" s="544"/>
    </row>
    <row r="1994" spans="3:8">
      <c r="C1994" s="545" t="e">
        <f>VLOOKUP(D1994,기본!$B$3:$C$90,2,0)</f>
        <v>#N/A</v>
      </c>
      <c r="G1994" t="e">
        <f>VLOOKUP(E1994,기본!$F$3:$G$320,2,0)</f>
        <v>#N/A</v>
      </c>
      <c r="H1994" s="544"/>
    </row>
    <row r="1995" spans="3:8">
      <c r="C1995" s="545" t="e">
        <f>VLOOKUP(D1995,기본!$B$3:$C$90,2,0)</f>
        <v>#N/A</v>
      </c>
      <c r="G1995" t="e">
        <f>VLOOKUP(E1995,기본!$F$3:$G$320,2,0)</f>
        <v>#N/A</v>
      </c>
      <c r="H1995" s="544"/>
    </row>
    <row r="1996" spans="3:8">
      <c r="C1996" s="545" t="e">
        <f>VLOOKUP(D1996,기본!$B$3:$C$90,2,0)</f>
        <v>#N/A</v>
      </c>
      <c r="G1996" t="e">
        <f>VLOOKUP(E1996,기본!$F$3:$G$320,2,0)</f>
        <v>#N/A</v>
      </c>
      <c r="H1996" s="544"/>
    </row>
    <row r="1997" spans="3:8">
      <c r="C1997" s="545" t="e">
        <f>VLOOKUP(D1997,기본!$B$3:$C$90,2,0)</f>
        <v>#N/A</v>
      </c>
      <c r="G1997" t="e">
        <f>VLOOKUP(E1997,기본!$F$3:$G$320,2,0)</f>
        <v>#N/A</v>
      </c>
      <c r="H1997" s="544"/>
    </row>
    <row r="1998" spans="3:8">
      <c r="C1998" s="545" t="e">
        <f>VLOOKUP(D1998,기본!$B$3:$C$90,2,0)</f>
        <v>#N/A</v>
      </c>
      <c r="G1998" t="e">
        <f>VLOOKUP(E1998,기본!$F$3:$G$320,2,0)</f>
        <v>#N/A</v>
      </c>
      <c r="H1998" s="544"/>
    </row>
    <row r="1999" spans="3:8">
      <c r="C1999" s="545" t="e">
        <f>VLOOKUP(D1999,기본!$B$3:$C$90,2,0)</f>
        <v>#N/A</v>
      </c>
      <c r="G1999" t="e">
        <f>VLOOKUP(E1999,기본!$F$3:$G$320,2,0)</f>
        <v>#N/A</v>
      </c>
      <c r="H1999" s="544"/>
    </row>
    <row r="2000" spans="3:8">
      <c r="C2000" s="545" t="e">
        <f>VLOOKUP(D2000,기본!$B$3:$C$90,2,0)</f>
        <v>#N/A</v>
      </c>
      <c r="G2000" t="e">
        <f>VLOOKUP(E2000,기본!$F$3:$G$320,2,0)</f>
        <v>#N/A</v>
      </c>
      <c r="H2000" s="544"/>
    </row>
    <row r="2001" spans="3:8">
      <c r="C2001" s="545" t="e">
        <f>VLOOKUP(D2001,기본!$B$3:$C$90,2,0)</f>
        <v>#N/A</v>
      </c>
      <c r="G2001" t="e">
        <f>VLOOKUP(E2001,기본!$F$3:$G$320,2,0)</f>
        <v>#N/A</v>
      </c>
      <c r="H2001" s="544"/>
    </row>
    <row r="2002" spans="3:8">
      <c r="C2002" s="545" t="e">
        <f>VLOOKUP(D2002,기본!$B$3:$C$90,2,0)</f>
        <v>#N/A</v>
      </c>
      <c r="G2002" t="e">
        <f>VLOOKUP(E2002,기본!$F$3:$G$320,2,0)</f>
        <v>#N/A</v>
      </c>
      <c r="H2002" s="544"/>
    </row>
    <row r="2003" spans="3:8">
      <c r="C2003" s="545" t="e">
        <f>VLOOKUP(D2003,기본!$B$3:$C$90,2,0)</f>
        <v>#N/A</v>
      </c>
      <c r="G2003" t="e">
        <f>VLOOKUP(E2003,기본!$F$3:$G$320,2,0)</f>
        <v>#N/A</v>
      </c>
      <c r="H2003" s="544"/>
    </row>
    <row r="2004" spans="3:8">
      <c r="C2004" s="545" t="e">
        <f>VLOOKUP(D2004,기본!$B$3:$C$90,2,0)</f>
        <v>#N/A</v>
      </c>
      <c r="G2004" t="e">
        <f>VLOOKUP(E2004,기본!$F$3:$G$320,2,0)</f>
        <v>#N/A</v>
      </c>
      <c r="H2004" s="544"/>
    </row>
    <row r="2005" spans="3:8">
      <c r="C2005" s="545" t="e">
        <f>VLOOKUP(D2005,기본!$B$3:$C$90,2,0)</f>
        <v>#N/A</v>
      </c>
      <c r="G2005" t="e">
        <f>VLOOKUP(E2005,기본!$F$3:$G$320,2,0)</f>
        <v>#N/A</v>
      </c>
      <c r="H2005" s="544"/>
    </row>
    <row r="2006" spans="3:8">
      <c r="C2006" s="545" t="e">
        <f>VLOOKUP(D2006,기본!$B$3:$C$90,2,0)</f>
        <v>#N/A</v>
      </c>
      <c r="G2006" t="e">
        <f>VLOOKUP(E2006,기본!$F$3:$G$320,2,0)</f>
        <v>#N/A</v>
      </c>
      <c r="H2006" s="544"/>
    </row>
    <row r="2007" spans="3:8">
      <c r="C2007" s="545" t="e">
        <f>VLOOKUP(D2007,기본!$B$3:$C$90,2,0)</f>
        <v>#N/A</v>
      </c>
      <c r="G2007" t="e">
        <f>VLOOKUP(E2007,기본!$F$3:$G$320,2,0)</f>
        <v>#N/A</v>
      </c>
      <c r="H2007" s="544"/>
    </row>
    <row r="2008" spans="3:8">
      <c r="C2008" s="545" t="e">
        <f>VLOOKUP(D2008,기본!$B$3:$C$90,2,0)</f>
        <v>#N/A</v>
      </c>
      <c r="G2008" t="e">
        <f>VLOOKUP(E2008,기본!$F$3:$G$320,2,0)</f>
        <v>#N/A</v>
      </c>
      <c r="H2008" s="544"/>
    </row>
    <row r="2009" spans="3:8">
      <c r="C2009" s="545" t="e">
        <f>VLOOKUP(D2009,기본!$B$3:$C$90,2,0)</f>
        <v>#N/A</v>
      </c>
      <c r="G2009" t="e">
        <f>VLOOKUP(E2009,기본!$F$3:$G$320,2,0)</f>
        <v>#N/A</v>
      </c>
      <c r="H2009" s="544"/>
    </row>
    <row r="2010" spans="3:8">
      <c r="C2010" s="545" t="e">
        <f>VLOOKUP(D2010,기본!$B$3:$C$90,2,0)</f>
        <v>#N/A</v>
      </c>
      <c r="G2010" t="e">
        <f>VLOOKUP(E2010,기본!$F$3:$G$320,2,0)</f>
        <v>#N/A</v>
      </c>
      <c r="H2010" s="544"/>
    </row>
    <row r="2011" spans="3:8">
      <c r="C2011" s="545" t="e">
        <f>VLOOKUP(D2011,기본!$B$3:$C$90,2,0)</f>
        <v>#N/A</v>
      </c>
      <c r="G2011" t="e">
        <f>VLOOKUP(E2011,기본!$F$3:$G$320,2,0)</f>
        <v>#N/A</v>
      </c>
      <c r="H2011" s="544"/>
    </row>
    <row r="2012" spans="3:8">
      <c r="C2012" s="545" t="e">
        <f>VLOOKUP(D2012,기본!$B$3:$C$90,2,0)</f>
        <v>#N/A</v>
      </c>
      <c r="G2012" t="e">
        <f>VLOOKUP(E2012,기본!$F$3:$G$320,2,0)</f>
        <v>#N/A</v>
      </c>
      <c r="H2012" s="544"/>
    </row>
    <row r="2013" spans="3:8">
      <c r="C2013" s="545" t="e">
        <f>VLOOKUP(D2013,기본!$B$3:$C$90,2,0)</f>
        <v>#N/A</v>
      </c>
      <c r="G2013" t="e">
        <f>VLOOKUP(E2013,기본!$F$3:$G$320,2,0)</f>
        <v>#N/A</v>
      </c>
      <c r="H2013" s="544"/>
    </row>
    <row r="2014" spans="3:8">
      <c r="C2014" s="545" t="e">
        <f>VLOOKUP(D2014,기본!$B$3:$C$90,2,0)</f>
        <v>#N/A</v>
      </c>
      <c r="G2014" t="e">
        <f>VLOOKUP(E2014,기본!$F$3:$G$320,2,0)</f>
        <v>#N/A</v>
      </c>
      <c r="H2014" s="544"/>
    </row>
    <row r="2015" spans="3:8">
      <c r="C2015" s="545" t="e">
        <f>VLOOKUP(D2015,기본!$B$3:$C$90,2,0)</f>
        <v>#N/A</v>
      </c>
      <c r="G2015" t="e">
        <f>VLOOKUP(E2015,기본!$F$3:$G$320,2,0)</f>
        <v>#N/A</v>
      </c>
      <c r="H2015" s="544"/>
    </row>
    <row r="2016" spans="3:8">
      <c r="C2016" s="545" t="e">
        <f>VLOOKUP(D2016,기본!$B$3:$C$90,2,0)</f>
        <v>#N/A</v>
      </c>
      <c r="G2016" t="e">
        <f>VLOOKUP(E2016,기본!$F$3:$G$320,2,0)</f>
        <v>#N/A</v>
      </c>
      <c r="H2016" s="544"/>
    </row>
    <row r="2017" spans="3:8">
      <c r="C2017" s="545" t="e">
        <f>VLOOKUP(D2017,기본!$B$3:$C$90,2,0)</f>
        <v>#N/A</v>
      </c>
      <c r="G2017" t="e">
        <f>VLOOKUP(E2017,기본!$F$3:$G$320,2,0)</f>
        <v>#N/A</v>
      </c>
      <c r="H2017" s="544"/>
    </row>
    <row r="2018" spans="3:8">
      <c r="C2018" s="545" t="e">
        <f>VLOOKUP(D2018,기본!$B$3:$C$90,2,0)</f>
        <v>#N/A</v>
      </c>
      <c r="G2018" t="e">
        <f>VLOOKUP(E2018,기본!$F$3:$G$320,2,0)</f>
        <v>#N/A</v>
      </c>
      <c r="H2018" s="544"/>
    </row>
    <row r="2019" spans="3:8">
      <c r="C2019" s="545" t="e">
        <f>VLOOKUP(D2019,기본!$B$3:$C$90,2,0)</f>
        <v>#N/A</v>
      </c>
      <c r="G2019" t="e">
        <f>VLOOKUP(E2019,기본!$F$3:$G$320,2,0)</f>
        <v>#N/A</v>
      </c>
      <c r="H2019" s="544"/>
    </row>
    <row r="2020" spans="3:8">
      <c r="C2020" s="545" t="e">
        <f>VLOOKUP(D2020,기본!$B$3:$C$90,2,0)</f>
        <v>#N/A</v>
      </c>
      <c r="G2020" t="e">
        <f>VLOOKUP(E2020,기본!$F$3:$G$320,2,0)</f>
        <v>#N/A</v>
      </c>
      <c r="H2020" s="544"/>
    </row>
    <row r="2021" spans="3:8">
      <c r="C2021" s="545" t="e">
        <f>VLOOKUP(D2021,기본!$B$3:$C$90,2,0)</f>
        <v>#N/A</v>
      </c>
      <c r="G2021" t="e">
        <f>VLOOKUP(E2021,기본!$F$3:$G$320,2,0)</f>
        <v>#N/A</v>
      </c>
      <c r="H2021" s="544"/>
    </row>
    <row r="2022" spans="3:8">
      <c r="C2022" s="545" t="e">
        <f>VLOOKUP(D2022,기본!$B$3:$C$90,2,0)</f>
        <v>#N/A</v>
      </c>
      <c r="G2022" t="e">
        <f>VLOOKUP(E2022,기본!$F$3:$G$320,2,0)</f>
        <v>#N/A</v>
      </c>
      <c r="H2022" s="544"/>
    </row>
    <row r="2023" spans="3:8">
      <c r="C2023" s="545" t="e">
        <f>VLOOKUP(D2023,기본!$B$3:$C$90,2,0)</f>
        <v>#N/A</v>
      </c>
      <c r="G2023" t="e">
        <f>VLOOKUP(E2023,기본!$F$3:$G$320,2,0)</f>
        <v>#N/A</v>
      </c>
      <c r="H2023" s="544"/>
    </row>
    <row r="2024" spans="3:8">
      <c r="C2024" s="545" t="e">
        <f>VLOOKUP(D2024,기본!$B$3:$C$90,2,0)</f>
        <v>#N/A</v>
      </c>
      <c r="G2024" t="e">
        <f>VLOOKUP(E2024,기본!$F$3:$G$320,2,0)</f>
        <v>#N/A</v>
      </c>
      <c r="H2024" s="544"/>
    </row>
    <row r="2025" spans="3:8">
      <c r="C2025" s="545" t="e">
        <f>VLOOKUP(D2025,기본!$B$3:$C$90,2,0)</f>
        <v>#N/A</v>
      </c>
      <c r="G2025" t="e">
        <f>VLOOKUP(E2025,기본!$F$3:$G$320,2,0)</f>
        <v>#N/A</v>
      </c>
      <c r="H2025" s="544"/>
    </row>
    <row r="2026" spans="3:8">
      <c r="C2026" s="545" t="e">
        <f>VLOOKUP(D2026,기본!$B$3:$C$90,2,0)</f>
        <v>#N/A</v>
      </c>
      <c r="G2026" t="e">
        <f>VLOOKUP(E2026,기본!$F$3:$G$320,2,0)</f>
        <v>#N/A</v>
      </c>
      <c r="H2026" s="544"/>
    </row>
    <row r="2027" spans="3:8">
      <c r="C2027" s="545" t="e">
        <f>VLOOKUP(D2027,기본!$B$3:$C$90,2,0)</f>
        <v>#N/A</v>
      </c>
      <c r="G2027" t="e">
        <f>VLOOKUP(E2027,기본!$F$3:$G$320,2,0)</f>
        <v>#N/A</v>
      </c>
      <c r="H2027" s="544"/>
    </row>
    <row r="2028" spans="3:8">
      <c r="C2028" s="545" t="e">
        <f>VLOOKUP(D2028,기본!$B$3:$C$90,2,0)</f>
        <v>#N/A</v>
      </c>
      <c r="G2028" t="e">
        <f>VLOOKUP(E2028,기본!$F$3:$G$320,2,0)</f>
        <v>#N/A</v>
      </c>
      <c r="H2028" s="544"/>
    </row>
    <row r="2029" spans="3:8">
      <c r="C2029" s="545" t="e">
        <f>VLOOKUP(D2029,기본!$B$3:$C$90,2,0)</f>
        <v>#N/A</v>
      </c>
      <c r="G2029" t="e">
        <f>VLOOKUP(E2029,기본!$F$3:$G$320,2,0)</f>
        <v>#N/A</v>
      </c>
      <c r="H2029" s="544"/>
    </row>
    <row r="2030" spans="3:8">
      <c r="C2030" s="545" t="e">
        <f>VLOOKUP(D2030,기본!$B$3:$C$90,2,0)</f>
        <v>#N/A</v>
      </c>
      <c r="G2030" t="e">
        <f>VLOOKUP(E2030,기본!$F$3:$G$320,2,0)</f>
        <v>#N/A</v>
      </c>
      <c r="H2030" s="544"/>
    </row>
    <row r="2031" spans="3:8">
      <c r="C2031" s="545" t="e">
        <f>VLOOKUP(D2031,기본!$B$3:$C$90,2,0)</f>
        <v>#N/A</v>
      </c>
      <c r="G2031" t="e">
        <f>VLOOKUP(E2031,기본!$F$3:$G$320,2,0)</f>
        <v>#N/A</v>
      </c>
      <c r="H2031" s="544"/>
    </row>
    <row r="2032" spans="3:8">
      <c r="C2032" s="545" t="e">
        <f>VLOOKUP(D2032,기본!$B$3:$C$90,2,0)</f>
        <v>#N/A</v>
      </c>
      <c r="G2032" t="e">
        <f>VLOOKUP(E2032,기본!$F$3:$G$320,2,0)</f>
        <v>#N/A</v>
      </c>
      <c r="H2032" s="544"/>
    </row>
    <row r="2033" spans="3:8">
      <c r="C2033" s="545" t="e">
        <f>VLOOKUP(D2033,기본!$B$3:$C$90,2,0)</f>
        <v>#N/A</v>
      </c>
      <c r="G2033" t="e">
        <f>VLOOKUP(E2033,기본!$F$3:$G$320,2,0)</f>
        <v>#N/A</v>
      </c>
      <c r="H2033" s="544"/>
    </row>
    <row r="2034" spans="3:8">
      <c r="C2034" s="545" t="e">
        <f>VLOOKUP(D2034,기본!$B$3:$C$90,2,0)</f>
        <v>#N/A</v>
      </c>
      <c r="G2034" t="e">
        <f>VLOOKUP(E2034,기본!$F$3:$G$320,2,0)</f>
        <v>#N/A</v>
      </c>
      <c r="H2034" s="544"/>
    </row>
    <row r="2035" spans="3:8">
      <c r="C2035" s="545" t="e">
        <f>VLOOKUP(D2035,기본!$B$3:$C$90,2,0)</f>
        <v>#N/A</v>
      </c>
      <c r="G2035" t="e">
        <f>VLOOKUP(E2035,기본!$F$3:$G$320,2,0)</f>
        <v>#N/A</v>
      </c>
      <c r="H2035" s="544"/>
    </row>
    <row r="2036" spans="3:8">
      <c r="C2036" s="545" t="e">
        <f>VLOOKUP(D2036,기본!$B$3:$C$90,2,0)</f>
        <v>#N/A</v>
      </c>
      <c r="G2036" t="e">
        <f>VLOOKUP(E2036,기본!$F$3:$G$320,2,0)</f>
        <v>#N/A</v>
      </c>
      <c r="H2036" s="544"/>
    </row>
    <row r="2037" spans="3:8">
      <c r="C2037" s="545" t="e">
        <f>VLOOKUP(D2037,기본!$B$3:$C$90,2,0)</f>
        <v>#N/A</v>
      </c>
      <c r="G2037" t="e">
        <f>VLOOKUP(E2037,기본!$F$3:$G$320,2,0)</f>
        <v>#N/A</v>
      </c>
      <c r="H2037" s="544"/>
    </row>
    <row r="2038" spans="3:8">
      <c r="C2038" s="545" t="e">
        <f>VLOOKUP(D2038,기본!$B$3:$C$90,2,0)</f>
        <v>#N/A</v>
      </c>
      <c r="G2038" t="e">
        <f>VLOOKUP(E2038,기본!$F$3:$G$320,2,0)</f>
        <v>#N/A</v>
      </c>
      <c r="H2038" s="544"/>
    </row>
    <row r="2039" spans="3:8">
      <c r="C2039" s="545" t="e">
        <f>VLOOKUP(D2039,기본!$B$3:$C$90,2,0)</f>
        <v>#N/A</v>
      </c>
      <c r="G2039" t="e">
        <f>VLOOKUP(E2039,기본!$F$3:$G$320,2,0)</f>
        <v>#N/A</v>
      </c>
      <c r="H2039" s="544"/>
    </row>
    <row r="2040" spans="3:8">
      <c r="C2040" s="545" t="e">
        <f>VLOOKUP(D2040,기본!$B$3:$C$90,2,0)</f>
        <v>#N/A</v>
      </c>
      <c r="G2040" t="e">
        <f>VLOOKUP(E2040,기본!$F$3:$G$320,2,0)</f>
        <v>#N/A</v>
      </c>
      <c r="H2040" s="544"/>
    </row>
    <row r="2041" spans="3:8">
      <c r="C2041" s="545" t="e">
        <f>VLOOKUP(D2041,기본!$B$3:$C$90,2,0)</f>
        <v>#N/A</v>
      </c>
      <c r="G2041" t="e">
        <f>VLOOKUP(E2041,기본!$F$3:$G$320,2,0)</f>
        <v>#N/A</v>
      </c>
      <c r="H2041" s="544"/>
    </row>
    <row r="2042" spans="3:8">
      <c r="C2042" s="545" t="e">
        <f>VLOOKUP(D2042,기본!$B$3:$C$90,2,0)</f>
        <v>#N/A</v>
      </c>
      <c r="G2042" t="e">
        <f>VLOOKUP(E2042,기본!$F$3:$G$320,2,0)</f>
        <v>#N/A</v>
      </c>
      <c r="H2042" s="544"/>
    </row>
    <row r="2043" spans="3:8">
      <c r="C2043" s="545" t="e">
        <f>VLOOKUP(D2043,기본!$B$3:$C$90,2,0)</f>
        <v>#N/A</v>
      </c>
      <c r="G2043" t="e">
        <f>VLOOKUP(E2043,기본!$F$3:$G$320,2,0)</f>
        <v>#N/A</v>
      </c>
      <c r="H2043" s="544"/>
    </row>
    <row r="2044" spans="3:8">
      <c r="C2044" s="545" t="e">
        <f>VLOOKUP(D2044,기본!$B$3:$C$90,2,0)</f>
        <v>#N/A</v>
      </c>
      <c r="G2044" t="e">
        <f>VLOOKUP(E2044,기본!$F$3:$G$320,2,0)</f>
        <v>#N/A</v>
      </c>
      <c r="H2044" s="544"/>
    </row>
    <row r="2045" spans="3:8">
      <c r="C2045" s="545" t="e">
        <f>VLOOKUP(D2045,기본!$B$3:$C$90,2,0)</f>
        <v>#N/A</v>
      </c>
      <c r="G2045" t="e">
        <f>VLOOKUP(E2045,기본!$F$3:$G$320,2,0)</f>
        <v>#N/A</v>
      </c>
      <c r="H2045" s="544"/>
    </row>
    <row r="2046" spans="3:8">
      <c r="C2046" s="545" t="e">
        <f>VLOOKUP(D2046,기본!$B$3:$C$90,2,0)</f>
        <v>#N/A</v>
      </c>
      <c r="G2046" t="e">
        <f>VLOOKUP(E2046,기본!$F$3:$G$320,2,0)</f>
        <v>#N/A</v>
      </c>
      <c r="H2046" s="544"/>
    </row>
    <row r="2047" spans="3:8">
      <c r="C2047" s="545" t="e">
        <f>VLOOKUP(D2047,기본!$B$3:$C$90,2,0)</f>
        <v>#N/A</v>
      </c>
      <c r="G2047" t="e">
        <f>VLOOKUP(E2047,기본!$F$3:$G$320,2,0)</f>
        <v>#N/A</v>
      </c>
      <c r="H2047" s="544"/>
    </row>
    <row r="2048" spans="3:8">
      <c r="C2048" s="545" t="e">
        <f>VLOOKUP(D2048,기본!$B$3:$C$90,2,0)</f>
        <v>#N/A</v>
      </c>
      <c r="G2048" t="e">
        <f>VLOOKUP(E2048,기본!$F$3:$G$320,2,0)</f>
        <v>#N/A</v>
      </c>
      <c r="H2048" s="544"/>
    </row>
    <row r="2049" spans="3:8">
      <c r="C2049" s="545" t="e">
        <f>VLOOKUP(D2049,기본!$B$3:$C$90,2,0)</f>
        <v>#N/A</v>
      </c>
      <c r="G2049" t="e">
        <f>VLOOKUP(E2049,기본!$F$3:$G$320,2,0)</f>
        <v>#N/A</v>
      </c>
      <c r="H2049" s="544"/>
    </row>
    <row r="2050" spans="3:8">
      <c r="C2050" s="545" t="e">
        <f>VLOOKUP(D2050,기본!$B$3:$C$90,2,0)</f>
        <v>#N/A</v>
      </c>
      <c r="G2050" t="e">
        <f>VLOOKUP(E2050,기본!$F$3:$G$320,2,0)</f>
        <v>#N/A</v>
      </c>
      <c r="H2050" s="544"/>
    </row>
    <row r="2051" spans="3:8">
      <c r="C2051" s="545" t="e">
        <f>VLOOKUP(D2051,기본!$B$3:$C$90,2,0)</f>
        <v>#N/A</v>
      </c>
      <c r="G2051" t="e">
        <f>VLOOKUP(E2051,기본!$F$3:$G$320,2,0)</f>
        <v>#N/A</v>
      </c>
      <c r="H2051" s="544"/>
    </row>
    <row r="2052" spans="3:8">
      <c r="C2052" s="545" t="e">
        <f>VLOOKUP(D2052,기본!$B$3:$C$90,2,0)</f>
        <v>#N/A</v>
      </c>
      <c r="G2052" t="e">
        <f>VLOOKUP(E2052,기본!$F$3:$G$320,2,0)</f>
        <v>#N/A</v>
      </c>
      <c r="H2052" s="544"/>
    </row>
    <row r="2053" spans="3:8">
      <c r="C2053" s="545" t="e">
        <f>VLOOKUP(D2053,기본!$B$3:$C$90,2,0)</f>
        <v>#N/A</v>
      </c>
      <c r="G2053" t="e">
        <f>VLOOKUP(E2053,기본!$F$3:$G$320,2,0)</f>
        <v>#N/A</v>
      </c>
      <c r="H2053" s="544"/>
    </row>
    <row r="2054" spans="3:8">
      <c r="C2054" s="545" t="e">
        <f>VLOOKUP(D2054,기본!$B$3:$C$90,2,0)</f>
        <v>#N/A</v>
      </c>
      <c r="G2054" t="e">
        <f>VLOOKUP(E2054,기본!$F$3:$G$320,2,0)</f>
        <v>#N/A</v>
      </c>
      <c r="H2054" s="544"/>
    </row>
    <row r="2055" spans="3:8">
      <c r="C2055" s="545" t="e">
        <f>VLOOKUP(D2055,기본!$B$3:$C$90,2,0)</f>
        <v>#N/A</v>
      </c>
      <c r="G2055" t="e">
        <f>VLOOKUP(E2055,기본!$F$3:$G$320,2,0)</f>
        <v>#N/A</v>
      </c>
      <c r="H2055" s="544"/>
    </row>
    <row r="2056" spans="3:8">
      <c r="C2056" s="545" t="e">
        <f>VLOOKUP(D2056,기본!$B$3:$C$90,2,0)</f>
        <v>#N/A</v>
      </c>
      <c r="G2056" t="e">
        <f>VLOOKUP(E2056,기본!$F$3:$G$320,2,0)</f>
        <v>#N/A</v>
      </c>
      <c r="H2056" s="544"/>
    </row>
    <row r="2057" spans="3:8">
      <c r="C2057" s="545" t="e">
        <f>VLOOKUP(D2057,기본!$B$3:$C$90,2,0)</f>
        <v>#N/A</v>
      </c>
      <c r="G2057" t="e">
        <f>VLOOKUP(E2057,기본!$F$3:$G$320,2,0)</f>
        <v>#N/A</v>
      </c>
      <c r="H2057" s="544"/>
    </row>
    <row r="2058" spans="3:8">
      <c r="C2058" s="545" t="e">
        <f>VLOOKUP(D2058,기본!$B$3:$C$90,2,0)</f>
        <v>#N/A</v>
      </c>
      <c r="G2058" t="e">
        <f>VLOOKUP(E2058,기본!$F$3:$G$320,2,0)</f>
        <v>#N/A</v>
      </c>
      <c r="H2058" s="544"/>
    </row>
    <row r="2059" spans="3:8">
      <c r="C2059" s="545" t="e">
        <f>VLOOKUP(D2059,기본!$B$3:$C$90,2,0)</f>
        <v>#N/A</v>
      </c>
      <c r="G2059" t="e">
        <f>VLOOKUP(E2059,기본!$F$3:$G$320,2,0)</f>
        <v>#N/A</v>
      </c>
      <c r="H2059" s="544"/>
    </row>
    <row r="2060" spans="3:8">
      <c r="C2060" s="545" t="e">
        <f>VLOOKUP(D2060,기본!$B$3:$C$90,2,0)</f>
        <v>#N/A</v>
      </c>
      <c r="G2060" t="e">
        <f>VLOOKUP(E2060,기본!$F$3:$G$320,2,0)</f>
        <v>#N/A</v>
      </c>
      <c r="H2060" s="544"/>
    </row>
    <row r="2061" spans="3:8">
      <c r="C2061" s="545" t="e">
        <f>VLOOKUP(D2061,기본!$B$3:$C$90,2,0)</f>
        <v>#N/A</v>
      </c>
      <c r="G2061" t="e">
        <f>VLOOKUP(E2061,기본!$F$3:$G$320,2,0)</f>
        <v>#N/A</v>
      </c>
      <c r="H2061" s="544"/>
    </row>
    <row r="2062" spans="3:8">
      <c r="C2062" s="545" t="e">
        <f>VLOOKUP(D2062,기본!$B$3:$C$90,2,0)</f>
        <v>#N/A</v>
      </c>
      <c r="G2062" t="e">
        <f>VLOOKUP(E2062,기본!$F$3:$G$320,2,0)</f>
        <v>#N/A</v>
      </c>
      <c r="H2062" s="544"/>
    </row>
    <row r="2063" spans="3:8">
      <c r="C2063" s="545" t="e">
        <f>VLOOKUP(D2063,기본!$B$3:$C$90,2,0)</f>
        <v>#N/A</v>
      </c>
      <c r="G2063" t="e">
        <f>VLOOKUP(E2063,기본!$F$3:$G$320,2,0)</f>
        <v>#N/A</v>
      </c>
      <c r="H2063" s="544"/>
    </row>
    <row r="2064" spans="3:8">
      <c r="C2064" s="545" t="e">
        <f>VLOOKUP(D2064,기본!$B$3:$C$90,2,0)</f>
        <v>#N/A</v>
      </c>
      <c r="G2064" t="e">
        <f>VLOOKUP(E2064,기본!$F$3:$G$320,2,0)</f>
        <v>#N/A</v>
      </c>
      <c r="H2064" s="544"/>
    </row>
    <row r="2065" spans="3:8">
      <c r="C2065" s="545" t="e">
        <f>VLOOKUP(D2065,기본!$B$3:$C$90,2,0)</f>
        <v>#N/A</v>
      </c>
      <c r="G2065" t="e">
        <f>VLOOKUP(E2065,기본!$F$3:$G$320,2,0)</f>
        <v>#N/A</v>
      </c>
      <c r="H2065" s="544"/>
    </row>
    <row r="2066" spans="3:8">
      <c r="C2066" s="545" t="e">
        <f>VLOOKUP(D2066,기본!$B$3:$C$90,2,0)</f>
        <v>#N/A</v>
      </c>
      <c r="G2066" t="e">
        <f>VLOOKUP(E2066,기본!$F$3:$G$320,2,0)</f>
        <v>#N/A</v>
      </c>
      <c r="H2066" s="544"/>
    </row>
    <row r="2067" spans="3:8">
      <c r="C2067" s="545" t="e">
        <f>VLOOKUP(D2067,기본!$B$3:$C$90,2,0)</f>
        <v>#N/A</v>
      </c>
      <c r="G2067" t="e">
        <f>VLOOKUP(E2067,기본!$F$3:$G$320,2,0)</f>
        <v>#N/A</v>
      </c>
      <c r="H2067" s="544"/>
    </row>
    <row r="2068" spans="3:8">
      <c r="C2068" s="545" t="e">
        <f>VLOOKUP(D2068,기본!$B$3:$C$90,2,0)</f>
        <v>#N/A</v>
      </c>
      <c r="G2068" t="e">
        <f>VLOOKUP(E2068,기본!$F$3:$G$320,2,0)</f>
        <v>#N/A</v>
      </c>
      <c r="H2068" s="544"/>
    </row>
    <row r="2069" spans="3:8">
      <c r="C2069" s="545" t="e">
        <f>VLOOKUP(D2069,기본!$B$3:$C$90,2,0)</f>
        <v>#N/A</v>
      </c>
      <c r="G2069" t="e">
        <f>VLOOKUP(E2069,기본!$F$3:$G$320,2,0)</f>
        <v>#N/A</v>
      </c>
      <c r="H2069" s="544"/>
    </row>
    <row r="2070" spans="3:8">
      <c r="C2070" s="545" t="e">
        <f>VLOOKUP(D2070,기본!$B$3:$C$90,2,0)</f>
        <v>#N/A</v>
      </c>
      <c r="G2070" t="e">
        <f>VLOOKUP(E2070,기본!$F$3:$G$320,2,0)</f>
        <v>#N/A</v>
      </c>
      <c r="H2070" s="544"/>
    </row>
    <row r="2071" spans="3:8">
      <c r="C2071" s="545" t="e">
        <f>VLOOKUP(D2071,기본!$B$3:$C$90,2,0)</f>
        <v>#N/A</v>
      </c>
      <c r="G2071" t="e">
        <f>VLOOKUP(E2071,기본!$F$3:$G$320,2,0)</f>
        <v>#N/A</v>
      </c>
      <c r="H2071" s="544"/>
    </row>
    <row r="2072" spans="3:8">
      <c r="C2072" s="545" t="e">
        <f>VLOOKUP(D2072,기본!$B$3:$C$90,2,0)</f>
        <v>#N/A</v>
      </c>
      <c r="G2072" t="e">
        <f>VLOOKUP(E2072,기본!$F$3:$G$320,2,0)</f>
        <v>#N/A</v>
      </c>
      <c r="H2072" s="544"/>
    </row>
    <row r="2073" spans="3:8">
      <c r="C2073" s="545" t="e">
        <f>VLOOKUP(D2073,기본!$B$3:$C$90,2,0)</f>
        <v>#N/A</v>
      </c>
      <c r="G2073" t="e">
        <f>VLOOKUP(E2073,기본!$F$3:$G$320,2,0)</f>
        <v>#N/A</v>
      </c>
      <c r="H2073" s="544"/>
    </row>
    <row r="2074" spans="3:8">
      <c r="C2074" s="545" t="e">
        <f>VLOOKUP(D2074,기본!$B$3:$C$90,2,0)</f>
        <v>#N/A</v>
      </c>
      <c r="G2074" t="e">
        <f>VLOOKUP(E2074,기본!$F$3:$G$320,2,0)</f>
        <v>#N/A</v>
      </c>
      <c r="H2074" s="544"/>
    </row>
    <row r="2075" spans="3:8">
      <c r="C2075" s="545" t="e">
        <f>VLOOKUP(D2075,기본!$B$3:$C$90,2,0)</f>
        <v>#N/A</v>
      </c>
      <c r="G2075" t="e">
        <f>VLOOKUP(E2075,기본!$F$3:$G$320,2,0)</f>
        <v>#N/A</v>
      </c>
      <c r="H2075" s="544"/>
    </row>
    <row r="2076" spans="3:8">
      <c r="C2076" s="545" t="e">
        <f>VLOOKUP(D2076,기본!$B$3:$C$90,2,0)</f>
        <v>#N/A</v>
      </c>
      <c r="G2076" t="e">
        <f>VLOOKUP(E2076,기본!$F$3:$G$320,2,0)</f>
        <v>#N/A</v>
      </c>
      <c r="H2076" s="544"/>
    </row>
    <row r="2077" spans="3:8">
      <c r="C2077" s="545" t="e">
        <f>VLOOKUP(D2077,기본!$B$3:$C$90,2,0)</f>
        <v>#N/A</v>
      </c>
      <c r="G2077" t="e">
        <f>VLOOKUP(E2077,기본!$F$3:$G$320,2,0)</f>
        <v>#N/A</v>
      </c>
      <c r="H2077" s="544"/>
    </row>
    <row r="2078" spans="3:8">
      <c r="C2078" s="545" t="e">
        <f>VLOOKUP(D2078,기본!$B$3:$C$90,2,0)</f>
        <v>#N/A</v>
      </c>
      <c r="G2078" t="e">
        <f>VLOOKUP(E2078,기본!$F$3:$G$320,2,0)</f>
        <v>#N/A</v>
      </c>
      <c r="H2078" s="544"/>
    </row>
    <row r="2079" spans="3:8">
      <c r="C2079" s="545" t="e">
        <f>VLOOKUP(D2079,기본!$B$3:$C$90,2,0)</f>
        <v>#N/A</v>
      </c>
      <c r="G2079" t="e">
        <f>VLOOKUP(E2079,기본!$F$3:$G$320,2,0)</f>
        <v>#N/A</v>
      </c>
      <c r="H2079" s="544"/>
    </row>
    <row r="2080" spans="3:8">
      <c r="C2080" s="545" t="e">
        <f>VLOOKUP(D2080,기본!$B$3:$C$90,2,0)</f>
        <v>#N/A</v>
      </c>
      <c r="G2080" t="e">
        <f>VLOOKUP(E2080,기본!$F$3:$G$320,2,0)</f>
        <v>#N/A</v>
      </c>
      <c r="H2080" s="544"/>
    </row>
    <row r="2081" spans="3:8">
      <c r="C2081" s="545" t="e">
        <f>VLOOKUP(D2081,기본!$B$3:$C$90,2,0)</f>
        <v>#N/A</v>
      </c>
      <c r="G2081" t="e">
        <f>VLOOKUP(E2081,기본!$F$3:$G$320,2,0)</f>
        <v>#N/A</v>
      </c>
      <c r="H2081" s="544"/>
    </row>
    <row r="2082" spans="3:8">
      <c r="C2082" s="545" t="e">
        <f>VLOOKUP(D2082,기본!$B$3:$C$90,2,0)</f>
        <v>#N/A</v>
      </c>
      <c r="G2082" t="e">
        <f>VLOOKUP(E2082,기본!$F$3:$G$320,2,0)</f>
        <v>#N/A</v>
      </c>
      <c r="H2082" s="544"/>
    </row>
    <row r="2083" spans="3:8">
      <c r="C2083" s="545" t="e">
        <f>VLOOKUP(D2083,기본!$B$3:$C$90,2,0)</f>
        <v>#N/A</v>
      </c>
      <c r="G2083" t="e">
        <f>VLOOKUP(E2083,기본!$F$3:$G$320,2,0)</f>
        <v>#N/A</v>
      </c>
      <c r="H2083" s="544"/>
    </row>
    <row r="2084" spans="3:8">
      <c r="C2084" s="545" t="e">
        <f>VLOOKUP(D2084,기본!$B$3:$C$90,2,0)</f>
        <v>#N/A</v>
      </c>
      <c r="G2084" t="e">
        <f>VLOOKUP(E2084,기본!$F$3:$G$320,2,0)</f>
        <v>#N/A</v>
      </c>
      <c r="H2084" s="544"/>
    </row>
    <row r="2085" spans="3:8">
      <c r="C2085" s="545" t="e">
        <f>VLOOKUP(D2085,기본!$B$3:$C$90,2,0)</f>
        <v>#N/A</v>
      </c>
      <c r="G2085" t="e">
        <f>VLOOKUP(E2085,기본!$F$3:$G$320,2,0)</f>
        <v>#N/A</v>
      </c>
      <c r="H2085" s="544"/>
    </row>
    <row r="2086" spans="3:8">
      <c r="C2086" s="545" t="e">
        <f>VLOOKUP(D2086,기본!$B$3:$C$90,2,0)</f>
        <v>#N/A</v>
      </c>
      <c r="G2086" t="e">
        <f>VLOOKUP(E2086,기본!$F$3:$G$320,2,0)</f>
        <v>#N/A</v>
      </c>
      <c r="H2086" s="544"/>
    </row>
    <row r="2087" spans="3:8">
      <c r="C2087" s="545" t="e">
        <f>VLOOKUP(D2087,기본!$B$3:$C$90,2,0)</f>
        <v>#N/A</v>
      </c>
      <c r="G2087" t="e">
        <f>VLOOKUP(E2087,기본!$F$3:$G$320,2,0)</f>
        <v>#N/A</v>
      </c>
      <c r="H2087" s="544"/>
    </row>
    <row r="2088" spans="3:8">
      <c r="C2088" s="545" t="e">
        <f>VLOOKUP(D2088,기본!$B$3:$C$90,2,0)</f>
        <v>#N/A</v>
      </c>
      <c r="G2088" t="e">
        <f>VLOOKUP(E2088,기본!$F$3:$G$320,2,0)</f>
        <v>#N/A</v>
      </c>
      <c r="H2088" s="544"/>
    </row>
    <row r="2089" spans="3:8">
      <c r="C2089" s="545" t="e">
        <f>VLOOKUP(D2089,기본!$B$3:$C$90,2,0)</f>
        <v>#N/A</v>
      </c>
      <c r="G2089" t="e">
        <f>VLOOKUP(E2089,기본!$F$3:$G$320,2,0)</f>
        <v>#N/A</v>
      </c>
      <c r="H2089" s="544"/>
    </row>
    <row r="2090" spans="3:8">
      <c r="C2090" s="545" t="e">
        <f>VLOOKUP(D2090,기본!$B$3:$C$90,2,0)</f>
        <v>#N/A</v>
      </c>
      <c r="G2090" t="e">
        <f>VLOOKUP(E2090,기본!$F$3:$G$320,2,0)</f>
        <v>#N/A</v>
      </c>
      <c r="H2090" s="544"/>
    </row>
    <row r="2091" spans="3:8">
      <c r="C2091" s="545" t="e">
        <f>VLOOKUP(D2091,기본!$B$3:$C$90,2,0)</f>
        <v>#N/A</v>
      </c>
      <c r="G2091" t="e">
        <f>VLOOKUP(E2091,기본!$F$3:$G$320,2,0)</f>
        <v>#N/A</v>
      </c>
      <c r="H2091" s="544"/>
    </row>
    <row r="2092" spans="3:8">
      <c r="C2092" s="545" t="e">
        <f>VLOOKUP(D2092,기본!$B$3:$C$90,2,0)</f>
        <v>#N/A</v>
      </c>
      <c r="G2092" t="e">
        <f>VLOOKUP(E2092,기본!$F$3:$G$320,2,0)</f>
        <v>#N/A</v>
      </c>
      <c r="H2092" s="544"/>
    </row>
    <row r="2093" spans="3:8">
      <c r="C2093" s="545" t="e">
        <f>VLOOKUP(D2093,기본!$B$3:$C$90,2,0)</f>
        <v>#N/A</v>
      </c>
      <c r="G2093" t="e">
        <f>VLOOKUP(E2093,기본!$F$3:$G$320,2,0)</f>
        <v>#N/A</v>
      </c>
      <c r="H2093" s="544"/>
    </row>
    <row r="2094" spans="3:8">
      <c r="C2094" s="545" t="e">
        <f>VLOOKUP(D2094,기본!$B$3:$C$90,2,0)</f>
        <v>#N/A</v>
      </c>
      <c r="G2094" t="e">
        <f>VLOOKUP(E2094,기본!$F$3:$G$320,2,0)</f>
        <v>#N/A</v>
      </c>
      <c r="H2094" s="544"/>
    </row>
    <row r="2095" spans="3:8">
      <c r="C2095" s="545" t="e">
        <f>VLOOKUP(D2095,기본!$B$3:$C$90,2,0)</f>
        <v>#N/A</v>
      </c>
      <c r="G2095" t="e">
        <f>VLOOKUP(E2095,기본!$F$3:$G$320,2,0)</f>
        <v>#N/A</v>
      </c>
      <c r="H2095" s="544"/>
    </row>
    <row r="2096" spans="3:8">
      <c r="C2096" s="545" t="e">
        <f>VLOOKUP(D2096,기본!$B$3:$C$90,2,0)</f>
        <v>#N/A</v>
      </c>
      <c r="G2096" t="e">
        <f>VLOOKUP(E2096,기본!$F$3:$G$320,2,0)</f>
        <v>#N/A</v>
      </c>
      <c r="H2096" s="544"/>
    </row>
    <row r="2097" spans="3:8">
      <c r="C2097" s="545" t="e">
        <f>VLOOKUP(D2097,기본!$B$3:$C$90,2,0)</f>
        <v>#N/A</v>
      </c>
      <c r="G2097" t="e">
        <f>VLOOKUP(E2097,기본!$F$3:$G$320,2,0)</f>
        <v>#N/A</v>
      </c>
      <c r="H2097" s="544"/>
    </row>
    <row r="2098" spans="3:8">
      <c r="C2098" s="545" t="e">
        <f>VLOOKUP(D2098,기본!$B$3:$C$90,2,0)</f>
        <v>#N/A</v>
      </c>
      <c r="G2098" t="e">
        <f>VLOOKUP(E2098,기본!$F$3:$G$320,2,0)</f>
        <v>#N/A</v>
      </c>
      <c r="H2098" s="544"/>
    </row>
    <row r="2099" spans="3:8">
      <c r="C2099" s="545" t="e">
        <f>VLOOKUP(D2099,기본!$B$3:$C$90,2,0)</f>
        <v>#N/A</v>
      </c>
      <c r="G2099" t="e">
        <f>VLOOKUP(E2099,기본!$F$3:$G$320,2,0)</f>
        <v>#N/A</v>
      </c>
      <c r="H2099" s="544"/>
    </row>
    <row r="2100" spans="3:8">
      <c r="C2100" s="545" t="e">
        <f>VLOOKUP(D2100,기본!$B$3:$C$90,2,0)</f>
        <v>#N/A</v>
      </c>
      <c r="G2100" t="e">
        <f>VLOOKUP(E2100,기본!$F$3:$G$320,2,0)</f>
        <v>#N/A</v>
      </c>
      <c r="H2100" s="544"/>
    </row>
    <row r="2101" spans="3:8">
      <c r="C2101" s="545" t="e">
        <f>VLOOKUP(D2101,기본!$B$3:$C$90,2,0)</f>
        <v>#N/A</v>
      </c>
      <c r="G2101" t="e">
        <f>VLOOKUP(E2101,기본!$F$3:$G$320,2,0)</f>
        <v>#N/A</v>
      </c>
      <c r="H2101" s="544"/>
    </row>
    <row r="2102" spans="3:8">
      <c r="C2102" s="545" t="e">
        <f>VLOOKUP(D2102,기본!$B$3:$C$90,2,0)</f>
        <v>#N/A</v>
      </c>
      <c r="G2102" t="e">
        <f>VLOOKUP(E2102,기본!$F$3:$G$320,2,0)</f>
        <v>#N/A</v>
      </c>
      <c r="H2102" s="544"/>
    </row>
    <row r="2103" spans="3:8">
      <c r="C2103" s="545" t="e">
        <f>VLOOKUP(D2103,기본!$B$3:$C$90,2,0)</f>
        <v>#N/A</v>
      </c>
      <c r="G2103" t="e">
        <f>VLOOKUP(E2103,기본!$F$3:$G$320,2,0)</f>
        <v>#N/A</v>
      </c>
      <c r="H2103" s="544"/>
    </row>
    <row r="2104" spans="3:8">
      <c r="C2104" s="545" t="e">
        <f>VLOOKUP(D2104,기본!$B$3:$C$90,2,0)</f>
        <v>#N/A</v>
      </c>
      <c r="G2104" t="e">
        <f>VLOOKUP(E2104,기본!$F$3:$G$320,2,0)</f>
        <v>#N/A</v>
      </c>
      <c r="H2104" s="544"/>
    </row>
    <row r="2105" spans="3:8">
      <c r="C2105" s="545" t="e">
        <f>VLOOKUP(D2105,기본!$B$3:$C$90,2,0)</f>
        <v>#N/A</v>
      </c>
      <c r="G2105" t="e">
        <f>VLOOKUP(E2105,기본!$F$3:$G$320,2,0)</f>
        <v>#N/A</v>
      </c>
      <c r="H2105" s="544"/>
    </row>
    <row r="2106" spans="3:8">
      <c r="C2106" s="545" t="e">
        <f>VLOOKUP(D2106,기본!$B$3:$C$90,2,0)</f>
        <v>#N/A</v>
      </c>
      <c r="G2106" t="e">
        <f>VLOOKUP(E2106,기본!$F$3:$G$320,2,0)</f>
        <v>#N/A</v>
      </c>
      <c r="H2106" s="544"/>
    </row>
    <row r="2107" spans="3:8">
      <c r="C2107" s="545" t="e">
        <f>VLOOKUP(D2107,기본!$B$3:$C$90,2,0)</f>
        <v>#N/A</v>
      </c>
      <c r="G2107" t="e">
        <f>VLOOKUP(E2107,기본!$F$3:$G$320,2,0)</f>
        <v>#N/A</v>
      </c>
      <c r="H2107" s="544"/>
    </row>
    <row r="2108" spans="3:8">
      <c r="C2108" s="545" t="e">
        <f>VLOOKUP(D2108,기본!$B$3:$C$90,2,0)</f>
        <v>#N/A</v>
      </c>
      <c r="G2108" t="e">
        <f>VLOOKUP(E2108,기본!$F$3:$G$320,2,0)</f>
        <v>#N/A</v>
      </c>
      <c r="H2108" s="544"/>
    </row>
    <row r="2109" spans="3:8">
      <c r="C2109" s="545" t="e">
        <f>VLOOKUP(D2109,기본!$B$3:$C$90,2,0)</f>
        <v>#N/A</v>
      </c>
      <c r="G2109" t="e">
        <f>VLOOKUP(E2109,기본!$F$3:$G$320,2,0)</f>
        <v>#N/A</v>
      </c>
      <c r="H2109" s="544"/>
    </row>
    <row r="2110" spans="3:8">
      <c r="C2110" s="545" t="e">
        <f>VLOOKUP(D2110,기본!$B$3:$C$90,2,0)</f>
        <v>#N/A</v>
      </c>
      <c r="G2110" t="e">
        <f>VLOOKUP(E2110,기본!$F$3:$G$320,2,0)</f>
        <v>#N/A</v>
      </c>
      <c r="H2110" s="544"/>
    </row>
    <row r="2111" spans="3:8">
      <c r="C2111" s="545" t="e">
        <f>VLOOKUP(D2111,기본!$B$3:$C$90,2,0)</f>
        <v>#N/A</v>
      </c>
      <c r="G2111" t="e">
        <f>VLOOKUP(E2111,기본!$F$3:$G$320,2,0)</f>
        <v>#N/A</v>
      </c>
      <c r="H2111" s="544"/>
    </row>
    <row r="2112" spans="3:8">
      <c r="C2112" s="545" t="e">
        <f>VLOOKUP(D2112,기본!$B$3:$C$90,2,0)</f>
        <v>#N/A</v>
      </c>
      <c r="G2112" t="e">
        <f>VLOOKUP(E2112,기본!$F$3:$G$320,2,0)</f>
        <v>#N/A</v>
      </c>
      <c r="H2112" s="544"/>
    </row>
    <row r="2113" spans="3:8">
      <c r="C2113" s="545" t="e">
        <f>VLOOKUP(D2113,기본!$B$3:$C$90,2,0)</f>
        <v>#N/A</v>
      </c>
      <c r="G2113" t="e">
        <f>VLOOKUP(E2113,기본!$F$3:$G$320,2,0)</f>
        <v>#N/A</v>
      </c>
      <c r="H2113" s="544"/>
    </row>
    <row r="2114" spans="3:8">
      <c r="C2114" s="545" t="e">
        <f>VLOOKUP(D2114,기본!$B$3:$C$90,2,0)</f>
        <v>#N/A</v>
      </c>
      <c r="G2114" t="e">
        <f>VLOOKUP(E2114,기본!$F$3:$G$320,2,0)</f>
        <v>#N/A</v>
      </c>
      <c r="H2114" s="544"/>
    </row>
    <row r="2115" spans="3:8">
      <c r="C2115" s="545" t="e">
        <f>VLOOKUP(D2115,기본!$B$3:$C$90,2,0)</f>
        <v>#N/A</v>
      </c>
      <c r="G2115" t="e">
        <f>VLOOKUP(E2115,기본!$F$3:$G$320,2,0)</f>
        <v>#N/A</v>
      </c>
      <c r="H2115" s="544"/>
    </row>
    <row r="2116" spans="3:8">
      <c r="C2116" s="545" t="e">
        <f>VLOOKUP(D2116,기본!$B$3:$C$90,2,0)</f>
        <v>#N/A</v>
      </c>
      <c r="G2116" t="e">
        <f>VLOOKUP(E2116,기본!$F$3:$G$320,2,0)</f>
        <v>#N/A</v>
      </c>
      <c r="H2116" s="544"/>
    </row>
    <row r="2117" spans="3:8">
      <c r="C2117" s="545" t="e">
        <f>VLOOKUP(D2117,기본!$B$3:$C$90,2,0)</f>
        <v>#N/A</v>
      </c>
      <c r="G2117" t="e">
        <f>VLOOKUP(E2117,기본!$F$3:$G$320,2,0)</f>
        <v>#N/A</v>
      </c>
      <c r="H2117" s="544"/>
    </row>
    <row r="2118" spans="3:8">
      <c r="C2118" s="545" t="e">
        <f>VLOOKUP(D2118,기본!$B$3:$C$90,2,0)</f>
        <v>#N/A</v>
      </c>
      <c r="G2118" t="e">
        <f>VLOOKUP(E2118,기본!$F$3:$G$320,2,0)</f>
        <v>#N/A</v>
      </c>
      <c r="H2118" s="544"/>
    </row>
    <row r="2119" spans="3:8">
      <c r="C2119" s="545" t="e">
        <f>VLOOKUP(D2119,기본!$B$3:$C$90,2,0)</f>
        <v>#N/A</v>
      </c>
      <c r="G2119" t="e">
        <f>VLOOKUP(E2119,기본!$F$3:$G$320,2,0)</f>
        <v>#N/A</v>
      </c>
      <c r="H2119" s="544"/>
    </row>
    <row r="2120" spans="3:8">
      <c r="C2120" s="545" t="e">
        <f>VLOOKUP(D2120,기본!$B$3:$C$90,2,0)</f>
        <v>#N/A</v>
      </c>
      <c r="G2120" t="e">
        <f>VLOOKUP(E2120,기본!$F$3:$G$320,2,0)</f>
        <v>#N/A</v>
      </c>
      <c r="H2120" s="544"/>
    </row>
    <row r="2121" spans="3:8">
      <c r="C2121" s="545" t="e">
        <f>VLOOKUP(D2121,기본!$B$3:$C$90,2,0)</f>
        <v>#N/A</v>
      </c>
      <c r="G2121" t="e">
        <f>VLOOKUP(E2121,기본!$F$3:$G$320,2,0)</f>
        <v>#N/A</v>
      </c>
      <c r="H2121" s="544"/>
    </row>
    <row r="2122" spans="3:8">
      <c r="C2122" s="545" t="e">
        <f>VLOOKUP(D2122,기본!$B$3:$C$90,2,0)</f>
        <v>#N/A</v>
      </c>
      <c r="G2122" t="e">
        <f>VLOOKUP(E2122,기본!$F$3:$G$320,2,0)</f>
        <v>#N/A</v>
      </c>
      <c r="H2122" s="544"/>
    </row>
    <row r="2123" spans="3:8">
      <c r="C2123" s="545" t="e">
        <f>VLOOKUP(D2123,기본!$B$3:$C$90,2,0)</f>
        <v>#N/A</v>
      </c>
      <c r="G2123" t="e">
        <f>VLOOKUP(E2123,기본!$F$3:$G$320,2,0)</f>
        <v>#N/A</v>
      </c>
      <c r="H2123" s="544"/>
    </row>
    <row r="2124" spans="3:8">
      <c r="C2124" s="545" t="e">
        <f>VLOOKUP(D2124,기본!$B$3:$C$90,2,0)</f>
        <v>#N/A</v>
      </c>
      <c r="G2124" t="e">
        <f>VLOOKUP(E2124,기본!$F$3:$G$320,2,0)</f>
        <v>#N/A</v>
      </c>
      <c r="H2124" s="544"/>
    </row>
    <row r="2125" spans="3:8">
      <c r="C2125" s="545" t="e">
        <f>VLOOKUP(D2125,기본!$B$3:$C$90,2,0)</f>
        <v>#N/A</v>
      </c>
      <c r="G2125" t="e">
        <f>VLOOKUP(E2125,기본!$F$3:$G$320,2,0)</f>
        <v>#N/A</v>
      </c>
      <c r="H2125" s="544"/>
    </row>
    <row r="2126" spans="3:8">
      <c r="C2126" s="545" t="e">
        <f>VLOOKUP(D2126,기본!$B$3:$C$90,2,0)</f>
        <v>#N/A</v>
      </c>
      <c r="G2126" t="e">
        <f>VLOOKUP(E2126,기본!$F$3:$G$320,2,0)</f>
        <v>#N/A</v>
      </c>
      <c r="H2126" s="544"/>
    </row>
    <row r="2127" spans="3:8">
      <c r="C2127" s="545" t="e">
        <f>VLOOKUP(D2127,기본!$B$3:$C$90,2,0)</f>
        <v>#N/A</v>
      </c>
      <c r="G2127" t="e">
        <f>VLOOKUP(E2127,기본!$F$3:$G$320,2,0)</f>
        <v>#N/A</v>
      </c>
      <c r="H2127" s="544"/>
    </row>
    <row r="2128" spans="3:8">
      <c r="C2128" s="545" t="e">
        <f>VLOOKUP(D2128,기본!$B$3:$C$90,2,0)</f>
        <v>#N/A</v>
      </c>
      <c r="G2128" t="e">
        <f>VLOOKUP(E2128,기본!$F$3:$G$320,2,0)</f>
        <v>#N/A</v>
      </c>
      <c r="H2128" s="544"/>
    </row>
    <row r="2129" spans="3:8">
      <c r="C2129" s="545" t="e">
        <f>VLOOKUP(D2129,기본!$B$3:$C$90,2,0)</f>
        <v>#N/A</v>
      </c>
      <c r="G2129" t="e">
        <f>VLOOKUP(E2129,기본!$F$3:$G$320,2,0)</f>
        <v>#N/A</v>
      </c>
      <c r="H2129" s="544"/>
    </row>
    <row r="2130" spans="3:8">
      <c r="C2130" s="545" t="e">
        <f>VLOOKUP(D2130,기본!$B$3:$C$90,2,0)</f>
        <v>#N/A</v>
      </c>
      <c r="G2130" t="e">
        <f>VLOOKUP(E2130,기본!$F$3:$G$320,2,0)</f>
        <v>#N/A</v>
      </c>
      <c r="H2130" s="544"/>
    </row>
    <row r="2131" spans="3:8">
      <c r="C2131" s="545" t="e">
        <f>VLOOKUP(D2131,기본!$B$3:$C$90,2,0)</f>
        <v>#N/A</v>
      </c>
      <c r="G2131" t="e">
        <f>VLOOKUP(E2131,기본!$F$3:$G$320,2,0)</f>
        <v>#N/A</v>
      </c>
      <c r="H2131" s="544"/>
    </row>
    <row r="2132" spans="3:8">
      <c r="C2132" s="545" t="e">
        <f>VLOOKUP(D2132,기본!$B$3:$C$90,2,0)</f>
        <v>#N/A</v>
      </c>
      <c r="G2132" t="e">
        <f>VLOOKUP(E2132,기본!$F$3:$G$320,2,0)</f>
        <v>#N/A</v>
      </c>
      <c r="H2132" s="544"/>
    </row>
    <row r="2133" spans="3:8">
      <c r="C2133" s="545" t="e">
        <f>VLOOKUP(D2133,기본!$B$3:$C$90,2,0)</f>
        <v>#N/A</v>
      </c>
      <c r="G2133" t="e">
        <f>VLOOKUP(E2133,기본!$F$3:$G$320,2,0)</f>
        <v>#N/A</v>
      </c>
      <c r="H2133" s="544"/>
    </row>
    <row r="2134" spans="3:8">
      <c r="C2134" s="545" t="e">
        <f>VLOOKUP(D2134,기본!$B$3:$C$90,2,0)</f>
        <v>#N/A</v>
      </c>
      <c r="G2134" t="e">
        <f>VLOOKUP(E2134,기본!$F$3:$G$320,2,0)</f>
        <v>#N/A</v>
      </c>
      <c r="H2134" s="544"/>
    </row>
    <row r="2135" spans="3:8">
      <c r="C2135" s="545" t="e">
        <f>VLOOKUP(D2135,기본!$B$3:$C$90,2,0)</f>
        <v>#N/A</v>
      </c>
      <c r="G2135" t="e">
        <f>VLOOKUP(E2135,기본!$F$3:$G$320,2,0)</f>
        <v>#N/A</v>
      </c>
      <c r="H2135" s="544"/>
    </row>
    <row r="2136" spans="3:8">
      <c r="C2136" s="545" t="e">
        <f>VLOOKUP(D2136,기본!$B$3:$C$90,2,0)</f>
        <v>#N/A</v>
      </c>
      <c r="G2136" t="e">
        <f>VLOOKUP(E2136,기본!$F$3:$G$320,2,0)</f>
        <v>#N/A</v>
      </c>
      <c r="H2136" s="544"/>
    </row>
    <row r="2137" spans="3:8">
      <c r="C2137" s="545" t="e">
        <f>VLOOKUP(D2137,기본!$B$3:$C$90,2,0)</f>
        <v>#N/A</v>
      </c>
      <c r="G2137" t="e">
        <f>VLOOKUP(E2137,기본!$F$3:$G$320,2,0)</f>
        <v>#N/A</v>
      </c>
      <c r="H2137" s="544"/>
    </row>
    <row r="2138" spans="3:8">
      <c r="C2138" s="545" t="e">
        <f>VLOOKUP(D2138,기본!$B$3:$C$90,2,0)</f>
        <v>#N/A</v>
      </c>
      <c r="G2138" t="e">
        <f>VLOOKUP(E2138,기본!$F$3:$G$320,2,0)</f>
        <v>#N/A</v>
      </c>
      <c r="H2138" s="544"/>
    </row>
    <row r="2139" spans="3:8">
      <c r="C2139" s="545" t="e">
        <f>VLOOKUP(D2139,기본!$B$3:$C$90,2,0)</f>
        <v>#N/A</v>
      </c>
      <c r="G2139" t="e">
        <f>VLOOKUP(E2139,기본!$F$3:$G$320,2,0)</f>
        <v>#N/A</v>
      </c>
      <c r="H2139" s="544"/>
    </row>
    <row r="2140" spans="3:8">
      <c r="C2140" s="545" t="e">
        <f>VLOOKUP(D2140,기본!$B$3:$C$90,2,0)</f>
        <v>#N/A</v>
      </c>
      <c r="G2140" t="e">
        <f>VLOOKUP(E2140,기본!$F$3:$G$320,2,0)</f>
        <v>#N/A</v>
      </c>
      <c r="H2140" s="544"/>
    </row>
    <row r="2141" spans="3:8">
      <c r="C2141" s="545" t="e">
        <f>VLOOKUP(D2141,기본!$B$3:$C$90,2,0)</f>
        <v>#N/A</v>
      </c>
      <c r="G2141" t="e">
        <f>VLOOKUP(E2141,기본!$F$3:$G$320,2,0)</f>
        <v>#N/A</v>
      </c>
      <c r="H2141" s="544"/>
    </row>
    <row r="2142" spans="3:8">
      <c r="C2142" s="545" t="e">
        <f>VLOOKUP(D2142,기본!$B$3:$C$90,2,0)</f>
        <v>#N/A</v>
      </c>
      <c r="G2142" t="e">
        <f>VLOOKUP(E2142,기본!$F$3:$G$320,2,0)</f>
        <v>#N/A</v>
      </c>
      <c r="H2142" s="544"/>
    </row>
    <row r="2143" spans="3:8">
      <c r="C2143" s="545" t="e">
        <f>VLOOKUP(D2143,기본!$B$3:$C$90,2,0)</f>
        <v>#N/A</v>
      </c>
      <c r="G2143" t="e">
        <f>VLOOKUP(E2143,기본!$F$3:$G$320,2,0)</f>
        <v>#N/A</v>
      </c>
      <c r="H2143" s="544"/>
    </row>
    <row r="2144" spans="3:8">
      <c r="C2144" s="545" t="e">
        <f>VLOOKUP(D2144,기본!$B$3:$C$90,2,0)</f>
        <v>#N/A</v>
      </c>
      <c r="G2144" t="e">
        <f>VLOOKUP(E2144,기본!$F$3:$G$320,2,0)</f>
        <v>#N/A</v>
      </c>
      <c r="H2144" s="544"/>
    </row>
    <row r="2145" spans="3:8">
      <c r="C2145" s="545" t="e">
        <f>VLOOKUP(D2145,기본!$B$3:$C$90,2,0)</f>
        <v>#N/A</v>
      </c>
      <c r="G2145" t="e">
        <f>VLOOKUP(E2145,기본!$F$3:$G$320,2,0)</f>
        <v>#N/A</v>
      </c>
      <c r="H2145" s="544"/>
    </row>
    <row r="2146" spans="3:8">
      <c r="C2146" s="545" t="e">
        <f>VLOOKUP(D2146,기본!$B$3:$C$90,2,0)</f>
        <v>#N/A</v>
      </c>
      <c r="G2146" t="e">
        <f>VLOOKUP(E2146,기본!$F$3:$G$320,2,0)</f>
        <v>#N/A</v>
      </c>
      <c r="H2146" s="544"/>
    </row>
    <row r="2147" spans="3:8">
      <c r="C2147" s="545" t="e">
        <f>VLOOKUP(D2147,기본!$B$3:$C$90,2,0)</f>
        <v>#N/A</v>
      </c>
      <c r="G2147" t="e">
        <f>VLOOKUP(E2147,기본!$F$3:$G$320,2,0)</f>
        <v>#N/A</v>
      </c>
      <c r="H2147" s="544"/>
    </row>
    <row r="2148" spans="3:8">
      <c r="C2148" s="545" t="e">
        <f>VLOOKUP(D2148,기본!$B$3:$C$90,2,0)</f>
        <v>#N/A</v>
      </c>
      <c r="G2148" t="e">
        <f>VLOOKUP(E2148,기본!$F$3:$G$320,2,0)</f>
        <v>#N/A</v>
      </c>
      <c r="H2148" s="544"/>
    </row>
    <row r="2149" spans="3:8">
      <c r="C2149" s="545" t="e">
        <f>VLOOKUP(D2149,기본!$B$3:$C$90,2,0)</f>
        <v>#N/A</v>
      </c>
      <c r="G2149" t="e">
        <f>VLOOKUP(E2149,기본!$F$3:$G$320,2,0)</f>
        <v>#N/A</v>
      </c>
      <c r="H2149" s="544"/>
    </row>
    <row r="2150" spans="3:8">
      <c r="C2150" s="545" t="e">
        <f>VLOOKUP(D2150,기본!$B$3:$C$90,2,0)</f>
        <v>#N/A</v>
      </c>
      <c r="G2150" t="e">
        <f>VLOOKUP(E2150,기본!$F$3:$G$320,2,0)</f>
        <v>#N/A</v>
      </c>
      <c r="H2150" s="544"/>
    </row>
    <row r="2151" spans="3:8">
      <c r="C2151" s="545" t="e">
        <f>VLOOKUP(D2151,기본!$B$3:$C$90,2,0)</f>
        <v>#N/A</v>
      </c>
      <c r="G2151" t="e">
        <f>VLOOKUP(E2151,기본!$F$3:$G$320,2,0)</f>
        <v>#N/A</v>
      </c>
      <c r="H2151" s="544"/>
    </row>
    <row r="2152" spans="3:8">
      <c r="C2152" s="545" t="e">
        <f>VLOOKUP(D2152,기본!$B$3:$C$90,2,0)</f>
        <v>#N/A</v>
      </c>
      <c r="G2152" t="e">
        <f>VLOOKUP(E2152,기본!$F$3:$G$320,2,0)</f>
        <v>#N/A</v>
      </c>
      <c r="H2152" s="544"/>
    </row>
    <row r="2153" spans="3:8">
      <c r="C2153" s="545" t="e">
        <f>VLOOKUP(D2153,기본!$B$3:$C$90,2,0)</f>
        <v>#N/A</v>
      </c>
      <c r="G2153" t="e">
        <f>VLOOKUP(E2153,기본!$F$3:$G$320,2,0)</f>
        <v>#N/A</v>
      </c>
      <c r="H2153" s="544"/>
    </row>
    <row r="2154" spans="3:8">
      <c r="C2154" s="545" t="e">
        <f>VLOOKUP(D2154,기본!$B$3:$C$90,2,0)</f>
        <v>#N/A</v>
      </c>
      <c r="G2154" t="e">
        <f>VLOOKUP(E2154,기본!$F$3:$G$320,2,0)</f>
        <v>#N/A</v>
      </c>
      <c r="H2154" s="544"/>
    </row>
    <row r="2155" spans="3:8">
      <c r="C2155" s="545" t="e">
        <f>VLOOKUP(D2155,기본!$B$3:$C$90,2,0)</f>
        <v>#N/A</v>
      </c>
      <c r="G2155" t="e">
        <f>VLOOKUP(E2155,기본!$F$3:$G$320,2,0)</f>
        <v>#N/A</v>
      </c>
      <c r="H2155" s="544"/>
    </row>
    <row r="2156" spans="3:8">
      <c r="C2156" s="545" t="e">
        <f>VLOOKUP(D2156,기본!$B$3:$C$90,2,0)</f>
        <v>#N/A</v>
      </c>
      <c r="G2156" t="e">
        <f>VLOOKUP(E2156,기본!$F$3:$G$320,2,0)</f>
        <v>#N/A</v>
      </c>
      <c r="H2156" s="544"/>
    </row>
    <row r="2157" spans="3:8">
      <c r="C2157" s="545" t="e">
        <f>VLOOKUP(D2157,기본!$B$3:$C$90,2,0)</f>
        <v>#N/A</v>
      </c>
      <c r="G2157" t="e">
        <f>VLOOKUP(E2157,기본!$F$3:$G$320,2,0)</f>
        <v>#N/A</v>
      </c>
      <c r="H2157" s="544"/>
    </row>
    <row r="2158" spans="3:8">
      <c r="C2158" s="545" t="e">
        <f>VLOOKUP(D2158,기본!$B$3:$C$90,2,0)</f>
        <v>#N/A</v>
      </c>
      <c r="G2158" t="e">
        <f>VLOOKUP(E2158,기본!$F$3:$G$320,2,0)</f>
        <v>#N/A</v>
      </c>
      <c r="H2158" s="544"/>
    </row>
    <row r="2159" spans="3:8">
      <c r="C2159" s="545" t="e">
        <f>VLOOKUP(D2159,기본!$B$3:$C$90,2,0)</f>
        <v>#N/A</v>
      </c>
      <c r="G2159" t="e">
        <f>VLOOKUP(E2159,기본!$F$3:$G$320,2,0)</f>
        <v>#N/A</v>
      </c>
      <c r="H2159" s="544"/>
    </row>
    <row r="2160" spans="3:8">
      <c r="C2160" s="545" t="e">
        <f>VLOOKUP(D2160,기본!$B$3:$C$90,2,0)</f>
        <v>#N/A</v>
      </c>
      <c r="G2160" t="e">
        <f>VLOOKUP(E2160,기본!$F$3:$G$320,2,0)</f>
        <v>#N/A</v>
      </c>
      <c r="H2160" s="544"/>
    </row>
    <row r="2161" spans="3:8">
      <c r="C2161" s="545" t="e">
        <f>VLOOKUP(D2161,기본!$B$3:$C$90,2,0)</f>
        <v>#N/A</v>
      </c>
      <c r="G2161" t="e">
        <f>VLOOKUP(E2161,기본!$F$3:$G$320,2,0)</f>
        <v>#N/A</v>
      </c>
      <c r="H2161" s="544"/>
    </row>
    <row r="2162" spans="3:8">
      <c r="C2162" s="545" t="e">
        <f>VLOOKUP(D2162,기본!$B$3:$C$90,2,0)</f>
        <v>#N/A</v>
      </c>
      <c r="G2162" t="e">
        <f>VLOOKUP(E2162,기본!$F$3:$G$320,2,0)</f>
        <v>#N/A</v>
      </c>
      <c r="H2162" s="544"/>
    </row>
    <row r="2163" spans="3:8">
      <c r="C2163" s="545" t="e">
        <f>VLOOKUP(D2163,기본!$B$3:$C$90,2,0)</f>
        <v>#N/A</v>
      </c>
      <c r="G2163" t="e">
        <f>VLOOKUP(E2163,기본!$F$3:$G$320,2,0)</f>
        <v>#N/A</v>
      </c>
      <c r="H2163" s="544"/>
    </row>
    <row r="2164" spans="3:8">
      <c r="C2164" s="545" t="e">
        <f>VLOOKUP(D2164,기본!$B$3:$C$90,2,0)</f>
        <v>#N/A</v>
      </c>
      <c r="G2164" t="e">
        <f>VLOOKUP(E2164,기본!$F$3:$G$320,2,0)</f>
        <v>#N/A</v>
      </c>
      <c r="H2164" s="544"/>
    </row>
    <row r="2165" spans="3:8">
      <c r="C2165" s="545" t="e">
        <f>VLOOKUP(D2165,기본!$B$3:$C$90,2,0)</f>
        <v>#N/A</v>
      </c>
      <c r="G2165" t="e">
        <f>VLOOKUP(E2165,기본!$F$3:$G$320,2,0)</f>
        <v>#N/A</v>
      </c>
      <c r="H2165" s="544"/>
    </row>
    <row r="2166" spans="3:8">
      <c r="C2166" s="545" t="e">
        <f>VLOOKUP(D2166,기본!$B$3:$C$90,2,0)</f>
        <v>#N/A</v>
      </c>
      <c r="G2166" t="e">
        <f>VLOOKUP(E2166,기본!$F$3:$G$320,2,0)</f>
        <v>#N/A</v>
      </c>
      <c r="H2166" s="544"/>
    </row>
    <row r="2167" spans="3:8">
      <c r="C2167" s="545" t="e">
        <f>VLOOKUP(D2167,기본!$B$3:$C$90,2,0)</f>
        <v>#N/A</v>
      </c>
      <c r="G2167" t="e">
        <f>VLOOKUP(E2167,기본!$F$3:$G$320,2,0)</f>
        <v>#N/A</v>
      </c>
      <c r="H2167" s="544"/>
    </row>
    <row r="2168" spans="3:8">
      <c r="C2168" s="545" t="e">
        <f>VLOOKUP(D2168,기본!$B$3:$C$90,2,0)</f>
        <v>#N/A</v>
      </c>
      <c r="G2168" t="e">
        <f>VLOOKUP(E2168,기본!$F$3:$G$320,2,0)</f>
        <v>#N/A</v>
      </c>
      <c r="H2168" s="544"/>
    </row>
    <row r="2169" spans="3:8">
      <c r="C2169" s="545" t="e">
        <f>VLOOKUP(D2169,기본!$B$3:$C$90,2,0)</f>
        <v>#N/A</v>
      </c>
      <c r="G2169" t="e">
        <f>VLOOKUP(E2169,기본!$F$3:$G$320,2,0)</f>
        <v>#N/A</v>
      </c>
      <c r="H2169" s="544"/>
    </row>
    <row r="2170" spans="3:8">
      <c r="C2170" s="545" t="e">
        <f>VLOOKUP(D2170,기본!$B$3:$C$90,2,0)</f>
        <v>#N/A</v>
      </c>
      <c r="G2170" t="e">
        <f>VLOOKUP(E2170,기본!$F$3:$G$320,2,0)</f>
        <v>#N/A</v>
      </c>
      <c r="H2170" s="544"/>
    </row>
    <row r="2171" spans="3:8">
      <c r="C2171" s="545" t="e">
        <f>VLOOKUP(D2171,기본!$B$3:$C$90,2,0)</f>
        <v>#N/A</v>
      </c>
      <c r="G2171" t="e">
        <f>VLOOKUP(E2171,기본!$F$3:$G$320,2,0)</f>
        <v>#N/A</v>
      </c>
      <c r="H2171" s="544"/>
    </row>
    <row r="2172" spans="3:8">
      <c r="C2172" s="545" t="e">
        <f>VLOOKUP(D2172,기본!$B$3:$C$90,2,0)</f>
        <v>#N/A</v>
      </c>
      <c r="G2172" t="e">
        <f>VLOOKUP(E2172,기본!$F$3:$G$320,2,0)</f>
        <v>#N/A</v>
      </c>
      <c r="H2172" s="544"/>
    </row>
    <row r="2173" spans="3:8">
      <c r="C2173" s="545" t="e">
        <f>VLOOKUP(D2173,기본!$B$3:$C$90,2,0)</f>
        <v>#N/A</v>
      </c>
      <c r="G2173" t="e">
        <f>VLOOKUP(E2173,기본!$F$3:$G$320,2,0)</f>
        <v>#N/A</v>
      </c>
      <c r="H2173" s="544"/>
    </row>
    <row r="2174" spans="3:8">
      <c r="C2174" s="545" t="e">
        <f>VLOOKUP(D2174,기본!$B$3:$C$90,2,0)</f>
        <v>#N/A</v>
      </c>
      <c r="G2174" t="e">
        <f>VLOOKUP(E2174,기본!$F$3:$G$320,2,0)</f>
        <v>#N/A</v>
      </c>
      <c r="H2174" s="544"/>
    </row>
    <row r="2175" spans="3:8">
      <c r="C2175" s="545" t="e">
        <f>VLOOKUP(D2175,기본!$B$3:$C$90,2,0)</f>
        <v>#N/A</v>
      </c>
      <c r="G2175" t="e">
        <f>VLOOKUP(E2175,기본!$F$3:$G$320,2,0)</f>
        <v>#N/A</v>
      </c>
      <c r="H2175" s="544"/>
    </row>
    <row r="2176" spans="3:8">
      <c r="C2176" s="545" t="e">
        <f>VLOOKUP(D2176,기본!$B$3:$C$90,2,0)</f>
        <v>#N/A</v>
      </c>
      <c r="G2176" t="e">
        <f>VLOOKUP(E2176,기본!$F$3:$G$320,2,0)</f>
        <v>#N/A</v>
      </c>
      <c r="H2176" s="544"/>
    </row>
    <row r="2177" spans="3:8">
      <c r="C2177" s="545" t="e">
        <f>VLOOKUP(D2177,기본!$B$3:$C$90,2,0)</f>
        <v>#N/A</v>
      </c>
      <c r="G2177" t="e">
        <f>VLOOKUP(E2177,기본!$F$3:$G$320,2,0)</f>
        <v>#N/A</v>
      </c>
      <c r="H2177" s="544"/>
    </row>
    <row r="2178" spans="3:8">
      <c r="C2178" s="545" t="e">
        <f>VLOOKUP(D2178,기본!$B$3:$C$90,2,0)</f>
        <v>#N/A</v>
      </c>
      <c r="G2178" t="e">
        <f>VLOOKUP(E2178,기본!$F$3:$G$320,2,0)</f>
        <v>#N/A</v>
      </c>
      <c r="H2178" s="544"/>
    </row>
    <row r="2179" spans="3:8">
      <c r="C2179" s="545" t="e">
        <f>VLOOKUP(D2179,기본!$B$3:$C$90,2,0)</f>
        <v>#N/A</v>
      </c>
      <c r="G2179" t="e">
        <f>VLOOKUP(E2179,기본!$F$3:$G$320,2,0)</f>
        <v>#N/A</v>
      </c>
      <c r="H2179" s="544"/>
    </row>
    <row r="2180" spans="3:8">
      <c r="C2180" s="545" t="e">
        <f>VLOOKUP(D2180,기본!$B$3:$C$90,2,0)</f>
        <v>#N/A</v>
      </c>
      <c r="G2180" t="e">
        <f>VLOOKUP(E2180,기본!$F$3:$G$320,2,0)</f>
        <v>#N/A</v>
      </c>
      <c r="H2180" s="544"/>
    </row>
    <row r="2181" spans="3:8">
      <c r="C2181" s="545" t="e">
        <f>VLOOKUP(D2181,기본!$B$3:$C$90,2,0)</f>
        <v>#N/A</v>
      </c>
      <c r="G2181" t="e">
        <f>VLOOKUP(E2181,기본!$F$3:$G$320,2,0)</f>
        <v>#N/A</v>
      </c>
      <c r="H2181" s="544"/>
    </row>
    <row r="2182" spans="3:8">
      <c r="C2182" s="545" t="e">
        <f>VLOOKUP(D2182,기본!$B$3:$C$90,2,0)</f>
        <v>#N/A</v>
      </c>
      <c r="G2182" t="e">
        <f>VLOOKUP(E2182,기본!$F$3:$G$320,2,0)</f>
        <v>#N/A</v>
      </c>
      <c r="H2182" s="544"/>
    </row>
    <row r="2183" spans="3:8">
      <c r="C2183" s="545" t="e">
        <f>VLOOKUP(D2183,기본!$B$3:$C$90,2,0)</f>
        <v>#N/A</v>
      </c>
      <c r="G2183" t="e">
        <f>VLOOKUP(E2183,기본!$F$3:$G$320,2,0)</f>
        <v>#N/A</v>
      </c>
      <c r="H2183" s="544"/>
    </row>
    <row r="2184" spans="3:8">
      <c r="C2184" s="545" t="e">
        <f>VLOOKUP(D2184,기본!$B$3:$C$90,2,0)</f>
        <v>#N/A</v>
      </c>
      <c r="G2184" t="e">
        <f>VLOOKUP(E2184,기본!$F$3:$G$320,2,0)</f>
        <v>#N/A</v>
      </c>
      <c r="H2184" s="544"/>
    </row>
    <row r="2185" spans="3:8">
      <c r="C2185" s="545" t="e">
        <f>VLOOKUP(D2185,기본!$B$3:$C$90,2,0)</f>
        <v>#N/A</v>
      </c>
      <c r="G2185" t="e">
        <f>VLOOKUP(E2185,기본!$F$3:$G$320,2,0)</f>
        <v>#N/A</v>
      </c>
      <c r="H2185" s="544"/>
    </row>
    <row r="2186" spans="3:8">
      <c r="C2186" s="545" t="e">
        <f>VLOOKUP(D2186,기본!$B$3:$C$90,2,0)</f>
        <v>#N/A</v>
      </c>
      <c r="G2186" t="e">
        <f>VLOOKUP(E2186,기본!$F$3:$G$320,2,0)</f>
        <v>#N/A</v>
      </c>
      <c r="H2186" s="544"/>
    </row>
    <row r="2187" spans="3:8">
      <c r="C2187" s="545" t="e">
        <f>VLOOKUP(D2187,기본!$B$3:$C$90,2,0)</f>
        <v>#N/A</v>
      </c>
      <c r="G2187" t="e">
        <f>VLOOKUP(E2187,기본!$F$3:$G$320,2,0)</f>
        <v>#N/A</v>
      </c>
      <c r="H2187" s="544"/>
    </row>
    <row r="2188" spans="3:8">
      <c r="C2188" s="545" t="e">
        <f>VLOOKUP(D2188,기본!$B$3:$C$90,2,0)</f>
        <v>#N/A</v>
      </c>
      <c r="G2188" t="e">
        <f>VLOOKUP(E2188,기본!$F$3:$G$320,2,0)</f>
        <v>#N/A</v>
      </c>
      <c r="H2188" s="544"/>
    </row>
    <row r="2189" spans="3:8">
      <c r="C2189" s="545" t="e">
        <f>VLOOKUP(D2189,기본!$B$3:$C$90,2,0)</f>
        <v>#N/A</v>
      </c>
      <c r="G2189" t="e">
        <f>VLOOKUP(E2189,기본!$F$3:$G$320,2,0)</f>
        <v>#N/A</v>
      </c>
      <c r="H2189" s="544"/>
    </row>
    <row r="2190" spans="3:8">
      <c r="C2190" s="545" t="e">
        <f>VLOOKUP(D2190,기본!$B$3:$C$90,2,0)</f>
        <v>#N/A</v>
      </c>
      <c r="G2190" t="e">
        <f>VLOOKUP(E2190,기본!$F$3:$G$320,2,0)</f>
        <v>#N/A</v>
      </c>
      <c r="H2190" s="544"/>
    </row>
    <row r="2191" spans="3:8">
      <c r="C2191" s="545" t="e">
        <f>VLOOKUP(D2191,기본!$B$3:$C$90,2,0)</f>
        <v>#N/A</v>
      </c>
      <c r="G2191" t="e">
        <f>VLOOKUP(E2191,기본!$F$3:$G$320,2,0)</f>
        <v>#N/A</v>
      </c>
      <c r="H2191" s="544"/>
    </row>
    <row r="2192" spans="3:8">
      <c r="C2192" s="545" t="e">
        <f>VLOOKUP(D2192,기본!$B$3:$C$90,2,0)</f>
        <v>#N/A</v>
      </c>
      <c r="G2192" t="e">
        <f>VLOOKUP(E2192,기본!$F$3:$G$320,2,0)</f>
        <v>#N/A</v>
      </c>
      <c r="H2192" s="544"/>
    </row>
    <row r="2193" spans="3:8">
      <c r="C2193" s="545" t="e">
        <f>VLOOKUP(D2193,기본!$B$3:$C$90,2,0)</f>
        <v>#N/A</v>
      </c>
      <c r="G2193" t="e">
        <f>VLOOKUP(E2193,기본!$F$3:$G$320,2,0)</f>
        <v>#N/A</v>
      </c>
      <c r="H2193" s="544"/>
    </row>
    <row r="2194" spans="3:8">
      <c r="C2194" s="545" t="e">
        <f>VLOOKUP(D2194,기본!$B$3:$C$90,2,0)</f>
        <v>#N/A</v>
      </c>
      <c r="G2194" t="e">
        <f>VLOOKUP(E2194,기본!$F$3:$G$320,2,0)</f>
        <v>#N/A</v>
      </c>
      <c r="H2194" s="544"/>
    </row>
    <row r="2195" spans="3:8">
      <c r="C2195" s="545" t="e">
        <f>VLOOKUP(D2195,기본!$B$3:$C$90,2,0)</f>
        <v>#N/A</v>
      </c>
      <c r="G2195" t="e">
        <f>VLOOKUP(E2195,기본!$F$3:$G$320,2,0)</f>
        <v>#N/A</v>
      </c>
      <c r="H2195" s="544"/>
    </row>
    <row r="2196" spans="3:8">
      <c r="C2196" s="545" t="e">
        <f>VLOOKUP(D2196,기본!$B$3:$C$90,2,0)</f>
        <v>#N/A</v>
      </c>
      <c r="G2196" t="e">
        <f>VLOOKUP(E2196,기본!$F$3:$G$320,2,0)</f>
        <v>#N/A</v>
      </c>
      <c r="H2196" s="544"/>
    </row>
    <row r="2197" spans="3:8">
      <c r="C2197" s="545" t="e">
        <f>VLOOKUP(D2197,기본!$B$3:$C$90,2,0)</f>
        <v>#N/A</v>
      </c>
      <c r="G2197" t="e">
        <f>VLOOKUP(E2197,기본!$F$3:$G$320,2,0)</f>
        <v>#N/A</v>
      </c>
      <c r="H2197" s="544"/>
    </row>
    <row r="2198" spans="3:8">
      <c r="C2198" s="545" t="e">
        <f>VLOOKUP(D2198,기본!$B$3:$C$90,2,0)</f>
        <v>#N/A</v>
      </c>
      <c r="G2198" t="e">
        <f>VLOOKUP(E2198,기본!$F$3:$G$320,2,0)</f>
        <v>#N/A</v>
      </c>
      <c r="H2198" s="544"/>
    </row>
    <row r="2199" spans="3:8">
      <c r="C2199" s="545" t="e">
        <f>VLOOKUP(D2199,기본!$B$3:$C$90,2,0)</f>
        <v>#N/A</v>
      </c>
      <c r="G2199" t="e">
        <f>VLOOKUP(E2199,기본!$F$3:$G$320,2,0)</f>
        <v>#N/A</v>
      </c>
      <c r="H2199" s="544"/>
    </row>
    <row r="2200" spans="3:8">
      <c r="C2200" s="545" t="e">
        <f>VLOOKUP(D2200,기본!$B$3:$C$90,2,0)</f>
        <v>#N/A</v>
      </c>
      <c r="G2200" t="e">
        <f>VLOOKUP(E2200,기본!$F$3:$G$320,2,0)</f>
        <v>#N/A</v>
      </c>
      <c r="H2200" s="544"/>
    </row>
    <row r="2201" spans="3:8">
      <c r="C2201" s="545" t="e">
        <f>VLOOKUP(D2201,기본!$B$3:$C$90,2,0)</f>
        <v>#N/A</v>
      </c>
      <c r="G2201" t="e">
        <f>VLOOKUP(E2201,기본!$F$3:$G$320,2,0)</f>
        <v>#N/A</v>
      </c>
      <c r="H2201" s="544"/>
    </row>
    <row r="2202" spans="3:8">
      <c r="C2202" s="545" t="e">
        <f>VLOOKUP(D2202,기본!$B$3:$C$90,2,0)</f>
        <v>#N/A</v>
      </c>
      <c r="G2202" t="e">
        <f>VLOOKUP(E2202,기본!$F$3:$G$320,2,0)</f>
        <v>#N/A</v>
      </c>
      <c r="H2202" s="544"/>
    </row>
    <row r="2203" spans="3:8">
      <c r="C2203" s="545" t="e">
        <f>VLOOKUP(D2203,기본!$B$3:$C$90,2,0)</f>
        <v>#N/A</v>
      </c>
      <c r="G2203" t="e">
        <f>VLOOKUP(E2203,기본!$F$3:$G$320,2,0)</f>
        <v>#N/A</v>
      </c>
      <c r="H2203" s="544"/>
    </row>
    <row r="2204" spans="3:8">
      <c r="C2204" s="545" t="e">
        <f>VLOOKUP(D2204,기본!$B$3:$C$90,2,0)</f>
        <v>#N/A</v>
      </c>
      <c r="G2204" t="e">
        <f>VLOOKUP(E2204,기본!$F$3:$G$320,2,0)</f>
        <v>#N/A</v>
      </c>
      <c r="H2204" s="544"/>
    </row>
    <row r="2205" spans="3:8">
      <c r="C2205" s="545" t="e">
        <f>VLOOKUP(D2205,기본!$B$3:$C$90,2,0)</f>
        <v>#N/A</v>
      </c>
      <c r="G2205" t="e">
        <f>VLOOKUP(E2205,기본!$F$3:$G$320,2,0)</f>
        <v>#N/A</v>
      </c>
      <c r="H2205" s="544"/>
    </row>
    <row r="2206" spans="3:8">
      <c r="C2206" s="545" t="e">
        <f>VLOOKUP(D2206,기본!$B$3:$C$90,2,0)</f>
        <v>#N/A</v>
      </c>
      <c r="G2206" t="e">
        <f>VLOOKUP(E2206,기본!$F$3:$G$320,2,0)</f>
        <v>#N/A</v>
      </c>
      <c r="H2206" s="544"/>
    </row>
    <row r="2207" spans="3:8">
      <c r="C2207" s="545" t="e">
        <f>VLOOKUP(D2207,기본!$B$3:$C$90,2,0)</f>
        <v>#N/A</v>
      </c>
      <c r="G2207" t="e">
        <f>VLOOKUP(E2207,기본!$F$3:$G$320,2,0)</f>
        <v>#N/A</v>
      </c>
      <c r="H2207" s="544"/>
    </row>
    <row r="2208" spans="3:8">
      <c r="C2208" s="545" t="e">
        <f>VLOOKUP(D2208,기본!$B$3:$C$90,2,0)</f>
        <v>#N/A</v>
      </c>
      <c r="G2208" t="e">
        <f>VLOOKUP(E2208,기본!$F$3:$G$320,2,0)</f>
        <v>#N/A</v>
      </c>
      <c r="H2208" s="544"/>
    </row>
    <row r="2209" spans="3:8">
      <c r="C2209" s="545" t="e">
        <f>VLOOKUP(D2209,기본!$B$3:$C$90,2,0)</f>
        <v>#N/A</v>
      </c>
      <c r="G2209" t="e">
        <f>VLOOKUP(E2209,기본!$F$3:$G$320,2,0)</f>
        <v>#N/A</v>
      </c>
      <c r="H2209" s="544"/>
    </row>
    <row r="2210" spans="3:8">
      <c r="C2210" s="545" t="e">
        <f>VLOOKUP(D2210,기본!$B$3:$C$90,2,0)</f>
        <v>#N/A</v>
      </c>
      <c r="G2210" t="e">
        <f>VLOOKUP(E2210,기본!$F$3:$G$320,2,0)</f>
        <v>#N/A</v>
      </c>
      <c r="H2210" s="544"/>
    </row>
    <row r="2211" spans="3:8">
      <c r="C2211" s="545" t="e">
        <f>VLOOKUP(D2211,기본!$B$3:$C$90,2,0)</f>
        <v>#N/A</v>
      </c>
      <c r="G2211" t="e">
        <f>VLOOKUP(E2211,기본!$F$3:$G$320,2,0)</f>
        <v>#N/A</v>
      </c>
      <c r="H2211" s="544"/>
    </row>
    <row r="2212" spans="3:8">
      <c r="C2212" s="545" t="e">
        <f>VLOOKUP(D2212,기본!$B$3:$C$90,2,0)</f>
        <v>#N/A</v>
      </c>
      <c r="G2212" t="e">
        <f>VLOOKUP(E2212,기본!$F$3:$G$320,2,0)</f>
        <v>#N/A</v>
      </c>
      <c r="H2212" s="544"/>
    </row>
    <row r="2213" spans="3:8">
      <c r="C2213" s="545" t="e">
        <f>VLOOKUP(D2213,기본!$B$3:$C$90,2,0)</f>
        <v>#N/A</v>
      </c>
      <c r="G2213" t="e">
        <f>VLOOKUP(E2213,기본!$F$3:$G$320,2,0)</f>
        <v>#N/A</v>
      </c>
      <c r="H2213" s="544"/>
    </row>
    <row r="2214" spans="3:8">
      <c r="C2214" s="545" t="e">
        <f>VLOOKUP(D2214,기본!$B$3:$C$90,2,0)</f>
        <v>#N/A</v>
      </c>
      <c r="G2214" t="e">
        <f>VLOOKUP(E2214,기본!$F$3:$G$320,2,0)</f>
        <v>#N/A</v>
      </c>
      <c r="H2214" s="544"/>
    </row>
    <row r="2215" spans="3:8">
      <c r="C2215" s="545" t="e">
        <f>VLOOKUP(D2215,기본!$B$3:$C$90,2,0)</f>
        <v>#N/A</v>
      </c>
      <c r="G2215" t="e">
        <f>VLOOKUP(E2215,기본!$F$3:$G$320,2,0)</f>
        <v>#N/A</v>
      </c>
      <c r="H2215" s="544"/>
    </row>
    <row r="2216" spans="3:8">
      <c r="C2216" s="545" t="e">
        <f>VLOOKUP(D2216,기본!$B$3:$C$90,2,0)</f>
        <v>#N/A</v>
      </c>
      <c r="G2216" t="e">
        <f>VLOOKUP(E2216,기본!$F$3:$G$320,2,0)</f>
        <v>#N/A</v>
      </c>
      <c r="H2216" s="544"/>
    </row>
    <row r="2217" spans="3:8">
      <c r="C2217" s="545" t="e">
        <f>VLOOKUP(D2217,기본!$B$3:$C$90,2,0)</f>
        <v>#N/A</v>
      </c>
      <c r="G2217" t="e">
        <f>VLOOKUP(E2217,기본!$F$3:$G$320,2,0)</f>
        <v>#N/A</v>
      </c>
      <c r="H2217" s="544"/>
    </row>
    <row r="2218" spans="3:8">
      <c r="C2218" s="545" t="e">
        <f>VLOOKUP(D2218,기본!$B$3:$C$90,2,0)</f>
        <v>#N/A</v>
      </c>
      <c r="G2218" t="e">
        <f>VLOOKUP(E2218,기본!$F$3:$G$320,2,0)</f>
        <v>#N/A</v>
      </c>
      <c r="H2218" s="544"/>
    </row>
    <row r="2219" spans="3:8">
      <c r="C2219" s="545" t="e">
        <f>VLOOKUP(D2219,기본!$B$3:$C$90,2,0)</f>
        <v>#N/A</v>
      </c>
      <c r="G2219" t="e">
        <f>VLOOKUP(E2219,기본!$F$3:$G$320,2,0)</f>
        <v>#N/A</v>
      </c>
      <c r="H2219" s="544"/>
    </row>
    <row r="2220" spans="3:8">
      <c r="C2220" s="545" t="e">
        <f>VLOOKUP(D2220,기본!$B$3:$C$90,2,0)</f>
        <v>#N/A</v>
      </c>
      <c r="G2220" t="e">
        <f>VLOOKUP(E2220,기본!$F$3:$G$320,2,0)</f>
        <v>#N/A</v>
      </c>
      <c r="H2220" s="544"/>
    </row>
    <row r="2221" spans="3:8">
      <c r="C2221" s="545" t="e">
        <f>VLOOKUP(D2221,기본!$B$3:$C$90,2,0)</f>
        <v>#N/A</v>
      </c>
      <c r="G2221" t="e">
        <f>VLOOKUP(E2221,기본!$F$3:$G$320,2,0)</f>
        <v>#N/A</v>
      </c>
      <c r="H2221" s="544"/>
    </row>
    <row r="2222" spans="3:8">
      <c r="C2222" s="545" t="e">
        <f>VLOOKUP(D2222,기본!$B$3:$C$90,2,0)</f>
        <v>#N/A</v>
      </c>
      <c r="G2222" t="e">
        <f>VLOOKUP(E2222,기본!$F$3:$G$320,2,0)</f>
        <v>#N/A</v>
      </c>
      <c r="H2222" s="544"/>
    </row>
    <row r="2223" spans="3:8">
      <c r="C2223" s="545" t="e">
        <f>VLOOKUP(D2223,기본!$B$3:$C$90,2,0)</f>
        <v>#N/A</v>
      </c>
      <c r="G2223" t="e">
        <f>VLOOKUP(E2223,기본!$F$3:$G$320,2,0)</f>
        <v>#N/A</v>
      </c>
      <c r="H2223" s="544"/>
    </row>
    <row r="2224" spans="3:8">
      <c r="C2224" s="545" t="e">
        <f>VLOOKUP(D2224,기본!$B$3:$C$90,2,0)</f>
        <v>#N/A</v>
      </c>
      <c r="G2224" t="e">
        <f>VLOOKUP(E2224,기본!$F$3:$G$320,2,0)</f>
        <v>#N/A</v>
      </c>
      <c r="H2224" s="544"/>
    </row>
    <row r="2225" spans="3:8">
      <c r="C2225" s="545" t="e">
        <f>VLOOKUP(D2225,기본!$B$3:$C$90,2,0)</f>
        <v>#N/A</v>
      </c>
      <c r="G2225" t="e">
        <f>VLOOKUP(E2225,기본!$F$3:$G$320,2,0)</f>
        <v>#N/A</v>
      </c>
      <c r="H2225" s="544"/>
    </row>
    <row r="2226" spans="3:8">
      <c r="C2226" s="545" t="e">
        <f>VLOOKUP(D2226,기본!$B$3:$C$90,2,0)</f>
        <v>#N/A</v>
      </c>
      <c r="G2226" t="e">
        <f>VLOOKUP(E2226,기본!$F$3:$G$320,2,0)</f>
        <v>#N/A</v>
      </c>
      <c r="H2226" s="544"/>
    </row>
    <row r="2227" spans="3:8">
      <c r="C2227" s="545" t="e">
        <f>VLOOKUP(D2227,기본!$B$3:$C$90,2,0)</f>
        <v>#N/A</v>
      </c>
      <c r="G2227" t="e">
        <f>VLOOKUP(E2227,기본!$F$3:$G$320,2,0)</f>
        <v>#N/A</v>
      </c>
      <c r="H2227" s="544"/>
    </row>
    <row r="2228" spans="3:8">
      <c r="C2228" s="545" t="e">
        <f>VLOOKUP(D2228,기본!$B$3:$C$90,2,0)</f>
        <v>#N/A</v>
      </c>
      <c r="G2228" t="e">
        <f>VLOOKUP(E2228,기본!$F$3:$G$320,2,0)</f>
        <v>#N/A</v>
      </c>
      <c r="H2228" s="544"/>
    </row>
    <row r="2229" spans="3:8">
      <c r="C2229" s="545" t="e">
        <f>VLOOKUP(D2229,기본!$B$3:$C$90,2,0)</f>
        <v>#N/A</v>
      </c>
      <c r="G2229" t="e">
        <f>VLOOKUP(E2229,기본!$F$3:$G$320,2,0)</f>
        <v>#N/A</v>
      </c>
      <c r="H2229" s="544"/>
    </row>
    <row r="2230" spans="3:8">
      <c r="C2230" s="545" t="e">
        <f>VLOOKUP(D2230,기본!$B$3:$C$90,2,0)</f>
        <v>#N/A</v>
      </c>
      <c r="G2230" t="e">
        <f>VLOOKUP(E2230,기본!$F$3:$G$320,2,0)</f>
        <v>#N/A</v>
      </c>
      <c r="H2230" s="544"/>
    </row>
    <row r="2231" spans="3:8">
      <c r="C2231" s="545" t="e">
        <f>VLOOKUP(D2231,기본!$B$3:$C$90,2,0)</f>
        <v>#N/A</v>
      </c>
      <c r="G2231" t="e">
        <f>VLOOKUP(E2231,기본!$F$3:$G$320,2,0)</f>
        <v>#N/A</v>
      </c>
      <c r="H2231" s="544"/>
    </row>
    <row r="2232" spans="3:8">
      <c r="C2232" s="545" t="e">
        <f>VLOOKUP(D2232,기본!$B$3:$C$90,2,0)</f>
        <v>#N/A</v>
      </c>
      <c r="G2232" t="e">
        <f>VLOOKUP(E2232,기본!$F$3:$G$320,2,0)</f>
        <v>#N/A</v>
      </c>
      <c r="H2232" s="544"/>
    </row>
    <row r="2233" spans="3:8">
      <c r="C2233" s="545" t="e">
        <f>VLOOKUP(D2233,기본!$B$3:$C$90,2,0)</f>
        <v>#N/A</v>
      </c>
      <c r="G2233" t="e">
        <f>VLOOKUP(E2233,기본!$F$3:$G$320,2,0)</f>
        <v>#N/A</v>
      </c>
      <c r="H2233" s="544"/>
    </row>
    <row r="2234" spans="3:8">
      <c r="C2234" s="545" t="e">
        <f>VLOOKUP(D2234,기본!$B$3:$C$90,2,0)</f>
        <v>#N/A</v>
      </c>
      <c r="G2234" t="e">
        <f>VLOOKUP(E2234,기본!$F$3:$G$320,2,0)</f>
        <v>#N/A</v>
      </c>
      <c r="H2234" s="544"/>
    </row>
    <row r="2235" spans="3:8">
      <c r="C2235" s="545" t="e">
        <f>VLOOKUP(D2235,기본!$B$3:$C$90,2,0)</f>
        <v>#N/A</v>
      </c>
      <c r="G2235" t="e">
        <f>VLOOKUP(E2235,기본!$F$3:$G$320,2,0)</f>
        <v>#N/A</v>
      </c>
      <c r="H2235" s="544"/>
    </row>
    <row r="2236" spans="3:8">
      <c r="C2236" s="545" t="e">
        <f>VLOOKUP(D2236,기본!$B$3:$C$90,2,0)</f>
        <v>#N/A</v>
      </c>
      <c r="G2236" t="e">
        <f>VLOOKUP(E2236,기본!$F$3:$G$320,2,0)</f>
        <v>#N/A</v>
      </c>
      <c r="H2236" s="544"/>
    </row>
    <row r="2237" spans="3:8">
      <c r="C2237" s="545" t="e">
        <f>VLOOKUP(D2237,기본!$B$3:$C$90,2,0)</f>
        <v>#N/A</v>
      </c>
      <c r="G2237" t="e">
        <f>VLOOKUP(E2237,기본!$F$3:$G$320,2,0)</f>
        <v>#N/A</v>
      </c>
      <c r="H2237" s="544"/>
    </row>
    <row r="2238" spans="3:8">
      <c r="C2238" s="545" t="e">
        <f>VLOOKUP(D2238,기본!$B$3:$C$90,2,0)</f>
        <v>#N/A</v>
      </c>
      <c r="G2238" t="e">
        <f>VLOOKUP(E2238,기본!$F$3:$G$320,2,0)</f>
        <v>#N/A</v>
      </c>
      <c r="H2238" s="544"/>
    </row>
    <row r="2239" spans="3:8">
      <c r="C2239" s="545" t="e">
        <f>VLOOKUP(D2239,기본!$B$3:$C$90,2,0)</f>
        <v>#N/A</v>
      </c>
      <c r="G2239" t="e">
        <f>VLOOKUP(E2239,기본!$F$3:$G$320,2,0)</f>
        <v>#N/A</v>
      </c>
      <c r="H2239" s="544"/>
    </row>
    <row r="2240" spans="3:8">
      <c r="C2240" s="545" t="e">
        <f>VLOOKUP(D2240,기본!$B$3:$C$90,2,0)</f>
        <v>#N/A</v>
      </c>
      <c r="G2240" t="e">
        <f>VLOOKUP(E2240,기본!$F$3:$G$320,2,0)</f>
        <v>#N/A</v>
      </c>
      <c r="H2240" s="544"/>
    </row>
    <row r="2241" spans="3:8">
      <c r="C2241" s="545" t="e">
        <f>VLOOKUP(D2241,기본!$B$3:$C$90,2,0)</f>
        <v>#N/A</v>
      </c>
      <c r="G2241" t="e">
        <f>VLOOKUP(E2241,기본!$F$3:$G$320,2,0)</f>
        <v>#N/A</v>
      </c>
      <c r="H2241" s="544"/>
    </row>
    <row r="2242" spans="3:8">
      <c r="C2242" s="545" t="e">
        <f>VLOOKUP(D2242,기본!$B$3:$C$90,2,0)</f>
        <v>#N/A</v>
      </c>
      <c r="G2242" t="e">
        <f>VLOOKUP(E2242,기본!$F$3:$G$320,2,0)</f>
        <v>#N/A</v>
      </c>
      <c r="H2242" s="544"/>
    </row>
    <row r="2243" spans="3:8">
      <c r="C2243" s="545" t="e">
        <f>VLOOKUP(D2243,기본!$B$3:$C$90,2,0)</f>
        <v>#N/A</v>
      </c>
      <c r="G2243" t="e">
        <f>VLOOKUP(E2243,기본!$F$3:$G$320,2,0)</f>
        <v>#N/A</v>
      </c>
      <c r="H2243" s="544"/>
    </row>
    <row r="2244" spans="3:8">
      <c r="C2244" s="545" t="e">
        <f>VLOOKUP(D2244,기본!$B$3:$C$90,2,0)</f>
        <v>#N/A</v>
      </c>
      <c r="G2244" t="e">
        <f>VLOOKUP(E2244,기본!$F$3:$G$320,2,0)</f>
        <v>#N/A</v>
      </c>
      <c r="H2244" s="544"/>
    </row>
    <row r="2245" spans="3:8">
      <c r="C2245" s="545" t="e">
        <f>VLOOKUP(D2245,기본!$B$3:$C$90,2,0)</f>
        <v>#N/A</v>
      </c>
      <c r="G2245" t="e">
        <f>VLOOKUP(E2245,기본!$F$3:$G$320,2,0)</f>
        <v>#N/A</v>
      </c>
      <c r="H2245" s="544"/>
    </row>
    <row r="2246" spans="3:8">
      <c r="C2246" s="545" t="e">
        <f>VLOOKUP(D2246,기본!$B$3:$C$90,2,0)</f>
        <v>#N/A</v>
      </c>
      <c r="G2246" t="e">
        <f>VLOOKUP(E2246,기본!$F$3:$G$320,2,0)</f>
        <v>#N/A</v>
      </c>
      <c r="H2246" s="544"/>
    </row>
    <row r="2247" spans="3:8">
      <c r="C2247" s="545" t="e">
        <f>VLOOKUP(D2247,기본!$B$3:$C$90,2,0)</f>
        <v>#N/A</v>
      </c>
      <c r="G2247" t="e">
        <f>VLOOKUP(E2247,기본!$F$3:$G$320,2,0)</f>
        <v>#N/A</v>
      </c>
      <c r="H2247" s="544"/>
    </row>
    <row r="2248" spans="3:8">
      <c r="C2248" s="545" t="e">
        <f>VLOOKUP(D2248,기본!$B$3:$C$90,2,0)</f>
        <v>#N/A</v>
      </c>
      <c r="G2248" t="e">
        <f>VLOOKUP(E2248,기본!$F$3:$G$320,2,0)</f>
        <v>#N/A</v>
      </c>
      <c r="H2248" s="544"/>
    </row>
    <row r="2249" spans="3:8">
      <c r="C2249" s="545" t="e">
        <f>VLOOKUP(D2249,기본!$B$3:$C$90,2,0)</f>
        <v>#N/A</v>
      </c>
      <c r="G2249" t="e">
        <f>VLOOKUP(E2249,기본!$F$3:$G$320,2,0)</f>
        <v>#N/A</v>
      </c>
      <c r="H2249" s="544"/>
    </row>
    <row r="2250" spans="3:8">
      <c r="C2250" s="545" t="e">
        <f>VLOOKUP(D2250,기본!$B$3:$C$90,2,0)</f>
        <v>#N/A</v>
      </c>
      <c r="G2250" t="e">
        <f>VLOOKUP(E2250,기본!$F$3:$G$320,2,0)</f>
        <v>#N/A</v>
      </c>
      <c r="H2250" s="544"/>
    </row>
    <row r="2251" spans="3:8">
      <c r="C2251" s="545" t="e">
        <f>VLOOKUP(D2251,기본!$B$3:$C$90,2,0)</f>
        <v>#N/A</v>
      </c>
      <c r="G2251" t="e">
        <f>VLOOKUP(E2251,기본!$F$3:$G$320,2,0)</f>
        <v>#N/A</v>
      </c>
      <c r="H2251" s="544"/>
    </row>
    <row r="2252" spans="3:8">
      <c r="C2252" s="545" t="e">
        <f>VLOOKUP(D2252,기본!$B$3:$C$90,2,0)</f>
        <v>#N/A</v>
      </c>
      <c r="G2252" t="e">
        <f>VLOOKUP(E2252,기본!$F$3:$G$320,2,0)</f>
        <v>#N/A</v>
      </c>
      <c r="H2252" s="544"/>
    </row>
    <row r="2253" spans="3:8">
      <c r="C2253" s="545" t="e">
        <f>VLOOKUP(D2253,기본!$B$3:$C$90,2,0)</f>
        <v>#N/A</v>
      </c>
      <c r="G2253" t="e">
        <f>VLOOKUP(E2253,기본!$F$3:$G$320,2,0)</f>
        <v>#N/A</v>
      </c>
      <c r="H2253" s="544"/>
    </row>
    <row r="2254" spans="3:8">
      <c r="C2254" s="545" t="e">
        <f>VLOOKUP(D2254,기본!$B$3:$C$90,2,0)</f>
        <v>#N/A</v>
      </c>
      <c r="G2254" t="e">
        <f>VLOOKUP(E2254,기본!$F$3:$G$320,2,0)</f>
        <v>#N/A</v>
      </c>
      <c r="H2254" s="544"/>
    </row>
    <row r="2255" spans="3:8">
      <c r="C2255" s="545" t="e">
        <f>VLOOKUP(D2255,기본!$B$3:$C$90,2,0)</f>
        <v>#N/A</v>
      </c>
      <c r="G2255" t="e">
        <f>VLOOKUP(E2255,기본!$F$3:$G$320,2,0)</f>
        <v>#N/A</v>
      </c>
      <c r="H2255" s="544"/>
    </row>
    <row r="2256" spans="3:8">
      <c r="C2256" s="545" t="e">
        <f>VLOOKUP(D2256,기본!$B$3:$C$90,2,0)</f>
        <v>#N/A</v>
      </c>
      <c r="G2256" t="e">
        <f>VLOOKUP(E2256,기본!$F$3:$G$320,2,0)</f>
        <v>#N/A</v>
      </c>
      <c r="H2256" s="544"/>
    </row>
    <row r="2257" spans="3:8">
      <c r="C2257" s="545" t="e">
        <f>VLOOKUP(D2257,기본!$B$3:$C$90,2,0)</f>
        <v>#N/A</v>
      </c>
      <c r="G2257" t="e">
        <f>VLOOKUP(E2257,기본!$F$3:$G$320,2,0)</f>
        <v>#N/A</v>
      </c>
      <c r="H2257" s="544"/>
    </row>
    <row r="2258" spans="3:8">
      <c r="C2258" s="545" t="e">
        <f>VLOOKUP(D2258,기본!$B$3:$C$90,2,0)</f>
        <v>#N/A</v>
      </c>
      <c r="G2258" t="e">
        <f>VLOOKUP(E2258,기본!$F$3:$G$320,2,0)</f>
        <v>#N/A</v>
      </c>
      <c r="H2258" s="544"/>
    </row>
    <row r="2259" spans="3:8">
      <c r="C2259" s="545" t="e">
        <f>VLOOKUP(D2259,기본!$B$3:$C$90,2,0)</f>
        <v>#N/A</v>
      </c>
      <c r="G2259" t="e">
        <f>VLOOKUP(E2259,기본!$F$3:$G$320,2,0)</f>
        <v>#N/A</v>
      </c>
      <c r="H2259" s="544"/>
    </row>
    <row r="2260" spans="3:8">
      <c r="C2260" s="545" t="e">
        <f>VLOOKUP(D2260,기본!$B$3:$C$90,2,0)</f>
        <v>#N/A</v>
      </c>
      <c r="G2260" t="e">
        <f>VLOOKUP(E2260,기본!$F$3:$G$320,2,0)</f>
        <v>#N/A</v>
      </c>
      <c r="H2260" s="544"/>
    </row>
    <row r="2261" spans="3:8">
      <c r="C2261" s="545" t="e">
        <f>VLOOKUP(D2261,기본!$B$3:$C$90,2,0)</f>
        <v>#N/A</v>
      </c>
      <c r="G2261" t="e">
        <f>VLOOKUP(E2261,기본!$F$3:$G$320,2,0)</f>
        <v>#N/A</v>
      </c>
      <c r="H2261" s="544"/>
    </row>
    <row r="2262" spans="3:8">
      <c r="C2262" s="545" t="e">
        <f>VLOOKUP(D2262,기본!$B$3:$C$90,2,0)</f>
        <v>#N/A</v>
      </c>
      <c r="G2262" t="e">
        <f>VLOOKUP(E2262,기본!$F$3:$G$320,2,0)</f>
        <v>#N/A</v>
      </c>
      <c r="H2262" s="544"/>
    </row>
    <row r="2263" spans="3:8">
      <c r="C2263" s="545" t="e">
        <f>VLOOKUP(D2263,기본!$B$3:$C$90,2,0)</f>
        <v>#N/A</v>
      </c>
      <c r="G2263" t="e">
        <f>VLOOKUP(E2263,기본!$F$3:$G$320,2,0)</f>
        <v>#N/A</v>
      </c>
      <c r="H2263" s="544"/>
    </row>
    <row r="2264" spans="3:8">
      <c r="C2264" s="545" t="e">
        <f>VLOOKUP(D2264,기본!$B$3:$C$90,2,0)</f>
        <v>#N/A</v>
      </c>
      <c r="G2264" t="e">
        <f>VLOOKUP(E2264,기본!$F$3:$G$320,2,0)</f>
        <v>#N/A</v>
      </c>
      <c r="H2264" s="544"/>
    </row>
    <row r="2265" spans="3:8">
      <c r="C2265" s="545" t="e">
        <f>VLOOKUP(D2265,기본!$B$3:$C$90,2,0)</f>
        <v>#N/A</v>
      </c>
      <c r="G2265" t="e">
        <f>VLOOKUP(E2265,기본!$F$3:$G$320,2,0)</f>
        <v>#N/A</v>
      </c>
      <c r="H2265" s="544"/>
    </row>
    <row r="2266" spans="3:8">
      <c r="C2266" s="545" t="e">
        <f>VLOOKUP(D2266,기본!$B$3:$C$90,2,0)</f>
        <v>#N/A</v>
      </c>
      <c r="G2266" t="e">
        <f>VLOOKUP(E2266,기본!$F$3:$G$320,2,0)</f>
        <v>#N/A</v>
      </c>
      <c r="H2266" s="544"/>
    </row>
    <row r="2267" spans="3:8">
      <c r="C2267" s="545" t="e">
        <f>VLOOKUP(D2267,기본!$B$3:$C$90,2,0)</f>
        <v>#N/A</v>
      </c>
      <c r="G2267" t="e">
        <f>VLOOKUP(E2267,기본!$F$3:$G$320,2,0)</f>
        <v>#N/A</v>
      </c>
      <c r="H2267" s="544"/>
    </row>
    <row r="2268" spans="3:8">
      <c r="C2268" s="545" t="e">
        <f>VLOOKUP(D2268,기본!$B$3:$C$90,2,0)</f>
        <v>#N/A</v>
      </c>
      <c r="G2268" t="e">
        <f>VLOOKUP(E2268,기본!$F$3:$G$320,2,0)</f>
        <v>#N/A</v>
      </c>
      <c r="H2268" s="544"/>
    </row>
    <row r="2269" spans="3:8">
      <c r="C2269" s="545" t="e">
        <f>VLOOKUP(D2269,기본!$B$3:$C$90,2,0)</f>
        <v>#N/A</v>
      </c>
      <c r="G2269" t="e">
        <f>VLOOKUP(E2269,기본!$F$3:$G$320,2,0)</f>
        <v>#N/A</v>
      </c>
      <c r="H2269" s="544"/>
    </row>
    <row r="2270" spans="3:8">
      <c r="C2270" s="545" t="e">
        <f>VLOOKUP(D2270,기본!$B$3:$C$90,2,0)</f>
        <v>#N/A</v>
      </c>
      <c r="G2270" t="e">
        <f>VLOOKUP(E2270,기본!$F$3:$G$320,2,0)</f>
        <v>#N/A</v>
      </c>
      <c r="H2270" s="544"/>
    </row>
    <row r="2271" spans="3:8">
      <c r="C2271" s="545" t="e">
        <f>VLOOKUP(D2271,기본!$B$3:$C$90,2,0)</f>
        <v>#N/A</v>
      </c>
      <c r="G2271" t="e">
        <f>VLOOKUP(E2271,기본!$F$3:$G$320,2,0)</f>
        <v>#N/A</v>
      </c>
      <c r="H2271" s="544"/>
    </row>
    <row r="2272" spans="3:8">
      <c r="C2272" s="545" t="e">
        <f>VLOOKUP(D2272,기본!$B$3:$C$90,2,0)</f>
        <v>#N/A</v>
      </c>
      <c r="G2272" t="e">
        <f>VLOOKUP(E2272,기본!$F$3:$G$320,2,0)</f>
        <v>#N/A</v>
      </c>
      <c r="H2272" s="544"/>
    </row>
    <row r="2273" spans="3:8">
      <c r="C2273" s="545" t="e">
        <f>VLOOKUP(D2273,기본!$B$3:$C$90,2,0)</f>
        <v>#N/A</v>
      </c>
      <c r="G2273" t="e">
        <f>VLOOKUP(E2273,기본!$F$3:$G$320,2,0)</f>
        <v>#N/A</v>
      </c>
      <c r="H2273" s="544"/>
    </row>
    <row r="2274" spans="3:8">
      <c r="C2274" s="545" t="e">
        <f>VLOOKUP(D2274,기본!$B$3:$C$90,2,0)</f>
        <v>#N/A</v>
      </c>
      <c r="G2274" t="e">
        <f>VLOOKUP(E2274,기본!$F$3:$G$320,2,0)</f>
        <v>#N/A</v>
      </c>
      <c r="H2274" s="544"/>
    </row>
    <row r="2275" spans="3:8">
      <c r="C2275" s="545" t="e">
        <f>VLOOKUP(D2275,기본!$B$3:$C$90,2,0)</f>
        <v>#N/A</v>
      </c>
      <c r="G2275" t="e">
        <f>VLOOKUP(E2275,기본!$F$3:$G$320,2,0)</f>
        <v>#N/A</v>
      </c>
      <c r="H2275" s="544"/>
    </row>
    <row r="2276" spans="3:8">
      <c r="C2276" s="545" t="e">
        <f>VLOOKUP(D2276,기본!$B$3:$C$90,2,0)</f>
        <v>#N/A</v>
      </c>
      <c r="G2276" t="e">
        <f>VLOOKUP(E2276,기본!$F$3:$G$320,2,0)</f>
        <v>#N/A</v>
      </c>
      <c r="H2276" s="544"/>
    </row>
    <row r="2277" spans="3:8">
      <c r="C2277" s="545" t="e">
        <f>VLOOKUP(D2277,기본!$B$3:$C$90,2,0)</f>
        <v>#N/A</v>
      </c>
      <c r="G2277" t="e">
        <f>VLOOKUP(E2277,기본!$F$3:$G$320,2,0)</f>
        <v>#N/A</v>
      </c>
      <c r="H2277" s="544"/>
    </row>
    <row r="2278" spans="3:8">
      <c r="C2278" s="545" t="e">
        <f>VLOOKUP(D2278,기본!$B$3:$C$90,2,0)</f>
        <v>#N/A</v>
      </c>
      <c r="G2278" t="e">
        <f>VLOOKUP(E2278,기본!$F$3:$G$320,2,0)</f>
        <v>#N/A</v>
      </c>
      <c r="H2278" s="544"/>
    </row>
    <row r="2279" spans="3:8">
      <c r="C2279" s="545" t="e">
        <f>VLOOKUP(D2279,기본!$B$3:$C$90,2,0)</f>
        <v>#N/A</v>
      </c>
      <c r="G2279" t="e">
        <f>VLOOKUP(E2279,기본!$F$3:$G$320,2,0)</f>
        <v>#N/A</v>
      </c>
      <c r="H2279" s="544"/>
    </row>
    <row r="2280" spans="3:8">
      <c r="C2280" s="545" t="e">
        <f>VLOOKUP(D2280,기본!$B$3:$C$90,2,0)</f>
        <v>#N/A</v>
      </c>
      <c r="G2280" t="e">
        <f>VLOOKUP(E2280,기본!$F$3:$G$320,2,0)</f>
        <v>#N/A</v>
      </c>
      <c r="H2280" s="544"/>
    </row>
    <row r="2281" spans="3:8">
      <c r="C2281" s="545" t="e">
        <f>VLOOKUP(D2281,기본!$B$3:$C$90,2,0)</f>
        <v>#N/A</v>
      </c>
      <c r="G2281" t="e">
        <f>VLOOKUP(E2281,기본!$F$3:$G$320,2,0)</f>
        <v>#N/A</v>
      </c>
      <c r="H2281" s="544"/>
    </row>
    <row r="2282" spans="3:8">
      <c r="C2282" s="545" t="e">
        <f>VLOOKUP(D2282,기본!$B$3:$C$90,2,0)</f>
        <v>#N/A</v>
      </c>
      <c r="G2282" t="e">
        <f>VLOOKUP(E2282,기본!$F$3:$G$320,2,0)</f>
        <v>#N/A</v>
      </c>
      <c r="H2282" s="544"/>
    </row>
    <row r="2283" spans="3:8">
      <c r="C2283" s="545" t="e">
        <f>VLOOKUP(D2283,기본!$B$3:$C$90,2,0)</f>
        <v>#N/A</v>
      </c>
      <c r="G2283" t="e">
        <f>VLOOKUP(E2283,기본!$F$3:$G$320,2,0)</f>
        <v>#N/A</v>
      </c>
      <c r="H2283" s="544"/>
    </row>
    <row r="2284" spans="3:8">
      <c r="C2284" s="545" t="e">
        <f>VLOOKUP(D2284,기본!$B$3:$C$90,2,0)</f>
        <v>#N/A</v>
      </c>
      <c r="G2284" t="e">
        <f>VLOOKUP(E2284,기본!$F$3:$G$320,2,0)</f>
        <v>#N/A</v>
      </c>
      <c r="H2284" s="544"/>
    </row>
    <row r="2285" spans="3:8">
      <c r="C2285" s="545" t="e">
        <f>VLOOKUP(D2285,기본!$B$3:$C$90,2,0)</f>
        <v>#N/A</v>
      </c>
      <c r="G2285" t="e">
        <f>VLOOKUP(E2285,기본!$F$3:$G$320,2,0)</f>
        <v>#N/A</v>
      </c>
      <c r="H2285" s="544"/>
    </row>
    <row r="2286" spans="3:8">
      <c r="C2286" s="545" t="e">
        <f>VLOOKUP(D2286,기본!$B$3:$C$90,2,0)</f>
        <v>#N/A</v>
      </c>
      <c r="G2286" t="e">
        <f>VLOOKUP(E2286,기본!$F$3:$G$320,2,0)</f>
        <v>#N/A</v>
      </c>
      <c r="H2286" s="544"/>
    </row>
    <row r="2287" spans="3:8">
      <c r="C2287" s="545" t="e">
        <f>VLOOKUP(D2287,기본!$B$3:$C$90,2,0)</f>
        <v>#N/A</v>
      </c>
      <c r="G2287" t="e">
        <f>VLOOKUP(E2287,기본!$F$3:$G$320,2,0)</f>
        <v>#N/A</v>
      </c>
      <c r="H2287" s="544"/>
    </row>
    <row r="2288" spans="3:8">
      <c r="C2288" s="545" t="e">
        <f>VLOOKUP(D2288,기본!$B$3:$C$90,2,0)</f>
        <v>#N/A</v>
      </c>
      <c r="G2288" t="e">
        <f>VLOOKUP(E2288,기본!$F$3:$G$320,2,0)</f>
        <v>#N/A</v>
      </c>
      <c r="H2288" s="544"/>
    </row>
    <row r="2289" spans="3:8">
      <c r="C2289" s="545" t="e">
        <f>VLOOKUP(D2289,기본!$B$3:$C$90,2,0)</f>
        <v>#N/A</v>
      </c>
      <c r="G2289" t="e">
        <f>VLOOKUP(E2289,기본!$F$3:$G$320,2,0)</f>
        <v>#N/A</v>
      </c>
      <c r="H2289" s="544"/>
    </row>
    <row r="2290" spans="3:8">
      <c r="C2290" s="545" t="e">
        <f>VLOOKUP(D2290,기본!$B$3:$C$90,2,0)</f>
        <v>#N/A</v>
      </c>
      <c r="G2290" t="e">
        <f>VLOOKUP(E2290,기본!$F$3:$G$320,2,0)</f>
        <v>#N/A</v>
      </c>
      <c r="H2290" s="544"/>
    </row>
    <row r="2291" spans="3:8">
      <c r="C2291" s="545" t="e">
        <f>VLOOKUP(D2291,기본!$B$3:$C$90,2,0)</f>
        <v>#N/A</v>
      </c>
      <c r="G2291" t="e">
        <f>VLOOKUP(E2291,기본!$F$3:$G$320,2,0)</f>
        <v>#N/A</v>
      </c>
      <c r="H2291" s="544"/>
    </row>
    <row r="2292" spans="3:8">
      <c r="C2292" s="545" t="e">
        <f>VLOOKUP(D2292,기본!$B$3:$C$90,2,0)</f>
        <v>#N/A</v>
      </c>
      <c r="G2292" t="e">
        <f>VLOOKUP(E2292,기본!$F$3:$G$320,2,0)</f>
        <v>#N/A</v>
      </c>
      <c r="H2292" s="544"/>
    </row>
    <row r="2293" spans="3:8">
      <c r="C2293" s="545" t="e">
        <f>VLOOKUP(D2293,기본!$B$3:$C$90,2,0)</f>
        <v>#N/A</v>
      </c>
      <c r="G2293" t="e">
        <f>VLOOKUP(E2293,기본!$F$3:$G$320,2,0)</f>
        <v>#N/A</v>
      </c>
      <c r="H2293" s="544"/>
    </row>
    <row r="2294" spans="3:8">
      <c r="C2294" s="545" t="e">
        <f>VLOOKUP(D2294,기본!$B$3:$C$90,2,0)</f>
        <v>#N/A</v>
      </c>
      <c r="G2294" t="e">
        <f>VLOOKUP(E2294,기본!$F$3:$G$320,2,0)</f>
        <v>#N/A</v>
      </c>
      <c r="H2294" s="544"/>
    </row>
    <row r="2295" spans="3:8">
      <c r="C2295" s="545" t="e">
        <f>VLOOKUP(D2295,기본!$B$3:$C$90,2,0)</f>
        <v>#N/A</v>
      </c>
      <c r="G2295" t="e">
        <f>VLOOKUP(E2295,기본!$F$3:$G$320,2,0)</f>
        <v>#N/A</v>
      </c>
      <c r="H2295" s="544"/>
    </row>
    <row r="2296" spans="3:8">
      <c r="C2296" s="545" t="e">
        <f>VLOOKUP(D2296,기본!$B$3:$C$90,2,0)</f>
        <v>#N/A</v>
      </c>
      <c r="G2296" t="e">
        <f>VLOOKUP(E2296,기본!$F$3:$G$320,2,0)</f>
        <v>#N/A</v>
      </c>
      <c r="H2296" s="544"/>
    </row>
    <row r="2297" spans="3:8">
      <c r="C2297" s="545" t="e">
        <f>VLOOKUP(D2297,기본!$B$3:$C$90,2,0)</f>
        <v>#N/A</v>
      </c>
      <c r="G2297" t="e">
        <f>VLOOKUP(E2297,기본!$F$3:$G$320,2,0)</f>
        <v>#N/A</v>
      </c>
      <c r="H2297" s="544"/>
    </row>
    <row r="2298" spans="3:8">
      <c r="C2298" s="545" t="e">
        <f>VLOOKUP(D2298,기본!$B$3:$C$90,2,0)</f>
        <v>#N/A</v>
      </c>
      <c r="G2298" t="e">
        <f>VLOOKUP(E2298,기본!$F$3:$G$320,2,0)</f>
        <v>#N/A</v>
      </c>
      <c r="H2298" s="544"/>
    </row>
    <row r="2299" spans="3:8">
      <c r="C2299" s="545" t="e">
        <f>VLOOKUP(D2299,기본!$B$3:$C$90,2,0)</f>
        <v>#N/A</v>
      </c>
      <c r="G2299" t="e">
        <f>VLOOKUP(E2299,기본!$F$3:$G$320,2,0)</f>
        <v>#N/A</v>
      </c>
      <c r="H2299" s="544"/>
    </row>
    <row r="2300" spans="3:8">
      <c r="C2300" s="545" t="e">
        <f>VLOOKUP(D2300,기본!$B$3:$C$90,2,0)</f>
        <v>#N/A</v>
      </c>
      <c r="G2300" t="e">
        <f>VLOOKUP(E2300,기본!$F$3:$G$320,2,0)</f>
        <v>#N/A</v>
      </c>
      <c r="H2300" s="544"/>
    </row>
    <row r="2301" spans="3:8">
      <c r="C2301" s="545" t="e">
        <f>VLOOKUP(D2301,기본!$B$3:$C$90,2,0)</f>
        <v>#N/A</v>
      </c>
      <c r="G2301" t="e">
        <f>VLOOKUP(E2301,기본!$F$3:$G$320,2,0)</f>
        <v>#N/A</v>
      </c>
      <c r="H2301" s="544"/>
    </row>
    <row r="2302" spans="3:8">
      <c r="C2302" s="545" t="e">
        <f>VLOOKUP(D2302,기본!$B$3:$C$90,2,0)</f>
        <v>#N/A</v>
      </c>
      <c r="G2302" t="e">
        <f>VLOOKUP(E2302,기본!$F$3:$G$320,2,0)</f>
        <v>#N/A</v>
      </c>
      <c r="H2302" s="544"/>
    </row>
    <row r="2303" spans="3:8">
      <c r="C2303" s="545" t="e">
        <f>VLOOKUP(D2303,기본!$B$3:$C$90,2,0)</f>
        <v>#N/A</v>
      </c>
      <c r="G2303" t="e">
        <f>VLOOKUP(E2303,기본!$F$3:$G$320,2,0)</f>
        <v>#N/A</v>
      </c>
      <c r="H2303" s="544"/>
    </row>
    <row r="2304" spans="3:8">
      <c r="C2304" s="545" t="e">
        <f>VLOOKUP(D2304,기본!$B$3:$C$90,2,0)</f>
        <v>#N/A</v>
      </c>
      <c r="G2304" t="e">
        <f>VLOOKUP(E2304,기본!$F$3:$G$320,2,0)</f>
        <v>#N/A</v>
      </c>
      <c r="H2304" s="544"/>
    </row>
    <row r="2305" spans="3:8">
      <c r="C2305" s="545" t="e">
        <f>VLOOKUP(D2305,기본!$B$3:$C$90,2,0)</f>
        <v>#N/A</v>
      </c>
      <c r="G2305" t="e">
        <f>VLOOKUP(E2305,기본!$F$3:$G$320,2,0)</f>
        <v>#N/A</v>
      </c>
      <c r="H2305" s="544"/>
    </row>
    <row r="2306" spans="3:8">
      <c r="C2306" s="545" t="e">
        <f>VLOOKUP(D2306,기본!$B$3:$C$90,2,0)</f>
        <v>#N/A</v>
      </c>
      <c r="G2306" t="e">
        <f>VLOOKUP(E2306,기본!$F$3:$G$320,2,0)</f>
        <v>#N/A</v>
      </c>
      <c r="H2306" s="544"/>
    </row>
    <row r="2307" spans="3:8">
      <c r="C2307" s="545" t="e">
        <f>VLOOKUP(D2307,기본!$B$3:$C$90,2,0)</f>
        <v>#N/A</v>
      </c>
      <c r="G2307" t="e">
        <f>VLOOKUP(E2307,기본!$F$3:$G$320,2,0)</f>
        <v>#N/A</v>
      </c>
      <c r="H2307" s="544"/>
    </row>
    <row r="2308" spans="3:8">
      <c r="C2308" s="545" t="e">
        <f>VLOOKUP(D2308,기본!$B$3:$C$90,2,0)</f>
        <v>#N/A</v>
      </c>
      <c r="G2308" t="e">
        <f>VLOOKUP(E2308,기본!$F$3:$G$320,2,0)</f>
        <v>#N/A</v>
      </c>
      <c r="H2308" s="544"/>
    </row>
    <row r="2309" spans="3:8">
      <c r="C2309" s="545" t="e">
        <f>VLOOKUP(D2309,기본!$B$3:$C$90,2,0)</f>
        <v>#N/A</v>
      </c>
      <c r="G2309" t="e">
        <f>VLOOKUP(E2309,기본!$F$3:$G$320,2,0)</f>
        <v>#N/A</v>
      </c>
      <c r="H2309" s="544"/>
    </row>
    <row r="2310" spans="3:8">
      <c r="C2310" s="545" t="e">
        <f>VLOOKUP(D2310,기본!$B$3:$C$90,2,0)</f>
        <v>#N/A</v>
      </c>
      <c r="G2310" t="e">
        <f>VLOOKUP(E2310,기본!$F$3:$G$320,2,0)</f>
        <v>#N/A</v>
      </c>
      <c r="H2310" s="544"/>
    </row>
    <row r="2311" spans="3:8">
      <c r="C2311" s="545" t="e">
        <f>VLOOKUP(D2311,기본!$B$3:$C$90,2,0)</f>
        <v>#N/A</v>
      </c>
      <c r="G2311" t="e">
        <f>VLOOKUP(E2311,기본!$F$3:$G$320,2,0)</f>
        <v>#N/A</v>
      </c>
      <c r="H2311" s="544"/>
    </row>
    <row r="2312" spans="3:8">
      <c r="C2312" s="545" t="e">
        <f>VLOOKUP(D2312,기본!$B$3:$C$90,2,0)</f>
        <v>#N/A</v>
      </c>
      <c r="G2312" t="e">
        <f>VLOOKUP(E2312,기본!$F$3:$G$320,2,0)</f>
        <v>#N/A</v>
      </c>
      <c r="H2312" s="544"/>
    </row>
    <row r="2313" spans="3:8">
      <c r="C2313" s="545" t="e">
        <f>VLOOKUP(D2313,기본!$B$3:$C$90,2,0)</f>
        <v>#N/A</v>
      </c>
      <c r="G2313" t="e">
        <f>VLOOKUP(E2313,기본!$F$3:$G$320,2,0)</f>
        <v>#N/A</v>
      </c>
      <c r="H2313" s="544"/>
    </row>
    <row r="2314" spans="3:8">
      <c r="C2314" s="545" t="e">
        <f>VLOOKUP(D2314,기본!$B$3:$C$90,2,0)</f>
        <v>#N/A</v>
      </c>
      <c r="G2314" t="e">
        <f>VLOOKUP(E2314,기본!$F$3:$G$320,2,0)</f>
        <v>#N/A</v>
      </c>
      <c r="H2314" s="544"/>
    </row>
    <row r="2315" spans="3:8">
      <c r="C2315" s="545" t="e">
        <f>VLOOKUP(D2315,기본!$B$3:$C$90,2,0)</f>
        <v>#N/A</v>
      </c>
      <c r="G2315" t="e">
        <f>VLOOKUP(E2315,기본!$F$3:$G$320,2,0)</f>
        <v>#N/A</v>
      </c>
      <c r="H2315" s="544"/>
    </row>
    <row r="2316" spans="3:8">
      <c r="C2316" s="545" t="e">
        <f>VLOOKUP(D2316,기본!$B$3:$C$90,2,0)</f>
        <v>#N/A</v>
      </c>
      <c r="G2316" t="e">
        <f>VLOOKUP(E2316,기본!$F$3:$G$320,2,0)</f>
        <v>#N/A</v>
      </c>
      <c r="H2316" s="544"/>
    </row>
    <row r="2317" spans="3:8">
      <c r="C2317" s="545" t="e">
        <f>VLOOKUP(D2317,기본!$B$3:$C$90,2,0)</f>
        <v>#N/A</v>
      </c>
      <c r="G2317" t="e">
        <f>VLOOKUP(E2317,기본!$F$3:$G$320,2,0)</f>
        <v>#N/A</v>
      </c>
      <c r="H2317" s="544"/>
    </row>
    <row r="2318" spans="3:8">
      <c r="C2318" s="545" t="e">
        <f>VLOOKUP(D2318,기본!$B$3:$C$90,2,0)</f>
        <v>#N/A</v>
      </c>
      <c r="G2318" t="e">
        <f>VLOOKUP(E2318,기본!$F$3:$G$320,2,0)</f>
        <v>#N/A</v>
      </c>
      <c r="H2318" s="544"/>
    </row>
    <row r="2319" spans="3:8">
      <c r="C2319" s="545" t="e">
        <f>VLOOKUP(D2319,기본!$B$3:$C$90,2,0)</f>
        <v>#N/A</v>
      </c>
      <c r="G2319" t="e">
        <f>VLOOKUP(E2319,기본!$F$3:$G$320,2,0)</f>
        <v>#N/A</v>
      </c>
      <c r="H2319" s="544"/>
    </row>
    <row r="2320" spans="3:8">
      <c r="C2320" s="545" t="e">
        <f>VLOOKUP(D2320,기본!$B$3:$C$90,2,0)</f>
        <v>#N/A</v>
      </c>
      <c r="G2320" t="e">
        <f>VLOOKUP(E2320,기본!$F$3:$G$320,2,0)</f>
        <v>#N/A</v>
      </c>
      <c r="H2320" s="544"/>
    </row>
    <row r="2321" spans="3:8">
      <c r="C2321" s="545" t="e">
        <f>VLOOKUP(D2321,기본!$B$3:$C$90,2,0)</f>
        <v>#N/A</v>
      </c>
      <c r="G2321" t="e">
        <f>VLOOKUP(E2321,기본!$F$3:$G$320,2,0)</f>
        <v>#N/A</v>
      </c>
      <c r="H2321" s="544"/>
    </row>
    <row r="2322" spans="3:8">
      <c r="C2322" s="545" t="e">
        <f>VLOOKUP(D2322,기본!$B$3:$C$90,2,0)</f>
        <v>#N/A</v>
      </c>
      <c r="G2322" t="e">
        <f>VLOOKUP(E2322,기본!$F$3:$G$320,2,0)</f>
        <v>#N/A</v>
      </c>
      <c r="H2322" s="544"/>
    </row>
    <row r="2323" spans="3:8">
      <c r="C2323" s="545" t="e">
        <f>VLOOKUP(D2323,기본!$B$3:$C$90,2,0)</f>
        <v>#N/A</v>
      </c>
      <c r="G2323" t="e">
        <f>VLOOKUP(E2323,기본!$F$3:$G$320,2,0)</f>
        <v>#N/A</v>
      </c>
      <c r="H2323" s="544"/>
    </row>
    <row r="2324" spans="3:8">
      <c r="C2324" s="545" t="e">
        <f>VLOOKUP(D2324,기본!$B$3:$C$90,2,0)</f>
        <v>#N/A</v>
      </c>
      <c r="G2324" t="e">
        <f>VLOOKUP(E2324,기본!$F$3:$G$320,2,0)</f>
        <v>#N/A</v>
      </c>
      <c r="H2324" s="544"/>
    </row>
    <row r="2325" spans="3:8">
      <c r="C2325" s="545" t="e">
        <f>VLOOKUP(D2325,기본!$B$3:$C$90,2,0)</f>
        <v>#N/A</v>
      </c>
      <c r="G2325" t="e">
        <f>VLOOKUP(E2325,기본!$F$3:$G$320,2,0)</f>
        <v>#N/A</v>
      </c>
      <c r="H2325" s="544"/>
    </row>
    <row r="2326" spans="3:8">
      <c r="C2326" s="545" t="e">
        <f>VLOOKUP(D2326,기본!$B$3:$C$90,2,0)</f>
        <v>#N/A</v>
      </c>
      <c r="G2326" t="e">
        <f>VLOOKUP(E2326,기본!$F$3:$G$320,2,0)</f>
        <v>#N/A</v>
      </c>
      <c r="H2326" s="544"/>
    </row>
    <row r="2327" spans="3:8">
      <c r="C2327" s="545" t="e">
        <f>VLOOKUP(D2327,기본!$B$3:$C$90,2,0)</f>
        <v>#N/A</v>
      </c>
      <c r="G2327" t="e">
        <f>VLOOKUP(E2327,기본!$F$3:$G$320,2,0)</f>
        <v>#N/A</v>
      </c>
      <c r="H2327" s="544"/>
    </row>
    <row r="2328" spans="3:8">
      <c r="C2328" s="545" t="e">
        <f>VLOOKUP(D2328,기본!$B$3:$C$90,2,0)</f>
        <v>#N/A</v>
      </c>
      <c r="G2328" t="e">
        <f>VLOOKUP(E2328,기본!$F$3:$G$320,2,0)</f>
        <v>#N/A</v>
      </c>
      <c r="H2328" s="544"/>
    </row>
    <row r="2329" spans="3:8">
      <c r="C2329" s="545" t="e">
        <f>VLOOKUP(D2329,기본!$B$3:$C$90,2,0)</f>
        <v>#N/A</v>
      </c>
      <c r="G2329" t="e">
        <f>VLOOKUP(E2329,기본!$F$3:$G$320,2,0)</f>
        <v>#N/A</v>
      </c>
      <c r="H2329" s="544"/>
    </row>
    <row r="2330" spans="3:8">
      <c r="C2330" s="545" t="e">
        <f>VLOOKUP(D2330,기본!$B$3:$C$90,2,0)</f>
        <v>#N/A</v>
      </c>
      <c r="G2330" t="e">
        <f>VLOOKUP(E2330,기본!$F$3:$G$320,2,0)</f>
        <v>#N/A</v>
      </c>
      <c r="H2330" s="544"/>
    </row>
    <row r="2331" spans="3:8">
      <c r="C2331" s="545" t="e">
        <f>VLOOKUP(D2331,기본!$B$3:$C$90,2,0)</f>
        <v>#N/A</v>
      </c>
      <c r="G2331" t="e">
        <f>VLOOKUP(E2331,기본!$F$3:$G$320,2,0)</f>
        <v>#N/A</v>
      </c>
      <c r="H2331" s="544"/>
    </row>
    <row r="2332" spans="3:8">
      <c r="C2332" s="545" t="e">
        <f>VLOOKUP(D2332,기본!$B$3:$C$90,2,0)</f>
        <v>#N/A</v>
      </c>
      <c r="G2332" t="e">
        <f>VLOOKUP(E2332,기본!$F$3:$G$320,2,0)</f>
        <v>#N/A</v>
      </c>
      <c r="H2332" s="544"/>
    </row>
    <row r="2333" spans="3:8">
      <c r="C2333" s="545" t="e">
        <f>VLOOKUP(D2333,기본!$B$3:$C$90,2,0)</f>
        <v>#N/A</v>
      </c>
      <c r="G2333" t="e">
        <f>VLOOKUP(E2333,기본!$F$3:$G$320,2,0)</f>
        <v>#N/A</v>
      </c>
      <c r="H2333" s="544"/>
    </row>
    <row r="2334" spans="3:8">
      <c r="C2334" s="545" t="e">
        <f>VLOOKUP(D2334,기본!$B$3:$C$90,2,0)</f>
        <v>#N/A</v>
      </c>
      <c r="G2334" t="e">
        <f>VLOOKUP(E2334,기본!$F$3:$G$320,2,0)</f>
        <v>#N/A</v>
      </c>
      <c r="H2334" s="544"/>
    </row>
    <row r="2335" spans="3:8">
      <c r="C2335" s="545" t="e">
        <f>VLOOKUP(D2335,기본!$B$3:$C$90,2,0)</f>
        <v>#N/A</v>
      </c>
      <c r="G2335" t="e">
        <f>VLOOKUP(E2335,기본!$F$3:$G$320,2,0)</f>
        <v>#N/A</v>
      </c>
      <c r="H2335" s="544"/>
    </row>
    <row r="2336" spans="3:8">
      <c r="C2336" s="545" t="e">
        <f>VLOOKUP(D2336,기본!$B$3:$C$90,2,0)</f>
        <v>#N/A</v>
      </c>
      <c r="G2336" t="e">
        <f>VLOOKUP(E2336,기본!$F$3:$G$320,2,0)</f>
        <v>#N/A</v>
      </c>
      <c r="H2336" s="544"/>
    </row>
    <row r="2337" spans="3:8">
      <c r="C2337" s="545" t="e">
        <f>VLOOKUP(D2337,기본!$B$3:$C$90,2,0)</f>
        <v>#N/A</v>
      </c>
      <c r="G2337" t="e">
        <f>VLOOKUP(E2337,기본!$F$3:$G$320,2,0)</f>
        <v>#N/A</v>
      </c>
      <c r="H2337" s="544"/>
    </row>
    <row r="2338" spans="3:8">
      <c r="C2338" s="545" t="e">
        <f>VLOOKUP(D2338,기본!$B$3:$C$90,2,0)</f>
        <v>#N/A</v>
      </c>
      <c r="G2338" t="e">
        <f>VLOOKUP(E2338,기본!$F$3:$G$320,2,0)</f>
        <v>#N/A</v>
      </c>
      <c r="H2338" s="544"/>
    </row>
    <row r="2339" spans="3:8">
      <c r="C2339" s="545" t="e">
        <f>VLOOKUP(D2339,기본!$B$3:$C$90,2,0)</f>
        <v>#N/A</v>
      </c>
      <c r="G2339" t="e">
        <f>VLOOKUP(E2339,기본!$F$3:$G$320,2,0)</f>
        <v>#N/A</v>
      </c>
      <c r="H2339" s="544"/>
    </row>
    <row r="2340" spans="3:8">
      <c r="C2340" s="545" t="e">
        <f>VLOOKUP(D2340,기본!$B$3:$C$90,2,0)</f>
        <v>#N/A</v>
      </c>
      <c r="G2340" t="e">
        <f>VLOOKUP(E2340,기본!$F$3:$G$320,2,0)</f>
        <v>#N/A</v>
      </c>
      <c r="H2340" s="544"/>
    </row>
    <row r="2341" spans="3:8">
      <c r="C2341" s="545" t="e">
        <f>VLOOKUP(D2341,기본!$B$3:$C$90,2,0)</f>
        <v>#N/A</v>
      </c>
      <c r="G2341" t="e">
        <f>VLOOKUP(E2341,기본!$F$3:$G$320,2,0)</f>
        <v>#N/A</v>
      </c>
      <c r="H2341" s="544"/>
    </row>
    <row r="2342" spans="3:8">
      <c r="C2342" s="545" t="e">
        <f>VLOOKUP(D2342,기본!$B$3:$C$90,2,0)</f>
        <v>#N/A</v>
      </c>
      <c r="G2342" t="e">
        <f>VLOOKUP(E2342,기본!$F$3:$G$320,2,0)</f>
        <v>#N/A</v>
      </c>
      <c r="H2342" s="544"/>
    </row>
    <row r="2343" spans="3:8">
      <c r="C2343" s="545" t="e">
        <f>VLOOKUP(D2343,기본!$B$3:$C$90,2,0)</f>
        <v>#N/A</v>
      </c>
      <c r="G2343" t="e">
        <f>VLOOKUP(E2343,기본!$F$3:$G$320,2,0)</f>
        <v>#N/A</v>
      </c>
      <c r="H2343" s="544"/>
    </row>
    <row r="2344" spans="3:8">
      <c r="C2344" s="545" t="e">
        <f>VLOOKUP(D2344,기본!$B$3:$C$90,2,0)</f>
        <v>#N/A</v>
      </c>
      <c r="G2344" t="e">
        <f>VLOOKUP(E2344,기본!$F$3:$G$320,2,0)</f>
        <v>#N/A</v>
      </c>
      <c r="H2344" s="544"/>
    </row>
    <row r="2345" spans="3:8">
      <c r="C2345" s="545" t="e">
        <f>VLOOKUP(D2345,기본!$B$3:$C$90,2,0)</f>
        <v>#N/A</v>
      </c>
      <c r="G2345" t="e">
        <f>VLOOKUP(E2345,기본!$F$3:$G$320,2,0)</f>
        <v>#N/A</v>
      </c>
      <c r="H2345" s="544"/>
    </row>
    <row r="2346" spans="3:8">
      <c r="C2346" s="545" t="e">
        <f>VLOOKUP(D2346,기본!$B$3:$C$90,2,0)</f>
        <v>#N/A</v>
      </c>
      <c r="G2346" t="e">
        <f>VLOOKUP(E2346,기본!$F$3:$G$320,2,0)</f>
        <v>#N/A</v>
      </c>
      <c r="H2346" s="544"/>
    </row>
    <row r="2347" spans="3:8">
      <c r="C2347" s="545" t="e">
        <f>VLOOKUP(D2347,기본!$B$3:$C$90,2,0)</f>
        <v>#N/A</v>
      </c>
      <c r="G2347" t="e">
        <f>VLOOKUP(E2347,기본!$F$3:$G$320,2,0)</f>
        <v>#N/A</v>
      </c>
      <c r="H2347" s="544"/>
    </row>
    <row r="2348" spans="3:8">
      <c r="C2348" s="545" t="e">
        <f>VLOOKUP(D2348,기본!$B$3:$C$90,2,0)</f>
        <v>#N/A</v>
      </c>
      <c r="G2348" t="e">
        <f>VLOOKUP(E2348,기본!$F$3:$G$320,2,0)</f>
        <v>#N/A</v>
      </c>
      <c r="H2348" s="544"/>
    </row>
    <row r="2349" spans="3:8">
      <c r="C2349" s="545" t="e">
        <f>VLOOKUP(D2349,기본!$B$3:$C$90,2,0)</f>
        <v>#N/A</v>
      </c>
      <c r="G2349" t="e">
        <f>VLOOKUP(E2349,기본!$F$3:$G$320,2,0)</f>
        <v>#N/A</v>
      </c>
      <c r="H2349" s="544"/>
    </row>
    <row r="2350" spans="3:8">
      <c r="C2350" s="545" t="e">
        <f>VLOOKUP(D2350,기본!$B$3:$C$90,2,0)</f>
        <v>#N/A</v>
      </c>
      <c r="G2350" t="e">
        <f>VLOOKUP(E2350,기본!$F$3:$G$320,2,0)</f>
        <v>#N/A</v>
      </c>
      <c r="H2350" s="544"/>
    </row>
    <row r="2351" spans="3:8">
      <c r="C2351" s="545" t="e">
        <f>VLOOKUP(D2351,기본!$B$3:$C$90,2,0)</f>
        <v>#N/A</v>
      </c>
      <c r="G2351" t="e">
        <f>VLOOKUP(E2351,기본!$F$3:$G$320,2,0)</f>
        <v>#N/A</v>
      </c>
      <c r="H2351" s="544"/>
    </row>
    <row r="2352" spans="3:8">
      <c r="C2352" s="545" t="e">
        <f>VLOOKUP(D2352,기본!$B$3:$C$90,2,0)</f>
        <v>#N/A</v>
      </c>
      <c r="G2352" t="e">
        <f>VLOOKUP(E2352,기본!$F$3:$G$320,2,0)</f>
        <v>#N/A</v>
      </c>
      <c r="H2352" s="544"/>
    </row>
    <row r="2353" spans="3:8">
      <c r="C2353" s="545" t="e">
        <f>VLOOKUP(D2353,기본!$B$3:$C$90,2,0)</f>
        <v>#N/A</v>
      </c>
      <c r="G2353" t="e">
        <f>VLOOKUP(E2353,기본!$F$3:$G$320,2,0)</f>
        <v>#N/A</v>
      </c>
      <c r="H2353" s="544"/>
    </row>
    <row r="2354" spans="3:8">
      <c r="C2354" s="545" t="e">
        <f>VLOOKUP(D2354,기본!$B$3:$C$90,2,0)</f>
        <v>#N/A</v>
      </c>
      <c r="G2354" t="e">
        <f>VLOOKUP(E2354,기본!$F$3:$G$320,2,0)</f>
        <v>#N/A</v>
      </c>
      <c r="H2354" s="544"/>
    </row>
    <row r="2355" spans="3:8">
      <c r="C2355" s="545" t="e">
        <f>VLOOKUP(D2355,기본!$B$3:$C$90,2,0)</f>
        <v>#N/A</v>
      </c>
      <c r="G2355" t="e">
        <f>VLOOKUP(E2355,기본!$F$3:$G$320,2,0)</f>
        <v>#N/A</v>
      </c>
      <c r="H2355" s="544"/>
    </row>
    <row r="2356" spans="3:8">
      <c r="C2356" s="545" t="e">
        <f>VLOOKUP(D2356,기본!$B$3:$C$90,2,0)</f>
        <v>#N/A</v>
      </c>
      <c r="G2356" t="e">
        <f>VLOOKUP(E2356,기본!$F$3:$G$320,2,0)</f>
        <v>#N/A</v>
      </c>
      <c r="H2356" s="544"/>
    </row>
    <row r="2357" spans="3:8">
      <c r="C2357" s="545" t="e">
        <f>VLOOKUP(D2357,기본!$B$3:$C$90,2,0)</f>
        <v>#N/A</v>
      </c>
      <c r="G2357" t="e">
        <f>VLOOKUP(E2357,기본!$F$3:$G$320,2,0)</f>
        <v>#N/A</v>
      </c>
      <c r="H2357" s="544"/>
    </row>
    <row r="2358" spans="3:8">
      <c r="C2358" s="545" t="e">
        <f>VLOOKUP(D2358,기본!$B$3:$C$90,2,0)</f>
        <v>#N/A</v>
      </c>
      <c r="G2358" t="e">
        <f>VLOOKUP(E2358,기본!$F$3:$G$320,2,0)</f>
        <v>#N/A</v>
      </c>
      <c r="H2358" s="544"/>
    </row>
    <row r="2359" spans="3:8">
      <c r="C2359" s="545" t="e">
        <f>VLOOKUP(D2359,기본!$B$3:$C$90,2,0)</f>
        <v>#N/A</v>
      </c>
      <c r="G2359" t="e">
        <f>VLOOKUP(E2359,기본!$F$3:$G$320,2,0)</f>
        <v>#N/A</v>
      </c>
      <c r="H2359" s="544"/>
    </row>
    <row r="2360" spans="3:8">
      <c r="C2360" s="545" t="e">
        <f>VLOOKUP(D2360,기본!$B$3:$C$90,2,0)</f>
        <v>#N/A</v>
      </c>
      <c r="G2360" t="e">
        <f>VLOOKUP(E2360,기본!$F$3:$G$320,2,0)</f>
        <v>#N/A</v>
      </c>
      <c r="H2360" s="544"/>
    </row>
    <row r="2361" spans="3:8">
      <c r="C2361" s="545" t="e">
        <f>VLOOKUP(D2361,기본!$B$3:$C$90,2,0)</f>
        <v>#N/A</v>
      </c>
      <c r="G2361" t="e">
        <f>VLOOKUP(E2361,기본!$F$3:$G$320,2,0)</f>
        <v>#N/A</v>
      </c>
      <c r="H2361" s="544"/>
    </row>
    <row r="2362" spans="3:8">
      <c r="C2362" s="545" t="e">
        <f>VLOOKUP(D2362,기본!$B$3:$C$90,2,0)</f>
        <v>#N/A</v>
      </c>
      <c r="G2362" t="e">
        <f>VLOOKUP(E2362,기본!$F$3:$G$320,2,0)</f>
        <v>#N/A</v>
      </c>
      <c r="H2362" s="544"/>
    </row>
    <row r="2363" spans="3:8">
      <c r="C2363" s="545" t="e">
        <f>VLOOKUP(D2363,기본!$B$3:$C$90,2,0)</f>
        <v>#N/A</v>
      </c>
      <c r="G2363" t="e">
        <f>VLOOKUP(E2363,기본!$F$3:$G$320,2,0)</f>
        <v>#N/A</v>
      </c>
      <c r="H2363" s="544"/>
    </row>
    <row r="2364" spans="3:8">
      <c r="C2364" s="545" t="e">
        <f>VLOOKUP(D2364,기본!$B$3:$C$90,2,0)</f>
        <v>#N/A</v>
      </c>
      <c r="G2364" t="e">
        <f>VLOOKUP(E2364,기본!$F$3:$G$320,2,0)</f>
        <v>#N/A</v>
      </c>
      <c r="H2364" s="544"/>
    </row>
    <row r="2365" spans="3:8">
      <c r="C2365" s="545" t="e">
        <f>VLOOKUP(D2365,기본!$B$3:$C$90,2,0)</f>
        <v>#N/A</v>
      </c>
      <c r="G2365" t="e">
        <f>VLOOKUP(E2365,기본!$F$3:$G$320,2,0)</f>
        <v>#N/A</v>
      </c>
      <c r="H2365" s="544"/>
    </row>
    <row r="2366" spans="3:8">
      <c r="C2366" s="545" t="e">
        <f>VLOOKUP(D2366,기본!$B$3:$C$90,2,0)</f>
        <v>#N/A</v>
      </c>
      <c r="G2366" t="e">
        <f>VLOOKUP(E2366,기본!$F$3:$G$320,2,0)</f>
        <v>#N/A</v>
      </c>
      <c r="H2366" s="544"/>
    </row>
    <row r="2367" spans="3:8">
      <c r="C2367" s="545" t="e">
        <f>VLOOKUP(D2367,기본!$B$3:$C$90,2,0)</f>
        <v>#N/A</v>
      </c>
      <c r="G2367" t="e">
        <f>VLOOKUP(E2367,기본!$F$3:$G$320,2,0)</f>
        <v>#N/A</v>
      </c>
      <c r="H2367" s="544"/>
    </row>
    <row r="2368" spans="3:8">
      <c r="C2368" s="545" t="e">
        <f>VLOOKUP(D2368,기본!$B$3:$C$90,2,0)</f>
        <v>#N/A</v>
      </c>
      <c r="G2368" t="e">
        <f>VLOOKUP(E2368,기본!$F$3:$G$320,2,0)</f>
        <v>#N/A</v>
      </c>
      <c r="H2368" s="544"/>
    </row>
    <row r="2369" spans="3:8">
      <c r="C2369" s="545" t="e">
        <f>VLOOKUP(D2369,기본!$B$3:$C$90,2,0)</f>
        <v>#N/A</v>
      </c>
      <c r="G2369" t="e">
        <f>VLOOKUP(E2369,기본!$F$3:$G$320,2,0)</f>
        <v>#N/A</v>
      </c>
      <c r="H2369" s="544"/>
    </row>
    <row r="2370" spans="3:8">
      <c r="C2370" s="545" t="e">
        <f>VLOOKUP(D2370,기본!$B$3:$C$90,2,0)</f>
        <v>#N/A</v>
      </c>
      <c r="G2370" t="e">
        <f>VLOOKUP(E2370,기본!$F$3:$G$320,2,0)</f>
        <v>#N/A</v>
      </c>
      <c r="H2370" s="544"/>
    </row>
    <row r="2371" spans="3:8">
      <c r="C2371" s="545" t="e">
        <f>VLOOKUP(D2371,기본!$B$3:$C$90,2,0)</f>
        <v>#N/A</v>
      </c>
      <c r="G2371" t="e">
        <f>VLOOKUP(E2371,기본!$F$3:$G$320,2,0)</f>
        <v>#N/A</v>
      </c>
      <c r="H2371" s="544"/>
    </row>
    <row r="2372" spans="3:8">
      <c r="C2372" s="545" t="e">
        <f>VLOOKUP(D2372,기본!$B$3:$C$90,2,0)</f>
        <v>#N/A</v>
      </c>
      <c r="G2372" t="e">
        <f>VLOOKUP(E2372,기본!$F$3:$G$320,2,0)</f>
        <v>#N/A</v>
      </c>
      <c r="H2372" s="544"/>
    </row>
    <row r="2373" spans="3:8">
      <c r="C2373" s="545" t="e">
        <f>VLOOKUP(D2373,기본!$B$3:$C$90,2,0)</f>
        <v>#N/A</v>
      </c>
      <c r="G2373" t="e">
        <f>VLOOKUP(E2373,기본!$F$3:$G$320,2,0)</f>
        <v>#N/A</v>
      </c>
      <c r="H2373" s="544"/>
    </row>
    <row r="2374" spans="3:8">
      <c r="C2374" s="545" t="e">
        <f>VLOOKUP(D2374,기본!$B$3:$C$90,2,0)</f>
        <v>#N/A</v>
      </c>
      <c r="G2374" t="e">
        <f>VLOOKUP(E2374,기본!$F$3:$G$320,2,0)</f>
        <v>#N/A</v>
      </c>
      <c r="H2374" s="544"/>
    </row>
    <row r="2375" spans="3:8">
      <c r="C2375" s="545" t="e">
        <f>VLOOKUP(D2375,기본!$B$3:$C$90,2,0)</f>
        <v>#N/A</v>
      </c>
      <c r="G2375" t="e">
        <f>VLOOKUP(E2375,기본!$F$3:$G$320,2,0)</f>
        <v>#N/A</v>
      </c>
      <c r="H2375" s="544"/>
    </row>
    <row r="2376" spans="3:8">
      <c r="C2376" s="545" t="e">
        <f>VLOOKUP(D2376,기본!$B$3:$C$90,2,0)</f>
        <v>#N/A</v>
      </c>
      <c r="G2376" t="e">
        <f>VLOOKUP(E2376,기본!$F$3:$G$320,2,0)</f>
        <v>#N/A</v>
      </c>
      <c r="H2376" s="544"/>
    </row>
    <row r="2377" spans="3:8">
      <c r="C2377" s="545" t="e">
        <f>VLOOKUP(D2377,기본!$B$3:$C$90,2,0)</f>
        <v>#N/A</v>
      </c>
      <c r="G2377" t="e">
        <f>VLOOKUP(E2377,기본!$F$3:$G$320,2,0)</f>
        <v>#N/A</v>
      </c>
      <c r="H2377" s="544"/>
    </row>
    <row r="2378" spans="3:8">
      <c r="C2378" s="545" t="e">
        <f>VLOOKUP(D2378,기본!$B$3:$C$90,2,0)</f>
        <v>#N/A</v>
      </c>
      <c r="G2378" t="e">
        <f>VLOOKUP(E2378,기본!$F$3:$G$320,2,0)</f>
        <v>#N/A</v>
      </c>
      <c r="H2378" s="544"/>
    </row>
    <row r="2379" spans="3:8">
      <c r="C2379" s="545" t="e">
        <f>VLOOKUP(D2379,기본!$B$3:$C$90,2,0)</f>
        <v>#N/A</v>
      </c>
      <c r="G2379" t="e">
        <f>VLOOKUP(E2379,기본!$F$3:$G$320,2,0)</f>
        <v>#N/A</v>
      </c>
      <c r="H2379" s="544"/>
    </row>
    <row r="2380" spans="3:8">
      <c r="C2380" s="545" t="e">
        <f>VLOOKUP(D2380,기본!$B$3:$C$90,2,0)</f>
        <v>#N/A</v>
      </c>
      <c r="G2380" t="e">
        <f>VLOOKUP(E2380,기본!$F$3:$G$320,2,0)</f>
        <v>#N/A</v>
      </c>
      <c r="H2380" s="544"/>
    </row>
    <row r="2381" spans="3:8">
      <c r="C2381" s="545" t="e">
        <f>VLOOKUP(D2381,기본!$B$3:$C$90,2,0)</f>
        <v>#N/A</v>
      </c>
      <c r="G2381" t="e">
        <f>VLOOKUP(E2381,기본!$F$3:$G$320,2,0)</f>
        <v>#N/A</v>
      </c>
      <c r="H2381" s="544"/>
    </row>
    <row r="2382" spans="3:8">
      <c r="C2382" s="545" t="e">
        <f>VLOOKUP(D2382,기본!$B$3:$C$90,2,0)</f>
        <v>#N/A</v>
      </c>
      <c r="G2382" t="e">
        <f>VLOOKUP(E2382,기본!$F$3:$G$320,2,0)</f>
        <v>#N/A</v>
      </c>
      <c r="H2382" s="544"/>
    </row>
    <row r="2383" spans="3:8">
      <c r="C2383" s="545" t="e">
        <f>VLOOKUP(D2383,기본!$B$3:$C$90,2,0)</f>
        <v>#N/A</v>
      </c>
      <c r="G2383" t="e">
        <f>VLOOKUP(E2383,기본!$F$3:$G$320,2,0)</f>
        <v>#N/A</v>
      </c>
      <c r="H2383" s="544"/>
    </row>
    <row r="2384" spans="3:8">
      <c r="C2384" s="545" t="e">
        <f>VLOOKUP(D2384,기본!$B$3:$C$90,2,0)</f>
        <v>#N/A</v>
      </c>
      <c r="G2384" t="e">
        <f>VLOOKUP(E2384,기본!$F$3:$G$320,2,0)</f>
        <v>#N/A</v>
      </c>
      <c r="H2384" s="544"/>
    </row>
    <row r="2385" spans="3:8">
      <c r="C2385" s="545" t="e">
        <f>VLOOKUP(D2385,기본!$B$3:$C$90,2,0)</f>
        <v>#N/A</v>
      </c>
      <c r="G2385" t="e">
        <f>VLOOKUP(E2385,기본!$F$3:$G$320,2,0)</f>
        <v>#N/A</v>
      </c>
      <c r="H2385" s="544"/>
    </row>
    <row r="2386" spans="3:8">
      <c r="C2386" s="545" t="e">
        <f>VLOOKUP(D2386,기본!$B$3:$C$90,2,0)</f>
        <v>#N/A</v>
      </c>
      <c r="G2386" t="e">
        <f>VLOOKUP(E2386,기본!$F$3:$G$320,2,0)</f>
        <v>#N/A</v>
      </c>
      <c r="H2386" s="544"/>
    </row>
    <row r="2387" spans="3:8">
      <c r="C2387" s="545" t="e">
        <f>VLOOKUP(D2387,기본!$B$3:$C$90,2,0)</f>
        <v>#N/A</v>
      </c>
      <c r="G2387" t="e">
        <f>VLOOKUP(E2387,기본!$F$3:$G$320,2,0)</f>
        <v>#N/A</v>
      </c>
      <c r="H2387" s="544"/>
    </row>
    <row r="2388" spans="3:8">
      <c r="C2388" s="545" t="e">
        <f>VLOOKUP(D2388,기본!$B$3:$C$90,2,0)</f>
        <v>#N/A</v>
      </c>
      <c r="G2388" t="e">
        <f>VLOOKUP(E2388,기본!$F$3:$G$320,2,0)</f>
        <v>#N/A</v>
      </c>
      <c r="H2388" s="544"/>
    </row>
    <row r="2389" spans="3:8">
      <c r="C2389" s="545" t="e">
        <f>VLOOKUP(D2389,기본!$B$3:$C$90,2,0)</f>
        <v>#N/A</v>
      </c>
      <c r="G2389" t="e">
        <f>VLOOKUP(E2389,기본!$F$3:$G$320,2,0)</f>
        <v>#N/A</v>
      </c>
      <c r="H2389" s="544"/>
    </row>
    <row r="2390" spans="3:8">
      <c r="C2390" s="545" t="e">
        <f>VLOOKUP(D2390,기본!$B$3:$C$90,2,0)</f>
        <v>#N/A</v>
      </c>
      <c r="G2390" t="e">
        <f>VLOOKUP(E2390,기본!$F$3:$G$320,2,0)</f>
        <v>#N/A</v>
      </c>
      <c r="H2390" s="544"/>
    </row>
    <row r="2391" spans="3:8">
      <c r="C2391" s="545" t="e">
        <f>VLOOKUP(D2391,기본!$B$3:$C$90,2,0)</f>
        <v>#N/A</v>
      </c>
      <c r="G2391" t="e">
        <f>VLOOKUP(E2391,기본!$F$3:$G$320,2,0)</f>
        <v>#N/A</v>
      </c>
      <c r="H2391" s="544"/>
    </row>
    <row r="2392" spans="3:8">
      <c r="C2392" s="545" t="e">
        <f>VLOOKUP(D2392,기본!$B$3:$C$90,2,0)</f>
        <v>#N/A</v>
      </c>
      <c r="G2392" t="e">
        <f>VLOOKUP(E2392,기본!$F$3:$G$320,2,0)</f>
        <v>#N/A</v>
      </c>
      <c r="H2392" s="544"/>
    </row>
    <row r="2393" spans="3:8">
      <c r="C2393" s="545" t="e">
        <f>VLOOKUP(D2393,기본!$B$3:$C$90,2,0)</f>
        <v>#N/A</v>
      </c>
      <c r="G2393" t="e">
        <f>VLOOKUP(E2393,기본!$F$3:$G$320,2,0)</f>
        <v>#N/A</v>
      </c>
      <c r="H2393" s="544"/>
    </row>
    <row r="2394" spans="3:8">
      <c r="C2394" s="545" t="e">
        <f>VLOOKUP(D2394,기본!$B$3:$C$90,2,0)</f>
        <v>#N/A</v>
      </c>
      <c r="G2394" t="e">
        <f>VLOOKUP(E2394,기본!$F$3:$G$320,2,0)</f>
        <v>#N/A</v>
      </c>
      <c r="H2394" s="544"/>
    </row>
    <row r="2395" spans="3:8">
      <c r="C2395" s="545" t="e">
        <f>VLOOKUP(D2395,기본!$B$3:$C$90,2,0)</f>
        <v>#N/A</v>
      </c>
      <c r="G2395" t="e">
        <f>VLOOKUP(E2395,기본!$F$3:$G$320,2,0)</f>
        <v>#N/A</v>
      </c>
      <c r="H2395" s="544"/>
    </row>
    <row r="2396" spans="3:8">
      <c r="C2396" s="545" t="e">
        <f>VLOOKUP(D2396,기본!$B$3:$C$90,2,0)</f>
        <v>#N/A</v>
      </c>
      <c r="G2396" t="e">
        <f>VLOOKUP(E2396,기본!$F$3:$G$320,2,0)</f>
        <v>#N/A</v>
      </c>
      <c r="H2396" s="544"/>
    </row>
    <row r="2397" spans="3:8">
      <c r="C2397" s="545" t="e">
        <f>VLOOKUP(D2397,기본!$B$3:$C$90,2,0)</f>
        <v>#N/A</v>
      </c>
      <c r="G2397" t="e">
        <f>VLOOKUP(E2397,기본!$F$3:$G$320,2,0)</f>
        <v>#N/A</v>
      </c>
      <c r="H2397" s="544"/>
    </row>
    <row r="2398" spans="3:8">
      <c r="C2398" s="545" t="e">
        <f>VLOOKUP(D2398,기본!$B$3:$C$90,2,0)</f>
        <v>#N/A</v>
      </c>
      <c r="G2398" t="e">
        <f>VLOOKUP(E2398,기본!$F$3:$G$320,2,0)</f>
        <v>#N/A</v>
      </c>
      <c r="H2398" s="544"/>
    </row>
    <row r="2399" spans="3:8">
      <c r="C2399" s="545" t="e">
        <f>VLOOKUP(D2399,기본!$B$3:$C$90,2,0)</f>
        <v>#N/A</v>
      </c>
      <c r="G2399" t="e">
        <f>VLOOKUP(E2399,기본!$F$3:$G$320,2,0)</f>
        <v>#N/A</v>
      </c>
      <c r="H2399" s="544"/>
    </row>
    <row r="2400" spans="3:8">
      <c r="C2400" s="545" t="e">
        <f>VLOOKUP(D2400,기본!$B$3:$C$90,2,0)</f>
        <v>#N/A</v>
      </c>
      <c r="G2400" t="e">
        <f>VLOOKUP(E2400,기본!$F$3:$G$320,2,0)</f>
        <v>#N/A</v>
      </c>
      <c r="H2400" s="544"/>
    </row>
    <row r="2401" spans="3:8">
      <c r="C2401" s="545" t="e">
        <f>VLOOKUP(D2401,기본!$B$3:$C$90,2,0)</f>
        <v>#N/A</v>
      </c>
      <c r="G2401" t="e">
        <f>VLOOKUP(E2401,기본!$F$3:$G$320,2,0)</f>
        <v>#N/A</v>
      </c>
      <c r="H2401" s="544"/>
    </row>
    <row r="2402" spans="3:8">
      <c r="C2402" s="545" t="e">
        <f>VLOOKUP(D2402,기본!$B$3:$C$90,2,0)</f>
        <v>#N/A</v>
      </c>
      <c r="G2402" t="e">
        <f>VLOOKUP(E2402,기본!$F$3:$G$320,2,0)</f>
        <v>#N/A</v>
      </c>
      <c r="H2402" s="544"/>
    </row>
    <row r="2403" spans="3:8">
      <c r="C2403" s="545" t="e">
        <f>VLOOKUP(D2403,기본!$B$3:$C$90,2,0)</f>
        <v>#N/A</v>
      </c>
      <c r="G2403" t="e">
        <f>VLOOKUP(E2403,기본!$F$3:$G$320,2,0)</f>
        <v>#N/A</v>
      </c>
      <c r="H2403" s="544"/>
    </row>
    <row r="2404" spans="3:8">
      <c r="C2404" s="545" t="e">
        <f>VLOOKUP(D2404,기본!$B$3:$C$90,2,0)</f>
        <v>#N/A</v>
      </c>
      <c r="G2404" t="e">
        <f>VLOOKUP(E2404,기본!$F$3:$G$320,2,0)</f>
        <v>#N/A</v>
      </c>
      <c r="H2404" s="544"/>
    </row>
    <row r="2405" spans="3:8">
      <c r="C2405" s="545" t="e">
        <f>VLOOKUP(D2405,기본!$B$3:$C$90,2,0)</f>
        <v>#N/A</v>
      </c>
      <c r="G2405" t="e">
        <f>VLOOKUP(E2405,기본!$F$3:$G$320,2,0)</f>
        <v>#N/A</v>
      </c>
      <c r="H2405" s="544"/>
    </row>
    <row r="2406" spans="3:8">
      <c r="C2406" s="545" t="e">
        <f>VLOOKUP(D2406,기본!$B$3:$C$90,2,0)</f>
        <v>#N/A</v>
      </c>
      <c r="G2406" t="e">
        <f>VLOOKUP(E2406,기본!$F$3:$G$320,2,0)</f>
        <v>#N/A</v>
      </c>
      <c r="H2406" s="544"/>
    </row>
    <row r="2407" spans="3:8">
      <c r="C2407" s="545" t="e">
        <f>VLOOKUP(D2407,기본!$B$3:$C$90,2,0)</f>
        <v>#N/A</v>
      </c>
      <c r="G2407" t="e">
        <f>VLOOKUP(E2407,기본!$F$3:$G$320,2,0)</f>
        <v>#N/A</v>
      </c>
      <c r="H2407" s="544"/>
    </row>
    <row r="2408" spans="3:8">
      <c r="C2408" s="545" t="e">
        <f>VLOOKUP(D2408,기본!$B$3:$C$90,2,0)</f>
        <v>#N/A</v>
      </c>
      <c r="G2408" t="e">
        <f>VLOOKUP(E2408,기본!$F$3:$G$320,2,0)</f>
        <v>#N/A</v>
      </c>
      <c r="H2408" s="544"/>
    </row>
    <row r="2409" spans="3:8">
      <c r="C2409" s="545" t="e">
        <f>VLOOKUP(D2409,기본!$B$3:$C$90,2,0)</f>
        <v>#N/A</v>
      </c>
      <c r="G2409" t="e">
        <f>VLOOKUP(E2409,기본!$F$3:$G$320,2,0)</f>
        <v>#N/A</v>
      </c>
      <c r="H2409" s="544"/>
    </row>
    <row r="2410" spans="3:8">
      <c r="C2410" s="545" t="e">
        <f>VLOOKUP(D2410,기본!$B$3:$C$90,2,0)</f>
        <v>#N/A</v>
      </c>
      <c r="G2410" t="e">
        <f>VLOOKUP(E2410,기본!$F$3:$G$320,2,0)</f>
        <v>#N/A</v>
      </c>
      <c r="H2410" s="544"/>
    </row>
    <row r="2411" spans="3:8">
      <c r="C2411" s="545" t="e">
        <f>VLOOKUP(D2411,기본!$B$3:$C$90,2,0)</f>
        <v>#N/A</v>
      </c>
      <c r="G2411" t="e">
        <f>VLOOKUP(E2411,기본!$F$3:$G$320,2,0)</f>
        <v>#N/A</v>
      </c>
      <c r="H2411" s="544"/>
    </row>
    <row r="2412" spans="3:8">
      <c r="C2412" s="545" t="e">
        <f>VLOOKUP(D2412,기본!$B$3:$C$90,2,0)</f>
        <v>#N/A</v>
      </c>
      <c r="G2412" t="e">
        <f>VLOOKUP(E2412,기본!$F$3:$G$320,2,0)</f>
        <v>#N/A</v>
      </c>
      <c r="H2412" s="544"/>
    </row>
    <row r="2413" spans="3:8">
      <c r="C2413" s="545" t="e">
        <f>VLOOKUP(D2413,기본!$B$3:$C$90,2,0)</f>
        <v>#N/A</v>
      </c>
      <c r="G2413" t="e">
        <f>VLOOKUP(E2413,기본!$F$3:$G$320,2,0)</f>
        <v>#N/A</v>
      </c>
      <c r="H2413" s="544"/>
    </row>
    <row r="2414" spans="3:8">
      <c r="C2414" s="545" t="e">
        <f>VLOOKUP(D2414,기본!$B$3:$C$90,2,0)</f>
        <v>#N/A</v>
      </c>
      <c r="G2414" t="e">
        <f>VLOOKUP(E2414,기본!$F$3:$G$320,2,0)</f>
        <v>#N/A</v>
      </c>
      <c r="H2414" s="544"/>
    </row>
    <row r="2415" spans="3:8">
      <c r="C2415" s="545" t="e">
        <f>VLOOKUP(D2415,기본!$B$3:$C$90,2,0)</f>
        <v>#N/A</v>
      </c>
      <c r="G2415" t="e">
        <f>VLOOKUP(E2415,기본!$F$3:$G$320,2,0)</f>
        <v>#N/A</v>
      </c>
      <c r="H2415" s="544"/>
    </row>
    <row r="2416" spans="3:8">
      <c r="C2416" s="545" t="e">
        <f>VLOOKUP(D2416,기본!$B$3:$C$90,2,0)</f>
        <v>#N/A</v>
      </c>
      <c r="G2416" t="e">
        <f>VLOOKUP(E2416,기본!$F$3:$G$320,2,0)</f>
        <v>#N/A</v>
      </c>
      <c r="H2416" s="544"/>
    </row>
    <row r="2417" spans="3:8">
      <c r="C2417" s="545" t="e">
        <f>VLOOKUP(D2417,기본!$B$3:$C$90,2,0)</f>
        <v>#N/A</v>
      </c>
      <c r="G2417" t="e">
        <f>VLOOKUP(E2417,기본!$F$3:$G$320,2,0)</f>
        <v>#N/A</v>
      </c>
      <c r="H2417" s="544"/>
    </row>
    <row r="2418" spans="3:8">
      <c r="C2418" s="545" t="e">
        <f>VLOOKUP(D2418,기본!$B$3:$C$90,2,0)</f>
        <v>#N/A</v>
      </c>
      <c r="G2418" t="e">
        <f>VLOOKUP(E2418,기본!$F$3:$G$320,2,0)</f>
        <v>#N/A</v>
      </c>
      <c r="H2418" s="544"/>
    </row>
    <row r="2419" spans="3:8">
      <c r="C2419" s="545" t="e">
        <f>VLOOKUP(D2419,기본!$B$3:$C$90,2,0)</f>
        <v>#N/A</v>
      </c>
      <c r="G2419" t="e">
        <f>VLOOKUP(E2419,기본!$F$3:$G$320,2,0)</f>
        <v>#N/A</v>
      </c>
      <c r="H2419" s="544"/>
    </row>
    <row r="2420" spans="3:8">
      <c r="C2420" s="545" t="e">
        <f>VLOOKUP(D2420,기본!$B$3:$C$90,2,0)</f>
        <v>#N/A</v>
      </c>
      <c r="G2420" t="e">
        <f>VLOOKUP(E2420,기본!$F$3:$G$320,2,0)</f>
        <v>#N/A</v>
      </c>
      <c r="H2420" s="544"/>
    </row>
    <row r="2421" spans="3:8">
      <c r="C2421" s="545" t="e">
        <f>VLOOKUP(D2421,기본!$B$3:$C$90,2,0)</f>
        <v>#N/A</v>
      </c>
      <c r="G2421" t="e">
        <f>VLOOKUP(E2421,기본!$F$3:$G$320,2,0)</f>
        <v>#N/A</v>
      </c>
      <c r="H2421" s="544"/>
    </row>
    <row r="2422" spans="3:8">
      <c r="C2422" s="545" t="e">
        <f>VLOOKUP(D2422,기본!$B$3:$C$90,2,0)</f>
        <v>#N/A</v>
      </c>
      <c r="G2422" t="e">
        <f>VLOOKUP(E2422,기본!$F$3:$G$320,2,0)</f>
        <v>#N/A</v>
      </c>
      <c r="H2422" s="544"/>
    </row>
    <row r="2423" spans="3:8">
      <c r="C2423" s="545" t="e">
        <f>VLOOKUP(D2423,기본!$B$3:$C$90,2,0)</f>
        <v>#N/A</v>
      </c>
      <c r="G2423" t="e">
        <f>VLOOKUP(E2423,기본!$F$3:$G$320,2,0)</f>
        <v>#N/A</v>
      </c>
      <c r="H2423" s="544"/>
    </row>
    <row r="2424" spans="3:8">
      <c r="C2424" s="545" t="e">
        <f>VLOOKUP(D2424,기본!$B$3:$C$90,2,0)</f>
        <v>#N/A</v>
      </c>
      <c r="G2424" t="e">
        <f>VLOOKUP(E2424,기본!$F$3:$G$320,2,0)</f>
        <v>#N/A</v>
      </c>
      <c r="H2424" s="544"/>
    </row>
    <row r="2425" spans="3:8">
      <c r="C2425" s="545" t="e">
        <f>VLOOKUP(D2425,기본!$B$3:$C$90,2,0)</f>
        <v>#N/A</v>
      </c>
      <c r="G2425" t="e">
        <f>VLOOKUP(E2425,기본!$F$3:$G$320,2,0)</f>
        <v>#N/A</v>
      </c>
      <c r="H2425" s="544"/>
    </row>
    <row r="2426" spans="3:8">
      <c r="C2426" s="545" t="e">
        <f>VLOOKUP(D2426,기본!$B$3:$C$90,2,0)</f>
        <v>#N/A</v>
      </c>
      <c r="G2426" t="e">
        <f>VLOOKUP(E2426,기본!$F$3:$G$320,2,0)</f>
        <v>#N/A</v>
      </c>
      <c r="H2426" s="544"/>
    </row>
    <row r="2427" spans="3:8">
      <c r="C2427" s="545" t="e">
        <f>VLOOKUP(D2427,기본!$B$3:$C$90,2,0)</f>
        <v>#N/A</v>
      </c>
      <c r="G2427" t="e">
        <f>VLOOKUP(E2427,기본!$F$3:$G$320,2,0)</f>
        <v>#N/A</v>
      </c>
      <c r="H2427" s="544"/>
    </row>
    <row r="2428" spans="3:8">
      <c r="C2428" s="545" t="e">
        <f>VLOOKUP(D2428,기본!$B$3:$C$90,2,0)</f>
        <v>#N/A</v>
      </c>
      <c r="G2428" t="e">
        <f>VLOOKUP(E2428,기본!$F$3:$G$320,2,0)</f>
        <v>#N/A</v>
      </c>
      <c r="H2428" s="544"/>
    </row>
    <row r="2429" spans="3:8">
      <c r="C2429" s="545" t="e">
        <f>VLOOKUP(D2429,기본!$B$3:$C$90,2,0)</f>
        <v>#N/A</v>
      </c>
      <c r="G2429" t="e">
        <f>VLOOKUP(E2429,기본!$F$3:$G$320,2,0)</f>
        <v>#N/A</v>
      </c>
      <c r="H2429" s="544"/>
    </row>
    <row r="2430" spans="3:8">
      <c r="C2430" s="545" t="e">
        <f>VLOOKUP(D2430,기본!$B$3:$C$90,2,0)</f>
        <v>#N/A</v>
      </c>
      <c r="G2430" t="e">
        <f>VLOOKUP(E2430,기본!$F$3:$G$320,2,0)</f>
        <v>#N/A</v>
      </c>
      <c r="H2430" s="544"/>
    </row>
    <row r="2431" spans="3:8">
      <c r="C2431" s="545" t="e">
        <f>VLOOKUP(D2431,기본!$B$3:$C$90,2,0)</f>
        <v>#N/A</v>
      </c>
      <c r="G2431" t="e">
        <f>VLOOKUP(E2431,기본!$F$3:$G$320,2,0)</f>
        <v>#N/A</v>
      </c>
      <c r="H2431" s="544"/>
    </row>
    <row r="2432" spans="3:8">
      <c r="C2432" s="545" t="e">
        <f>VLOOKUP(D2432,기본!$B$3:$C$90,2,0)</f>
        <v>#N/A</v>
      </c>
      <c r="G2432" t="e">
        <f>VLOOKUP(E2432,기본!$F$3:$G$320,2,0)</f>
        <v>#N/A</v>
      </c>
      <c r="H2432" s="544"/>
    </row>
    <row r="2433" spans="3:8">
      <c r="C2433" s="545" t="e">
        <f>VLOOKUP(D2433,기본!$B$3:$C$90,2,0)</f>
        <v>#N/A</v>
      </c>
      <c r="G2433" t="e">
        <f>VLOOKUP(E2433,기본!$F$3:$G$320,2,0)</f>
        <v>#N/A</v>
      </c>
      <c r="H2433" s="544"/>
    </row>
    <row r="2434" spans="3:8">
      <c r="C2434" s="545" t="e">
        <f>VLOOKUP(D2434,기본!$B$3:$C$90,2,0)</f>
        <v>#N/A</v>
      </c>
      <c r="G2434" t="e">
        <f>VLOOKUP(E2434,기본!$F$3:$G$320,2,0)</f>
        <v>#N/A</v>
      </c>
      <c r="H2434" s="544"/>
    </row>
    <row r="2435" spans="3:8">
      <c r="C2435" s="545" t="e">
        <f>VLOOKUP(D2435,기본!$B$3:$C$90,2,0)</f>
        <v>#N/A</v>
      </c>
      <c r="G2435" t="e">
        <f>VLOOKUP(E2435,기본!$F$3:$G$320,2,0)</f>
        <v>#N/A</v>
      </c>
      <c r="H2435" s="544"/>
    </row>
    <row r="2436" spans="3:8">
      <c r="C2436" s="545" t="e">
        <f>VLOOKUP(D2436,기본!$B$3:$C$90,2,0)</f>
        <v>#N/A</v>
      </c>
      <c r="G2436" t="e">
        <f>VLOOKUP(E2436,기본!$F$3:$G$320,2,0)</f>
        <v>#N/A</v>
      </c>
      <c r="H2436" s="544"/>
    </row>
    <row r="2437" spans="3:8">
      <c r="C2437" s="545" t="e">
        <f>VLOOKUP(D2437,기본!$B$3:$C$90,2,0)</f>
        <v>#N/A</v>
      </c>
      <c r="G2437" t="e">
        <f>VLOOKUP(E2437,기본!$F$3:$G$320,2,0)</f>
        <v>#N/A</v>
      </c>
      <c r="H2437" s="544"/>
    </row>
    <row r="2438" spans="3:8">
      <c r="C2438" s="545" t="e">
        <f>VLOOKUP(D2438,기본!$B$3:$C$90,2,0)</f>
        <v>#N/A</v>
      </c>
      <c r="G2438" t="e">
        <f>VLOOKUP(E2438,기본!$F$3:$G$320,2,0)</f>
        <v>#N/A</v>
      </c>
      <c r="H2438" s="544"/>
    </row>
    <row r="2439" spans="3:8">
      <c r="C2439" s="545" t="e">
        <f>VLOOKUP(D2439,기본!$B$3:$C$90,2,0)</f>
        <v>#N/A</v>
      </c>
      <c r="G2439" t="e">
        <f>VLOOKUP(E2439,기본!$F$3:$G$320,2,0)</f>
        <v>#N/A</v>
      </c>
      <c r="H2439" s="544"/>
    </row>
    <row r="2440" spans="3:8">
      <c r="C2440" s="545" t="e">
        <f>VLOOKUP(D2440,기본!$B$3:$C$90,2,0)</f>
        <v>#N/A</v>
      </c>
      <c r="G2440" t="e">
        <f>VLOOKUP(E2440,기본!$F$3:$G$320,2,0)</f>
        <v>#N/A</v>
      </c>
      <c r="H2440" s="544"/>
    </row>
    <row r="2441" spans="3:8">
      <c r="C2441" s="545" t="e">
        <f>VLOOKUP(D2441,기본!$B$3:$C$90,2,0)</f>
        <v>#N/A</v>
      </c>
      <c r="G2441" t="e">
        <f>VLOOKUP(E2441,기본!$F$3:$G$320,2,0)</f>
        <v>#N/A</v>
      </c>
      <c r="H2441" s="544"/>
    </row>
    <row r="2442" spans="3:8">
      <c r="C2442" s="545" t="e">
        <f>VLOOKUP(D2442,기본!$B$3:$C$90,2,0)</f>
        <v>#N/A</v>
      </c>
      <c r="G2442" t="e">
        <f>VLOOKUP(E2442,기본!$F$3:$G$320,2,0)</f>
        <v>#N/A</v>
      </c>
      <c r="H2442" s="544"/>
    </row>
    <row r="2443" spans="3:8">
      <c r="C2443" s="545" t="e">
        <f>VLOOKUP(D2443,기본!$B$3:$C$90,2,0)</f>
        <v>#N/A</v>
      </c>
      <c r="G2443" t="e">
        <f>VLOOKUP(E2443,기본!$F$3:$G$320,2,0)</f>
        <v>#N/A</v>
      </c>
      <c r="H2443" s="544"/>
    </row>
    <row r="2444" spans="3:8">
      <c r="C2444" s="545" t="e">
        <f>VLOOKUP(D2444,기본!$B$3:$C$90,2,0)</f>
        <v>#N/A</v>
      </c>
      <c r="G2444" t="e">
        <f>VLOOKUP(E2444,기본!$F$3:$G$320,2,0)</f>
        <v>#N/A</v>
      </c>
      <c r="H2444" s="544"/>
    </row>
    <row r="2445" spans="3:8">
      <c r="C2445" s="545" t="e">
        <f>VLOOKUP(D2445,기본!$B$3:$C$90,2,0)</f>
        <v>#N/A</v>
      </c>
      <c r="G2445" t="e">
        <f>VLOOKUP(E2445,기본!$F$3:$G$320,2,0)</f>
        <v>#N/A</v>
      </c>
      <c r="H2445" s="544"/>
    </row>
    <row r="2446" spans="3:8">
      <c r="C2446" s="545" t="e">
        <f>VLOOKUP(D2446,기본!$B$3:$C$90,2,0)</f>
        <v>#N/A</v>
      </c>
      <c r="G2446" t="e">
        <f>VLOOKUP(E2446,기본!$F$3:$G$320,2,0)</f>
        <v>#N/A</v>
      </c>
      <c r="H2446" s="544"/>
    </row>
    <row r="2447" spans="3:8">
      <c r="C2447" s="545" t="e">
        <f>VLOOKUP(D2447,기본!$B$3:$C$90,2,0)</f>
        <v>#N/A</v>
      </c>
      <c r="G2447" t="e">
        <f>VLOOKUP(E2447,기본!$F$3:$G$320,2,0)</f>
        <v>#N/A</v>
      </c>
      <c r="H2447" s="544"/>
    </row>
    <row r="2448" spans="3:8">
      <c r="C2448" s="545" t="e">
        <f>VLOOKUP(D2448,기본!$B$3:$C$90,2,0)</f>
        <v>#N/A</v>
      </c>
      <c r="G2448" t="e">
        <f>VLOOKUP(E2448,기본!$F$3:$G$320,2,0)</f>
        <v>#N/A</v>
      </c>
      <c r="H2448" s="544"/>
    </row>
    <row r="2449" spans="3:8">
      <c r="C2449" s="545" t="e">
        <f>VLOOKUP(D2449,기본!$B$3:$C$90,2,0)</f>
        <v>#N/A</v>
      </c>
      <c r="G2449" t="e">
        <f>VLOOKUP(E2449,기본!$F$3:$G$320,2,0)</f>
        <v>#N/A</v>
      </c>
      <c r="H2449" s="544"/>
    </row>
    <row r="2450" spans="3:8">
      <c r="C2450" s="545" t="e">
        <f>VLOOKUP(D2450,기본!$B$3:$C$90,2,0)</f>
        <v>#N/A</v>
      </c>
      <c r="G2450" t="e">
        <f>VLOOKUP(E2450,기본!$F$3:$G$320,2,0)</f>
        <v>#N/A</v>
      </c>
      <c r="H2450" s="544"/>
    </row>
    <row r="2451" spans="3:8">
      <c r="C2451" s="545" t="e">
        <f>VLOOKUP(D2451,기본!$B$3:$C$90,2,0)</f>
        <v>#N/A</v>
      </c>
      <c r="G2451" t="e">
        <f>VLOOKUP(E2451,기본!$F$3:$G$320,2,0)</f>
        <v>#N/A</v>
      </c>
      <c r="H2451" s="544"/>
    </row>
    <row r="2452" spans="3:8">
      <c r="C2452" s="545" t="e">
        <f>VLOOKUP(D2452,기본!$B$3:$C$90,2,0)</f>
        <v>#N/A</v>
      </c>
      <c r="G2452" t="e">
        <f>VLOOKUP(E2452,기본!$F$3:$G$320,2,0)</f>
        <v>#N/A</v>
      </c>
      <c r="H2452" s="544"/>
    </row>
    <row r="2453" spans="3:8">
      <c r="C2453" s="545" t="e">
        <f>VLOOKUP(D2453,기본!$B$3:$C$90,2,0)</f>
        <v>#N/A</v>
      </c>
      <c r="G2453" t="e">
        <f>VLOOKUP(E2453,기본!$F$3:$G$320,2,0)</f>
        <v>#N/A</v>
      </c>
      <c r="H2453" s="544"/>
    </row>
    <row r="2454" spans="3:8">
      <c r="C2454" s="545" t="e">
        <f>VLOOKUP(D2454,기본!$B$3:$C$90,2,0)</f>
        <v>#N/A</v>
      </c>
      <c r="G2454" t="e">
        <f>VLOOKUP(E2454,기본!$F$3:$G$320,2,0)</f>
        <v>#N/A</v>
      </c>
      <c r="H2454" s="544"/>
    </row>
    <row r="2455" spans="3:8">
      <c r="C2455" s="545" t="e">
        <f>VLOOKUP(D2455,기본!$B$3:$C$90,2,0)</f>
        <v>#N/A</v>
      </c>
      <c r="G2455" t="e">
        <f>VLOOKUP(E2455,기본!$F$3:$G$320,2,0)</f>
        <v>#N/A</v>
      </c>
      <c r="H2455" s="544"/>
    </row>
    <row r="2456" spans="3:8">
      <c r="C2456" s="545" t="e">
        <f>VLOOKUP(D2456,기본!$B$3:$C$90,2,0)</f>
        <v>#N/A</v>
      </c>
      <c r="G2456" t="e">
        <f>VLOOKUP(E2456,기본!$F$3:$G$320,2,0)</f>
        <v>#N/A</v>
      </c>
      <c r="H2456" s="544"/>
    </row>
    <row r="2457" spans="3:8">
      <c r="C2457" s="545" t="e">
        <f>VLOOKUP(D2457,기본!$B$3:$C$90,2,0)</f>
        <v>#N/A</v>
      </c>
      <c r="G2457" t="e">
        <f>VLOOKUP(E2457,기본!$F$3:$G$320,2,0)</f>
        <v>#N/A</v>
      </c>
      <c r="H2457" s="544"/>
    </row>
    <row r="2458" spans="3:8">
      <c r="C2458" s="545" t="e">
        <f>VLOOKUP(D2458,기본!$B$3:$C$90,2,0)</f>
        <v>#N/A</v>
      </c>
      <c r="G2458" t="e">
        <f>VLOOKUP(E2458,기본!$F$3:$G$320,2,0)</f>
        <v>#N/A</v>
      </c>
      <c r="H2458" s="544"/>
    </row>
    <row r="2459" spans="3:8">
      <c r="C2459" s="545" t="e">
        <f>VLOOKUP(D2459,기본!$B$3:$C$90,2,0)</f>
        <v>#N/A</v>
      </c>
      <c r="G2459" t="e">
        <f>VLOOKUP(E2459,기본!$F$3:$G$320,2,0)</f>
        <v>#N/A</v>
      </c>
      <c r="H2459" s="544"/>
    </row>
    <row r="2460" spans="3:8">
      <c r="C2460" s="545" t="e">
        <f>VLOOKUP(D2460,기본!$B$3:$C$90,2,0)</f>
        <v>#N/A</v>
      </c>
      <c r="G2460" t="e">
        <f>VLOOKUP(E2460,기본!$F$3:$G$320,2,0)</f>
        <v>#N/A</v>
      </c>
      <c r="H2460" s="544"/>
    </row>
    <row r="2461" spans="3:8">
      <c r="C2461" s="545" t="e">
        <f>VLOOKUP(D2461,기본!$B$3:$C$90,2,0)</f>
        <v>#N/A</v>
      </c>
      <c r="G2461" t="e">
        <f>VLOOKUP(E2461,기본!$F$3:$G$320,2,0)</f>
        <v>#N/A</v>
      </c>
      <c r="H2461" s="544"/>
    </row>
    <row r="2462" spans="3:8">
      <c r="C2462" s="545" t="e">
        <f>VLOOKUP(D2462,기본!$B$3:$C$90,2,0)</f>
        <v>#N/A</v>
      </c>
      <c r="G2462" t="e">
        <f>VLOOKUP(E2462,기본!$F$3:$G$320,2,0)</f>
        <v>#N/A</v>
      </c>
      <c r="H2462" s="544"/>
    </row>
    <row r="2463" spans="3:8">
      <c r="C2463" s="545" t="e">
        <f>VLOOKUP(D2463,기본!$B$3:$C$90,2,0)</f>
        <v>#N/A</v>
      </c>
      <c r="G2463" t="e">
        <f>VLOOKUP(E2463,기본!$F$3:$G$320,2,0)</f>
        <v>#N/A</v>
      </c>
      <c r="H2463" s="544"/>
    </row>
    <row r="2464" spans="3:8">
      <c r="C2464" s="545" t="e">
        <f>VLOOKUP(D2464,기본!$B$3:$C$90,2,0)</f>
        <v>#N/A</v>
      </c>
      <c r="G2464" t="e">
        <f>VLOOKUP(E2464,기본!$F$3:$G$320,2,0)</f>
        <v>#N/A</v>
      </c>
      <c r="H2464" s="544"/>
    </row>
    <row r="2465" spans="3:8">
      <c r="C2465" s="545" t="e">
        <f>VLOOKUP(D2465,기본!$B$3:$C$90,2,0)</f>
        <v>#N/A</v>
      </c>
      <c r="G2465" t="e">
        <f>VLOOKUP(E2465,기본!$F$3:$G$320,2,0)</f>
        <v>#N/A</v>
      </c>
      <c r="H2465" s="544"/>
    </row>
    <row r="2466" spans="3:8">
      <c r="C2466" s="545" t="e">
        <f>VLOOKUP(D2466,기본!$B$3:$C$90,2,0)</f>
        <v>#N/A</v>
      </c>
      <c r="G2466" t="e">
        <f>VLOOKUP(E2466,기본!$F$3:$G$320,2,0)</f>
        <v>#N/A</v>
      </c>
      <c r="H2466" s="544"/>
    </row>
    <row r="2467" spans="3:8">
      <c r="C2467" s="545" t="e">
        <f>VLOOKUP(D2467,기본!$B$3:$C$90,2,0)</f>
        <v>#N/A</v>
      </c>
      <c r="G2467" t="e">
        <f>VLOOKUP(E2467,기본!$F$3:$G$320,2,0)</f>
        <v>#N/A</v>
      </c>
      <c r="H2467" s="544"/>
    </row>
    <row r="2468" spans="3:8">
      <c r="C2468" s="545" t="e">
        <f>VLOOKUP(D2468,기본!$B$3:$C$90,2,0)</f>
        <v>#N/A</v>
      </c>
      <c r="G2468" t="e">
        <f>VLOOKUP(E2468,기본!$F$3:$G$320,2,0)</f>
        <v>#N/A</v>
      </c>
      <c r="H2468" s="544"/>
    </row>
    <row r="2469" spans="3:8">
      <c r="C2469" s="545" t="e">
        <f>VLOOKUP(D2469,기본!$B$3:$C$90,2,0)</f>
        <v>#N/A</v>
      </c>
      <c r="G2469" t="e">
        <f>VLOOKUP(E2469,기본!$F$3:$G$320,2,0)</f>
        <v>#N/A</v>
      </c>
      <c r="H2469" s="544"/>
    </row>
    <row r="2470" spans="3:8">
      <c r="C2470" s="545" t="e">
        <f>VLOOKUP(D2470,기본!$B$3:$C$90,2,0)</f>
        <v>#N/A</v>
      </c>
      <c r="G2470" t="e">
        <f>VLOOKUP(E2470,기본!$F$3:$G$320,2,0)</f>
        <v>#N/A</v>
      </c>
      <c r="H2470" s="544"/>
    </row>
    <row r="2471" spans="3:8">
      <c r="C2471" s="545" t="e">
        <f>VLOOKUP(D2471,기본!$B$3:$C$90,2,0)</f>
        <v>#N/A</v>
      </c>
      <c r="G2471" t="e">
        <f>VLOOKUP(E2471,기본!$F$3:$G$320,2,0)</f>
        <v>#N/A</v>
      </c>
      <c r="H2471" s="544"/>
    </row>
    <row r="2472" spans="3:8">
      <c r="C2472" s="545" t="e">
        <f>VLOOKUP(D2472,기본!$B$3:$C$90,2,0)</f>
        <v>#N/A</v>
      </c>
      <c r="G2472" t="e">
        <f>VLOOKUP(E2472,기본!$F$3:$G$320,2,0)</f>
        <v>#N/A</v>
      </c>
      <c r="H2472" s="544"/>
    </row>
    <row r="2473" spans="3:8">
      <c r="C2473" s="545" t="e">
        <f>VLOOKUP(D2473,기본!$B$3:$C$90,2,0)</f>
        <v>#N/A</v>
      </c>
      <c r="G2473" t="e">
        <f>VLOOKUP(E2473,기본!$F$3:$G$320,2,0)</f>
        <v>#N/A</v>
      </c>
      <c r="H2473" s="544"/>
    </row>
    <row r="2474" spans="3:8">
      <c r="C2474" s="545" t="e">
        <f>VLOOKUP(D2474,기본!$B$3:$C$90,2,0)</f>
        <v>#N/A</v>
      </c>
      <c r="G2474" t="e">
        <f>VLOOKUP(E2474,기본!$F$3:$G$320,2,0)</f>
        <v>#N/A</v>
      </c>
      <c r="H2474" s="544"/>
    </row>
    <row r="2475" spans="3:8">
      <c r="C2475" s="545" t="e">
        <f>VLOOKUP(D2475,기본!$B$3:$C$90,2,0)</f>
        <v>#N/A</v>
      </c>
      <c r="G2475" t="e">
        <f>VLOOKUP(E2475,기본!$F$3:$G$320,2,0)</f>
        <v>#N/A</v>
      </c>
      <c r="H2475" s="544"/>
    </row>
    <row r="2476" spans="3:8">
      <c r="C2476" s="545" t="e">
        <f>VLOOKUP(D2476,기본!$B$3:$C$90,2,0)</f>
        <v>#N/A</v>
      </c>
      <c r="G2476" t="e">
        <f>VLOOKUP(E2476,기본!$F$3:$G$320,2,0)</f>
        <v>#N/A</v>
      </c>
      <c r="H2476" s="544"/>
    </row>
    <row r="2477" spans="3:8">
      <c r="C2477" s="545" t="e">
        <f>VLOOKUP(D2477,기본!$B$3:$C$90,2,0)</f>
        <v>#N/A</v>
      </c>
      <c r="G2477" t="e">
        <f>VLOOKUP(E2477,기본!$F$3:$G$320,2,0)</f>
        <v>#N/A</v>
      </c>
      <c r="H2477" s="544"/>
    </row>
    <row r="2478" spans="3:8">
      <c r="C2478" s="545" t="e">
        <f>VLOOKUP(D2478,기본!$B$3:$C$90,2,0)</f>
        <v>#N/A</v>
      </c>
      <c r="G2478" t="e">
        <f>VLOOKUP(E2478,기본!$F$3:$G$320,2,0)</f>
        <v>#N/A</v>
      </c>
      <c r="H2478" s="544"/>
    </row>
    <row r="2479" spans="3:8">
      <c r="C2479" s="545" t="e">
        <f>VLOOKUP(D2479,기본!$B$3:$C$90,2,0)</f>
        <v>#N/A</v>
      </c>
      <c r="G2479" t="e">
        <f>VLOOKUP(E2479,기본!$F$3:$G$320,2,0)</f>
        <v>#N/A</v>
      </c>
      <c r="H2479" s="544"/>
    </row>
    <row r="2480" spans="3:8">
      <c r="C2480" s="545" t="e">
        <f>VLOOKUP(D2480,기본!$B$3:$C$90,2,0)</f>
        <v>#N/A</v>
      </c>
      <c r="G2480" t="e">
        <f>VLOOKUP(E2480,기본!$F$3:$G$320,2,0)</f>
        <v>#N/A</v>
      </c>
      <c r="H2480" s="544"/>
    </row>
    <row r="2481" spans="3:8">
      <c r="C2481" s="545" t="e">
        <f>VLOOKUP(D2481,기본!$B$3:$C$90,2,0)</f>
        <v>#N/A</v>
      </c>
      <c r="G2481" t="e">
        <f>VLOOKUP(E2481,기본!$F$3:$G$320,2,0)</f>
        <v>#N/A</v>
      </c>
      <c r="H2481" s="544"/>
    </row>
    <row r="2482" spans="3:8">
      <c r="C2482" s="545" t="e">
        <f>VLOOKUP(D2482,기본!$B$3:$C$90,2,0)</f>
        <v>#N/A</v>
      </c>
      <c r="G2482" t="e">
        <f>VLOOKUP(E2482,기본!$F$3:$G$320,2,0)</f>
        <v>#N/A</v>
      </c>
      <c r="H2482" s="544"/>
    </row>
    <row r="2483" spans="3:8">
      <c r="C2483" s="545" t="e">
        <f>VLOOKUP(D2483,기본!$B$3:$C$90,2,0)</f>
        <v>#N/A</v>
      </c>
      <c r="G2483" t="e">
        <f>VLOOKUP(E2483,기본!$F$3:$G$320,2,0)</f>
        <v>#N/A</v>
      </c>
      <c r="H2483" s="544"/>
    </row>
    <row r="2484" spans="3:8">
      <c r="C2484" s="545" t="e">
        <f>VLOOKUP(D2484,기본!$B$3:$C$90,2,0)</f>
        <v>#N/A</v>
      </c>
      <c r="G2484" t="e">
        <f>VLOOKUP(E2484,기본!$F$3:$G$320,2,0)</f>
        <v>#N/A</v>
      </c>
      <c r="H2484" s="544"/>
    </row>
    <row r="2485" spans="3:8">
      <c r="C2485" s="545" t="e">
        <f>VLOOKUP(D2485,기본!$B$3:$C$90,2,0)</f>
        <v>#N/A</v>
      </c>
      <c r="G2485" t="e">
        <f>VLOOKUP(E2485,기본!$F$3:$G$320,2,0)</f>
        <v>#N/A</v>
      </c>
      <c r="H2485" s="544"/>
    </row>
    <row r="2486" spans="3:8">
      <c r="C2486" s="545" t="e">
        <f>VLOOKUP(D2486,기본!$B$3:$C$90,2,0)</f>
        <v>#N/A</v>
      </c>
      <c r="G2486" t="e">
        <f>VLOOKUP(E2486,기본!$F$3:$G$320,2,0)</f>
        <v>#N/A</v>
      </c>
      <c r="H2486" s="544"/>
    </row>
    <row r="2487" spans="3:8">
      <c r="C2487" s="545" t="e">
        <f>VLOOKUP(D2487,기본!$B$3:$C$90,2,0)</f>
        <v>#N/A</v>
      </c>
      <c r="G2487" t="e">
        <f>VLOOKUP(E2487,기본!$F$3:$G$320,2,0)</f>
        <v>#N/A</v>
      </c>
      <c r="H2487" s="544"/>
    </row>
    <row r="2488" spans="3:8">
      <c r="C2488" s="545" t="e">
        <f>VLOOKUP(D2488,기본!$B$3:$C$90,2,0)</f>
        <v>#N/A</v>
      </c>
      <c r="G2488" t="e">
        <f>VLOOKUP(E2488,기본!$F$3:$G$320,2,0)</f>
        <v>#N/A</v>
      </c>
      <c r="H2488" s="544"/>
    </row>
    <row r="2489" spans="3:8">
      <c r="C2489" s="545" t="e">
        <f>VLOOKUP(D2489,기본!$B$3:$C$90,2,0)</f>
        <v>#N/A</v>
      </c>
      <c r="G2489" t="e">
        <f>VLOOKUP(E2489,기본!$F$3:$G$320,2,0)</f>
        <v>#N/A</v>
      </c>
      <c r="H2489" s="544"/>
    </row>
    <row r="2490" spans="3:8">
      <c r="C2490" s="545" t="e">
        <f>VLOOKUP(D2490,기본!$B$3:$C$90,2,0)</f>
        <v>#N/A</v>
      </c>
      <c r="G2490" t="e">
        <f>VLOOKUP(E2490,기본!$F$3:$G$320,2,0)</f>
        <v>#N/A</v>
      </c>
      <c r="H2490" s="544"/>
    </row>
    <row r="2491" spans="3:8">
      <c r="C2491" s="545" t="e">
        <f>VLOOKUP(D2491,기본!$B$3:$C$90,2,0)</f>
        <v>#N/A</v>
      </c>
      <c r="G2491" t="e">
        <f>VLOOKUP(E2491,기본!$F$3:$G$320,2,0)</f>
        <v>#N/A</v>
      </c>
      <c r="H2491" s="544"/>
    </row>
    <row r="2492" spans="3:8">
      <c r="C2492" s="545" t="e">
        <f>VLOOKUP(D2492,기본!$B$3:$C$90,2,0)</f>
        <v>#N/A</v>
      </c>
      <c r="G2492" t="e">
        <f>VLOOKUP(E2492,기본!$F$3:$G$320,2,0)</f>
        <v>#N/A</v>
      </c>
      <c r="H2492" s="544"/>
    </row>
    <row r="2493" spans="3:8">
      <c r="C2493" s="545" t="e">
        <f>VLOOKUP(D2493,기본!$B$3:$C$90,2,0)</f>
        <v>#N/A</v>
      </c>
      <c r="G2493" t="e">
        <f>VLOOKUP(E2493,기본!$F$3:$G$320,2,0)</f>
        <v>#N/A</v>
      </c>
      <c r="H2493" s="544"/>
    </row>
    <row r="2494" spans="3:8">
      <c r="C2494" s="545" t="e">
        <f>VLOOKUP(D2494,기본!$B$3:$C$90,2,0)</f>
        <v>#N/A</v>
      </c>
      <c r="G2494" t="e">
        <f>VLOOKUP(E2494,기본!$F$3:$G$320,2,0)</f>
        <v>#N/A</v>
      </c>
      <c r="H2494" s="544"/>
    </row>
    <row r="2495" spans="3:8">
      <c r="C2495" s="545" t="e">
        <f>VLOOKUP(D2495,기본!$B$3:$C$90,2,0)</f>
        <v>#N/A</v>
      </c>
      <c r="G2495" t="e">
        <f>VLOOKUP(E2495,기본!$F$3:$G$320,2,0)</f>
        <v>#N/A</v>
      </c>
      <c r="H2495" s="544"/>
    </row>
    <row r="2496" spans="3:8">
      <c r="C2496" s="545" t="e">
        <f>VLOOKUP(D2496,기본!$B$3:$C$90,2,0)</f>
        <v>#N/A</v>
      </c>
      <c r="G2496" t="e">
        <f>VLOOKUP(E2496,기본!$F$3:$G$320,2,0)</f>
        <v>#N/A</v>
      </c>
      <c r="H2496" s="544"/>
    </row>
    <row r="2497" spans="3:8">
      <c r="C2497" s="545" t="e">
        <f>VLOOKUP(D2497,기본!$B$3:$C$90,2,0)</f>
        <v>#N/A</v>
      </c>
      <c r="G2497" t="e">
        <f>VLOOKUP(E2497,기본!$F$3:$G$320,2,0)</f>
        <v>#N/A</v>
      </c>
      <c r="H2497" s="544"/>
    </row>
    <row r="2498" spans="3:8">
      <c r="C2498" s="545" t="e">
        <f>VLOOKUP(D2498,기본!$B$3:$C$90,2,0)</f>
        <v>#N/A</v>
      </c>
      <c r="G2498" t="e">
        <f>VLOOKUP(E2498,기본!$F$3:$G$320,2,0)</f>
        <v>#N/A</v>
      </c>
      <c r="H2498" s="544"/>
    </row>
    <row r="2499" spans="3:8">
      <c r="C2499" s="545" t="e">
        <f>VLOOKUP(D2499,기본!$B$3:$C$90,2,0)</f>
        <v>#N/A</v>
      </c>
      <c r="G2499" t="e">
        <f>VLOOKUP(E2499,기본!$F$3:$G$320,2,0)</f>
        <v>#N/A</v>
      </c>
      <c r="H2499" s="544"/>
    </row>
    <row r="2500" spans="3:8">
      <c r="C2500" s="545" t="e">
        <f>VLOOKUP(D2500,기본!$B$3:$C$90,2,0)</f>
        <v>#N/A</v>
      </c>
      <c r="G2500" t="e">
        <f>VLOOKUP(E2500,기본!$F$3:$G$320,2,0)</f>
        <v>#N/A</v>
      </c>
      <c r="H2500" s="544"/>
    </row>
    <row r="2501" spans="3:8">
      <c r="C2501" s="545" t="e">
        <f>VLOOKUP(D2501,기본!$B$3:$C$90,2,0)</f>
        <v>#N/A</v>
      </c>
      <c r="G2501" t="e">
        <f>VLOOKUP(E2501,기본!$F$3:$G$320,2,0)</f>
        <v>#N/A</v>
      </c>
      <c r="H2501" s="544"/>
    </row>
    <row r="2502" spans="3:8">
      <c r="C2502" s="545" t="e">
        <f>VLOOKUP(D2502,기본!$B$3:$C$90,2,0)</f>
        <v>#N/A</v>
      </c>
      <c r="G2502" t="e">
        <f>VLOOKUP(E2502,기본!$F$3:$G$320,2,0)</f>
        <v>#N/A</v>
      </c>
      <c r="H2502" s="544"/>
    </row>
    <row r="2503" spans="3:8">
      <c r="C2503" s="545" t="e">
        <f>VLOOKUP(D2503,기본!$B$3:$C$90,2,0)</f>
        <v>#N/A</v>
      </c>
      <c r="G2503" t="e">
        <f>VLOOKUP(E2503,기본!$F$3:$G$320,2,0)</f>
        <v>#N/A</v>
      </c>
      <c r="H2503" s="544"/>
    </row>
    <row r="2504" spans="3:8">
      <c r="C2504" s="545" t="e">
        <f>VLOOKUP(D2504,기본!$B$3:$C$90,2,0)</f>
        <v>#N/A</v>
      </c>
      <c r="G2504" t="e">
        <f>VLOOKUP(E2504,기본!$F$3:$G$320,2,0)</f>
        <v>#N/A</v>
      </c>
      <c r="H2504" s="544"/>
    </row>
    <row r="2505" spans="3:8">
      <c r="C2505" s="545" t="e">
        <f>VLOOKUP(D2505,기본!$B$3:$C$90,2,0)</f>
        <v>#N/A</v>
      </c>
      <c r="G2505" t="e">
        <f>VLOOKUP(E2505,기본!$F$3:$G$320,2,0)</f>
        <v>#N/A</v>
      </c>
      <c r="H2505" s="544"/>
    </row>
    <row r="2506" spans="3:8">
      <c r="C2506" s="545" t="e">
        <f>VLOOKUP(D2506,기본!$B$3:$C$90,2,0)</f>
        <v>#N/A</v>
      </c>
      <c r="G2506" t="e">
        <f>VLOOKUP(E2506,기본!$F$3:$G$320,2,0)</f>
        <v>#N/A</v>
      </c>
      <c r="H2506" s="544"/>
    </row>
    <row r="2507" spans="3:8">
      <c r="C2507" s="545" t="e">
        <f>VLOOKUP(D2507,기본!$B$3:$C$90,2,0)</f>
        <v>#N/A</v>
      </c>
      <c r="G2507" t="e">
        <f>VLOOKUP(E2507,기본!$F$3:$G$320,2,0)</f>
        <v>#N/A</v>
      </c>
      <c r="H2507" s="544"/>
    </row>
    <row r="2508" spans="3:8">
      <c r="C2508" s="545" t="e">
        <f>VLOOKUP(D2508,기본!$B$3:$C$90,2,0)</f>
        <v>#N/A</v>
      </c>
      <c r="G2508" t="e">
        <f>VLOOKUP(E2508,기본!$F$3:$G$320,2,0)</f>
        <v>#N/A</v>
      </c>
      <c r="H2508" s="544"/>
    </row>
    <row r="2509" spans="3:8">
      <c r="C2509" s="545" t="e">
        <f>VLOOKUP(D2509,기본!$B$3:$C$90,2,0)</f>
        <v>#N/A</v>
      </c>
      <c r="G2509" t="e">
        <f>VLOOKUP(E2509,기본!$F$3:$G$320,2,0)</f>
        <v>#N/A</v>
      </c>
      <c r="H2509" s="544"/>
    </row>
    <row r="2510" spans="3:8">
      <c r="C2510" s="545" t="e">
        <f>VLOOKUP(D2510,기본!$B$3:$C$90,2,0)</f>
        <v>#N/A</v>
      </c>
      <c r="G2510" t="e">
        <f>VLOOKUP(E2510,기본!$F$3:$G$320,2,0)</f>
        <v>#N/A</v>
      </c>
      <c r="H2510" s="544"/>
    </row>
    <row r="2511" spans="3:8">
      <c r="C2511" s="545" t="e">
        <f>VLOOKUP(D2511,기본!$B$3:$C$90,2,0)</f>
        <v>#N/A</v>
      </c>
      <c r="G2511" t="e">
        <f>VLOOKUP(E2511,기본!$F$3:$G$320,2,0)</f>
        <v>#N/A</v>
      </c>
      <c r="H2511" s="544"/>
    </row>
    <row r="2512" spans="3:8">
      <c r="C2512" s="545" t="e">
        <f>VLOOKUP(D2512,기본!$B$3:$C$90,2,0)</f>
        <v>#N/A</v>
      </c>
      <c r="G2512" t="e">
        <f>VLOOKUP(E2512,기본!$F$3:$G$320,2,0)</f>
        <v>#N/A</v>
      </c>
      <c r="H2512" s="544"/>
    </row>
    <row r="2513" spans="3:8">
      <c r="C2513" s="545" t="e">
        <f>VLOOKUP(D2513,기본!$B$3:$C$90,2,0)</f>
        <v>#N/A</v>
      </c>
      <c r="G2513" t="e">
        <f>VLOOKUP(E2513,기본!$F$3:$G$320,2,0)</f>
        <v>#N/A</v>
      </c>
      <c r="H2513" s="544"/>
    </row>
    <row r="2514" spans="3:8">
      <c r="C2514" s="545" t="e">
        <f>VLOOKUP(D2514,기본!$B$3:$C$90,2,0)</f>
        <v>#N/A</v>
      </c>
      <c r="G2514" t="e">
        <f>VLOOKUP(E2514,기본!$F$3:$G$320,2,0)</f>
        <v>#N/A</v>
      </c>
      <c r="H2514" s="544"/>
    </row>
    <row r="2515" spans="3:8">
      <c r="C2515" s="545" t="e">
        <f>VLOOKUP(D2515,기본!$B$3:$C$90,2,0)</f>
        <v>#N/A</v>
      </c>
      <c r="G2515" t="e">
        <f>VLOOKUP(E2515,기본!$F$3:$G$320,2,0)</f>
        <v>#N/A</v>
      </c>
      <c r="H2515" s="544"/>
    </row>
    <row r="2516" spans="3:8">
      <c r="C2516" s="545" t="e">
        <f>VLOOKUP(D2516,기본!$B$3:$C$90,2,0)</f>
        <v>#N/A</v>
      </c>
      <c r="G2516" t="e">
        <f>VLOOKUP(E2516,기본!$F$3:$G$320,2,0)</f>
        <v>#N/A</v>
      </c>
      <c r="H2516" s="544"/>
    </row>
    <row r="2517" spans="3:8">
      <c r="C2517" s="545" t="e">
        <f>VLOOKUP(D2517,기본!$B$3:$C$90,2,0)</f>
        <v>#N/A</v>
      </c>
      <c r="G2517" t="e">
        <f>VLOOKUP(E2517,기본!$F$3:$G$320,2,0)</f>
        <v>#N/A</v>
      </c>
      <c r="H2517" s="544"/>
    </row>
    <row r="2518" spans="3:8">
      <c r="C2518" s="545" t="e">
        <f>VLOOKUP(D2518,기본!$B$3:$C$90,2,0)</f>
        <v>#N/A</v>
      </c>
      <c r="G2518" t="e">
        <f>VLOOKUP(E2518,기본!$F$3:$G$320,2,0)</f>
        <v>#N/A</v>
      </c>
      <c r="H2518" s="544"/>
    </row>
    <row r="2519" spans="3:8">
      <c r="C2519" s="545" t="e">
        <f>VLOOKUP(D2519,기본!$B$3:$C$90,2,0)</f>
        <v>#N/A</v>
      </c>
      <c r="G2519" t="e">
        <f>VLOOKUP(E2519,기본!$F$3:$G$320,2,0)</f>
        <v>#N/A</v>
      </c>
      <c r="H2519" s="544"/>
    </row>
    <row r="2520" spans="3:8">
      <c r="C2520" s="545" t="e">
        <f>VLOOKUP(D2520,기본!$B$3:$C$90,2,0)</f>
        <v>#N/A</v>
      </c>
      <c r="G2520" t="e">
        <f>VLOOKUP(E2520,기본!$F$3:$G$320,2,0)</f>
        <v>#N/A</v>
      </c>
      <c r="H2520" s="544"/>
    </row>
    <row r="2521" spans="3:8">
      <c r="C2521" s="545" t="e">
        <f>VLOOKUP(D2521,기본!$B$3:$C$90,2,0)</f>
        <v>#N/A</v>
      </c>
      <c r="G2521" t="e">
        <f>VLOOKUP(E2521,기본!$F$3:$G$320,2,0)</f>
        <v>#N/A</v>
      </c>
      <c r="H2521" s="544"/>
    </row>
    <row r="2522" spans="3:8">
      <c r="C2522" s="545" t="e">
        <f>VLOOKUP(D2522,기본!$B$3:$C$90,2,0)</f>
        <v>#N/A</v>
      </c>
      <c r="G2522" t="e">
        <f>VLOOKUP(E2522,기본!$F$3:$G$320,2,0)</f>
        <v>#N/A</v>
      </c>
      <c r="H2522" s="544"/>
    </row>
    <row r="2523" spans="3:8">
      <c r="C2523" s="545" t="e">
        <f>VLOOKUP(D2523,기본!$B$3:$C$90,2,0)</f>
        <v>#N/A</v>
      </c>
      <c r="G2523" t="e">
        <f>VLOOKUP(E2523,기본!$F$3:$G$320,2,0)</f>
        <v>#N/A</v>
      </c>
      <c r="H2523" s="544"/>
    </row>
    <row r="2524" spans="3:8">
      <c r="C2524" s="545" t="e">
        <f>VLOOKUP(D2524,기본!$B$3:$C$90,2,0)</f>
        <v>#N/A</v>
      </c>
      <c r="G2524" t="e">
        <f>VLOOKUP(E2524,기본!$F$3:$G$320,2,0)</f>
        <v>#N/A</v>
      </c>
      <c r="H2524" s="544"/>
    </row>
    <row r="2525" spans="3:8">
      <c r="C2525" s="545" t="e">
        <f>VLOOKUP(D2525,기본!$B$3:$C$90,2,0)</f>
        <v>#N/A</v>
      </c>
      <c r="G2525" t="e">
        <f>VLOOKUP(E2525,기본!$F$3:$G$320,2,0)</f>
        <v>#N/A</v>
      </c>
      <c r="H2525" s="544"/>
    </row>
    <row r="2526" spans="3:8">
      <c r="C2526" s="545" t="e">
        <f>VLOOKUP(D2526,기본!$B$3:$C$90,2,0)</f>
        <v>#N/A</v>
      </c>
      <c r="G2526" t="e">
        <f>VLOOKUP(E2526,기본!$F$3:$G$320,2,0)</f>
        <v>#N/A</v>
      </c>
      <c r="H2526" s="544"/>
    </row>
    <row r="2527" spans="3:8">
      <c r="C2527" s="545" t="e">
        <f>VLOOKUP(D2527,기본!$B$3:$C$90,2,0)</f>
        <v>#N/A</v>
      </c>
      <c r="G2527" t="e">
        <f>VLOOKUP(E2527,기본!$F$3:$G$320,2,0)</f>
        <v>#N/A</v>
      </c>
      <c r="H2527" s="544"/>
    </row>
    <row r="2528" spans="3:8">
      <c r="C2528" s="545" t="e">
        <f>VLOOKUP(D2528,기본!$B$3:$C$90,2,0)</f>
        <v>#N/A</v>
      </c>
      <c r="G2528" t="e">
        <f>VLOOKUP(E2528,기본!$F$3:$G$320,2,0)</f>
        <v>#N/A</v>
      </c>
      <c r="H2528" s="544"/>
    </row>
    <row r="2529" spans="3:8">
      <c r="C2529" s="545" t="e">
        <f>VLOOKUP(D2529,기본!$B$3:$C$90,2,0)</f>
        <v>#N/A</v>
      </c>
      <c r="G2529" t="e">
        <f>VLOOKUP(E2529,기본!$F$3:$G$320,2,0)</f>
        <v>#N/A</v>
      </c>
      <c r="H2529" s="544"/>
    </row>
    <row r="2530" spans="3:8">
      <c r="C2530" s="545" t="e">
        <f>VLOOKUP(D2530,기본!$B$3:$C$90,2,0)</f>
        <v>#N/A</v>
      </c>
      <c r="G2530" t="e">
        <f>VLOOKUP(E2530,기본!$F$3:$G$320,2,0)</f>
        <v>#N/A</v>
      </c>
      <c r="H2530" s="544"/>
    </row>
    <row r="2531" spans="3:8">
      <c r="C2531" s="545" t="e">
        <f>VLOOKUP(D2531,기본!$B$3:$C$90,2,0)</f>
        <v>#N/A</v>
      </c>
      <c r="G2531" t="e">
        <f>VLOOKUP(E2531,기본!$F$3:$G$320,2,0)</f>
        <v>#N/A</v>
      </c>
      <c r="H2531" s="544"/>
    </row>
    <row r="2532" spans="3:8">
      <c r="C2532" s="545" t="e">
        <f>VLOOKUP(D2532,기본!$B$3:$C$90,2,0)</f>
        <v>#N/A</v>
      </c>
      <c r="G2532" t="e">
        <f>VLOOKUP(E2532,기본!$F$3:$G$320,2,0)</f>
        <v>#N/A</v>
      </c>
      <c r="H2532" s="544"/>
    </row>
    <row r="2533" spans="3:8">
      <c r="C2533" s="545" t="e">
        <f>VLOOKUP(D2533,기본!$B$3:$C$90,2,0)</f>
        <v>#N/A</v>
      </c>
      <c r="G2533" t="e">
        <f>VLOOKUP(E2533,기본!$F$3:$G$320,2,0)</f>
        <v>#N/A</v>
      </c>
      <c r="H2533" s="544"/>
    </row>
    <row r="2534" spans="3:8">
      <c r="C2534" s="545" t="e">
        <f>VLOOKUP(D2534,기본!$B$3:$C$90,2,0)</f>
        <v>#N/A</v>
      </c>
      <c r="G2534" t="e">
        <f>VLOOKUP(E2534,기본!$F$3:$G$320,2,0)</f>
        <v>#N/A</v>
      </c>
      <c r="H2534" s="544"/>
    </row>
    <row r="2535" spans="3:8">
      <c r="C2535" s="545" t="e">
        <f>VLOOKUP(D2535,기본!$B$3:$C$90,2,0)</f>
        <v>#N/A</v>
      </c>
      <c r="G2535" t="e">
        <f>VLOOKUP(E2535,기본!$F$3:$G$320,2,0)</f>
        <v>#N/A</v>
      </c>
      <c r="H2535" s="544"/>
    </row>
    <row r="2536" spans="3:8">
      <c r="C2536" s="545" t="e">
        <f>VLOOKUP(D2536,기본!$B$3:$C$90,2,0)</f>
        <v>#N/A</v>
      </c>
      <c r="G2536" t="e">
        <f>VLOOKUP(E2536,기본!$F$3:$G$320,2,0)</f>
        <v>#N/A</v>
      </c>
      <c r="H2536" s="544"/>
    </row>
    <row r="2537" spans="3:8">
      <c r="C2537" s="545" t="e">
        <f>VLOOKUP(D2537,기본!$B$3:$C$90,2,0)</f>
        <v>#N/A</v>
      </c>
      <c r="G2537" t="e">
        <f>VLOOKUP(E2537,기본!$F$3:$G$320,2,0)</f>
        <v>#N/A</v>
      </c>
      <c r="H2537" s="544"/>
    </row>
    <row r="2538" spans="3:8">
      <c r="C2538" s="545" t="e">
        <f>VLOOKUP(D2538,기본!$B$3:$C$90,2,0)</f>
        <v>#N/A</v>
      </c>
      <c r="G2538" t="e">
        <f>VLOOKUP(E2538,기본!$F$3:$G$320,2,0)</f>
        <v>#N/A</v>
      </c>
      <c r="H2538" s="544"/>
    </row>
    <row r="2539" spans="3:8">
      <c r="C2539" s="545" t="e">
        <f>VLOOKUP(D2539,기본!$B$3:$C$90,2,0)</f>
        <v>#N/A</v>
      </c>
      <c r="G2539" t="e">
        <f>VLOOKUP(E2539,기본!$F$3:$G$320,2,0)</f>
        <v>#N/A</v>
      </c>
      <c r="H2539" s="544"/>
    </row>
    <row r="2540" spans="3:8">
      <c r="C2540" s="545" t="e">
        <f>VLOOKUP(D2540,기본!$B$3:$C$90,2,0)</f>
        <v>#N/A</v>
      </c>
      <c r="G2540" t="e">
        <f>VLOOKUP(E2540,기본!$F$3:$G$320,2,0)</f>
        <v>#N/A</v>
      </c>
      <c r="H2540" s="544"/>
    </row>
    <row r="2541" spans="3:8">
      <c r="C2541" s="545" t="e">
        <f>VLOOKUP(D2541,기본!$B$3:$C$90,2,0)</f>
        <v>#N/A</v>
      </c>
      <c r="G2541" t="e">
        <f>VLOOKUP(E2541,기본!$F$3:$G$320,2,0)</f>
        <v>#N/A</v>
      </c>
      <c r="H2541" s="544"/>
    </row>
    <row r="2542" spans="3:8">
      <c r="C2542" s="545" t="e">
        <f>VLOOKUP(D2542,기본!$B$3:$C$90,2,0)</f>
        <v>#N/A</v>
      </c>
      <c r="G2542" t="e">
        <f>VLOOKUP(E2542,기본!$F$3:$G$320,2,0)</f>
        <v>#N/A</v>
      </c>
      <c r="H2542" s="544"/>
    </row>
    <row r="2543" spans="3:8">
      <c r="C2543" s="545" t="e">
        <f>VLOOKUP(D2543,기본!$B$3:$C$90,2,0)</f>
        <v>#N/A</v>
      </c>
      <c r="G2543" t="e">
        <f>VLOOKUP(E2543,기본!$F$3:$G$320,2,0)</f>
        <v>#N/A</v>
      </c>
      <c r="H2543" s="544"/>
    </row>
    <row r="2544" spans="3:8">
      <c r="C2544" s="545" t="e">
        <f>VLOOKUP(D2544,기본!$B$3:$C$90,2,0)</f>
        <v>#N/A</v>
      </c>
      <c r="G2544" t="e">
        <f>VLOOKUP(E2544,기본!$F$3:$G$320,2,0)</f>
        <v>#N/A</v>
      </c>
      <c r="H2544" s="544"/>
    </row>
    <row r="2545" spans="3:8">
      <c r="C2545" s="545" t="e">
        <f>VLOOKUP(D2545,기본!$B$3:$C$90,2,0)</f>
        <v>#N/A</v>
      </c>
      <c r="G2545" t="e">
        <f>VLOOKUP(E2545,기본!$F$3:$G$320,2,0)</f>
        <v>#N/A</v>
      </c>
      <c r="H2545" s="544"/>
    </row>
    <row r="2546" spans="3:8">
      <c r="C2546" s="545" t="e">
        <f>VLOOKUP(D2546,기본!$B$3:$C$90,2,0)</f>
        <v>#N/A</v>
      </c>
      <c r="G2546" t="e">
        <f>VLOOKUP(E2546,기본!$F$3:$G$320,2,0)</f>
        <v>#N/A</v>
      </c>
      <c r="H2546" s="544"/>
    </row>
    <row r="2547" spans="3:8">
      <c r="C2547" s="545" t="e">
        <f>VLOOKUP(D2547,기본!$B$3:$C$90,2,0)</f>
        <v>#N/A</v>
      </c>
      <c r="G2547" t="e">
        <f>VLOOKUP(E2547,기본!$F$3:$G$320,2,0)</f>
        <v>#N/A</v>
      </c>
      <c r="H2547" s="544"/>
    </row>
    <row r="2548" spans="3:8">
      <c r="C2548" s="545" t="e">
        <f>VLOOKUP(D2548,기본!$B$3:$C$90,2,0)</f>
        <v>#N/A</v>
      </c>
      <c r="G2548" t="e">
        <f>VLOOKUP(E2548,기본!$F$3:$G$320,2,0)</f>
        <v>#N/A</v>
      </c>
      <c r="H2548" s="544"/>
    </row>
    <row r="2549" spans="3:8">
      <c r="C2549" s="545" t="e">
        <f>VLOOKUP(D2549,기본!$B$3:$C$90,2,0)</f>
        <v>#N/A</v>
      </c>
      <c r="G2549" t="e">
        <f>VLOOKUP(E2549,기본!$F$3:$G$320,2,0)</f>
        <v>#N/A</v>
      </c>
      <c r="H2549" s="544"/>
    </row>
    <row r="2550" spans="3:8">
      <c r="C2550" s="545" t="e">
        <f>VLOOKUP(D2550,기본!$B$3:$C$90,2,0)</f>
        <v>#N/A</v>
      </c>
      <c r="G2550" t="e">
        <f>VLOOKUP(E2550,기본!$F$3:$G$320,2,0)</f>
        <v>#N/A</v>
      </c>
      <c r="H2550" s="544"/>
    </row>
    <row r="2551" spans="3:8">
      <c r="C2551" s="545" t="e">
        <f>VLOOKUP(D2551,기본!$B$3:$C$90,2,0)</f>
        <v>#N/A</v>
      </c>
      <c r="G2551" t="e">
        <f>VLOOKUP(E2551,기본!$F$3:$G$320,2,0)</f>
        <v>#N/A</v>
      </c>
      <c r="H2551" s="544"/>
    </row>
    <row r="2552" spans="3:8">
      <c r="C2552" s="545" t="e">
        <f>VLOOKUP(D2552,기본!$B$3:$C$90,2,0)</f>
        <v>#N/A</v>
      </c>
      <c r="G2552" t="e">
        <f>VLOOKUP(E2552,기본!$F$3:$G$320,2,0)</f>
        <v>#N/A</v>
      </c>
      <c r="H2552" s="544"/>
    </row>
    <row r="2553" spans="3:8">
      <c r="C2553" s="545" t="e">
        <f>VLOOKUP(D2553,기본!$B$3:$C$90,2,0)</f>
        <v>#N/A</v>
      </c>
      <c r="G2553" t="e">
        <f>VLOOKUP(E2553,기본!$F$3:$G$320,2,0)</f>
        <v>#N/A</v>
      </c>
      <c r="H2553" s="544"/>
    </row>
    <row r="2554" spans="3:8">
      <c r="C2554" s="545" t="e">
        <f>VLOOKUP(D2554,기본!$B$3:$C$90,2,0)</f>
        <v>#N/A</v>
      </c>
      <c r="G2554" t="e">
        <f>VLOOKUP(E2554,기본!$F$3:$G$320,2,0)</f>
        <v>#N/A</v>
      </c>
      <c r="H2554" s="544"/>
    </row>
    <row r="2555" spans="3:8">
      <c r="C2555" s="545" t="e">
        <f>VLOOKUP(D2555,기본!$B$3:$C$90,2,0)</f>
        <v>#N/A</v>
      </c>
      <c r="G2555" t="e">
        <f>VLOOKUP(E2555,기본!$F$3:$G$320,2,0)</f>
        <v>#N/A</v>
      </c>
      <c r="H2555" s="544"/>
    </row>
    <row r="2556" spans="3:8">
      <c r="C2556" s="545" t="e">
        <f>VLOOKUP(D2556,기본!$B$3:$C$90,2,0)</f>
        <v>#N/A</v>
      </c>
      <c r="G2556" t="e">
        <f>VLOOKUP(E2556,기본!$F$3:$G$320,2,0)</f>
        <v>#N/A</v>
      </c>
      <c r="H2556" s="544"/>
    </row>
    <row r="2557" spans="3:8">
      <c r="C2557" s="545" t="e">
        <f>VLOOKUP(D2557,기본!$B$3:$C$90,2,0)</f>
        <v>#N/A</v>
      </c>
      <c r="G2557" t="e">
        <f>VLOOKUP(E2557,기본!$F$3:$G$320,2,0)</f>
        <v>#N/A</v>
      </c>
      <c r="H2557" s="544"/>
    </row>
    <row r="2558" spans="3:8">
      <c r="C2558" s="545" t="e">
        <f>VLOOKUP(D2558,기본!$B$3:$C$90,2,0)</f>
        <v>#N/A</v>
      </c>
      <c r="G2558" t="e">
        <f>VLOOKUP(E2558,기본!$F$3:$G$320,2,0)</f>
        <v>#N/A</v>
      </c>
      <c r="H2558" s="544"/>
    </row>
    <row r="2559" spans="3:8">
      <c r="C2559" s="545" t="e">
        <f>VLOOKUP(D2559,기본!$B$3:$C$90,2,0)</f>
        <v>#N/A</v>
      </c>
      <c r="G2559" t="e">
        <f>VLOOKUP(E2559,기본!$F$3:$G$320,2,0)</f>
        <v>#N/A</v>
      </c>
      <c r="H2559" s="544"/>
    </row>
    <row r="2560" spans="3:8">
      <c r="C2560" s="545" t="e">
        <f>VLOOKUP(D2560,기본!$B$3:$C$90,2,0)</f>
        <v>#N/A</v>
      </c>
      <c r="G2560" t="e">
        <f>VLOOKUP(E2560,기본!$F$3:$G$320,2,0)</f>
        <v>#N/A</v>
      </c>
      <c r="H2560" s="544"/>
    </row>
    <row r="2561" spans="3:8">
      <c r="C2561" s="545" t="e">
        <f>VLOOKUP(D2561,기본!$B$3:$C$90,2,0)</f>
        <v>#N/A</v>
      </c>
      <c r="G2561" t="e">
        <f>VLOOKUP(E2561,기본!$F$3:$G$320,2,0)</f>
        <v>#N/A</v>
      </c>
      <c r="H2561" s="544"/>
    </row>
    <row r="2562" spans="3:8">
      <c r="C2562" s="545" t="e">
        <f>VLOOKUP(D2562,기본!$B$3:$C$90,2,0)</f>
        <v>#N/A</v>
      </c>
      <c r="G2562" t="e">
        <f>VLOOKUP(E2562,기본!$F$3:$G$320,2,0)</f>
        <v>#N/A</v>
      </c>
      <c r="H2562" s="544"/>
    </row>
    <row r="2563" spans="3:8">
      <c r="C2563" s="545" t="e">
        <f>VLOOKUP(D2563,기본!$B$3:$C$90,2,0)</f>
        <v>#N/A</v>
      </c>
      <c r="G2563" t="e">
        <f>VLOOKUP(E2563,기본!$F$3:$G$320,2,0)</f>
        <v>#N/A</v>
      </c>
      <c r="H2563" s="544"/>
    </row>
    <row r="2564" spans="3:8">
      <c r="C2564" s="545" t="e">
        <f>VLOOKUP(D2564,기본!$B$3:$C$90,2,0)</f>
        <v>#N/A</v>
      </c>
      <c r="G2564" t="e">
        <f>VLOOKUP(E2564,기본!$F$3:$G$320,2,0)</f>
        <v>#N/A</v>
      </c>
      <c r="H2564" s="544"/>
    </row>
    <row r="2565" spans="3:8">
      <c r="C2565" s="545" t="e">
        <f>VLOOKUP(D2565,기본!$B$3:$C$90,2,0)</f>
        <v>#N/A</v>
      </c>
      <c r="G2565" t="e">
        <f>VLOOKUP(E2565,기본!$F$3:$G$320,2,0)</f>
        <v>#N/A</v>
      </c>
      <c r="H2565" s="544"/>
    </row>
    <row r="2566" spans="3:8">
      <c r="C2566" s="545" t="e">
        <f>VLOOKUP(D2566,기본!$B$3:$C$90,2,0)</f>
        <v>#N/A</v>
      </c>
      <c r="G2566" t="e">
        <f>VLOOKUP(E2566,기본!$F$3:$G$320,2,0)</f>
        <v>#N/A</v>
      </c>
      <c r="H2566" s="544"/>
    </row>
    <row r="2567" spans="3:8">
      <c r="C2567" s="545" t="e">
        <f>VLOOKUP(D2567,기본!$B$3:$C$90,2,0)</f>
        <v>#N/A</v>
      </c>
      <c r="G2567" t="e">
        <f>VLOOKUP(E2567,기본!$F$3:$G$320,2,0)</f>
        <v>#N/A</v>
      </c>
      <c r="H2567" s="544"/>
    </row>
    <row r="2568" spans="3:8">
      <c r="C2568" s="545" t="e">
        <f>VLOOKUP(D2568,기본!$B$3:$C$90,2,0)</f>
        <v>#N/A</v>
      </c>
      <c r="G2568" t="e">
        <f>VLOOKUP(E2568,기본!$F$3:$G$320,2,0)</f>
        <v>#N/A</v>
      </c>
      <c r="H2568" s="544"/>
    </row>
    <row r="2569" spans="3:8">
      <c r="C2569" s="545" t="e">
        <f>VLOOKUP(D2569,기본!$B$3:$C$90,2,0)</f>
        <v>#N/A</v>
      </c>
      <c r="G2569" t="e">
        <f>VLOOKUP(E2569,기본!$F$3:$G$320,2,0)</f>
        <v>#N/A</v>
      </c>
      <c r="H2569" s="544"/>
    </row>
    <row r="2570" spans="3:8">
      <c r="C2570" s="545" t="e">
        <f>VLOOKUP(D2570,기본!$B$3:$C$90,2,0)</f>
        <v>#N/A</v>
      </c>
      <c r="G2570" t="e">
        <f>VLOOKUP(E2570,기본!$F$3:$G$320,2,0)</f>
        <v>#N/A</v>
      </c>
      <c r="H2570" s="544"/>
    </row>
    <row r="2571" spans="3:8">
      <c r="C2571" s="545" t="e">
        <f>VLOOKUP(D2571,기본!$B$3:$C$90,2,0)</f>
        <v>#N/A</v>
      </c>
      <c r="G2571" t="e">
        <f>VLOOKUP(E2571,기본!$F$3:$G$320,2,0)</f>
        <v>#N/A</v>
      </c>
      <c r="H2571" s="544"/>
    </row>
    <row r="2572" spans="3:8">
      <c r="C2572" s="545" t="e">
        <f>VLOOKUP(D2572,기본!$B$3:$C$90,2,0)</f>
        <v>#N/A</v>
      </c>
      <c r="G2572" t="e">
        <f>VLOOKUP(E2572,기본!$F$3:$G$320,2,0)</f>
        <v>#N/A</v>
      </c>
      <c r="H2572" s="544"/>
    </row>
    <row r="2573" spans="3:8">
      <c r="C2573" s="545" t="e">
        <f>VLOOKUP(D2573,기본!$B$3:$C$90,2,0)</f>
        <v>#N/A</v>
      </c>
      <c r="G2573" t="e">
        <f>VLOOKUP(E2573,기본!$F$3:$G$320,2,0)</f>
        <v>#N/A</v>
      </c>
      <c r="H2573" s="544"/>
    </row>
    <row r="2574" spans="3:8">
      <c r="C2574" s="545" t="e">
        <f>VLOOKUP(D2574,기본!$B$3:$C$90,2,0)</f>
        <v>#N/A</v>
      </c>
      <c r="G2574" t="e">
        <f>VLOOKUP(E2574,기본!$F$3:$G$320,2,0)</f>
        <v>#N/A</v>
      </c>
      <c r="H2574" s="544"/>
    </row>
    <row r="2575" spans="3:8">
      <c r="C2575" s="545" t="e">
        <f>VLOOKUP(D2575,기본!$B$3:$C$90,2,0)</f>
        <v>#N/A</v>
      </c>
      <c r="G2575" t="e">
        <f>VLOOKUP(E2575,기본!$F$3:$G$320,2,0)</f>
        <v>#N/A</v>
      </c>
      <c r="H2575" s="544"/>
    </row>
    <row r="2576" spans="3:8">
      <c r="C2576" s="545" t="e">
        <f>VLOOKUP(D2576,기본!$B$3:$C$90,2,0)</f>
        <v>#N/A</v>
      </c>
      <c r="G2576" t="e">
        <f>VLOOKUP(E2576,기본!$F$3:$G$320,2,0)</f>
        <v>#N/A</v>
      </c>
      <c r="H2576" s="544"/>
    </row>
    <row r="2577" spans="3:8">
      <c r="C2577" s="545" t="e">
        <f>VLOOKUP(D2577,기본!$B$3:$C$90,2,0)</f>
        <v>#N/A</v>
      </c>
      <c r="G2577" t="e">
        <f>VLOOKUP(E2577,기본!$F$3:$G$320,2,0)</f>
        <v>#N/A</v>
      </c>
      <c r="H2577" s="544"/>
    </row>
    <row r="2578" spans="3:8">
      <c r="C2578" s="545" t="e">
        <f>VLOOKUP(D2578,기본!$B$3:$C$90,2,0)</f>
        <v>#N/A</v>
      </c>
      <c r="G2578" t="e">
        <f>VLOOKUP(E2578,기본!$F$3:$G$320,2,0)</f>
        <v>#N/A</v>
      </c>
      <c r="H2578" s="544"/>
    </row>
    <row r="2579" spans="3:8">
      <c r="C2579" s="545" t="e">
        <f>VLOOKUP(D2579,기본!$B$3:$C$90,2,0)</f>
        <v>#N/A</v>
      </c>
      <c r="G2579" t="e">
        <f>VLOOKUP(E2579,기본!$F$3:$G$320,2,0)</f>
        <v>#N/A</v>
      </c>
      <c r="H2579" s="544"/>
    </row>
    <row r="2580" spans="3:8">
      <c r="C2580" s="545" t="e">
        <f>VLOOKUP(D2580,기본!$B$3:$C$90,2,0)</f>
        <v>#N/A</v>
      </c>
      <c r="G2580" t="e">
        <f>VLOOKUP(E2580,기본!$F$3:$G$320,2,0)</f>
        <v>#N/A</v>
      </c>
      <c r="H2580" s="544"/>
    </row>
    <row r="2581" spans="3:8">
      <c r="C2581" s="545" t="e">
        <f>VLOOKUP(D2581,기본!$B$3:$C$90,2,0)</f>
        <v>#N/A</v>
      </c>
      <c r="G2581" t="e">
        <f>VLOOKUP(E2581,기본!$F$3:$G$320,2,0)</f>
        <v>#N/A</v>
      </c>
      <c r="H2581" s="544"/>
    </row>
    <row r="2582" spans="3:8">
      <c r="C2582" s="545" t="e">
        <f>VLOOKUP(D2582,기본!$B$3:$C$90,2,0)</f>
        <v>#N/A</v>
      </c>
      <c r="G2582" t="e">
        <f>VLOOKUP(E2582,기본!$F$3:$G$320,2,0)</f>
        <v>#N/A</v>
      </c>
      <c r="H2582" s="544"/>
    </row>
    <row r="2583" spans="3:8">
      <c r="C2583" s="545" t="e">
        <f>VLOOKUP(D2583,기본!$B$3:$C$90,2,0)</f>
        <v>#N/A</v>
      </c>
      <c r="G2583" t="e">
        <f>VLOOKUP(E2583,기본!$F$3:$G$320,2,0)</f>
        <v>#N/A</v>
      </c>
      <c r="H2583" s="544"/>
    </row>
    <row r="2584" spans="3:8">
      <c r="C2584" s="545" t="e">
        <f>VLOOKUP(D2584,기본!$B$3:$C$90,2,0)</f>
        <v>#N/A</v>
      </c>
      <c r="G2584" t="e">
        <f>VLOOKUP(E2584,기본!$F$3:$G$320,2,0)</f>
        <v>#N/A</v>
      </c>
      <c r="H2584" s="544"/>
    </row>
    <row r="2585" spans="3:8">
      <c r="C2585" s="545" t="e">
        <f>VLOOKUP(D2585,기본!$B$3:$C$90,2,0)</f>
        <v>#N/A</v>
      </c>
      <c r="G2585" t="e">
        <f>VLOOKUP(E2585,기본!$F$3:$G$320,2,0)</f>
        <v>#N/A</v>
      </c>
      <c r="H2585" s="544"/>
    </row>
    <row r="2586" spans="3:8">
      <c r="C2586" s="545" t="e">
        <f>VLOOKUP(D2586,기본!$B$3:$C$90,2,0)</f>
        <v>#N/A</v>
      </c>
      <c r="G2586" t="e">
        <f>VLOOKUP(E2586,기본!$F$3:$G$320,2,0)</f>
        <v>#N/A</v>
      </c>
      <c r="H2586" s="544"/>
    </row>
    <row r="2587" spans="3:8">
      <c r="C2587" s="545" t="e">
        <f>VLOOKUP(D2587,기본!$B$3:$C$90,2,0)</f>
        <v>#N/A</v>
      </c>
      <c r="G2587" t="e">
        <f>VLOOKUP(E2587,기본!$F$3:$G$320,2,0)</f>
        <v>#N/A</v>
      </c>
      <c r="H2587" s="544"/>
    </row>
    <row r="2588" spans="3:8">
      <c r="C2588" s="545" t="e">
        <f>VLOOKUP(D2588,기본!$B$3:$C$90,2,0)</f>
        <v>#N/A</v>
      </c>
      <c r="G2588" t="e">
        <f>VLOOKUP(E2588,기본!$F$3:$G$320,2,0)</f>
        <v>#N/A</v>
      </c>
      <c r="H2588" s="544"/>
    </row>
    <row r="2589" spans="3:8">
      <c r="C2589" s="545" t="e">
        <f>VLOOKUP(D2589,기본!$B$3:$C$90,2,0)</f>
        <v>#N/A</v>
      </c>
      <c r="G2589" t="e">
        <f>VLOOKUP(E2589,기본!$F$3:$G$320,2,0)</f>
        <v>#N/A</v>
      </c>
      <c r="H2589" s="544"/>
    </row>
    <row r="2590" spans="3:8">
      <c r="C2590" s="545" t="e">
        <f>VLOOKUP(D2590,기본!$B$3:$C$90,2,0)</f>
        <v>#N/A</v>
      </c>
      <c r="G2590" t="e">
        <f>VLOOKUP(E2590,기본!$F$3:$G$320,2,0)</f>
        <v>#N/A</v>
      </c>
      <c r="H2590" s="544"/>
    </row>
    <row r="2591" spans="3:8">
      <c r="C2591" s="545" t="e">
        <f>VLOOKUP(D2591,기본!$B$3:$C$90,2,0)</f>
        <v>#N/A</v>
      </c>
      <c r="G2591" t="e">
        <f>VLOOKUP(E2591,기본!$F$3:$G$320,2,0)</f>
        <v>#N/A</v>
      </c>
      <c r="H2591" s="544"/>
    </row>
    <row r="2592" spans="3:8">
      <c r="C2592" s="545" t="e">
        <f>VLOOKUP(D2592,기본!$B$3:$C$90,2,0)</f>
        <v>#N/A</v>
      </c>
      <c r="G2592" t="e">
        <f>VLOOKUP(E2592,기본!$F$3:$G$320,2,0)</f>
        <v>#N/A</v>
      </c>
      <c r="H2592" s="544"/>
    </row>
    <row r="2593" spans="3:8">
      <c r="C2593" s="545" t="e">
        <f>VLOOKUP(D2593,기본!$B$3:$C$90,2,0)</f>
        <v>#N/A</v>
      </c>
      <c r="G2593" t="e">
        <f>VLOOKUP(E2593,기본!$F$3:$G$320,2,0)</f>
        <v>#N/A</v>
      </c>
      <c r="H2593" s="544"/>
    </row>
    <row r="2594" spans="3:8">
      <c r="C2594" s="545" t="e">
        <f>VLOOKUP(D2594,기본!$B$3:$C$90,2,0)</f>
        <v>#N/A</v>
      </c>
      <c r="G2594" t="e">
        <f>VLOOKUP(E2594,기본!$F$3:$G$320,2,0)</f>
        <v>#N/A</v>
      </c>
      <c r="H2594" s="544"/>
    </row>
    <row r="2595" spans="3:8">
      <c r="C2595" s="545" t="e">
        <f>VLOOKUP(D2595,기본!$B$3:$C$90,2,0)</f>
        <v>#N/A</v>
      </c>
      <c r="G2595" t="e">
        <f>VLOOKUP(E2595,기본!$F$3:$G$320,2,0)</f>
        <v>#N/A</v>
      </c>
      <c r="H2595" s="544"/>
    </row>
    <row r="2596" spans="3:8">
      <c r="C2596" s="545" t="e">
        <f>VLOOKUP(D2596,기본!$B$3:$C$90,2,0)</f>
        <v>#N/A</v>
      </c>
      <c r="G2596" t="e">
        <f>VLOOKUP(E2596,기본!$F$3:$G$320,2,0)</f>
        <v>#N/A</v>
      </c>
      <c r="H2596" s="544"/>
    </row>
    <row r="2597" spans="3:8">
      <c r="C2597" s="545" t="e">
        <f>VLOOKUP(D2597,기본!$B$3:$C$90,2,0)</f>
        <v>#N/A</v>
      </c>
      <c r="G2597" t="e">
        <f>VLOOKUP(E2597,기본!$F$3:$G$320,2,0)</f>
        <v>#N/A</v>
      </c>
      <c r="H2597" s="544"/>
    </row>
    <row r="2598" spans="3:8">
      <c r="C2598" s="545" t="e">
        <f>VLOOKUP(D2598,기본!$B$3:$C$90,2,0)</f>
        <v>#N/A</v>
      </c>
      <c r="G2598" t="e">
        <f>VLOOKUP(E2598,기본!$F$3:$G$320,2,0)</f>
        <v>#N/A</v>
      </c>
      <c r="H2598" s="544"/>
    </row>
    <row r="2599" spans="3:8">
      <c r="C2599" s="545" t="e">
        <f>VLOOKUP(D2599,기본!$B$3:$C$90,2,0)</f>
        <v>#N/A</v>
      </c>
      <c r="G2599" t="e">
        <f>VLOOKUP(E2599,기본!$F$3:$G$320,2,0)</f>
        <v>#N/A</v>
      </c>
      <c r="H2599" s="544"/>
    </row>
    <row r="2600" spans="3:8">
      <c r="C2600" s="545" t="e">
        <f>VLOOKUP(D2600,기본!$B$3:$C$90,2,0)</f>
        <v>#N/A</v>
      </c>
      <c r="G2600" t="e">
        <f>VLOOKUP(E2600,기본!$F$3:$G$320,2,0)</f>
        <v>#N/A</v>
      </c>
      <c r="H2600" s="544"/>
    </row>
    <row r="2601" spans="3:8">
      <c r="C2601" s="545" t="e">
        <f>VLOOKUP(D2601,기본!$B$3:$C$90,2,0)</f>
        <v>#N/A</v>
      </c>
      <c r="G2601" t="e">
        <f>VLOOKUP(E2601,기본!$F$3:$G$320,2,0)</f>
        <v>#N/A</v>
      </c>
      <c r="H2601" s="544"/>
    </row>
    <row r="2602" spans="3:8">
      <c r="C2602" s="545" t="e">
        <f>VLOOKUP(D2602,기본!$B$3:$C$90,2,0)</f>
        <v>#N/A</v>
      </c>
      <c r="G2602" t="e">
        <f>VLOOKUP(E2602,기본!$F$3:$G$320,2,0)</f>
        <v>#N/A</v>
      </c>
      <c r="H2602" s="544"/>
    </row>
    <row r="2603" spans="3:8">
      <c r="C2603" s="545" t="e">
        <f>VLOOKUP(D2603,기본!$B$3:$C$90,2,0)</f>
        <v>#N/A</v>
      </c>
      <c r="G2603" t="e">
        <f>VLOOKUP(E2603,기본!$F$3:$G$320,2,0)</f>
        <v>#N/A</v>
      </c>
      <c r="H2603" s="544"/>
    </row>
    <row r="2604" spans="3:8">
      <c r="C2604" s="545" t="e">
        <f>VLOOKUP(D2604,기본!$B$3:$C$90,2,0)</f>
        <v>#N/A</v>
      </c>
      <c r="G2604" t="e">
        <f>VLOOKUP(E2604,기본!$F$3:$G$320,2,0)</f>
        <v>#N/A</v>
      </c>
      <c r="H2604" s="544"/>
    </row>
    <row r="2605" spans="3:8">
      <c r="C2605" s="545" t="e">
        <f>VLOOKUP(D2605,기본!$B$3:$C$90,2,0)</f>
        <v>#N/A</v>
      </c>
      <c r="G2605" t="e">
        <f>VLOOKUP(E2605,기본!$F$3:$G$320,2,0)</f>
        <v>#N/A</v>
      </c>
      <c r="H2605" s="544"/>
    </row>
    <row r="2606" spans="3:8">
      <c r="C2606" s="545" t="e">
        <f>VLOOKUP(D2606,기본!$B$3:$C$90,2,0)</f>
        <v>#N/A</v>
      </c>
      <c r="G2606" t="e">
        <f>VLOOKUP(E2606,기본!$F$3:$G$320,2,0)</f>
        <v>#N/A</v>
      </c>
      <c r="H2606" s="544"/>
    </row>
    <row r="2607" spans="3:8">
      <c r="C2607" s="545" t="e">
        <f>VLOOKUP(D2607,기본!$B$3:$C$90,2,0)</f>
        <v>#N/A</v>
      </c>
      <c r="G2607" t="e">
        <f>VLOOKUP(E2607,기본!$F$3:$G$320,2,0)</f>
        <v>#N/A</v>
      </c>
      <c r="H2607" s="544"/>
    </row>
    <row r="2608" spans="3:8">
      <c r="C2608" s="545" t="e">
        <f>VLOOKUP(D2608,기본!$B$3:$C$90,2,0)</f>
        <v>#N/A</v>
      </c>
      <c r="G2608" t="e">
        <f>VLOOKUP(E2608,기본!$F$3:$G$320,2,0)</f>
        <v>#N/A</v>
      </c>
      <c r="H2608" s="544"/>
    </row>
    <row r="2609" spans="3:8">
      <c r="C2609" s="545" t="e">
        <f>VLOOKUP(D2609,기본!$B$3:$C$90,2,0)</f>
        <v>#N/A</v>
      </c>
      <c r="G2609" t="e">
        <f>VLOOKUP(E2609,기본!$F$3:$G$320,2,0)</f>
        <v>#N/A</v>
      </c>
      <c r="H2609" s="544"/>
    </row>
    <row r="2610" spans="3:8">
      <c r="C2610" s="545" t="e">
        <f>VLOOKUP(D2610,기본!$B$3:$C$90,2,0)</f>
        <v>#N/A</v>
      </c>
      <c r="G2610" t="e">
        <f>VLOOKUP(E2610,기본!$F$3:$G$320,2,0)</f>
        <v>#N/A</v>
      </c>
      <c r="H2610" s="544"/>
    </row>
    <row r="2611" spans="3:8">
      <c r="C2611" s="545" t="e">
        <f>VLOOKUP(D2611,기본!$B$3:$C$90,2,0)</f>
        <v>#N/A</v>
      </c>
      <c r="G2611" t="e">
        <f>VLOOKUP(E2611,기본!$F$3:$G$320,2,0)</f>
        <v>#N/A</v>
      </c>
      <c r="H2611" s="544"/>
    </row>
    <row r="2612" spans="3:8">
      <c r="C2612" s="545" t="e">
        <f>VLOOKUP(D2612,기본!$B$3:$C$90,2,0)</f>
        <v>#N/A</v>
      </c>
      <c r="G2612" t="e">
        <f>VLOOKUP(E2612,기본!$F$3:$G$320,2,0)</f>
        <v>#N/A</v>
      </c>
      <c r="H2612" s="544"/>
    </row>
    <row r="2613" spans="3:8">
      <c r="C2613" s="545" t="e">
        <f>VLOOKUP(D2613,기본!$B$3:$C$90,2,0)</f>
        <v>#N/A</v>
      </c>
      <c r="G2613" t="e">
        <f>VLOOKUP(E2613,기본!$F$3:$G$320,2,0)</f>
        <v>#N/A</v>
      </c>
      <c r="H2613" s="544"/>
    </row>
    <row r="2614" spans="3:8">
      <c r="C2614" s="545" t="e">
        <f>VLOOKUP(D2614,기본!$B$3:$C$90,2,0)</f>
        <v>#N/A</v>
      </c>
      <c r="G2614" t="e">
        <f>VLOOKUP(E2614,기본!$F$3:$G$320,2,0)</f>
        <v>#N/A</v>
      </c>
      <c r="H2614" s="544"/>
    </row>
    <row r="2615" spans="3:8">
      <c r="C2615" s="545" t="e">
        <f>VLOOKUP(D2615,기본!$B$3:$C$90,2,0)</f>
        <v>#N/A</v>
      </c>
      <c r="G2615" t="e">
        <f>VLOOKUP(E2615,기본!$F$3:$G$320,2,0)</f>
        <v>#N/A</v>
      </c>
      <c r="H2615" s="544"/>
    </row>
    <row r="2616" spans="3:8">
      <c r="C2616" s="545" t="e">
        <f>VLOOKUP(D2616,기본!$B$3:$C$90,2,0)</f>
        <v>#N/A</v>
      </c>
      <c r="G2616" t="e">
        <f>VLOOKUP(E2616,기본!$F$3:$G$320,2,0)</f>
        <v>#N/A</v>
      </c>
      <c r="H2616" s="544"/>
    </row>
    <row r="2617" spans="3:8">
      <c r="C2617" s="545" t="e">
        <f>VLOOKUP(D2617,기본!$B$3:$C$90,2,0)</f>
        <v>#N/A</v>
      </c>
      <c r="G2617" t="e">
        <f>VLOOKUP(E2617,기본!$F$3:$G$320,2,0)</f>
        <v>#N/A</v>
      </c>
      <c r="H2617" s="544"/>
    </row>
    <row r="2618" spans="3:8">
      <c r="C2618" s="545" t="e">
        <f>VLOOKUP(D2618,기본!$B$3:$C$90,2,0)</f>
        <v>#N/A</v>
      </c>
      <c r="G2618" t="e">
        <f>VLOOKUP(E2618,기본!$F$3:$G$320,2,0)</f>
        <v>#N/A</v>
      </c>
      <c r="H2618" s="544"/>
    </row>
    <row r="2619" spans="3:8">
      <c r="C2619" s="545" t="e">
        <f>VLOOKUP(D2619,기본!$B$3:$C$90,2,0)</f>
        <v>#N/A</v>
      </c>
      <c r="G2619" t="e">
        <f>VLOOKUP(E2619,기본!$F$3:$G$320,2,0)</f>
        <v>#N/A</v>
      </c>
      <c r="H2619" s="544"/>
    </row>
    <row r="2620" spans="3:8">
      <c r="C2620" s="545" t="e">
        <f>VLOOKUP(D2620,기본!$B$3:$C$90,2,0)</f>
        <v>#N/A</v>
      </c>
      <c r="G2620" t="e">
        <f>VLOOKUP(E2620,기본!$F$3:$G$320,2,0)</f>
        <v>#N/A</v>
      </c>
      <c r="H2620" s="544"/>
    </row>
    <row r="2621" spans="3:8">
      <c r="C2621" s="545" t="e">
        <f>VLOOKUP(D2621,기본!$B$3:$C$90,2,0)</f>
        <v>#N/A</v>
      </c>
      <c r="G2621" t="e">
        <f>VLOOKUP(E2621,기본!$F$3:$G$320,2,0)</f>
        <v>#N/A</v>
      </c>
      <c r="H2621" s="544"/>
    </row>
    <row r="2622" spans="3:8">
      <c r="C2622" s="545" t="e">
        <f>VLOOKUP(D2622,기본!$B$3:$C$90,2,0)</f>
        <v>#N/A</v>
      </c>
      <c r="G2622" t="e">
        <f>VLOOKUP(E2622,기본!$F$3:$G$320,2,0)</f>
        <v>#N/A</v>
      </c>
      <c r="H2622" s="544"/>
    </row>
    <row r="2623" spans="3:8">
      <c r="C2623" s="545" t="e">
        <f>VLOOKUP(D2623,기본!$B$3:$C$90,2,0)</f>
        <v>#N/A</v>
      </c>
      <c r="G2623" t="e">
        <f>VLOOKUP(E2623,기본!$F$3:$G$320,2,0)</f>
        <v>#N/A</v>
      </c>
      <c r="H2623" s="544"/>
    </row>
    <row r="2624" spans="3:8">
      <c r="C2624" s="545" t="e">
        <f>VLOOKUP(D2624,기본!$B$3:$C$90,2,0)</f>
        <v>#N/A</v>
      </c>
      <c r="G2624" t="e">
        <f>VLOOKUP(E2624,기본!$F$3:$G$320,2,0)</f>
        <v>#N/A</v>
      </c>
      <c r="H2624" s="544"/>
    </row>
    <row r="2625" spans="3:8">
      <c r="C2625" s="545" t="e">
        <f>VLOOKUP(D2625,기본!$B$3:$C$90,2,0)</f>
        <v>#N/A</v>
      </c>
      <c r="G2625" t="e">
        <f>VLOOKUP(E2625,기본!$F$3:$G$320,2,0)</f>
        <v>#N/A</v>
      </c>
      <c r="H2625" s="544"/>
    </row>
    <row r="2626" spans="3:8">
      <c r="C2626" s="545" t="e">
        <f>VLOOKUP(D2626,기본!$B$3:$C$90,2,0)</f>
        <v>#N/A</v>
      </c>
      <c r="G2626" t="e">
        <f>VLOOKUP(E2626,기본!$F$3:$G$320,2,0)</f>
        <v>#N/A</v>
      </c>
      <c r="H2626" s="544"/>
    </row>
    <row r="2627" spans="3:8">
      <c r="C2627" s="545" t="e">
        <f>VLOOKUP(D2627,기본!$B$3:$C$90,2,0)</f>
        <v>#N/A</v>
      </c>
      <c r="G2627" t="e">
        <f>VLOOKUP(E2627,기본!$F$3:$G$320,2,0)</f>
        <v>#N/A</v>
      </c>
      <c r="H2627" s="544"/>
    </row>
    <row r="2628" spans="3:8">
      <c r="C2628" s="545" t="e">
        <f>VLOOKUP(D2628,기본!$B$3:$C$90,2,0)</f>
        <v>#N/A</v>
      </c>
      <c r="G2628" t="e">
        <f>VLOOKUP(E2628,기본!$F$3:$G$320,2,0)</f>
        <v>#N/A</v>
      </c>
      <c r="H2628" s="544"/>
    </row>
    <row r="2629" spans="3:8">
      <c r="C2629" s="545" t="e">
        <f>VLOOKUP(D2629,기본!$B$3:$C$90,2,0)</f>
        <v>#N/A</v>
      </c>
      <c r="G2629" t="e">
        <f>VLOOKUP(E2629,기본!$F$3:$G$320,2,0)</f>
        <v>#N/A</v>
      </c>
      <c r="H2629" s="544"/>
    </row>
    <row r="2630" spans="3:8">
      <c r="C2630" s="545" t="e">
        <f>VLOOKUP(D2630,기본!$B$3:$C$90,2,0)</f>
        <v>#N/A</v>
      </c>
      <c r="G2630" t="e">
        <f>VLOOKUP(E2630,기본!$F$3:$G$320,2,0)</f>
        <v>#N/A</v>
      </c>
      <c r="H2630" s="544"/>
    </row>
    <row r="2631" spans="3:8">
      <c r="C2631" s="545" t="e">
        <f>VLOOKUP(D2631,기본!$B$3:$C$90,2,0)</f>
        <v>#N/A</v>
      </c>
      <c r="G2631" t="e">
        <f>VLOOKUP(E2631,기본!$F$3:$G$320,2,0)</f>
        <v>#N/A</v>
      </c>
      <c r="H2631" s="544"/>
    </row>
    <row r="2632" spans="3:8">
      <c r="C2632" s="545" t="e">
        <f>VLOOKUP(D2632,기본!$B$3:$C$90,2,0)</f>
        <v>#N/A</v>
      </c>
      <c r="G2632" t="e">
        <f>VLOOKUP(E2632,기본!$F$3:$G$320,2,0)</f>
        <v>#N/A</v>
      </c>
      <c r="H2632" s="544"/>
    </row>
    <row r="2633" spans="3:8">
      <c r="C2633" s="545" t="e">
        <f>VLOOKUP(D2633,기본!$B$3:$C$90,2,0)</f>
        <v>#N/A</v>
      </c>
      <c r="G2633" t="e">
        <f>VLOOKUP(E2633,기본!$F$3:$G$320,2,0)</f>
        <v>#N/A</v>
      </c>
      <c r="H2633" s="544"/>
    </row>
    <row r="2634" spans="3:8">
      <c r="C2634" s="545" t="e">
        <f>VLOOKUP(D2634,기본!$B$3:$C$90,2,0)</f>
        <v>#N/A</v>
      </c>
      <c r="G2634" t="e">
        <f>VLOOKUP(E2634,기본!$F$3:$G$320,2,0)</f>
        <v>#N/A</v>
      </c>
      <c r="H2634" s="544"/>
    </row>
    <row r="2635" spans="3:8">
      <c r="C2635" s="545" t="e">
        <f>VLOOKUP(D2635,기본!$B$3:$C$90,2,0)</f>
        <v>#N/A</v>
      </c>
      <c r="G2635" t="e">
        <f>VLOOKUP(E2635,기본!$F$3:$G$320,2,0)</f>
        <v>#N/A</v>
      </c>
      <c r="H2635" s="544"/>
    </row>
    <row r="2636" spans="3:8">
      <c r="C2636" s="545" t="e">
        <f>VLOOKUP(D2636,기본!$B$3:$C$90,2,0)</f>
        <v>#N/A</v>
      </c>
      <c r="G2636" t="e">
        <f>VLOOKUP(E2636,기본!$F$3:$G$320,2,0)</f>
        <v>#N/A</v>
      </c>
      <c r="H2636" s="544"/>
    </row>
    <row r="2637" spans="3:8">
      <c r="C2637" s="545" t="e">
        <f>VLOOKUP(D2637,기본!$B$3:$C$90,2,0)</f>
        <v>#N/A</v>
      </c>
      <c r="G2637" t="e">
        <f>VLOOKUP(E2637,기본!$F$3:$G$320,2,0)</f>
        <v>#N/A</v>
      </c>
      <c r="H2637" s="544"/>
    </row>
    <row r="2638" spans="3:8">
      <c r="C2638" s="545" t="e">
        <f>VLOOKUP(D2638,기본!$B$3:$C$90,2,0)</f>
        <v>#N/A</v>
      </c>
      <c r="G2638" t="e">
        <f>VLOOKUP(E2638,기본!$F$3:$G$320,2,0)</f>
        <v>#N/A</v>
      </c>
      <c r="H2638" s="544"/>
    </row>
    <row r="2639" spans="3:8">
      <c r="C2639" s="545" t="e">
        <f>VLOOKUP(D2639,기본!$B$3:$C$90,2,0)</f>
        <v>#N/A</v>
      </c>
      <c r="G2639" t="e">
        <f>VLOOKUP(E2639,기본!$F$3:$G$320,2,0)</f>
        <v>#N/A</v>
      </c>
      <c r="H2639" s="544"/>
    </row>
    <row r="2640" spans="3:8">
      <c r="C2640" s="545" t="e">
        <f>VLOOKUP(D2640,기본!$B$3:$C$90,2,0)</f>
        <v>#N/A</v>
      </c>
      <c r="G2640" t="e">
        <f>VLOOKUP(E2640,기본!$F$3:$G$320,2,0)</f>
        <v>#N/A</v>
      </c>
      <c r="H2640" s="544"/>
    </row>
    <row r="2641" spans="3:8">
      <c r="C2641" s="545" t="e">
        <f>VLOOKUP(D2641,기본!$B$3:$C$90,2,0)</f>
        <v>#N/A</v>
      </c>
      <c r="G2641" t="e">
        <f>VLOOKUP(E2641,기본!$F$3:$G$320,2,0)</f>
        <v>#N/A</v>
      </c>
      <c r="H2641" s="544"/>
    </row>
    <row r="2642" spans="3:8">
      <c r="C2642" s="545" t="e">
        <f>VLOOKUP(D2642,기본!$B$3:$C$90,2,0)</f>
        <v>#N/A</v>
      </c>
      <c r="G2642" t="e">
        <f>VLOOKUP(E2642,기본!$F$3:$G$320,2,0)</f>
        <v>#N/A</v>
      </c>
      <c r="H2642" s="544"/>
    </row>
    <row r="2643" spans="3:8">
      <c r="C2643" s="545" t="e">
        <f>VLOOKUP(D2643,기본!$B$3:$C$90,2,0)</f>
        <v>#N/A</v>
      </c>
      <c r="G2643" t="e">
        <f>VLOOKUP(E2643,기본!$F$3:$G$320,2,0)</f>
        <v>#N/A</v>
      </c>
      <c r="H2643" s="544"/>
    </row>
    <row r="2644" spans="3:8">
      <c r="C2644" s="545" t="e">
        <f>VLOOKUP(D2644,기본!$B$3:$C$90,2,0)</f>
        <v>#N/A</v>
      </c>
      <c r="G2644" t="e">
        <f>VLOOKUP(E2644,기본!$F$3:$G$320,2,0)</f>
        <v>#N/A</v>
      </c>
      <c r="H2644" s="544"/>
    </row>
    <row r="2645" spans="3:8">
      <c r="C2645" s="545" t="e">
        <f>VLOOKUP(D2645,기본!$B$3:$C$90,2,0)</f>
        <v>#N/A</v>
      </c>
      <c r="G2645" t="e">
        <f>VLOOKUP(E2645,기본!$F$3:$G$320,2,0)</f>
        <v>#N/A</v>
      </c>
      <c r="H2645" s="544"/>
    </row>
    <row r="2646" spans="3:8">
      <c r="C2646" s="545" t="e">
        <f>VLOOKUP(D2646,기본!$B$3:$C$90,2,0)</f>
        <v>#N/A</v>
      </c>
      <c r="G2646" t="e">
        <f>VLOOKUP(E2646,기본!$F$3:$G$320,2,0)</f>
        <v>#N/A</v>
      </c>
      <c r="H2646" s="544"/>
    </row>
    <row r="2647" spans="3:8">
      <c r="C2647" s="545" t="e">
        <f>VLOOKUP(D2647,기본!$B$3:$C$90,2,0)</f>
        <v>#N/A</v>
      </c>
      <c r="G2647" t="e">
        <f>VLOOKUP(E2647,기본!$F$3:$G$320,2,0)</f>
        <v>#N/A</v>
      </c>
      <c r="H2647" s="544"/>
    </row>
    <row r="2648" spans="3:8">
      <c r="C2648" s="545" t="e">
        <f>VLOOKUP(D2648,기본!$B$3:$C$90,2,0)</f>
        <v>#N/A</v>
      </c>
      <c r="G2648" t="e">
        <f>VLOOKUP(E2648,기본!$F$3:$G$320,2,0)</f>
        <v>#N/A</v>
      </c>
      <c r="H2648" s="544"/>
    </row>
    <row r="2649" spans="3:8">
      <c r="C2649" s="545" t="e">
        <f>VLOOKUP(D2649,기본!$B$3:$C$90,2,0)</f>
        <v>#N/A</v>
      </c>
      <c r="G2649" t="e">
        <f>VLOOKUP(E2649,기본!$F$3:$G$320,2,0)</f>
        <v>#N/A</v>
      </c>
      <c r="H2649" s="544"/>
    </row>
    <row r="2650" spans="3:8">
      <c r="C2650" s="545" t="e">
        <f>VLOOKUP(D2650,기본!$B$3:$C$90,2,0)</f>
        <v>#N/A</v>
      </c>
      <c r="G2650" t="e">
        <f>VLOOKUP(E2650,기본!$F$3:$G$320,2,0)</f>
        <v>#N/A</v>
      </c>
      <c r="H2650" s="544"/>
    </row>
    <row r="2651" spans="3:8">
      <c r="C2651" s="545" t="e">
        <f>VLOOKUP(D2651,기본!$B$3:$C$90,2,0)</f>
        <v>#N/A</v>
      </c>
      <c r="G2651" t="e">
        <f>VLOOKUP(E2651,기본!$F$3:$G$320,2,0)</f>
        <v>#N/A</v>
      </c>
      <c r="H2651" s="544"/>
    </row>
    <row r="2652" spans="3:8">
      <c r="C2652" s="545" t="e">
        <f>VLOOKUP(D2652,기본!$B$3:$C$90,2,0)</f>
        <v>#N/A</v>
      </c>
      <c r="G2652" t="e">
        <f>VLOOKUP(E2652,기본!$F$3:$G$320,2,0)</f>
        <v>#N/A</v>
      </c>
      <c r="H2652" s="544"/>
    </row>
    <row r="2653" spans="3:8">
      <c r="C2653" s="545" t="e">
        <f>VLOOKUP(D2653,기본!$B$3:$C$90,2,0)</f>
        <v>#N/A</v>
      </c>
      <c r="G2653" t="e">
        <f>VLOOKUP(E2653,기본!$F$3:$G$320,2,0)</f>
        <v>#N/A</v>
      </c>
      <c r="H2653" s="544"/>
    </row>
    <row r="2654" spans="3:8">
      <c r="C2654" s="545" t="e">
        <f>VLOOKUP(D2654,기본!$B$3:$C$90,2,0)</f>
        <v>#N/A</v>
      </c>
      <c r="G2654" t="e">
        <f>VLOOKUP(E2654,기본!$F$3:$G$320,2,0)</f>
        <v>#N/A</v>
      </c>
      <c r="H2654" s="544"/>
    </row>
    <row r="2655" spans="3:8">
      <c r="C2655" s="545" t="e">
        <f>VLOOKUP(D2655,기본!$B$3:$C$90,2,0)</f>
        <v>#N/A</v>
      </c>
      <c r="G2655" t="e">
        <f>VLOOKUP(E2655,기본!$F$3:$G$320,2,0)</f>
        <v>#N/A</v>
      </c>
      <c r="H2655" s="544"/>
    </row>
    <row r="2656" spans="3:8">
      <c r="C2656" s="545" t="e">
        <f>VLOOKUP(D2656,기본!$B$3:$C$90,2,0)</f>
        <v>#N/A</v>
      </c>
      <c r="G2656" t="e">
        <f>VLOOKUP(E2656,기본!$F$3:$G$320,2,0)</f>
        <v>#N/A</v>
      </c>
      <c r="H2656" s="544"/>
    </row>
    <row r="2657" spans="3:8">
      <c r="C2657" s="545" t="e">
        <f>VLOOKUP(D2657,기본!$B$3:$C$90,2,0)</f>
        <v>#N/A</v>
      </c>
      <c r="G2657" t="e">
        <f>VLOOKUP(E2657,기본!$F$3:$G$320,2,0)</f>
        <v>#N/A</v>
      </c>
      <c r="H2657" s="544"/>
    </row>
    <row r="2658" spans="3:8">
      <c r="C2658" s="545" t="e">
        <f>VLOOKUP(D2658,기본!$B$3:$C$90,2,0)</f>
        <v>#N/A</v>
      </c>
      <c r="G2658" t="e">
        <f>VLOOKUP(E2658,기본!$F$3:$G$320,2,0)</f>
        <v>#N/A</v>
      </c>
      <c r="H2658" s="544"/>
    </row>
    <row r="2659" spans="3:8">
      <c r="C2659" s="545" t="e">
        <f>VLOOKUP(D2659,기본!$B$3:$C$90,2,0)</f>
        <v>#N/A</v>
      </c>
      <c r="G2659" t="e">
        <f>VLOOKUP(E2659,기본!$F$3:$G$320,2,0)</f>
        <v>#N/A</v>
      </c>
      <c r="H2659" s="544"/>
    </row>
    <row r="2660" spans="3:8">
      <c r="C2660" s="545" t="e">
        <f>VLOOKUP(D2660,기본!$B$3:$C$90,2,0)</f>
        <v>#N/A</v>
      </c>
      <c r="G2660" t="e">
        <f>VLOOKUP(E2660,기본!$F$3:$G$320,2,0)</f>
        <v>#N/A</v>
      </c>
      <c r="H2660" s="544"/>
    </row>
    <row r="2661" spans="3:8">
      <c r="C2661" s="545" t="e">
        <f>VLOOKUP(D2661,기본!$B$3:$C$90,2,0)</f>
        <v>#N/A</v>
      </c>
      <c r="G2661" t="e">
        <f>VLOOKUP(E2661,기본!$F$3:$G$320,2,0)</f>
        <v>#N/A</v>
      </c>
      <c r="H2661" s="544"/>
    </row>
    <row r="2662" spans="3:8">
      <c r="C2662" s="545" t="e">
        <f>VLOOKUP(D2662,기본!$B$3:$C$90,2,0)</f>
        <v>#N/A</v>
      </c>
      <c r="G2662" t="e">
        <f>VLOOKUP(E2662,기본!$F$3:$G$320,2,0)</f>
        <v>#N/A</v>
      </c>
      <c r="H2662" s="544"/>
    </row>
    <row r="2663" spans="3:8">
      <c r="C2663" s="545" t="e">
        <f>VLOOKUP(D2663,기본!$B$3:$C$90,2,0)</f>
        <v>#N/A</v>
      </c>
      <c r="G2663" t="e">
        <f>VLOOKUP(E2663,기본!$F$3:$G$320,2,0)</f>
        <v>#N/A</v>
      </c>
      <c r="H2663" s="544"/>
    </row>
    <row r="2664" spans="3:8">
      <c r="C2664" s="545" t="e">
        <f>VLOOKUP(D2664,기본!$B$3:$C$90,2,0)</f>
        <v>#N/A</v>
      </c>
      <c r="G2664" t="e">
        <f>VLOOKUP(E2664,기본!$F$3:$G$320,2,0)</f>
        <v>#N/A</v>
      </c>
      <c r="H2664" s="544"/>
    </row>
    <row r="2665" spans="3:8">
      <c r="C2665" s="545" t="e">
        <f>VLOOKUP(D2665,기본!$B$3:$C$90,2,0)</f>
        <v>#N/A</v>
      </c>
      <c r="G2665" t="e">
        <f>VLOOKUP(E2665,기본!$F$3:$G$320,2,0)</f>
        <v>#N/A</v>
      </c>
      <c r="H2665" s="544"/>
    </row>
    <row r="2666" spans="3:8">
      <c r="C2666" s="545" t="e">
        <f>VLOOKUP(D2666,기본!$B$3:$C$90,2,0)</f>
        <v>#N/A</v>
      </c>
      <c r="G2666" t="e">
        <f>VLOOKUP(E2666,기본!$F$3:$G$320,2,0)</f>
        <v>#N/A</v>
      </c>
      <c r="H2666" s="544"/>
    </row>
    <row r="2667" spans="3:8">
      <c r="C2667" s="545" t="e">
        <f>VLOOKUP(D2667,기본!$B$3:$C$90,2,0)</f>
        <v>#N/A</v>
      </c>
      <c r="G2667" t="e">
        <f>VLOOKUP(E2667,기본!$F$3:$G$320,2,0)</f>
        <v>#N/A</v>
      </c>
      <c r="H2667" s="544"/>
    </row>
    <row r="2668" spans="3:8">
      <c r="C2668" s="545" t="e">
        <f>VLOOKUP(D2668,기본!$B$3:$C$90,2,0)</f>
        <v>#N/A</v>
      </c>
      <c r="G2668" t="e">
        <f>VLOOKUP(E2668,기본!$F$3:$G$320,2,0)</f>
        <v>#N/A</v>
      </c>
      <c r="H2668" s="544"/>
    </row>
    <row r="2669" spans="3:8">
      <c r="C2669" s="545" t="e">
        <f>VLOOKUP(D2669,기본!$B$3:$C$90,2,0)</f>
        <v>#N/A</v>
      </c>
      <c r="G2669" t="e">
        <f>VLOOKUP(E2669,기본!$F$3:$G$320,2,0)</f>
        <v>#N/A</v>
      </c>
      <c r="H2669" s="544"/>
    </row>
    <row r="2670" spans="3:8">
      <c r="C2670" s="545" t="e">
        <f>VLOOKUP(D2670,기본!$B$3:$C$90,2,0)</f>
        <v>#N/A</v>
      </c>
      <c r="G2670" t="e">
        <f>VLOOKUP(E2670,기본!$F$3:$G$320,2,0)</f>
        <v>#N/A</v>
      </c>
      <c r="H2670" s="544"/>
    </row>
    <row r="2671" spans="3:8">
      <c r="C2671" s="545" t="e">
        <f>VLOOKUP(D2671,기본!$B$3:$C$90,2,0)</f>
        <v>#N/A</v>
      </c>
      <c r="G2671" t="e">
        <f>VLOOKUP(E2671,기본!$F$3:$G$320,2,0)</f>
        <v>#N/A</v>
      </c>
      <c r="H2671" s="544"/>
    </row>
    <row r="2672" spans="3:8">
      <c r="C2672" s="545" t="e">
        <f>VLOOKUP(D2672,기본!$B$3:$C$90,2,0)</f>
        <v>#N/A</v>
      </c>
      <c r="G2672" t="e">
        <f>VLOOKUP(E2672,기본!$F$3:$G$320,2,0)</f>
        <v>#N/A</v>
      </c>
      <c r="H2672" s="544"/>
    </row>
    <row r="2673" spans="3:8">
      <c r="C2673" s="545" t="e">
        <f>VLOOKUP(D2673,기본!$B$3:$C$90,2,0)</f>
        <v>#N/A</v>
      </c>
      <c r="G2673" t="e">
        <f>VLOOKUP(E2673,기본!$F$3:$G$320,2,0)</f>
        <v>#N/A</v>
      </c>
      <c r="H2673" s="544"/>
    </row>
    <row r="2674" spans="3:8">
      <c r="C2674" s="545" t="e">
        <f>VLOOKUP(D2674,기본!$B$3:$C$90,2,0)</f>
        <v>#N/A</v>
      </c>
      <c r="G2674" t="e">
        <f>VLOOKUP(E2674,기본!$F$3:$G$320,2,0)</f>
        <v>#N/A</v>
      </c>
      <c r="H2674" s="544"/>
    </row>
    <row r="2675" spans="3:8">
      <c r="C2675" s="545" t="e">
        <f>VLOOKUP(D2675,기본!$B$3:$C$90,2,0)</f>
        <v>#N/A</v>
      </c>
      <c r="G2675" t="e">
        <f>VLOOKUP(E2675,기본!$F$3:$G$320,2,0)</f>
        <v>#N/A</v>
      </c>
      <c r="H2675" s="544"/>
    </row>
    <row r="2676" spans="3:8">
      <c r="C2676" s="545" t="e">
        <f>VLOOKUP(D2676,기본!$B$3:$C$90,2,0)</f>
        <v>#N/A</v>
      </c>
      <c r="G2676" t="e">
        <f>VLOOKUP(E2676,기본!$F$3:$G$320,2,0)</f>
        <v>#N/A</v>
      </c>
      <c r="H2676" s="544"/>
    </row>
    <row r="2677" spans="3:8">
      <c r="C2677" s="545" t="e">
        <f>VLOOKUP(D2677,기본!$B$3:$C$90,2,0)</f>
        <v>#N/A</v>
      </c>
      <c r="G2677" t="e">
        <f>VLOOKUP(E2677,기본!$F$3:$G$320,2,0)</f>
        <v>#N/A</v>
      </c>
      <c r="H2677" s="544"/>
    </row>
    <row r="2678" spans="3:8">
      <c r="C2678" s="545" t="e">
        <f>VLOOKUP(D2678,기본!$B$3:$C$90,2,0)</f>
        <v>#N/A</v>
      </c>
      <c r="G2678" t="e">
        <f>VLOOKUP(E2678,기본!$F$3:$G$320,2,0)</f>
        <v>#N/A</v>
      </c>
      <c r="H2678" s="544"/>
    </row>
    <row r="2679" spans="3:8">
      <c r="C2679" s="545" t="e">
        <f>VLOOKUP(D2679,기본!$B$3:$C$90,2,0)</f>
        <v>#N/A</v>
      </c>
      <c r="G2679" t="e">
        <f>VLOOKUP(E2679,기본!$F$3:$G$320,2,0)</f>
        <v>#N/A</v>
      </c>
      <c r="H2679" s="544"/>
    </row>
    <row r="2680" spans="3:8">
      <c r="C2680" s="545" t="e">
        <f>VLOOKUP(D2680,기본!$B$3:$C$90,2,0)</f>
        <v>#N/A</v>
      </c>
      <c r="G2680" t="e">
        <f>VLOOKUP(E2680,기본!$F$3:$G$320,2,0)</f>
        <v>#N/A</v>
      </c>
      <c r="H2680" s="544"/>
    </row>
    <row r="2681" spans="3:8">
      <c r="C2681" s="545" t="e">
        <f>VLOOKUP(D2681,기본!$B$3:$C$90,2,0)</f>
        <v>#N/A</v>
      </c>
      <c r="G2681" t="e">
        <f>VLOOKUP(E2681,기본!$F$3:$G$320,2,0)</f>
        <v>#N/A</v>
      </c>
      <c r="H2681" s="544"/>
    </row>
    <row r="2682" spans="3:8">
      <c r="C2682" s="545" t="e">
        <f>VLOOKUP(D2682,기본!$B$3:$C$90,2,0)</f>
        <v>#N/A</v>
      </c>
      <c r="G2682" t="e">
        <f>VLOOKUP(E2682,기본!$F$3:$G$320,2,0)</f>
        <v>#N/A</v>
      </c>
      <c r="H2682" s="544"/>
    </row>
    <row r="2683" spans="3:8">
      <c r="C2683" s="545" t="e">
        <f>VLOOKUP(D2683,기본!$B$3:$C$90,2,0)</f>
        <v>#N/A</v>
      </c>
      <c r="G2683" t="e">
        <f>VLOOKUP(E2683,기본!$F$3:$G$320,2,0)</f>
        <v>#N/A</v>
      </c>
      <c r="H2683" s="544"/>
    </row>
    <row r="2684" spans="3:8">
      <c r="C2684" s="545" t="e">
        <f>VLOOKUP(D2684,기본!$B$3:$C$90,2,0)</f>
        <v>#N/A</v>
      </c>
      <c r="G2684" t="e">
        <f>VLOOKUP(E2684,기본!$F$3:$G$320,2,0)</f>
        <v>#N/A</v>
      </c>
      <c r="H2684" s="544"/>
    </row>
    <row r="2685" spans="3:8">
      <c r="C2685" s="545" t="e">
        <f>VLOOKUP(D2685,기본!$B$3:$C$90,2,0)</f>
        <v>#N/A</v>
      </c>
      <c r="G2685" t="e">
        <f>VLOOKUP(E2685,기본!$F$3:$G$320,2,0)</f>
        <v>#N/A</v>
      </c>
      <c r="H2685" s="544"/>
    </row>
    <row r="2686" spans="3:8">
      <c r="C2686" s="545" t="e">
        <f>VLOOKUP(D2686,기본!$B$3:$C$90,2,0)</f>
        <v>#N/A</v>
      </c>
      <c r="G2686" t="e">
        <f>VLOOKUP(E2686,기본!$F$3:$G$320,2,0)</f>
        <v>#N/A</v>
      </c>
      <c r="H2686" s="544"/>
    </row>
    <row r="2687" spans="3:8">
      <c r="C2687" s="545" t="e">
        <f>VLOOKUP(D2687,기본!$B$3:$C$90,2,0)</f>
        <v>#N/A</v>
      </c>
      <c r="G2687" t="e">
        <f>VLOOKUP(E2687,기본!$F$3:$G$320,2,0)</f>
        <v>#N/A</v>
      </c>
      <c r="H2687" s="544"/>
    </row>
    <row r="2688" spans="3:8">
      <c r="C2688" s="545" t="e">
        <f>VLOOKUP(D2688,기본!$B$3:$C$90,2,0)</f>
        <v>#N/A</v>
      </c>
      <c r="G2688" t="e">
        <f>VLOOKUP(E2688,기본!$F$3:$G$320,2,0)</f>
        <v>#N/A</v>
      </c>
      <c r="H2688" s="544"/>
    </row>
    <row r="2689" spans="3:8">
      <c r="C2689" s="545" t="e">
        <f>VLOOKUP(D2689,기본!$B$3:$C$90,2,0)</f>
        <v>#N/A</v>
      </c>
      <c r="G2689" t="e">
        <f>VLOOKUP(E2689,기본!$F$3:$G$320,2,0)</f>
        <v>#N/A</v>
      </c>
      <c r="H2689" s="544"/>
    </row>
    <row r="2690" spans="3:8">
      <c r="C2690" s="545" t="e">
        <f>VLOOKUP(D2690,기본!$B$3:$C$90,2,0)</f>
        <v>#N/A</v>
      </c>
      <c r="G2690" t="e">
        <f>VLOOKUP(E2690,기본!$F$3:$G$320,2,0)</f>
        <v>#N/A</v>
      </c>
      <c r="H2690" s="544"/>
    </row>
    <row r="2691" spans="3:8">
      <c r="C2691" s="545" t="e">
        <f>VLOOKUP(D2691,기본!$B$3:$C$90,2,0)</f>
        <v>#N/A</v>
      </c>
      <c r="G2691" t="e">
        <f>VLOOKUP(E2691,기본!$F$3:$G$320,2,0)</f>
        <v>#N/A</v>
      </c>
      <c r="H2691" s="544"/>
    </row>
    <row r="2692" spans="3:8">
      <c r="C2692" s="545" t="e">
        <f>VLOOKUP(D2692,기본!$B$3:$C$90,2,0)</f>
        <v>#N/A</v>
      </c>
      <c r="G2692" t="e">
        <f>VLOOKUP(E2692,기본!$F$3:$G$320,2,0)</f>
        <v>#N/A</v>
      </c>
      <c r="H2692" s="544"/>
    </row>
    <row r="2693" spans="3:8">
      <c r="C2693" s="545" t="e">
        <f>VLOOKUP(D2693,기본!$B$3:$C$90,2,0)</f>
        <v>#N/A</v>
      </c>
      <c r="G2693" t="e">
        <f>VLOOKUP(E2693,기본!$F$3:$G$320,2,0)</f>
        <v>#N/A</v>
      </c>
      <c r="H2693" s="544"/>
    </row>
    <row r="2694" spans="3:8">
      <c r="C2694" s="545" t="e">
        <f>VLOOKUP(D2694,기본!$B$3:$C$90,2,0)</f>
        <v>#N/A</v>
      </c>
      <c r="G2694" t="e">
        <f>VLOOKUP(E2694,기본!$F$3:$G$320,2,0)</f>
        <v>#N/A</v>
      </c>
      <c r="H2694" s="544"/>
    </row>
    <row r="2695" spans="3:8">
      <c r="C2695" s="545" t="e">
        <f>VLOOKUP(D2695,기본!$B$3:$C$90,2,0)</f>
        <v>#N/A</v>
      </c>
      <c r="G2695" t="e">
        <f>VLOOKUP(E2695,기본!$F$3:$G$320,2,0)</f>
        <v>#N/A</v>
      </c>
      <c r="H2695" s="544"/>
    </row>
    <row r="2696" spans="3:8">
      <c r="C2696" s="545" t="e">
        <f>VLOOKUP(D2696,기본!$B$3:$C$90,2,0)</f>
        <v>#N/A</v>
      </c>
      <c r="G2696" t="e">
        <f>VLOOKUP(E2696,기본!$F$3:$G$320,2,0)</f>
        <v>#N/A</v>
      </c>
      <c r="H2696" s="544"/>
    </row>
    <row r="2697" spans="3:8">
      <c r="C2697" s="545" t="e">
        <f>VLOOKUP(D2697,기본!$B$3:$C$90,2,0)</f>
        <v>#N/A</v>
      </c>
      <c r="G2697" t="e">
        <f>VLOOKUP(E2697,기본!$F$3:$G$320,2,0)</f>
        <v>#N/A</v>
      </c>
      <c r="H2697" s="544"/>
    </row>
    <row r="2698" spans="3:8">
      <c r="C2698" s="545" t="e">
        <f>VLOOKUP(D2698,기본!$B$3:$C$90,2,0)</f>
        <v>#N/A</v>
      </c>
      <c r="G2698" t="e">
        <f>VLOOKUP(E2698,기본!$F$3:$G$320,2,0)</f>
        <v>#N/A</v>
      </c>
      <c r="H2698" s="544"/>
    </row>
    <row r="2699" spans="3:8">
      <c r="C2699" s="545" t="e">
        <f>VLOOKUP(D2699,기본!$B$3:$C$90,2,0)</f>
        <v>#N/A</v>
      </c>
      <c r="G2699" t="e">
        <f>VLOOKUP(E2699,기본!$F$3:$G$320,2,0)</f>
        <v>#N/A</v>
      </c>
      <c r="H2699" s="544"/>
    </row>
    <row r="2700" spans="3:8">
      <c r="C2700" s="545" t="e">
        <f>VLOOKUP(D2700,기본!$B$3:$C$90,2,0)</f>
        <v>#N/A</v>
      </c>
      <c r="G2700" t="e">
        <f>VLOOKUP(E2700,기본!$F$3:$G$320,2,0)</f>
        <v>#N/A</v>
      </c>
      <c r="H2700" s="544"/>
    </row>
    <row r="2701" spans="3:8">
      <c r="C2701" s="545" t="e">
        <f>VLOOKUP(D2701,기본!$B$3:$C$90,2,0)</f>
        <v>#N/A</v>
      </c>
      <c r="G2701" t="e">
        <f>VLOOKUP(E2701,기본!$F$3:$G$320,2,0)</f>
        <v>#N/A</v>
      </c>
      <c r="H2701" s="544"/>
    </row>
    <row r="2702" spans="3:8">
      <c r="C2702" s="545" t="e">
        <f>VLOOKUP(D2702,기본!$B$3:$C$90,2,0)</f>
        <v>#N/A</v>
      </c>
      <c r="G2702" t="e">
        <f>VLOOKUP(E2702,기본!$F$3:$G$320,2,0)</f>
        <v>#N/A</v>
      </c>
      <c r="H2702" s="544"/>
    </row>
    <row r="2703" spans="3:8">
      <c r="C2703" s="545" t="e">
        <f>VLOOKUP(D2703,기본!$B$3:$C$90,2,0)</f>
        <v>#N/A</v>
      </c>
      <c r="G2703" t="e">
        <f>VLOOKUP(E2703,기본!$F$3:$G$320,2,0)</f>
        <v>#N/A</v>
      </c>
      <c r="H2703" s="544"/>
    </row>
    <row r="2704" spans="3:8">
      <c r="C2704" s="545" t="e">
        <f>VLOOKUP(D2704,기본!$B$3:$C$90,2,0)</f>
        <v>#N/A</v>
      </c>
      <c r="G2704" t="e">
        <f>VLOOKUP(E2704,기본!$F$3:$G$320,2,0)</f>
        <v>#N/A</v>
      </c>
      <c r="H2704" s="544"/>
    </row>
    <row r="2705" spans="3:8">
      <c r="C2705" s="545" t="e">
        <f>VLOOKUP(D2705,기본!$B$3:$C$90,2,0)</f>
        <v>#N/A</v>
      </c>
      <c r="G2705" t="e">
        <f>VLOOKUP(E2705,기본!$F$3:$G$320,2,0)</f>
        <v>#N/A</v>
      </c>
      <c r="H2705" s="544"/>
    </row>
    <row r="2706" spans="3:8">
      <c r="C2706" s="545" t="e">
        <f>VLOOKUP(D2706,기본!$B$3:$C$90,2,0)</f>
        <v>#N/A</v>
      </c>
      <c r="G2706" t="e">
        <f>VLOOKUP(E2706,기본!$F$3:$G$320,2,0)</f>
        <v>#N/A</v>
      </c>
      <c r="H2706" s="544"/>
    </row>
    <row r="2707" spans="3:8">
      <c r="C2707" s="545" t="e">
        <f>VLOOKUP(D2707,기본!$B$3:$C$90,2,0)</f>
        <v>#N/A</v>
      </c>
      <c r="G2707" t="e">
        <f>VLOOKUP(E2707,기본!$F$3:$G$320,2,0)</f>
        <v>#N/A</v>
      </c>
      <c r="H2707" s="544"/>
    </row>
    <row r="2708" spans="3:8">
      <c r="C2708" s="545" t="e">
        <f>VLOOKUP(D2708,기본!$B$3:$C$90,2,0)</f>
        <v>#N/A</v>
      </c>
      <c r="G2708" t="e">
        <f>VLOOKUP(E2708,기본!$F$3:$G$320,2,0)</f>
        <v>#N/A</v>
      </c>
      <c r="H2708" s="544"/>
    </row>
    <row r="2709" spans="3:8">
      <c r="C2709" s="545" t="e">
        <f>VLOOKUP(D2709,기본!$B$3:$C$90,2,0)</f>
        <v>#N/A</v>
      </c>
      <c r="G2709" t="e">
        <f>VLOOKUP(E2709,기본!$F$3:$G$320,2,0)</f>
        <v>#N/A</v>
      </c>
      <c r="H2709" s="544"/>
    </row>
    <row r="2710" spans="3:8">
      <c r="C2710" s="545" t="e">
        <f>VLOOKUP(D2710,기본!$B$3:$C$90,2,0)</f>
        <v>#N/A</v>
      </c>
      <c r="G2710" t="e">
        <f>VLOOKUP(E2710,기본!$F$3:$G$320,2,0)</f>
        <v>#N/A</v>
      </c>
      <c r="H2710" s="544"/>
    </row>
    <row r="2711" spans="3:8">
      <c r="C2711" s="545" t="e">
        <f>VLOOKUP(D2711,기본!$B$3:$C$90,2,0)</f>
        <v>#N/A</v>
      </c>
      <c r="G2711" t="e">
        <f>VLOOKUP(E2711,기본!$F$3:$G$320,2,0)</f>
        <v>#N/A</v>
      </c>
      <c r="H2711" s="544"/>
    </row>
    <row r="2712" spans="3:8">
      <c r="C2712" s="545" t="e">
        <f>VLOOKUP(D2712,기본!$B$3:$C$90,2,0)</f>
        <v>#N/A</v>
      </c>
      <c r="G2712" t="e">
        <f>VLOOKUP(E2712,기본!$F$3:$G$320,2,0)</f>
        <v>#N/A</v>
      </c>
      <c r="H2712" s="544"/>
    </row>
    <row r="2713" spans="3:8">
      <c r="C2713" s="545" t="e">
        <f>VLOOKUP(D2713,기본!$B$3:$C$90,2,0)</f>
        <v>#N/A</v>
      </c>
      <c r="G2713" t="e">
        <f>VLOOKUP(E2713,기본!$F$3:$G$320,2,0)</f>
        <v>#N/A</v>
      </c>
      <c r="H2713" s="544"/>
    </row>
    <row r="2714" spans="3:8">
      <c r="C2714" s="545" t="e">
        <f>VLOOKUP(D2714,기본!$B$3:$C$90,2,0)</f>
        <v>#N/A</v>
      </c>
      <c r="G2714" t="e">
        <f>VLOOKUP(E2714,기본!$F$3:$G$320,2,0)</f>
        <v>#N/A</v>
      </c>
      <c r="H2714" s="544"/>
    </row>
    <row r="2715" spans="3:8">
      <c r="C2715" s="545" t="e">
        <f>VLOOKUP(D2715,기본!$B$3:$C$90,2,0)</f>
        <v>#N/A</v>
      </c>
      <c r="G2715" t="e">
        <f>VLOOKUP(E2715,기본!$F$3:$G$320,2,0)</f>
        <v>#N/A</v>
      </c>
      <c r="H2715" s="544"/>
    </row>
    <row r="2716" spans="3:8">
      <c r="C2716" s="545" t="e">
        <f>VLOOKUP(D2716,기본!$B$3:$C$90,2,0)</f>
        <v>#N/A</v>
      </c>
      <c r="G2716" t="e">
        <f>VLOOKUP(E2716,기본!$F$3:$G$320,2,0)</f>
        <v>#N/A</v>
      </c>
      <c r="H2716" s="544"/>
    </row>
    <row r="2717" spans="3:8">
      <c r="C2717" s="545" t="e">
        <f>VLOOKUP(D2717,기본!$B$3:$C$90,2,0)</f>
        <v>#N/A</v>
      </c>
      <c r="G2717" t="e">
        <f>VLOOKUP(E2717,기본!$F$3:$G$320,2,0)</f>
        <v>#N/A</v>
      </c>
      <c r="H2717" s="544"/>
    </row>
    <row r="2718" spans="3:8">
      <c r="C2718" s="545" t="e">
        <f>VLOOKUP(D2718,기본!$B$3:$C$90,2,0)</f>
        <v>#N/A</v>
      </c>
      <c r="G2718" t="e">
        <f>VLOOKUP(E2718,기본!$F$3:$G$320,2,0)</f>
        <v>#N/A</v>
      </c>
      <c r="H2718" s="544"/>
    </row>
    <row r="2719" spans="3:8">
      <c r="C2719" s="545" t="e">
        <f>VLOOKUP(D2719,기본!$B$3:$C$90,2,0)</f>
        <v>#N/A</v>
      </c>
      <c r="G2719" t="e">
        <f>VLOOKUP(E2719,기본!$F$3:$G$320,2,0)</f>
        <v>#N/A</v>
      </c>
      <c r="H2719" s="544"/>
    </row>
    <row r="2720" spans="3:8">
      <c r="C2720" s="545" t="e">
        <f>VLOOKUP(D2720,기본!$B$3:$C$90,2,0)</f>
        <v>#N/A</v>
      </c>
      <c r="G2720" t="e">
        <f>VLOOKUP(E2720,기본!$F$3:$G$320,2,0)</f>
        <v>#N/A</v>
      </c>
      <c r="H2720" s="544"/>
    </row>
    <row r="2721" spans="3:8">
      <c r="C2721" s="545" t="e">
        <f>VLOOKUP(D2721,기본!$B$3:$C$90,2,0)</f>
        <v>#N/A</v>
      </c>
      <c r="G2721" t="e">
        <f>VLOOKUP(E2721,기본!$F$3:$G$320,2,0)</f>
        <v>#N/A</v>
      </c>
      <c r="H2721" s="544"/>
    </row>
    <row r="2722" spans="3:8">
      <c r="C2722" s="545" t="e">
        <f>VLOOKUP(D2722,기본!$B$3:$C$90,2,0)</f>
        <v>#N/A</v>
      </c>
      <c r="G2722" t="e">
        <f>VLOOKUP(E2722,기본!$F$3:$G$320,2,0)</f>
        <v>#N/A</v>
      </c>
      <c r="H2722" s="544"/>
    </row>
    <row r="2723" spans="3:8">
      <c r="C2723" s="545" t="e">
        <f>VLOOKUP(D2723,기본!$B$3:$C$90,2,0)</f>
        <v>#N/A</v>
      </c>
      <c r="G2723" t="e">
        <f>VLOOKUP(E2723,기본!$F$3:$G$320,2,0)</f>
        <v>#N/A</v>
      </c>
      <c r="H2723" s="544"/>
    </row>
    <row r="2724" spans="3:8">
      <c r="C2724" s="545" t="e">
        <f>VLOOKUP(D2724,기본!$B$3:$C$90,2,0)</f>
        <v>#N/A</v>
      </c>
      <c r="G2724" t="e">
        <f>VLOOKUP(E2724,기본!$F$3:$G$320,2,0)</f>
        <v>#N/A</v>
      </c>
      <c r="H2724" s="544"/>
    </row>
    <row r="2725" spans="3:8">
      <c r="C2725" s="545" t="e">
        <f>VLOOKUP(D2725,기본!$B$3:$C$90,2,0)</f>
        <v>#N/A</v>
      </c>
      <c r="G2725" t="e">
        <f>VLOOKUP(E2725,기본!$F$3:$G$320,2,0)</f>
        <v>#N/A</v>
      </c>
      <c r="H2725" s="544"/>
    </row>
    <row r="2726" spans="3:8">
      <c r="C2726" s="545" t="e">
        <f>VLOOKUP(D2726,기본!$B$3:$C$90,2,0)</f>
        <v>#N/A</v>
      </c>
      <c r="G2726" t="e">
        <f>VLOOKUP(E2726,기본!$F$3:$G$320,2,0)</f>
        <v>#N/A</v>
      </c>
      <c r="H2726" s="544"/>
    </row>
    <row r="2727" spans="3:8">
      <c r="C2727" s="545" t="e">
        <f>VLOOKUP(D2727,기본!$B$3:$C$90,2,0)</f>
        <v>#N/A</v>
      </c>
      <c r="G2727" t="e">
        <f>VLOOKUP(E2727,기본!$F$3:$G$320,2,0)</f>
        <v>#N/A</v>
      </c>
      <c r="H2727" s="544"/>
    </row>
    <row r="2728" spans="3:8">
      <c r="C2728" s="545" t="e">
        <f>VLOOKUP(D2728,기본!$B$3:$C$90,2,0)</f>
        <v>#N/A</v>
      </c>
      <c r="G2728" t="e">
        <f>VLOOKUP(E2728,기본!$F$3:$G$320,2,0)</f>
        <v>#N/A</v>
      </c>
      <c r="H2728" s="544"/>
    </row>
    <row r="2729" spans="3:8">
      <c r="C2729" s="545" t="e">
        <f>VLOOKUP(D2729,기본!$B$3:$C$90,2,0)</f>
        <v>#N/A</v>
      </c>
      <c r="G2729" t="e">
        <f>VLOOKUP(E2729,기본!$F$3:$G$320,2,0)</f>
        <v>#N/A</v>
      </c>
      <c r="H2729" s="544"/>
    </row>
    <row r="2730" spans="3:8">
      <c r="C2730" s="545" t="e">
        <f>VLOOKUP(D2730,기본!$B$3:$C$90,2,0)</f>
        <v>#N/A</v>
      </c>
      <c r="G2730" t="e">
        <f>VLOOKUP(E2730,기본!$F$3:$G$320,2,0)</f>
        <v>#N/A</v>
      </c>
      <c r="H2730" s="544"/>
    </row>
    <row r="2731" spans="3:8">
      <c r="C2731" s="545" t="e">
        <f>VLOOKUP(D2731,기본!$B$3:$C$90,2,0)</f>
        <v>#N/A</v>
      </c>
      <c r="G2731" t="e">
        <f>VLOOKUP(E2731,기본!$F$3:$G$320,2,0)</f>
        <v>#N/A</v>
      </c>
      <c r="H2731" s="544"/>
    </row>
    <row r="2732" spans="3:8">
      <c r="C2732" s="545" t="e">
        <f>VLOOKUP(D2732,기본!$B$3:$C$90,2,0)</f>
        <v>#N/A</v>
      </c>
      <c r="G2732" t="e">
        <f>VLOOKUP(E2732,기본!$F$3:$G$320,2,0)</f>
        <v>#N/A</v>
      </c>
      <c r="H2732" s="544"/>
    </row>
    <row r="2733" spans="3:8">
      <c r="C2733" s="545" t="e">
        <f>VLOOKUP(D2733,기본!$B$3:$C$90,2,0)</f>
        <v>#N/A</v>
      </c>
      <c r="G2733" t="e">
        <f>VLOOKUP(E2733,기본!$F$3:$G$320,2,0)</f>
        <v>#N/A</v>
      </c>
      <c r="H2733" s="544"/>
    </row>
    <row r="2734" spans="3:8">
      <c r="C2734" s="545" t="e">
        <f>VLOOKUP(D2734,기본!$B$3:$C$90,2,0)</f>
        <v>#N/A</v>
      </c>
      <c r="G2734" t="e">
        <f>VLOOKUP(E2734,기본!$F$3:$G$320,2,0)</f>
        <v>#N/A</v>
      </c>
      <c r="H2734" s="544"/>
    </row>
    <row r="2735" spans="3:8">
      <c r="C2735" s="545" t="e">
        <f>VLOOKUP(D2735,기본!$B$3:$C$90,2,0)</f>
        <v>#N/A</v>
      </c>
      <c r="G2735" t="e">
        <f>VLOOKUP(E2735,기본!$F$3:$G$320,2,0)</f>
        <v>#N/A</v>
      </c>
      <c r="H2735" s="544"/>
    </row>
    <row r="2736" spans="3:8">
      <c r="C2736" s="545" t="e">
        <f>VLOOKUP(D2736,기본!$B$3:$C$90,2,0)</f>
        <v>#N/A</v>
      </c>
      <c r="G2736" t="e">
        <f>VLOOKUP(E2736,기본!$F$3:$G$320,2,0)</f>
        <v>#N/A</v>
      </c>
      <c r="H2736" s="544"/>
    </row>
    <row r="2737" spans="3:8">
      <c r="C2737" s="545" t="e">
        <f>VLOOKUP(D2737,기본!$B$3:$C$90,2,0)</f>
        <v>#N/A</v>
      </c>
      <c r="G2737" t="e">
        <f>VLOOKUP(E2737,기본!$F$3:$G$320,2,0)</f>
        <v>#N/A</v>
      </c>
      <c r="H2737" s="544"/>
    </row>
    <row r="2738" spans="3:8">
      <c r="C2738" s="545" t="e">
        <f>VLOOKUP(D2738,기본!$B$3:$C$90,2,0)</f>
        <v>#N/A</v>
      </c>
      <c r="G2738" t="e">
        <f>VLOOKUP(E2738,기본!$F$3:$G$320,2,0)</f>
        <v>#N/A</v>
      </c>
      <c r="H2738" s="544"/>
    </row>
    <row r="2739" spans="3:8">
      <c r="C2739" s="545" t="e">
        <f>VLOOKUP(D2739,기본!$B$3:$C$90,2,0)</f>
        <v>#N/A</v>
      </c>
      <c r="G2739" t="e">
        <f>VLOOKUP(E2739,기본!$F$3:$G$320,2,0)</f>
        <v>#N/A</v>
      </c>
      <c r="H2739" s="544"/>
    </row>
    <row r="2740" spans="3:8">
      <c r="C2740" s="545" t="e">
        <f>VLOOKUP(D2740,기본!$B$3:$C$90,2,0)</f>
        <v>#N/A</v>
      </c>
      <c r="G2740" t="e">
        <f>VLOOKUP(E2740,기본!$F$3:$G$320,2,0)</f>
        <v>#N/A</v>
      </c>
      <c r="H2740" s="544"/>
    </row>
    <row r="2741" spans="3:8">
      <c r="C2741" s="545" t="e">
        <f>VLOOKUP(D2741,기본!$B$3:$C$90,2,0)</f>
        <v>#N/A</v>
      </c>
      <c r="G2741" t="e">
        <f>VLOOKUP(E2741,기본!$F$3:$G$320,2,0)</f>
        <v>#N/A</v>
      </c>
      <c r="H2741" s="544"/>
    </row>
    <row r="2742" spans="3:8">
      <c r="C2742" s="545" t="e">
        <f>VLOOKUP(D2742,기본!$B$3:$C$90,2,0)</f>
        <v>#N/A</v>
      </c>
      <c r="G2742" t="e">
        <f>VLOOKUP(E2742,기본!$F$3:$G$320,2,0)</f>
        <v>#N/A</v>
      </c>
      <c r="H2742" s="544"/>
    </row>
    <row r="2743" spans="3:8">
      <c r="C2743" s="545" t="e">
        <f>VLOOKUP(D2743,기본!$B$3:$C$90,2,0)</f>
        <v>#N/A</v>
      </c>
      <c r="G2743" t="e">
        <f>VLOOKUP(E2743,기본!$F$3:$G$320,2,0)</f>
        <v>#N/A</v>
      </c>
      <c r="H2743" s="544"/>
    </row>
    <row r="2744" spans="3:8">
      <c r="C2744" s="545" t="e">
        <f>VLOOKUP(D2744,기본!$B$3:$C$90,2,0)</f>
        <v>#N/A</v>
      </c>
      <c r="G2744" t="e">
        <f>VLOOKUP(E2744,기본!$F$3:$G$320,2,0)</f>
        <v>#N/A</v>
      </c>
      <c r="H2744" s="544"/>
    </row>
    <row r="2745" spans="3:8">
      <c r="C2745" s="545" t="e">
        <f>VLOOKUP(D2745,기본!$B$3:$C$90,2,0)</f>
        <v>#N/A</v>
      </c>
      <c r="G2745" t="e">
        <f>VLOOKUP(E2745,기본!$F$3:$G$320,2,0)</f>
        <v>#N/A</v>
      </c>
      <c r="H2745" s="544"/>
    </row>
    <row r="2746" spans="3:8">
      <c r="C2746" s="545" t="e">
        <f>VLOOKUP(D2746,기본!$B$3:$C$90,2,0)</f>
        <v>#N/A</v>
      </c>
      <c r="G2746" t="e">
        <f>VLOOKUP(E2746,기본!$F$3:$G$320,2,0)</f>
        <v>#N/A</v>
      </c>
      <c r="H2746" s="544"/>
    </row>
    <row r="2747" spans="3:8">
      <c r="C2747" s="545" t="e">
        <f>VLOOKUP(D2747,기본!$B$3:$C$90,2,0)</f>
        <v>#N/A</v>
      </c>
      <c r="G2747" t="e">
        <f>VLOOKUP(E2747,기본!$F$3:$G$320,2,0)</f>
        <v>#N/A</v>
      </c>
      <c r="H2747" s="544"/>
    </row>
    <row r="2748" spans="3:8">
      <c r="C2748" s="545" t="e">
        <f>VLOOKUP(D2748,기본!$B$3:$C$90,2,0)</f>
        <v>#N/A</v>
      </c>
      <c r="G2748" t="e">
        <f>VLOOKUP(E2748,기본!$F$3:$G$320,2,0)</f>
        <v>#N/A</v>
      </c>
      <c r="H2748" s="544"/>
    </row>
    <row r="2749" spans="3:8">
      <c r="C2749" s="545" t="e">
        <f>VLOOKUP(D2749,기본!$B$3:$C$90,2,0)</f>
        <v>#N/A</v>
      </c>
      <c r="G2749" t="e">
        <f>VLOOKUP(E2749,기본!$F$3:$G$320,2,0)</f>
        <v>#N/A</v>
      </c>
      <c r="H2749" s="544"/>
    </row>
    <row r="2750" spans="3:8">
      <c r="C2750" s="545" t="e">
        <f>VLOOKUP(D2750,기본!$B$3:$C$90,2,0)</f>
        <v>#N/A</v>
      </c>
      <c r="G2750" t="e">
        <f>VLOOKUP(E2750,기본!$F$3:$G$320,2,0)</f>
        <v>#N/A</v>
      </c>
      <c r="H2750" s="544"/>
    </row>
    <row r="2751" spans="3:8">
      <c r="C2751" s="545" t="e">
        <f>VLOOKUP(D2751,기본!$B$3:$C$90,2,0)</f>
        <v>#N/A</v>
      </c>
      <c r="G2751" t="e">
        <f>VLOOKUP(E2751,기본!$F$3:$G$320,2,0)</f>
        <v>#N/A</v>
      </c>
      <c r="H2751" s="544"/>
    </row>
    <row r="2752" spans="3:8">
      <c r="C2752" s="545" t="e">
        <f>VLOOKUP(D2752,기본!$B$3:$C$90,2,0)</f>
        <v>#N/A</v>
      </c>
      <c r="G2752" t="e">
        <f>VLOOKUP(E2752,기본!$F$3:$G$320,2,0)</f>
        <v>#N/A</v>
      </c>
      <c r="H2752" s="544"/>
    </row>
    <row r="2753" spans="3:8">
      <c r="C2753" s="545" t="e">
        <f>VLOOKUP(D2753,기본!$B$3:$C$90,2,0)</f>
        <v>#N/A</v>
      </c>
      <c r="G2753" t="e">
        <f>VLOOKUP(E2753,기본!$F$3:$G$320,2,0)</f>
        <v>#N/A</v>
      </c>
      <c r="H2753" s="544"/>
    </row>
    <row r="2754" spans="3:8">
      <c r="C2754" s="545" t="e">
        <f>VLOOKUP(D2754,기본!$B$3:$C$90,2,0)</f>
        <v>#N/A</v>
      </c>
      <c r="G2754" t="e">
        <f>VLOOKUP(E2754,기본!$F$3:$G$320,2,0)</f>
        <v>#N/A</v>
      </c>
      <c r="H2754" s="544"/>
    </row>
    <row r="2755" spans="3:8">
      <c r="C2755" s="545" t="e">
        <f>VLOOKUP(D2755,기본!$B$3:$C$90,2,0)</f>
        <v>#N/A</v>
      </c>
      <c r="G2755" t="e">
        <f>VLOOKUP(E2755,기본!$F$3:$G$320,2,0)</f>
        <v>#N/A</v>
      </c>
      <c r="H2755" s="544"/>
    </row>
    <row r="2756" spans="3:8">
      <c r="C2756" s="545" t="e">
        <f>VLOOKUP(D2756,기본!$B$3:$C$90,2,0)</f>
        <v>#N/A</v>
      </c>
      <c r="G2756" t="e">
        <f>VLOOKUP(E2756,기본!$F$3:$G$320,2,0)</f>
        <v>#N/A</v>
      </c>
      <c r="H2756" s="544"/>
    </row>
    <row r="2757" spans="3:8">
      <c r="C2757" s="545" t="e">
        <f>VLOOKUP(D2757,기본!$B$3:$C$90,2,0)</f>
        <v>#N/A</v>
      </c>
      <c r="G2757" t="e">
        <f>VLOOKUP(E2757,기본!$F$3:$G$320,2,0)</f>
        <v>#N/A</v>
      </c>
      <c r="H2757" s="544"/>
    </row>
    <row r="2758" spans="3:8">
      <c r="C2758" s="545" t="e">
        <f>VLOOKUP(D2758,기본!$B$3:$C$90,2,0)</f>
        <v>#N/A</v>
      </c>
      <c r="G2758" t="e">
        <f>VLOOKUP(E2758,기본!$F$3:$G$320,2,0)</f>
        <v>#N/A</v>
      </c>
      <c r="H2758" s="544"/>
    </row>
    <row r="2759" spans="3:8">
      <c r="C2759" s="545" t="e">
        <f>VLOOKUP(D2759,기본!$B$3:$C$90,2,0)</f>
        <v>#N/A</v>
      </c>
      <c r="G2759" t="e">
        <f>VLOOKUP(E2759,기본!$F$3:$G$320,2,0)</f>
        <v>#N/A</v>
      </c>
      <c r="H2759" s="544"/>
    </row>
    <row r="2760" spans="3:8">
      <c r="C2760" s="545" t="e">
        <f>VLOOKUP(D2760,기본!$B$3:$C$90,2,0)</f>
        <v>#N/A</v>
      </c>
      <c r="G2760" t="e">
        <f>VLOOKUP(E2760,기본!$F$3:$G$320,2,0)</f>
        <v>#N/A</v>
      </c>
      <c r="H2760" s="544"/>
    </row>
    <row r="2761" spans="3:8">
      <c r="C2761" s="545" t="e">
        <f>VLOOKUP(D2761,기본!$B$3:$C$90,2,0)</f>
        <v>#N/A</v>
      </c>
      <c r="G2761" t="e">
        <f>VLOOKUP(E2761,기본!$F$3:$G$320,2,0)</f>
        <v>#N/A</v>
      </c>
      <c r="H2761" s="544"/>
    </row>
    <row r="2762" spans="3:8">
      <c r="C2762" s="545" t="e">
        <f>VLOOKUP(D2762,기본!$B$3:$C$90,2,0)</f>
        <v>#N/A</v>
      </c>
      <c r="G2762" t="e">
        <f>VLOOKUP(E2762,기본!$F$3:$G$320,2,0)</f>
        <v>#N/A</v>
      </c>
      <c r="H2762" s="544"/>
    </row>
    <row r="2763" spans="3:8">
      <c r="C2763" s="545" t="e">
        <f>VLOOKUP(D2763,기본!$B$3:$C$90,2,0)</f>
        <v>#N/A</v>
      </c>
      <c r="G2763" t="e">
        <f>VLOOKUP(E2763,기본!$F$3:$G$320,2,0)</f>
        <v>#N/A</v>
      </c>
      <c r="H2763" s="544"/>
    </row>
    <row r="2764" spans="3:8">
      <c r="C2764" s="545" t="e">
        <f>VLOOKUP(D2764,기본!$B$3:$C$90,2,0)</f>
        <v>#N/A</v>
      </c>
      <c r="G2764" t="e">
        <f>VLOOKUP(E2764,기본!$F$3:$G$320,2,0)</f>
        <v>#N/A</v>
      </c>
      <c r="H2764" s="544"/>
    </row>
    <row r="2765" spans="3:8">
      <c r="C2765" s="545" t="e">
        <f>VLOOKUP(D2765,기본!$B$3:$C$90,2,0)</f>
        <v>#N/A</v>
      </c>
      <c r="G2765" t="e">
        <f>VLOOKUP(E2765,기본!$F$3:$G$320,2,0)</f>
        <v>#N/A</v>
      </c>
      <c r="H2765" s="544"/>
    </row>
    <row r="2766" spans="3:8">
      <c r="C2766" s="545" t="e">
        <f>VLOOKUP(D2766,기본!$B$3:$C$90,2,0)</f>
        <v>#N/A</v>
      </c>
      <c r="G2766" t="e">
        <f>VLOOKUP(E2766,기본!$F$3:$G$320,2,0)</f>
        <v>#N/A</v>
      </c>
      <c r="H2766" s="544"/>
    </row>
    <row r="2767" spans="3:8">
      <c r="C2767" s="545" t="e">
        <f>VLOOKUP(D2767,기본!$B$3:$C$90,2,0)</f>
        <v>#N/A</v>
      </c>
      <c r="G2767" t="e">
        <f>VLOOKUP(E2767,기본!$F$3:$G$320,2,0)</f>
        <v>#N/A</v>
      </c>
      <c r="H2767" s="544"/>
    </row>
    <row r="2768" spans="3:8">
      <c r="C2768" s="545" t="e">
        <f>VLOOKUP(D2768,기본!$B$3:$C$90,2,0)</f>
        <v>#N/A</v>
      </c>
      <c r="G2768" t="e">
        <f>VLOOKUP(E2768,기본!$F$3:$G$320,2,0)</f>
        <v>#N/A</v>
      </c>
      <c r="H2768" s="544"/>
    </row>
    <row r="2769" spans="3:8">
      <c r="C2769" s="545" t="e">
        <f>VLOOKUP(D2769,기본!$B$3:$C$90,2,0)</f>
        <v>#N/A</v>
      </c>
      <c r="G2769" t="e">
        <f>VLOOKUP(E2769,기본!$F$3:$G$320,2,0)</f>
        <v>#N/A</v>
      </c>
      <c r="H2769" s="544"/>
    </row>
    <row r="2770" spans="3:8">
      <c r="C2770" s="545" t="e">
        <f>VLOOKUP(D2770,기본!$B$3:$C$90,2,0)</f>
        <v>#N/A</v>
      </c>
      <c r="G2770" t="e">
        <f>VLOOKUP(E2770,기본!$F$3:$G$320,2,0)</f>
        <v>#N/A</v>
      </c>
      <c r="H2770" s="544"/>
    </row>
    <row r="2771" spans="3:8">
      <c r="C2771" s="545" t="e">
        <f>VLOOKUP(D2771,기본!$B$3:$C$90,2,0)</f>
        <v>#N/A</v>
      </c>
      <c r="G2771" t="e">
        <f>VLOOKUP(E2771,기본!$F$3:$G$320,2,0)</f>
        <v>#N/A</v>
      </c>
      <c r="H2771" s="544"/>
    </row>
    <row r="2772" spans="3:8">
      <c r="C2772" s="545" t="e">
        <f>VLOOKUP(D2772,기본!$B$3:$C$90,2,0)</f>
        <v>#N/A</v>
      </c>
      <c r="G2772" t="e">
        <f>VLOOKUP(E2772,기본!$F$3:$G$320,2,0)</f>
        <v>#N/A</v>
      </c>
      <c r="H2772" s="544"/>
    </row>
    <row r="2773" spans="3:8">
      <c r="C2773" s="545" t="e">
        <f>VLOOKUP(D2773,기본!$B$3:$C$90,2,0)</f>
        <v>#N/A</v>
      </c>
      <c r="G2773" t="e">
        <f>VLOOKUP(E2773,기본!$F$3:$G$320,2,0)</f>
        <v>#N/A</v>
      </c>
      <c r="H2773" s="544"/>
    </row>
    <row r="2774" spans="3:8">
      <c r="C2774" s="545" t="e">
        <f>VLOOKUP(D2774,기본!$B$3:$C$90,2,0)</f>
        <v>#N/A</v>
      </c>
      <c r="G2774" t="e">
        <f>VLOOKUP(E2774,기본!$F$3:$G$320,2,0)</f>
        <v>#N/A</v>
      </c>
      <c r="H2774" s="544"/>
    </row>
    <row r="2775" spans="3:8">
      <c r="C2775" s="545" t="e">
        <f>VLOOKUP(D2775,기본!$B$3:$C$90,2,0)</f>
        <v>#N/A</v>
      </c>
      <c r="G2775" t="e">
        <f>VLOOKUP(E2775,기본!$F$3:$G$320,2,0)</f>
        <v>#N/A</v>
      </c>
      <c r="H2775" s="544"/>
    </row>
    <row r="2776" spans="3:8">
      <c r="C2776" s="545" t="e">
        <f>VLOOKUP(D2776,기본!$B$3:$C$90,2,0)</f>
        <v>#N/A</v>
      </c>
      <c r="G2776" t="e">
        <f>VLOOKUP(E2776,기본!$F$3:$G$320,2,0)</f>
        <v>#N/A</v>
      </c>
      <c r="H2776" s="544"/>
    </row>
    <row r="2777" spans="3:8">
      <c r="C2777" s="545" t="e">
        <f>VLOOKUP(D2777,기본!$B$3:$C$90,2,0)</f>
        <v>#N/A</v>
      </c>
      <c r="G2777" t="e">
        <f>VLOOKUP(E2777,기본!$F$3:$G$320,2,0)</f>
        <v>#N/A</v>
      </c>
      <c r="H2777" s="544"/>
    </row>
    <row r="2778" spans="3:8">
      <c r="C2778" s="545" t="e">
        <f>VLOOKUP(D2778,기본!$B$3:$C$90,2,0)</f>
        <v>#N/A</v>
      </c>
      <c r="G2778" t="e">
        <f>VLOOKUP(E2778,기본!$F$3:$G$320,2,0)</f>
        <v>#N/A</v>
      </c>
      <c r="H2778" s="544"/>
    </row>
    <row r="2779" spans="3:8">
      <c r="C2779" s="545" t="e">
        <f>VLOOKUP(D2779,기본!$B$3:$C$90,2,0)</f>
        <v>#N/A</v>
      </c>
      <c r="G2779" t="e">
        <f>VLOOKUP(E2779,기본!$F$3:$G$320,2,0)</f>
        <v>#N/A</v>
      </c>
      <c r="H2779" s="544"/>
    </row>
    <row r="2780" spans="3:8">
      <c r="C2780" s="545" t="e">
        <f>VLOOKUP(D2780,기본!$B$3:$C$90,2,0)</f>
        <v>#N/A</v>
      </c>
      <c r="G2780" t="e">
        <f>VLOOKUP(E2780,기본!$F$3:$G$320,2,0)</f>
        <v>#N/A</v>
      </c>
      <c r="H2780" s="544"/>
    </row>
    <row r="2781" spans="3:8">
      <c r="C2781" s="545" t="e">
        <f>VLOOKUP(D2781,기본!$B$3:$C$90,2,0)</f>
        <v>#N/A</v>
      </c>
      <c r="G2781" t="e">
        <f>VLOOKUP(E2781,기본!$F$3:$G$320,2,0)</f>
        <v>#N/A</v>
      </c>
      <c r="H2781" s="544"/>
    </row>
    <row r="2782" spans="3:8">
      <c r="C2782" s="545" t="e">
        <f>VLOOKUP(D2782,기본!$B$3:$C$90,2,0)</f>
        <v>#N/A</v>
      </c>
      <c r="G2782" t="e">
        <f>VLOOKUP(E2782,기본!$F$3:$G$320,2,0)</f>
        <v>#N/A</v>
      </c>
      <c r="H2782" s="544"/>
    </row>
    <row r="2783" spans="3:8">
      <c r="C2783" s="545" t="e">
        <f>VLOOKUP(D2783,기본!$B$3:$C$90,2,0)</f>
        <v>#N/A</v>
      </c>
      <c r="G2783" t="e">
        <f>VLOOKUP(E2783,기본!$F$3:$G$320,2,0)</f>
        <v>#N/A</v>
      </c>
      <c r="H2783" s="544"/>
    </row>
    <row r="2784" spans="3:8">
      <c r="C2784" s="545" t="e">
        <f>VLOOKUP(D2784,기본!$B$3:$C$90,2,0)</f>
        <v>#N/A</v>
      </c>
      <c r="G2784" t="e">
        <f>VLOOKUP(E2784,기본!$F$3:$G$320,2,0)</f>
        <v>#N/A</v>
      </c>
      <c r="H2784" s="544"/>
    </row>
    <row r="2785" spans="3:8">
      <c r="C2785" s="545" t="e">
        <f>VLOOKUP(D2785,기본!$B$3:$C$90,2,0)</f>
        <v>#N/A</v>
      </c>
      <c r="G2785" t="e">
        <f>VLOOKUP(E2785,기본!$F$3:$G$320,2,0)</f>
        <v>#N/A</v>
      </c>
      <c r="H2785" s="544"/>
    </row>
    <row r="2786" spans="3:8">
      <c r="C2786" s="545" t="e">
        <f>VLOOKUP(D2786,기본!$B$3:$C$90,2,0)</f>
        <v>#N/A</v>
      </c>
      <c r="G2786" t="e">
        <f>VLOOKUP(E2786,기본!$F$3:$G$320,2,0)</f>
        <v>#N/A</v>
      </c>
      <c r="H2786" s="544"/>
    </row>
    <row r="2787" spans="3:8">
      <c r="C2787" s="545" t="e">
        <f>VLOOKUP(D2787,기본!$B$3:$C$90,2,0)</f>
        <v>#N/A</v>
      </c>
      <c r="G2787" t="e">
        <f>VLOOKUP(E2787,기본!$F$3:$G$320,2,0)</f>
        <v>#N/A</v>
      </c>
      <c r="H2787" s="544"/>
    </row>
    <row r="2788" spans="3:8">
      <c r="C2788" s="545" t="e">
        <f>VLOOKUP(D2788,기본!$B$3:$C$90,2,0)</f>
        <v>#N/A</v>
      </c>
      <c r="G2788" t="e">
        <f>VLOOKUP(E2788,기본!$F$3:$G$320,2,0)</f>
        <v>#N/A</v>
      </c>
      <c r="H2788" s="544"/>
    </row>
    <row r="2789" spans="3:8">
      <c r="C2789" s="545" t="e">
        <f>VLOOKUP(D2789,기본!$B$3:$C$90,2,0)</f>
        <v>#N/A</v>
      </c>
      <c r="G2789" t="e">
        <f>VLOOKUP(E2789,기본!$F$3:$G$320,2,0)</f>
        <v>#N/A</v>
      </c>
      <c r="H2789" s="544"/>
    </row>
    <row r="2790" spans="3:8">
      <c r="C2790" s="545" t="e">
        <f>VLOOKUP(D2790,기본!$B$3:$C$90,2,0)</f>
        <v>#N/A</v>
      </c>
      <c r="G2790" t="e">
        <f>VLOOKUP(E2790,기본!$F$3:$G$320,2,0)</f>
        <v>#N/A</v>
      </c>
      <c r="H2790" s="544"/>
    </row>
    <row r="2791" spans="3:8">
      <c r="C2791" s="545" t="e">
        <f>VLOOKUP(D2791,기본!$B$3:$C$90,2,0)</f>
        <v>#N/A</v>
      </c>
      <c r="G2791" t="e">
        <f>VLOOKUP(E2791,기본!$F$3:$G$320,2,0)</f>
        <v>#N/A</v>
      </c>
      <c r="H2791" s="544"/>
    </row>
    <row r="2792" spans="3:8">
      <c r="C2792" s="545" t="e">
        <f>VLOOKUP(D2792,기본!$B$3:$C$90,2,0)</f>
        <v>#N/A</v>
      </c>
      <c r="G2792" t="e">
        <f>VLOOKUP(E2792,기본!$F$3:$G$320,2,0)</f>
        <v>#N/A</v>
      </c>
      <c r="H2792" s="544"/>
    </row>
    <row r="2793" spans="3:8">
      <c r="C2793" s="545" t="e">
        <f>VLOOKUP(D2793,기본!$B$3:$C$90,2,0)</f>
        <v>#N/A</v>
      </c>
      <c r="G2793" t="e">
        <f>VLOOKUP(E2793,기본!$F$3:$G$320,2,0)</f>
        <v>#N/A</v>
      </c>
      <c r="H2793" s="544"/>
    </row>
    <row r="2794" spans="3:8">
      <c r="C2794" s="545" t="e">
        <f>VLOOKUP(D2794,기본!$B$3:$C$90,2,0)</f>
        <v>#N/A</v>
      </c>
      <c r="G2794" t="e">
        <f>VLOOKUP(E2794,기본!$F$3:$G$320,2,0)</f>
        <v>#N/A</v>
      </c>
      <c r="H2794" s="544"/>
    </row>
    <row r="2795" spans="3:8">
      <c r="C2795" s="545" t="e">
        <f>VLOOKUP(D2795,기본!$B$3:$C$90,2,0)</f>
        <v>#N/A</v>
      </c>
      <c r="G2795" t="e">
        <f>VLOOKUP(E2795,기본!$F$3:$G$320,2,0)</f>
        <v>#N/A</v>
      </c>
      <c r="H2795" s="544"/>
    </row>
    <row r="2796" spans="3:8">
      <c r="C2796" s="545" t="e">
        <f>VLOOKUP(D2796,기본!$B$3:$C$90,2,0)</f>
        <v>#N/A</v>
      </c>
      <c r="G2796" t="e">
        <f>VLOOKUP(E2796,기본!$F$3:$G$320,2,0)</f>
        <v>#N/A</v>
      </c>
      <c r="H2796" s="544"/>
    </row>
    <row r="2797" spans="3:8">
      <c r="C2797" s="545" t="e">
        <f>VLOOKUP(D2797,기본!$B$3:$C$90,2,0)</f>
        <v>#N/A</v>
      </c>
      <c r="G2797" t="e">
        <f>VLOOKUP(E2797,기본!$F$3:$G$320,2,0)</f>
        <v>#N/A</v>
      </c>
      <c r="H2797" s="544"/>
    </row>
    <row r="2798" spans="3:8">
      <c r="C2798" s="545" t="e">
        <f>VLOOKUP(D2798,기본!$B$3:$C$90,2,0)</f>
        <v>#N/A</v>
      </c>
      <c r="G2798" t="e">
        <f>VLOOKUP(E2798,기본!$F$3:$G$320,2,0)</f>
        <v>#N/A</v>
      </c>
      <c r="H2798" s="544"/>
    </row>
    <row r="2799" spans="3:8">
      <c r="C2799" s="545" t="e">
        <f>VLOOKUP(D2799,기본!$B$3:$C$90,2,0)</f>
        <v>#N/A</v>
      </c>
      <c r="G2799" t="e">
        <f>VLOOKUP(E2799,기본!$F$3:$G$320,2,0)</f>
        <v>#N/A</v>
      </c>
      <c r="H2799" s="544"/>
    </row>
    <row r="2800" spans="3:8">
      <c r="C2800" s="545" t="e">
        <f>VLOOKUP(D2800,기본!$B$3:$C$90,2,0)</f>
        <v>#N/A</v>
      </c>
      <c r="G2800" t="e">
        <f>VLOOKUP(E2800,기본!$F$3:$G$320,2,0)</f>
        <v>#N/A</v>
      </c>
      <c r="H2800" s="544"/>
    </row>
    <row r="2801" spans="3:8">
      <c r="C2801" s="545" t="e">
        <f>VLOOKUP(D2801,기본!$B$3:$C$90,2,0)</f>
        <v>#N/A</v>
      </c>
      <c r="G2801" t="e">
        <f>VLOOKUP(E2801,기본!$F$3:$G$320,2,0)</f>
        <v>#N/A</v>
      </c>
      <c r="H2801" s="544"/>
    </row>
    <row r="2802" spans="3:8">
      <c r="C2802" s="545" t="e">
        <f>VLOOKUP(D2802,기본!$B$3:$C$90,2,0)</f>
        <v>#N/A</v>
      </c>
      <c r="G2802" t="e">
        <f>VLOOKUP(E2802,기본!$F$3:$G$320,2,0)</f>
        <v>#N/A</v>
      </c>
      <c r="H2802" s="544"/>
    </row>
    <row r="2803" spans="3:8">
      <c r="C2803" s="545" t="e">
        <f>VLOOKUP(D2803,기본!$B$3:$C$90,2,0)</f>
        <v>#N/A</v>
      </c>
      <c r="G2803" t="e">
        <f>VLOOKUP(E2803,기본!$F$3:$G$320,2,0)</f>
        <v>#N/A</v>
      </c>
      <c r="H2803" s="544"/>
    </row>
    <row r="2804" spans="3:8">
      <c r="C2804" s="545" t="e">
        <f>VLOOKUP(D2804,기본!$B$3:$C$90,2,0)</f>
        <v>#N/A</v>
      </c>
      <c r="G2804" t="e">
        <f>VLOOKUP(E2804,기본!$F$3:$G$320,2,0)</f>
        <v>#N/A</v>
      </c>
      <c r="H2804" s="544"/>
    </row>
    <row r="2805" spans="3:8">
      <c r="C2805" s="545" t="e">
        <f>VLOOKUP(D2805,기본!$B$3:$C$90,2,0)</f>
        <v>#N/A</v>
      </c>
      <c r="G2805" t="e">
        <f>VLOOKUP(E2805,기본!$F$3:$G$320,2,0)</f>
        <v>#N/A</v>
      </c>
      <c r="H2805" s="544"/>
    </row>
    <row r="2806" spans="3:8">
      <c r="C2806" s="545" t="e">
        <f>VLOOKUP(D2806,기본!$B$3:$C$90,2,0)</f>
        <v>#N/A</v>
      </c>
      <c r="G2806" t="e">
        <f>VLOOKUP(E2806,기본!$F$3:$G$320,2,0)</f>
        <v>#N/A</v>
      </c>
      <c r="H2806" s="544"/>
    </row>
    <row r="2807" spans="3:8">
      <c r="C2807" s="545" t="e">
        <f>VLOOKUP(D2807,기본!$B$3:$C$90,2,0)</f>
        <v>#N/A</v>
      </c>
      <c r="G2807" t="e">
        <f>VLOOKUP(E2807,기본!$F$3:$G$320,2,0)</f>
        <v>#N/A</v>
      </c>
      <c r="H2807" s="544"/>
    </row>
    <row r="2808" spans="3:8">
      <c r="C2808" s="545" t="e">
        <f>VLOOKUP(D2808,기본!$B$3:$C$90,2,0)</f>
        <v>#N/A</v>
      </c>
      <c r="G2808" t="e">
        <f>VLOOKUP(E2808,기본!$F$3:$G$320,2,0)</f>
        <v>#N/A</v>
      </c>
      <c r="H2808" s="544"/>
    </row>
    <row r="2809" spans="3:8">
      <c r="C2809" s="545" t="e">
        <f>VLOOKUP(D2809,기본!$B$3:$C$90,2,0)</f>
        <v>#N/A</v>
      </c>
      <c r="G2809" t="e">
        <f>VLOOKUP(E2809,기본!$F$3:$G$320,2,0)</f>
        <v>#N/A</v>
      </c>
      <c r="H2809" s="544"/>
    </row>
    <row r="2810" spans="3:8">
      <c r="C2810" s="545" t="e">
        <f>VLOOKUP(D2810,기본!$B$3:$C$90,2,0)</f>
        <v>#N/A</v>
      </c>
      <c r="G2810" t="e">
        <f>VLOOKUP(E2810,기본!$F$3:$G$320,2,0)</f>
        <v>#N/A</v>
      </c>
      <c r="H2810" s="544"/>
    </row>
    <row r="2811" spans="3:8">
      <c r="C2811" s="545" t="e">
        <f>VLOOKUP(D2811,기본!$B$3:$C$90,2,0)</f>
        <v>#N/A</v>
      </c>
      <c r="G2811" t="e">
        <f>VLOOKUP(E2811,기본!$F$3:$G$320,2,0)</f>
        <v>#N/A</v>
      </c>
      <c r="H2811" s="544"/>
    </row>
    <row r="2812" spans="3:8">
      <c r="C2812" s="545" t="e">
        <f>VLOOKUP(D2812,기본!$B$3:$C$90,2,0)</f>
        <v>#N/A</v>
      </c>
      <c r="G2812" t="e">
        <f>VLOOKUP(E2812,기본!$F$3:$G$320,2,0)</f>
        <v>#N/A</v>
      </c>
      <c r="H2812" s="544"/>
    </row>
    <row r="2813" spans="3:8">
      <c r="C2813" s="545" t="e">
        <f>VLOOKUP(D2813,기본!$B$3:$C$90,2,0)</f>
        <v>#N/A</v>
      </c>
      <c r="G2813" t="e">
        <f>VLOOKUP(E2813,기본!$F$3:$G$320,2,0)</f>
        <v>#N/A</v>
      </c>
      <c r="H2813" s="544"/>
    </row>
    <row r="2814" spans="3:8">
      <c r="C2814" s="545" t="e">
        <f>VLOOKUP(D2814,기본!$B$3:$C$90,2,0)</f>
        <v>#N/A</v>
      </c>
      <c r="G2814" t="e">
        <f>VLOOKUP(E2814,기본!$F$3:$G$320,2,0)</f>
        <v>#N/A</v>
      </c>
      <c r="H2814" s="544"/>
    </row>
    <row r="2815" spans="3:8">
      <c r="C2815" s="545" t="e">
        <f>VLOOKUP(D2815,기본!$B$3:$C$90,2,0)</f>
        <v>#N/A</v>
      </c>
      <c r="G2815" t="e">
        <f>VLOOKUP(E2815,기본!$F$3:$G$320,2,0)</f>
        <v>#N/A</v>
      </c>
      <c r="H2815" s="544"/>
    </row>
    <row r="2816" spans="3:8">
      <c r="C2816" s="545" t="e">
        <f>VLOOKUP(D2816,기본!$B$3:$C$90,2,0)</f>
        <v>#N/A</v>
      </c>
      <c r="G2816" t="e">
        <f>VLOOKUP(E2816,기본!$F$3:$G$320,2,0)</f>
        <v>#N/A</v>
      </c>
      <c r="H2816" s="544"/>
    </row>
    <row r="2817" spans="3:8">
      <c r="C2817" s="545" t="e">
        <f>VLOOKUP(D2817,기본!$B$3:$C$90,2,0)</f>
        <v>#N/A</v>
      </c>
      <c r="G2817" t="e">
        <f>VLOOKUP(E2817,기본!$F$3:$G$320,2,0)</f>
        <v>#N/A</v>
      </c>
      <c r="H2817" s="544"/>
    </row>
    <row r="2818" spans="3:8">
      <c r="C2818" s="545" t="e">
        <f>VLOOKUP(D2818,기본!$B$3:$C$90,2,0)</f>
        <v>#N/A</v>
      </c>
      <c r="G2818" t="e">
        <f>VLOOKUP(E2818,기본!$F$3:$G$320,2,0)</f>
        <v>#N/A</v>
      </c>
      <c r="H2818" s="544"/>
    </row>
    <row r="2819" spans="3:8">
      <c r="C2819" s="545" t="e">
        <f>VLOOKUP(D2819,기본!$B$3:$C$90,2,0)</f>
        <v>#N/A</v>
      </c>
      <c r="G2819" t="e">
        <f>VLOOKUP(E2819,기본!$F$3:$G$320,2,0)</f>
        <v>#N/A</v>
      </c>
      <c r="H2819" s="544"/>
    </row>
    <row r="2820" spans="3:8">
      <c r="C2820" s="545" t="e">
        <f>VLOOKUP(D2820,기본!$B$3:$C$90,2,0)</f>
        <v>#N/A</v>
      </c>
      <c r="G2820" t="e">
        <f>VLOOKUP(E2820,기본!$F$3:$G$320,2,0)</f>
        <v>#N/A</v>
      </c>
      <c r="H2820" s="544"/>
    </row>
    <row r="2821" spans="3:8">
      <c r="C2821" s="545" t="e">
        <f>VLOOKUP(D2821,기본!$B$3:$C$90,2,0)</f>
        <v>#N/A</v>
      </c>
      <c r="G2821" t="e">
        <f>VLOOKUP(E2821,기본!$F$3:$G$320,2,0)</f>
        <v>#N/A</v>
      </c>
      <c r="H2821" s="544"/>
    </row>
    <row r="2822" spans="3:8">
      <c r="C2822" s="545" t="e">
        <f>VLOOKUP(D2822,기본!$B$3:$C$90,2,0)</f>
        <v>#N/A</v>
      </c>
      <c r="G2822" t="e">
        <f>VLOOKUP(E2822,기본!$F$3:$G$320,2,0)</f>
        <v>#N/A</v>
      </c>
      <c r="H2822" s="544"/>
    </row>
    <row r="2823" spans="3:8">
      <c r="C2823" s="545" t="e">
        <f>VLOOKUP(D2823,기본!$B$3:$C$90,2,0)</f>
        <v>#N/A</v>
      </c>
      <c r="G2823" t="e">
        <f>VLOOKUP(E2823,기본!$F$3:$G$320,2,0)</f>
        <v>#N/A</v>
      </c>
      <c r="H2823" s="544"/>
    </row>
    <row r="2824" spans="3:8">
      <c r="C2824" s="545" t="e">
        <f>VLOOKUP(D2824,기본!$B$3:$C$90,2,0)</f>
        <v>#N/A</v>
      </c>
      <c r="G2824" t="e">
        <f>VLOOKUP(E2824,기본!$F$3:$G$320,2,0)</f>
        <v>#N/A</v>
      </c>
      <c r="H2824" s="544"/>
    </row>
    <row r="2825" spans="3:8">
      <c r="C2825" s="545" t="e">
        <f>VLOOKUP(D2825,기본!$B$3:$C$90,2,0)</f>
        <v>#N/A</v>
      </c>
      <c r="G2825" t="e">
        <f>VLOOKUP(E2825,기본!$F$3:$G$320,2,0)</f>
        <v>#N/A</v>
      </c>
      <c r="H2825" s="544"/>
    </row>
    <row r="2826" spans="3:8">
      <c r="C2826" s="545" t="e">
        <f>VLOOKUP(D2826,기본!$B$3:$C$90,2,0)</f>
        <v>#N/A</v>
      </c>
      <c r="G2826" t="e">
        <f>VLOOKUP(E2826,기본!$F$3:$G$320,2,0)</f>
        <v>#N/A</v>
      </c>
      <c r="H2826" s="544"/>
    </row>
    <row r="2827" spans="3:8">
      <c r="C2827" s="545" t="e">
        <f>VLOOKUP(D2827,기본!$B$3:$C$90,2,0)</f>
        <v>#N/A</v>
      </c>
      <c r="G2827" t="e">
        <f>VLOOKUP(E2827,기본!$F$3:$G$320,2,0)</f>
        <v>#N/A</v>
      </c>
      <c r="H2827" s="544"/>
    </row>
    <row r="2828" spans="3:8">
      <c r="C2828" s="545" t="e">
        <f>VLOOKUP(D2828,기본!$B$3:$C$90,2,0)</f>
        <v>#N/A</v>
      </c>
      <c r="G2828" t="e">
        <f>VLOOKUP(E2828,기본!$F$3:$G$320,2,0)</f>
        <v>#N/A</v>
      </c>
      <c r="H2828" s="544"/>
    </row>
    <row r="2829" spans="3:8">
      <c r="C2829" s="545" t="e">
        <f>VLOOKUP(D2829,기본!$B$3:$C$90,2,0)</f>
        <v>#N/A</v>
      </c>
      <c r="G2829" t="e">
        <f>VLOOKUP(E2829,기본!$F$3:$G$320,2,0)</f>
        <v>#N/A</v>
      </c>
      <c r="H2829" s="544"/>
    </row>
    <row r="2830" spans="3:8">
      <c r="C2830" s="545" t="e">
        <f>VLOOKUP(D2830,기본!$B$3:$C$90,2,0)</f>
        <v>#N/A</v>
      </c>
      <c r="G2830" t="e">
        <f>VLOOKUP(E2830,기본!$F$3:$G$320,2,0)</f>
        <v>#N/A</v>
      </c>
      <c r="H2830" s="544"/>
    </row>
    <row r="2831" spans="3:8">
      <c r="C2831" s="545" t="e">
        <f>VLOOKUP(D2831,기본!$B$3:$C$90,2,0)</f>
        <v>#N/A</v>
      </c>
      <c r="G2831" t="e">
        <f>VLOOKUP(E2831,기본!$F$3:$G$320,2,0)</f>
        <v>#N/A</v>
      </c>
      <c r="H2831" s="544"/>
    </row>
    <row r="2832" spans="3:8">
      <c r="C2832" s="545" t="e">
        <f>VLOOKUP(D2832,기본!$B$3:$C$90,2,0)</f>
        <v>#N/A</v>
      </c>
      <c r="G2832" t="e">
        <f>VLOOKUP(E2832,기본!$F$3:$G$320,2,0)</f>
        <v>#N/A</v>
      </c>
      <c r="H2832" s="544"/>
    </row>
    <row r="2833" spans="3:8">
      <c r="C2833" s="545" t="e">
        <f>VLOOKUP(D2833,기본!$B$3:$C$90,2,0)</f>
        <v>#N/A</v>
      </c>
      <c r="G2833" t="e">
        <f>VLOOKUP(E2833,기본!$F$3:$G$320,2,0)</f>
        <v>#N/A</v>
      </c>
      <c r="H2833" s="544"/>
    </row>
    <row r="2834" spans="3:8">
      <c r="C2834" s="545" t="e">
        <f>VLOOKUP(D2834,기본!$B$3:$C$90,2,0)</f>
        <v>#N/A</v>
      </c>
      <c r="G2834" t="e">
        <f>VLOOKUP(E2834,기본!$F$3:$G$320,2,0)</f>
        <v>#N/A</v>
      </c>
      <c r="H2834" s="544"/>
    </row>
    <row r="2835" spans="3:8">
      <c r="C2835" s="545" t="e">
        <f>VLOOKUP(D2835,기본!$B$3:$C$90,2,0)</f>
        <v>#N/A</v>
      </c>
      <c r="G2835" t="e">
        <f>VLOOKUP(E2835,기본!$F$3:$G$320,2,0)</f>
        <v>#N/A</v>
      </c>
      <c r="H2835" s="544"/>
    </row>
    <row r="2836" spans="3:8">
      <c r="C2836" s="545" t="e">
        <f>VLOOKUP(D2836,기본!$B$3:$C$90,2,0)</f>
        <v>#N/A</v>
      </c>
      <c r="G2836" t="e">
        <f>VLOOKUP(E2836,기본!$F$3:$G$320,2,0)</f>
        <v>#N/A</v>
      </c>
      <c r="H2836" s="544"/>
    </row>
    <row r="2837" spans="3:8">
      <c r="C2837" s="545" t="e">
        <f>VLOOKUP(D2837,기본!$B$3:$C$90,2,0)</f>
        <v>#N/A</v>
      </c>
      <c r="G2837" t="e">
        <f>VLOOKUP(E2837,기본!$F$3:$G$320,2,0)</f>
        <v>#N/A</v>
      </c>
      <c r="H2837" s="544"/>
    </row>
    <row r="2838" spans="3:8">
      <c r="C2838" s="545" t="e">
        <f>VLOOKUP(D2838,기본!$B$3:$C$90,2,0)</f>
        <v>#N/A</v>
      </c>
      <c r="G2838" t="e">
        <f>VLOOKUP(E2838,기본!$F$3:$G$320,2,0)</f>
        <v>#N/A</v>
      </c>
      <c r="H2838" s="544"/>
    </row>
    <row r="2839" spans="3:8">
      <c r="C2839" s="545" t="e">
        <f>VLOOKUP(D2839,기본!$B$3:$C$90,2,0)</f>
        <v>#N/A</v>
      </c>
      <c r="G2839" t="e">
        <f>VLOOKUP(E2839,기본!$F$3:$G$320,2,0)</f>
        <v>#N/A</v>
      </c>
      <c r="H2839" s="544"/>
    </row>
    <row r="2840" spans="3:8">
      <c r="C2840" s="545" t="e">
        <f>VLOOKUP(D2840,기본!$B$3:$C$90,2,0)</f>
        <v>#N/A</v>
      </c>
      <c r="G2840" t="e">
        <f>VLOOKUP(E2840,기본!$F$3:$G$320,2,0)</f>
        <v>#N/A</v>
      </c>
      <c r="H2840" s="544"/>
    </row>
    <row r="2841" spans="3:8">
      <c r="C2841" s="545" t="e">
        <f>VLOOKUP(D2841,기본!$B$3:$C$90,2,0)</f>
        <v>#N/A</v>
      </c>
      <c r="G2841" t="e">
        <f>VLOOKUP(E2841,기본!$F$3:$G$320,2,0)</f>
        <v>#N/A</v>
      </c>
      <c r="H2841" s="544"/>
    </row>
    <row r="2842" spans="3:8">
      <c r="C2842" s="545" t="e">
        <f>VLOOKUP(D2842,기본!$B$3:$C$90,2,0)</f>
        <v>#N/A</v>
      </c>
      <c r="G2842" t="e">
        <f>VLOOKUP(E2842,기본!$F$3:$G$320,2,0)</f>
        <v>#N/A</v>
      </c>
      <c r="H2842" s="544"/>
    </row>
    <row r="2843" spans="3:8">
      <c r="C2843" s="545" t="e">
        <f>VLOOKUP(D2843,기본!$B$3:$C$90,2,0)</f>
        <v>#N/A</v>
      </c>
      <c r="G2843" t="e">
        <f>VLOOKUP(E2843,기본!$F$3:$G$320,2,0)</f>
        <v>#N/A</v>
      </c>
      <c r="H2843" s="544"/>
    </row>
    <row r="2844" spans="3:8">
      <c r="C2844" s="545" t="e">
        <f>VLOOKUP(D2844,기본!$B$3:$C$90,2,0)</f>
        <v>#N/A</v>
      </c>
      <c r="G2844" t="e">
        <f>VLOOKUP(E2844,기본!$F$3:$G$320,2,0)</f>
        <v>#N/A</v>
      </c>
      <c r="H2844" s="544"/>
    </row>
    <row r="2845" spans="3:8">
      <c r="C2845" s="545" t="e">
        <f>VLOOKUP(D2845,기본!$B$3:$C$90,2,0)</f>
        <v>#N/A</v>
      </c>
      <c r="G2845" t="e">
        <f>VLOOKUP(E2845,기본!$F$3:$G$320,2,0)</f>
        <v>#N/A</v>
      </c>
      <c r="H2845" s="544"/>
    </row>
    <row r="2846" spans="3:8">
      <c r="C2846" s="545" t="e">
        <f>VLOOKUP(D2846,기본!$B$3:$C$90,2,0)</f>
        <v>#N/A</v>
      </c>
      <c r="G2846" t="e">
        <f>VLOOKUP(E2846,기본!$F$3:$G$320,2,0)</f>
        <v>#N/A</v>
      </c>
      <c r="H2846" s="544"/>
    </row>
    <row r="2847" spans="3:8">
      <c r="C2847" s="545" t="e">
        <f>VLOOKUP(D2847,기본!$B$3:$C$90,2,0)</f>
        <v>#N/A</v>
      </c>
      <c r="G2847" t="e">
        <f>VLOOKUP(E2847,기본!$F$3:$G$320,2,0)</f>
        <v>#N/A</v>
      </c>
      <c r="H2847" s="544"/>
    </row>
    <row r="2848" spans="3:8">
      <c r="C2848" s="545" t="e">
        <f>VLOOKUP(D2848,기본!$B$3:$C$90,2,0)</f>
        <v>#N/A</v>
      </c>
      <c r="G2848" t="e">
        <f>VLOOKUP(E2848,기본!$F$3:$G$320,2,0)</f>
        <v>#N/A</v>
      </c>
      <c r="H2848" s="544"/>
    </row>
    <row r="2849" spans="3:8">
      <c r="C2849" s="545" t="e">
        <f>VLOOKUP(D2849,기본!$B$3:$C$90,2,0)</f>
        <v>#N/A</v>
      </c>
      <c r="G2849" t="e">
        <f>VLOOKUP(E2849,기본!$F$3:$G$320,2,0)</f>
        <v>#N/A</v>
      </c>
      <c r="H2849" s="544"/>
    </row>
    <row r="2850" spans="3:8">
      <c r="C2850" s="545" t="e">
        <f>VLOOKUP(D2850,기본!$B$3:$C$90,2,0)</f>
        <v>#N/A</v>
      </c>
      <c r="G2850" t="e">
        <f>VLOOKUP(E2850,기본!$F$3:$G$320,2,0)</f>
        <v>#N/A</v>
      </c>
      <c r="H2850" s="544"/>
    </row>
    <row r="2851" spans="3:8">
      <c r="C2851" s="545" t="e">
        <f>VLOOKUP(D2851,기본!$B$3:$C$90,2,0)</f>
        <v>#N/A</v>
      </c>
      <c r="G2851" t="e">
        <f>VLOOKUP(E2851,기본!$F$3:$G$320,2,0)</f>
        <v>#N/A</v>
      </c>
      <c r="H2851" s="544"/>
    </row>
    <row r="2852" spans="3:8">
      <c r="C2852" s="545" t="e">
        <f>VLOOKUP(D2852,기본!$B$3:$C$90,2,0)</f>
        <v>#N/A</v>
      </c>
      <c r="G2852" t="e">
        <f>VLOOKUP(E2852,기본!$F$3:$G$320,2,0)</f>
        <v>#N/A</v>
      </c>
      <c r="H2852" s="544"/>
    </row>
    <row r="2853" spans="3:8">
      <c r="C2853" s="545" t="e">
        <f>VLOOKUP(D2853,기본!$B$3:$C$90,2,0)</f>
        <v>#N/A</v>
      </c>
      <c r="G2853" t="e">
        <f>VLOOKUP(E2853,기본!$F$3:$G$320,2,0)</f>
        <v>#N/A</v>
      </c>
      <c r="H2853" s="544"/>
    </row>
    <row r="2854" spans="3:8">
      <c r="C2854" s="545" t="e">
        <f>VLOOKUP(D2854,기본!$B$3:$C$90,2,0)</f>
        <v>#N/A</v>
      </c>
      <c r="G2854" t="e">
        <f>VLOOKUP(E2854,기본!$F$3:$G$320,2,0)</f>
        <v>#N/A</v>
      </c>
      <c r="H2854" s="544"/>
    </row>
    <row r="2855" spans="3:8">
      <c r="C2855" s="545" t="e">
        <f>VLOOKUP(D2855,기본!$B$3:$C$90,2,0)</f>
        <v>#N/A</v>
      </c>
      <c r="G2855" t="e">
        <f>VLOOKUP(E2855,기본!$F$3:$G$320,2,0)</f>
        <v>#N/A</v>
      </c>
      <c r="H2855" s="544"/>
    </row>
    <row r="2856" spans="3:8">
      <c r="C2856" s="545" t="e">
        <f>VLOOKUP(D2856,기본!$B$3:$C$90,2,0)</f>
        <v>#N/A</v>
      </c>
      <c r="G2856" t="e">
        <f>VLOOKUP(E2856,기본!$F$3:$G$320,2,0)</f>
        <v>#N/A</v>
      </c>
      <c r="H2856" s="544"/>
    </row>
    <row r="2857" spans="3:8">
      <c r="C2857" s="545" t="e">
        <f>VLOOKUP(D2857,기본!$B$3:$C$90,2,0)</f>
        <v>#N/A</v>
      </c>
      <c r="G2857" t="e">
        <f>VLOOKUP(E2857,기본!$F$3:$G$320,2,0)</f>
        <v>#N/A</v>
      </c>
      <c r="H2857" s="544"/>
    </row>
    <row r="2858" spans="3:8">
      <c r="C2858" s="545" t="e">
        <f>VLOOKUP(D2858,기본!$B$3:$C$90,2,0)</f>
        <v>#N/A</v>
      </c>
      <c r="G2858" t="e">
        <f>VLOOKUP(E2858,기본!$F$3:$G$320,2,0)</f>
        <v>#N/A</v>
      </c>
      <c r="H2858" s="544"/>
    </row>
    <row r="2859" spans="3:8">
      <c r="C2859" s="545" t="e">
        <f>VLOOKUP(D2859,기본!$B$3:$C$90,2,0)</f>
        <v>#N/A</v>
      </c>
      <c r="G2859" t="e">
        <f>VLOOKUP(E2859,기본!$F$3:$G$320,2,0)</f>
        <v>#N/A</v>
      </c>
      <c r="H2859" s="544"/>
    </row>
    <row r="2860" spans="3:8">
      <c r="C2860" s="545" t="e">
        <f>VLOOKUP(D2860,기본!$B$3:$C$90,2,0)</f>
        <v>#N/A</v>
      </c>
      <c r="G2860" t="e">
        <f>VLOOKUP(E2860,기본!$F$3:$G$320,2,0)</f>
        <v>#N/A</v>
      </c>
      <c r="H2860" s="544"/>
    </row>
    <row r="2861" spans="3:8">
      <c r="C2861" s="545" t="e">
        <f>VLOOKUP(D2861,기본!$B$3:$C$90,2,0)</f>
        <v>#N/A</v>
      </c>
      <c r="G2861" t="e">
        <f>VLOOKUP(E2861,기본!$F$3:$G$320,2,0)</f>
        <v>#N/A</v>
      </c>
      <c r="H2861" s="544"/>
    </row>
    <row r="2862" spans="3:8">
      <c r="C2862" s="545" t="e">
        <f>VLOOKUP(D2862,기본!$B$3:$C$90,2,0)</f>
        <v>#N/A</v>
      </c>
      <c r="G2862" t="e">
        <f>VLOOKUP(E2862,기본!$F$3:$G$320,2,0)</f>
        <v>#N/A</v>
      </c>
      <c r="H2862" s="544"/>
    </row>
    <row r="2863" spans="3:8">
      <c r="C2863" s="545" t="e">
        <f>VLOOKUP(D2863,기본!$B$3:$C$90,2,0)</f>
        <v>#N/A</v>
      </c>
      <c r="G2863" t="e">
        <f>VLOOKUP(E2863,기본!$F$3:$G$320,2,0)</f>
        <v>#N/A</v>
      </c>
      <c r="H2863" s="544"/>
    </row>
    <row r="2864" spans="3:8">
      <c r="C2864" s="545" t="e">
        <f>VLOOKUP(D2864,기본!$B$3:$C$90,2,0)</f>
        <v>#N/A</v>
      </c>
      <c r="G2864" t="e">
        <f>VLOOKUP(E2864,기본!$F$3:$G$320,2,0)</f>
        <v>#N/A</v>
      </c>
      <c r="H2864" s="544"/>
    </row>
    <row r="2865" spans="3:8">
      <c r="C2865" s="545" t="e">
        <f>VLOOKUP(D2865,기본!$B$3:$C$90,2,0)</f>
        <v>#N/A</v>
      </c>
      <c r="G2865" t="e">
        <f>VLOOKUP(E2865,기본!$F$3:$G$320,2,0)</f>
        <v>#N/A</v>
      </c>
      <c r="H2865" s="544"/>
    </row>
    <row r="2866" spans="3:8">
      <c r="C2866" s="545" t="e">
        <f>VLOOKUP(D2866,기본!$B$3:$C$90,2,0)</f>
        <v>#N/A</v>
      </c>
      <c r="G2866" t="e">
        <f>VLOOKUP(E2866,기본!$F$3:$G$320,2,0)</f>
        <v>#N/A</v>
      </c>
      <c r="H2866" s="544"/>
    </row>
    <row r="2867" spans="3:8">
      <c r="C2867" s="545" t="e">
        <f>VLOOKUP(D2867,기본!$B$3:$C$90,2,0)</f>
        <v>#N/A</v>
      </c>
      <c r="G2867" t="e">
        <f>VLOOKUP(E2867,기본!$F$3:$G$320,2,0)</f>
        <v>#N/A</v>
      </c>
      <c r="H2867" s="544"/>
    </row>
    <row r="2868" spans="3:8">
      <c r="C2868" s="545" t="e">
        <f>VLOOKUP(D2868,기본!$B$3:$C$90,2,0)</f>
        <v>#N/A</v>
      </c>
      <c r="G2868" t="e">
        <f>VLOOKUP(E2868,기본!$F$3:$G$320,2,0)</f>
        <v>#N/A</v>
      </c>
      <c r="H2868" s="544"/>
    </row>
    <row r="2869" spans="3:8">
      <c r="C2869" s="545" t="e">
        <f>VLOOKUP(D2869,기본!$B$3:$C$90,2,0)</f>
        <v>#N/A</v>
      </c>
      <c r="G2869" t="e">
        <f>VLOOKUP(E2869,기본!$F$3:$G$320,2,0)</f>
        <v>#N/A</v>
      </c>
      <c r="H2869" s="544"/>
    </row>
    <row r="2870" spans="3:8">
      <c r="C2870" s="545" t="e">
        <f>VLOOKUP(D2870,기본!$B$3:$C$90,2,0)</f>
        <v>#N/A</v>
      </c>
      <c r="G2870" t="e">
        <f>VLOOKUP(E2870,기본!$F$3:$G$320,2,0)</f>
        <v>#N/A</v>
      </c>
      <c r="H2870" s="544"/>
    </row>
    <row r="2871" spans="3:8">
      <c r="C2871" s="545" t="e">
        <f>VLOOKUP(D2871,기본!$B$3:$C$90,2,0)</f>
        <v>#N/A</v>
      </c>
      <c r="G2871" t="e">
        <f>VLOOKUP(E2871,기본!$F$3:$G$320,2,0)</f>
        <v>#N/A</v>
      </c>
      <c r="H2871" s="544"/>
    </row>
    <row r="2872" spans="3:8">
      <c r="C2872" s="545" t="e">
        <f>VLOOKUP(D2872,기본!$B$3:$C$90,2,0)</f>
        <v>#N/A</v>
      </c>
      <c r="G2872" t="e">
        <f>VLOOKUP(E2872,기본!$F$3:$G$320,2,0)</f>
        <v>#N/A</v>
      </c>
      <c r="H2872" s="544"/>
    </row>
    <row r="2873" spans="3:8">
      <c r="C2873" s="545" t="e">
        <f>VLOOKUP(D2873,기본!$B$3:$C$90,2,0)</f>
        <v>#N/A</v>
      </c>
      <c r="G2873" t="e">
        <f>VLOOKUP(E2873,기본!$F$3:$G$320,2,0)</f>
        <v>#N/A</v>
      </c>
      <c r="H2873" s="544"/>
    </row>
    <row r="2874" spans="3:8">
      <c r="C2874" s="545" t="e">
        <f>VLOOKUP(D2874,기본!$B$3:$C$90,2,0)</f>
        <v>#N/A</v>
      </c>
      <c r="G2874" t="e">
        <f>VLOOKUP(E2874,기본!$F$3:$G$320,2,0)</f>
        <v>#N/A</v>
      </c>
      <c r="H2874" s="544"/>
    </row>
    <row r="2875" spans="3:8">
      <c r="C2875" s="545" t="e">
        <f>VLOOKUP(D2875,기본!$B$3:$C$90,2,0)</f>
        <v>#N/A</v>
      </c>
      <c r="G2875" t="e">
        <f>VLOOKUP(E2875,기본!$F$3:$G$320,2,0)</f>
        <v>#N/A</v>
      </c>
      <c r="H2875" s="544"/>
    </row>
    <row r="2876" spans="3:8">
      <c r="C2876" s="545" t="e">
        <f>VLOOKUP(D2876,기본!$B$3:$C$90,2,0)</f>
        <v>#N/A</v>
      </c>
      <c r="G2876" t="e">
        <f>VLOOKUP(E2876,기본!$F$3:$G$320,2,0)</f>
        <v>#N/A</v>
      </c>
      <c r="H2876" s="544"/>
    </row>
    <row r="2877" spans="3:8">
      <c r="C2877" s="545" t="e">
        <f>VLOOKUP(D2877,기본!$B$3:$C$90,2,0)</f>
        <v>#N/A</v>
      </c>
      <c r="G2877" t="e">
        <f>VLOOKUP(E2877,기본!$F$3:$G$320,2,0)</f>
        <v>#N/A</v>
      </c>
      <c r="H2877" s="544"/>
    </row>
    <row r="2878" spans="3:8">
      <c r="C2878" s="545" t="e">
        <f>VLOOKUP(D2878,기본!$B$3:$C$90,2,0)</f>
        <v>#N/A</v>
      </c>
      <c r="G2878" t="e">
        <f>VLOOKUP(E2878,기본!$F$3:$G$320,2,0)</f>
        <v>#N/A</v>
      </c>
      <c r="H2878" s="544"/>
    </row>
    <row r="2879" spans="3:8">
      <c r="C2879" s="545" t="e">
        <f>VLOOKUP(D2879,기본!$B$3:$C$90,2,0)</f>
        <v>#N/A</v>
      </c>
      <c r="G2879" t="e">
        <f>VLOOKUP(E2879,기본!$F$3:$G$320,2,0)</f>
        <v>#N/A</v>
      </c>
      <c r="H2879" s="544"/>
    </row>
    <row r="2880" spans="3:8">
      <c r="C2880" s="545" t="e">
        <f>VLOOKUP(D2880,기본!$B$3:$C$90,2,0)</f>
        <v>#N/A</v>
      </c>
      <c r="G2880" t="e">
        <f>VLOOKUP(E2880,기본!$F$3:$G$320,2,0)</f>
        <v>#N/A</v>
      </c>
      <c r="H2880" s="544"/>
    </row>
    <row r="2881" spans="3:8">
      <c r="C2881" s="545" t="e">
        <f>VLOOKUP(D2881,기본!$B$3:$C$90,2,0)</f>
        <v>#N/A</v>
      </c>
      <c r="G2881" t="e">
        <f>VLOOKUP(E2881,기본!$F$3:$G$320,2,0)</f>
        <v>#N/A</v>
      </c>
      <c r="H2881" s="544"/>
    </row>
    <row r="2882" spans="3:8">
      <c r="C2882" s="545" t="e">
        <f>VLOOKUP(D2882,기본!$B$3:$C$90,2,0)</f>
        <v>#N/A</v>
      </c>
      <c r="G2882" t="e">
        <f>VLOOKUP(E2882,기본!$F$3:$G$320,2,0)</f>
        <v>#N/A</v>
      </c>
      <c r="H2882" s="544"/>
    </row>
    <row r="2883" spans="3:8">
      <c r="C2883" s="545" t="e">
        <f>VLOOKUP(D2883,기본!$B$3:$C$90,2,0)</f>
        <v>#N/A</v>
      </c>
      <c r="G2883" t="e">
        <f>VLOOKUP(E2883,기본!$F$3:$G$320,2,0)</f>
        <v>#N/A</v>
      </c>
      <c r="H2883" s="544"/>
    </row>
    <row r="2884" spans="3:8">
      <c r="C2884" s="545" t="e">
        <f>VLOOKUP(D2884,기본!$B$3:$C$90,2,0)</f>
        <v>#N/A</v>
      </c>
      <c r="G2884" t="e">
        <f>VLOOKUP(E2884,기본!$F$3:$G$320,2,0)</f>
        <v>#N/A</v>
      </c>
      <c r="H2884" s="544"/>
    </row>
    <row r="2885" spans="3:8">
      <c r="C2885" s="545" t="e">
        <f>VLOOKUP(D2885,기본!$B$3:$C$90,2,0)</f>
        <v>#N/A</v>
      </c>
      <c r="G2885" t="e">
        <f>VLOOKUP(E2885,기본!$F$3:$G$320,2,0)</f>
        <v>#N/A</v>
      </c>
      <c r="H2885" s="544"/>
    </row>
    <row r="2886" spans="3:8">
      <c r="C2886" s="545" t="e">
        <f>VLOOKUP(D2886,기본!$B$3:$C$90,2,0)</f>
        <v>#N/A</v>
      </c>
      <c r="G2886" t="e">
        <f>VLOOKUP(E2886,기본!$F$3:$G$320,2,0)</f>
        <v>#N/A</v>
      </c>
      <c r="H2886" s="544"/>
    </row>
    <row r="2887" spans="3:8">
      <c r="C2887" s="545" t="e">
        <f>VLOOKUP(D2887,기본!$B$3:$C$90,2,0)</f>
        <v>#N/A</v>
      </c>
      <c r="G2887" t="e">
        <f>VLOOKUP(E2887,기본!$F$3:$G$320,2,0)</f>
        <v>#N/A</v>
      </c>
      <c r="H2887" s="544"/>
    </row>
    <row r="2888" spans="3:8">
      <c r="C2888" s="545" t="e">
        <f>VLOOKUP(D2888,기본!$B$3:$C$90,2,0)</f>
        <v>#N/A</v>
      </c>
      <c r="G2888" t="e">
        <f>VLOOKUP(E2888,기본!$F$3:$G$320,2,0)</f>
        <v>#N/A</v>
      </c>
      <c r="H2888" s="544"/>
    </row>
    <row r="2889" spans="3:8">
      <c r="C2889" s="545" t="e">
        <f>VLOOKUP(D2889,기본!$B$3:$C$90,2,0)</f>
        <v>#N/A</v>
      </c>
      <c r="G2889" t="e">
        <f>VLOOKUP(E2889,기본!$F$3:$G$320,2,0)</f>
        <v>#N/A</v>
      </c>
      <c r="H2889" s="544"/>
    </row>
    <row r="2890" spans="3:8">
      <c r="C2890" s="545" t="e">
        <f>VLOOKUP(D2890,기본!$B$3:$C$90,2,0)</f>
        <v>#N/A</v>
      </c>
      <c r="G2890" t="e">
        <f>VLOOKUP(E2890,기본!$F$3:$G$320,2,0)</f>
        <v>#N/A</v>
      </c>
      <c r="H2890" s="544"/>
    </row>
    <row r="2891" spans="3:8">
      <c r="C2891" s="545" t="e">
        <f>VLOOKUP(D2891,기본!$B$3:$C$90,2,0)</f>
        <v>#N/A</v>
      </c>
      <c r="G2891" t="e">
        <f>VLOOKUP(E2891,기본!$F$3:$G$320,2,0)</f>
        <v>#N/A</v>
      </c>
      <c r="H2891" s="544"/>
    </row>
    <row r="2892" spans="3:8">
      <c r="C2892" s="545" t="e">
        <f>VLOOKUP(D2892,기본!$B$3:$C$90,2,0)</f>
        <v>#N/A</v>
      </c>
      <c r="G2892" t="e">
        <f>VLOOKUP(E2892,기본!$F$3:$G$320,2,0)</f>
        <v>#N/A</v>
      </c>
      <c r="H2892" s="544"/>
    </row>
    <row r="2893" spans="3:8">
      <c r="C2893" s="545" t="e">
        <f>VLOOKUP(D2893,기본!$B$3:$C$90,2,0)</f>
        <v>#N/A</v>
      </c>
      <c r="G2893" t="e">
        <f>VLOOKUP(E2893,기본!$F$3:$G$320,2,0)</f>
        <v>#N/A</v>
      </c>
      <c r="H2893" s="544"/>
    </row>
    <row r="2894" spans="3:8">
      <c r="C2894" s="545" t="e">
        <f>VLOOKUP(D2894,기본!$B$3:$C$90,2,0)</f>
        <v>#N/A</v>
      </c>
      <c r="G2894" t="e">
        <f>VLOOKUP(E2894,기본!$F$3:$G$320,2,0)</f>
        <v>#N/A</v>
      </c>
      <c r="H2894" s="544"/>
    </row>
    <row r="2895" spans="3:8">
      <c r="C2895" s="545" t="e">
        <f>VLOOKUP(D2895,기본!$B$3:$C$90,2,0)</f>
        <v>#N/A</v>
      </c>
      <c r="G2895" t="e">
        <f>VLOOKUP(E2895,기본!$F$3:$G$320,2,0)</f>
        <v>#N/A</v>
      </c>
      <c r="H2895" s="544"/>
    </row>
    <row r="2896" spans="3:8">
      <c r="C2896" s="545" t="e">
        <f>VLOOKUP(D2896,기본!$B$3:$C$90,2,0)</f>
        <v>#N/A</v>
      </c>
      <c r="G2896" t="e">
        <f>VLOOKUP(E2896,기본!$F$3:$G$320,2,0)</f>
        <v>#N/A</v>
      </c>
      <c r="H2896" s="544"/>
    </row>
    <row r="2897" spans="3:8">
      <c r="C2897" s="545" t="e">
        <f>VLOOKUP(D2897,기본!$B$3:$C$90,2,0)</f>
        <v>#N/A</v>
      </c>
      <c r="G2897" t="e">
        <f>VLOOKUP(E2897,기본!$F$3:$G$320,2,0)</f>
        <v>#N/A</v>
      </c>
      <c r="H2897" s="544"/>
    </row>
    <row r="2898" spans="3:8">
      <c r="C2898" s="545" t="e">
        <f>VLOOKUP(D2898,기본!$B$3:$C$90,2,0)</f>
        <v>#N/A</v>
      </c>
      <c r="G2898" t="e">
        <f>VLOOKUP(E2898,기본!$F$3:$G$320,2,0)</f>
        <v>#N/A</v>
      </c>
      <c r="H2898" s="544"/>
    </row>
    <row r="2899" spans="3:8">
      <c r="C2899" s="545" t="e">
        <f>VLOOKUP(D2899,기본!$B$3:$C$90,2,0)</f>
        <v>#N/A</v>
      </c>
      <c r="G2899" t="e">
        <f>VLOOKUP(E2899,기본!$F$3:$G$320,2,0)</f>
        <v>#N/A</v>
      </c>
      <c r="H2899" s="544"/>
    </row>
    <row r="2900" spans="3:8">
      <c r="C2900" s="545" t="e">
        <f>VLOOKUP(D2900,기본!$B$3:$C$90,2,0)</f>
        <v>#N/A</v>
      </c>
      <c r="G2900" t="e">
        <f>VLOOKUP(E2900,기본!$F$3:$G$320,2,0)</f>
        <v>#N/A</v>
      </c>
      <c r="H2900" s="544"/>
    </row>
    <row r="2901" spans="3:8">
      <c r="C2901" s="545" t="e">
        <f>VLOOKUP(D2901,기본!$B$3:$C$90,2,0)</f>
        <v>#N/A</v>
      </c>
      <c r="G2901" t="e">
        <f>VLOOKUP(E2901,기본!$F$3:$G$320,2,0)</f>
        <v>#N/A</v>
      </c>
      <c r="H2901" s="544"/>
    </row>
    <row r="2902" spans="3:8">
      <c r="C2902" s="545" t="e">
        <f>VLOOKUP(D2902,기본!$B$3:$C$90,2,0)</f>
        <v>#N/A</v>
      </c>
      <c r="G2902" t="e">
        <f>VLOOKUP(E2902,기본!$F$3:$G$320,2,0)</f>
        <v>#N/A</v>
      </c>
      <c r="H2902" s="544"/>
    </row>
    <row r="2903" spans="3:8">
      <c r="C2903" s="545" t="e">
        <f>VLOOKUP(D2903,기본!$B$3:$C$90,2,0)</f>
        <v>#N/A</v>
      </c>
      <c r="G2903" t="e">
        <f>VLOOKUP(E2903,기본!$F$3:$G$320,2,0)</f>
        <v>#N/A</v>
      </c>
      <c r="H2903" s="544"/>
    </row>
    <row r="2904" spans="3:8">
      <c r="C2904" s="545" t="e">
        <f>VLOOKUP(D2904,기본!$B$3:$C$90,2,0)</f>
        <v>#N/A</v>
      </c>
      <c r="G2904" t="e">
        <f>VLOOKUP(E2904,기본!$F$3:$G$320,2,0)</f>
        <v>#N/A</v>
      </c>
      <c r="H2904" s="544"/>
    </row>
    <row r="2905" spans="3:8">
      <c r="C2905" s="545" t="e">
        <f>VLOOKUP(D2905,기본!$B$3:$C$90,2,0)</f>
        <v>#N/A</v>
      </c>
      <c r="G2905" t="e">
        <f>VLOOKUP(E2905,기본!$F$3:$G$320,2,0)</f>
        <v>#N/A</v>
      </c>
      <c r="H2905" s="544"/>
    </row>
    <row r="2906" spans="3:8">
      <c r="C2906" s="545" t="e">
        <f>VLOOKUP(D2906,기본!$B$3:$C$90,2,0)</f>
        <v>#N/A</v>
      </c>
      <c r="G2906" t="e">
        <f>VLOOKUP(E2906,기본!$F$3:$G$320,2,0)</f>
        <v>#N/A</v>
      </c>
      <c r="H2906" s="544"/>
    </row>
    <row r="2907" spans="3:8">
      <c r="C2907" s="545" t="e">
        <f>VLOOKUP(D2907,기본!$B$3:$C$90,2,0)</f>
        <v>#N/A</v>
      </c>
      <c r="G2907" t="e">
        <f>VLOOKUP(E2907,기본!$F$3:$G$320,2,0)</f>
        <v>#N/A</v>
      </c>
      <c r="H2907" s="544"/>
    </row>
    <row r="2908" spans="3:8">
      <c r="C2908" s="545" t="e">
        <f>VLOOKUP(D2908,기본!$B$3:$C$90,2,0)</f>
        <v>#N/A</v>
      </c>
      <c r="G2908" t="e">
        <f>VLOOKUP(E2908,기본!$F$3:$G$320,2,0)</f>
        <v>#N/A</v>
      </c>
      <c r="H2908" s="544"/>
    </row>
    <row r="2909" spans="3:8">
      <c r="C2909" s="545" t="e">
        <f>VLOOKUP(D2909,기본!$B$3:$C$90,2,0)</f>
        <v>#N/A</v>
      </c>
      <c r="G2909" t="e">
        <f>VLOOKUP(E2909,기본!$F$3:$G$320,2,0)</f>
        <v>#N/A</v>
      </c>
      <c r="H2909" s="544"/>
    </row>
    <row r="2910" spans="3:8">
      <c r="C2910" s="545" t="e">
        <f>VLOOKUP(D2910,기본!$B$3:$C$90,2,0)</f>
        <v>#N/A</v>
      </c>
      <c r="G2910" t="e">
        <f>VLOOKUP(E2910,기본!$F$3:$G$320,2,0)</f>
        <v>#N/A</v>
      </c>
      <c r="H2910" s="544"/>
    </row>
    <row r="2911" spans="3:8">
      <c r="C2911" s="545" t="e">
        <f>VLOOKUP(D2911,기본!$B$3:$C$90,2,0)</f>
        <v>#N/A</v>
      </c>
      <c r="G2911" t="e">
        <f>VLOOKUP(E2911,기본!$F$3:$G$320,2,0)</f>
        <v>#N/A</v>
      </c>
      <c r="H2911" s="544"/>
    </row>
    <row r="2912" spans="3:8">
      <c r="C2912" s="545" t="e">
        <f>VLOOKUP(D2912,기본!$B$3:$C$90,2,0)</f>
        <v>#N/A</v>
      </c>
      <c r="G2912" t="e">
        <f>VLOOKUP(E2912,기본!$F$3:$G$320,2,0)</f>
        <v>#N/A</v>
      </c>
      <c r="H2912" s="544"/>
    </row>
    <row r="2913" spans="3:8">
      <c r="C2913" s="545" t="e">
        <f>VLOOKUP(D2913,기본!$B$3:$C$90,2,0)</f>
        <v>#N/A</v>
      </c>
      <c r="G2913" t="e">
        <f>VLOOKUP(E2913,기본!$F$3:$G$320,2,0)</f>
        <v>#N/A</v>
      </c>
      <c r="H2913" s="544"/>
    </row>
    <row r="2914" spans="3:8">
      <c r="C2914" s="545" t="e">
        <f>VLOOKUP(D2914,기본!$B$3:$C$90,2,0)</f>
        <v>#N/A</v>
      </c>
      <c r="G2914" t="e">
        <f>VLOOKUP(E2914,기본!$F$3:$G$320,2,0)</f>
        <v>#N/A</v>
      </c>
      <c r="H2914" s="544"/>
    </row>
    <row r="2915" spans="3:8">
      <c r="C2915" s="545" t="e">
        <f>VLOOKUP(D2915,기본!$B$3:$C$90,2,0)</f>
        <v>#N/A</v>
      </c>
      <c r="G2915" t="e">
        <f>VLOOKUP(E2915,기본!$F$3:$G$320,2,0)</f>
        <v>#N/A</v>
      </c>
      <c r="H2915" s="544"/>
    </row>
    <row r="2916" spans="3:8">
      <c r="C2916" s="545" t="e">
        <f>VLOOKUP(D2916,기본!$B$3:$C$90,2,0)</f>
        <v>#N/A</v>
      </c>
      <c r="G2916" t="e">
        <f>VLOOKUP(E2916,기본!$F$3:$G$320,2,0)</f>
        <v>#N/A</v>
      </c>
      <c r="H2916" s="544"/>
    </row>
    <row r="2917" spans="3:8">
      <c r="C2917" s="545" t="e">
        <f>VLOOKUP(D2917,기본!$B$3:$C$90,2,0)</f>
        <v>#N/A</v>
      </c>
      <c r="G2917" t="e">
        <f>VLOOKUP(E2917,기본!$F$3:$G$320,2,0)</f>
        <v>#N/A</v>
      </c>
      <c r="H2917" s="544"/>
    </row>
    <row r="2918" spans="3:8">
      <c r="C2918" s="545" t="e">
        <f>VLOOKUP(D2918,기본!$B$3:$C$90,2,0)</f>
        <v>#N/A</v>
      </c>
      <c r="G2918" t="e">
        <f>VLOOKUP(E2918,기본!$F$3:$G$320,2,0)</f>
        <v>#N/A</v>
      </c>
      <c r="H2918" s="544"/>
    </row>
    <row r="2919" spans="3:8">
      <c r="C2919" s="545" t="e">
        <f>VLOOKUP(D2919,기본!$B$3:$C$90,2,0)</f>
        <v>#N/A</v>
      </c>
      <c r="G2919" t="e">
        <f>VLOOKUP(E2919,기본!$F$3:$G$320,2,0)</f>
        <v>#N/A</v>
      </c>
      <c r="H2919" s="544"/>
    </row>
    <row r="2920" spans="3:8">
      <c r="C2920" s="545" t="e">
        <f>VLOOKUP(D2920,기본!$B$3:$C$90,2,0)</f>
        <v>#N/A</v>
      </c>
      <c r="G2920" t="e">
        <f>VLOOKUP(E2920,기본!$F$3:$G$320,2,0)</f>
        <v>#N/A</v>
      </c>
      <c r="H2920" s="544"/>
    </row>
    <row r="2921" spans="3:8">
      <c r="C2921" s="545" t="e">
        <f>VLOOKUP(D2921,기본!$B$3:$C$90,2,0)</f>
        <v>#N/A</v>
      </c>
      <c r="G2921" t="e">
        <f>VLOOKUP(E2921,기본!$F$3:$G$320,2,0)</f>
        <v>#N/A</v>
      </c>
      <c r="H2921" s="544"/>
    </row>
    <row r="2922" spans="3:8">
      <c r="C2922" s="545" t="e">
        <f>VLOOKUP(D2922,기본!$B$3:$C$90,2,0)</f>
        <v>#N/A</v>
      </c>
      <c r="G2922" t="e">
        <f>VLOOKUP(E2922,기본!$F$3:$G$320,2,0)</f>
        <v>#N/A</v>
      </c>
      <c r="H2922" s="544"/>
    </row>
    <row r="2923" spans="3:8">
      <c r="C2923" s="545" t="e">
        <f>VLOOKUP(D2923,기본!$B$3:$C$90,2,0)</f>
        <v>#N/A</v>
      </c>
      <c r="G2923" t="e">
        <f>VLOOKUP(E2923,기본!$F$3:$G$320,2,0)</f>
        <v>#N/A</v>
      </c>
      <c r="H2923" s="544"/>
    </row>
    <row r="2924" spans="3:8">
      <c r="C2924" s="545" t="e">
        <f>VLOOKUP(D2924,기본!$B$3:$C$90,2,0)</f>
        <v>#N/A</v>
      </c>
      <c r="G2924" t="e">
        <f>VLOOKUP(E2924,기본!$F$3:$G$320,2,0)</f>
        <v>#N/A</v>
      </c>
      <c r="H2924" s="544"/>
    </row>
    <row r="2925" spans="3:8">
      <c r="C2925" s="545" t="e">
        <f>VLOOKUP(D2925,기본!$B$3:$C$90,2,0)</f>
        <v>#N/A</v>
      </c>
      <c r="G2925" t="e">
        <f>VLOOKUP(E2925,기본!$F$3:$G$320,2,0)</f>
        <v>#N/A</v>
      </c>
      <c r="H2925" s="544"/>
    </row>
    <row r="2926" spans="3:8">
      <c r="C2926" s="545" t="e">
        <f>VLOOKUP(D2926,기본!$B$3:$C$90,2,0)</f>
        <v>#N/A</v>
      </c>
      <c r="G2926" t="e">
        <f>VLOOKUP(E2926,기본!$F$3:$G$320,2,0)</f>
        <v>#N/A</v>
      </c>
      <c r="H2926" s="544"/>
    </row>
    <row r="2927" spans="3:8">
      <c r="C2927" s="545" t="e">
        <f>VLOOKUP(D2927,기본!$B$3:$C$90,2,0)</f>
        <v>#N/A</v>
      </c>
      <c r="G2927" t="e">
        <f>VLOOKUP(E2927,기본!$F$3:$G$320,2,0)</f>
        <v>#N/A</v>
      </c>
      <c r="H2927" s="544"/>
    </row>
    <row r="2928" spans="3:8">
      <c r="C2928" s="545" t="e">
        <f>VLOOKUP(D2928,기본!$B$3:$C$90,2,0)</f>
        <v>#N/A</v>
      </c>
      <c r="G2928" t="e">
        <f>VLOOKUP(E2928,기본!$F$3:$G$320,2,0)</f>
        <v>#N/A</v>
      </c>
      <c r="H2928" s="544"/>
    </row>
    <row r="2929" spans="3:8">
      <c r="C2929" s="545" t="e">
        <f>VLOOKUP(D2929,기본!$B$3:$C$90,2,0)</f>
        <v>#N/A</v>
      </c>
      <c r="G2929" t="e">
        <f>VLOOKUP(E2929,기본!$F$3:$G$320,2,0)</f>
        <v>#N/A</v>
      </c>
      <c r="H2929" s="544"/>
    </row>
    <row r="2930" spans="3:8">
      <c r="C2930" s="545" t="e">
        <f>VLOOKUP(D2930,기본!$B$3:$C$90,2,0)</f>
        <v>#N/A</v>
      </c>
      <c r="G2930" t="e">
        <f>VLOOKUP(E2930,기본!$F$3:$G$320,2,0)</f>
        <v>#N/A</v>
      </c>
      <c r="H2930" s="544"/>
    </row>
    <row r="2931" spans="3:8">
      <c r="C2931" s="545" t="e">
        <f>VLOOKUP(D2931,기본!$B$3:$C$90,2,0)</f>
        <v>#N/A</v>
      </c>
      <c r="G2931" t="e">
        <f>VLOOKUP(E2931,기본!$F$3:$G$320,2,0)</f>
        <v>#N/A</v>
      </c>
      <c r="H2931" s="544"/>
    </row>
    <row r="2932" spans="3:8">
      <c r="C2932" s="545" t="e">
        <f>VLOOKUP(D2932,기본!$B$3:$C$90,2,0)</f>
        <v>#N/A</v>
      </c>
      <c r="G2932" t="e">
        <f>VLOOKUP(E2932,기본!$F$3:$G$320,2,0)</f>
        <v>#N/A</v>
      </c>
      <c r="H2932" s="544"/>
    </row>
    <row r="2933" spans="3:8">
      <c r="C2933" s="545" t="e">
        <f>VLOOKUP(D2933,기본!$B$3:$C$90,2,0)</f>
        <v>#N/A</v>
      </c>
      <c r="G2933" t="e">
        <f>VLOOKUP(E2933,기본!$F$3:$G$320,2,0)</f>
        <v>#N/A</v>
      </c>
      <c r="H2933" s="544"/>
    </row>
    <row r="2934" spans="3:8">
      <c r="C2934" s="545" t="e">
        <f>VLOOKUP(D2934,기본!$B$3:$C$90,2,0)</f>
        <v>#N/A</v>
      </c>
      <c r="G2934" t="e">
        <f>VLOOKUP(E2934,기본!$F$3:$G$320,2,0)</f>
        <v>#N/A</v>
      </c>
      <c r="H2934" s="544"/>
    </row>
    <row r="2935" spans="3:8">
      <c r="C2935" s="545" t="e">
        <f>VLOOKUP(D2935,기본!$B$3:$C$90,2,0)</f>
        <v>#N/A</v>
      </c>
      <c r="G2935" t="e">
        <f>VLOOKUP(E2935,기본!$F$3:$G$320,2,0)</f>
        <v>#N/A</v>
      </c>
      <c r="H2935" s="544"/>
    </row>
    <row r="2936" spans="3:8">
      <c r="C2936" s="545" t="e">
        <f>VLOOKUP(D2936,기본!$B$3:$C$90,2,0)</f>
        <v>#N/A</v>
      </c>
      <c r="G2936" t="e">
        <f>VLOOKUP(E2936,기본!$F$3:$G$320,2,0)</f>
        <v>#N/A</v>
      </c>
      <c r="H2936" s="544"/>
    </row>
    <row r="2937" spans="3:8">
      <c r="C2937" s="545" t="e">
        <f>VLOOKUP(D2937,기본!$B$3:$C$90,2,0)</f>
        <v>#N/A</v>
      </c>
      <c r="G2937" t="e">
        <f>VLOOKUP(E2937,기본!$F$3:$G$320,2,0)</f>
        <v>#N/A</v>
      </c>
      <c r="H2937" s="544"/>
    </row>
    <row r="2938" spans="3:8">
      <c r="C2938" s="545" t="e">
        <f>VLOOKUP(D2938,기본!$B$3:$C$90,2,0)</f>
        <v>#N/A</v>
      </c>
      <c r="G2938" t="e">
        <f>VLOOKUP(E2938,기본!$F$3:$G$320,2,0)</f>
        <v>#N/A</v>
      </c>
      <c r="H2938" s="544"/>
    </row>
    <row r="2939" spans="3:8">
      <c r="C2939" s="545" t="e">
        <f>VLOOKUP(D2939,기본!$B$3:$C$90,2,0)</f>
        <v>#N/A</v>
      </c>
      <c r="G2939" t="e">
        <f>VLOOKUP(E2939,기본!$F$3:$G$320,2,0)</f>
        <v>#N/A</v>
      </c>
      <c r="H2939" s="544"/>
    </row>
    <row r="2940" spans="3:8">
      <c r="C2940" s="545" t="e">
        <f>VLOOKUP(D2940,기본!$B$3:$C$90,2,0)</f>
        <v>#N/A</v>
      </c>
      <c r="G2940" t="e">
        <f>VLOOKUP(E2940,기본!$F$3:$G$320,2,0)</f>
        <v>#N/A</v>
      </c>
      <c r="H2940" s="544"/>
    </row>
    <row r="2941" spans="3:8">
      <c r="C2941" s="545" t="e">
        <f>VLOOKUP(D2941,기본!$B$3:$C$90,2,0)</f>
        <v>#N/A</v>
      </c>
      <c r="G2941" t="e">
        <f>VLOOKUP(E2941,기본!$F$3:$G$320,2,0)</f>
        <v>#N/A</v>
      </c>
      <c r="H2941" s="544"/>
    </row>
    <row r="2942" spans="3:8">
      <c r="C2942" s="545" t="e">
        <f>VLOOKUP(D2942,기본!$B$3:$C$90,2,0)</f>
        <v>#N/A</v>
      </c>
      <c r="G2942" t="e">
        <f>VLOOKUP(E2942,기본!$F$3:$G$320,2,0)</f>
        <v>#N/A</v>
      </c>
      <c r="H2942" s="544"/>
    </row>
    <row r="2943" spans="3:8">
      <c r="C2943" s="545" t="e">
        <f>VLOOKUP(D2943,기본!$B$3:$C$90,2,0)</f>
        <v>#N/A</v>
      </c>
      <c r="G2943" t="e">
        <f>VLOOKUP(E2943,기본!$F$3:$G$320,2,0)</f>
        <v>#N/A</v>
      </c>
      <c r="H2943" s="544"/>
    </row>
    <row r="2944" spans="3:8">
      <c r="C2944" s="545" t="e">
        <f>VLOOKUP(D2944,기본!$B$3:$C$90,2,0)</f>
        <v>#N/A</v>
      </c>
      <c r="G2944" t="e">
        <f>VLOOKUP(E2944,기본!$F$3:$G$320,2,0)</f>
        <v>#N/A</v>
      </c>
      <c r="H2944" s="544"/>
    </row>
    <row r="2945" spans="3:8">
      <c r="C2945" s="545" t="e">
        <f>VLOOKUP(D2945,기본!$B$3:$C$90,2,0)</f>
        <v>#N/A</v>
      </c>
      <c r="G2945" t="e">
        <f>VLOOKUP(E2945,기본!$F$3:$G$320,2,0)</f>
        <v>#N/A</v>
      </c>
      <c r="H2945" s="544"/>
    </row>
    <row r="2946" spans="3:8">
      <c r="C2946" s="545" t="e">
        <f>VLOOKUP(D2946,기본!$B$3:$C$90,2,0)</f>
        <v>#N/A</v>
      </c>
      <c r="G2946" t="e">
        <f>VLOOKUP(E2946,기본!$F$3:$G$320,2,0)</f>
        <v>#N/A</v>
      </c>
      <c r="H2946" s="544"/>
    </row>
    <row r="2947" spans="3:8">
      <c r="C2947" s="545" t="e">
        <f>VLOOKUP(D2947,기본!$B$3:$C$90,2,0)</f>
        <v>#N/A</v>
      </c>
      <c r="G2947" t="e">
        <f>VLOOKUP(E2947,기본!$F$3:$G$320,2,0)</f>
        <v>#N/A</v>
      </c>
      <c r="H2947" s="544"/>
    </row>
    <row r="2948" spans="3:8">
      <c r="C2948" s="545" t="e">
        <f>VLOOKUP(D2948,기본!$B$3:$C$90,2,0)</f>
        <v>#N/A</v>
      </c>
      <c r="G2948" t="e">
        <f>VLOOKUP(E2948,기본!$F$3:$G$320,2,0)</f>
        <v>#N/A</v>
      </c>
      <c r="H2948" s="544"/>
    </row>
    <row r="2949" spans="3:8">
      <c r="C2949" s="545" t="e">
        <f>VLOOKUP(D2949,기본!$B$3:$C$90,2,0)</f>
        <v>#N/A</v>
      </c>
      <c r="G2949" t="e">
        <f>VLOOKUP(E2949,기본!$F$3:$G$320,2,0)</f>
        <v>#N/A</v>
      </c>
      <c r="H2949" s="544"/>
    </row>
    <row r="2950" spans="3:8">
      <c r="C2950" s="545" t="e">
        <f>VLOOKUP(D2950,기본!$B$3:$C$90,2,0)</f>
        <v>#N/A</v>
      </c>
      <c r="G2950" t="e">
        <f>VLOOKUP(E2950,기본!$F$3:$G$320,2,0)</f>
        <v>#N/A</v>
      </c>
      <c r="H2950" s="544"/>
    </row>
    <row r="2951" spans="3:8">
      <c r="C2951" s="545" t="e">
        <f>VLOOKUP(D2951,기본!$B$3:$C$90,2,0)</f>
        <v>#N/A</v>
      </c>
      <c r="G2951" t="e">
        <f>VLOOKUP(E2951,기본!$F$3:$G$320,2,0)</f>
        <v>#N/A</v>
      </c>
      <c r="H2951" s="544"/>
    </row>
    <row r="2952" spans="3:8">
      <c r="C2952" s="545" t="e">
        <f>VLOOKUP(D2952,기본!$B$3:$C$90,2,0)</f>
        <v>#N/A</v>
      </c>
      <c r="G2952" t="e">
        <f>VLOOKUP(E2952,기본!$F$3:$G$320,2,0)</f>
        <v>#N/A</v>
      </c>
      <c r="H2952" s="544"/>
    </row>
    <row r="2953" spans="3:8">
      <c r="C2953" s="545" t="e">
        <f>VLOOKUP(D2953,기본!$B$3:$C$90,2,0)</f>
        <v>#N/A</v>
      </c>
      <c r="G2953" t="e">
        <f>VLOOKUP(E2953,기본!$F$3:$G$320,2,0)</f>
        <v>#N/A</v>
      </c>
      <c r="H2953" s="544"/>
    </row>
    <row r="2954" spans="3:8">
      <c r="C2954" s="545" t="e">
        <f>VLOOKUP(D2954,기본!$B$3:$C$90,2,0)</f>
        <v>#N/A</v>
      </c>
      <c r="G2954" t="e">
        <f>VLOOKUP(E2954,기본!$F$3:$G$320,2,0)</f>
        <v>#N/A</v>
      </c>
      <c r="H2954" s="544"/>
    </row>
    <row r="2955" spans="3:8">
      <c r="C2955" s="545" t="e">
        <f>VLOOKUP(D2955,기본!$B$3:$C$90,2,0)</f>
        <v>#N/A</v>
      </c>
      <c r="G2955" t="e">
        <f>VLOOKUP(E2955,기본!$F$3:$G$320,2,0)</f>
        <v>#N/A</v>
      </c>
      <c r="H2955" s="544"/>
    </row>
    <row r="2956" spans="3:8">
      <c r="C2956" s="545" t="e">
        <f>VLOOKUP(D2956,기본!$B$3:$C$90,2,0)</f>
        <v>#N/A</v>
      </c>
      <c r="G2956" t="e">
        <f>VLOOKUP(E2956,기본!$F$3:$G$320,2,0)</f>
        <v>#N/A</v>
      </c>
      <c r="H2956" s="544"/>
    </row>
    <row r="2957" spans="3:8">
      <c r="C2957" s="545" t="e">
        <f>VLOOKUP(D2957,기본!$B$3:$C$90,2,0)</f>
        <v>#N/A</v>
      </c>
      <c r="G2957" t="e">
        <f>VLOOKUP(E2957,기본!$F$3:$G$320,2,0)</f>
        <v>#N/A</v>
      </c>
      <c r="H2957" s="544"/>
    </row>
    <row r="2958" spans="3:8">
      <c r="C2958" s="545" t="e">
        <f>VLOOKUP(D2958,기본!$B$3:$C$90,2,0)</f>
        <v>#N/A</v>
      </c>
      <c r="G2958" t="e">
        <f>VLOOKUP(E2958,기본!$F$3:$G$320,2,0)</f>
        <v>#N/A</v>
      </c>
      <c r="H2958" s="544"/>
    </row>
    <row r="2959" spans="3:8">
      <c r="C2959" s="545" t="e">
        <f>VLOOKUP(D2959,기본!$B$3:$C$90,2,0)</f>
        <v>#N/A</v>
      </c>
      <c r="G2959" t="e">
        <f>VLOOKUP(E2959,기본!$F$3:$G$320,2,0)</f>
        <v>#N/A</v>
      </c>
      <c r="H2959" s="544"/>
    </row>
    <row r="2960" spans="3:8">
      <c r="C2960" s="545" t="e">
        <f>VLOOKUP(D2960,기본!$B$3:$C$90,2,0)</f>
        <v>#N/A</v>
      </c>
      <c r="G2960" t="e">
        <f>VLOOKUP(E2960,기본!$F$3:$G$320,2,0)</f>
        <v>#N/A</v>
      </c>
      <c r="H2960" s="544"/>
    </row>
    <row r="2961" spans="3:8">
      <c r="C2961" s="545" t="e">
        <f>VLOOKUP(D2961,기본!$B$3:$C$90,2,0)</f>
        <v>#N/A</v>
      </c>
      <c r="G2961" t="e">
        <f>VLOOKUP(E2961,기본!$F$3:$G$320,2,0)</f>
        <v>#N/A</v>
      </c>
      <c r="H2961" s="544"/>
    </row>
    <row r="2962" spans="3:8">
      <c r="C2962" s="545" t="e">
        <f>VLOOKUP(D2962,기본!$B$3:$C$90,2,0)</f>
        <v>#N/A</v>
      </c>
      <c r="G2962" t="e">
        <f>VLOOKUP(E2962,기본!$F$3:$G$320,2,0)</f>
        <v>#N/A</v>
      </c>
      <c r="H2962" s="544"/>
    </row>
    <row r="2963" spans="3:8">
      <c r="C2963" s="545" t="e">
        <f>VLOOKUP(D2963,기본!$B$3:$C$90,2,0)</f>
        <v>#N/A</v>
      </c>
      <c r="G2963" t="e">
        <f>VLOOKUP(E2963,기본!$F$3:$G$320,2,0)</f>
        <v>#N/A</v>
      </c>
      <c r="H2963" s="544"/>
    </row>
    <row r="2964" spans="3:8">
      <c r="C2964" s="545" t="e">
        <f>VLOOKUP(D2964,기본!$B$3:$C$90,2,0)</f>
        <v>#N/A</v>
      </c>
      <c r="G2964" t="e">
        <f>VLOOKUP(E2964,기본!$F$3:$G$320,2,0)</f>
        <v>#N/A</v>
      </c>
      <c r="H2964" s="544"/>
    </row>
    <row r="2965" spans="3:8">
      <c r="C2965" s="545" t="e">
        <f>VLOOKUP(D2965,기본!$B$3:$C$90,2,0)</f>
        <v>#N/A</v>
      </c>
      <c r="G2965" t="e">
        <f>VLOOKUP(E2965,기본!$F$3:$G$320,2,0)</f>
        <v>#N/A</v>
      </c>
      <c r="H2965" s="544"/>
    </row>
    <row r="2966" spans="3:8">
      <c r="C2966" s="545" t="e">
        <f>VLOOKUP(D2966,기본!$B$3:$C$90,2,0)</f>
        <v>#N/A</v>
      </c>
      <c r="G2966" t="e">
        <f>VLOOKUP(E2966,기본!$F$3:$G$320,2,0)</f>
        <v>#N/A</v>
      </c>
      <c r="H2966" s="544"/>
    </row>
    <row r="2967" spans="3:8">
      <c r="C2967" s="545" t="e">
        <f>VLOOKUP(D2967,기본!$B$3:$C$90,2,0)</f>
        <v>#N/A</v>
      </c>
      <c r="G2967" t="e">
        <f>VLOOKUP(E2967,기본!$F$3:$G$320,2,0)</f>
        <v>#N/A</v>
      </c>
      <c r="H2967" s="544"/>
    </row>
    <row r="2968" spans="3:8">
      <c r="C2968" s="545" t="e">
        <f>VLOOKUP(D2968,기본!$B$3:$C$90,2,0)</f>
        <v>#N/A</v>
      </c>
      <c r="G2968" t="e">
        <f>VLOOKUP(E2968,기본!$F$3:$G$320,2,0)</f>
        <v>#N/A</v>
      </c>
      <c r="H2968" s="544"/>
    </row>
    <row r="2969" spans="3:8">
      <c r="C2969" s="545" t="e">
        <f>VLOOKUP(D2969,기본!$B$3:$C$90,2,0)</f>
        <v>#N/A</v>
      </c>
      <c r="G2969" t="e">
        <f>VLOOKUP(E2969,기본!$F$3:$G$320,2,0)</f>
        <v>#N/A</v>
      </c>
      <c r="H2969" s="544"/>
    </row>
    <row r="2970" spans="3:8">
      <c r="C2970" s="545" t="e">
        <f>VLOOKUP(D2970,기본!$B$3:$C$90,2,0)</f>
        <v>#N/A</v>
      </c>
      <c r="G2970" t="e">
        <f>VLOOKUP(E2970,기본!$F$3:$G$320,2,0)</f>
        <v>#N/A</v>
      </c>
      <c r="H2970" s="544"/>
    </row>
    <row r="2971" spans="3:8">
      <c r="C2971" s="545" t="e">
        <f>VLOOKUP(D2971,기본!$B$3:$C$90,2,0)</f>
        <v>#N/A</v>
      </c>
      <c r="G2971" t="e">
        <f>VLOOKUP(E2971,기본!$F$3:$G$320,2,0)</f>
        <v>#N/A</v>
      </c>
      <c r="H2971" s="544"/>
    </row>
    <row r="2972" spans="3:8">
      <c r="C2972" s="545" t="e">
        <f>VLOOKUP(D2972,기본!$B$3:$C$90,2,0)</f>
        <v>#N/A</v>
      </c>
      <c r="G2972" t="e">
        <f>VLOOKUP(E2972,기본!$F$3:$G$320,2,0)</f>
        <v>#N/A</v>
      </c>
      <c r="H2972" s="544"/>
    </row>
    <row r="2973" spans="3:8">
      <c r="C2973" s="545" t="e">
        <f>VLOOKUP(D2973,기본!$B$3:$C$90,2,0)</f>
        <v>#N/A</v>
      </c>
      <c r="G2973" t="e">
        <f>VLOOKUP(E2973,기본!$F$3:$G$320,2,0)</f>
        <v>#N/A</v>
      </c>
      <c r="H2973" s="544"/>
    </row>
    <row r="2974" spans="3:8">
      <c r="C2974" s="545" t="e">
        <f>VLOOKUP(D2974,기본!$B$3:$C$90,2,0)</f>
        <v>#N/A</v>
      </c>
      <c r="G2974" t="e">
        <f>VLOOKUP(E2974,기본!$F$3:$G$320,2,0)</f>
        <v>#N/A</v>
      </c>
      <c r="H2974" s="544"/>
    </row>
    <row r="2975" spans="3:8">
      <c r="C2975" s="545" t="e">
        <f>VLOOKUP(D2975,기본!$B$3:$C$90,2,0)</f>
        <v>#N/A</v>
      </c>
      <c r="G2975" t="e">
        <f>VLOOKUP(E2975,기본!$F$3:$G$320,2,0)</f>
        <v>#N/A</v>
      </c>
      <c r="H2975" s="544"/>
    </row>
    <row r="2976" spans="3:8">
      <c r="C2976" s="545" t="e">
        <f>VLOOKUP(D2976,기본!$B$3:$C$90,2,0)</f>
        <v>#N/A</v>
      </c>
      <c r="G2976" t="e">
        <f>VLOOKUP(E2976,기본!$F$3:$G$320,2,0)</f>
        <v>#N/A</v>
      </c>
      <c r="H2976" s="544"/>
    </row>
    <row r="2977" spans="3:8">
      <c r="C2977" s="545" t="e">
        <f>VLOOKUP(D2977,기본!$B$3:$C$90,2,0)</f>
        <v>#N/A</v>
      </c>
      <c r="G2977" t="e">
        <f>VLOOKUP(E2977,기본!$F$3:$G$320,2,0)</f>
        <v>#N/A</v>
      </c>
      <c r="H2977" s="544"/>
    </row>
    <row r="2978" spans="3:8">
      <c r="C2978" s="545" t="e">
        <f>VLOOKUP(D2978,기본!$B$3:$C$90,2,0)</f>
        <v>#N/A</v>
      </c>
      <c r="G2978" t="e">
        <f>VLOOKUP(E2978,기본!$F$3:$G$320,2,0)</f>
        <v>#N/A</v>
      </c>
      <c r="H2978" s="544"/>
    </row>
    <row r="2979" spans="3:8">
      <c r="C2979" s="545" t="e">
        <f>VLOOKUP(D2979,기본!$B$3:$C$90,2,0)</f>
        <v>#N/A</v>
      </c>
      <c r="G2979" t="e">
        <f>VLOOKUP(E2979,기본!$F$3:$G$320,2,0)</f>
        <v>#N/A</v>
      </c>
      <c r="H2979" s="544"/>
    </row>
    <row r="2980" spans="3:8">
      <c r="C2980" s="545" t="e">
        <f>VLOOKUP(D2980,기본!$B$3:$C$90,2,0)</f>
        <v>#N/A</v>
      </c>
      <c r="G2980" t="e">
        <f>VLOOKUP(E2980,기본!$F$3:$G$320,2,0)</f>
        <v>#N/A</v>
      </c>
      <c r="H2980" s="544"/>
    </row>
    <row r="2981" spans="3:8">
      <c r="C2981" s="545" t="e">
        <f>VLOOKUP(D2981,기본!$B$3:$C$90,2,0)</f>
        <v>#N/A</v>
      </c>
      <c r="G2981" t="e">
        <f>VLOOKUP(E2981,기본!$F$3:$G$320,2,0)</f>
        <v>#N/A</v>
      </c>
      <c r="H2981" s="544"/>
    </row>
    <row r="2982" spans="3:8">
      <c r="C2982" s="545" t="e">
        <f>VLOOKUP(D2982,기본!$B$3:$C$90,2,0)</f>
        <v>#N/A</v>
      </c>
      <c r="G2982" t="e">
        <f>VLOOKUP(E2982,기본!$F$3:$G$320,2,0)</f>
        <v>#N/A</v>
      </c>
      <c r="H2982" s="544"/>
    </row>
    <row r="2983" spans="3:8">
      <c r="C2983" s="545" t="e">
        <f>VLOOKUP(D2983,기본!$B$3:$C$90,2,0)</f>
        <v>#N/A</v>
      </c>
      <c r="G2983" t="e">
        <f>VLOOKUP(E2983,기본!$F$3:$G$320,2,0)</f>
        <v>#N/A</v>
      </c>
      <c r="H2983" s="544"/>
    </row>
    <row r="2984" spans="3:8">
      <c r="C2984" s="545" t="e">
        <f>VLOOKUP(D2984,기본!$B$3:$C$90,2,0)</f>
        <v>#N/A</v>
      </c>
      <c r="G2984" t="e">
        <f>VLOOKUP(E2984,기본!$F$3:$G$320,2,0)</f>
        <v>#N/A</v>
      </c>
      <c r="H2984" s="544"/>
    </row>
    <row r="2985" spans="3:8">
      <c r="C2985" s="545" t="e">
        <f>VLOOKUP(D2985,기본!$B$3:$C$90,2,0)</f>
        <v>#N/A</v>
      </c>
      <c r="G2985" t="e">
        <f>VLOOKUP(E2985,기본!$F$3:$G$320,2,0)</f>
        <v>#N/A</v>
      </c>
      <c r="H2985" s="544"/>
    </row>
    <row r="2986" spans="3:8">
      <c r="C2986" s="545" t="e">
        <f>VLOOKUP(D2986,기본!$B$3:$C$90,2,0)</f>
        <v>#N/A</v>
      </c>
      <c r="G2986" t="e">
        <f>VLOOKUP(E2986,기본!$F$3:$G$320,2,0)</f>
        <v>#N/A</v>
      </c>
      <c r="H2986" s="544"/>
    </row>
    <row r="2987" spans="3:8">
      <c r="C2987" s="545" t="e">
        <f>VLOOKUP(D2987,기본!$B$3:$C$90,2,0)</f>
        <v>#N/A</v>
      </c>
      <c r="G2987" t="e">
        <f>VLOOKUP(E2987,기본!$F$3:$G$320,2,0)</f>
        <v>#N/A</v>
      </c>
      <c r="H2987" s="544"/>
    </row>
    <row r="2988" spans="3:8">
      <c r="C2988" s="545" t="e">
        <f>VLOOKUP(D2988,기본!$B$3:$C$90,2,0)</f>
        <v>#N/A</v>
      </c>
      <c r="G2988" t="e">
        <f>VLOOKUP(E2988,기본!$F$3:$G$320,2,0)</f>
        <v>#N/A</v>
      </c>
      <c r="H2988" s="544"/>
    </row>
    <row r="2989" spans="3:8">
      <c r="C2989" s="545" t="e">
        <f>VLOOKUP(D2989,기본!$B$3:$C$90,2,0)</f>
        <v>#N/A</v>
      </c>
      <c r="G2989" t="e">
        <f>VLOOKUP(E2989,기본!$F$3:$G$320,2,0)</f>
        <v>#N/A</v>
      </c>
      <c r="H2989" s="544"/>
    </row>
    <row r="2990" spans="3:8">
      <c r="C2990" s="545" t="e">
        <f>VLOOKUP(D2990,기본!$B$3:$C$90,2,0)</f>
        <v>#N/A</v>
      </c>
      <c r="G2990" t="e">
        <f>VLOOKUP(E2990,기본!$F$3:$G$320,2,0)</f>
        <v>#N/A</v>
      </c>
      <c r="H2990" s="544"/>
    </row>
    <row r="2991" spans="3:8">
      <c r="C2991" s="545" t="e">
        <f>VLOOKUP(D2991,기본!$B$3:$C$90,2,0)</f>
        <v>#N/A</v>
      </c>
      <c r="G2991" t="e">
        <f>VLOOKUP(E2991,기본!$F$3:$G$320,2,0)</f>
        <v>#N/A</v>
      </c>
      <c r="H2991" s="544"/>
    </row>
    <row r="2992" spans="3:8">
      <c r="C2992" s="545" t="e">
        <f>VLOOKUP(D2992,기본!$B$3:$C$90,2,0)</f>
        <v>#N/A</v>
      </c>
      <c r="G2992" t="e">
        <f>VLOOKUP(E2992,기본!$F$3:$G$320,2,0)</f>
        <v>#N/A</v>
      </c>
      <c r="H2992" s="544"/>
    </row>
    <row r="2993" spans="3:8">
      <c r="C2993" s="545" t="e">
        <f>VLOOKUP(D2993,기본!$B$3:$C$90,2,0)</f>
        <v>#N/A</v>
      </c>
      <c r="G2993" t="e">
        <f>VLOOKUP(E2993,기본!$F$3:$G$320,2,0)</f>
        <v>#N/A</v>
      </c>
      <c r="H2993" s="544"/>
    </row>
    <row r="2994" spans="3:8">
      <c r="C2994" s="545" t="e">
        <f>VLOOKUP(D2994,기본!$B$3:$C$90,2,0)</f>
        <v>#N/A</v>
      </c>
      <c r="G2994" t="e">
        <f>VLOOKUP(E2994,기본!$F$3:$G$320,2,0)</f>
        <v>#N/A</v>
      </c>
      <c r="H2994" s="544"/>
    </row>
    <row r="2995" spans="3:8">
      <c r="C2995" s="545" t="e">
        <f>VLOOKUP(D2995,기본!$B$3:$C$90,2,0)</f>
        <v>#N/A</v>
      </c>
      <c r="G2995" t="e">
        <f>VLOOKUP(E2995,기본!$F$3:$G$320,2,0)</f>
        <v>#N/A</v>
      </c>
      <c r="H2995" s="544"/>
    </row>
    <row r="2996" spans="3:8">
      <c r="C2996" s="545" t="e">
        <f>VLOOKUP(D2996,기본!$B$3:$C$90,2,0)</f>
        <v>#N/A</v>
      </c>
      <c r="G2996" t="e">
        <f>VLOOKUP(E2996,기본!$F$3:$G$320,2,0)</f>
        <v>#N/A</v>
      </c>
      <c r="H2996" s="544"/>
    </row>
    <row r="2997" spans="3:8">
      <c r="C2997" s="545" t="e">
        <f>VLOOKUP(D2997,기본!$B$3:$C$90,2,0)</f>
        <v>#N/A</v>
      </c>
      <c r="G2997" t="e">
        <f>VLOOKUP(E2997,기본!$F$3:$G$320,2,0)</f>
        <v>#N/A</v>
      </c>
      <c r="H2997" s="544"/>
    </row>
    <row r="2998" spans="3:8">
      <c r="C2998" s="545" t="e">
        <f>VLOOKUP(D2998,기본!$B$3:$C$90,2,0)</f>
        <v>#N/A</v>
      </c>
      <c r="G2998" t="e">
        <f>VLOOKUP(E2998,기본!$F$3:$G$320,2,0)</f>
        <v>#N/A</v>
      </c>
      <c r="H2998" s="544"/>
    </row>
    <row r="2999" spans="3:8">
      <c r="C2999" s="545" t="e">
        <f>VLOOKUP(D2999,기본!$B$3:$C$90,2,0)</f>
        <v>#N/A</v>
      </c>
      <c r="G2999" t="e">
        <f>VLOOKUP(E2999,기본!$F$3:$G$320,2,0)</f>
        <v>#N/A</v>
      </c>
      <c r="H2999" s="544"/>
    </row>
    <row r="3000" spans="3:8">
      <c r="C3000" s="545" t="e">
        <f>VLOOKUP(D3000,기본!$B$3:$C$90,2,0)</f>
        <v>#N/A</v>
      </c>
      <c r="G3000" t="e">
        <f>VLOOKUP(E3000,기본!$F$3:$G$320,2,0)</f>
        <v>#N/A</v>
      </c>
      <c r="H3000" s="544"/>
    </row>
    <row r="3001" spans="3:8">
      <c r="C3001" s="545" t="e">
        <f>VLOOKUP(D3001,기본!$B$3:$C$90,2,0)</f>
        <v>#N/A</v>
      </c>
      <c r="G3001" t="e">
        <f>VLOOKUP(E3001,기본!$F$3:$G$320,2,0)</f>
        <v>#N/A</v>
      </c>
      <c r="H3001" s="544"/>
    </row>
    <row r="3002" spans="3:8">
      <c r="C3002" s="545" t="e">
        <f>VLOOKUP(D3002,기본!$B$3:$C$90,2,0)</f>
        <v>#N/A</v>
      </c>
      <c r="G3002" t="e">
        <f>VLOOKUP(E3002,기본!$F$3:$G$320,2,0)</f>
        <v>#N/A</v>
      </c>
      <c r="H3002" s="544"/>
    </row>
    <row r="3003" spans="3:8">
      <c r="C3003" s="545" t="e">
        <f>VLOOKUP(D3003,기본!$B$3:$C$90,2,0)</f>
        <v>#N/A</v>
      </c>
      <c r="G3003" t="e">
        <f>VLOOKUP(E3003,기본!$F$3:$G$320,2,0)</f>
        <v>#N/A</v>
      </c>
      <c r="H3003" s="544"/>
    </row>
    <row r="3004" spans="3:8">
      <c r="C3004" s="545" t="e">
        <f>VLOOKUP(D3004,기본!$B$3:$C$90,2,0)</f>
        <v>#N/A</v>
      </c>
      <c r="G3004" t="e">
        <f>VLOOKUP(E3004,기본!$F$3:$G$320,2,0)</f>
        <v>#N/A</v>
      </c>
      <c r="H3004" s="544"/>
    </row>
    <row r="3005" spans="3:8">
      <c r="C3005" s="545" t="e">
        <f>VLOOKUP(D3005,기본!$B$3:$C$90,2,0)</f>
        <v>#N/A</v>
      </c>
      <c r="G3005" t="e">
        <f>VLOOKUP(E3005,기본!$F$3:$G$320,2,0)</f>
        <v>#N/A</v>
      </c>
      <c r="H3005" s="544"/>
    </row>
    <row r="3006" spans="3:8">
      <c r="C3006" s="545" t="e">
        <f>VLOOKUP(D3006,기본!$B$3:$C$90,2,0)</f>
        <v>#N/A</v>
      </c>
      <c r="G3006" t="e">
        <f>VLOOKUP(E3006,기본!$F$3:$G$320,2,0)</f>
        <v>#N/A</v>
      </c>
      <c r="H3006" s="544"/>
    </row>
    <row r="3007" spans="3:8">
      <c r="C3007" s="545" t="e">
        <f>VLOOKUP(D3007,기본!$B$3:$C$90,2,0)</f>
        <v>#N/A</v>
      </c>
      <c r="G3007" t="e">
        <f>VLOOKUP(E3007,기본!$F$3:$G$320,2,0)</f>
        <v>#N/A</v>
      </c>
      <c r="H3007" s="544"/>
    </row>
    <row r="3008" spans="3:8">
      <c r="C3008" s="545" t="e">
        <f>VLOOKUP(D3008,기본!$B$3:$C$90,2,0)</f>
        <v>#N/A</v>
      </c>
      <c r="G3008" t="e">
        <f>VLOOKUP(E3008,기본!$F$3:$G$320,2,0)</f>
        <v>#N/A</v>
      </c>
      <c r="H3008" s="544"/>
    </row>
    <row r="3009" spans="3:8">
      <c r="C3009" s="545" t="e">
        <f>VLOOKUP(D3009,기본!$B$3:$C$90,2,0)</f>
        <v>#N/A</v>
      </c>
      <c r="G3009" t="e">
        <f>VLOOKUP(E3009,기본!$F$3:$G$320,2,0)</f>
        <v>#N/A</v>
      </c>
      <c r="H3009" s="544"/>
    </row>
    <row r="3010" spans="3:8">
      <c r="C3010" s="545" t="e">
        <f>VLOOKUP(D3010,기본!$B$3:$C$90,2,0)</f>
        <v>#N/A</v>
      </c>
      <c r="G3010" t="e">
        <f>VLOOKUP(E3010,기본!$F$3:$G$320,2,0)</f>
        <v>#N/A</v>
      </c>
      <c r="H3010" s="544"/>
    </row>
    <row r="3011" spans="3:8">
      <c r="C3011" s="545" t="e">
        <f>VLOOKUP(D3011,기본!$B$3:$C$90,2,0)</f>
        <v>#N/A</v>
      </c>
      <c r="G3011" t="e">
        <f>VLOOKUP(E3011,기본!$F$3:$G$320,2,0)</f>
        <v>#N/A</v>
      </c>
      <c r="H3011" s="544"/>
    </row>
    <row r="3012" spans="3:8">
      <c r="C3012" s="545" t="e">
        <f>VLOOKUP(D3012,기본!$B$3:$C$90,2,0)</f>
        <v>#N/A</v>
      </c>
      <c r="G3012" t="e">
        <f>VLOOKUP(E3012,기본!$F$3:$G$320,2,0)</f>
        <v>#N/A</v>
      </c>
      <c r="H3012" s="544"/>
    </row>
    <row r="3013" spans="3:8">
      <c r="C3013" s="545" t="e">
        <f>VLOOKUP(D3013,기본!$B$3:$C$90,2,0)</f>
        <v>#N/A</v>
      </c>
      <c r="G3013" t="e">
        <f>VLOOKUP(E3013,기본!$F$3:$G$320,2,0)</f>
        <v>#N/A</v>
      </c>
      <c r="H3013" s="544"/>
    </row>
    <row r="3014" spans="3:8">
      <c r="C3014" s="545" t="e">
        <f>VLOOKUP(D3014,기본!$B$3:$C$90,2,0)</f>
        <v>#N/A</v>
      </c>
      <c r="G3014" t="e">
        <f>VLOOKUP(E3014,기본!$F$3:$G$320,2,0)</f>
        <v>#N/A</v>
      </c>
      <c r="H3014" s="544"/>
    </row>
    <row r="3015" spans="3:8">
      <c r="C3015" s="545" t="e">
        <f>VLOOKUP(D3015,기본!$B$3:$C$90,2,0)</f>
        <v>#N/A</v>
      </c>
      <c r="G3015" t="e">
        <f>VLOOKUP(E3015,기본!$F$3:$G$320,2,0)</f>
        <v>#N/A</v>
      </c>
      <c r="H3015" s="544"/>
    </row>
    <row r="3016" spans="3:8">
      <c r="C3016" s="545" t="e">
        <f>VLOOKUP(D3016,기본!$B$3:$C$90,2,0)</f>
        <v>#N/A</v>
      </c>
      <c r="G3016" t="e">
        <f>VLOOKUP(E3016,기본!$F$3:$G$320,2,0)</f>
        <v>#N/A</v>
      </c>
      <c r="H3016" s="544"/>
    </row>
    <row r="3017" spans="3:8">
      <c r="C3017" s="545" t="e">
        <f>VLOOKUP(D3017,기본!$B$3:$C$90,2,0)</f>
        <v>#N/A</v>
      </c>
      <c r="G3017" t="e">
        <f>VLOOKUP(E3017,기본!$F$3:$G$320,2,0)</f>
        <v>#N/A</v>
      </c>
      <c r="H3017" s="544"/>
    </row>
    <row r="3018" spans="3:8">
      <c r="C3018" s="545" t="e">
        <f>VLOOKUP(D3018,기본!$B$3:$C$90,2,0)</f>
        <v>#N/A</v>
      </c>
      <c r="G3018" t="e">
        <f>VLOOKUP(E3018,기본!$F$3:$G$320,2,0)</f>
        <v>#N/A</v>
      </c>
      <c r="H3018" s="544"/>
    </row>
    <row r="3019" spans="3:8">
      <c r="C3019" s="545" t="e">
        <f>VLOOKUP(D3019,기본!$B$3:$C$90,2,0)</f>
        <v>#N/A</v>
      </c>
      <c r="G3019" t="e">
        <f>VLOOKUP(E3019,기본!$F$3:$G$320,2,0)</f>
        <v>#N/A</v>
      </c>
      <c r="H3019" s="544"/>
    </row>
    <row r="3020" spans="3:8">
      <c r="C3020" s="545" t="e">
        <f>VLOOKUP(D3020,기본!$B$3:$C$90,2,0)</f>
        <v>#N/A</v>
      </c>
      <c r="G3020" t="e">
        <f>VLOOKUP(E3020,기본!$F$3:$G$320,2,0)</f>
        <v>#N/A</v>
      </c>
      <c r="H3020" s="544"/>
    </row>
    <row r="3021" spans="3:8">
      <c r="C3021" s="545" t="e">
        <f>VLOOKUP(D3021,기본!$B$3:$C$90,2,0)</f>
        <v>#N/A</v>
      </c>
      <c r="G3021" t="e">
        <f>VLOOKUP(E3021,기본!$F$3:$G$320,2,0)</f>
        <v>#N/A</v>
      </c>
      <c r="H3021" s="544"/>
    </row>
    <row r="3022" spans="3:8">
      <c r="C3022" s="545" t="e">
        <f>VLOOKUP(D3022,기본!$B$3:$C$90,2,0)</f>
        <v>#N/A</v>
      </c>
      <c r="G3022" t="e">
        <f>VLOOKUP(E3022,기본!$F$3:$G$320,2,0)</f>
        <v>#N/A</v>
      </c>
      <c r="H3022" s="544"/>
    </row>
    <row r="3023" spans="3:8">
      <c r="C3023" s="545" t="e">
        <f>VLOOKUP(D3023,기본!$B$3:$C$90,2,0)</f>
        <v>#N/A</v>
      </c>
      <c r="G3023" t="e">
        <f>VLOOKUP(E3023,기본!$F$3:$G$320,2,0)</f>
        <v>#N/A</v>
      </c>
      <c r="H3023" s="544"/>
    </row>
    <row r="3024" spans="3:8">
      <c r="C3024" s="545" t="e">
        <f>VLOOKUP(D3024,기본!$B$3:$C$90,2,0)</f>
        <v>#N/A</v>
      </c>
      <c r="G3024" t="e">
        <f>VLOOKUP(E3024,기본!$F$3:$G$320,2,0)</f>
        <v>#N/A</v>
      </c>
      <c r="H3024" s="544"/>
    </row>
    <row r="3025" spans="3:8">
      <c r="C3025" s="545" t="e">
        <f>VLOOKUP(D3025,기본!$B$3:$C$90,2,0)</f>
        <v>#N/A</v>
      </c>
      <c r="G3025" t="e">
        <f>VLOOKUP(E3025,기본!$F$3:$G$320,2,0)</f>
        <v>#N/A</v>
      </c>
      <c r="H3025" s="544"/>
    </row>
    <row r="3026" spans="3:8">
      <c r="C3026" s="545" t="e">
        <f>VLOOKUP(D3026,기본!$B$3:$C$90,2,0)</f>
        <v>#N/A</v>
      </c>
      <c r="G3026" t="e">
        <f>VLOOKUP(E3026,기본!$F$3:$G$320,2,0)</f>
        <v>#N/A</v>
      </c>
      <c r="H3026" s="544"/>
    </row>
    <row r="3027" spans="3:8">
      <c r="C3027" s="545" t="e">
        <f>VLOOKUP(D3027,기본!$B$3:$C$90,2,0)</f>
        <v>#N/A</v>
      </c>
      <c r="G3027" t="e">
        <f>VLOOKUP(E3027,기본!$F$3:$G$320,2,0)</f>
        <v>#N/A</v>
      </c>
      <c r="H3027" s="544"/>
    </row>
    <row r="3028" spans="3:8">
      <c r="C3028" s="545" t="e">
        <f>VLOOKUP(D3028,기본!$B$3:$C$90,2,0)</f>
        <v>#N/A</v>
      </c>
      <c r="G3028" t="e">
        <f>VLOOKUP(E3028,기본!$F$3:$G$320,2,0)</f>
        <v>#N/A</v>
      </c>
      <c r="H3028" s="544"/>
    </row>
    <row r="3029" spans="3:8">
      <c r="C3029" s="545" t="e">
        <f>VLOOKUP(D3029,기본!$B$3:$C$90,2,0)</f>
        <v>#N/A</v>
      </c>
      <c r="G3029" t="e">
        <f>VLOOKUP(E3029,기본!$F$3:$G$320,2,0)</f>
        <v>#N/A</v>
      </c>
      <c r="H3029" s="544"/>
    </row>
    <row r="3030" spans="3:8">
      <c r="C3030" s="545" t="e">
        <f>VLOOKUP(D3030,기본!$B$3:$C$90,2,0)</f>
        <v>#N/A</v>
      </c>
      <c r="G3030" t="e">
        <f>VLOOKUP(E3030,기본!$F$3:$G$320,2,0)</f>
        <v>#N/A</v>
      </c>
      <c r="H3030" s="544"/>
    </row>
    <row r="3031" spans="3:8">
      <c r="C3031" s="545" t="e">
        <f>VLOOKUP(D3031,기본!$B$3:$C$90,2,0)</f>
        <v>#N/A</v>
      </c>
      <c r="G3031" t="e">
        <f>VLOOKUP(E3031,기본!$F$3:$G$320,2,0)</f>
        <v>#N/A</v>
      </c>
      <c r="H3031" s="544"/>
    </row>
    <row r="3032" spans="3:8">
      <c r="C3032" s="545" t="e">
        <f>VLOOKUP(D3032,기본!$B$3:$C$90,2,0)</f>
        <v>#N/A</v>
      </c>
      <c r="G3032" t="e">
        <f>VLOOKUP(E3032,기본!$F$3:$G$320,2,0)</f>
        <v>#N/A</v>
      </c>
      <c r="H3032" s="544"/>
    </row>
    <row r="3033" spans="3:8">
      <c r="C3033" s="545" t="e">
        <f>VLOOKUP(D3033,기본!$B$3:$C$90,2,0)</f>
        <v>#N/A</v>
      </c>
      <c r="G3033" t="e">
        <f>VLOOKUP(E3033,기본!$F$3:$G$320,2,0)</f>
        <v>#N/A</v>
      </c>
      <c r="H3033" s="544"/>
    </row>
    <row r="3034" spans="3:8">
      <c r="C3034" s="545" t="e">
        <f>VLOOKUP(D3034,기본!$B$3:$C$90,2,0)</f>
        <v>#N/A</v>
      </c>
      <c r="G3034" t="e">
        <f>VLOOKUP(E3034,기본!$F$3:$G$320,2,0)</f>
        <v>#N/A</v>
      </c>
      <c r="H3034" s="544"/>
    </row>
    <row r="3035" spans="3:8">
      <c r="C3035" s="545" t="e">
        <f>VLOOKUP(D3035,기본!$B$3:$C$90,2,0)</f>
        <v>#N/A</v>
      </c>
      <c r="G3035" t="e">
        <f>VLOOKUP(E3035,기본!$F$3:$G$320,2,0)</f>
        <v>#N/A</v>
      </c>
      <c r="H3035" s="544"/>
    </row>
    <row r="3036" spans="3:8">
      <c r="C3036" s="545" t="e">
        <f>VLOOKUP(D3036,기본!$B$3:$C$90,2,0)</f>
        <v>#N/A</v>
      </c>
      <c r="G3036" t="e">
        <f>VLOOKUP(E3036,기본!$F$3:$G$320,2,0)</f>
        <v>#N/A</v>
      </c>
      <c r="H3036" s="544"/>
    </row>
    <row r="3037" spans="3:8">
      <c r="C3037" s="545" t="e">
        <f>VLOOKUP(D3037,기본!$B$3:$C$90,2,0)</f>
        <v>#N/A</v>
      </c>
      <c r="G3037" t="e">
        <f>VLOOKUP(E3037,기본!$F$3:$G$320,2,0)</f>
        <v>#N/A</v>
      </c>
      <c r="H3037" s="544"/>
    </row>
    <row r="3038" spans="3:8">
      <c r="C3038" s="545" t="e">
        <f>VLOOKUP(D3038,기본!$B$3:$C$90,2,0)</f>
        <v>#N/A</v>
      </c>
      <c r="G3038" t="e">
        <f>VLOOKUP(E3038,기본!$F$3:$G$320,2,0)</f>
        <v>#N/A</v>
      </c>
      <c r="H3038" s="544"/>
    </row>
    <row r="3039" spans="3:8">
      <c r="C3039" s="545" t="e">
        <f>VLOOKUP(D3039,기본!$B$3:$C$90,2,0)</f>
        <v>#N/A</v>
      </c>
      <c r="G3039" t="e">
        <f>VLOOKUP(E3039,기본!$F$3:$G$320,2,0)</f>
        <v>#N/A</v>
      </c>
      <c r="H3039" s="544"/>
    </row>
    <row r="3040" spans="3:8">
      <c r="C3040" s="545" t="e">
        <f>VLOOKUP(D3040,기본!$B$3:$C$90,2,0)</f>
        <v>#N/A</v>
      </c>
      <c r="G3040" t="e">
        <f>VLOOKUP(E3040,기본!$F$3:$G$320,2,0)</f>
        <v>#N/A</v>
      </c>
      <c r="H3040" s="544"/>
    </row>
    <row r="3041" spans="3:8">
      <c r="C3041" s="545" t="e">
        <f>VLOOKUP(D3041,기본!$B$3:$C$90,2,0)</f>
        <v>#N/A</v>
      </c>
      <c r="G3041" t="e">
        <f>VLOOKUP(E3041,기본!$F$3:$G$320,2,0)</f>
        <v>#N/A</v>
      </c>
      <c r="H3041" s="544"/>
    </row>
    <row r="3042" spans="3:8">
      <c r="C3042" s="545" t="e">
        <f>VLOOKUP(D3042,기본!$B$3:$C$90,2,0)</f>
        <v>#N/A</v>
      </c>
      <c r="G3042" t="e">
        <f>VLOOKUP(E3042,기본!$F$3:$G$320,2,0)</f>
        <v>#N/A</v>
      </c>
      <c r="H3042" s="544"/>
    </row>
    <row r="3043" spans="3:8">
      <c r="C3043" s="545" t="e">
        <f>VLOOKUP(D3043,기본!$B$3:$C$90,2,0)</f>
        <v>#N/A</v>
      </c>
      <c r="G3043" t="e">
        <f>VLOOKUP(E3043,기본!$F$3:$G$320,2,0)</f>
        <v>#N/A</v>
      </c>
      <c r="H3043" s="544"/>
    </row>
    <row r="3044" spans="3:8">
      <c r="C3044" s="545" t="e">
        <f>VLOOKUP(D3044,기본!$B$3:$C$90,2,0)</f>
        <v>#N/A</v>
      </c>
      <c r="G3044" t="e">
        <f>VLOOKUP(E3044,기본!$F$3:$G$320,2,0)</f>
        <v>#N/A</v>
      </c>
      <c r="H3044" s="544"/>
    </row>
    <row r="3045" spans="3:8">
      <c r="C3045" s="545" t="e">
        <f>VLOOKUP(D3045,기본!$B$3:$C$90,2,0)</f>
        <v>#N/A</v>
      </c>
      <c r="G3045" t="e">
        <f>VLOOKUP(E3045,기본!$F$3:$G$320,2,0)</f>
        <v>#N/A</v>
      </c>
      <c r="H3045" s="544"/>
    </row>
    <row r="3046" spans="3:8">
      <c r="C3046" s="545" t="e">
        <f>VLOOKUP(D3046,기본!$B$3:$C$90,2,0)</f>
        <v>#N/A</v>
      </c>
      <c r="G3046" t="e">
        <f>VLOOKUP(E3046,기본!$F$3:$G$320,2,0)</f>
        <v>#N/A</v>
      </c>
      <c r="H3046" s="544"/>
    </row>
    <row r="3047" spans="3:8">
      <c r="C3047" s="545" t="e">
        <f>VLOOKUP(D3047,기본!$B$3:$C$90,2,0)</f>
        <v>#N/A</v>
      </c>
      <c r="G3047" t="e">
        <f>VLOOKUP(E3047,기본!$F$3:$G$320,2,0)</f>
        <v>#N/A</v>
      </c>
      <c r="H3047" s="544"/>
    </row>
    <row r="3048" spans="3:8">
      <c r="C3048" s="545" t="e">
        <f>VLOOKUP(D3048,기본!$B$3:$C$90,2,0)</f>
        <v>#N/A</v>
      </c>
      <c r="G3048" t="e">
        <f>VLOOKUP(E3048,기본!$F$3:$G$320,2,0)</f>
        <v>#N/A</v>
      </c>
      <c r="H3048" s="544"/>
    </row>
    <row r="3049" spans="3:8">
      <c r="C3049" s="545" t="e">
        <f>VLOOKUP(D3049,기본!$B$3:$C$90,2,0)</f>
        <v>#N/A</v>
      </c>
      <c r="G3049" t="e">
        <f>VLOOKUP(E3049,기본!$F$3:$G$320,2,0)</f>
        <v>#N/A</v>
      </c>
      <c r="H3049" s="544"/>
    </row>
    <row r="3050" spans="3:8">
      <c r="C3050" s="545" t="e">
        <f>VLOOKUP(D3050,기본!$B$3:$C$90,2,0)</f>
        <v>#N/A</v>
      </c>
      <c r="G3050" t="e">
        <f>VLOOKUP(E3050,기본!$F$3:$G$320,2,0)</f>
        <v>#N/A</v>
      </c>
      <c r="H3050" s="544"/>
    </row>
    <row r="3051" spans="3:8">
      <c r="C3051" s="545" t="e">
        <f>VLOOKUP(D3051,기본!$B$3:$C$90,2,0)</f>
        <v>#N/A</v>
      </c>
      <c r="G3051" t="e">
        <f>VLOOKUP(E3051,기본!$F$3:$G$320,2,0)</f>
        <v>#N/A</v>
      </c>
      <c r="H3051" s="544"/>
    </row>
    <row r="3052" spans="3:8">
      <c r="C3052" s="545" t="e">
        <f>VLOOKUP(D3052,기본!$B$3:$C$90,2,0)</f>
        <v>#N/A</v>
      </c>
      <c r="G3052" t="e">
        <f>VLOOKUP(E3052,기본!$F$3:$G$320,2,0)</f>
        <v>#N/A</v>
      </c>
      <c r="H3052" s="544"/>
    </row>
    <row r="3053" spans="3:8">
      <c r="C3053" s="545" t="e">
        <f>VLOOKUP(D3053,기본!$B$3:$C$90,2,0)</f>
        <v>#N/A</v>
      </c>
      <c r="G3053" t="e">
        <f>VLOOKUP(E3053,기본!$F$3:$G$320,2,0)</f>
        <v>#N/A</v>
      </c>
      <c r="H3053" s="544"/>
    </row>
    <row r="3054" spans="3:8">
      <c r="C3054" s="545" t="e">
        <f>VLOOKUP(D3054,기본!$B$3:$C$90,2,0)</f>
        <v>#N/A</v>
      </c>
      <c r="G3054" t="e">
        <f>VLOOKUP(E3054,기본!$F$3:$G$320,2,0)</f>
        <v>#N/A</v>
      </c>
      <c r="H3054" s="544"/>
    </row>
    <row r="3055" spans="3:8">
      <c r="C3055" s="545" t="e">
        <f>VLOOKUP(D3055,기본!$B$3:$C$90,2,0)</f>
        <v>#N/A</v>
      </c>
      <c r="G3055" t="e">
        <f>VLOOKUP(E3055,기본!$F$3:$G$320,2,0)</f>
        <v>#N/A</v>
      </c>
      <c r="H3055" s="544"/>
    </row>
    <row r="3056" spans="3:8">
      <c r="C3056" s="545" t="e">
        <f>VLOOKUP(D3056,기본!$B$3:$C$90,2,0)</f>
        <v>#N/A</v>
      </c>
      <c r="G3056" t="e">
        <f>VLOOKUP(E3056,기본!$F$3:$G$320,2,0)</f>
        <v>#N/A</v>
      </c>
      <c r="H3056" s="544"/>
    </row>
    <row r="3057" spans="3:8">
      <c r="C3057" s="545" t="e">
        <f>VLOOKUP(D3057,기본!$B$3:$C$90,2,0)</f>
        <v>#N/A</v>
      </c>
      <c r="G3057" t="e">
        <f>VLOOKUP(E3057,기본!$F$3:$G$320,2,0)</f>
        <v>#N/A</v>
      </c>
      <c r="H3057" s="544"/>
    </row>
    <row r="3058" spans="3:8">
      <c r="C3058" s="545" t="e">
        <f>VLOOKUP(D3058,기본!$B$3:$C$90,2,0)</f>
        <v>#N/A</v>
      </c>
      <c r="G3058" t="e">
        <f>VLOOKUP(E3058,기본!$F$3:$G$320,2,0)</f>
        <v>#N/A</v>
      </c>
      <c r="H3058" s="544"/>
    </row>
    <row r="3059" spans="3:8">
      <c r="C3059" s="545" t="e">
        <f>VLOOKUP(D3059,기본!$B$3:$C$90,2,0)</f>
        <v>#N/A</v>
      </c>
      <c r="G3059" t="e">
        <f>VLOOKUP(E3059,기본!$F$3:$G$320,2,0)</f>
        <v>#N/A</v>
      </c>
      <c r="H3059" s="544"/>
    </row>
    <row r="3060" spans="3:8">
      <c r="C3060" s="545" t="e">
        <f>VLOOKUP(D3060,기본!$B$3:$C$90,2,0)</f>
        <v>#N/A</v>
      </c>
      <c r="G3060" t="e">
        <f>VLOOKUP(E3060,기본!$F$3:$G$320,2,0)</f>
        <v>#N/A</v>
      </c>
      <c r="H3060" s="544"/>
    </row>
    <row r="3061" spans="3:8">
      <c r="C3061" s="545" t="e">
        <f>VLOOKUP(D3061,기본!$B$3:$C$90,2,0)</f>
        <v>#N/A</v>
      </c>
      <c r="G3061" t="e">
        <f>VLOOKUP(E3061,기본!$F$3:$G$320,2,0)</f>
        <v>#N/A</v>
      </c>
      <c r="H3061" s="544"/>
    </row>
    <row r="3062" spans="3:8">
      <c r="C3062" s="545" t="e">
        <f>VLOOKUP(D3062,기본!$B$3:$C$90,2,0)</f>
        <v>#N/A</v>
      </c>
      <c r="G3062" t="e">
        <f>VLOOKUP(E3062,기본!$F$3:$G$320,2,0)</f>
        <v>#N/A</v>
      </c>
      <c r="H3062" s="544"/>
    </row>
    <row r="3063" spans="3:8">
      <c r="C3063" s="545" t="e">
        <f>VLOOKUP(D3063,기본!$B$3:$C$90,2,0)</f>
        <v>#N/A</v>
      </c>
      <c r="G3063" t="e">
        <f>VLOOKUP(E3063,기본!$F$3:$G$320,2,0)</f>
        <v>#N/A</v>
      </c>
      <c r="H3063" s="544"/>
    </row>
    <row r="3064" spans="3:8">
      <c r="C3064" s="545" t="e">
        <f>VLOOKUP(D3064,기본!$B$3:$C$90,2,0)</f>
        <v>#N/A</v>
      </c>
      <c r="G3064" t="e">
        <f>VLOOKUP(E3064,기본!$F$3:$G$320,2,0)</f>
        <v>#N/A</v>
      </c>
      <c r="H3064" s="544"/>
    </row>
    <row r="3065" spans="3:8">
      <c r="C3065" s="545" t="e">
        <f>VLOOKUP(D3065,기본!$B$3:$C$90,2,0)</f>
        <v>#N/A</v>
      </c>
      <c r="G3065" t="e">
        <f>VLOOKUP(E3065,기본!$F$3:$G$320,2,0)</f>
        <v>#N/A</v>
      </c>
      <c r="H3065" s="544"/>
    </row>
    <row r="3066" spans="3:8">
      <c r="C3066" s="545" t="e">
        <f>VLOOKUP(D3066,기본!$B$3:$C$90,2,0)</f>
        <v>#N/A</v>
      </c>
      <c r="G3066" t="e">
        <f>VLOOKUP(E3066,기본!$F$3:$G$320,2,0)</f>
        <v>#N/A</v>
      </c>
      <c r="H3066" s="544"/>
    </row>
    <row r="3067" spans="3:8">
      <c r="C3067" s="545" t="e">
        <f>VLOOKUP(D3067,기본!$B$3:$C$90,2,0)</f>
        <v>#N/A</v>
      </c>
      <c r="G3067" t="e">
        <f>VLOOKUP(E3067,기본!$F$3:$G$320,2,0)</f>
        <v>#N/A</v>
      </c>
      <c r="H3067" s="544"/>
    </row>
    <row r="3068" spans="3:8">
      <c r="C3068" s="545" t="e">
        <f>VLOOKUP(D3068,기본!$B$3:$C$90,2,0)</f>
        <v>#N/A</v>
      </c>
      <c r="G3068" t="e">
        <f>VLOOKUP(E3068,기본!$F$3:$G$320,2,0)</f>
        <v>#N/A</v>
      </c>
      <c r="H3068" s="544"/>
    </row>
    <row r="3069" spans="3:8">
      <c r="C3069" s="545" t="e">
        <f>VLOOKUP(D3069,기본!$B$3:$C$90,2,0)</f>
        <v>#N/A</v>
      </c>
      <c r="G3069" t="e">
        <f>VLOOKUP(E3069,기본!$F$3:$G$320,2,0)</f>
        <v>#N/A</v>
      </c>
      <c r="H3069" s="544"/>
    </row>
    <row r="3070" spans="3:8">
      <c r="C3070" s="545" t="e">
        <f>VLOOKUP(D3070,기본!$B$3:$C$90,2,0)</f>
        <v>#N/A</v>
      </c>
      <c r="G3070" t="e">
        <f>VLOOKUP(E3070,기본!$F$3:$G$320,2,0)</f>
        <v>#N/A</v>
      </c>
      <c r="H3070" s="544"/>
    </row>
    <row r="3071" spans="3:8">
      <c r="C3071" s="545" t="e">
        <f>VLOOKUP(D3071,기본!$B$3:$C$90,2,0)</f>
        <v>#N/A</v>
      </c>
      <c r="G3071" t="e">
        <f>VLOOKUP(E3071,기본!$F$3:$G$320,2,0)</f>
        <v>#N/A</v>
      </c>
      <c r="H3071" s="544"/>
    </row>
    <row r="3072" spans="3:8">
      <c r="C3072" s="545" t="e">
        <f>VLOOKUP(D3072,기본!$B$3:$C$90,2,0)</f>
        <v>#N/A</v>
      </c>
      <c r="G3072" t="e">
        <f>VLOOKUP(E3072,기본!$F$3:$G$320,2,0)</f>
        <v>#N/A</v>
      </c>
      <c r="H3072" s="544"/>
    </row>
    <row r="3073" spans="3:8">
      <c r="C3073" s="545" t="e">
        <f>VLOOKUP(D3073,기본!$B$3:$C$90,2,0)</f>
        <v>#N/A</v>
      </c>
      <c r="G3073" t="e">
        <f>VLOOKUP(E3073,기본!$F$3:$G$320,2,0)</f>
        <v>#N/A</v>
      </c>
      <c r="H3073" s="544"/>
    </row>
    <row r="3074" spans="3:8">
      <c r="C3074" s="545" t="e">
        <f>VLOOKUP(D3074,기본!$B$3:$C$90,2,0)</f>
        <v>#N/A</v>
      </c>
      <c r="G3074" t="e">
        <f>VLOOKUP(E3074,기본!$F$3:$G$320,2,0)</f>
        <v>#N/A</v>
      </c>
      <c r="H3074" s="544"/>
    </row>
    <row r="3075" spans="3:8">
      <c r="C3075" s="545" t="e">
        <f>VLOOKUP(D3075,기본!$B$3:$C$90,2,0)</f>
        <v>#N/A</v>
      </c>
      <c r="G3075" t="e">
        <f>VLOOKUP(E3075,기본!$F$3:$G$320,2,0)</f>
        <v>#N/A</v>
      </c>
      <c r="H3075" s="544"/>
    </row>
    <row r="3076" spans="3:8">
      <c r="C3076" s="545" t="e">
        <f>VLOOKUP(D3076,기본!$B$3:$C$90,2,0)</f>
        <v>#N/A</v>
      </c>
      <c r="G3076" t="e">
        <f>VLOOKUP(E3076,기본!$F$3:$G$320,2,0)</f>
        <v>#N/A</v>
      </c>
      <c r="H3076" s="544"/>
    </row>
    <row r="3077" spans="3:8">
      <c r="C3077" s="545" t="e">
        <f>VLOOKUP(D3077,기본!$B$3:$C$90,2,0)</f>
        <v>#N/A</v>
      </c>
      <c r="G3077" t="e">
        <f>VLOOKUP(E3077,기본!$F$3:$G$320,2,0)</f>
        <v>#N/A</v>
      </c>
      <c r="H3077" s="544"/>
    </row>
    <row r="3078" spans="3:8">
      <c r="C3078" s="545" t="e">
        <f>VLOOKUP(D3078,기본!$B$3:$C$90,2,0)</f>
        <v>#N/A</v>
      </c>
      <c r="G3078" t="e">
        <f>VLOOKUP(E3078,기본!$F$3:$G$320,2,0)</f>
        <v>#N/A</v>
      </c>
      <c r="H3078" s="544"/>
    </row>
    <row r="3079" spans="3:8">
      <c r="C3079" s="545" t="e">
        <f>VLOOKUP(D3079,기본!$B$3:$C$90,2,0)</f>
        <v>#N/A</v>
      </c>
      <c r="G3079" t="e">
        <f>VLOOKUP(E3079,기본!$F$3:$G$320,2,0)</f>
        <v>#N/A</v>
      </c>
      <c r="H3079" s="544"/>
    </row>
    <row r="3080" spans="3:8">
      <c r="C3080" s="545" t="e">
        <f>VLOOKUP(D3080,기본!$B$3:$C$90,2,0)</f>
        <v>#N/A</v>
      </c>
      <c r="G3080" t="e">
        <f>VLOOKUP(E3080,기본!$F$3:$G$320,2,0)</f>
        <v>#N/A</v>
      </c>
      <c r="H3080" s="544"/>
    </row>
    <row r="3081" spans="3:8">
      <c r="C3081" s="545" t="e">
        <f>VLOOKUP(D3081,기본!$B$3:$C$90,2,0)</f>
        <v>#N/A</v>
      </c>
      <c r="G3081" t="e">
        <f>VLOOKUP(E3081,기본!$F$3:$G$320,2,0)</f>
        <v>#N/A</v>
      </c>
      <c r="H3081" s="544"/>
    </row>
    <row r="3082" spans="3:8">
      <c r="C3082" s="545" t="e">
        <f>VLOOKUP(D3082,기본!$B$3:$C$90,2,0)</f>
        <v>#N/A</v>
      </c>
      <c r="G3082" t="e">
        <f>VLOOKUP(E3082,기본!$F$3:$G$320,2,0)</f>
        <v>#N/A</v>
      </c>
      <c r="H3082" s="544"/>
    </row>
    <row r="3083" spans="3:8">
      <c r="C3083" s="545" t="e">
        <f>VLOOKUP(D3083,기본!$B$3:$C$90,2,0)</f>
        <v>#N/A</v>
      </c>
      <c r="G3083" t="e">
        <f>VLOOKUP(E3083,기본!$F$3:$G$320,2,0)</f>
        <v>#N/A</v>
      </c>
      <c r="H3083" s="544"/>
    </row>
    <row r="3084" spans="3:8">
      <c r="C3084" s="545" t="e">
        <f>VLOOKUP(D3084,기본!$B$3:$C$90,2,0)</f>
        <v>#N/A</v>
      </c>
      <c r="G3084" t="e">
        <f>VLOOKUP(E3084,기본!$F$3:$G$320,2,0)</f>
        <v>#N/A</v>
      </c>
      <c r="H3084" s="544"/>
    </row>
    <row r="3085" spans="3:8">
      <c r="C3085" s="545" t="e">
        <f>VLOOKUP(D3085,기본!$B$3:$C$90,2,0)</f>
        <v>#N/A</v>
      </c>
      <c r="G3085" t="e">
        <f>VLOOKUP(E3085,기본!$F$3:$G$320,2,0)</f>
        <v>#N/A</v>
      </c>
      <c r="H3085" s="544"/>
    </row>
    <row r="3086" spans="3:8">
      <c r="C3086" s="545" t="e">
        <f>VLOOKUP(D3086,기본!$B$3:$C$90,2,0)</f>
        <v>#N/A</v>
      </c>
      <c r="G3086" t="e">
        <f>VLOOKUP(E3086,기본!$F$3:$G$320,2,0)</f>
        <v>#N/A</v>
      </c>
      <c r="H3086" s="544"/>
    </row>
    <row r="3087" spans="3:8">
      <c r="C3087" s="545" t="e">
        <f>VLOOKUP(D3087,기본!$B$3:$C$90,2,0)</f>
        <v>#N/A</v>
      </c>
      <c r="G3087" t="e">
        <f>VLOOKUP(E3087,기본!$F$3:$G$320,2,0)</f>
        <v>#N/A</v>
      </c>
      <c r="H3087" s="544"/>
    </row>
    <row r="3088" spans="3:8">
      <c r="C3088" s="545" t="e">
        <f>VLOOKUP(D3088,기본!$B$3:$C$90,2,0)</f>
        <v>#N/A</v>
      </c>
      <c r="G3088" t="e">
        <f>VLOOKUP(E3088,기본!$F$3:$G$320,2,0)</f>
        <v>#N/A</v>
      </c>
      <c r="H3088" s="544"/>
    </row>
    <row r="3089" spans="3:8">
      <c r="C3089" s="545" t="e">
        <f>VLOOKUP(D3089,기본!$B$3:$C$90,2,0)</f>
        <v>#N/A</v>
      </c>
      <c r="G3089" t="e">
        <f>VLOOKUP(E3089,기본!$F$3:$G$320,2,0)</f>
        <v>#N/A</v>
      </c>
      <c r="H3089" s="544"/>
    </row>
    <row r="3090" spans="3:8">
      <c r="C3090" s="545" t="e">
        <f>VLOOKUP(D3090,기본!$B$3:$C$90,2,0)</f>
        <v>#N/A</v>
      </c>
      <c r="G3090" t="e">
        <f>VLOOKUP(E3090,기본!$F$3:$G$320,2,0)</f>
        <v>#N/A</v>
      </c>
      <c r="H3090" s="544"/>
    </row>
    <row r="3091" spans="3:8">
      <c r="C3091" s="545" t="e">
        <f>VLOOKUP(D3091,기본!$B$3:$C$90,2,0)</f>
        <v>#N/A</v>
      </c>
      <c r="G3091" t="e">
        <f>VLOOKUP(E3091,기본!$F$3:$G$320,2,0)</f>
        <v>#N/A</v>
      </c>
      <c r="H3091" s="544"/>
    </row>
    <row r="3092" spans="3:8">
      <c r="C3092" s="545" t="e">
        <f>VLOOKUP(D3092,기본!$B$3:$C$90,2,0)</f>
        <v>#N/A</v>
      </c>
      <c r="G3092" t="e">
        <f>VLOOKUP(E3092,기본!$F$3:$G$320,2,0)</f>
        <v>#N/A</v>
      </c>
      <c r="H3092" s="544"/>
    </row>
    <row r="3093" spans="3:8">
      <c r="C3093" s="545" t="e">
        <f>VLOOKUP(D3093,기본!$B$3:$C$90,2,0)</f>
        <v>#N/A</v>
      </c>
      <c r="G3093" t="e">
        <f>VLOOKUP(E3093,기본!$F$3:$G$320,2,0)</f>
        <v>#N/A</v>
      </c>
      <c r="H3093" s="544"/>
    </row>
    <row r="3094" spans="3:8">
      <c r="C3094" s="545" t="e">
        <f>VLOOKUP(D3094,기본!$B$3:$C$90,2,0)</f>
        <v>#N/A</v>
      </c>
      <c r="G3094" t="e">
        <f>VLOOKUP(E3094,기본!$F$3:$G$320,2,0)</f>
        <v>#N/A</v>
      </c>
      <c r="H3094" s="544"/>
    </row>
    <row r="3095" spans="3:8">
      <c r="C3095" s="545" t="e">
        <f>VLOOKUP(D3095,기본!$B$3:$C$90,2,0)</f>
        <v>#N/A</v>
      </c>
      <c r="G3095" t="e">
        <f>VLOOKUP(E3095,기본!$F$3:$G$320,2,0)</f>
        <v>#N/A</v>
      </c>
      <c r="H3095" s="544"/>
    </row>
    <row r="3096" spans="3:8">
      <c r="C3096" s="545" t="e">
        <f>VLOOKUP(D3096,기본!$B$3:$C$90,2,0)</f>
        <v>#N/A</v>
      </c>
      <c r="G3096" t="e">
        <f>VLOOKUP(E3096,기본!$F$3:$G$320,2,0)</f>
        <v>#N/A</v>
      </c>
      <c r="H3096" s="544"/>
    </row>
    <row r="3097" spans="3:8">
      <c r="C3097" s="545" t="e">
        <f>VLOOKUP(D3097,기본!$B$3:$C$90,2,0)</f>
        <v>#N/A</v>
      </c>
      <c r="G3097" t="e">
        <f>VLOOKUP(E3097,기본!$F$3:$G$320,2,0)</f>
        <v>#N/A</v>
      </c>
      <c r="H3097" s="544"/>
    </row>
    <row r="3098" spans="3:8">
      <c r="C3098" s="545" t="e">
        <f>VLOOKUP(D3098,기본!$B$3:$C$90,2,0)</f>
        <v>#N/A</v>
      </c>
      <c r="G3098" t="e">
        <f>VLOOKUP(E3098,기본!$F$3:$G$320,2,0)</f>
        <v>#N/A</v>
      </c>
      <c r="H3098" s="544"/>
    </row>
    <row r="3099" spans="3:8">
      <c r="C3099" s="545" t="e">
        <f>VLOOKUP(D3099,기본!$B$3:$C$90,2,0)</f>
        <v>#N/A</v>
      </c>
      <c r="G3099" t="e">
        <f>VLOOKUP(E3099,기본!$F$3:$G$320,2,0)</f>
        <v>#N/A</v>
      </c>
      <c r="H3099" s="544"/>
    </row>
    <row r="3100" spans="3:8">
      <c r="C3100" s="545" t="e">
        <f>VLOOKUP(D3100,기본!$B$3:$C$90,2,0)</f>
        <v>#N/A</v>
      </c>
      <c r="G3100" t="e">
        <f>VLOOKUP(E3100,기본!$F$3:$G$320,2,0)</f>
        <v>#N/A</v>
      </c>
      <c r="H3100" s="544"/>
    </row>
    <row r="3101" spans="3:8">
      <c r="C3101" s="545" t="e">
        <f>VLOOKUP(D3101,기본!$B$3:$C$90,2,0)</f>
        <v>#N/A</v>
      </c>
      <c r="G3101" t="e">
        <f>VLOOKUP(E3101,기본!$F$3:$G$320,2,0)</f>
        <v>#N/A</v>
      </c>
      <c r="H3101" s="544"/>
    </row>
    <row r="3102" spans="3:8">
      <c r="C3102" s="545" t="e">
        <f>VLOOKUP(D3102,기본!$B$3:$C$90,2,0)</f>
        <v>#N/A</v>
      </c>
      <c r="G3102" t="e">
        <f>VLOOKUP(E3102,기본!$F$3:$G$320,2,0)</f>
        <v>#N/A</v>
      </c>
      <c r="H3102" s="544"/>
    </row>
    <row r="3103" spans="3:8">
      <c r="C3103" s="545" t="e">
        <f>VLOOKUP(D3103,기본!$B$3:$C$90,2,0)</f>
        <v>#N/A</v>
      </c>
      <c r="G3103" t="e">
        <f>VLOOKUP(E3103,기본!$F$3:$G$320,2,0)</f>
        <v>#N/A</v>
      </c>
      <c r="H3103" s="544"/>
    </row>
    <row r="3104" spans="3:8">
      <c r="C3104" s="545" t="e">
        <f>VLOOKUP(D3104,기본!$B$3:$C$90,2,0)</f>
        <v>#N/A</v>
      </c>
      <c r="G3104" t="e">
        <f>VLOOKUP(E3104,기본!$F$3:$G$320,2,0)</f>
        <v>#N/A</v>
      </c>
      <c r="H3104" s="544"/>
    </row>
    <row r="3105" spans="3:8">
      <c r="C3105" s="545" t="e">
        <f>VLOOKUP(D3105,기본!$B$3:$C$90,2,0)</f>
        <v>#N/A</v>
      </c>
      <c r="G3105" t="e">
        <f>VLOOKUP(E3105,기본!$F$3:$G$320,2,0)</f>
        <v>#N/A</v>
      </c>
      <c r="H3105" s="544"/>
    </row>
    <row r="3106" spans="3:8">
      <c r="C3106" s="545" t="e">
        <f>VLOOKUP(D3106,기본!$B$3:$C$90,2,0)</f>
        <v>#N/A</v>
      </c>
      <c r="G3106" t="e">
        <f>VLOOKUP(E3106,기본!$F$3:$G$320,2,0)</f>
        <v>#N/A</v>
      </c>
      <c r="H3106" s="544"/>
    </row>
    <row r="3107" spans="3:8">
      <c r="C3107" s="545" t="e">
        <f>VLOOKUP(D3107,기본!$B$3:$C$90,2,0)</f>
        <v>#N/A</v>
      </c>
      <c r="G3107" t="e">
        <f>VLOOKUP(E3107,기본!$F$3:$G$320,2,0)</f>
        <v>#N/A</v>
      </c>
      <c r="H3107" s="544"/>
    </row>
    <row r="3108" spans="3:8">
      <c r="C3108" s="545" t="e">
        <f>VLOOKUP(D3108,기본!$B$3:$C$90,2,0)</f>
        <v>#N/A</v>
      </c>
      <c r="G3108" t="e">
        <f>VLOOKUP(E3108,기본!$F$3:$G$320,2,0)</f>
        <v>#N/A</v>
      </c>
      <c r="H3108" s="544"/>
    </row>
    <row r="3109" spans="3:8">
      <c r="C3109" s="545" t="e">
        <f>VLOOKUP(D3109,기본!$B$3:$C$90,2,0)</f>
        <v>#N/A</v>
      </c>
      <c r="G3109" t="e">
        <f>VLOOKUP(E3109,기본!$F$3:$G$320,2,0)</f>
        <v>#N/A</v>
      </c>
      <c r="H3109" s="544"/>
    </row>
    <row r="3110" spans="3:8">
      <c r="C3110" s="545" t="e">
        <f>VLOOKUP(D3110,기본!$B$3:$C$90,2,0)</f>
        <v>#N/A</v>
      </c>
      <c r="G3110" t="e">
        <f>VLOOKUP(E3110,기본!$F$3:$G$320,2,0)</f>
        <v>#N/A</v>
      </c>
      <c r="H3110" s="544"/>
    </row>
    <row r="3111" spans="3:8">
      <c r="C3111" s="545" t="e">
        <f>VLOOKUP(D3111,기본!$B$3:$C$90,2,0)</f>
        <v>#N/A</v>
      </c>
      <c r="G3111" t="e">
        <f>VLOOKUP(E3111,기본!$F$3:$G$320,2,0)</f>
        <v>#N/A</v>
      </c>
      <c r="H3111" s="544"/>
    </row>
    <row r="3112" spans="3:8">
      <c r="C3112" s="545" t="e">
        <f>VLOOKUP(D3112,기본!$B$3:$C$90,2,0)</f>
        <v>#N/A</v>
      </c>
      <c r="G3112" t="e">
        <f>VLOOKUP(E3112,기본!$F$3:$G$320,2,0)</f>
        <v>#N/A</v>
      </c>
      <c r="H3112" s="544"/>
    </row>
    <row r="3113" spans="3:8">
      <c r="C3113" s="545" t="e">
        <f>VLOOKUP(D3113,기본!$B$3:$C$90,2,0)</f>
        <v>#N/A</v>
      </c>
      <c r="G3113" t="e">
        <f>VLOOKUP(E3113,기본!$F$3:$G$320,2,0)</f>
        <v>#N/A</v>
      </c>
      <c r="H3113" s="544"/>
    </row>
    <row r="3114" spans="3:8">
      <c r="C3114" s="545" t="e">
        <f>VLOOKUP(D3114,기본!$B$3:$C$90,2,0)</f>
        <v>#N/A</v>
      </c>
      <c r="G3114" t="e">
        <f>VLOOKUP(E3114,기본!$F$3:$G$320,2,0)</f>
        <v>#N/A</v>
      </c>
      <c r="H3114" s="544"/>
    </row>
    <row r="3115" spans="3:8">
      <c r="C3115" s="545" t="e">
        <f>VLOOKUP(D3115,기본!$B$3:$C$90,2,0)</f>
        <v>#N/A</v>
      </c>
      <c r="G3115" t="e">
        <f>VLOOKUP(E3115,기본!$F$3:$G$320,2,0)</f>
        <v>#N/A</v>
      </c>
      <c r="H3115" s="544"/>
    </row>
    <row r="3116" spans="3:8">
      <c r="C3116" s="545" t="e">
        <f>VLOOKUP(D3116,기본!$B$3:$C$90,2,0)</f>
        <v>#N/A</v>
      </c>
      <c r="G3116" t="e">
        <f>VLOOKUP(E3116,기본!$F$3:$G$320,2,0)</f>
        <v>#N/A</v>
      </c>
      <c r="H3116" s="544"/>
    </row>
    <row r="3117" spans="3:8">
      <c r="C3117" s="545" t="e">
        <f>VLOOKUP(D3117,기본!$B$3:$C$90,2,0)</f>
        <v>#N/A</v>
      </c>
      <c r="G3117" t="e">
        <f>VLOOKUP(E3117,기본!$F$3:$G$320,2,0)</f>
        <v>#N/A</v>
      </c>
      <c r="H3117" s="544"/>
    </row>
    <row r="3118" spans="3:8">
      <c r="C3118" s="545" t="e">
        <f>VLOOKUP(D3118,기본!$B$3:$C$90,2,0)</f>
        <v>#N/A</v>
      </c>
      <c r="G3118" t="e">
        <f>VLOOKUP(E3118,기본!$F$3:$G$320,2,0)</f>
        <v>#N/A</v>
      </c>
      <c r="H3118" s="544"/>
    </row>
    <row r="3119" spans="3:8">
      <c r="C3119" s="545" t="e">
        <f>VLOOKUP(D3119,기본!$B$3:$C$90,2,0)</f>
        <v>#N/A</v>
      </c>
      <c r="G3119" t="e">
        <f>VLOOKUP(E3119,기본!$F$3:$G$320,2,0)</f>
        <v>#N/A</v>
      </c>
      <c r="H3119" s="544"/>
    </row>
    <row r="3120" spans="3:8">
      <c r="C3120" s="545" t="e">
        <f>VLOOKUP(D3120,기본!$B$3:$C$90,2,0)</f>
        <v>#N/A</v>
      </c>
      <c r="G3120" t="e">
        <f>VLOOKUP(E3120,기본!$F$3:$G$320,2,0)</f>
        <v>#N/A</v>
      </c>
      <c r="H3120" s="544"/>
    </row>
    <row r="3121" spans="3:8">
      <c r="C3121" s="545" t="e">
        <f>VLOOKUP(D3121,기본!$B$3:$C$90,2,0)</f>
        <v>#N/A</v>
      </c>
      <c r="G3121" t="e">
        <f>VLOOKUP(E3121,기본!$F$3:$G$320,2,0)</f>
        <v>#N/A</v>
      </c>
      <c r="H3121" s="544"/>
    </row>
    <row r="3122" spans="3:8">
      <c r="C3122" s="545" t="e">
        <f>VLOOKUP(D3122,기본!$B$3:$C$90,2,0)</f>
        <v>#N/A</v>
      </c>
      <c r="G3122" t="e">
        <f>VLOOKUP(E3122,기본!$F$3:$G$320,2,0)</f>
        <v>#N/A</v>
      </c>
      <c r="H3122" s="544"/>
    </row>
    <row r="3123" spans="3:8">
      <c r="C3123" s="545" t="e">
        <f>VLOOKUP(D3123,기본!$B$3:$C$90,2,0)</f>
        <v>#N/A</v>
      </c>
      <c r="G3123" t="e">
        <f>VLOOKUP(E3123,기본!$F$3:$G$320,2,0)</f>
        <v>#N/A</v>
      </c>
      <c r="H3123" s="544"/>
    </row>
    <row r="3124" spans="3:8">
      <c r="C3124" s="545" t="e">
        <f>VLOOKUP(D3124,기본!$B$3:$C$90,2,0)</f>
        <v>#N/A</v>
      </c>
      <c r="G3124" t="e">
        <f>VLOOKUP(E3124,기본!$F$3:$G$320,2,0)</f>
        <v>#N/A</v>
      </c>
      <c r="H3124" s="544"/>
    </row>
    <row r="3125" spans="3:8">
      <c r="C3125" s="545" t="e">
        <f>VLOOKUP(D3125,기본!$B$3:$C$90,2,0)</f>
        <v>#N/A</v>
      </c>
      <c r="G3125" t="e">
        <f>VLOOKUP(E3125,기본!$F$3:$G$320,2,0)</f>
        <v>#N/A</v>
      </c>
      <c r="H3125" s="544"/>
    </row>
    <row r="3126" spans="3:8">
      <c r="C3126" s="545" t="e">
        <f>VLOOKUP(D3126,기본!$B$3:$C$90,2,0)</f>
        <v>#N/A</v>
      </c>
      <c r="G3126" t="e">
        <f>VLOOKUP(E3126,기본!$F$3:$G$320,2,0)</f>
        <v>#N/A</v>
      </c>
      <c r="H3126" s="544"/>
    </row>
    <row r="3127" spans="3:8">
      <c r="C3127" s="545" t="e">
        <f>VLOOKUP(D3127,기본!$B$3:$C$90,2,0)</f>
        <v>#N/A</v>
      </c>
      <c r="G3127" t="e">
        <f>VLOOKUP(E3127,기본!$F$3:$G$320,2,0)</f>
        <v>#N/A</v>
      </c>
      <c r="H3127" s="544"/>
    </row>
    <row r="3128" spans="3:8">
      <c r="C3128" s="545" t="e">
        <f>VLOOKUP(D3128,기본!$B$3:$C$90,2,0)</f>
        <v>#N/A</v>
      </c>
      <c r="G3128" t="e">
        <f>VLOOKUP(E3128,기본!$F$3:$G$320,2,0)</f>
        <v>#N/A</v>
      </c>
      <c r="H3128" s="544"/>
    </row>
    <row r="3129" spans="3:8">
      <c r="C3129" s="545" t="e">
        <f>VLOOKUP(D3129,기본!$B$3:$C$90,2,0)</f>
        <v>#N/A</v>
      </c>
      <c r="G3129" t="e">
        <f>VLOOKUP(E3129,기본!$F$3:$G$320,2,0)</f>
        <v>#N/A</v>
      </c>
      <c r="H3129" s="544"/>
    </row>
    <row r="3130" spans="3:8">
      <c r="C3130" s="545" t="e">
        <f>VLOOKUP(D3130,기본!$B$3:$C$90,2,0)</f>
        <v>#N/A</v>
      </c>
      <c r="G3130" t="e">
        <f>VLOOKUP(E3130,기본!$F$3:$G$320,2,0)</f>
        <v>#N/A</v>
      </c>
      <c r="H3130" s="544"/>
    </row>
    <row r="3131" spans="3:8">
      <c r="C3131" s="545" t="e">
        <f>VLOOKUP(D3131,기본!$B$3:$C$90,2,0)</f>
        <v>#N/A</v>
      </c>
      <c r="G3131" t="e">
        <f>VLOOKUP(E3131,기본!$F$3:$G$320,2,0)</f>
        <v>#N/A</v>
      </c>
      <c r="H3131" s="544"/>
    </row>
    <row r="3132" spans="3:8">
      <c r="C3132" s="545" t="e">
        <f>VLOOKUP(D3132,기본!$B$3:$C$90,2,0)</f>
        <v>#N/A</v>
      </c>
      <c r="G3132" t="e">
        <f>VLOOKUP(E3132,기본!$F$3:$G$320,2,0)</f>
        <v>#N/A</v>
      </c>
      <c r="H3132" s="544"/>
    </row>
    <row r="3133" spans="3:8">
      <c r="C3133" s="545" t="e">
        <f>VLOOKUP(D3133,기본!$B$3:$C$90,2,0)</f>
        <v>#N/A</v>
      </c>
      <c r="G3133" t="e">
        <f>VLOOKUP(E3133,기본!$F$3:$G$320,2,0)</f>
        <v>#N/A</v>
      </c>
      <c r="H3133" s="544"/>
    </row>
    <row r="3134" spans="3:8">
      <c r="C3134" s="545" t="e">
        <f>VLOOKUP(D3134,기본!$B$3:$C$90,2,0)</f>
        <v>#N/A</v>
      </c>
      <c r="G3134" t="e">
        <f>VLOOKUP(E3134,기본!$F$3:$G$320,2,0)</f>
        <v>#N/A</v>
      </c>
      <c r="H3134" s="544"/>
    </row>
    <row r="3135" spans="3:8">
      <c r="C3135" s="545" t="e">
        <f>VLOOKUP(D3135,기본!$B$3:$C$90,2,0)</f>
        <v>#N/A</v>
      </c>
      <c r="G3135" t="e">
        <f>VLOOKUP(E3135,기본!$F$3:$G$320,2,0)</f>
        <v>#N/A</v>
      </c>
      <c r="H3135" s="544"/>
    </row>
    <row r="3136" spans="3:8">
      <c r="C3136" s="545" t="e">
        <f>VLOOKUP(D3136,기본!$B$3:$C$90,2,0)</f>
        <v>#N/A</v>
      </c>
      <c r="G3136" t="e">
        <f>VLOOKUP(E3136,기본!$F$3:$G$320,2,0)</f>
        <v>#N/A</v>
      </c>
      <c r="H3136" s="544"/>
    </row>
    <row r="3137" spans="3:8">
      <c r="C3137" s="545" t="e">
        <f>VLOOKUP(D3137,기본!$B$3:$C$90,2,0)</f>
        <v>#N/A</v>
      </c>
      <c r="G3137" t="e">
        <f>VLOOKUP(E3137,기본!$F$3:$G$320,2,0)</f>
        <v>#N/A</v>
      </c>
      <c r="H3137" s="544"/>
    </row>
    <row r="3138" spans="3:8">
      <c r="C3138" s="545" t="e">
        <f>VLOOKUP(D3138,기본!$B$3:$C$90,2,0)</f>
        <v>#N/A</v>
      </c>
      <c r="G3138" t="e">
        <f>VLOOKUP(E3138,기본!$F$3:$G$320,2,0)</f>
        <v>#N/A</v>
      </c>
      <c r="H3138" s="544"/>
    </row>
    <row r="3139" spans="3:8">
      <c r="C3139" s="545" t="e">
        <f>VLOOKUP(D3139,기본!$B$3:$C$90,2,0)</f>
        <v>#N/A</v>
      </c>
      <c r="G3139" t="e">
        <f>VLOOKUP(E3139,기본!$F$3:$G$320,2,0)</f>
        <v>#N/A</v>
      </c>
      <c r="H3139" s="544"/>
    </row>
    <row r="3140" spans="3:8">
      <c r="C3140" s="545" t="e">
        <f>VLOOKUP(D3140,기본!$B$3:$C$90,2,0)</f>
        <v>#N/A</v>
      </c>
      <c r="G3140" t="e">
        <f>VLOOKUP(E3140,기본!$F$3:$G$320,2,0)</f>
        <v>#N/A</v>
      </c>
      <c r="H3140" s="544"/>
    </row>
    <row r="3141" spans="3:8">
      <c r="C3141" s="545" t="e">
        <f>VLOOKUP(D3141,기본!$B$3:$C$90,2,0)</f>
        <v>#N/A</v>
      </c>
      <c r="G3141" t="e">
        <f>VLOOKUP(E3141,기본!$F$3:$G$320,2,0)</f>
        <v>#N/A</v>
      </c>
      <c r="H3141" s="544"/>
    </row>
    <row r="3142" spans="3:8">
      <c r="C3142" s="545" t="e">
        <f>VLOOKUP(D3142,기본!$B$3:$C$90,2,0)</f>
        <v>#N/A</v>
      </c>
      <c r="G3142" t="e">
        <f>VLOOKUP(E3142,기본!$F$3:$G$320,2,0)</f>
        <v>#N/A</v>
      </c>
      <c r="H3142" s="544"/>
    </row>
    <row r="3143" spans="3:8">
      <c r="C3143" s="545" t="e">
        <f>VLOOKUP(D3143,기본!$B$3:$C$90,2,0)</f>
        <v>#N/A</v>
      </c>
      <c r="G3143" t="e">
        <f>VLOOKUP(E3143,기본!$F$3:$G$320,2,0)</f>
        <v>#N/A</v>
      </c>
      <c r="H3143" s="544"/>
    </row>
    <row r="3144" spans="3:8">
      <c r="C3144" s="545" t="e">
        <f>VLOOKUP(D3144,기본!$B$3:$C$90,2,0)</f>
        <v>#N/A</v>
      </c>
      <c r="G3144" t="e">
        <f>VLOOKUP(E3144,기본!$F$3:$G$320,2,0)</f>
        <v>#N/A</v>
      </c>
      <c r="H3144" s="544"/>
    </row>
    <row r="3145" spans="3:8">
      <c r="C3145" s="545" t="e">
        <f>VLOOKUP(D3145,기본!$B$3:$C$90,2,0)</f>
        <v>#N/A</v>
      </c>
      <c r="G3145" t="e">
        <f>VLOOKUP(E3145,기본!$F$3:$G$320,2,0)</f>
        <v>#N/A</v>
      </c>
      <c r="H3145" s="544"/>
    </row>
    <row r="3146" spans="3:8">
      <c r="C3146" s="545" t="e">
        <f>VLOOKUP(D3146,기본!$B$3:$C$90,2,0)</f>
        <v>#N/A</v>
      </c>
      <c r="G3146" t="e">
        <f>VLOOKUP(E3146,기본!$F$3:$G$320,2,0)</f>
        <v>#N/A</v>
      </c>
      <c r="H3146" s="544"/>
    </row>
    <row r="3147" spans="3:8">
      <c r="C3147" s="545" t="e">
        <f>VLOOKUP(D3147,기본!$B$3:$C$90,2,0)</f>
        <v>#N/A</v>
      </c>
      <c r="G3147" t="e">
        <f>VLOOKUP(E3147,기본!$F$3:$G$320,2,0)</f>
        <v>#N/A</v>
      </c>
      <c r="H3147" s="544"/>
    </row>
    <row r="3148" spans="3:8">
      <c r="C3148" s="545" t="e">
        <f>VLOOKUP(D3148,기본!$B$3:$C$90,2,0)</f>
        <v>#N/A</v>
      </c>
      <c r="G3148" t="e">
        <f>VLOOKUP(E3148,기본!$F$3:$G$320,2,0)</f>
        <v>#N/A</v>
      </c>
      <c r="H3148" s="544"/>
    </row>
    <row r="3149" spans="3:8">
      <c r="C3149" s="545" t="e">
        <f>VLOOKUP(D3149,기본!$B$3:$C$90,2,0)</f>
        <v>#N/A</v>
      </c>
      <c r="G3149" t="e">
        <f>VLOOKUP(E3149,기본!$F$3:$G$320,2,0)</f>
        <v>#N/A</v>
      </c>
      <c r="H3149" s="544"/>
    </row>
    <row r="3150" spans="3:8">
      <c r="C3150" s="545" t="e">
        <f>VLOOKUP(D3150,기본!$B$3:$C$90,2,0)</f>
        <v>#N/A</v>
      </c>
      <c r="G3150" t="e">
        <f>VLOOKUP(E3150,기본!$F$3:$G$320,2,0)</f>
        <v>#N/A</v>
      </c>
      <c r="H3150" s="544"/>
    </row>
    <row r="3151" spans="3:8">
      <c r="C3151" s="545" t="e">
        <f>VLOOKUP(D3151,기본!$B$3:$C$90,2,0)</f>
        <v>#N/A</v>
      </c>
      <c r="G3151" t="e">
        <f>VLOOKUP(E3151,기본!$F$3:$G$320,2,0)</f>
        <v>#N/A</v>
      </c>
      <c r="H3151" s="544"/>
    </row>
    <row r="3152" spans="3:8">
      <c r="C3152" s="545" t="e">
        <f>VLOOKUP(D3152,기본!$B$3:$C$90,2,0)</f>
        <v>#N/A</v>
      </c>
      <c r="G3152" t="e">
        <f>VLOOKUP(E3152,기본!$F$3:$G$320,2,0)</f>
        <v>#N/A</v>
      </c>
      <c r="H3152" s="544"/>
    </row>
    <row r="3153" spans="3:8">
      <c r="C3153" s="545" t="e">
        <f>VLOOKUP(D3153,기본!$B$3:$C$90,2,0)</f>
        <v>#N/A</v>
      </c>
      <c r="G3153" t="e">
        <f>VLOOKUP(E3153,기본!$F$3:$G$320,2,0)</f>
        <v>#N/A</v>
      </c>
      <c r="H3153" s="544"/>
    </row>
    <row r="3154" spans="3:8">
      <c r="C3154" s="545" t="e">
        <f>VLOOKUP(D3154,기본!$B$3:$C$90,2,0)</f>
        <v>#N/A</v>
      </c>
      <c r="G3154" t="e">
        <f>VLOOKUP(E3154,기본!$F$3:$G$320,2,0)</f>
        <v>#N/A</v>
      </c>
      <c r="H3154" s="544"/>
    </row>
    <row r="3155" spans="3:8">
      <c r="C3155" s="545" t="e">
        <f>VLOOKUP(D3155,기본!$B$3:$C$90,2,0)</f>
        <v>#N/A</v>
      </c>
      <c r="G3155" t="e">
        <f>VLOOKUP(E3155,기본!$F$3:$G$320,2,0)</f>
        <v>#N/A</v>
      </c>
      <c r="H3155" s="544"/>
    </row>
    <row r="3156" spans="3:8">
      <c r="C3156" s="545" t="e">
        <f>VLOOKUP(D3156,기본!$B$3:$C$90,2,0)</f>
        <v>#N/A</v>
      </c>
      <c r="G3156" t="e">
        <f>VLOOKUP(E3156,기본!$F$3:$G$320,2,0)</f>
        <v>#N/A</v>
      </c>
      <c r="H3156" s="544"/>
    </row>
    <row r="3157" spans="3:8">
      <c r="C3157" s="545" t="e">
        <f>VLOOKUP(D3157,기본!$B$3:$C$90,2,0)</f>
        <v>#N/A</v>
      </c>
      <c r="G3157" t="e">
        <f>VLOOKUP(E3157,기본!$F$3:$G$320,2,0)</f>
        <v>#N/A</v>
      </c>
      <c r="H3157" s="544"/>
    </row>
    <row r="3158" spans="3:8">
      <c r="C3158" s="545" t="e">
        <f>VLOOKUP(D3158,기본!$B$3:$C$90,2,0)</f>
        <v>#N/A</v>
      </c>
      <c r="G3158" t="e">
        <f>VLOOKUP(E3158,기본!$F$3:$G$320,2,0)</f>
        <v>#N/A</v>
      </c>
      <c r="H3158" s="544"/>
    </row>
    <row r="3159" spans="3:8">
      <c r="C3159" s="545" t="e">
        <f>VLOOKUP(D3159,기본!$B$3:$C$90,2,0)</f>
        <v>#N/A</v>
      </c>
      <c r="G3159" t="e">
        <f>VLOOKUP(E3159,기본!$F$3:$G$320,2,0)</f>
        <v>#N/A</v>
      </c>
      <c r="H3159" s="544"/>
    </row>
    <row r="3160" spans="3:8">
      <c r="C3160" s="545" t="e">
        <f>VLOOKUP(D3160,기본!$B$3:$C$90,2,0)</f>
        <v>#N/A</v>
      </c>
      <c r="G3160" t="e">
        <f>VLOOKUP(E3160,기본!$F$3:$G$320,2,0)</f>
        <v>#N/A</v>
      </c>
      <c r="H3160" s="544"/>
    </row>
    <row r="3161" spans="3:8">
      <c r="C3161" s="545" t="e">
        <f>VLOOKUP(D3161,기본!$B$3:$C$90,2,0)</f>
        <v>#N/A</v>
      </c>
      <c r="G3161" t="e">
        <f>VLOOKUP(E3161,기본!$F$3:$G$320,2,0)</f>
        <v>#N/A</v>
      </c>
      <c r="H3161" s="544"/>
    </row>
    <row r="3162" spans="3:8">
      <c r="C3162" s="545" t="e">
        <f>VLOOKUP(D3162,기본!$B$3:$C$90,2,0)</f>
        <v>#N/A</v>
      </c>
      <c r="G3162" t="e">
        <f>VLOOKUP(E3162,기본!$F$3:$G$320,2,0)</f>
        <v>#N/A</v>
      </c>
      <c r="H3162" s="544"/>
    </row>
    <row r="3163" spans="3:8">
      <c r="C3163" s="545" t="e">
        <f>VLOOKUP(D3163,기본!$B$3:$C$90,2,0)</f>
        <v>#N/A</v>
      </c>
      <c r="G3163" t="e">
        <f>VLOOKUP(E3163,기본!$F$3:$G$320,2,0)</f>
        <v>#N/A</v>
      </c>
      <c r="H3163" s="544"/>
    </row>
    <row r="3164" spans="3:8">
      <c r="C3164" s="545" t="e">
        <f>VLOOKUP(D3164,기본!$B$3:$C$90,2,0)</f>
        <v>#N/A</v>
      </c>
      <c r="G3164" t="e">
        <f>VLOOKUP(E3164,기본!$F$3:$G$320,2,0)</f>
        <v>#N/A</v>
      </c>
      <c r="H3164" s="544"/>
    </row>
    <row r="3165" spans="3:8">
      <c r="C3165" s="545" t="e">
        <f>VLOOKUP(D3165,기본!$B$3:$C$90,2,0)</f>
        <v>#N/A</v>
      </c>
      <c r="G3165" t="e">
        <f>VLOOKUP(E3165,기본!$F$3:$G$320,2,0)</f>
        <v>#N/A</v>
      </c>
      <c r="H3165" s="544"/>
    </row>
    <row r="3166" spans="3:8">
      <c r="C3166" s="545" t="e">
        <f>VLOOKUP(D3166,기본!$B$3:$C$90,2,0)</f>
        <v>#N/A</v>
      </c>
      <c r="G3166" t="e">
        <f>VLOOKUP(E3166,기본!$F$3:$G$320,2,0)</f>
        <v>#N/A</v>
      </c>
      <c r="H3166" s="544"/>
    </row>
    <row r="3167" spans="3:8">
      <c r="C3167" s="545" t="e">
        <f>VLOOKUP(D3167,기본!$B$3:$C$90,2,0)</f>
        <v>#N/A</v>
      </c>
      <c r="G3167" t="e">
        <f>VLOOKUP(E3167,기본!$F$3:$G$320,2,0)</f>
        <v>#N/A</v>
      </c>
      <c r="H3167" s="544"/>
    </row>
    <row r="3168" spans="3:8">
      <c r="C3168" s="545" t="e">
        <f>VLOOKUP(D3168,기본!$B$3:$C$90,2,0)</f>
        <v>#N/A</v>
      </c>
      <c r="G3168" t="e">
        <f>VLOOKUP(E3168,기본!$F$3:$G$320,2,0)</f>
        <v>#N/A</v>
      </c>
      <c r="H3168" s="544"/>
    </row>
    <row r="3169" spans="3:8">
      <c r="C3169" s="545" t="e">
        <f>VLOOKUP(D3169,기본!$B$3:$C$90,2,0)</f>
        <v>#N/A</v>
      </c>
      <c r="G3169" t="e">
        <f>VLOOKUP(E3169,기본!$F$3:$G$320,2,0)</f>
        <v>#N/A</v>
      </c>
      <c r="H3169" s="544"/>
    </row>
    <row r="3170" spans="3:8">
      <c r="C3170" s="545" t="e">
        <f>VLOOKUP(D3170,기본!$B$3:$C$90,2,0)</f>
        <v>#N/A</v>
      </c>
      <c r="G3170" t="e">
        <f>VLOOKUP(E3170,기본!$F$3:$G$320,2,0)</f>
        <v>#N/A</v>
      </c>
      <c r="H3170" s="544"/>
    </row>
    <row r="3171" spans="3:8">
      <c r="C3171" s="545" t="e">
        <f>VLOOKUP(D3171,기본!$B$3:$C$90,2,0)</f>
        <v>#N/A</v>
      </c>
      <c r="G3171" t="e">
        <f>VLOOKUP(E3171,기본!$F$3:$G$320,2,0)</f>
        <v>#N/A</v>
      </c>
      <c r="H3171" s="544"/>
    </row>
    <row r="3172" spans="3:8">
      <c r="C3172" s="545" t="e">
        <f>VLOOKUP(D3172,기본!$B$3:$C$90,2,0)</f>
        <v>#N/A</v>
      </c>
      <c r="G3172" t="e">
        <f>VLOOKUP(E3172,기본!$F$3:$G$320,2,0)</f>
        <v>#N/A</v>
      </c>
      <c r="H3172" s="544"/>
    </row>
    <row r="3173" spans="3:8">
      <c r="C3173" s="545" t="e">
        <f>VLOOKUP(D3173,기본!$B$3:$C$90,2,0)</f>
        <v>#N/A</v>
      </c>
      <c r="G3173" t="e">
        <f>VLOOKUP(E3173,기본!$F$3:$G$320,2,0)</f>
        <v>#N/A</v>
      </c>
      <c r="H3173" s="544"/>
    </row>
    <row r="3174" spans="3:8">
      <c r="C3174" s="545" t="e">
        <f>VLOOKUP(D3174,기본!$B$3:$C$90,2,0)</f>
        <v>#N/A</v>
      </c>
      <c r="G3174" t="e">
        <f>VLOOKUP(E3174,기본!$F$3:$G$320,2,0)</f>
        <v>#N/A</v>
      </c>
      <c r="H3174" s="544"/>
    </row>
    <row r="3175" spans="3:8">
      <c r="C3175" s="545" t="e">
        <f>VLOOKUP(D3175,기본!$B$3:$C$90,2,0)</f>
        <v>#N/A</v>
      </c>
      <c r="G3175" t="e">
        <f>VLOOKUP(E3175,기본!$F$3:$G$320,2,0)</f>
        <v>#N/A</v>
      </c>
      <c r="H3175" s="544"/>
    </row>
    <row r="3176" spans="3:8">
      <c r="C3176" s="545" t="e">
        <f>VLOOKUP(D3176,기본!$B$3:$C$90,2,0)</f>
        <v>#N/A</v>
      </c>
      <c r="G3176" t="e">
        <f>VLOOKUP(E3176,기본!$F$3:$G$320,2,0)</f>
        <v>#N/A</v>
      </c>
      <c r="H3176" s="544"/>
    </row>
    <row r="3177" spans="3:8">
      <c r="C3177" s="545" t="e">
        <f>VLOOKUP(D3177,기본!$B$3:$C$90,2,0)</f>
        <v>#N/A</v>
      </c>
      <c r="G3177" t="e">
        <f>VLOOKUP(E3177,기본!$F$3:$G$320,2,0)</f>
        <v>#N/A</v>
      </c>
      <c r="H3177" s="544"/>
    </row>
    <row r="3178" spans="3:8">
      <c r="C3178" s="545" t="e">
        <f>VLOOKUP(D3178,기본!$B$3:$C$90,2,0)</f>
        <v>#N/A</v>
      </c>
      <c r="G3178" t="e">
        <f>VLOOKUP(E3178,기본!$F$3:$G$320,2,0)</f>
        <v>#N/A</v>
      </c>
      <c r="H3178" s="544"/>
    </row>
    <row r="3179" spans="3:8">
      <c r="C3179" s="545" t="e">
        <f>VLOOKUP(D3179,기본!$B$3:$C$90,2,0)</f>
        <v>#N/A</v>
      </c>
      <c r="G3179" t="e">
        <f>VLOOKUP(E3179,기본!$F$3:$G$320,2,0)</f>
        <v>#N/A</v>
      </c>
      <c r="H3179" s="544"/>
    </row>
    <row r="3180" spans="3:8">
      <c r="C3180" s="545" t="e">
        <f>VLOOKUP(D3180,기본!$B$3:$C$90,2,0)</f>
        <v>#N/A</v>
      </c>
      <c r="G3180" t="e">
        <f>VLOOKUP(E3180,기본!$F$3:$G$320,2,0)</f>
        <v>#N/A</v>
      </c>
      <c r="H3180" s="544"/>
    </row>
    <row r="3181" spans="3:8">
      <c r="C3181" s="545" t="e">
        <f>VLOOKUP(D3181,기본!$B$3:$C$90,2,0)</f>
        <v>#N/A</v>
      </c>
      <c r="G3181" t="e">
        <f>VLOOKUP(E3181,기본!$F$3:$G$320,2,0)</f>
        <v>#N/A</v>
      </c>
      <c r="H3181" s="544"/>
    </row>
    <row r="3182" spans="3:8">
      <c r="C3182" s="545" t="e">
        <f>VLOOKUP(D3182,기본!$B$3:$C$90,2,0)</f>
        <v>#N/A</v>
      </c>
      <c r="G3182" t="e">
        <f>VLOOKUP(E3182,기본!$F$3:$G$320,2,0)</f>
        <v>#N/A</v>
      </c>
      <c r="H3182" s="544"/>
    </row>
    <row r="3183" spans="3:8">
      <c r="C3183" s="545" t="e">
        <f>VLOOKUP(D3183,기본!$B$3:$C$90,2,0)</f>
        <v>#N/A</v>
      </c>
      <c r="G3183" t="e">
        <f>VLOOKUP(E3183,기본!$F$3:$G$320,2,0)</f>
        <v>#N/A</v>
      </c>
      <c r="H3183" s="544"/>
    </row>
    <row r="3184" spans="3:8">
      <c r="C3184" s="545" t="e">
        <f>VLOOKUP(D3184,기본!$B$3:$C$90,2,0)</f>
        <v>#N/A</v>
      </c>
      <c r="G3184" t="e">
        <f>VLOOKUP(E3184,기본!$F$3:$G$320,2,0)</f>
        <v>#N/A</v>
      </c>
      <c r="H3184" s="544"/>
    </row>
    <row r="3185" spans="3:8">
      <c r="C3185" s="545" t="e">
        <f>VLOOKUP(D3185,기본!$B$3:$C$90,2,0)</f>
        <v>#N/A</v>
      </c>
      <c r="G3185" t="e">
        <f>VLOOKUP(E3185,기본!$F$3:$G$320,2,0)</f>
        <v>#N/A</v>
      </c>
      <c r="H3185" s="544"/>
    </row>
    <row r="3186" spans="3:8">
      <c r="C3186" s="545" t="e">
        <f>VLOOKUP(D3186,기본!$B$3:$C$90,2,0)</f>
        <v>#N/A</v>
      </c>
      <c r="G3186" t="e">
        <f>VLOOKUP(E3186,기본!$F$3:$G$320,2,0)</f>
        <v>#N/A</v>
      </c>
      <c r="H3186" s="544"/>
    </row>
    <row r="3187" spans="3:8">
      <c r="C3187" s="545" t="e">
        <f>VLOOKUP(D3187,기본!$B$3:$C$90,2,0)</f>
        <v>#N/A</v>
      </c>
      <c r="G3187" t="e">
        <f>VLOOKUP(E3187,기본!$F$3:$G$320,2,0)</f>
        <v>#N/A</v>
      </c>
      <c r="H3187" s="544"/>
    </row>
    <row r="3188" spans="3:8">
      <c r="C3188" s="545" t="e">
        <f>VLOOKUP(D3188,기본!$B$3:$C$90,2,0)</f>
        <v>#N/A</v>
      </c>
      <c r="G3188" t="e">
        <f>VLOOKUP(E3188,기본!$F$3:$G$320,2,0)</f>
        <v>#N/A</v>
      </c>
      <c r="H3188" s="544"/>
    </row>
    <row r="3189" spans="3:8">
      <c r="C3189" s="545" t="e">
        <f>VLOOKUP(D3189,기본!$B$3:$C$90,2,0)</f>
        <v>#N/A</v>
      </c>
      <c r="G3189" t="e">
        <f>VLOOKUP(E3189,기본!$F$3:$G$320,2,0)</f>
        <v>#N/A</v>
      </c>
      <c r="H3189" s="544"/>
    </row>
    <row r="3190" spans="3:8">
      <c r="C3190" s="545" t="e">
        <f>VLOOKUP(D3190,기본!$B$3:$C$90,2,0)</f>
        <v>#N/A</v>
      </c>
      <c r="G3190" t="e">
        <f>VLOOKUP(E3190,기본!$F$3:$G$320,2,0)</f>
        <v>#N/A</v>
      </c>
      <c r="H3190" s="544"/>
    </row>
    <row r="3191" spans="3:8">
      <c r="C3191" s="545" t="e">
        <f>VLOOKUP(D3191,기본!$B$3:$C$90,2,0)</f>
        <v>#N/A</v>
      </c>
      <c r="G3191" t="e">
        <f>VLOOKUP(E3191,기본!$F$3:$G$320,2,0)</f>
        <v>#N/A</v>
      </c>
      <c r="H3191" s="544"/>
    </row>
    <row r="3192" spans="3:8">
      <c r="C3192" s="545" t="e">
        <f>VLOOKUP(D3192,기본!$B$3:$C$90,2,0)</f>
        <v>#N/A</v>
      </c>
      <c r="G3192" t="e">
        <f>VLOOKUP(E3192,기본!$F$3:$G$320,2,0)</f>
        <v>#N/A</v>
      </c>
      <c r="H3192" s="544"/>
    </row>
    <row r="3193" spans="3:8">
      <c r="C3193" s="545" t="e">
        <f>VLOOKUP(D3193,기본!$B$3:$C$90,2,0)</f>
        <v>#N/A</v>
      </c>
      <c r="G3193" t="e">
        <f>VLOOKUP(E3193,기본!$F$3:$G$320,2,0)</f>
        <v>#N/A</v>
      </c>
      <c r="H3193" s="544"/>
    </row>
    <row r="3194" spans="3:8">
      <c r="C3194" s="545" t="e">
        <f>VLOOKUP(D3194,기본!$B$3:$C$90,2,0)</f>
        <v>#N/A</v>
      </c>
      <c r="G3194" t="e">
        <f>VLOOKUP(E3194,기본!$F$3:$G$320,2,0)</f>
        <v>#N/A</v>
      </c>
      <c r="H3194" s="544"/>
    </row>
    <row r="3195" spans="3:8">
      <c r="C3195" s="545" t="e">
        <f>VLOOKUP(D3195,기본!$B$3:$C$90,2,0)</f>
        <v>#N/A</v>
      </c>
      <c r="G3195" t="e">
        <f>VLOOKUP(E3195,기본!$F$3:$G$320,2,0)</f>
        <v>#N/A</v>
      </c>
      <c r="H3195" s="544"/>
    </row>
    <row r="3196" spans="3:8">
      <c r="C3196" s="545" t="e">
        <f>VLOOKUP(D3196,기본!$B$3:$C$90,2,0)</f>
        <v>#N/A</v>
      </c>
      <c r="G3196" t="e">
        <f>VLOOKUP(E3196,기본!$F$3:$G$320,2,0)</f>
        <v>#N/A</v>
      </c>
      <c r="H3196" s="544"/>
    </row>
    <row r="3197" spans="3:8">
      <c r="C3197" s="545" t="e">
        <f>VLOOKUP(D3197,기본!$B$3:$C$90,2,0)</f>
        <v>#N/A</v>
      </c>
      <c r="G3197" t="e">
        <f>VLOOKUP(E3197,기본!$F$3:$G$320,2,0)</f>
        <v>#N/A</v>
      </c>
      <c r="H3197" s="544"/>
    </row>
    <row r="3198" spans="3:8">
      <c r="C3198" s="545" t="e">
        <f>VLOOKUP(D3198,기본!$B$3:$C$90,2,0)</f>
        <v>#N/A</v>
      </c>
      <c r="G3198" t="e">
        <f>VLOOKUP(E3198,기본!$F$3:$G$320,2,0)</f>
        <v>#N/A</v>
      </c>
      <c r="H3198" s="544"/>
    </row>
    <row r="3199" spans="3:8">
      <c r="C3199" s="545" t="e">
        <f>VLOOKUP(D3199,기본!$B$3:$C$90,2,0)</f>
        <v>#N/A</v>
      </c>
      <c r="G3199" t="e">
        <f>VLOOKUP(E3199,기본!$F$3:$G$320,2,0)</f>
        <v>#N/A</v>
      </c>
      <c r="H3199" s="544"/>
    </row>
    <row r="3200" spans="3:8">
      <c r="C3200" s="545" t="e">
        <f>VLOOKUP(D3200,기본!$B$3:$C$90,2,0)</f>
        <v>#N/A</v>
      </c>
      <c r="G3200" t="e">
        <f>VLOOKUP(E3200,기본!$F$3:$G$320,2,0)</f>
        <v>#N/A</v>
      </c>
      <c r="H3200" s="544"/>
    </row>
    <row r="3201" spans="3:8">
      <c r="C3201" s="545" t="e">
        <f>VLOOKUP(D3201,기본!$B$3:$C$90,2,0)</f>
        <v>#N/A</v>
      </c>
      <c r="G3201" t="e">
        <f>VLOOKUP(E3201,기본!$F$3:$G$320,2,0)</f>
        <v>#N/A</v>
      </c>
      <c r="H3201" s="544"/>
    </row>
    <row r="3202" spans="3:8">
      <c r="C3202" s="545" t="e">
        <f>VLOOKUP(D3202,기본!$B$3:$C$90,2,0)</f>
        <v>#N/A</v>
      </c>
      <c r="G3202" t="e">
        <f>VLOOKUP(E3202,기본!$F$3:$G$320,2,0)</f>
        <v>#N/A</v>
      </c>
      <c r="H3202" s="544"/>
    </row>
    <row r="3203" spans="3:8">
      <c r="C3203" s="545" t="e">
        <f>VLOOKUP(D3203,기본!$B$3:$C$90,2,0)</f>
        <v>#N/A</v>
      </c>
      <c r="G3203" t="e">
        <f>VLOOKUP(E3203,기본!$F$3:$G$320,2,0)</f>
        <v>#N/A</v>
      </c>
      <c r="H3203" s="544"/>
    </row>
    <row r="3204" spans="3:8">
      <c r="C3204" s="545" t="e">
        <f>VLOOKUP(D3204,기본!$B$3:$C$90,2,0)</f>
        <v>#N/A</v>
      </c>
      <c r="G3204" t="e">
        <f>VLOOKUP(E3204,기본!$F$3:$G$320,2,0)</f>
        <v>#N/A</v>
      </c>
      <c r="H3204" s="544"/>
    </row>
    <row r="3205" spans="3:8">
      <c r="C3205" s="545" t="e">
        <f>VLOOKUP(D3205,기본!$B$3:$C$90,2,0)</f>
        <v>#N/A</v>
      </c>
      <c r="G3205" t="e">
        <f>VLOOKUP(E3205,기본!$F$3:$G$320,2,0)</f>
        <v>#N/A</v>
      </c>
      <c r="H3205" s="544"/>
    </row>
    <row r="3206" spans="3:8">
      <c r="C3206" s="545" t="e">
        <f>VLOOKUP(D3206,기본!$B$3:$C$90,2,0)</f>
        <v>#N/A</v>
      </c>
      <c r="G3206" t="e">
        <f>VLOOKUP(E3206,기본!$F$3:$G$320,2,0)</f>
        <v>#N/A</v>
      </c>
      <c r="H3206" s="544"/>
    </row>
    <row r="3207" spans="3:8">
      <c r="C3207" s="545" t="e">
        <f>VLOOKUP(D3207,기본!$B$3:$C$90,2,0)</f>
        <v>#N/A</v>
      </c>
      <c r="G3207" t="e">
        <f>VLOOKUP(E3207,기본!$F$3:$G$320,2,0)</f>
        <v>#N/A</v>
      </c>
      <c r="H3207" s="544"/>
    </row>
    <row r="3208" spans="3:8">
      <c r="C3208" s="545" t="e">
        <f>VLOOKUP(D3208,기본!$B$3:$C$90,2,0)</f>
        <v>#N/A</v>
      </c>
      <c r="G3208" t="e">
        <f>VLOOKUP(E3208,기본!$F$3:$G$320,2,0)</f>
        <v>#N/A</v>
      </c>
      <c r="H3208" s="544"/>
    </row>
    <row r="3209" spans="3:8">
      <c r="C3209" s="545" t="e">
        <f>VLOOKUP(D3209,기본!$B$3:$C$90,2,0)</f>
        <v>#N/A</v>
      </c>
      <c r="G3209" t="e">
        <f>VLOOKUP(E3209,기본!$F$3:$G$320,2,0)</f>
        <v>#N/A</v>
      </c>
      <c r="H3209" s="544"/>
    </row>
    <row r="3210" spans="3:8">
      <c r="C3210" s="545" t="e">
        <f>VLOOKUP(D3210,기본!$B$3:$C$90,2,0)</f>
        <v>#N/A</v>
      </c>
      <c r="G3210" t="e">
        <f>VLOOKUP(E3210,기본!$F$3:$G$320,2,0)</f>
        <v>#N/A</v>
      </c>
      <c r="H3210" s="544"/>
    </row>
    <row r="3211" spans="3:8">
      <c r="C3211" s="545" t="e">
        <f>VLOOKUP(D3211,기본!$B$3:$C$90,2,0)</f>
        <v>#N/A</v>
      </c>
      <c r="G3211" t="e">
        <f>VLOOKUP(E3211,기본!$F$3:$G$320,2,0)</f>
        <v>#N/A</v>
      </c>
      <c r="H3211" s="544"/>
    </row>
    <row r="3212" spans="3:8">
      <c r="C3212" s="545" t="e">
        <f>VLOOKUP(D3212,기본!$B$3:$C$90,2,0)</f>
        <v>#N/A</v>
      </c>
      <c r="G3212" t="e">
        <f>VLOOKUP(E3212,기본!$F$3:$G$320,2,0)</f>
        <v>#N/A</v>
      </c>
      <c r="H3212" s="544"/>
    </row>
    <row r="3213" spans="3:8">
      <c r="C3213" s="545" t="e">
        <f>VLOOKUP(D3213,기본!$B$3:$C$90,2,0)</f>
        <v>#N/A</v>
      </c>
      <c r="G3213" t="e">
        <f>VLOOKUP(E3213,기본!$F$3:$G$320,2,0)</f>
        <v>#N/A</v>
      </c>
      <c r="H3213" s="544"/>
    </row>
    <row r="3214" spans="3:8">
      <c r="C3214" s="545" t="e">
        <f>VLOOKUP(D3214,기본!$B$3:$C$90,2,0)</f>
        <v>#N/A</v>
      </c>
      <c r="G3214" t="e">
        <f>VLOOKUP(E3214,기본!$F$3:$G$320,2,0)</f>
        <v>#N/A</v>
      </c>
      <c r="H3214" s="544"/>
    </row>
    <row r="3215" spans="3:8">
      <c r="C3215" s="545" t="e">
        <f>VLOOKUP(D3215,기본!$B$3:$C$90,2,0)</f>
        <v>#N/A</v>
      </c>
      <c r="G3215" t="e">
        <f>VLOOKUP(E3215,기본!$F$3:$G$320,2,0)</f>
        <v>#N/A</v>
      </c>
      <c r="H3215" s="544"/>
    </row>
    <row r="3216" spans="3:8">
      <c r="C3216" s="545" t="e">
        <f>VLOOKUP(D3216,기본!$B$3:$C$90,2,0)</f>
        <v>#N/A</v>
      </c>
      <c r="G3216" t="e">
        <f>VLOOKUP(E3216,기본!$F$3:$G$320,2,0)</f>
        <v>#N/A</v>
      </c>
      <c r="H3216" s="544"/>
    </row>
    <row r="3217" spans="3:8">
      <c r="C3217" s="545" t="e">
        <f>VLOOKUP(D3217,기본!$B$3:$C$90,2,0)</f>
        <v>#N/A</v>
      </c>
      <c r="G3217" t="e">
        <f>VLOOKUP(E3217,기본!$F$3:$G$320,2,0)</f>
        <v>#N/A</v>
      </c>
      <c r="H3217" s="544"/>
    </row>
    <row r="3218" spans="3:8">
      <c r="C3218" s="545" t="e">
        <f>VLOOKUP(D3218,기본!$B$3:$C$90,2,0)</f>
        <v>#N/A</v>
      </c>
      <c r="G3218" t="e">
        <f>VLOOKUP(E3218,기본!$F$3:$G$320,2,0)</f>
        <v>#N/A</v>
      </c>
      <c r="H3218" s="544"/>
    </row>
    <row r="3219" spans="3:8">
      <c r="C3219" s="545" t="e">
        <f>VLOOKUP(D3219,기본!$B$3:$C$90,2,0)</f>
        <v>#N/A</v>
      </c>
      <c r="G3219" t="e">
        <f>VLOOKUP(E3219,기본!$F$3:$G$320,2,0)</f>
        <v>#N/A</v>
      </c>
      <c r="H3219" s="544"/>
    </row>
    <row r="3220" spans="3:8">
      <c r="C3220" s="545" t="e">
        <f>VLOOKUP(D3220,기본!$B$3:$C$90,2,0)</f>
        <v>#N/A</v>
      </c>
      <c r="G3220" t="e">
        <f>VLOOKUP(E3220,기본!$F$3:$G$320,2,0)</f>
        <v>#N/A</v>
      </c>
      <c r="H3220" s="544"/>
    </row>
    <row r="3221" spans="3:8">
      <c r="C3221" s="545" t="e">
        <f>VLOOKUP(D3221,기본!$B$3:$C$90,2,0)</f>
        <v>#N/A</v>
      </c>
      <c r="G3221" t="e">
        <f>VLOOKUP(E3221,기본!$F$3:$G$320,2,0)</f>
        <v>#N/A</v>
      </c>
      <c r="H3221" s="544"/>
    </row>
    <row r="3222" spans="3:8">
      <c r="C3222" s="545" t="e">
        <f>VLOOKUP(D3222,기본!$B$3:$C$90,2,0)</f>
        <v>#N/A</v>
      </c>
      <c r="G3222" t="e">
        <f>VLOOKUP(E3222,기본!$F$3:$G$320,2,0)</f>
        <v>#N/A</v>
      </c>
      <c r="H3222" s="544"/>
    </row>
    <row r="3223" spans="3:8">
      <c r="C3223" s="545" t="e">
        <f>VLOOKUP(D3223,기본!$B$3:$C$90,2,0)</f>
        <v>#N/A</v>
      </c>
      <c r="G3223" t="e">
        <f>VLOOKUP(E3223,기본!$F$3:$G$320,2,0)</f>
        <v>#N/A</v>
      </c>
      <c r="H3223" s="544"/>
    </row>
    <row r="3224" spans="3:8">
      <c r="C3224" s="545" t="e">
        <f>VLOOKUP(D3224,기본!$B$3:$C$90,2,0)</f>
        <v>#N/A</v>
      </c>
      <c r="G3224" t="e">
        <f>VLOOKUP(E3224,기본!$F$3:$G$320,2,0)</f>
        <v>#N/A</v>
      </c>
      <c r="H3224" s="544"/>
    </row>
    <row r="3225" spans="3:8">
      <c r="C3225" s="545" t="e">
        <f>VLOOKUP(D3225,기본!$B$3:$C$90,2,0)</f>
        <v>#N/A</v>
      </c>
      <c r="G3225" t="e">
        <f>VLOOKUP(E3225,기본!$F$3:$G$320,2,0)</f>
        <v>#N/A</v>
      </c>
      <c r="H3225" s="544"/>
    </row>
    <row r="3226" spans="3:8">
      <c r="C3226" s="545" t="e">
        <f>VLOOKUP(D3226,기본!$B$3:$C$90,2,0)</f>
        <v>#N/A</v>
      </c>
      <c r="G3226" t="e">
        <f>VLOOKUP(E3226,기본!$F$3:$G$320,2,0)</f>
        <v>#N/A</v>
      </c>
      <c r="H3226" s="544"/>
    </row>
    <row r="3227" spans="3:8">
      <c r="C3227" s="545" t="e">
        <f>VLOOKUP(D3227,기본!$B$3:$C$90,2,0)</f>
        <v>#N/A</v>
      </c>
      <c r="G3227" t="e">
        <f>VLOOKUP(E3227,기본!$F$3:$G$320,2,0)</f>
        <v>#N/A</v>
      </c>
      <c r="H3227" s="544"/>
    </row>
    <row r="3228" spans="3:8">
      <c r="C3228" s="545" t="e">
        <f>VLOOKUP(D3228,기본!$B$3:$C$90,2,0)</f>
        <v>#N/A</v>
      </c>
      <c r="G3228" t="e">
        <f>VLOOKUP(E3228,기본!$F$3:$G$320,2,0)</f>
        <v>#N/A</v>
      </c>
      <c r="H3228" s="544"/>
    </row>
    <row r="3229" spans="3:8">
      <c r="C3229" s="545" t="e">
        <f>VLOOKUP(D3229,기본!$B$3:$C$90,2,0)</f>
        <v>#N/A</v>
      </c>
      <c r="G3229" t="e">
        <f>VLOOKUP(E3229,기본!$F$3:$G$320,2,0)</f>
        <v>#N/A</v>
      </c>
      <c r="H3229" s="544"/>
    </row>
    <row r="3230" spans="3:8">
      <c r="C3230" s="545" t="e">
        <f>VLOOKUP(D3230,기본!$B$3:$C$90,2,0)</f>
        <v>#N/A</v>
      </c>
      <c r="G3230" t="e">
        <f>VLOOKUP(E3230,기본!$F$3:$G$320,2,0)</f>
        <v>#N/A</v>
      </c>
      <c r="H3230" s="544"/>
    </row>
    <row r="3231" spans="3:8">
      <c r="C3231" s="545" t="e">
        <f>VLOOKUP(D3231,기본!$B$3:$C$90,2,0)</f>
        <v>#N/A</v>
      </c>
      <c r="G3231" t="e">
        <f>VLOOKUP(E3231,기본!$F$3:$G$320,2,0)</f>
        <v>#N/A</v>
      </c>
      <c r="H3231" s="544"/>
    </row>
    <row r="3232" spans="3:8">
      <c r="C3232" s="545" t="e">
        <f>VLOOKUP(D3232,기본!$B$3:$C$90,2,0)</f>
        <v>#N/A</v>
      </c>
      <c r="G3232" t="e">
        <f>VLOOKUP(E3232,기본!$F$3:$G$320,2,0)</f>
        <v>#N/A</v>
      </c>
      <c r="H3232" s="544"/>
    </row>
    <row r="3233" spans="3:8">
      <c r="C3233" s="545" t="e">
        <f>VLOOKUP(D3233,기본!$B$3:$C$90,2,0)</f>
        <v>#N/A</v>
      </c>
      <c r="G3233" t="e">
        <f>VLOOKUP(E3233,기본!$F$3:$G$320,2,0)</f>
        <v>#N/A</v>
      </c>
      <c r="H3233" s="544"/>
    </row>
    <row r="3234" spans="3:8">
      <c r="C3234" s="545" t="e">
        <f>VLOOKUP(D3234,기본!$B$3:$C$90,2,0)</f>
        <v>#N/A</v>
      </c>
      <c r="G3234" t="e">
        <f>VLOOKUP(E3234,기본!$F$3:$G$320,2,0)</f>
        <v>#N/A</v>
      </c>
      <c r="H3234" s="544"/>
    </row>
    <row r="3235" spans="3:8">
      <c r="C3235" s="545" t="e">
        <f>VLOOKUP(D3235,기본!$B$3:$C$90,2,0)</f>
        <v>#N/A</v>
      </c>
      <c r="G3235" t="e">
        <f>VLOOKUP(E3235,기본!$F$3:$G$320,2,0)</f>
        <v>#N/A</v>
      </c>
      <c r="H3235" s="544"/>
    </row>
    <row r="3236" spans="3:8">
      <c r="C3236" s="545" t="e">
        <f>VLOOKUP(D3236,기본!$B$3:$C$90,2,0)</f>
        <v>#N/A</v>
      </c>
      <c r="G3236" t="e">
        <f>VLOOKUP(E3236,기본!$F$3:$G$320,2,0)</f>
        <v>#N/A</v>
      </c>
      <c r="H3236" s="544"/>
    </row>
    <row r="3237" spans="3:8">
      <c r="C3237" s="545" t="e">
        <f>VLOOKUP(D3237,기본!$B$3:$C$90,2,0)</f>
        <v>#N/A</v>
      </c>
      <c r="G3237" t="e">
        <f>VLOOKUP(E3237,기본!$F$3:$G$320,2,0)</f>
        <v>#N/A</v>
      </c>
      <c r="H3237" s="544"/>
    </row>
    <row r="3238" spans="3:8">
      <c r="C3238" s="545" t="e">
        <f>VLOOKUP(D3238,기본!$B$3:$C$90,2,0)</f>
        <v>#N/A</v>
      </c>
      <c r="G3238" t="e">
        <f>VLOOKUP(E3238,기본!$F$3:$G$320,2,0)</f>
        <v>#N/A</v>
      </c>
      <c r="H3238" s="544"/>
    </row>
    <row r="3239" spans="3:8">
      <c r="C3239" s="545" t="e">
        <f>VLOOKUP(D3239,기본!$B$3:$C$90,2,0)</f>
        <v>#N/A</v>
      </c>
      <c r="G3239" t="e">
        <f>VLOOKUP(E3239,기본!$F$3:$G$320,2,0)</f>
        <v>#N/A</v>
      </c>
      <c r="H3239" s="544"/>
    </row>
    <row r="3240" spans="3:8">
      <c r="C3240" s="545" t="e">
        <f>VLOOKUP(D3240,기본!$B$3:$C$90,2,0)</f>
        <v>#N/A</v>
      </c>
      <c r="G3240" t="e">
        <f>VLOOKUP(E3240,기본!$F$3:$G$320,2,0)</f>
        <v>#N/A</v>
      </c>
      <c r="H3240" s="544"/>
    </row>
    <row r="3241" spans="3:8">
      <c r="C3241" s="545" t="e">
        <f>VLOOKUP(D3241,기본!$B$3:$C$90,2,0)</f>
        <v>#N/A</v>
      </c>
      <c r="G3241" t="e">
        <f>VLOOKUP(E3241,기본!$F$3:$G$320,2,0)</f>
        <v>#N/A</v>
      </c>
      <c r="H3241" s="544"/>
    </row>
    <row r="3242" spans="3:8">
      <c r="C3242" s="545" t="e">
        <f>VLOOKUP(D3242,기본!$B$3:$C$90,2,0)</f>
        <v>#N/A</v>
      </c>
      <c r="G3242" t="e">
        <f>VLOOKUP(E3242,기본!$F$3:$G$320,2,0)</f>
        <v>#N/A</v>
      </c>
      <c r="H3242" s="544"/>
    </row>
    <row r="3243" spans="3:8">
      <c r="C3243" s="545" t="e">
        <f>VLOOKUP(D3243,기본!$B$3:$C$90,2,0)</f>
        <v>#N/A</v>
      </c>
      <c r="G3243" t="e">
        <f>VLOOKUP(E3243,기본!$F$3:$G$320,2,0)</f>
        <v>#N/A</v>
      </c>
      <c r="H3243" s="544"/>
    </row>
    <row r="3244" spans="3:8">
      <c r="C3244" s="545" t="e">
        <f>VLOOKUP(D3244,기본!$B$3:$C$90,2,0)</f>
        <v>#N/A</v>
      </c>
      <c r="G3244" t="e">
        <f>VLOOKUP(E3244,기본!$F$3:$G$320,2,0)</f>
        <v>#N/A</v>
      </c>
      <c r="H3244" s="544"/>
    </row>
    <row r="3245" spans="3:8">
      <c r="C3245" s="545" t="e">
        <f>VLOOKUP(D3245,기본!$B$3:$C$90,2,0)</f>
        <v>#N/A</v>
      </c>
      <c r="G3245" t="e">
        <f>VLOOKUP(E3245,기본!$F$3:$G$320,2,0)</f>
        <v>#N/A</v>
      </c>
      <c r="H3245" s="544"/>
    </row>
    <row r="3246" spans="3:8">
      <c r="C3246" s="545" t="e">
        <f>VLOOKUP(D3246,기본!$B$3:$C$90,2,0)</f>
        <v>#N/A</v>
      </c>
      <c r="G3246" t="e">
        <f>VLOOKUP(E3246,기본!$F$3:$G$320,2,0)</f>
        <v>#N/A</v>
      </c>
      <c r="H3246" s="544"/>
    </row>
    <row r="3247" spans="3:8">
      <c r="C3247" s="545" t="e">
        <f>VLOOKUP(D3247,기본!$B$3:$C$90,2,0)</f>
        <v>#N/A</v>
      </c>
      <c r="G3247" t="e">
        <f>VLOOKUP(E3247,기본!$F$3:$G$320,2,0)</f>
        <v>#N/A</v>
      </c>
      <c r="H3247" s="544"/>
    </row>
    <row r="3248" spans="3:8">
      <c r="C3248" s="545" t="e">
        <f>VLOOKUP(D3248,기본!$B$3:$C$90,2,0)</f>
        <v>#N/A</v>
      </c>
      <c r="G3248" t="e">
        <f>VLOOKUP(E3248,기본!$F$3:$G$320,2,0)</f>
        <v>#N/A</v>
      </c>
      <c r="H3248" s="544"/>
    </row>
    <row r="3249" spans="3:8">
      <c r="C3249" s="545" t="e">
        <f>VLOOKUP(D3249,기본!$B$3:$C$90,2,0)</f>
        <v>#N/A</v>
      </c>
      <c r="G3249" t="e">
        <f>VLOOKUP(E3249,기본!$F$3:$G$320,2,0)</f>
        <v>#N/A</v>
      </c>
      <c r="H3249" s="544"/>
    </row>
    <row r="3250" spans="3:8">
      <c r="C3250" s="545" t="e">
        <f>VLOOKUP(D3250,기본!$B$3:$C$90,2,0)</f>
        <v>#N/A</v>
      </c>
      <c r="G3250" t="e">
        <f>VLOOKUP(E3250,기본!$F$3:$G$320,2,0)</f>
        <v>#N/A</v>
      </c>
      <c r="H3250" s="544"/>
    </row>
    <row r="3251" spans="3:8">
      <c r="C3251" s="545" t="e">
        <f>VLOOKUP(D3251,기본!$B$3:$C$90,2,0)</f>
        <v>#N/A</v>
      </c>
      <c r="G3251" t="e">
        <f>VLOOKUP(E3251,기본!$F$3:$G$320,2,0)</f>
        <v>#N/A</v>
      </c>
      <c r="H3251" s="544"/>
    </row>
    <row r="3252" spans="3:8">
      <c r="C3252" s="545" t="e">
        <f>VLOOKUP(D3252,기본!$B$3:$C$90,2,0)</f>
        <v>#N/A</v>
      </c>
      <c r="G3252" t="e">
        <f>VLOOKUP(E3252,기본!$F$3:$G$320,2,0)</f>
        <v>#N/A</v>
      </c>
      <c r="H3252" s="544"/>
    </row>
    <row r="3253" spans="3:8">
      <c r="C3253" s="545" t="e">
        <f>VLOOKUP(D3253,기본!$B$3:$C$90,2,0)</f>
        <v>#N/A</v>
      </c>
      <c r="G3253" t="e">
        <f>VLOOKUP(E3253,기본!$F$3:$G$320,2,0)</f>
        <v>#N/A</v>
      </c>
      <c r="H3253" s="544"/>
    </row>
    <row r="3254" spans="3:8">
      <c r="C3254" s="545" t="e">
        <f>VLOOKUP(D3254,기본!$B$3:$C$90,2,0)</f>
        <v>#N/A</v>
      </c>
      <c r="G3254" t="e">
        <f>VLOOKUP(E3254,기본!$F$3:$G$320,2,0)</f>
        <v>#N/A</v>
      </c>
      <c r="H3254" s="544"/>
    </row>
    <row r="3255" spans="3:8">
      <c r="C3255" s="545" t="e">
        <f>VLOOKUP(D3255,기본!$B$3:$C$90,2,0)</f>
        <v>#N/A</v>
      </c>
      <c r="G3255" t="e">
        <f>VLOOKUP(E3255,기본!$F$3:$G$320,2,0)</f>
        <v>#N/A</v>
      </c>
      <c r="H3255" s="544"/>
    </row>
    <row r="3256" spans="3:8">
      <c r="C3256" s="545" t="e">
        <f>VLOOKUP(D3256,기본!$B$3:$C$90,2,0)</f>
        <v>#N/A</v>
      </c>
      <c r="G3256" t="e">
        <f>VLOOKUP(E3256,기본!$F$3:$G$320,2,0)</f>
        <v>#N/A</v>
      </c>
      <c r="H3256" s="544"/>
    </row>
    <row r="3257" spans="3:8">
      <c r="C3257" s="545" t="e">
        <f>VLOOKUP(D3257,기본!$B$3:$C$90,2,0)</f>
        <v>#N/A</v>
      </c>
      <c r="G3257" t="e">
        <f>VLOOKUP(E3257,기본!$F$3:$G$320,2,0)</f>
        <v>#N/A</v>
      </c>
      <c r="H3257" s="544"/>
    </row>
    <row r="3258" spans="3:8">
      <c r="C3258" s="545" t="e">
        <f>VLOOKUP(D3258,기본!$B$3:$C$90,2,0)</f>
        <v>#N/A</v>
      </c>
      <c r="G3258" t="e">
        <f>VLOOKUP(E3258,기본!$F$3:$G$320,2,0)</f>
        <v>#N/A</v>
      </c>
      <c r="H3258" s="544"/>
    </row>
    <row r="3259" spans="3:8">
      <c r="C3259" s="545" t="e">
        <f>VLOOKUP(D3259,기본!$B$3:$C$90,2,0)</f>
        <v>#N/A</v>
      </c>
      <c r="G3259" t="e">
        <f>VLOOKUP(E3259,기본!$F$3:$G$320,2,0)</f>
        <v>#N/A</v>
      </c>
      <c r="H3259" s="544"/>
    </row>
    <row r="3260" spans="3:8">
      <c r="C3260" s="545" t="e">
        <f>VLOOKUP(D3260,기본!$B$3:$C$90,2,0)</f>
        <v>#N/A</v>
      </c>
      <c r="G3260" t="e">
        <f>VLOOKUP(E3260,기본!$F$3:$G$320,2,0)</f>
        <v>#N/A</v>
      </c>
      <c r="H3260" s="544"/>
    </row>
    <row r="3261" spans="3:8">
      <c r="C3261" s="545" t="e">
        <f>VLOOKUP(D3261,기본!$B$3:$C$90,2,0)</f>
        <v>#N/A</v>
      </c>
      <c r="G3261" t="e">
        <f>VLOOKUP(E3261,기본!$F$3:$G$320,2,0)</f>
        <v>#N/A</v>
      </c>
      <c r="H3261" s="544"/>
    </row>
    <row r="3262" spans="3:8">
      <c r="C3262" s="545" t="e">
        <f>VLOOKUP(D3262,기본!$B$3:$C$90,2,0)</f>
        <v>#N/A</v>
      </c>
      <c r="G3262" t="e">
        <f>VLOOKUP(E3262,기본!$F$3:$G$320,2,0)</f>
        <v>#N/A</v>
      </c>
      <c r="H3262" s="544"/>
    </row>
    <row r="3263" spans="3:8">
      <c r="C3263" s="545" t="e">
        <f>VLOOKUP(D3263,기본!$B$3:$C$90,2,0)</f>
        <v>#N/A</v>
      </c>
      <c r="G3263" t="e">
        <f>VLOOKUP(E3263,기본!$F$3:$G$320,2,0)</f>
        <v>#N/A</v>
      </c>
      <c r="H3263" s="544"/>
    </row>
    <row r="3264" spans="3:8">
      <c r="C3264" s="545" t="e">
        <f>VLOOKUP(D3264,기본!$B$3:$C$90,2,0)</f>
        <v>#N/A</v>
      </c>
      <c r="G3264" t="e">
        <f>VLOOKUP(E3264,기본!$F$3:$G$320,2,0)</f>
        <v>#N/A</v>
      </c>
      <c r="H3264" s="544"/>
    </row>
    <row r="3265" spans="3:8">
      <c r="C3265" s="545" t="e">
        <f>VLOOKUP(D3265,기본!$B$3:$C$90,2,0)</f>
        <v>#N/A</v>
      </c>
      <c r="G3265" t="e">
        <f>VLOOKUP(E3265,기본!$F$3:$G$320,2,0)</f>
        <v>#N/A</v>
      </c>
      <c r="H3265" s="544"/>
    </row>
    <row r="3266" spans="3:8">
      <c r="C3266" s="545" t="e">
        <f>VLOOKUP(D3266,기본!$B$3:$C$90,2,0)</f>
        <v>#N/A</v>
      </c>
      <c r="G3266" t="e">
        <f>VLOOKUP(E3266,기본!$F$3:$G$320,2,0)</f>
        <v>#N/A</v>
      </c>
      <c r="H3266" s="544"/>
    </row>
    <row r="3267" spans="3:8">
      <c r="C3267" s="545" t="e">
        <f>VLOOKUP(D3267,기본!$B$3:$C$90,2,0)</f>
        <v>#N/A</v>
      </c>
      <c r="G3267" t="e">
        <f>VLOOKUP(E3267,기본!$F$3:$G$320,2,0)</f>
        <v>#N/A</v>
      </c>
      <c r="H3267" s="544"/>
    </row>
    <row r="3268" spans="3:8">
      <c r="C3268" s="545" t="e">
        <f>VLOOKUP(D3268,기본!$B$3:$C$90,2,0)</f>
        <v>#N/A</v>
      </c>
      <c r="G3268" t="e">
        <f>VLOOKUP(E3268,기본!$F$3:$G$320,2,0)</f>
        <v>#N/A</v>
      </c>
      <c r="H3268" s="544"/>
    </row>
    <row r="3269" spans="3:8">
      <c r="C3269" s="545" t="e">
        <f>VLOOKUP(D3269,기본!$B$3:$C$90,2,0)</f>
        <v>#N/A</v>
      </c>
      <c r="G3269" t="e">
        <f>VLOOKUP(E3269,기본!$F$3:$G$320,2,0)</f>
        <v>#N/A</v>
      </c>
      <c r="H3269" s="544"/>
    </row>
    <row r="3270" spans="3:8">
      <c r="C3270" s="545" t="e">
        <f>VLOOKUP(D3270,기본!$B$3:$C$90,2,0)</f>
        <v>#N/A</v>
      </c>
      <c r="G3270" t="e">
        <f>VLOOKUP(E3270,기본!$F$3:$G$320,2,0)</f>
        <v>#N/A</v>
      </c>
      <c r="H3270" s="544"/>
    </row>
    <row r="3271" spans="3:8">
      <c r="C3271" s="545" t="e">
        <f>VLOOKUP(D3271,기본!$B$3:$C$90,2,0)</f>
        <v>#N/A</v>
      </c>
      <c r="G3271" t="e">
        <f>VLOOKUP(E3271,기본!$F$3:$G$320,2,0)</f>
        <v>#N/A</v>
      </c>
      <c r="H3271" s="544"/>
    </row>
    <row r="3272" spans="3:8">
      <c r="C3272" s="545" t="e">
        <f>VLOOKUP(D3272,기본!$B$3:$C$90,2,0)</f>
        <v>#N/A</v>
      </c>
      <c r="G3272" t="e">
        <f>VLOOKUP(E3272,기본!$F$3:$G$320,2,0)</f>
        <v>#N/A</v>
      </c>
      <c r="H3272" s="544"/>
    </row>
    <row r="3273" spans="3:8">
      <c r="C3273" s="545" t="e">
        <f>VLOOKUP(D3273,기본!$B$3:$C$90,2,0)</f>
        <v>#N/A</v>
      </c>
      <c r="G3273" t="e">
        <f>VLOOKUP(E3273,기본!$F$3:$G$320,2,0)</f>
        <v>#N/A</v>
      </c>
      <c r="H3273" s="544"/>
    </row>
    <row r="3274" spans="3:8">
      <c r="C3274" s="545" t="e">
        <f>VLOOKUP(D3274,기본!$B$3:$C$90,2,0)</f>
        <v>#N/A</v>
      </c>
      <c r="G3274" t="e">
        <f>VLOOKUP(E3274,기본!$F$3:$G$320,2,0)</f>
        <v>#N/A</v>
      </c>
      <c r="H3274" s="544"/>
    </row>
    <row r="3275" spans="3:8">
      <c r="C3275" s="545" t="e">
        <f>VLOOKUP(D3275,기본!$B$3:$C$90,2,0)</f>
        <v>#N/A</v>
      </c>
      <c r="G3275" t="e">
        <f>VLOOKUP(E3275,기본!$F$3:$G$320,2,0)</f>
        <v>#N/A</v>
      </c>
      <c r="H3275" s="544"/>
    </row>
    <row r="3276" spans="3:8">
      <c r="C3276" s="545" t="e">
        <f>VLOOKUP(D3276,기본!$B$3:$C$90,2,0)</f>
        <v>#N/A</v>
      </c>
      <c r="G3276" t="e">
        <f>VLOOKUP(E3276,기본!$F$3:$G$320,2,0)</f>
        <v>#N/A</v>
      </c>
      <c r="H3276" s="544"/>
    </row>
    <row r="3277" spans="3:8">
      <c r="C3277" s="545" t="e">
        <f>VLOOKUP(D3277,기본!$B$3:$C$90,2,0)</f>
        <v>#N/A</v>
      </c>
      <c r="G3277" t="e">
        <f>VLOOKUP(E3277,기본!$F$3:$G$320,2,0)</f>
        <v>#N/A</v>
      </c>
      <c r="H3277" s="544"/>
    </row>
    <row r="3278" spans="3:8">
      <c r="C3278" s="545" t="e">
        <f>VLOOKUP(D3278,기본!$B$3:$C$90,2,0)</f>
        <v>#N/A</v>
      </c>
      <c r="G3278" t="e">
        <f>VLOOKUP(E3278,기본!$F$3:$G$320,2,0)</f>
        <v>#N/A</v>
      </c>
      <c r="H3278" s="544"/>
    </row>
    <row r="3279" spans="3:8">
      <c r="C3279" s="545" t="e">
        <f>VLOOKUP(D3279,기본!$B$3:$C$90,2,0)</f>
        <v>#N/A</v>
      </c>
      <c r="G3279" t="e">
        <f>VLOOKUP(E3279,기본!$F$3:$G$320,2,0)</f>
        <v>#N/A</v>
      </c>
      <c r="H3279" s="544"/>
    </row>
    <row r="3280" spans="3:8">
      <c r="C3280" s="545" t="e">
        <f>VLOOKUP(D3280,기본!$B$3:$C$90,2,0)</f>
        <v>#N/A</v>
      </c>
      <c r="G3280" t="e">
        <f>VLOOKUP(E3280,기본!$F$3:$G$320,2,0)</f>
        <v>#N/A</v>
      </c>
      <c r="H3280" s="544"/>
    </row>
    <row r="3281" spans="3:8">
      <c r="C3281" s="545" t="e">
        <f>VLOOKUP(D3281,기본!$B$3:$C$90,2,0)</f>
        <v>#N/A</v>
      </c>
      <c r="G3281" t="e">
        <f>VLOOKUP(E3281,기본!$F$3:$G$320,2,0)</f>
        <v>#N/A</v>
      </c>
      <c r="H3281" s="544"/>
    </row>
    <row r="3282" spans="3:8">
      <c r="C3282" s="545" t="e">
        <f>VLOOKUP(D3282,기본!$B$3:$C$90,2,0)</f>
        <v>#N/A</v>
      </c>
      <c r="G3282" t="e">
        <f>VLOOKUP(E3282,기본!$F$3:$G$320,2,0)</f>
        <v>#N/A</v>
      </c>
      <c r="H3282" s="544"/>
    </row>
    <row r="3283" spans="3:8">
      <c r="C3283" s="545" t="e">
        <f>VLOOKUP(D3283,기본!$B$3:$C$90,2,0)</f>
        <v>#N/A</v>
      </c>
      <c r="G3283" t="e">
        <f>VLOOKUP(E3283,기본!$F$3:$G$320,2,0)</f>
        <v>#N/A</v>
      </c>
      <c r="H3283" s="544"/>
    </row>
    <row r="3284" spans="3:8">
      <c r="C3284" s="545" t="e">
        <f>VLOOKUP(D3284,기본!$B$3:$C$90,2,0)</f>
        <v>#N/A</v>
      </c>
      <c r="G3284" t="e">
        <f>VLOOKUP(E3284,기본!$F$3:$G$320,2,0)</f>
        <v>#N/A</v>
      </c>
      <c r="H3284" s="544"/>
    </row>
    <row r="3285" spans="3:8">
      <c r="C3285" s="545" t="e">
        <f>VLOOKUP(D3285,기본!$B$3:$C$90,2,0)</f>
        <v>#N/A</v>
      </c>
      <c r="G3285" t="e">
        <f>VLOOKUP(E3285,기본!$F$3:$G$320,2,0)</f>
        <v>#N/A</v>
      </c>
      <c r="H3285" s="544"/>
    </row>
    <row r="3286" spans="3:8">
      <c r="C3286" s="545" t="e">
        <f>VLOOKUP(D3286,기본!$B$3:$C$90,2,0)</f>
        <v>#N/A</v>
      </c>
      <c r="G3286" t="e">
        <f>VLOOKUP(E3286,기본!$F$3:$G$320,2,0)</f>
        <v>#N/A</v>
      </c>
      <c r="H3286" s="544"/>
    </row>
    <row r="3287" spans="3:8">
      <c r="C3287" s="545" t="e">
        <f>VLOOKUP(D3287,기본!$B$3:$C$90,2,0)</f>
        <v>#N/A</v>
      </c>
      <c r="G3287" t="e">
        <f>VLOOKUP(E3287,기본!$F$3:$G$320,2,0)</f>
        <v>#N/A</v>
      </c>
      <c r="H3287" s="544"/>
    </row>
    <row r="3288" spans="3:8">
      <c r="C3288" s="545" t="e">
        <f>VLOOKUP(D3288,기본!$B$3:$C$90,2,0)</f>
        <v>#N/A</v>
      </c>
      <c r="G3288" t="e">
        <f>VLOOKUP(E3288,기본!$F$3:$G$320,2,0)</f>
        <v>#N/A</v>
      </c>
      <c r="H3288" s="544"/>
    </row>
    <row r="3289" spans="3:8">
      <c r="C3289" s="545" t="e">
        <f>VLOOKUP(D3289,기본!$B$3:$C$90,2,0)</f>
        <v>#N/A</v>
      </c>
      <c r="G3289" t="e">
        <f>VLOOKUP(E3289,기본!$F$3:$G$320,2,0)</f>
        <v>#N/A</v>
      </c>
      <c r="H3289" s="544"/>
    </row>
    <row r="3290" spans="3:8">
      <c r="C3290" s="545" t="e">
        <f>VLOOKUP(D3290,기본!$B$3:$C$90,2,0)</f>
        <v>#N/A</v>
      </c>
      <c r="G3290" t="e">
        <f>VLOOKUP(E3290,기본!$F$3:$G$320,2,0)</f>
        <v>#N/A</v>
      </c>
      <c r="H3290" s="544"/>
    </row>
    <row r="3291" spans="3:8">
      <c r="C3291" s="545" t="e">
        <f>VLOOKUP(D3291,기본!$B$3:$C$90,2,0)</f>
        <v>#N/A</v>
      </c>
      <c r="G3291" t="e">
        <f>VLOOKUP(E3291,기본!$F$3:$G$320,2,0)</f>
        <v>#N/A</v>
      </c>
      <c r="H3291" s="544"/>
    </row>
    <row r="3292" spans="3:8">
      <c r="C3292" s="545" t="e">
        <f>VLOOKUP(D3292,기본!$B$3:$C$90,2,0)</f>
        <v>#N/A</v>
      </c>
      <c r="G3292" t="e">
        <f>VLOOKUP(E3292,기본!$F$3:$G$320,2,0)</f>
        <v>#N/A</v>
      </c>
      <c r="H3292" s="544"/>
    </row>
    <row r="3293" spans="3:8">
      <c r="C3293" s="545" t="e">
        <f>VLOOKUP(D3293,기본!$B$3:$C$90,2,0)</f>
        <v>#N/A</v>
      </c>
      <c r="G3293" t="e">
        <f>VLOOKUP(E3293,기본!$F$3:$G$320,2,0)</f>
        <v>#N/A</v>
      </c>
      <c r="H3293" s="544"/>
    </row>
    <row r="3294" spans="3:8">
      <c r="C3294" s="545" t="e">
        <f>VLOOKUP(D3294,기본!$B$3:$C$90,2,0)</f>
        <v>#N/A</v>
      </c>
      <c r="G3294" t="e">
        <f>VLOOKUP(E3294,기본!$F$3:$G$320,2,0)</f>
        <v>#N/A</v>
      </c>
      <c r="H3294" s="544"/>
    </row>
    <row r="3295" spans="3:8">
      <c r="C3295" s="545" t="e">
        <f>VLOOKUP(D3295,기본!$B$3:$C$90,2,0)</f>
        <v>#N/A</v>
      </c>
      <c r="G3295" t="e">
        <f>VLOOKUP(E3295,기본!$F$3:$G$320,2,0)</f>
        <v>#N/A</v>
      </c>
      <c r="H3295" s="544"/>
    </row>
    <row r="3296" spans="3:8">
      <c r="C3296" s="545" t="e">
        <f>VLOOKUP(D3296,기본!$B$3:$C$90,2,0)</f>
        <v>#N/A</v>
      </c>
      <c r="G3296" t="e">
        <f>VLOOKUP(E3296,기본!$F$3:$G$320,2,0)</f>
        <v>#N/A</v>
      </c>
      <c r="H3296" s="544"/>
    </row>
    <row r="3297" spans="3:8">
      <c r="C3297" s="545" t="e">
        <f>VLOOKUP(D3297,기본!$B$3:$C$90,2,0)</f>
        <v>#N/A</v>
      </c>
      <c r="G3297" t="e">
        <f>VLOOKUP(E3297,기본!$F$3:$G$320,2,0)</f>
        <v>#N/A</v>
      </c>
      <c r="H3297" s="544"/>
    </row>
    <row r="3298" spans="3:8">
      <c r="C3298" s="545" t="e">
        <f>VLOOKUP(D3298,기본!$B$3:$C$90,2,0)</f>
        <v>#N/A</v>
      </c>
      <c r="G3298" t="e">
        <f>VLOOKUP(E3298,기본!$F$3:$G$320,2,0)</f>
        <v>#N/A</v>
      </c>
      <c r="H3298" s="544"/>
    </row>
    <row r="3299" spans="3:8">
      <c r="C3299" s="545" t="e">
        <f>VLOOKUP(D3299,기본!$B$3:$C$90,2,0)</f>
        <v>#N/A</v>
      </c>
      <c r="G3299" t="e">
        <f>VLOOKUP(E3299,기본!$F$3:$G$320,2,0)</f>
        <v>#N/A</v>
      </c>
      <c r="H3299" s="544"/>
    </row>
    <row r="3300" spans="3:8">
      <c r="C3300" s="545" t="e">
        <f>VLOOKUP(D3300,기본!$B$3:$C$90,2,0)</f>
        <v>#N/A</v>
      </c>
      <c r="G3300" t="e">
        <f>VLOOKUP(E3300,기본!$F$3:$G$320,2,0)</f>
        <v>#N/A</v>
      </c>
      <c r="H3300" s="544"/>
    </row>
    <row r="3301" spans="3:8">
      <c r="C3301" s="545" t="e">
        <f>VLOOKUP(D3301,기본!$B$3:$C$90,2,0)</f>
        <v>#N/A</v>
      </c>
      <c r="G3301" t="e">
        <f>VLOOKUP(E3301,기본!$F$3:$G$320,2,0)</f>
        <v>#N/A</v>
      </c>
      <c r="H3301" s="544"/>
    </row>
    <row r="3302" spans="3:8">
      <c r="C3302" s="545" t="e">
        <f>VLOOKUP(D3302,기본!$B$3:$C$90,2,0)</f>
        <v>#N/A</v>
      </c>
      <c r="G3302" t="e">
        <f>VLOOKUP(E3302,기본!$F$3:$G$320,2,0)</f>
        <v>#N/A</v>
      </c>
      <c r="H3302" s="544"/>
    </row>
    <row r="3303" spans="3:8">
      <c r="C3303" s="545" t="e">
        <f>VLOOKUP(D3303,기본!$B$3:$C$90,2,0)</f>
        <v>#N/A</v>
      </c>
      <c r="G3303" t="e">
        <f>VLOOKUP(E3303,기본!$F$3:$G$320,2,0)</f>
        <v>#N/A</v>
      </c>
      <c r="H3303" s="544"/>
    </row>
    <row r="3304" spans="3:8">
      <c r="C3304" s="545" t="e">
        <f>VLOOKUP(D3304,기본!$B$3:$C$90,2,0)</f>
        <v>#N/A</v>
      </c>
      <c r="G3304" t="e">
        <f>VLOOKUP(E3304,기본!$F$3:$G$320,2,0)</f>
        <v>#N/A</v>
      </c>
      <c r="H3304" s="544"/>
    </row>
    <row r="3305" spans="3:8">
      <c r="C3305" s="545" t="e">
        <f>VLOOKUP(D3305,기본!$B$3:$C$90,2,0)</f>
        <v>#N/A</v>
      </c>
      <c r="G3305" t="e">
        <f>VLOOKUP(E3305,기본!$F$3:$G$320,2,0)</f>
        <v>#N/A</v>
      </c>
      <c r="H3305" s="544"/>
    </row>
    <row r="3306" spans="3:8">
      <c r="C3306" s="545" t="e">
        <f>VLOOKUP(D3306,기본!$B$3:$C$90,2,0)</f>
        <v>#N/A</v>
      </c>
      <c r="G3306" t="e">
        <f>VLOOKUP(E3306,기본!$F$3:$G$320,2,0)</f>
        <v>#N/A</v>
      </c>
      <c r="H3306" s="544"/>
    </row>
    <row r="3307" spans="3:8">
      <c r="C3307" s="545" t="e">
        <f>VLOOKUP(D3307,기본!$B$3:$C$90,2,0)</f>
        <v>#N/A</v>
      </c>
      <c r="G3307" t="e">
        <f>VLOOKUP(E3307,기본!$F$3:$G$320,2,0)</f>
        <v>#N/A</v>
      </c>
      <c r="H3307" s="544"/>
    </row>
    <row r="3308" spans="3:8">
      <c r="C3308" s="545" t="e">
        <f>VLOOKUP(D3308,기본!$B$3:$C$90,2,0)</f>
        <v>#N/A</v>
      </c>
      <c r="G3308" t="e">
        <f>VLOOKUP(E3308,기본!$F$3:$G$320,2,0)</f>
        <v>#N/A</v>
      </c>
      <c r="H3308" s="544"/>
    </row>
    <row r="3309" spans="3:8">
      <c r="C3309" s="545" t="e">
        <f>VLOOKUP(D3309,기본!$B$3:$C$90,2,0)</f>
        <v>#N/A</v>
      </c>
      <c r="G3309" t="e">
        <f>VLOOKUP(E3309,기본!$F$3:$G$320,2,0)</f>
        <v>#N/A</v>
      </c>
      <c r="H3309" s="544"/>
    </row>
    <row r="3310" spans="3:8">
      <c r="C3310" s="545" t="e">
        <f>VLOOKUP(D3310,기본!$B$3:$C$90,2,0)</f>
        <v>#N/A</v>
      </c>
      <c r="G3310" t="e">
        <f>VLOOKUP(E3310,기본!$F$3:$G$320,2,0)</f>
        <v>#N/A</v>
      </c>
      <c r="H3310" s="544"/>
    </row>
    <row r="3311" spans="3:8">
      <c r="C3311" s="545" t="e">
        <f>VLOOKUP(D3311,기본!$B$3:$C$90,2,0)</f>
        <v>#N/A</v>
      </c>
      <c r="G3311" t="e">
        <f>VLOOKUP(E3311,기본!$F$3:$G$320,2,0)</f>
        <v>#N/A</v>
      </c>
      <c r="H3311" s="544"/>
    </row>
    <row r="3312" spans="3:8">
      <c r="C3312" s="545" t="e">
        <f>VLOOKUP(D3312,기본!$B$3:$C$90,2,0)</f>
        <v>#N/A</v>
      </c>
      <c r="G3312" t="e">
        <f>VLOOKUP(E3312,기본!$F$3:$G$320,2,0)</f>
        <v>#N/A</v>
      </c>
      <c r="H3312" s="544"/>
    </row>
    <row r="3313" spans="3:8">
      <c r="C3313" s="545" t="e">
        <f>VLOOKUP(D3313,기본!$B$3:$C$90,2,0)</f>
        <v>#N/A</v>
      </c>
      <c r="G3313" t="e">
        <f>VLOOKUP(E3313,기본!$F$3:$G$320,2,0)</f>
        <v>#N/A</v>
      </c>
      <c r="H3313" s="544"/>
    </row>
    <row r="3314" spans="3:8">
      <c r="C3314" s="545" t="e">
        <f>VLOOKUP(D3314,기본!$B$3:$C$90,2,0)</f>
        <v>#N/A</v>
      </c>
      <c r="G3314" t="e">
        <f>VLOOKUP(E3314,기본!$F$3:$G$320,2,0)</f>
        <v>#N/A</v>
      </c>
      <c r="H3314" s="544"/>
    </row>
    <row r="3315" spans="3:8">
      <c r="C3315" s="545" t="e">
        <f>VLOOKUP(D3315,기본!$B$3:$C$90,2,0)</f>
        <v>#N/A</v>
      </c>
      <c r="G3315" t="e">
        <f>VLOOKUP(E3315,기본!$F$3:$G$320,2,0)</f>
        <v>#N/A</v>
      </c>
      <c r="H3315" s="544"/>
    </row>
    <row r="3316" spans="3:8">
      <c r="C3316" s="545" t="e">
        <f>VLOOKUP(D3316,기본!$B$3:$C$90,2,0)</f>
        <v>#N/A</v>
      </c>
      <c r="G3316" t="e">
        <f>VLOOKUP(E3316,기본!$F$3:$G$320,2,0)</f>
        <v>#N/A</v>
      </c>
      <c r="H3316" s="544"/>
    </row>
    <row r="3317" spans="3:8">
      <c r="C3317" s="545" t="e">
        <f>VLOOKUP(D3317,기본!$B$3:$C$90,2,0)</f>
        <v>#N/A</v>
      </c>
      <c r="G3317" t="e">
        <f>VLOOKUP(E3317,기본!$F$3:$G$320,2,0)</f>
        <v>#N/A</v>
      </c>
      <c r="H3317" s="544"/>
    </row>
    <row r="3318" spans="3:8">
      <c r="C3318" s="545" t="e">
        <f>VLOOKUP(D3318,기본!$B$3:$C$90,2,0)</f>
        <v>#N/A</v>
      </c>
      <c r="G3318" t="e">
        <f>VLOOKUP(E3318,기본!$F$3:$G$320,2,0)</f>
        <v>#N/A</v>
      </c>
      <c r="H3318" s="544"/>
    </row>
    <row r="3319" spans="3:8">
      <c r="C3319" s="545" t="e">
        <f>VLOOKUP(D3319,기본!$B$3:$C$90,2,0)</f>
        <v>#N/A</v>
      </c>
      <c r="G3319" t="e">
        <f>VLOOKUP(E3319,기본!$F$3:$G$320,2,0)</f>
        <v>#N/A</v>
      </c>
      <c r="H3319" s="544"/>
    </row>
    <row r="3320" spans="3:8">
      <c r="C3320" s="545" t="e">
        <f>VLOOKUP(D3320,기본!$B$3:$C$90,2,0)</f>
        <v>#N/A</v>
      </c>
      <c r="G3320" t="e">
        <f>VLOOKUP(E3320,기본!$F$3:$G$320,2,0)</f>
        <v>#N/A</v>
      </c>
      <c r="H3320" s="544"/>
    </row>
    <row r="3321" spans="3:8">
      <c r="C3321" s="545" t="e">
        <f>VLOOKUP(D3321,기본!$B$3:$C$90,2,0)</f>
        <v>#N/A</v>
      </c>
      <c r="G3321" t="e">
        <f>VLOOKUP(E3321,기본!$F$3:$G$320,2,0)</f>
        <v>#N/A</v>
      </c>
      <c r="H3321" s="544"/>
    </row>
    <row r="3322" spans="3:8">
      <c r="C3322" s="545" t="e">
        <f>VLOOKUP(D3322,기본!$B$3:$C$90,2,0)</f>
        <v>#N/A</v>
      </c>
      <c r="G3322" t="e">
        <f>VLOOKUP(E3322,기본!$F$3:$G$320,2,0)</f>
        <v>#N/A</v>
      </c>
      <c r="H3322" s="544"/>
    </row>
    <row r="3323" spans="3:8">
      <c r="C3323" s="545" t="e">
        <f>VLOOKUP(D3323,기본!$B$3:$C$90,2,0)</f>
        <v>#N/A</v>
      </c>
      <c r="G3323" t="e">
        <f>VLOOKUP(E3323,기본!$F$3:$G$320,2,0)</f>
        <v>#N/A</v>
      </c>
      <c r="H3323" s="544"/>
    </row>
    <row r="3324" spans="3:8">
      <c r="C3324" s="545" t="e">
        <f>VLOOKUP(D3324,기본!$B$3:$C$90,2,0)</f>
        <v>#N/A</v>
      </c>
      <c r="G3324" t="e">
        <f>VLOOKUP(E3324,기본!$F$3:$G$320,2,0)</f>
        <v>#N/A</v>
      </c>
      <c r="H3324" s="544"/>
    </row>
    <row r="3325" spans="3:8">
      <c r="C3325" s="545" t="e">
        <f>VLOOKUP(D3325,기본!$B$3:$C$90,2,0)</f>
        <v>#N/A</v>
      </c>
      <c r="G3325" t="e">
        <f>VLOOKUP(E3325,기본!$F$3:$G$320,2,0)</f>
        <v>#N/A</v>
      </c>
      <c r="H3325" s="544"/>
    </row>
    <row r="3326" spans="3:8">
      <c r="C3326" s="545" t="e">
        <f>VLOOKUP(D3326,기본!$B$3:$C$90,2,0)</f>
        <v>#N/A</v>
      </c>
      <c r="G3326" t="e">
        <f>VLOOKUP(E3326,기본!$F$3:$G$320,2,0)</f>
        <v>#N/A</v>
      </c>
      <c r="H3326" s="544"/>
    </row>
    <row r="3327" spans="3:8">
      <c r="C3327" s="545" t="e">
        <f>VLOOKUP(D3327,기본!$B$3:$C$90,2,0)</f>
        <v>#N/A</v>
      </c>
      <c r="G3327" t="e">
        <f>VLOOKUP(E3327,기본!$F$3:$G$320,2,0)</f>
        <v>#N/A</v>
      </c>
      <c r="H3327" s="544"/>
    </row>
    <row r="3328" spans="3:8">
      <c r="C3328" s="545" t="e">
        <f>VLOOKUP(D3328,기본!$B$3:$C$90,2,0)</f>
        <v>#N/A</v>
      </c>
      <c r="G3328" t="e">
        <f>VLOOKUP(E3328,기본!$F$3:$G$320,2,0)</f>
        <v>#N/A</v>
      </c>
      <c r="H3328" s="544"/>
    </row>
    <row r="3329" spans="3:8">
      <c r="C3329" s="545" t="e">
        <f>VLOOKUP(D3329,기본!$B$3:$C$90,2,0)</f>
        <v>#N/A</v>
      </c>
      <c r="G3329" t="e">
        <f>VLOOKUP(E3329,기본!$F$3:$G$320,2,0)</f>
        <v>#N/A</v>
      </c>
      <c r="H3329" s="544"/>
    </row>
    <row r="3330" spans="3:8">
      <c r="C3330" s="545" t="e">
        <f>VLOOKUP(D3330,기본!$B$3:$C$90,2,0)</f>
        <v>#N/A</v>
      </c>
      <c r="G3330" t="e">
        <f>VLOOKUP(E3330,기본!$F$3:$G$320,2,0)</f>
        <v>#N/A</v>
      </c>
      <c r="H3330" s="544"/>
    </row>
    <row r="3331" spans="3:8">
      <c r="C3331" s="545" t="e">
        <f>VLOOKUP(D3331,기본!$B$3:$C$90,2,0)</f>
        <v>#N/A</v>
      </c>
      <c r="G3331" t="e">
        <f>VLOOKUP(E3331,기본!$F$3:$G$320,2,0)</f>
        <v>#N/A</v>
      </c>
      <c r="H3331" s="544"/>
    </row>
    <row r="3332" spans="3:8">
      <c r="C3332" s="545" t="e">
        <f>VLOOKUP(D3332,기본!$B$3:$C$90,2,0)</f>
        <v>#N/A</v>
      </c>
      <c r="G3332" t="e">
        <f>VLOOKUP(E3332,기본!$F$3:$G$320,2,0)</f>
        <v>#N/A</v>
      </c>
      <c r="H3332" s="544"/>
    </row>
    <row r="3333" spans="3:8">
      <c r="C3333" s="545" t="e">
        <f>VLOOKUP(D3333,기본!$B$3:$C$90,2,0)</f>
        <v>#N/A</v>
      </c>
      <c r="G3333" t="e">
        <f>VLOOKUP(E3333,기본!$F$3:$G$320,2,0)</f>
        <v>#N/A</v>
      </c>
      <c r="H3333" s="544"/>
    </row>
    <row r="3334" spans="3:8">
      <c r="C3334" s="545" t="e">
        <f>VLOOKUP(D3334,기본!$B$3:$C$90,2,0)</f>
        <v>#N/A</v>
      </c>
      <c r="G3334" t="e">
        <f>VLOOKUP(E3334,기본!$F$3:$G$320,2,0)</f>
        <v>#N/A</v>
      </c>
      <c r="H3334" s="544"/>
    </row>
    <row r="3335" spans="3:8">
      <c r="C3335" s="545" t="e">
        <f>VLOOKUP(D3335,기본!$B$3:$C$90,2,0)</f>
        <v>#N/A</v>
      </c>
      <c r="G3335" t="e">
        <f>VLOOKUP(E3335,기본!$F$3:$G$320,2,0)</f>
        <v>#N/A</v>
      </c>
      <c r="H3335" s="544"/>
    </row>
    <row r="3336" spans="3:8">
      <c r="C3336" s="545" t="e">
        <f>VLOOKUP(D3336,기본!$B$3:$C$90,2,0)</f>
        <v>#N/A</v>
      </c>
      <c r="G3336" t="e">
        <f>VLOOKUP(E3336,기본!$F$3:$G$320,2,0)</f>
        <v>#N/A</v>
      </c>
      <c r="H3336" s="544"/>
    </row>
    <row r="3337" spans="3:8">
      <c r="C3337" s="545" t="e">
        <f>VLOOKUP(D3337,기본!$B$3:$C$90,2,0)</f>
        <v>#N/A</v>
      </c>
      <c r="G3337" t="e">
        <f>VLOOKUP(E3337,기본!$F$3:$G$320,2,0)</f>
        <v>#N/A</v>
      </c>
      <c r="H3337" s="544"/>
    </row>
    <row r="3338" spans="3:8">
      <c r="C3338" s="545" t="e">
        <f>VLOOKUP(D3338,기본!$B$3:$C$90,2,0)</f>
        <v>#N/A</v>
      </c>
      <c r="G3338" t="e">
        <f>VLOOKUP(E3338,기본!$F$3:$G$320,2,0)</f>
        <v>#N/A</v>
      </c>
      <c r="H3338" s="544"/>
    </row>
    <row r="3339" spans="3:8">
      <c r="C3339" s="545" t="e">
        <f>VLOOKUP(D3339,기본!$B$3:$C$90,2,0)</f>
        <v>#N/A</v>
      </c>
      <c r="G3339" t="e">
        <f>VLOOKUP(E3339,기본!$F$3:$G$320,2,0)</f>
        <v>#N/A</v>
      </c>
      <c r="H3339" s="544"/>
    </row>
    <row r="3340" spans="3:8">
      <c r="C3340" s="545" t="e">
        <f>VLOOKUP(D3340,기본!$B$3:$C$90,2,0)</f>
        <v>#N/A</v>
      </c>
      <c r="G3340" t="e">
        <f>VLOOKUP(E3340,기본!$F$3:$G$320,2,0)</f>
        <v>#N/A</v>
      </c>
      <c r="H3340" s="544"/>
    </row>
    <row r="3341" spans="3:8">
      <c r="C3341" s="545" t="e">
        <f>VLOOKUP(D3341,기본!$B$3:$C$90,2,0)</f>
        <v>#N/A</v>
      </c>
      <c r="G3341" t="e">
        <f>VLOOKUP(E3341,기본!$F$3:$G$320,2,0)</f>
        <v>#N/A</v>
      </c>
      <c r="H3341" s="544"/>
    </row>
    <row r="3342" spans="3:8">
      <c r="C3342" s="545" t="e">
        <f>VLOOKUP(D3342,기본!$B$3:$C$90,2,0)</f>
        <v>#N/A</v>
      </c>
      <c r="G3342" t="e">
        <f>VLOOKUP(E3342,기본!$F$3:$G$320,2,0)</f>
        <v>#N/A</v>
      </c>
      <c r="H3342" s="544"/>
    </row>
    <row r="3343" spans="3:8">
      <c r="C3343" s="545" t="e">
        <f>VLOOKUP(D3343,기본!$B$3:$C$90,2,0)</f>
        <v>#N/A</v>
      </c>
      <c r="G3343" t="e">
        <f>VLOOKUP(E3343,기본!$F$3:$G$320,2,0)</f>
        <v>#N/A</v>
      </c>
      <c r="H3343" s="544"/>
    </row>
    <row r="3344" spans="3:8">
      <c r="C3344" s="545" t="e">
        <f>VLOOKUP(D3344,기본!$B$3:$C$90,2,0)</f>
        <v>#N/A</v>
      </c>
      <c r="G3344" t="e">
        <f>VLOOKUP(E3344,기본!$F$3:$G$320,2,0)</f>
        <v>#N/A</v>
      </c>
      <c r="H3344" s="544"/>
    </row>
    <row r="3345" spans="3:8">
      <c r="C3345" s="545" t="e">
        <f>VLOOKUP(D3345,기본!$B$3:$C$90,2,0)</f>
        <v>#N/A</v>
      </c>
      <c r="G3345" t="e">
        <f>VLOOKUP(E3345,기본!$F$3:$G$320,2,0)</f>
        <v>#N/A</v>
      </c>
      <c r="H3345" s="544"/>
    </row>
    <row r="3346" spans="3:8">
      <c r="C3346" s="545" t="e">
        <f>VLOOKUP(D3346,기본!$B$3:$C$90,2,0)</f>
        <v>#N/A</v>
      </c>
      <c r="G3346" t="e">
        <f>VLOOKUP(E3346,기본!$F$3:$G$320,2,0)</f>
        <v>#N/A</v>
      </c>
      <c r="H3346" s="544"/>
    </row>
    <row r="3347" spans="3:8">
      <c r="C3347" s="545" t="e">
        <f>VLOOKUP(D3347,기본!$B$3:$C$90,2,0)</f>
        <v>#N/A</v>
      </c>
      <c r="G3347" t="e">
        <f>VLOOKUP(E3347,기본!$F$3:$G$320,2,0)</f>
        <v>#N/A</v>
      </c>
      <c r="H3347" s="544"/>
    </row>
    <row r="3348" spans="3:8">
      <c r="C3348" s="545" t="e">
        <f>VLOOKUP(D3348,기본!$B$3:$C$90,2,0)</f>
        <v>#N/A</v>
      </c>
      <c r="G3348" t="e">
        <f>VLOOKUP(E3348,기본!$F$3:$G$320,2,0)</f>
        <v>#N/A</v>
      </c>
      <c r="H3348" s="544"/>
    </row>
    <row r="3349" spans="3:8">
      <c r="C3349" s="545" t="e">
        <f>VLOOKUP(D3349,기본!$B$3:$C$90,2,0)</f>
        <v>#N/A</v>
      </c>
      <c r="G3349" t="e">
        <f>VLOOKUP(E3349,기본!$F$3:$G$320,2,0)</f>
        <v>#N/A</v>
      </c>
      <c r="H3349" s="544"/>
    </row>
    <row r="3350" spans="3:8">
      <c r="C3350" s="545" t="e">
        <f>VLOOKUP(D3350,기본!$B$3:$C$90,2,0)</f>
        <v>#N/A</v>
      </c>
      <c r="G3350" t="e">
        <f>VLOOKUP(E3350,기본!$F$3:$G$320,2,0)</f>
        <v>#N/A</v>
      </c>
      <c r="H3350" s="544"/>
    </row>
    <row r="3351" spans="3:8">
      <c r="C3351" s="545" t="e">
        <f>VLOOKUP(D3351,기본!$B$3:$C$90,2,0)</f>
        <v>#N/A</v>
      </c>
      <c r="G3351" t="e">
        <f>VLOOKUP(E3351,기본!$F$3:$G$320,2,0)</f>
        <v>#N/A</v>
      </c>
      <c r="H3351" s="544"/>
    </row>
    <row r="3352" spans="3:8">
      <c r="C3352" s="545" t="e">
        <f>VLOOKUP(D3352,기본!$B$3:$C$90,2,0)</f>
        <v>#N/A</v>
      </c>
      <c r="G3352" t="e">
        <f>VLOOKUP(E3352,기본!$F$3:$G$320,2,0)</f>
        <v>#N/A</v>
      </c>
      <c r="H3352" s="544"/>
    </row>
    <row r="3353" spans="3:8">
      <c r="C3353" s="545" t="e">
        <f>VLOOKUP(D3353,기본!$B$3:$C$90,2,0)</f>
        <v>#N/A</v>
      </c>
      <c r="G3353" t="e">
        <f>VLOOKUP(E3353,기본!$F$3:$G$320,2,0)</f>
        <v>#N/A</v>
      </c>
      <c r="H3353" s="544"/>
    </row>
    <row r="3354" spans="3:8">
      <c r="C3354" s="545" t="e">
        <f>VLOOKUP(D3354,기본!$B$3:$C$90,2,0)</f>
        <v>#N/A</v>
      </c>
      <c r="G3354" t="e">
        <f>VLOOKUP(E3354,기본!$F$3:$G$320,2,0)</f>
        <v>#N/A</v>
      </c>
      <c r="H3354" s="544"/>
    </row>
    <row r="3355" spans="3:8">
      <c r="C3355" s="545" t="e">
        <f>VLOOKUP(D3355,기본!$B$3:$C$90,2,0)</f>
        <v>#N/A</v>
      </c>
      <c r="G3355" t="e">
        <f>VLOOKUP(E3355,기본!$F$3:$G$320,2,0)</f>
        <v>#N/A</v>
      </c>
      <c r="H3355" s="544"/>
    </row>
    <row r="3356" spans="3:8">
      <c r="C3356" s="545" t="e">
        <f>VLOOKUP(D3356,기본!$B$3:$C$90,2,0)</f>
        <v>#N/A</v>
      </c>
      <c r="G3356" t="e">
        <f>VLOOKUP(E3356,기본!$F$3:$G$320,2,0)</f>
        <v>#N/A</v>
      </c>
      <c r="H3356" s="544"/>
    </row>
    <row r="3357" spans="3:8">
      <c r="C3357" s="545" t="e">
        <f>VLOOKUP(D3357,기본!$B$3:$C$90,2,0)</f>
        <v>#N/A</v>
      </c>
      <c r="G3357" t="e">
        <f>VLOOKUP(E3357,기본!$F$3:$G$320,2,0)</f>
        <v>#N/A</v>
      </c>
      <c r="H3357" s="544"/>
    </row>
    <row r="3358" spans="3:8">
      <c r="C3358" s="545" t="e">
        <f>VLOOKUP(D3358,기본!$B$3:$C$90,2,0)</f>
        <v>#N/A</v>
      </c>
      <c r="G3358" t="e">
        <f>VLOOKUP(E3358,기본!$F$3:$G$320,2,0)</f>
        <v>#N/A</v>
      </c>
      <c r="H3358" s="544"/>
    </row>
    <row r="3359" spans="3:8">
      <c r="C3359" s="545" t="e">
        <f>VLOOKUP(D3359,기본!$B$3:$C$90,2,0)</f>
        <v>#N/A</v>
      </c>
      <c r="G3359" t="e">
        <f>VLOOKUP(E3359,기본!$F$3:$G$320,2,0)</f>
        <v>#N/A</v>
      </c>
      <c r="H3359" s="544"/>
    </row>
    <row r="3360" spans="3:8">
      <c r="C3360" s="545" t="e">
        <f>VLOOKUP(D3360,기본!$B$3:$C$90,2,0)</f>
        <v>#N/A</v>
      </c>
      <c r="G3360" t="e">
        <f>VLOOKUP(E3360,기본!$F$3:$G$320,2,0)</f>
        <v>#N/A</v>
      </c>
      <c r="H3360" s="544"/>
    </row>
    <row r="3361" spans="3:8">
      <c r="C3361" s="545" t="e">
        <f>VLOOKUP(D3361,기본!$B$3:$C$90,2,0)</f>
        <v>#N/A</v>
      </c>
      <c r="G3361" t="e">
        <f>VLOOKUP(E3361,기본!$F$3:$G$320,2,0)</f>
        <v>#N/A</v>
      </c>
      <c r="H3361" s="544"/>
    </row>
    <row r="3362" spans="3:8">
      <c r="C3362" s="545" t="e">
        <f>VLOOKUP(D3362,기본!$B$3:$C$90,2,0)</f>
        <v>#N/A</v>
      </c>
      <c r="G3362" t="e">
        <f>VLOOKUP(E3362,기본!$F$3:$G$320,2,0)</f>
        <v>#N/A</v>
      </c>
      <c r="H3362" s="544"/>
    </row>
    <row r="3363" spans="3:8">
      <c r="C3363" s="545" t="e">
        <f>VLOOKUP(D3363,기본!$B$3:$C$90,2,0)</f>
        <v>#N/A</v>
      </c>
      <c r="G3363" t="e">
        <f>VLOOKUP(E3363,기본!$F$3:$G$320,2,0)</f>
        <v>#N/A</v>
      </c>
      <c r="H3363" s="544"/>
    </row>
    <row r="3364" spans="3:8">
      <c r="C3364" s="545" t="e">
        <f>VLOOKUP(D3364,기본!$B$3:$C$90,2,0)</f>
        <v>#N/A</v>
      </c>
      <c r="G3364" t="e">
        <f>VLOOKUP(E3364,기본!$F$3:$G$320,2,0)</f>
        <v>#N/A</v>
      </c>
      <c r="H3364" s="544"/>
    </row>
    <row r="3365" spans="3:8">
      <c r="C3365" s="545" t="e">
        <f>VLOOKUP(D3365,기본!$B$3:$C$90,2,0)</f>
        <v>#N/A</v>
      </c>
      <c r="G3365" t="e">
        <f>VLOOKUP(E3365,기본!$F$3:$G$320,2,0)</f>
        <v>#N/A</v>
      </c>
      <c r="H3365" s="544"/>
    </row>
    <row r="3366" spans="3:8">
      <c r="C3366" s="545" t="e">
        <f>VLOOKUP(D3366,기본!$B$3:$C$90,2,0)</f>
        <v>#N/A</v>
      </c>
      <c r="G3366" t="e">
        <f>VLOOKUP(E3366,기본!$F$3:$G$320,2,0)</f>
        <v>#N/A</v>
      </c>
      <c r="H3366" s="544"/>
    </row>
    <row r="3367" spans="3:8">
      <c r="C3367" s="545" t="e">
        <f>VLOOKUP(D3367,기본!$B$3:$C$90,2,0)</f>
        <v>#N/A</v>
      </c>
      <c r="G3367" t="e">
        <f>VLOOKUP(E3367,기본!$F$3:$G$320,2,0)</f>
        <v>#N/A</v>
      </c>
      <c r="H3367" s="544"/>
    </row>
    <row r="3368" spans="3:8">
      <c r="C3368" s="545" t="e">
        <f>VLOOKUP(D3368,기본!$B$3:$C$90,2,0)</f>
        <v>#N/A</v>
      </c>
      <c r="G3368" t="e">
        <f>VLOOKUP(E3368,기본!$F$3:$G$320,2,0)</f>
        <v>#N/A</v>
      </c>
      <c r="H3368" s="544"/>
    </row>
    <row r="3369" spans="3:8">
      <c r="C3369" s="545" t="e">
        <f>VLOOKUP(D3369,기본!$B$3:$C$90,2,0)</f>
        <v>#N/A</v>
      </c>
      <c r="G3369" t="e">
        <f>VLOOKUP(E3369,기본!$F$3:$G$320,2,0)</f>
        <v>#N/A</v>
      </c>
      <c r="H3369" s="544"/>
    </row>
    <row r="3370" spans="3:8">
      <c r="C3370" s="545" t="e">
        <f>VLOOKUP(D3370,기본!$B$3:$C$90,2,0)</f>
        <v>#N/A</v>
      </c>
      <c r="G3370" t="e">
        <f>VLOOKUP(E3370,기본!$F$3:$G$320,2,0)</f>
        <v>#N/A</v>
      </c>
      <c r="H3370" s="544"/>
    </row>
    <row r="3371" spans="3:8">
      <c r="C3371" s="545" t="e">
        <f>VLOOKUP(D3371,기본!$B$3:$C$90,2,0)</f>
        <v>#N/A</v>
      </c>
      <c r="G3371" t="e">
        <f>VLOOKUP(E3371,기본!$F$3:$G$320,2,0)</f>
        <v>#N/A</v>
      </c>
      <c r="H3371" s="544"/>
    </row>
    <row r="3372" spans="3:8">
      <c r="C3372" s="545" t="e">
        <f>VLOOKUP(D3372,기본!$B$3:$C$90,2,0)</f>
        <v>#N/A</v>
      </c>
      <c r="G3372" t="e">
        <f>VLOOKUP(E3372,기본!$F$3:$G$320,2,0)</f>
        <v>#N/A</v>
      </c>
      <c r="H3372" s="544"/>
    </row>
    <row r="3373" spans="3:8">
      <c r="C3373" s="545" t="e">
        <f>VLOOKUP(D3373,기본!$B$3:$C$90,2,0)</f>
        <v>#N/A</v>
      </c>
      <c r="G3373" t="e">
        <f>VLOOKUP(E3373,기본!$F$3:$G$320,2,0)</f>
        <v>#N/A</v>
      </c>
      <c r="H3373" s="544"/>
    </row>
    <row r="3374" spans="3:8">
      <c r="C3374" s="545" t="e">
        <f>VLOOKUP(D3374,기본!$B$3:$C$90,2,0)</f>
        <v>#N/A</v>
      </c>
      <c r="G3374" t="e">
        <f>VLOOKUP(E3374,기본!$F$3:$G$320,2,0)</f>
        <v>#N/A</v>
      </c>
      <c r="H3374" s="544"/>
    </row>
    <row r="3375" spans="3:8">
      <c r="C3375" s="545" t="e">
        <f>VLOOKUP(D3375,기본!$B$3:$C$90,2,0)</f>
        <v>#N/A</v>
      </c>
      <c r="G3375" t="e">
        <f>VLOOKUP(E3375,기본!$F$3:$G$320,2,0)</f>
        <v>#N/A</v>
      </c>
      <c r="H3375" s="544"/>
    </row>
    <row r="3376" spans="3:8">
      <c r="C3376" s="545" t="e">
        <f>VLOOKUP(D3376,기본!$B$3:$C$90,2,0)</f>
        <v>#N/A</v>
      </c>
      <c r="G3376" t="e">
        <f>VLOOKUP(E3376,기본!$F$3:$G$320,2,0)</f>
        <v>#N/A</v>
      </c>
      <c r="H3376" s="544"/>
    </row>
    <row r="3377" spans="3:8">
      <c r="C3377" s="545" t="e">
        <f>VLOOKUP(D3377,기본!$B$3:$C$90,2,0)</f>
        <v>#N/A</v>
      </c>
      <c r="G3377" t="e">
        <f>VLOOKUP(E3377,기본!$F$3:$G$320,2,0)</f>
        <v>#N/A</v>
      </c>
      <c r="H3377" s="544"/>
    </row>
    <row r="3378" spans="3:8">
      <c r="C3378" s="545" t="e">
        <f>VLOOKUP(D3378,기본!$B$3:$C$90,2,0)</f>
        <v>#N/A</v>
      </c>
      <c r="G3378" t="e">
        <f>VLOOKUP(E3378,기본!$F$3:$G$320,2,0)</f>
        <v>#N/A</v>
      </c>
      <c r="H3378" s="544"/>
    </row>
    <row r="3379" spans="3:8">
      <c r="C3379" s="545" t="e">
        <f>VLOOKUP(D3379,기본!$B$3:$C$90,2,0)</f>
        <v>#N/A</v>
      </c>
      <c r="G3379" t="e">
        <f>VLOOKUP(E3379,기본!$F$3:$G$320,2,0)</f>
        <v>#N/A</v>
      </c>
      <c r="H3379" s="544"/>
    </row>
    <row r="3380" spans="3:8">
      <c r="C3380" s="545" t="e">
        <f>VLOOKUP(D3380,기본!$B$3:$C$90,2,0)</f>
        <v>#N/A</v>
      </c>
      <c r="G3380" t="e">
        <f>VLOOKUP(E3380,기본!$F$3:$G$320,2,0)</f>
        <v>#N/A</v>
      </c>
      <c r="H3380" s="544"/>
    </row>
    <row r="3381" spans="3:8">
      <c r="C3381" s="545" t="e">
        <f>VLOOKUP(D3381,기본!$B$3:$C$90,2,0)</f>
        <v>#N/A</v>
      </c>
      <c r="G3381" t="e">
        <f>VLOOKUP(E3381,기본!$F$3:$G$320,2,0)</f>
        <v>#N/A</v>
      </c>
      <c r="H3381" s="544"/>
    </row>
    <row r="3382" spans="3:8">
      <c r="C3382" s="545" t="e">
        <f>VLOOKUP(D3382,기본!$B$3:$C$90,2,0)</f>
        <v>#N/A</v>
      </c>
      <c r="G3382" t="e">
        <f>VLOOKUP(E3382,기본!$F$3:$G$320,2,0)</f>
        <v>#N/A</v>
      </c>
      <c r="H3382" s="544"/>
    </row>
    <row r="3383" spans="3:8">
      <c r="C3383" s="545" t="e">
        <f>VLOOKUP(D3383,기본!$B$3:$C$90,2,0)</f>
        <v>#N/A</v>
      </c>
      <c r="G3383" t="e">
        <f>VLOOKUP(E3383,기본!$F$3:$G$320,2,0)</f>
        <v>#N/A</v>
      </c>
      <c r="H3383" s="544"/>
    </row>
    <row r="3384" spans="3:8">
      <c r="C3384" s="545" t="e">
        <f>VLOOKUP(D3384,기본!$B$3:$C$90,2,0)</f>
        <v>#N/A</v>
      </c>
      <c r="G3384" t="e">
        <f>VLOOKUP(E3384,기본!$F$3:$G$320,2,0)</f>
        <v>#N/A</v>
      </c>
      <c r="H3384" s="544"/>
    </row>
    <row r="3385" spans="3:8">
      <c r="C3385" s="545" t="e">
        <f>VLOOKUP(D3385,기본!$B$3:$C$90,2,0)</f>
        <v>#N/A</v>
      </c>
      <c r="G3385" t="e">
        <f>VLOOKUP(E3385,기본!$F$3:$G$320,2,0)</f>
        <v>#N/A</v>
      </c>
      <c r="H3385" s="544"/>
    </row>
    <row r="3386" spans="3:8">
      <c r="C3386" s="545" t="e">
        <f>VLOOKUP(D3386,기본!$B$3:$C$90,2,0)</f>
        <v>#N/A</v>
      </c>
      <c r="G3386" t="e">
        <f>VLOOKUP(E3386,기본!$F$3:$G$320,2,0)</f>
        <v>#N/A</v>
      </c>
      <c r="H3386" s="544"/>
    </row>
    <row r="3387" spans="3:8">
      <c r="C3387" s="545" t="e">
        <f>VLOOKUP(D3387,기본!$B$3:$C$90,2,0)</f>
        <v>#N/A</v>
      </c>
      <c r="G3387" t="e">
        <f>VLOOKUP(E3387,기본!$F$3:$G$320,2,0)</f>
        <v>#N/A</v>
      </c>
      <c r="H3387" s="544"/>
    </row>
    <row r="3388" spans="3:8">
      <c r="C3388" s="545" t="e">
        <f>VLOOKUP(D3388,기본!$B$3:$C$90,2,0)</f>
        <v>#N/A</v>
      </c>
      <c r="G3388" t="e">
        <f>VLOOKUP(E3388,기본!$F$3:$G$320,2,0)</f>
        <v>#N/A</v>
      </c>
      <c r="H3388" s="544"/>
    </row>
    <row r="3389" spans="3:8">
      <c r="C3389" s="545" t="e">
        <f>VLOOKUP(D3389,기본!$B$3:$C$90,2,0)</f>
        <v>#N/A</v>
      </c>
      <c r="G3389" t="e">
        <f>VLOOKUP(E3389,기본!$F$3:$G$320,2,0)</f>
        <v>#N/A</v>
      </c>
      <c r="H3389" s="544"/>
    </row>
    <row r="3390" spans="3:8">
      <c r="C3390" s="545" t="e">
        <f>VLOOKUP(D3390,기본!$B$3:$C$90,2,0)</f>
        <v>#N/A</v>
      </c>
      <c r="G3390" t="e">
        <f>VLOOKUP(E3390,기본!$F$3:$G$320,2,0)</f>
        <v>#N/A</v>
      </c>
      <c r="H3390" s="544"/>
    </row>
    <row r="3391" spans="3:8">
      <c r="C3391" s="545" t="e">
        <f>VLOOKUP(D3391,기본!$B$3:$C$90,2,0)</f>
        <v>#N/A</v>
      </c>
      <c r="G3391" t="e">
        <f>VLOOKUP(E3391,기본!$F$3:$G$320,2,0)</f>
        <v>#N/A</v>
      </c>
      <c r="H3391" s="544"/>
    </row>
    <row r="3392" spans="3:8">
      <c r="C3392" s="545" t="e">
        <f>VLOOKUP(D3392,기본!$B$3:$C$90,2,0)</f>
        <v>#N/A</v>
      </c>
      <c r="G3392" t="e">
        <f>VLOOKUP(E3392,기본!$F$3:$G$320,2,0)</f>
        <v>#N/A</v>
      </c>
      <c r="H3392" s="544"/>
    </row>
    <row r="3393" spans="3:8">
      <c r="C3393" s="545" t="e">
        <f>VLOOKUP(D3393,기본!$B$3:$C$90,2,0)</f>
        <v>#N/A</v>
      </c>
      <c r="G3393" t="e">
        <f>VLOOKUP(E3393,기본!$F$3:$G$320,2,0)</f>
        <v>#N/A</v>
      </c>
      <c r="H3393" s="544"/>
    </row>
    <row r="3394" spans="3:8">
      <c r="C3394" s="545" t="e">
        <f>VLOOKUP(D3394,기본!$B$3:$C$90,2,0)</f>
        <v>#N/A</v>
      </c>
      <c r="G3394" t="e">
        <f>VLOOKUP(E3394,기본!$F$3:$G$320,2,0)</f>
        <v>#N/A</v>
      </c>
      <c r="H3394" s="544"/>
    </row>
    <row r="3395" spans="3:8">
      <c r="C3395" s="545" t="e">
        <f>VLOOKUP(D3395,기본!$B$3:$C$90,2,0)</f>
        <v>#N/A</v>
      </c>
      <c r="G3395" t="e">
        <f>VLOOKUP(E3395,기본!$F$3:$G$320,2,0)</f>
        <v>#N/A</v>
      </c>
      <c r="H3395" s="544"/>
    </row>
    <row r="3396" spans="3:8">
      <c r="C3396" s="545" t="e">
        <f>VLOOKUP(D3396,기본!$B$3:$C$90,2,0)</f>
        <v>#N/A</v>
      </c>
      <c r="G3396" t="e">
        <f>VLOOKUP(E3396,기본!$F$3:$G$320,2,0)</f>
        <v>#N/A</v>
      </c>
      <c r="H3396" s="544"/>
    </row>
    <row r="3397" spans="3:8">
      <c r="C3397" s="545" t="e">
        <f>VLOOKUP(D3397,기본!$B$3:$C$90,2,0)</f>
        <v>#N/A</v>
      </c>
      <c r="G3397" t="e">
        <f>VLOOKUP(E3397,기본!$F$3:$G$320,2,0)</f>
        <v>#N/A</v>
      </c>
      <c r="H3397" s="544"/>
    </row>
    <row r="3398" spans="3:8">
      <c r="C3398" s="545" t="e">
        <f>VLOOKUP(D3398,기본!$B$3:$C$90,2,0)</f>
        <v>#N/A</v>
      </c>
      <c r="G3398" t="e">
        <f>VLOOKUP(E3398,기본!$F$3:$G$320,2,0)</f>
        <v>#N/A</v>
      </c>
      <c r="H3398" s="544"/>
    </row>
    <row r="3399" spans="3:8">
      <c r="C3399" s="545" t="e">
        <f>VLOOKUP(D3399,기본!$B$3:$C$90,2,0)</f>
        <v>#N/A</v>
      </c>
      <c r="G3399" t="e">
        <f>VLOOKUP(E3399,기본!$F$3:$G$320,2,0)</f>
        <v>#N/A</v>
      </c>
      <c r="H3399" s="544"/>
    </row>
    <row r="3400" spans="3:8">
      <c r="C3400" s="545" t="e">
        <f>VLOOKUP(D3400,기본!$B$3:$C$90,2,0)</f>
        <v>#N/A</v>
      </c>
      <c r="G3400" t="e">
        <f>VLOOKUP(E3400,기본!$F$3:$G$320,2,0)</f>
        <v>#N/A</v>
      </c>
      <c r="H3400" s="544"/>
    </row>
    <row r="3401" spans="3:8">
      <c r="C3401" s="545" t="e">
        <f>VLOOKUP(D3401,기본!$B$3:$C$90,2,0)</f>
        <v>#N/A</v>
      </c>
      <c r="G3401" t="e">
        <f>VLOOKUP(E3401,기본!$F$3:$G$320,2,0)</f>
        <v>#N/A</v>
      </c>
      <c r="H3401" s="544"/>
    </row>
    <row r="3402" spans="3:8">
      <c r="C3402" s="545" t="e">
        <f>VLOOKUP(D3402,기본!$B$3:$C$90,2,0)</f>
        <v>#N/A</v>
      </c>
      <c r="G3402" t="e">
        <f>VLOOKUP(E3402,기본!$F$3:$G$320,2,0)</f>
        <v>#N/A</v>
      </c>
      <c r="H3402" s="544"/>
    </row>
    <row r="3403" spans="3:8">
      <c r="C3403" s="545" t="e">
        <f>VLOOKUP(D3403,기본!$B$3:$C$90,2,0)</f>
        <v>#N/A</v>
      </c>
      <c r="G3403" t="e">
        <f>VLOOKUP(E3403,기본!$F$3:$G$320,2,0)</f>
        <v>#N/A</v>
      </c>
      <c r="H3403" s="544"/>
    </row>
    <row r="3404" spans="3:8">
      <c r="C3404" s="545" t="e">
        <f>VLOOKUP(D3404,기본!$B$3:$C$90,2,0)</f>
        <v>#N/A</v>
      </c>
      <c r="G3404" t="e">
        <f>VLOOKUP(E3404,기본!$F$3:$G$320,2,0)</f>
        <v>#N/A</v>
      </c>
      <c r="H3404" s="544"/>
    </row>
    <row r="3405" spans="3:8">
      <c r="C3405" s="545" t="e">
        <f>VLOOKUP(D3405,기본!$B$3:$C$90,2,0)</f>
        <v>#N/A</v>
      </c>
      <c r="G3405" t="e">
        <f>VLOOKUP(E3405,기본!$F$3:$G$320,2,0)</f>
        <v>#N/A</v>
      </c>
      <c r="H3405" s="544"/>
    </row>
    <row r="3406" spans="3:8">
      <c r="C3406" s="545" t="e">
        <f>VLOOKUP(D3406,기본!$B$3:$C$90,2,0)</f>
        <v>#N/A</v>
      </c>
      <c r="G3406" t="e">
        <f>VLOOKUP(E3406,기본!$F$3:$G$320,2,0)</f>
        <v>#N/A</v>
      </c>
      <c r="H3406" s="544"/>
    </row>
    <row r="3407" spans="3:8">
      <c r="C3407" s="545" t="e">
        <f>VLOOKUP(D3407,기본!$B$3:$C$90,2,0)</f>
        <v>#N/A</v>
      </c>
      <c r="G3407" t="e">
        <f>VLOOKUP(E3407,기본!$F$3:$G$320,2,0)</f>
        <v>#N/A</v>
      </c>
      <c r="H3407" s="544"/>
    </row>
    <row r="3408" spans="3:8">
      <c r="C3408" s="545" t="e">
        <f>VLOOKUP(D3408,기본!$B$3:$C$90,2,0)</f>
        <v>#N/A</v>
      </c>
      <c r="G3408" t="e">
        <f>VLOOKUP(E3408,기본!$F$3:$G$320,2,0)</f>
        <v>#N/A</v>
      </c>
      <c r="H3408" s="544"/>
    </row>
    <row r="3409" spans="3:8">
      <c r="C3409" s="545" t="e">
        <f>VLOOKUP(D3409,기본!$B$3:$C$90,2,0)</f>
        <v>#N/A</v>
      </c>
      <c r="G3409" t="e">
        <f>VLOOKUP(E3409,기본!$F$3:$G$320,2,0)</f>
        <v>#N/A</v>
      </c>
      <c r="H3409" s="544"/>
    </row>
    <row r="3410" spans="3:8">
      <c r="C3410" s="545" t="e">
        <f>VLOOKUP(D3410,기본!$B$3:$C$90,2,0)</f>
        <v>#N/A</v>
      </c>
      <c r="G3410" t="e">
        <f>VLOOKUP(E3410,기본!$F$3:$G$320,2,0)</f>
        <v>#N/A</v>
      </c>
      <c r="H3410" s="544"/>
    </row>
    <row r="3411" spans="3:8">
      <c r="C3411" s="545" t="e">
        <f>VLOOKUP(D3411,기본!$B$3:$C$90,2,0)</f>
        <v>#N/A</v>
      </c>
      <c r="G3411" t="e">
        <f>VLOOKUP(E3411,기본!$F$3:$G$320,2,0)</f>
        <v>#N/A</v>
      </c>
      <c r="H3411" s="544"/>
    </row>
    <row r="3412" spans="3:8">
      <c r="C3412" s="545" t="e">
        <f>VLOOKUP(D3412,기본!$B$3:$C$90,2,0)</f>
        <v>#N/A</v>
      </c>
      <c r="G3412" t="e">
        <f>VLOOKUP(E3412,기본!$F$3:$G$320,2,0)</f>
        <v>#N/A</v>
      </c>
      <c r="H3412" s="544"/>
    </row>
    <row r="3413" spans="3:8">
      <c r="C3413" s="545" t="e">
        <f>VLOOKUP(D3413,기본!$B$3:$C$90,2,0)</f>
        <v>#N/A</v>
      </c>
      <c r="G3413" t="e">
        <f>VLOOKUP(E3413,기본!$F$3:$G$320,2,0)</f>
        <v>#N/A</v>
      </c>
      <c r="H3413" s="544"/>
    </row>
    <row r="3414" spans="3:8">
      <c r="C3414" s="545" t="e">
        <f>VLOOKUP(D3414,기본!$B$3:$C$90,2,0)</f>
        <v>#N/A</v>
      </c>
      <c r="G3414" t="e">
        <f>VLOOKUP(E3414,기본!$F$3:$G$320,2,0)</f>
        <v>#N/A</v>
      </c>
      <c r="H3414" s="544"/>
    </row>
    <row r="3415" spans="3:8">
      <c r="C3415" s="545" t="e">
        <f>VLOOKUP(D3415,기본!$B$3:$C$90,2,0)</f>
        <v>#N/A</v>
      </c>
      <c r="G3415" t="e">
        <f>VLOOKUP(E3415,기본!$F$3:$G$320,2,0)</f>
        <v>#N/A</v>
      </c>
      <c r="H3415" s="544"/>
    </row>
    <row r="3416" spans="3:8">
      <c r="C3416" s="545" t="e">
        <f>VLOOKUP(D3416,기본!$B$3:$C$90,2,0)</f>
        <v>#N/A</v>
      </c>
      <c r="G3416" t="e">
        <f>VLOOKUP(E3416,기본!$F$3:$G$320,2,0)</f>
        <v>#N/A</v>
      </c>
      <c r="H3416" s="544"/>
    </row>
    <row r="3417" spans="3:8">
      <c r="C3417" s="545" t="e">
        <f>VLOOKUP(D3417,기본!$B$3:$C$90,2,0)</f>
        <v>#N/A</v>
      </c>
      <c r="G3417" t="e">
        <f>VLOOKUP(E3417,기본!$F$3:$G$320,2,0)</f>
        <v>#N/A</v>
      </c>
      <c r="H3417" s="544"/>
    </row>
    <row r="3418" spans="3:8">
      <c r="C3418" s="545" t="e">
        <f>VLOOKUP(D3418,기본!$B$3:$C$90,2,0)</f>
        <v>#N/A</v>
      </c>
      <c r="G3418" t="e">
        <f>VLOOKUP(E3418,기본!$F$3:$G$320,2,0)</f>
        <v>#N/A</v>
      </c>
      <c r="H3418" s="544"/>
    </row>
    <row r="3419" spans="3:8">
      <c r="C3419" s="545" t="e">
        <f>VLOOKUP(D3419,기본!$B$3:$C$90,2,0)</f>
        <v>#N/A</v>
      </c>
      <c r="G3419" t="e">
        <f>VLOOKUP(E3419,기본!$F$3:$G$320,2,0)</f>
        <v>#N/A</v>
      </c>
      <c r="H3419" s="544"/>
    </row>
    <row r="3420" spans="3:8">
      <c r="C3420" s="545" t="e">
        <f>VLOOKUP(D3420,기본!$B$3:$C$90,2,0)</f>
        <v>#N/A</v>
      </c>
      <c r="G3420" t="e">
        <f>VLOOKUP(E3420,기본!$F$3:$G$320,2,0)</f>
        <v>#N/A</v>
      </c>
      <c r="H3420" s="544"/>
    </row>
    <row r="3421" spans="3:8">
      <c r="C3421" s="545" t="e">
        <f>VLOOKUP(D3421,기본!$B$3:$C$90,2,0)</f>
        <v>#N/A</v>
      </c>
      <c r="G3421" t="e">
        <f>VLOOKUP(E3421,기본!$F$3:$G$320,2,0)</f>
        <v>#N/A</v>
      </c>
      <c r="H3421" s="544"/>
    </row>
    <row r="3422" spans="3:8">
      <c r="C3422" s="545" t="e">
        <f>VLOOKUP(D3422,기본!$B$3:$C$90,2,0)</f>
        <v>#N/A</v>
      </c>
      <c r="G3422" t="e">
        <f>VLOOKUP(E3422,기본!$F$3:$G$320,2,0)</f>
        <v>#N/A</v>
      </c>
      <c r="H3422" s="544"/>
    </row>
    <row r="3423" spans="3:8">
      <c r="C3423" s="545" t="e">
        <f>VLOOKUP(D3423,기본!$B$3:$C$90,2,0)</f>
        <v>#N/A</v>
      </c>
      <c r="G3423" t="e">
        <f>VLOOKUP(E3423,기본!$F$3:$G$320,2,0)</f>
        <v>#N/A</v>
      </c>
      <c r="H3423" s="544"/>
    </row>
    <row r="3424" spans="3:8">
      <c r="C3424" s="545" t="e">
        <f>VLOOKUP(D3424,기본!$B$3:$C$90,2,0)</f>
        <v>#N/A</v>
      </c>
      <c r="G3424" t="e">
        <f>VLOOKUP(E3424,기본!$F$3:$G$320,2,0)</f>
        <v>#N/A</v>
      </c>
      <c r="H3424" s="544"/>
    </row>
    <row r="3425" spans="3:8">
      <c r="C3425" s="545" t="e">
        <f>VLOOKUP(D3425,기본!$B$3:$C$90,2,0)</f>
        <v>#N/A</v>
      </c>
      <c r="G3425" t="e">
        <f>VLOOKUP(E3425,기본!$F$3:$G$320,2,0)</f>
        <v>#N/A</v>
      </c>
      <c r="H3425" s="544"/>
    </row>
    <row r="3426" spans="3:8">
      <c r="C3426" s="545" t="e">
        <f>VLOOKUP(D3426,기본!$B$3:$C$90,2,0)</f>
        <v>#N/A</v>
      </c>
      <c r="G3426" t="e">
        <f>VLOOKUP(E3426,기본!$F$3:$G$320,2,0)</f>
        <v>#N/A</v>
      </c>
      <c r="H3426" s="544"/>
    </row>
    <row r="3427" spans="3:8">
      <c r="C3427" s="545" t="e">
        <f>VLOOKUP(D3427,기본!$B$3:$C$90,2,0)</f>
        <v>#N/A</v>
      </c>
      <c r="G3427" t="e">
        <f>VLOOKUP(E3427,기본!$F$3:$G$320,2,0)</f>
        <v>#N/A</v>
      </c>
      <c r="H3427" s="544"/>
    </row>
    <row r="3428" spans="3:8">
      <c r="C3428" s="545" t="e">
        <f>VLOOKUP(D3428,기본!$B$3:$C$90,2,0)</f>
        <v>#N/A</v>
      </c>
      <c r="G3428" t="e">
        <f>VLOOKUP(E3428,기본!$F$3:$G$320,2,0)</f>
        <v>#N/A</v>
      </c>
      <c r="H3428" s="544"/>
    </row>
    <row r="3429" spans="3:8">
      <c r="C3429" s="545" t="e">
        <f>VLOOKUP(D3429,기본!$B$3:$C$90,2,0)</f>
        <v>#N/A</v>
      </c>
      <c r="G3429" t="e">
        <f>VLOOKUP(E3429,기본!$F$3:$G$320,2,0)</f>
        <v>#N/A</v>
      </c>
      <c r="H3429" s="544"/>
    </row>
    <row r="3430" spans="3:8">
      <c r="C3430" s="545" t="e">
        <f>VLOOKUP(D3430,기본!$B$3:$C$90,2,0)</f>
        <v>#N/A</v>
      </c>
      <c r="G3430" t="e">
        <f>VLOOKUP(E3430,기본!$F$3:$G$320,2,0)</f>
        <v>#N/A</v>
      </c>
      <c r="H3430" s="544"/>
    </row>
    <row r="3431" spans="3:8">
      <c r="C3431" s="545" t="e">
        <f>VLOOKUP(D3431,기본!$B$3:$C$90,2,0)</f>
        <v>#N/A</v>
      </c>
      <c r="G3431" t="e">
        <f>VLOOKUP(E3431,기본!$F$3:$G$320,2,0)</f>
        <v>#N/A</v>
      </c>
      <c r="H3431" s="544"/>
    </row>
    <row r="3432" spans="3:8">
      <c r="C3432" s="545" t="e">
        <f>VLOOKUP(D3432,기본!$B$3:$C$90,2,0)</f>
        <v>#N/A</v>
      </c>
      <c r="G3432" t="e">
        <f>VLOOKUP(E3432,기본!$F$3:$G$320,2,0)</f>
        <v>#N/A</v>
      </c>
      <c r="H3432" s="544"/>
    </row>
    <row r="3433" spans="3:8">
      <c r="C3433" s="545" t="e">
        <f>VLOOKUP(D3433,기본!$B$3:$C$90,2,0)</f>
        <v>#N/A</v>
      </c>
      <c r="G3433" t="e">
        <f>VLOOKUP(E3433,기본!$F$3:$G$320,2,0)</f>
        <v>#N/A</v>
      </c>
      <c r="H3433" s="544"/>
    </row>
    <row r="3434" spans="3:8">
      <c r="C3434" s="545" t="e">
        <f>VLOOKUP(D3434,기본!$B$3:$C$90,2,0)</f>
        <v>#N/A</v>
      </c>
      <c r="G3434" t="e">
        <f>VLOOKUP(E3434,기본!$F$3:$G$320,2,0)</f>
        <v>#N/A</v>
      </c>
      <c r="H3434" s="544"/>
    </row>
    <row r="3435" spans="3:8">
      <c r="C3435" s="545" t="e">
        <f>VLOOKUP(D3435,기본!$B$3:$C$90,2,0)</f>
        <v>#N/A</v>
      </c>
      <c r="G3435" t="e">
        <f>VLOOKUP(E3435,기본!$F$3:$G$320,2,0)</f>
        <v>#N/A</v>
      </c>
      <c r="H3435" s="544"/>
    </row>
    <row r="3436" spans="3:8">
      <c r="C3436" s="545" t="e">
        <f>VLOOKUP(D3436,기본!$B$3:$C$90,2,0)</f>
        <v>#N/A</v>
      </c>
      <c r="G3436" t="e">
        <f>VLOOKUP(E3436,기본!$F$3:$G$320,2,0)</f>
        <v>#N/A</v>
      </c>
      <c r="H3436" s="544"/>
    </row>
    <row r="3437" spans="3:8">
      <c r="C3437" s="545" t="e">
        <f>VLOOKUP(D3437,기본!$B$3:$C$90,2,0)</f>
        <v>#N/A</v>
      </c>
      <c r="G3437" t="e">
        <f>VLOOKUP(E3437,기본!$F$3:$G$320,2,0)</f>
        <v>#N/A</v>
      </c>
      <c r="H3437" s="544"/>
    </row>
    <row r="3438" spans="3:8">
      <c r="C3438" s="545" t="e">
        <f>VLOOKUP(D3438,기본!$B$3:$C$90,2,0)</f>
        <v>#N/A</v>
      </c>
      <c r="G3438" t="e">
        <f>VLOOKUP(E3438,기본!$F$3:$G$320,2,0)</f>
        <v>#N/A</v>
      </c>
      <c r="H3438" s="544"/>
    </row>
    <row r="3439" spans="3:8">
      <c r="C3439" s="545" t="e">
        <f>VLOOKUP(D3439,기본!$B$3:$C$90,2,0)</f>
        <v>#N/A</v>
      </c>
      <c r="G3439" t="e">
        <f>VLOOKUP(E3439,기본!$F$3:$G$320,2,0)</f>
        <v>#N/A</v>
      </c>
      <c r="H3439" s="544"/>
    </row>
    <row r="3440" spans="3:8">
      <c r="C3440" s="545" t="e">
        <f>VLOOKUP(D3440,기본!$B$3:$C$90,2,0)</f>
        <v>#N/A</v>
      </c>
      <c r="G3440" t="e">
        <f>VLOOKUP(E3440,기본!$F$3:$G$320,2,0)</f>
        <v>#N/A</v>
      </c>
      <c r="H3440" s="544"/>
    </row>
    <row r="3441" spans="3:8">
      <c r="C3441" s="545" t="e">
        <f>VLOOKUP(D3441,기본!$B$3:$C$90,2,0)</f>
        <v>#N/A</v>
      </c>
      <c r="G3441" t="e">
        <f>VLOOKUP(E3441,기본!$F$3:$G$320,2,0)</f>
        <v>#N/A</v>
      </c>
      <c r="H3441" s="544"/>
    </row>
    <row r="3442" spans="3:8">
      <c r="C3442" s="545" t="e">
        <f>VLOOKUP(D3442,기본!$B$3:$C$90,2,0)</f>
        <v>#N/A</v>
      </c>
      <c r="G3442" t="e">
        <f>VLOOKUP(E3442,기본!$F$3:$G$320,2,0)</f>
        <v>#N/A</v>
      </c>
      <c r="H3442" s="544"/>
    </row>
    <row r="3443" spans="3:8">
      <c r="C3443" s="545" t="e">
        <f>VLOOKUP(D3443,기본!$B$3:$C$90,2,0)</f>
        <v>#N/A</v>
      </c>
      <c r="G3443" t="e">
        <f>VLOOKUP(E3443,기본!$F$3:$G$320,2,0)</f>
        <v>#N/A</v>
      </c>
      <c r="H3443" s="544"/>
    </row>
    <row r="3444" spans="3:8">
      <c r="C3444" s="545" t="e">
        <f>VLOOKUP(D3444,기본!$B$3:$C$90,2,0)</f>
        <v>#N/A</v>
      </c>
      <c r="G3444" t="e">
        <f>VLOOKUP(E3444,기본!$F$3:$G$320,2,0)</f>
        <v>#N/A</v>
      </c>
      <c r="H3444" s="544"/>
    </row>
    <row r="3445" spans="3:8">
      <c r="C3445" s="545" t="e">
        <f>VLOOKUP(D3445,기본!$B$3:$C$90,2,0)</f>
        <v>#N/A</v>
      </c>
      <c r="G3445" t="e">
        <f>VLOOKUP(E3445,기본!$F$3:$G$320,2,0)</f>
        <v>#N/A</v>
      </c>
      <c r="H3445" s="544"/>
    </row>
    <row r="3446" spans="3:8">
      <c r="C3446" s="545" t="e">
        <f>VLOOKUP(D3446,기본!$B$3:$C$90,2,0)</f>
        <v>#N/A</v>
      </c>
      <c r="G3446" t="e">
        <f>VLOOKUP(E3446,기본!$F$3:$G$320,2,0)</f>
        <v>#N/A</v>
      </c>
      <c r="H3446" s="544"/>
    </row>
    <row r="3447" spans="3:8">
      <c r="C3447" s="545" t="e">
        <f>VLOOKUP(D3447,기본!$B$3:$C$90,2,0)</f>
        <v>#N/A</v>
      </c>
      <c r="G3447" t="e">
        <f>VLOOKUP(E3447,기본!$F$3:$G$320,2,0)</f>
        <v>#N/A</v>
      </c>
      <c r="H3447" s="544"/>
    </row>
    <row r="3448" spans="3:8">
      <c r="C3448" s="545" t="e">
        <f>VLOOKUP(D3448,기본!$B$3:$C$90,2,0)</f>
        <v>#N/A</v>
      </c>
      <c r="G3448" t="e">
        <f>VLOOKUP(E3448,기본!$F$3:$G$320,2,0)</f>
        <v>#N/A</v>
      </c>
      <c r="H3448" s="544"/>
    </row>
    <row r="3449" spans="3:8">
      <c r="C3449" s="545" t="e">
        <f>VLOOKUP(D3449,기본!$B$3:$C$90,2,0)</f>
        <v>#N/A</v>
      </c>
      <c r="G3449" t="e">
        <f>VLOOKUP(E3449,기본!$F$3:$G$320,2,0)</f>
        <v>#N/A</v>
      </c>
      <c r="H3449" s="544"/>
    </row>
    <row r="3450" spans="3:8">
      <c r="C3450" s="545" t="e">
        <f>VLOOKUP(D3450,기본!$B$3:$C$90,2,0)</f>
        <v>#N/A</v>
      </c>
      <c r="G3450" t="e">
        <f>VLOOKUP(E3450,기본!$F$3:$G$320,2,0)</f>
        <v>#N/A</v>
      </c>
      <c r="H3450" s="544"/>
    </row>
    <row r="3451" spans="3:8">
      <c r="C3451" s="545" t="e">
        <f>VLOOKUP(D3451,기본!$B$3:$C$90,2,0)</f>
        <v>#N/A</v>
      </c>
      <c r="G3451" t="e">
        <f>VLOOKUP(E3451,기본!$F$3:$G$320,2,0)</f>
        <v>#N/A</v>
      </c>
      <c r="H3451" s="544"/>
    </row>
    <row r="3452" spans="3:8">
      <c r="C3452" s="545" t="e">
        <f>VLOOKUP(D3452,기본!$B$3:$C$90,2,0)</f>
        <v>#N/A</v>
      </c>
      <c r="G3452" t="e">
        <f>VLOOKUP(E3452,기본!$F$3:$G$320,2,0)</f>
        <v>#N/A</v>
      </c>
      <c r="H3452" s="544"/>
    </row>
    <row r="3453" spans="3:8">
      <c r="C3453" s="545" t="e">
        <f>VLOOKUP(D3453,기본!$B$3:$C$90,2,0)</f>
        <v>#N/A</v>
      </c>
      <c r="G3453" t="e">
        <f>VLOOKUP(E3453,기본!$F$3:$G$320,2,0)</f>
        <v>#N/A</v>
      </c>
      <c r="H3453" s="544"/>
    </row>
    <row r="3454" spans="3:8">
      <c r="C3454" s="545" t="e">
        <f>VLOOKUP(D3454,기본!$B$3:$C$90,2,0)</f>
        <v>#N/A</v>
      </c>
      <c r="G3454" t="e">
        <f>VLOOKUP(E3454,기본!$F$3:$G$320,2,0)</f>
        <v>#N/A</v>
      </c>
      <c r="H3454" s="544"/>
    </row>
    <row r="3455" spans="3:8">
      <c r="C3455" s="545" t="e">
        <f>VLOOKUP(D3455,기본!$B$3:$C$90,2,0)</f>
        <v>#N/A</v>
      </c>
      <c r="G3455" t="e">
        <f>VLOOKUP(E3455,기본!$F$3:$G$320,2,0)</f>
        <v>#N/A</v>
      </c>
      <c r="H3455" s="544"/>
    </row>
    <row r="3456" spans="3:8">
      <c r="C3456" s="545" t="e">
        <f>VLOOKUP(D3456,기본!$B$3:$C$90,2,0)</f>
        <v>#N/A</v>
      </c>
      <c r="G3456" t="e">
        <f>VLOOKUP(E3456,기본!$F$3:$G$320,2,0)</f>
        <v>#N/A</v>
      </c>
      <c r="H3456" s="544"/>
    </row>
    <row r="3457" spans="3:8">
      <c r="C3457" s="545" t="e">
        <f>VLOOKUP(D3457,기본!$B$3:$C$90,2,0)</f>
        <v>#N/A</v>
      </c>
      <c r="G3457" t="e">
        <f>VLOOKUP(E3457,기본!$F$3:$G$320,2,0)</f>
        <v>#N/A</v>
      </c>
      <c r="H3457" s="544"/>
    </row>
    <row r="3458" spans="3:8">
      <c r="C3458" s="545" t="e">
        <f>VLOOKUP(D3458,기본!$B$3:$C$90,2,0)</f>
        <v>#N/A</v>
      </c>
      <c r="G3458" t="e">
        <f>VLOOKUP(E3458,기본!$F$3:$G$320,2,0)</f>
        <v>#N/A</v>
      </c>
      <c r="H3458" s="544"/>
    </row>
    <row r="3459" spans="3:8">
      <c r="C3459" s="545" t="e">
        <f>VLOOKUP(D3459,기본!$B$3:$C$90,2,0)</f>
        <v>#N/A</v>
      </c>
      <c r="G3459" t="e">
        <f>VLOOKUP(E3459,기본!$F$3:$G$320,2,0)</f>
        <v>#N/A</v>
      </c>
      <c r="H3459" s="544"/>
    </row>
    <row r="3460" spans="3:8">
      <c r="C3460" s="545" t="e">
        <f>VLOOKUP(D3460,기본!$B$3:$C$90,2,0)</f>
        <v>#N/A</v>
      </c>
      <c r="G3460" t="e">
        <f>VLOOKUP(E3460,기본!$F$3:$G$320,2,0)</f>
        <v>#N/A</v>
      </c>
      <c r="H3460" s="544"/>
    </row>
    <row r="3461" spans="3:8">
      <c r="C3461" s="545" t="e">
        <f>VLOOKUP(D3461,기본!$B$3:$C$90,2,0)</f>
        <v>#N/A</v>
      </c>
      <c r="G3461" t="e">
        <f>VLOOKUP(E3461,기본!$F$3:$G$320,2,0)</f>
        <v>#N/A</v>
      </c>
      <c r="H3461" s="544"/>
    </row>
    <row r="3462" spans="3:8">
      <c r="C3462" s="545" t="e">
        <f>VLOOKUP(D3462,기본!$B$3:$C$90,2,0)</f>
        <v>#N/A</v>
      </c>
      <c r="G3462" t="e">
        <f>VLOOKUP(E3462,기본!$F$3:$G$320,2,0)</f>
        <v>#N/A</v>
      </c>
      <c r="H3462" s="544"/>
    </row>
    <row r="3463" spans="3:8">
      <c r="C3463" s="545" t="e">
        <f>VLOOKUP(D3463,기본!$B$3:$C$90,2,0)</f>
        <v>#N/A</v>
      </c>
      <c r="G3463" t="e">
        <f>VLOOKUP(E3463,기본!$F$3:$G$320,2,0)</f>
        <v>#N/A</v>
      </c>
      <c r="H3463" s="544"/>
    </row>
    <row r="3464" spans="3:8">
      <c r="C3464" s="545" t="e">
        <f>VLOOKUP(D3464,기본!$B$3:$C$90,2,0)</f>
        <v>#N/A</v>
      </c>
      <c r="G3464" t="e">
        <f>VLOOKUP(E3464,기본!$F$3:$G$320,2,0)</f>
        <v>#N/A</v>
      </c>
      <c r="H3464" s="544"/>
    </row>
    <row r="3465" spans="3:8">
      <c r="C3465" s="545" t="e">
        <f>VLOOKUP(D3465,기본!$B$3:$C$90,2,0)</f>
        <v>#N/A</v>
      </c>
      <c r="G3465" t="e">
        <f>VLOOKUP(E3465,기본!$F$3:$G$320,2,0)</f>
        <v>#N/A</v>
      </c>
      <c r="H3465" s="544"/>
    </row>
    <row r="3466" spans="3:8">
      <c r="C3466" s="545" t="e">
        <f>VLOOKUP(D3466,기본!$B$3:$C$90,2,0)</f>
        <v>#N/A</v>
      </c>
      <c r="G3466" t="e">
        <f>VLOOKUP(E3466,기본!$F$3:$G$320,2,0)</f>
        <v>#N/A</v>
      </c>
      <c r="H3466" s="544"/>
    </row>
    <row r="3467" spans="3:8">
      <c r="C3467" s="545" t="e">
        <f>VLOOKUP(D3467,기본!$B$3:$C$90,2,0)</f>
        <v>#N/A</v>
      </c>
      <c r="G3467" t="e">
        <f>VLOOKUP(E3467,기본!$F$3:$G$320,2,0)</f>
        <v>#N/A</v>
      </c>
      <c r="H3467" s="544"/>
    </row>
    <row r="3468" spans="3:8">
      <c r="C3468" s="545" t="e">
        <f>VLOOKUP(D3468,기본!$B$3:$C$90,2,0)</f>
        <v>#N/A</v>
      </c>
      <c r="G3468" t="e">
        <f>VLOOKUP(E3468,기본!$F$3:$G$320,2,0)</f>
        <v>#N/A</v>
      </c>
      <c r="H3468" s="544"/>
    </row>
    <row r="3469" spans="3:8">
      <c r="C3469" s="545" t="e">
        <f>VLOOKUP(D3469,기본!$B$3:$C$90,2,0)</f>
        <v>#N/A</v>
      </c>
      <c r="G3469" t="e">
        <f>VLOOKUP(E3469,기본!$F$3:$G$320,2,0)</f>
        <v>#N/A</v>
      </c>
      <c r="H3469" s="544"/>
    </row>
    <row r="3470" spans="3:8">
      <c r="C3470" s="545" t="e">
        <f>VLOOKUP(D3470,기본!$B$3:$C$90,2,0)</f>
        <v>#N/A</v>
      </c>
      <c r="G3470" t="e">
        <f>VLOOKUP(E3470,기본!$F$3:$G$320,2,0)</f>
        <v>#N/A</v>
      </c>
      <c r="H3470" s="544"/>
    </row>
    <row r="3471" spans="3:8">
      <c r="C3471" s="545" t="e">
        <f>VLOOKUP(D3471,기본!$B$3:$C$90,2,0)</f>
        <v>#N/A</v>
      </c>
      <c r="G3471" t="e">
        <f>VLOOKUP(E3471,기본!$F$3:$G$320,2,0)</f>
        <v>#N/A</v>
      </c>
      <c r="H3471" s="544"/>
    </row>
    <row r="3472" spans="3:8">
      <c r="C3472" s="545" t="e">
        <f>VLOOKUP(D3472,기본!$B$3:$C$90,2,0)</f>
        <v>#N/A</v>
      </c>
      <c r="G3472" t="e">
        <f>VLOOKUP(E3472,기본!$F$3:$G$320,2,0)</f>
        <v>#N/A</v>
      </c>
      <c r="H3472" s="544"/>
    </row>
    <row r="3473" spans="3:8">
      <c r="C3473" s="545" t="e">
        <f>VLOOKUP(D3473,기본!$B$3:$C$90,2,0)</f>
        <v>#N/A</v>
      </c>
      <c r="G3473" t="e">
        <f>VLOOKUP(E3473,기본!$F$3:$G$320,2,0)</f>
        <v>#N/A</v>
      </c>
      <c r="H3473" s="544"/>
    </row>
    <row r="3474" spans="3:8">
      <c r="C3474" s="545" t="e">
        <f>VLOOKUP(D3474,기본!$B$3:$C$90,2,0)</f>
        <v>#N/A</v>
      </c>
      <c r="G3474" t="e">
        <f>VLOOKUP(E3474,기본!$F$3:$G$320,2,0)</f>
        <v>#N/A</v>
      </c>
      <c r="H3474" s="544"/>
    </row>
    <row r="3475" spans="3:8">
      <c r="C3475" s="545" t="e">
        <f>VLOOKUP(D3475,기본!$B$3:$C$90,2,0)</f>
        <v>#N/A</v>
      </c>
      <c r="G3475" t="e">
        <f>VLOOKUP(E3475,기본!$F$3:$G$320,2,0)</f>
        <v>#N/A</v>
      </c>
      <c r="H3475" s="544"/>
    </row>
    <row r="3476" spans="3:8">
      <c r="C3476" s="545" t="e">
        <f>VLOOKUP(D3476,기본!$B$3:$C$90,2,0)</f>
        <v>#N/A</v>
      </c>
      <c r="G3476" t="e">
        <f>VLOOKUP(E3476,기본!$F$3:$G$320,2,0)</f>
        <v>#N/A</v>
      </c>
      <c r="H3476" s="544"/>
    </row>
    <row r="3477" spans="3:8">
      <c r="C3477" s="545" t="e">
        <f>VLOOKUP(D3477,기본!$B$3:$C$90,2,0)</f>
        <v>#N/A</v>
      </c>
      <c r="G3477" t="e">
        <f>VLOOKUP(E3477,기본!$F$3:$G$320,2,0)</f>
        <v>#N/A</v>
      </c>
      <c r="H3477" s="544"/>
    </row>
    <row r="3478" spans="3:8">
      <c r="C3478" s="545" t="e">
        <f>VLOOKUP(D3478,기본!$B$3:$C$90,2,0)</f>
        <v>#N/A</v>
      </c>
      <c r="G3478" t="e">
        <f>VLOOKUP(E3478,기본!$F$3:$G$320,2,0)</f>
        <v>#N/A</v>
      </c>
      <c r="H3478" s="544"/>
    </row>
    <row r="3479" spans="3:8">
      <c r="C3479" s="545" t="e">
        <f>VLOOKUP(D3479,기본!$B$3:$C$90,2,0)</f>
        <v>#N/A</v>
      </c>
      <c r="G3479" t="e">
        <f>VLOOKUP(E3479,기본!$F$3:$G$320,2,0)</f>
        <v>#N/A</v>
      </c>
      <c r="H3479" s="544"/>
    </row>
    <row r="3480" spans="3:8">
      <c r="C3480" s="545" t="e">
        <f>VLOOKUP(D3480,기본!$B$3:$C$90,2,0)</f>
        <v>#N/A</v>
      </c>
      <c r="G3480" t="e">
        <f>VLOOKUP(E3480,기본!$F$3:$G$320,2,0)</f>
        <v>#N/A</v>
      </c>
      <c r="H3480" s="544"/>
    </row>
    <row r="3481" spans="3:8">
      <c r="C3481" s="545" t="e">
        <f>VLOOKUP(D3481,기본!$B$3:$C$90,2,0)</f>
        <v>#N/A</v>
      </c>
      <c r="G3481" t="e">
        <f>VLOOKUP(E3481,기본!$F$3:$G$320,2,0)</f>
        <v>#N/A</v>
      </c>
      <c r="H3481" s="544"/>
    </row>
    <row r="3482" spans="3:8">
      <c r="C3482" s="545" t="e">
        <f>VLOOKUP(D3482,기본!$B$3:$C$90,2,0)</f>
        <v>#N/A</v>
      </c>
      <c r="G3482" t="e">
        <f>VLOOKUP(E3482,기본!$F$3:$G$320,2,0)</f>
        <v>#N/A</v>
      </c>
      <c r="H3482" s="544"/>
    </row>
    <row r="3483" spans="3:8">
      <c r="C3483" s="545" t="e">
        <f>VLOOKUP(D3483,기본!$B$3:$C$90,2,0)</f>
        <v>#N/A</v>
      </c>
      <c r="G3483" t="e">
        <f>VLOOKUP(E3483,기본!$F$3:$G$320,2,0)</f>
        <v>#N/A</v>
      </c>
      <c r="H3483" s="544"/>
    </row>
    <row r="3484" spans="3:8">
      <c r="C3484" s="545" t="e">
        <f>VLOOKUP(D3484,기본!$B$3:$C$90,2,0)</f>
        <v>#N/A</v>
      </c>
      <c r="G3484" t="e">
        <f>VLOOKUP(E3484,기본!$F$3:$G$320,2,0)</f>
        <v>#N/A</v>
      </c>
      <c r="H3484" s="544"/>
    </row>
    <row r="3485" spans="3:8">
      <c r="C3485" s="545" t="e">
        <f>VLOOKUP(D3485,기본!$B$3:$C$90,2,0)</f>
        <v>#N/A</v>
      </c>
      <c r="G3485" t="e">
        <f>VLOOKUP(E3485,기본!$F$3:$G$320,2,0)</f>
        <v>#N/A</v>
      </c>
      <c r="H3485" s="544"/>
    </row>
    <row r="3486" spans="3:8">
      <c r="C3486" s="545" t="e">
        <f>VLOOKUP(D3486,기본!$B$3:$C$90,2,0)</f>
        <v>#N/A</v>
      </c>
      <c r="G3486" t="e">
        <f>VLOOKUP(E3486,기본!$F$3:$G$320,2,0)</f>
        <v>#N/A</v>
      </c>
      <c r="H3486" s="544"/>
    </row>
    <row r="3487" spans="3:8">
      <c r="C3487" s="545" t="e">
        <f>VLOOKUP(D3487,기본!$B$3:$C$90,2,0)</f>
        <v>#N/A</v>
      </c>
      <c r="G3487" t="e">
        <f>VLOOKUP(E3487,기본!$F$3:$G$320,2,0)</f>
        <v>#N/A</v>
      </c>
      <c r="H3487" s="544"/>
    </row>
    <row r="3488" spans="3:8">
      <c r="C3488" s="545" t="e">
        <f>VLOOKUP(D3488,기본!$B$3:$C$90,2,0)</f>
        <v>#N/A</v>
      </c>
      <c r="G3488" t="e">
        <f>VLOOKUP(E3488,기본!$F$3:$G$320,2,0)</f>
        <v>#N/A</v>
      </c>
      <c r="H3488" s="544"/>
    </row>
    <row r="3489" spans="3:8">
      <c r="C3489" s="545" t="e">
        <f>VLOOKUP(D3489,기본!$B$3:$C$90,2,0)</f>
        <v>#N/A</v>
      </c>
      <c r="G3489" t="e">
        <f>VLOOKUP(E3489,기본!$F$3:$G$320,2,0)</f>
        <v>#N/A</v>
      </c>
      <c r="H3489" s="544"/>
    </row>
    <row r="3490" spans="3:8">
      <c r="C3490" s="545" t="e">
        <f>VLOOKUP(D3490,기본!$B$3:$C$90,2,0)</f>
        <v>#N/A</v>
      </c>
      <c r="G3490" t="e">
        <f>VLOOKUP(E3490,기본!$F$3:$G$320,2,0)</f>
        <v>#N/A</v>
      </c>
      <c r="H3490" s="544"/>
    </row>
    <row r="3491" spans="3:8">
      <c r="C3491" s="545" t="e">
        <f>VLOOKUP(D3491,기본!$B$3:$C$90,2,0)</f>
        <v>#N/A</v>
      </c>
      <c r="G3491" t="e">
        <f>VLOOKUP(E3491,기본!$F$3:$G$320,2,0)</f>
        <v>#N/A</v>
      </c>
      <c r="H3491" s="544"/>
    </row>
    <row r="3492" spans="3:8">
      <c r="C3492" s="545" t="e">
        <f>VLOOKUP(D3492,기본!$B$3:$C$90,2,0)</f>
        <v>#N/A</v>
      </c>
      <c r="G3492" t="e">
        <f>VLOOKUP(E3492,기본!$F$3:$G$320,2,0)</f>
        <v>#N/A</v>
      </c>
      <c r="H3492" s="544"/>
    </row>
    <row r="3493" spans="3:8">
      <c r="C3493" s="545" t="e">
        <f>VLOOKUP(D3493,기본!$B$3:$C$90,2,0)</f>
        <v>#N/A</v>
      </c>
      <c r="G3493" t="e">
        <f>VLOOKUP(E3493,기본!$F$3:$G$320,2,0)</f>
        <v>#N/A</v>
      </c>
      <c r="H3493" s="544"/>
    </row>
    <row r="3494" spans="3:8">
      <c r="C3494" s="545" t="e">
        <f>VLOOKUP(D3494,기본!$B$3:$C$90,2,0)</f>
        <v>#N/A</v>
      </c>
      <c r="G3494" t="e">
        <f>VLOOKUP(E3494,기본!$F$3:$G$320,2,0)</f>
        <v>#N/A</v>
      </c>
      <c r="H3494" s="544"/>
    </row>
    <row r="3495" spans="3:8">
      <c r="C3495" s="545" t="e">
        <f>VLOOKUP(D3495,기본!$B$3:$C$90,2,0)</f>
        <v>#N/A</v>
      </c>
      <c r="G3495" t="e">
        <f>VLOOKUP(E3495,기본!$F$3:$G$320,2,0)</f>
        <v>#N/A</v>
      </c>
      <c r="H3495" s="544"/>
    </row>
    <row r="3496" spans="3:8">
      <c r="C3496" s="545" t="e">
        <f>VLOOKUP(D3496,기본!$B$3:$C$90,2,0)</f>
        <v>#N/A</v>
      </c>
      <c r="G3496" t="e">
        <f>VLOOKUP(E3496,기본!$F$3:$G$320,2,0)</f>
        <v>#N/A</v>
      </c>
      <c r="H3496" s="544"/>
    </row>
    <row r="3497" spans="3:8">
      <c r="C3497" s="545" t="e">
        <f>VLOOKUP(D3497,기본!$B$3:$C$90,2,0)</f>
        <v>#N/A</v>
      </c>
      <c r="G3497" t="e">
        <f>VLOOKUP(E3497,기본!$F$3:$G$320,2,0)</f>
        <v>#N/A</v>
      </c>
      <c r="H3497" s="544"/>
    </row>
    <row r="3498" spans="3:8">
      <c r="C3498" s="545" t="e">
        <f>VLOOKUP(D3498,기본!$B$3:$C$90,2,0)</f>
        <v>#N/A</v>
      </c>
      <c r="G3498" t="e">
        <f>VLOOKUP(E3498,기본!$F$3:$G$320,2,0)</f>
        <v>#N/A</v>
      </c>
      <c r="H3498" s="544"/>
    </row>
    <row r="3499" spans="3:8">
      <c r="C3499" s="545" t="e">
        <f>VLOOKUP(D3499,기본!$B$3:$C$90,2,0)</f>
        <v>#N/A</v>
      </c>
      <c r="G3499" t="e">
        <f>VLOOKUP(E3499,기본!$F$3:$G$320,2,0)</f>
        <v>#N/A</v>
      </c>
      <c r="H3499" s="544"/>
    </row>
    <row r="3500" spans="3:8">
      <c r="C3500" s="545" t="e">
        <f>VLOOKUP(D3500,기본!$B$3:$C$90,2,0)</f>
        <v>#N/A</v>
      </c>
      <c r="G3500" t="e">
        <f>VLOOKUP(E3500,기본!$F$3:$G$320,2,0)</f>
        <v>#N/A</v>
      </c>
      <c r="H3500" s="544"/>
    </row>
    <row r="3501" spans="3:8">
      <c r="C3501" s="545" t="e">
        <f>VLOOKUP(D3501,기본!$B$3:$C$90,2,0)</f>
        <v>#N/A</v>
      </c>
      <c r="G3501" t="e">
        <f>VLOOKUP(E3501,기본!$F$3:$G$320,2,0)</f>
        <v>#N/A</v>
      </c>
      <c r="H3501" s="544"/>
    </row>
    <row r="3502" spans="3:8">
      <c r="C3502" s="545" t="e">
        <f>VLOOKUP(D3502,기본!$B$3:$C$90,2,0)</f>
        <v>#N/A</v>
      </c>
      <c r="G3502" t="e">
        <f>VLOOKUP(E3502,기본!$F$3:$G$320,2,0)</f>
        <v>#N/A</v>
      </c>
      <c r="H3502" s="544"/>
    </row>
    <row r="3503" spans="3:8">
      <c r="C3503" s="545" t="e">
        <f>VLOOKUP(D3503,기본!$B$3:$C$90,2,0)</f>
        <v>#N/A</v>
      </c>
      <c r="G3503" t="e">
        <f>VLOOKUP(E3503,기본!$F$3:$G$320,2,0)</f>
        <v>#N/A</v>
      </c>
      <c r="H3503" s="544"/>
    </row>
    <row r="3504" spans="3:8">
      <c r="C3504" s="545" t="e">
        <f>VLOOKUP(D3504,기본!$B$3:$C$90,2,0)</f>
        <v>#N/A</v>
      </c>
      <c r="G3504" t="e">
        <f>VLOOKUP(E3504,기본!$F$3:$G$320,2,0)</f>
        <v>#N/A</v>
      </c>
      <c r="H3504" s="544"/>
    </row>
    <row r="3505" spans="3:8">
      <c r="C3505" s="545" t="e">
        <f>VLOOKUP(D3505,기본!$B$3:$C$90,2,0)</f>
        <v>#N/A</v>
      </c>
      <c r="G3505" t="e">
        <f>VLOOKUP(E3505,기본!$F$3:$G$320,2,0)</f>
        <v>#N/A</v>
      </c>
      <c r="H3505" s="544"/>
    </row>
    <row r="3506" spans="3:8">
      <c r="C3506" s="545" t="e">
        <f>VLOOKUP(D3506,기본!$B$3:$C$90,2,0)</f>
        <v>#N/A</v>
      </c>
      <c r="G3506" t="e">
        <f>VLOOKUP(E3506,기본!$F$3:$G$320,2,0)</f>
        <v>#N/A</v>
      </c>
      <c r="H3506" s="544"/>
    </row>
    <row r="3507" spans="3:8">
      <c r="C3507" s="545" t="e">
        <f>VLOOKUP(D3507,기본!$B$3:$C$90,2,0)</f>
        <v>#N/A</v>
      </c>
      <c r="G3507" t="e">
        <f>VLOOKUP(E3507,기본!$F$3:$G$320,2,0)</f>
        <v>#N/A</v>
      </c>
      <c r="H3507" s="544"/>
    </row>
    <row r="3508" spans="3:8">
      <c r="C3508" s="545" t="e">
        <f>VLOOKUP(D3508,기본!$B$3:$C$90,2,0)</f>
        <v>#N/A</v>
      </c>
      <c r="G3508" t="e">
        <f>VLOOKUP(E3508,기본!$F$3:$G$320,2,0)</f>
        <v>#N/A</v>
      </c>
      <c r="H3508" s="544"/>
    </row>
    <row r="3509" spans="3:8">
      <c r="C3509" s="545" t="e">
        <f>VLOOKUP(D3509,기본!$B$3:$C$90,2,0)</f>
        <v>#N/A</v>
      </c>
      <c r="G3509" t="e">
        <f>VLOOKUP(E3509,기본!$F$3:$G$320,2,0)</f>
        <v>#N/A</v>
      </c>
      <c r="H3509" s="544"/>
    </row>
    <row r="3510" spans="3:8">
      <c r="C3510" s="545" t="e">
        <f>VLOOKUP(D3510,기본!$B$3:$C$90,2,0)</f>
        <v>#N/A</v>
      </c>
      <c r="G3510" t="e">
        <f>VLOOKUP(E3510,기본!$F$3:$G$320,2,0)</f>
        <v>#N/A</v>
      </c>
      <c r="H3510" s="544"/>
    </row>
    <row r="3511" spans="3:8">
      <c r="C3511" s="545" t="e">
        <f>VLOOKUP(D3511,기본!$B$3:$C$90,2,0)</f>
        <v>#N/A</v>
      </c>
      <c r="G3511" t="e">
        <f>VLOOKUP(E3511,기본!$F$3:$G$320,2,0)</f>
        <v>#N/A</v>
      </c>
      <c r="H3511" s="544"/>
    </row>
    <row r="3512" spans="3:8">
      <c r="C3512" s="545" t="e">
        <f>VLOOKUP(D3512,기본!$B$3:$C$90,2,0)</f>
        <v>#N/A</v>
      </c>
      <c r="G3512" t="e">
        <f>VLOOKUP(E3512,기본!$F$3:$G$320,2,0)</f>
        <v>#N/A</v>
      </c>
      <c r="H3512" s="544"/>
    </row>
    <row r="3513" spans="3:8">
      <c r="C3513" s="545" t="e">
        <f>VLOOKUP(D3513,기본!$B$3:$C$90,2,0)</f>
        <v>#N/A</v>
      </c>
      <c r="G3513" t="e">
        <f>VLOOKUP(E3513,기본!$F$3:$G$320,2,0)</f>
        <v>#N/A</v>
      </c>
      <c r="H3513" s="544"/>
    </row>
    <row r="3514" spans="3:8">
      <c r="C3514" s="545" t="e">
        <f>VLOOKUP(D3514,기본!$B$3:$C$90,2,0)</f>
        <v>#N/A</v>
      </c>
      <c r="G3514" t="e">
        <f>VLOOKUP(E3514,기본!$F$3:$G$320,2,0)</f>
        <v>#N/A</v>
      </c>
      <c r="H3514" s="544"/>
    </row>
    <row r="3515" spans="3:8">
      <c r="C3515" s="545" t="e">
        <f>VLOOKUP(D3515,기본!$B$3:$C$90,2,0)</f>
        <v>#N/A</v>
      </c>
      <c r="G3515" t="e">
        <f>VLOOKUP(E3515,기본!$F$3:$G$320,2,0)</f>
        <v>#N/A</v>
      </c>
      <c r="H3515" s="544"/>
    </row>
    <row r="3516" spans="3:8">
      <c r="C3516" s="545" t="e">
        <f>VLOOKUP(D3516,기본!$B$3:$C$90,2,0)</f>
        <v>#N/A</v>
      </c>
      <c r="G3516" t="e">
        <f>VLOOKUP(E3516,기본!$F$3:$G$320,2,0)</f>
        <v>#N/A</v>
      </c>
      <c r="H3516" s="544"/>
    </row>
    <row r="3517" spans="3:8">
      <c r="C3517" s="545" t="e">
        <f>VLOOKUP(D3517,기본!$B$3:$C$90,2,0)</f>
        <v>#N/A</v>
      </c>
      <c r="G3517" t="e">
        <f>VLOOKUP(E3517,기본!$F$3:$G$320,2,0)</f>
        <v>#N/A</v>
      </c>
      <c r="H3517" s="544"/>
    </row>
    <row r="3518" spans="3:8">
      <c r="C3518" s="545" t="e">
        <f>VLOOKUP(D3518,기본!$B$3:$C$90,2,0)</f>
        <v>#N/A</v>
      </c>
      <c r="G3518" t="e">
        <f>VLOOKUP(E3518,기본!$F$3:$G$320,2,0)</f>
        <v>#N/A</v>
      </c>
      <c r="H3518" s="544"/>
    </row>
    <row r="3519" spans="3:8">
      <c r="C3519" s="545" t="e">
        <f>VLOOKUP(D3519,기본!$B$3:$C$90,2,0)</f>
        <v>#N/A</v>
      </c>
      <c r="G3519" t="e">
        <f>VLOOKUP(E3519,기본!$F$3:$G$320,2,0)</f>
        <v>#N/A</v>
      </c>
      <c r="H3519" s="544"/>
    </row>
    <row r="3520" spans="3:8">
      <c r="C3520" s="545" t="e">
        <f>VLOOKUP(D3520,기본!$B$3:$C$90,2,0)</f>
        <v>#N/A</v>
      </c>
      <c r="G3520" t="e">
        <f>VLOOKUP(E3520,기본!$F$3:$G$320,2,0)</f>
        <v>#N/A</v>
      </c>
      <c r="H3520" s="544"/>
    </row>
    <row r="3521" spans="3:8">
      <c r="C3521" s="545" t="e">
        <f>VLOOKUP(D3521,기본!$B$3:$C$90,2,0)</f>
        <v>#N/A</v>
      </c>
      <c r="G3521" t="e">
        <f>VLOOKUP(E3521,기본!$F$3:$G$320,2,0)</f>
        <v>#N/A</v>
      </c>
      <c r="H3521" s="544"/>
    </row>
    <row r="3522" spans="3:8">
      <c r="C3522" s="545" t="e">
        <f>VLOOKUP(D3522,기본!$B$3:$C$90,2,0)</f>
        <v>#N/A</v>
      </c>
      <c r="G3522" t="e">
        <f>VLOOKUP(E3522,기본!$F$3:$G$320,2,0)</f>
        <v>#N/A</v>
      </c>
      <c r="H3522" s="544"/>
    </row>
    <row r="3523" spans="3:8">
      <c r="C3523" s="545" t="e">
        <f>VLOOKUP(D3523,기본!$B$3:$C$90,2,0)</f>
        <v>#N/A</v>
      </c>
      <c r="G3523" t="e">
        <f>VLOOKUP(E3523,기본!$F$3:$G$320,2,0)</f>
        <v>#N/A</v>
      </c>
      <c r="H3523" s="544"/>
    </row>
    <row r="3524" spans="3:8">
      <c r="C3524" s="545" t="e">
        <f>VLOOKUP(D3524,기본!$B$3:$C$90,2,0)</f>
        <v>#N/A</v>
      </c>
      <c r="G3524" t="e">
        <f>VLOOKUP(E3524,기본!$F$3:$G$320,2,0)</f>
        <v>#N/A</v>
      </c>
      <c r="H3524" s="544"/>
    </row>
    <row r="3525" spans="3:8">
      <c r="C3525" s="545" t="e">
        <f>VLOOKUP(D3525,기본!$B$3:$C$90,2,0)</f>
        <v>#N/A</v>
      </c>
      <c r="G3525" t="e">
        <f>VLOOKUP(E3525,기본!$F$3:$G$320,2,0)</f>
        <v>#N/A</v>
      </c>
      <c r="H3525" s="544"/>
    </row>
    <row r="3526" spans="3:8">
      <c r="C3526" s="545" t="e">
        <f>VLOOKUP(D3526,기본!$B$3:$C$90,2,0)</f>
        <v>#N/A</v>
      </c>
      <c r="G3526" t="e">
        <f>VLOOKUP(E3526,기본!$F$3:$G$320,2,0)</f>
        <v>#N/A</v>
      </c>
      <c r="H3526" s="544"/>
    </row>
    <row r="3527" spans="3:8">
      <c r="C3527" s="545" t="e">
        <f>VLOOKUP(D3527,기본!$B$3:$C$90,2,0)</f>
        <v>#N/A</v>
      </c>
      <c r="G3527" t="e">
        <f>VLOOKUP(E3527,기본!$F$3:$G$320,2,0)</f>
        <v>#N/A</v>
      </c>
      <c r="H3527" s="544"/>
    </row>
    <row r="3528" spans="3:8">
      <c r="C3528" s="545" t="e">
        <f>VLOOKUP(D3528,기본!$B$3:$C$90,2,0)</f>
        <v>#N/A</v>
      </c>
      <c r="G3528" t="e">
        <f>VLOOKUP(E3528,기본!$F$3:$G$320,2,0)</f>
        <v>#N/A</v>
      </c>
      <c r="H3528" s="544"/>
    </row>
    <row r="3529" spans="3:8">
      <c r="C3529" s="545" t="e">
        <f>VLOOKUP(D3529,기본!$B$3:$C$90,2,0)</f>
        <v>#N/A</v>
      </c>
      <c r="G3529" t="e">
        <f>VLOOKUP(E3529,기본!$F$3:$G$320,2,0)</f>
        <v>#N/A</v>
      </c>
      <c r="H3529" s="544"/>
    </row>
    <row r="3530" spans="3:8">
      <c r="C3530" s="545" t="e">
        <f>VLOOKUP(D3530,기본!$B$3:$C$90,2,0)</f>
        <v>#N/A</v>
      </c>
      <c r="G3530" t="e">
        <f>VLOOKUP(E3530,기본!$F$3:$G$320,2,0)</f>
        <v>#N/A</v>
      </c>
      <c r="H3530" s="544"/>
    </row>
    <row r="3531" spans="3:8">
      <c r="C3531" s="545" t="e">
        <f>VLOOKUP(D3531,기본!$B$3:$C$90,2,0)</f>
        <v>#N/A</v>
      </c>
      <c r="G3531" t="e">
        <f>VLOOKUP(E3531,기본!$F$3:$G$320,2,0)</f>
        <v>#N/A</v>
      </c>
      <c r="H3531" s="544"/>
    </row>
    <row r="3532" spans="3:8">
      <c r="C3532" s="545" t="e">
        <f>VLOOKUP(D3532,기본!$B$3:$C$90,2,0)</f>
        <v>#N/A</v>
      </c>
      <c r="G3532" t="e">
        <f>VLOOKUP(E3532,기본!$F$3:$G$320,2,0)</f>
        <v>#N/A</v>
      </c>
      <c r="H3532" s="544"/>
    </row>
    <row r="3533" spans="3:8">
      <c r="C3533" s="545" t="e">
        <f>VLOOKUP(D3533,기본!$B$3:$C$90,2,0)</f>
        <v>#N/A</v>
      </c>
      <c r="G3533" t="e">
        <f>VLOOKUP(E3533,기본!$F$3:$G$320,2,0)</f>
        <v>#N/A</v>
      </c>
      <c r="H3533" s="544"/>
    </row>
    <row r="3534" spans="3:8">
      <c r="C3534" s="545" t="e">
        <f>VLOOKUP(D3534,기본!$B$3:$C$90,2,0)</f>
        <v>#N/A</v>
      </c>
      <c r="G3534" t="e">
        <f>VLOOKUP(E3534,기본!$F$3:$G$320,2,0)</f>
        <v>#N/A</v>
      </c>
      <c r="H3534" s="544"/>
    </row>
    <row r="3535" spans="3:8">
      <c r="C3535" s="545" t="e">
        <f>VLOOKUP(D3535,기본!$B$3:$C$90,2,0)</f>
        <v>#N/A</v>
      </c>
      <c r="G3535" t="e">
        <f>VLOOKUP(E3535,기본!$F$3:$G$320,2,0)</f>
        <v>#N/A</v>
      </c>
      <c r="H3535" s="544"/>
    </row>
    <row r="3536" spans="3:8">
      <c r="C3536" s="545" t="e">
        <f>VLOOKUP(D3536,기본!$B$3:$C$90,2,0)</f>
        <v>#N/A</v>
      </c>
      <c r="G3536" t="e">
        <f>VLOOKUP(E3536,기본!$F$3:$G$320,2,0)</f>
        <v>#N/A</v>
      </c>
      <c r="H3536" s="544"/>
    </row>
    <row r="3537" spans="3:12">
      <c r="C3537" s="545" t="e">
        <f>VLOOKUP(D3537,기본!$B$3:$C$90,2,0)</f>
        <v>#N/A</v>
      </c>
      <c r="G3537" t="e">
        <f>VLOOKUP(E3537,기본!$F$3:$G$320,2,0)</f>
        <v>#N/A</v>
      </c>
      <c r="H3537" s="544"/>
    </row>
    <row r="3538" spans="3:12">
      <c r="C3538" s="545" t="e">
        <f>VLOOKUP(D3538,기본!$B$3:$C$90,2,0)</f>
        <v>#N/A</v>
      </c>
      <c r="G3538" t="e">
        <f>VLOOKUP(E3538,기본!$F$3:$G$320,2,0)</f>
        <v>#N/A</v>
      </c>
      <c r="H3538" s="544"/>
    </row>
    <row r="3539" spans="3:12">
      <c r="C3539" s="545" t="e">
        <f>VLOOKUP(D3539,기본!$B$3:$C$90,2,0)</f>
        <v>#N/A</v>
      </c>
      <c r="G3539" t="e">
        <f>VLOOKUP(E3539,기본!$F$3:$G$320,2,0)</f>
        <v>#N/A</v>
      </c>
      <c r="H3539" s="544"/>
    </row>
    <row r="3540" spans="3:12">
      <c r="C3540" s="545" t="e">
        <f>VLOOKUP(D3540,기본!$B$3:$C$90,2,0)</f>
        <v>#N/A</v>
      </c>
      <c r="G3540" t="e">
        <f>VLOOKUP(E3540,기본!$F$3:$G$320,2,0)</f>
        <v>#N/A</v>
      </c>
      <c r="H3540" s="544"/>
    </row>
    <row r="3541" spans="3:12">
      <c r="C3541" s="545" t="e">
        <f>VLOOKUP(D3541,기본!$B$3:$C$90,2,0)</f>
        <v>#N/A</v>
      </c>
      <c r="G3541" t="e">
        <f>VLOOKUP(E3541,기본!$F$3:$G$320,2,0)</f>
        <v>#N/A</v>
      </c>
      <c r="H3541" s="544"/>
    </row>
    <row r="3542" spans="3:12">
      <c r="C3542" s="545" t="e">
        <f>VLOOKUP(D3542,기본!$B$3:$C$90,2,0)</f>
        <v>#N/A</v>
      </c>
      <c r="G3542" t="e">
        <f>VLOOKUP(E3542,기본!$F$3:$G$320,2,0)</f>
        <v>#N/A</v>
      </c>
      <c r="H3542" s="544"/>
    </row>
    <row r="3543" spans="3:12">
      <c r="C3543" s="545" t="e">
        <f>VLOOKUP(D3543,기본!$B$3:$C$90,2,0)</f>
        <v>#N/A</v>
      </c>
      <c r="G3543" t="e">
        <f>VLOOKUP(E3543,기본!$F$3:$G$320,2,0)</f>
        <v>#N/A</v>
      </c>
      <c r="H3543" s="544"/>
    </row>
    <row r="3544" spans="3:12">
      <c r="C3544" s="545" t="e">
        <f>VLOOKUP(D3544,기본!$B$3:$C$90,2,0)</f>
        <v>#N/A</v>
      </c>
      <c r="G3544" t="e">
        <f>VLOOKUP(E3544,기본!$F$3:$G$320,2,0)</f>
        <v>#N/A</v>
      </c>
      <c r="H3544" s="544"/>
    </row>
    <row r="3545" spans="3:12">
      <c r="C3545" s="545" t="e">
        <f>VLOOKUP(D3545,기본!$B$3:$C$90,2,0)</f>
        <v>#N/A</v>
      </c>
      <c r="G3545" t="e">
        <f>VLOOKUP(E3545,기본!$F$3:$G$320,2,0)</f>
        <v>#N/A</v>
      </c>
      <c r="H3545" s="544"/>
    </row>
    <row r="3546" spans="3:12">
      <c r="C3546" s="545" t="e">
        <f>VLOOKUP(D3546,기본!$B$3:$C$90,2,0)</f>
        <v>#N/A</v>
      </c>
      <c r="G3546" t="e">
        <f>VLOOKUP(E3546,기본!$F$3:$G$320,2,0)</f>
        <v>#N/A</v>
      </c>
      <c r="H3546" s="544"/>
    </row>
    <row r="3547" spans="3:12">
      <c r="C3547" s="545" t="e">
        <f>VLOOKUP(D3547,기본!$B$3:$C$90,2,0)</f>
        <v>#N/A</v>
      </c>
      <c r="G3547" t="e">
        <f>VLOOKUP(E3547,기본!$F$3:$G$320,2,0)</f>
        <v>#N/A</v>
      </c>
      <c r="H3547" s="544"/>
      <c r="L3547" s="546"/>
    </row>
    <row r="3548" spans="3:12">
      <c r="C3548" s="545" t="e">
        <f>VLOOKUP(D3548,기본!$B$3:$C$90,2,0)</f>
        <v>#N/A</v>
      </c>
      <c r="G3548" t="e">
        <f>VLOOKUP(E3548,기본!$F$3:$G$320,2,0)</f>
        <v>#N/A</v>
      </c>
      <c r="H3548" s="544"/>
      <c r="L3548" s="546"/>
    </row>
    <row r="3549" spans="3:12">
      <c r="C3549" s="545" t="e">
        <f>VLOOKUP(D3549,기본!$B$3:$C$90,2,0)</f>
        <v>#N/A</v>
      </c>
      <c r="G3549" t="e">
        <f>VLOOKUP(E3549,기본!$F$3:$G$320,2,0)</f>
        <v>#N/A</v>
      </c>
      <c r="H3549" s="544"/>
      <c r="L3549" s="546"/>
    </row>
    <row r="3550" spans="3:12">
      <c r="C3550" s="545" t="e">
        <f>VLOOKUP(D3550,기본!$B$3:$C$90,2,0)</f>
        <v>#N/A</v>
      </c>
      <c r="G3550" t="e">
        <f>VLOOKUP(E3550,기본!$F$3:$G$320,2,0)</f>
        <v>#N/A</v>
      </c>
      <c r="H3550" s="544"/>
      <c r="L3550" s="546"/>
    </row>
    <row r="3551" spans="3:12">
      <c r="C3551" s="545" t="e">
        <f>VLOOKUP(D3551,기본!$B$3:$C$90,2,0)</f>
        <v>#N/A</v>
      </c>
      <c r="G3551" t="e">
        <f>VLOOKUP(E3551,기본!$F$3:$G$320,2,0)</f>
        <v>#N/A</v>
      </c>
      <c r="H3551" s="544"/>
      <c r="L3551" s="546"/>
    </row>
    <row r="3552" spans="3:12">
      <c r="C3552" s="545" t="e">
        <f>VLOOKUP(D3552,기본!$B$3:$C$90,2,0)</f>
        <v>#N/A</v>
      </c>
      <c r="G3552" t="e">
        <f>VLOOKUP(E3552,기본!$F$3:$G$320,2,0)</f>
        <v>#N/A</v>
      </c>
      <c r="H3552" s="544"/>
      <c r="L3552" s="546"/>
    </row>
    <row r="3553" spans="3:12">
      <c r="C3553" s="545" t="e">
        <f>VLOOKUP(D3553,기본!$B$3:$C$90,2,0)</f>
        <v>#N/A</v>
      </c>
      <c r="G3553" t="e">
        <f>VLOOKUP(E3553,기본!$F$3:$G$320,2,0)</f>
        <v>#N/A</v>
      </c>
      <c r="H3553" s="544"/>
      <c r="L3553" s="546"/>
    </row>
    <row r="3554" spans="3:12">
      <c r="C3554" s="545" t="e">
        <f>VLOOKUP(D3554,기본!$B$3:$C$90,2,0)</f>
        <v>#N/A</v>
      </c>
      <c r="G3554" t="e">
        <f>VLOOKUP(E3554,기본!$F$3:$G$320,2,0)</f>
        <v>#N/A</v>
      </c>
      <c r="H3554" s="544"/>
      <c r="L3554" s="546"/>
    </row>
    <row r="3555" spans="3:12">
      <c r="C3555" s="545" t="e">
        <f>VLOOKUP(D3555,기본!$B$3:$C$90,2,0)</f>
        <v>#N/A</v>
      </c>
      <c r="G3555" t="e">
        <f>VLOOKUP(E3555,기본!$F$3:$G$320,2,0)</f>
        <v>#N/A</v>
      </c>
      <c r="H3555" s="544"/>
      <c r="L3555" s="546"/>
    </row>
    <row r="3556" spans="3:12">
      <c r="C3556" s="545" t="e">
        <f>VLOOKUP(D3556,기본!$B$3:$C$90,2,0)</f>
        <v>#N/A</v>
      </c>
      <c r="G3556" t="e">
        <f>VLOOKUP(E3556,기본!$F$3:$G$320,2,0)</f>
        <v>#N/A</v>
      </c>
      <c r="H3556" s="544"/>
      <c r="L3556" s="546"/>
    </row>
    <row r="3557" spans="3:12">
      <c r="C3557" s="545" t="e">
        <f>VLOOKUP(D3557,기본!$B$3:$C$90,2,0)</f>
        <v>#N/A</v>
      </c>
      <c r="G3557" t="e">
        <f>VLOOKUP(E3557,기본!$F$3:$G$320,2,0)</f>
        <v>#N/A</v>
      </c>
      <c r="H3557" s="544"/>
      <c r="L3557" s="546"/>
    </row>
    <row r="3558" spans="3:12">
      <c r="C3558" s="545" t="e">
        <f>VLOOKUP(D3558,기본!$B$3:$C$90,2,0)</f>
        <v>#N/A</v>
      </c>
      <c r="G3558" t="e">
        <f>VLOOKUP(E3558,기본!$F$3:$G$320,2,0)</f>
        <v>#N/A</v>
      </c>
      <c r="H3558" s="544"/>
      <c r="L3558" s="546"/>
    </row>
    <row r="3559" spans="3:12">
      <c r="C3559" s="545" t="e">
        <f>VLOOKUP(D3559,기본!$B$3:$C$90,2,0)</f>
        <v>#N/A</v>
      </c>
      <c r="G3559" t="e">
        <f>VLOOKUP(E3559,기본!$F$3:$G$320,2,0)</f>
        <v>#N/A</v>
      </c>
      <c r="H3559" s="544"/>
      <c r="L3559" s="546"/>
    </row>
    <row r="3560" spans="3:12">
      <c r="C3560" s="545" t="e">
        <f>VLOOKUP(D3560,기본!$B$3:$C$90,2,0)</f>
        <v>#N/A</v>
      </c>
      <c r="G3560" t="e">
        <f>VLOOKUP(E3560,기본!$F$3:$G$320,2,0)</f>
        <v>#N/A</v>
      </c>
      <c r="H3560" s="544"/>
      <c r="L3560" s="546"/>
    </row>
    <row r="3561" spans="3:12">
      <c r="C3561" s="545" t="e">
        <f>VLOOKUP(D3561,기본!$B$3:$C$90,2,0)</f>
        <v>#N/A</v>
      </c>
      <c r="G3561" t="e">
        <f>VLOOKUP(E3561,기본!$F$3:$G$320,2,0)</f>
        <v>#N/A</v>
      </c>
      <c r="H3561" s="544"/>
      <c r="L3561" s="546"/>
    </row>
    <row r="3562" spans="3:12">
      <c r="C3562" s="545" t="e">
        <f>VLOOKUP(D3562,기본!$B$3:$C$90,2,0)</f>
        <v>#N/A</v>
      </c>
      <c r="G3562" t="e">
        <f>VLOOKUP(E3562,기본!$F$3:$G$320,2,0)</f>
        <v>#N/A</v>
      </c>
      <c r="H3562" s="544"/>
      <c r="L3562" s="546"/>
    </row>
    <row r="3563" spans="3:12">
      <c r="C3563" s="545" t="e">
        <f>VLOOKUP(D3563,기본!$B$3:$C$90,2,0)</f>
        <v>#N/A</v>
      </c>
      <c r="G3563" t="e">
        <f>VLOOKUP(E3563,기본!$F$3:$G$320,2,0)</f>
        <v>#N/A</v>
      </c>
      <c r="H3563" s="544"/>
      <c r="L3563" s="546"/>
    </row>
    <row r="3564" spans="3:12">
      <c r="C3564" s="545" t="e">
        <f>VLOOKUP(D3564,기본!$B$3:$C$90,2,0)</f>
        <v>#N/A</v>
      </c>
      <c r="G3564" t="e">
        <f>VLOOKUP(E3564,기본!$F$3:$G$320,2,0)</f>
        <v>#N/A</v>
      </c>
      <c r="H3564" s="544"/>
      <c r="L3564" s="546"/>
    </row>
    <row r="3565" spans="3:12">
      <c r="C3565" s="545" t="e">
        <f>VLOOKUP(D3565,기본!$B$3:$C$90,2,0)</f>
        <v>#N/A</v>
      </c>
      <c r="G3565" t="e">
        <f>VLOOKUP(E3565,기본!$F$3:$G$320,2,0)</f>
        <v>#N/A</v>
      </c>
      <c r="H3565" s="544"/>
      <c r="L3565" s="546"/>
    </row>
    <row r="3566" spans="3:12">
      <c r="C3566" s="545" t="e">
        <f>VLOOKUP(D3566,기본!$B$3:$C$90,2,0)</f>
        <v>#N/A</v>
      </c>
      <c r="G3566" t="e">
        <f>VLOOKUP(E3566,기본!$F$3:$G$320,2,0)</f>
        <v>#N/A</v>
      </c>
      <c r="H3566" s="544"/>
      <c r="L3566" s="546"/>
    </row>
    <row r="3567" spans="3:12">
      <c r="C3567" s="545" t="e">
        <f>VLOOKUP(D3567,기본!$B$3:$C$90,2,0)</f>
        <v>#N/A</v>
      </c>
      <c r="G3567" t="e">
        <f>VLOOKUP(E3567,기본!$F$3:$G$320,2,0)</f>
        <v>#N/A</v>
      </c>
      <c r="H3567" s="544"/>
      <c r="L3567" s="546"/>
    </row>
    <row r="3568" spans="3:12">
      <c r="C3568" s="545" t="e">
        <f>VLOOKUP(D3568,기본!$B$3:$C$90,2,0)</f>
        <v>#N/A</v>
      </c>
      <c r="G3568" t="e">
        <f>VLOOKUP(E3568,기본!$F$3:$G$320,2,0)</f>
        <v>#N/A</v>
      </c>
      <c r="H3568" s="544"/>
      <c r="L3568" s="546"/>
    </row>
    <row r="3569" spans="3:12">
      <c r="C3569" s="545" t="e">
        <f>VLOOKUP(D3569,기본!$B$3:$C$90,2,0)</f>
        <v>#N/A</v>
      </c>
      <c r="G3569" t="e">
        <f>VLOOKUP(E3569,기본!$F$3:$G$320,2,0)</f>
        <v>#N/A</v>
      </c>
      <c r="H3569" s="544"/>
      <c r="L3569" s="546"/>
    </row>
    <row r="3570" spans="3:12">
      <c r="C3570" s="545" t="e">
        <f>VLOOKUP(D3570,기본!$B$3:$C$90,2,0)</f>
        <v>#N/A</v>
      </c>
      <c r="G3570" t="e">
        <f>VLOOKUP(E3570,기본!$F$3:$G$320,2,0)</f>
        <v>#N/A</v>
      </c>
      <c r="H3570" s="544"/>
      <c r="L3570" s="546"/>
    </row>
    <row r="3571" spans="3:12">
      <c r="C3571" s="545" t="e">
        <f>VLOOKUP(D3571,기본!$B$3:$C$90,2,0)</f>
        <v>#N/A</v>
      </c>
      <c r="G3571" t="e">
        <f>VLOOKUP(E3571,기본!$F$3:$G$320,2,0)</f>
        <v>#N/A</v>
      </c>
      <c r="H3571" s="544"/>
      <c r="L3571" s="546"/>
    </row>
    <row r="3572" spans="3:12">
      <c r="C3572" s="545" t="e">
        <f>VLOOKUP(D3572,기본!$B$3:$C$90,2,0)</f>
        <v>#N/A</v>
      </c>
      <c r="G3572" t="e">
        <f>VLOOKUP(E3572,기본!$F$3:$G$320,2,0)</f>
        <v>#N/A</v>
      </c>
      <c r="H3572" s="544"/>
      <c r="L3572" s="546"/>
    </row>
    <row r="3573" spans="3:12">
      <c r="C3573" s="545" t="e">
        <f>VLOOKUP(D3573,기본!$B$3:$C$90,2,0)</f>
        <v>#N/A</v>
      </c>
      <c r="G3573" t="e">
        <f>VLOOKUP(E3573,기본!$F$3:$G$320,2,0)</f>
        <v>#N/A</v>
      </c>
      <c r="H3573" s="544"/>
      <c r="L3573" s="546"/>
    </row>
    <row r="3574" spans="3:12">
      <c r="C3574" s="545" t="e">
        <f>VLOOKUP(D3574,기본!$B$3:$C$90,2,0)</f>
        <v>#N/A</v>
      </c>
      <c r="G3574" t="e">
        <f>VLOOKUP(E3574,기본!$F$3:$G$320,2,0)</f>
        <v>#N/A</v>
      </c>
      <c r="H3574" s="544"/>
      <c r="L3574" s="546"/>
    </row>
    <row r="3575" spans="3:12">
      <c r="C3575" s="545" t="e">
        <f>VLOOKUP(D3575,기본!$B$3:$C$90,2,0)</f>
        <v>#N/A</v>
      </c>
      <c r="G3575" t="e">
        <f>VLOOKUP(E3575,기본!$F$3:$G$320,2,0)</f>
        <v>#N/A</v>
      </c>
      <c r="H3575" s="544"/>
      <c r="L3575" s="546"/>
    </row>
    <row r="3576" spans="3:12">
      <c r="C3576" s="545" t="e">
        <f>VLOOKUP(D3576,기본!$B$3:$C$90,2,0)</f>
        <v>#N/A</v>
      </c>
      <c r="G3576" t="e">
        <f>VLOOKUP(E3576,기본!$F$3:$G$320,2,0)</f>
        <v>#N/A</v>
      </c>
      <c r="H3576" s="544"/>
      <c r="L3576" s="546"/>
    </row>
    <row r="3577" spans="3:12">
      <c r="C3577" s="545" t="e">
        <f>VLOOKUP(D3577,기본!$B$3:$C$90,2,0)</f>
        <v>#N/A</v>
      </c>
      <c r="G3577" t="e">
        <f>VLOOKUP(E3577,기본!$F$3:$G$320,2,0)</f>
        <v>#N/A</v>
      </c>
      <c r="H3577" s="544"/>
      <c r="L3577" s="546"/>
    </row>
    <row r="3578" spans="3:12">
      <c r="C3578" s="545" t="e">
        <f>VLOOKUP(D3578,기본!$B$3:$C$90,2,0)</f>
        <v>#N/A</v>
      </c>
      <c r="G3578" t="e">
        <f>VLOOKUP(E3578,기본!$F$3:$G$320,2,0)</f>
        <v>#N/A</v>
      </c>
      <c r="H3578" s="544"/>
      <c r="L3578" s="546"/>
    </row>
    <row r="3579" spans="3:12">
      <c r="C3579" s="545" t="e">
        <f>VLOOKUP(D3579,기본!$B$3:$C$90,2,0)</f>
        <v>#N/A</v>
      </c>
      <c r="G3579" t="e">
        <f>VLOOKUP(E3579,기본!$F$3:$G$320,2,0)</f>
        <v>#N/A</v>
      </c>
      <c r="H3579" s="544"/>
      <c r="L3579" s="546"/>
    </row>
    <row r="3580" spans="3:12">
      <c r="C3580" s="545" t="e">
        <f>VLOOKUP(D3580,기본!$B$3:$C$90,2,0)</f>
        <v>#N/A</v>
      </c>
      <c r="G3580" t="e">
        <f>VLOOKUP(E3580,기본!$F$3:$G$320,2,0)</f>
        <v>#N/A</v>
      </c>
      <c r="H3580" s="544"/>
      <c r="L3580" s="546"/>
    </row>
    <row r="3581" spans="3:12">
      <c r="C3581" s="545" t="e">
        <f>VLOOKUP(D3581,기본!$B$3:$C$90,2,0)</f>
        <v>#N/A</v>
      </c>
      <c r="G3581" t="e">
        <f>VLOOKUP(E3581,기본!$F$3:$G$320,2,0)</f>
        <v>#N/A</v>
      </c>
      <c r="H3581" s="544"/>
      <c r="L3581" s="546"/>
    </row>
    <row r="3582" spans="3:12">
      <c r="C3582" s="545" t="e">
        <f>VLOOKUP(D3582,기본!$B$3:$C$90,2,0)</f>
        <v>#N/A</v>
      </c>
      <c r="G3582" t="e">
        <f>VLOOKUP(E3582,기본!$F$3:$G$320,2,0)</f>
        <v>#N/A</v>
      </c>
      <c r="H3582" s="544"/>
      <c r="L3582" s="546"/>
    </row>
    <row r="3583" spans="3:12">
      <c r="C3583" s="545" t="e">
        <f>VLOOKUP(D3583,기본!$B$3:$C$90,2,0)</f>
        <v>#N/A</v>
      </c>
      <c r="G3583" t="e">
        <f>VLOOKUP(E3583,기본!$F$3:$G$320,2,0)</f>
        <v>#N/A</v>
      </c>
      <c r="H3583" s="544"/>
      <c r="L3583" s="546"/>
    </row>
    <row r="3584" spans="3:12">
      <c r="C3584" s="545" t="e">
        <f>VLOOKUP(D3584,기본!$B$3:$C$90,2,0)</f>
        <v>#N/A</v>
      </c>
      <c r="G3584" t="e">
        <f>VLOOKUP(E3584,기본!$F$3:$G$320,2,0)</f>
        <v>#N/A</v>
      </c>
      <c r="H3584" s="544"/>
      <c r="L3584" s="546"/>
    </row>
    <row r="3585" spans="3:12">
      <c r="C3585" s="545" t="e">
        <f>VLOOKUP(D3585,기본!$B$3:$C$90,2,0)</f>
        <v>#N/A</v>
      </c>
      <c r="G3585" t="e">
        <f>VLOOKUP(E3585,기본!$F$3:$G$320,2,0)</f>
        <v>#N/A</v>
      </c>
      <c r="H3585" s="544"/>
      <c r="L3585" s="546"/>
    </row>
    <row r="3586" spans="3:12">
      <c r="C3586" s="545" t="e">
        <f>VLOOKUP(D3586,기본!$B$3:$C$90,2,0)</f>
        <v>#N/A</v>
      </c>
      <c r="G3586" t="e">
        <f>VLOOKUP(E3586,기본!$F$3:$G$320,2,0)</f>
        <v>#N/A</v>
      </c>
      <c r="H3586" s="544"/>
      <c r="L3586" s="546"/>
    </row>
    <row r="3587" spans="3:12">
      <c r="C3587" s="545" t="e">
        <f>VLOOKUP(D3587,기본!$B$3:$C$90,2,0)</f>
        <v>#N/A</v>
      </c>
      <c r="G3587" t="e">
        <f>VLOOKUP(E3587,기본!$F$3:$G$320,2,0)</f>
        <v>#N/A</v>
      </c>
      <c r="H3587" s="544"/>
      <c r="L3587" s="546"/>
    </row>
    <row r="3588" spans="3:12">
      <c r="C3588" s="545" t="e">
        <f>VLOOKUP(D3588,기본!$B$3:$C$90,2,0)</f>
        <v>#N/A</v>
      </c>
      <c r="G3588" t="e">
        <f>VLOOKUP(E3588,기본!$F$3:$G$320,2,0)</f>
        <v>#N/A</v>
      </c>
      <c r="H3588" s="544"/>
      <c r="L3588" s="546"/>
    </row>
    <row r="3589" spans="3:12">
      <c r="C3589" s="545" t="e">
        <f>VLOOKUP(D3589,기본!$B$3:$C$90,2,0)</f>
        <v>#N/A</v>
      </c>
      <c r="G3589" t="e">
        <f>VLOOKUP(E3589,기본!$F$3:$G$320,2,0)</f>
        <v>#N/A</v>
      </c>
      <c r="H3589" s="544"/>
      <c r="L3589" s="546"/>
    </row>
    <row r="3590" spans="3:12">
      <c r="C3590" s="545" t="e">
        <f>VLOOKUP(D3590,기본!$B$3:$C$90,2,0)</f>
        <v>#N/A</v>
      </c>
      <c r="G3590" t="e">
        <f>VLOOKUP(E3590,기본!$F$3:$G$320,2,0)</f>
        <v>#N/A</v>
      </c>
      <c r="H3590" s="544"/>
      <c r="L3590" s="546"/>
    </row>
    <row r="3591" spans="3:12">
      <c r="C3591" s="545" t="e">
        <f>VLOOKUP(D3591,기본!$B$3:$C$90,2,0)</f>
        <v>#N/A</v>
      </c>
      <c r="G3591" t="e">
        <f>VLOOKUP(E3591,기본!$F$3:$G$320,2,0)</f>
        <v>#N/A</v>
      </c>
      <c r="H3591" s="544"/>
      <c r="L3591" s="546"/>
    </row>
    <row r="3592" spans="3:12">
      <c r="C3592" s="545" t="e">
        <f>VLOOKUP(D3592,기본!$B$3:$C$90,2,0)</f>
        <v>#N/A</v>
      </c>
      <c r="G3592" t="e">
        <f>VLOOKUP(E3592,기본!$F$3:$G$320,2,0)</f>
        <v>#N/A</v>
      </c>
      <c r="H3592" s="544"/>
      <c r="L3592" s="546"/>
    </row>
    <row r="3593" spans="3:12">
      <c r="C3593" s="545" t="e">
        <f>VLOOKUP(D3593,기본!$B$3:$C$90,2,0)</f>
        <v>#N/A</v>
      </c>
      <c r="G3593" t="e">
        <f>VLOOKUP(E3593,기본!$F$3:$G$320,2,0)</f>
        <v>#N/A</v>
      </c>
      <c r="H3593" s="544"/>
      <c r="L3593" s="546"/>
    </row>
    <row r="3594" spans="3:12">
      <c r="C3594" s="545" t="e">
        <f>VLOOKUP(D3594,기본!$B$3:$C$90,2,0)</f>
        <v>#N/A</v>
      </c>
      <c r="G3594" t="e">
        <f>VLOOKUP(E3594,기본!$F$3:$G$320,2,0)</f>
        <v>#N/A</v>
      </c>
      <c r="H3594" s="544"/>
      <c r="L3594" s="546"/>
    </row>
    <row r="3595" spans="3:12">
      <c r="C3595" s="545" t="e">
        <f>VLOOKUP(D3595,기본!$B$3:$C$90,2,0)</f>
        <v>#N/A</v>
      </c>
      <c r="G3595" t="e">
        <f>VLOOKUP(E3595,기본!$F$3:$G$320,2,0)</f>
        <v>#N/A</v>
      </c>
      <c r="H3595" s="544"/>
      <c r="L3595" s="546"/>
    </row>
    <row r="3596" spans="3:12">
      <c r="C3596" s="545" t="e">
        <f>VLOOKUP(D3596,기본!$B$3:$C$90,2,0)</f>
        <v>#N/A</v>
      </c>
      <c r="G3596" t="e">
        <f>VLOOKUP(E3596,기본!$F$3:$G$320,2,0)</f>
        <v>#N/A</v>
      </c>
      <c r="H3596" s="544"/>
    </row>
    <row r="3597" spans="3:12">
      <c r="C3597" s="545" t="e">
        <f>VLOOKUP(D3597,기본!$B$3:$C$90,2,0)</f>
        <v>#N/A</v>
      </c>
      <c r="G3597" t="e">
        <f>VLOOKUP(E3597,기본!$F$3:$G$320,2,0)</f>
        <v>#N/A</v>
      </c>
      <c r="H3597" s="544"/>
    </row>
    <row r="3598" spans="3:12">
      <c r="C3598" s="545" t="e">
        <f>VLOOKUP(D3598,기본!$B$3:$C$90,2,0)</f>
        <v>#N/A</v>
      </c>
      <c r="G3598" t="e">
        <f>VLOOKUP(E3598,기본!$F$3:$G$320,2,0)</f>
        <v>#N/A</v>
      </c>
      <c r="H3598" s="544"/>
    </row>
    <row r="3599" spans="3:12">
      <c r="C3599" s="545" t="e">
        <f>VLOOKUP(D3599,기본!$B$3:$C$90,2,0)</f>
        <v>#N/A</v>
      </c>
      <c r="G3599" t="e">
        <f>VLOOKUP(E3599,기본!$F$3:$G$320,2,0)</f>
        <v>#N/A</v>
      </c>
      <c r="H3599" s="544"/>
    </row>
    <row r="3600" spans="3:12">
      <c r="C3600" s="545" t="e">
        <f>VLOOKUP(D3600,기본!$B$3:$C$90,2,0)</f>
        <v>#N/A</v>
      </c>
      <c r="G3600" t="e">
        <f>VLOOKUP(E3600,기본!$F$3:$G$320,2,0)</f>
        <v>#N/A</v>
      </c>
      <c r="H3600" s="544"/>
    </row>
    <row r="3601" spans="3:8">
      <c r="C3601" s="545" t="e">
        <f>VLOOKUP(D3601,기본!$B$3:$C$90,2,0)</f>
        <v>#N/A</v>
      </c>
      <c r="G3601" t="e">
        <f>VLOOKUP(E3601,기본!$F$3:$G$320,2,0)</f>
        <v>#N/A</v>
      </c>
      <c r="H3601" s="544"/>
    </row>
    <row r="3602" spans="3:8">
      <c r="C3602" s="545" t="e">
        <f>VLOOKUP(D3602,기본!$B$3:$C$90,2,0)</f>
        <v>#N/A</v>
      </c>
      <c r="G3602" t="e">
        <f>VLOOKUP(E3602,기본!$F$3:$G$320,2,0)</f>
        <v>#N/A</v>
      </c>
      <c r="H3602" s="544"/>
    </row>
    <row r="3603" spans="3:8">
      <c r="C3603" s="545" t="e">
        <f>VLOOKUP(D3603,기본!$B$3:$C$90,2,0)</f>
        <v>#N/A</v>
      </c>
      <c r="G3603" t="e">
        <f>VLOOKUP(E3603,기본!$F$3:$G$320,2,0)</f>
        <v>#N/A</v>
      </c>
      <c r="H3603" s="544"/>
    </row>
    <row r="3604" spans="3:8">
      <c r="C3604" s="545" t="e">
        <f>VLOOKUP(D3604,기본!$B$3:$C$90,2,0)</f>
        <v>#N/A</v>
      </c>
      <c r="G3604" t="e">
        <f>VLOOKUP(E3604,기본!$F$3:$G$320,2,0)</f>
        <v>#N/A</v>
      </c>
      <c r="H3604" s="544"/>
    </row>
    <row r="3605" spans="3:8">
      <c r="C3605" s="545" t="e">
        <f>VLOOKUP(D3605,기본!$B$3:$C$90,2,0)</f>
        <v>#N/A</v>
      </c>
      <c r="G3605" t="e">
        <f>VLOOKUP(E3605,기본!$F$3:$G$320,2,0)</f>
        <v>#N/A</v>
      </c>
      <c r="H3605" s="544"/>
    </row>
    <row r="3606" spans="3:8">
      <c r="C3606" s="545" t="e">
        <f>VLOOKUP(D3606,기본!$B$3:$C$90,2,0)</f>
        <v>#N/A</v>
      </c>
      <c r="G3606" t="e">
        <f>VLOOKUP(E3606,기본!$F$3:$G$320,2,0)</f>
        <v>#N/A</v>
      </c>
      <c r="H3606" s="544"/>
    </row>
    <row r="3607" spans="3:8">
      <c r="C3607" s="545" t="e">
        <f>VLOOKUP(D3607,기본!$B$3:$C$90,2,0)</f>
        <v>#N/A</v>
      </c>
      <c r="G3607" t="e">
        <f>VLOOKUP(E3607,기본!$F$3:$G$320,2,0)</f>
        <v>#N/A</v>
      </c>
      <c r="H3607" s="544"/>
    </row>
    <row r="3608" spans="3:8">
      <c r="C3608" s="545" t="e">
        <f>VLOOKUP(D3608,기본!$B$3:$C$90,2,0)</f>
        <v>#N/A</v>
      </c>
      <c r="G3608" t="e">
        <f>VLOOKUP(E3608,기본!$F$3:$G$320,2,0)</f>
        <v>#N/A</v>
      </c>
      <c r="H3608" s="544"/>
    </row>
    <row r="3609" spans="3:8">
      <c r="C3609" s="545" t="e">
        <f>VLOOKUP(D3609,기본!$B$3:$C$90,2,0)</f>
        <v>#N/A</v>
      </c>
      <c r="G3609" t="e">
        <f>VLOOKUP(E3609,기본!$F$3:$G$320,2,0)</f>
        <v>#N/A</v>
      </c>
      <c r="H3609" s="544"/>
    </row>
    <row r="3610" spans="3:8">
      <c r="C3610" s="545" t="e">
        <f>VLOOKUP(D3610,기본!$B$3:$C$90,2,0)</f>
        <v>#N/A</v>
      </c>
      <c r="G3610" t="e">
        <f>VLOOKUP(E3610,기본!$F$3:$G$320,2,0)</f>
        <v>#N/A</v>
      </c>
      <c r="H3610" s="544"/>
    </row>
    <row r="3611" spans="3:8">
      <c r="C3611" s="545" t="e">
        <f>VLOOKUP(D3611,기본!$B$3:$C$90,2,0)</f>
        <v>#N/A</v>
      </c>
      <c r="G3611" t="e">
        <f>VLOOKUP(E3611,기본!$F$3:$G$320,2,0)</f>
        <v>#N/A</v>
      </c>
      <c r="H3611" s="544"/>
    </row>
    <row r="3612" spans="3:8">
      <c r="C3612" s="545" t="e">
        <f>VLOOKUP(D3612,기본!$B$3:$C$90,2,0)</f>
        <v>#N/A</v>
      </c>
      <c r="G3612" t="e">
        <f>VLOOKUP(E3612,기본!$F$3:$G$320,2,0)</f>
        <v>#N/A</v>
      </c>
      <c r="H3612" s="544"/>
    </row>
    <row r="3613" spans="3:8">
      <c r="C3613" s="545" t="e">
        <f>VLOOKUP(D3613,기본!$B$3:$C$90,2,0)</f>
        <v>#N/A</v>
      </c>
      <c r="G3613" t="e">
        <f>VLOOKUP(E3613,기본!$F$3:$G$320,2,0)</f>
        <v>#N/A</v>
      </c>
      <c r="H3613" s="544"/>
    </row>
    <row r="3614" spans="3:8">
      <c r="C3614" s="545" t="e">
        <f>VLOOKUP(D3614,기본!$B$3:$C$90,2,0)</f>
        <v>#N/A</v>
      </c>
      <c r="G3614" t="e">
        <f>VLOOKUP(E3614,기본!$F$3:$G$320,2,0)</f>
        <v>#N/A</v>
      </c>
      <c r="H3614" s="544"/>
    </row>
    <row r="3615" spans="3:8">
      <c r="C3615" s="545" t="e">
        <f>VLOOKUP(D3615,기본!$B$3:$C$90,2,0)</f>
        <v>#N/A</v>
      </c>
      <c r="G3615" t="e">
        <f>VLOOKUP(E3615,기본!$F$3:$G$320,2,0)</f>
        <v>#N/A</v>
      </c>
      <c r="H3615" s="544"/>
    </row>
    <row r="3616" spans="3:8">
      <c r="C3616" s="545" t="e">
        <f>VLOOKUP(D3616,기본!$B$3:$C$90,2,0)</f>
        <v>#N/A</v>
      </c>
      <c r="G3616" t="e">
        <f>VLOOKUP(E3616,기본!$F$3:$G$320,2,0)</f>
        <v>#N/A</v>
      </c>
      <c r="H3616" s="544"/>
    </row>
    <row r="3617" spans="3:8">
      <c r="C3617" s="545" t="e">
        <f>VLOOKUP(D3617,기본!$B$3:$C$90,2,0)</f>
        <v>#N/A</v>
      </c>
      <c r="G3617" t="e">
        <f>VLOOKUP(E3617,기본!$F$3:$G$320,2,0)</f>
        <v>#N/A</v>
      </c>
      <c r="H3617" s="544"/>
    </row>
    <row r="3618" spans="3:8">
      <c r="C3618" s="545" t="e">
        <f>VLOOKUP(D3618,기본!$B$3:$C$90,2,0)</f>
        <v>#N/A</v>
      </c>
      <c r="G3618" t="e">
        <f>VLOOKUP(E3618,기본!$F$3:$G$320,2,0)</f>
        <v>#N/A</v>
      </c>
      <c r="H3618" s="544"/>
    </row>
    <row r="3619" spans="3:8">
      <c r="C3619" s="545" t="e">
        <f>VLOOKUP(D3619,기본!$B$3:$C$90,2,0)</f>
        <v>#N/A</v>
      </c>
      <c r="G3619" t="e">
        <f>VLOOKUP(E3619,기본!$F$3:$G$320,2,0)</f>
        <v>#N/A</v>
      </c>
      <c r="H3619" s="544"/>
    </row>
    <row r="3620" spans="3:8">
      <c r="C3620" s="545" t="e">
        <f>VLOOKUP(D3620,기본!$B$3:$C$90,2,0)</f>
        <v>#N/A</v>
      </c>
      <c r="G3620" t="e">
        <f>VLOOKUP(E3620,기본!$F$3:$G$320,2,0)</f>
        <v>#N/A</v>
      </c>
      <c r="H3620" s="544"/>
    </row>
    <row r="3621" spans="3:8">
      <c r="C3621" s="545" t="e">
        <f>VLOOKUP(D3621,기본!$B$3:$C$90,2,0)</f>
        <v>#N/A</v>
      </c>
      <c r="G3621" t="e">
        <f>VLOOKUP(E3621,기본!$F$3:$G$320,2,0)</f>
        <v>#N/A</v>
      </c>
      <c r="H3621" s="544"/>
    </row>
    <row r="3622" spans="3:8">
      <c r="C3622" s="545" t="e">
        <f>VLOOKUP(D3622,기본!$B$3:$C$90,2,0)</f>
        <v>#N/A</v>
      </c>
      <c r="G3622" t="e">
        <f>VLOOKUP(E3622,기본!$F$3:$G$320,2,0)</f>
        <v>#N/A</v>
      </c>
      <c r="H3622" s="544"/>
    </row>
    <row r="3623" spans="3:8">
      <c r="C3623" s="545" t="e">
        <f>VLOOKUP(D3623,기본!$B$3:$C$90,2,0)</f>
        <v>#N/A</v>
      </c>
      <c r="G3623" t="e">
        <f>VLOOKUP(E3623,기본!$F$3:$G$320,2,0)</f>
        <v>#N/A</v>
      </c>
      <c r="H3623" s="544"/>
    </row>
    <row r="3624" spans="3:8">
      <c r="C3624" s="545" t="e">
        <f>VLOOKUP(D3624,기본!$B$3:$C$90,2,0)</f>
        <v>#N/A</v>
      </c>
      <c r="G3624" t="e">
        <f>VLOOKUP(E3624,기본!$F$3:$G$320,2,0)</f>
        <v>#N/A</v>
      </c>
      <c r="H3624" s="544"/>
    </row>
    <row r="3625" spans="3:8">
      <c r="C3625" s="545" t="e">
        <f>VLOOKUP(D3625,기본!$B$3:$C$90,2,0)</f>
        <v>#N/A</v>
      </c>
      <c r="G3625" t="e">
        <f>VLOOKUP(E3625,기본!$F$3:$G$320,2,0)</f>
        <v>#N/A</v>
      </c>
      <c r="H3625" s="544"/>
    </row>
    <row r="3626" spans="3:8">
      <c r="C3626" s="545" t="e">
        <f>VLOOKUP(D3626,기본!$B$3:$C$90,2,0)</f>
        <v>#N/A</v>
      </c>
      <c r="G3626" t="e">
        <f>VLOOKUP(E3626,기본!$F$3:$G$320,2,0)</f>
        <v>#N/A</v>
      </c>
      <c r="H3626" s="544"/>
    </row>
    <row r="3627" spans="3:8">
      <c r="C3627" s="545" t="e">
        <f>VLOOKUP(D3627,기본!$B$3:$C$90,2,0)</f>
        <v>#N/A</v>
      </c>
      <c r="G3627" t="e">
        <f>VLOOKUP(E3627,기본!$F$3:$G$320,2,0)</f>
        <v>#N/A</v>
      </c>
      <c r="H3627" s="544"/>
    </row>
    <row r="3628" spans="3:8">
      <c r="C3628" s="545" t="e">
        <f>VLOOKUP(D3628,기본!$B$3:$C$90,2,0)</f>
        <v>#N/A</v>
      </c>
      <c r="G3628" t="e">
        <f>VLOOKUP(E3628,기본!$F$3:$G$320,2,0)</f>
        <v>#N/A</v>
      </c>
      <c r="H3628" s="544"/>
    </row>
    <row r="3629" spans="3:8">
      <c r="C3629" s="545" t="e">
        <f>VLOOKUP(D3629,기본!$B$3:$C$90,2,0)</f>
        <v>#N/A</v>
      </c>
      <c r="G3629" t="e">
        <f>VLOOKUP(E3629,기본!$F$3:$G$320,2,0)</f>
        <v>#N/A</v>
      </c>
      <c r="H3629" s="544"/>
    </row>
    <row r="3630" spans="3:8">
      <c r="C3630" s="545" t="e">
        <f>VLOOKUP(D3630,기본!$B$3:$C$90,2,0)</f>
        <v>#N/A</v>
      </c>
      <c r="G3630" t="e">
        <f>VLOOKUP(E3630,기본!$F$3:$G$320,2,0)</f>
        <v>#N/A</v>
      </c>
      <c r="H3630" s="544"/>
    </row>
    <row r="3631" spans="3:8">
      <c r="C3631" s="545" t="e">
        <f>VLOOKUP(D3631,기본!$B$3:$C$90,2,0)</f>
        <v>#N/A</v>
      </c>
      <c r="G3631" t="e">
        <f>VLOOKUP(E3631,기본!$F$3:$G$320,2,0)</f>
        <v>#N/A</v>
      </c>
      <c r="H3631" s="544"/>
    </row>
    <row r="3632" spans="3:8">
      <c r="C3632" s="545" t="e">
        <f>VLOOKUP(D3632,기본!$B$3:$C$90,2,0)</f>
        <v>#N/A</v>
      </c>
      <c r="G3632" t="e">
        <f>VLOOKUP(E3632,기본!$F$3:$G$320,2,0)</f>
        <v>#N/A</v>
      </c>
      <c r="H3632" s="544"/>
    </row>
    <row r="3633" spans="3:8">
      <c r="C3633" s="545" t="e">
        <f>VLOOKUP(D3633,기본!$B$3:$C$90,2,0)</f>
        <v>#N/A</v>
      </c>
      <c r="G3633" t="e">
        <f>VLOOKUP(E3633,기본!$F$3:$G$320,2,0)</f>
        <v>#N/A</v>
      </c>
      <c r="H3633" s="544"/>
    </row>
    <row r="3634" spans="3:8">
      <c r="C3634" s="545" t="e">
        <f>VLOOKUP(D3634,기본!$B$3:$C$90,2,0)</f>
        <v>#N/A</v>
      </c>
      <c r="G3634" t="e">
        <f>VLOOKUP(E3634,기본!$F$3:$G$320,2,0)</f>
        <v>#N/A</v>
      </c>
      <c r="H3634" s="544"/>
    </row>
    <row r="3635" spans="3:8">
      <c r="C3635" s="545" t="e">
        <f>VLOOKUP(D3635,기본!$B$3:$C$90,2,0)</f>
        <v>#N/A</v>
      </c>
      <c r="G3635" t="e">
        <f>VLOOKUP(E3635,기본!$F$3:$G$320,2,0)</f>
        <v>#N/A</v>
      </c>
      <c r="H3635" s="544"/>
    </row>
    <row r="3636" spans="3:8">
      <c r="C3636" s="545" t="e">
        <f>VLOOKUP(D3636,기본!$B$3:$C$90,2,0)</f>
        <v>#N/A</v>
      </c>
      <c r="G3636" t="e">
        <f>VLOOKUP(E3636,기본!$F$3:$G$320,2,0)</f>
        <v>#N/A</v>
      </c>
      <c r="H3636" s="544"/>
    </row>
    <row r="3637" spans="3:8">
      <c r="C3637" s="545" t="e">
        <f>VLOOKUP(D3637,기본!$B$3:$C$90,2,0)</f>
        <v>#N/A</v>
      </c>
      <c r="G3637" t="e">
        <f>VLOOKUP(E3637,기본!$F$3:$G$320,2,0)</f>
        <v>#N/A</v>
      </c>
      <c r="H3637" s="544"/>
    </row>
    <row r="3638" spans="3:8">
      <c r="C3638" s="545" t="e">
        <f>VLOOKUP(D3638,기본!$B$3:$C$90,2,0)</f>
        <v>#N/A</v>
      </c>
      <c r="G3638" t="e">
        <f>VLOOKUP(E3638,기본!$F$3:$G$320,2,0)</f>
        <v>#N/A</v>
      </c>
      <c r="H3638" s="544"/>
    </row>
    <row r="3639" spans="3:8">
      <c r="C3639" s="545" t="e">
        <f>VLOOKUP(D3639,기본!$B$3:$C$90,2,0)</f>
        <v>#N/A</v>
      </c>
      <c r="G3639" t="e">
        <f>VLOOKUP(E3639,기본!$F$3:$G$320,2,0)</f>
        <v>#N/A</v>
      </c>
      <c r="H3639" s="544"/>
    </row>
    <row r="3640" spans="3:8">
      <c r="C3640" s="545" t="e">
        <f>VLOOKUP(D3640,기본!$B$3:$C$90,2,0)</f>
        <v>#N/A</v>
      </c>
      <c r="G3640" t="e">
        <f>VLOOKUP(E3640,기본!$F$3:$G$320,2,0)</f>
        <v>#N/A</v>
      </c>
      <c r="H3640" s="544"/>
    </row>
    <row r="3641" spans="3:8">
      <c r="C3641" s="545" t="e">
        <f>VLOOKUP(D3641,기본!$B$3:$C$90,2,0)</f>
        <v>#N/A</v>
      </c>
      <c r="G3641" t="e">
        <f>VLOOKUP(E3641,기본!$F$3:$G$320,2,0)</f>
        <v>#N/A</v>
      </c>
      <c r="H3641" s="544"/>
    </row>
    <row r="3642" spans="3:8">
      <c r="C3642" s="545" t="e">
        <f>VLOOKUP(D3642,기본!$B$3:$C$90,2,0)</f>
        <v>#N/A</v>
      </c>
      <c r="G3642" t="e">
        <f>VLOOKUP(E3642,기본!$F$3:$G$320,2,0)</f>
        <v>#N/A</v>
      </c>
      <c r="H3642" s="544"/>
    </row>
    <row r="3643" spans="3:8">
      <c r="C3643" s="545" t="e">
        <f>VLOOKUP(D3643,기본!$B$3:$C$90,2,0)</f>
        <v>#N/A</v>
      </c>
      <c r="G3643" t="e">
        <f>VLOOKUP(E3643,기본!$F$3:$G$320,2,0)</f>
        <v>#N/A</v>
      </c>
      <c r="H3643" s="544"/>
    </row>
    <row r="3644" spans="3:8">
      <c r="C3644" s="545" t="e">
        <f>VLOOKUP(D3644,기본!$B$3:$C$90,2,0)</f>
        <v>#N/A</v>
      </c>
      <c r="G3644" t="e">
        <f>VLOOKUP(E3644,기본!$F$3:$G$320,2,0)</f>
        <v>#N/A</v>
      </c>
      <c r="H3644" s="544"/>
    </row>
    <row r="3645" spans="3:8">
      <c r="C3645" s="545" t="e">
        <f>VLOOKUP(D3645,기본!$B$3:$C$90,2,0)</f>
        <v>#N/A</v>
      </c>
      <c r="G3645" t="e">
        <f>VLOOKUP(E3645,기본!$F$3:$G$320,2,0)</f>
        <v>#N/A</v>
      </c>
      <c r="H3645" s="544"/>
    </row>
    <row r="3646" spans="3:8">
      <c r="C3646" s="545" t="e">
        <f>VLOOKUP(D3646,기본!$B$3:$C$90,2,0)</f>
        <v>#N/A</v>
      </c>
      <c r="G3646" t="e">
        <f>VLOOKUP(E3646,기본!$F$3:$G$320,2,0)</f>
        <v>#N/A</v>
      </c>
      <c r="H3646" s="544"/>
    </row>
    <row r="3647" spans="3:8">
      <c r="C3647" s="545" t="e">
        <f>VLOOKUP(D3647,기본!$B$3:$C$90,2,0)</f>
        <v>#N/A</v>
      </c>
      <c r="G3647" t="e">
        <f>VLOOKUP(E3647,기본!$F$3:$G$320,2,0)</f>
        <v>#N/A</v>
      </c>
      <c r="H3647" s="544"/>
    </row>
    <row r="3648" spans="3:8">
      <c r="C3648" s="545" t="e">
        <f>VLOOKUP(D3648,기본!$B$3:$C$90,2,0)</f>
        <v>#N/A</v>
      </c>
      <c r="G3648" t="e">
        <f>VLOOKUP(E3648,기본!$F$3:$G$320,2,0)</f>
        <v>#N/A</v>
      </c>
      <c r="H3648" s="544"/>
    </row>
    <row r="3649" spans="3:8">
      <c r="C3649" s="545" t="e">
        <f>VLOOKUP(D3649,기본!$B$3:$C$90,2,0)</f>
        <v>#N/A</v>
      </c>
      <c r="G3649" t="e">
        <f>VLOOKUP(E3649,기본!$F$3:$G$320,2,0)</f>
        <v>#N/A</v>
      </c>
      <c r="H3649" s="544"/>
    </row>
    <row r="3650" spans="3:8">
      <c r="C3650" s="545" t="e">
        <f>VLOOKUP(D3650,기본!$B$3:$C$90,2,0)</f>
        <v>#N/A</v>
      </c>
      <c r="G3650" t="e">
        <f>VLOOKUP(E3650,기본!$F$3:$G$320,2,0)</f>
        <v>#N/A</v>
      </c>
      <c r="H3650" s="544"/>
    </row>
    <row r="3651" spans="3:8">
      <c r="C3651" s="545" t="e">
        <f>VLOOKUP(D3651,기본!$B$3:$C$90,2,0)</f>
        <v>#N/A</v>
      </c>
      <c r="G3651" t="e">
        <f>VLOOKUP(E3651,기본!$F$3:$G$320,2,0)</f>
        <v>#N/A</v>
      </c>
      <c r="H3651" s="544"/>
    </row>
    <row r="3652" spans="3:8">
      <c r="C3652" s="545" t="e">
        <f>VLOOKUP(D3652,기본!$B$3:$C$90,2,0)</f>
        <v>#N/A</v>
      </c>
      <c r="G3652" t="e">
        <f>VLOOKUP(E3652,기본!$F$3:$G$320,2,0)</f>
        <v>#N/A</v>
      </c>
      <c r="H3652" s="544"/>
    </row>
    <row r="3653" spans="3:8">
      <c r="C3653" s="545" t="e">
        <f>VLOOKUP(D3653,기본!$B$3:$C$90,2,0)</f>
        <v>#N/A</v>
      </c>
      <c r="G3653" t="e">
        <f>VLOOKUP(E3653,기본!$F$3:$G$320,2,0)</f>
        <v>#N/A</v>
      </c>
      <c r="H3653" s="544"/>
    </row>
    <row r="3654" spans="3:8">
      <c r="C3654" s="545" t="e">
        <f>VLOOKUP(D3654,기본!$B$3:$C$90,2,0)</f>
        <v>#N/A</v>
      </c>
      <c r="G3654" t="e">
        <f>VLOOKUP(E3654,기본!$F$3:$G$320,2,0)</f>
        <v>#N/A</v>
      </c>
      <c r="H3654" s="544"/>
    </row>
    <row r="3655" spans="3:8">
      <c r="C3655" s="545" t="e">
        <f>VLOOKUP(D3655,기본!$B$3:$C$90,2,0)</f>
        <v>#N/A</v>
      </c>
      <c r="G3655" t="e">
        <f>VLOOKUP(E3655,기본!$F$3:$G$320,2,0)</f>
        <v>#N/A</v>
      </c>
      <c r="H3655" s="544"/>
    </row>
    <row r="3656" spans="3:8">
      <c r="C3656" s="545" t="e">
        <f>VLOOKUP(D3656,기본!$B$3:$C$90,2,0)</f>
        <v>#N/A</v>
      </c>
      <c r="G3656" t="e">
        <f>VLOOKUP(E3656,기본!$F$3:$G$320,2,0)</f>
        <v>#N/A</v>
      </c>
      <c r="H3656" s="544"/>
    </row>
    <row r="3657" spans="3:8">
      <c r="C3657" s="545" t="e">
        <f>VLOOKUP(D3657,기본!$B$3:$C$90,2,0)</f>
        <v>#N/A</v>
      </c>
      <c r="G3657" t="e">
        <f>VLOOKUP(E3657,기본!$F$3:$G$320,2,0)</f>
        <v>#N/A</v>
      </c>
      <c r="H3657" s="544"/>
    </row>
    <row r="3658" spans="3:8">
      <c r="C3658" s="545" t="e">
        <f>VLOOKUP(D3658,기본!$B$3:$C$90,2,0)</f>
        <v>#N/A</v>
      </c>
      <c r="G3658" t="e">
        <f>VLOOKUP(E3658,기본!$F$3:$G$320,2,0)</f>
        <v>#N/A</v>
      </c>
      <c r="H3658" s="544"/>
    </row>
    <row r="3659" spans="3:8">
      <c r="C3659" s="545" t="e">
        <f>VLOOKUP(D3659,기본!$B$3:$C$90,2,0)</f>
        <v>#N/A</v>
      </c>
      <c r="G3659" t="e">
        <f>VLOOKUP(E3659,기본!$F$3:$G$320,2,0)</f>
        <v>#N/A</v>
      </c>
      <c r="H3659" s="544"/>
    </row>
    <row r="3660" spans="3:8">
      <c r="C3660" s="545" t="e">
        <f>VLOOKUP(D3660,기본!$B$3:$C$90,2,0)</f>
        <v>#N/A</v>
      </c>
      <c r="G3660" t="e">
        <f>VLOOKUP(E3660,기본!$F$3:$G$320,2,0)</f>
        <v>#N/A</v>
      </c>
      <c r="H3660" s="544"/>
    </row>
    <row r="3661" spans="3:8">
      <c r="C3661" s="545" t="e">
        <f>VLOOKUP(D3661,기본!$B$3:$C$90,2,0)</f>
        <v>#N/A</v>
      </c>
      <c r="G3661" t="e">
        <f>VLOOKUP(E3661,기본!$F$3:$G$320,2,0)</f>
        <v>#N/A</v>
      </c>
      <c r="H3661" s="544"/>
    </row>
    <row r="3662" spans="3:8">
      <c r="C3662" s="545" t="e">
        <f>VLOOKUP(D3662,기본!$B$3:$C$90,2,0)</f>
        <v>#N/A</v>
      </c>
      <c r="G3662" t="e">
        <f>VLOOKUP(E3662,기본!$F$3:$G$320,2,0)</f>
        <v>#N/A</v>
      </c>
      <c r="H3662" s="544"/>
    </row>
    <row r="3663" spans="3:8">
      <c r="C3663" s="545" t="e">
        <f>VLOOKUP(D3663,기본!$B$3:$C$90,2,0)</f>
        <v>#N/A</v>
      </c>
      <c r="G3663" t="e">
        <f>VLOOKUP(E3663,기본!$F$3:$G$320,2,0)</f>
        <v>#N/A</v>
      </c>
      <c r="H3663" s="544"/>
    </row>
    <row r="3664" spans="3:8">
      <c r="C3664" s="545" t="e">
        <f>VLOOKUP(D3664,기본!$B$3:$C$90,2,0)</f>
        <v>#N/A</v>
      </c>
      <c r="G3664" t="e">
        <f>VLOOKUP(E3664,기본!$F$3:$G$320,2,0)</f>
        <v>#N/A</v>
      </c>
      <c r="H3664" s="544"/>
    </row>
    <row r="3665" spans="3:8">
      <c r="C3665" s="545" t="e">
        <f>VLOOKUP(D3665,기본!$B$3:$C$90,2,0)</f>
        <v>#N/A</v>
      </c>
      <c r="G3665" t="e">
        <f>VLOOKUP(E3665,기본!$F$3:$G$320,2,0)</f>
        <v>#N/A</v>
      </c>
      <c r="H3665" s="544"/>
    </row>
    <row r="3666" spans="3:8">
      <c r="C3666" s="545" t="e">
        <f>VLOOKUP(D3666,기본!$B$3:$C$90,2,0)</f>
        <v>#N/A</v>
      </c>
      <c r="G3666" t="e">
        <f>VLOOKUP(E3666,기본!$F$3:$G$320,2,0)</f>
        <v>#N/A</v>
      </c>
      <c r="H3666" s="544"/>
    </row>
    <row r="3667" spans="3:8">
      <c r="C3667" s="545" t="e">
        <f>VLOOKUP(D3667,기본!$B$3:$C$90,2,0)</f>
        <v>#N/A</v>
      </c>
      <c r="G3667" t="e">
        <f>VLOOKUP(E3667,기본!$F$3:$G$320,2,0)</f>
        <v>#N/A</v>
      </c>
      <c r="H3667" s="544"/>
    </row>
    <row r="3668" spans="3:8">
      <c r="C3668" s="545" t="e">
        <f>VLOOKUP(D3668,기본!$B$3:$C$90,2,0)</f>
        <v>#N/A</v>
      </c>
      <c r="G3668" t="e">
        <f>VLOOKUP(E3668,기본!$F$3:$G$320,2,0)</f>
        <v>#N/A</v>
      </c>
      <c r="H3668" s="544"/>
    </row>
    <row r="3669" spans="3:8">
      <c r="C3669" s="545" t="e">
        <f>VLOOKUP(D3669,기본!$B$3:$C$90,2,0)</f>
        <v>#N/A</v>
      </c>
      <c r="G3669" t="e">
        <f>VLOOKUP(E3669,기본!$F$3:$G$320,2,0)</f>
        <v>#N/A</v>
      </c>
      <c r="H3669" s="544"/>
    </row>
    <row r="3670" spans="3:8">
      <c r="C3670" s="545" t="e">
        <f>VLOOKUP(D3670,기본!$B$3:$C$90,2,0)</f>
        <v>#N/A</v>
      </c>
      <c r="G3670" t="e">
        <f>VLOOKUP(E3670,기본!$F$3:$G$320,2,0)</f>
        <v>#N/A</v>
      </c>
      <c r="H3670" s="544"/>
    </row>
    <row r="3671" spans="3:8">
      <c r="C3671" s="545" t="e">
        <f>VLOOKUP(D3671,기본!$B$3:$C$90,2,0)</f>
        <v>#N/A</v>
      </c>
      <c r="G3671" t="e">
        <f>VLOOKUP(E3671,기본!$F$3:$G$320,2,0)</f>
        <v>#N/A</v>
      </c>
      <c r="H3671" s="544"/>
    </row>
    <row r="3672" spans="3:8">
      <c r="C3672" s="545" t="e">
        <f>VLOOKUP(D3672,기본!$B$3:$C$90,2,0)</f>
        <v>#N/A</v>
      </c>
      <c r="G3672" t="e">
        <f>VLOOKUP(E3672,기본!$F$3:$G$320,2,0)</f>
        <v>#N/A</v>
      </c>
      <c r="H3672" s="544"/>
    </row>
    <row r="3673" spans="3:8">
      <c r="C3673" s="545" t="e">
        <f>VLOOKUP(D3673,기본!$B$3:$C$90,2,0)</f>
        <v>#N/A</v>
      </c>
      <c r="G3673" t="e">
        <f>VLOOKUP(E3673,기본!$F$3:$G$320,2,0)</f>
        <v>#N/A</v>
      </c>
      <c r="H3673" s="544"/>
    </row>
    <row r="3674" spans="3:8">
      <c r="C3674" s="545" t="e">
        <f>VLOOKUP(D3674,기본!$B$3:$C$90,2,0)</f>
        <v>#N/A</v>
      </c>
      <c r="G3674" t="e">
        <f>VLOOKUP(E3674,기본!$F$3:$G$320,2,0)</f>
        <v>#N/A</v>
      </c>
      <c r="H3674" s="544"/>
    </row>
    <row r="3675" spans="3:8">
      <c r="C3675" s="545" t="e">
        <f>VLOOKUP(D3675,기본!$B$3:$C$90,2,0)</f>
        <v>#N/A</v>
      </c>
      <c r="G3675" t="e">
        <f>VLOOKUP(E3675,기본!$F$3:$G$320,2,0)</f>
        <v>#N/A</v>
      </c>
      <c r="H3675" s="544"/>
    </row>
    <row r="3676" spans="3:8">
      <c r="C3676" s="545" t="e">
        <f>VLOOKUP(D3676,기본!$B$3:$C$90,2,0)</f>
        <v>#N/A</v>
      </c>
      <c r="G3676" t="e">
        <f>VLOOKUP(E3676,기본!$F$3:$G$320,2,0)</f>
        <v>#N/A</v>
      </c>
      <c r="H3676" s="544"/>
    </row>
    <row r="3677" spans="3:8">
      <c r="C3677" s="545" t="e">
        <f>VLOOKUP(D3677,기본!$B$3:$C$90,2,0)</f>
        <v>#N/A</v>
      </c>
      <c r="G3677" t="e">
        <f>VLOOKUP(E3677,기본!$F$3:$G$320,2,0)</f>
        <v>#N/A</v>
      </c>
      <c r="H3677" s="544"/>
    </row>
    <row r="3678" spans="3:8">
      <c r="C3678" s="545" t="e">
        <f>VLOOKUP(D3678,기본!$B$3:$C$90,2,0)</f>
        <v>#N/A</v>
      </c>
      <c r="G3678" t="e">
        <f>VLOOKUP(E3678,기본!$F$3:$G$320,2,0)</f>
        <v>#N/A</v>
      </c>
      <c r="H3678" s="544"/>
    </row>
    <row r="3679" spans="3:8">
      <c r="C3679" s="545" t="e">
        <f>VLOOKUP(D3679,기본!$B$3:$C$90,2,0)</f>
        <v>#N/A</v>
      </c>
      <c r="G3679" t="e">
        <f>VLOOKUP(E3679,기본!$F$3:$G$320,2,0)</f>
        <v>#N/A</v>
      </c>
      <c r="H3679" s="544"/>
    </row>
    <row r="3680" spans="3:8">
      <c r="C3680" s="545" t="e">
        <f>VLOOKUP(D3680,기본!$B$3:$C$90,2,0)</f>
        <v>#N/A</v>
      </c>
      <c r="G3680" t="e">
        <f>VLOOKUP(E3680,기본!$F$3:$G$320,2,0)</f>
        <v>#N/A</v>
      </c>
      <c r="H3680" s="544"/>
    </row>
    <row r="3681" spans="3:8">
      <c r="C3681" s="545" t="e">
        <f>VLOOKUP(D3681,기본!$B$3:$C$90,2,0)</f>
        <v>#N/A</v>
      </c>
      <c r="G3681" t="e">
        <f>VLOOKUP(E3681,기본!$F$3:$G$320,2,0)</f>
        <v>#N/A</v>
      </c>
      <c r="H3681" s="544"/>
    </row>
    <row r="3682" spans="3:8">
      <c r="C3682" s="545" t="e">
        <f>VLOOKUP(D3682,기본!$B$3:$C$90,2,0)</f>
        <v>#N/A</v>
      </c>
      <c r="G3682" t="e">
        <f>VLOOKUP(E3682,기본!$F$3:$G$320,2,0)</f>
        <v>#N/A</v>
      </c>
      <c r="H3682" s="544"/>
    </row>
    <row r="3683" spans="3:8">
      <c r="C3683" s="545" t="e">
        <f>VLOOKUP(D3683,기본!$B$3:$C$90,2,0)</f>
        <v>#N/A</v>
      </c>
      <c r="G3683" t="e">
        <f>VLOOKUP(E3683,기본!$F$3:$G$320,2,0)</f>
        <v>#N/A</v>
      </c>
      <c r="H3683" s="544"/>
    </row>
    <row r="3684" spans="3:8">
      <c r="C3684" s="545" t="e">
        <f>VLOOKUP(D3684,기본!$B$3:$C$90,2,0)</f>
        <v>#N/A</v>
      </c>
      <c r="G3684" t="e">
        <f>VLOOKUP(E3684,기본!$F$3:$G$320,2,0)</f>
        <v>#N/A</v>
      </c>
      <c r="H3684" s="544"/>
    </row>
    <row r="3685" spans="3:8">
      <c r="C3685" s="545" t="e">
        <f>VLOOKUP(D3685,기본!$B$3:$C$90,2,0)</f>
        <v>#N/A</v>
      </c>
      <c r="G3685" t="e">
        <f>VLOOKUP(E3685,기본!$F$3:$G$320,2,0)</f>
        <v>#N/A</v>
      </c>
      <c r="H3685" s="544"/>
    </row>
    <row r="3686" spans="3:8">
      <c r="C3686" s="545" t="e">
        <f>VLOOKUP(D3686,기본!$B$3:$C$90,2,0)</f>
        <v>#N/A</v>
      </c>
      <c r="G3686" t="e">
        <f>VLOOKUP(E3686,기본!$F$3:$G$320,2,0)</f>
        <v>#N/A</v>
      </c>
      <c r="H3686" s="544"/>
    </row>
    <row r="3687" spans="3:8">
      <c r="C3687" s="545" t="e">
        <f>VLOOKUP(D3687,기본!$B$3:$C$90,2,0)</f>
        <v>#N/A</v>
      </c>
      <c r="G3687" t="e">
        <f>VLOOKUP(E3687,기본!$F$3:$G$320,2,0)</f>
        <v>#N/A</v>
      </c>
      <c r="H3687" s="544"/>
    </row>
    <row r="3688" spans="3:8">
      <c r="C3688" s="545" t="e">
        <f>VLOOKUP(D3688,기본!$B$3:$C$90,2,0)</f>
        <v>#N/A</v>
      </c>
      <c r="G3688" t="e">
        <f>VLOOKUP(E3688,기본!$F$3:$G$320,2,0)</f>
        <v>#N/A</v>
      </c>
      <c r="H3688" s="544"/>
    </row>
    <row r="3689" spans="3:8">
      <c r="C3689" s="545" t="e">
        <f>VLOOKUP(D3689,기본!$B$3:$C$90,2,0)</f>
        <v>#N/A</v>
      </c>
      <c r="G3689" t="e">
        <f>VLOOKUP(E3689,기본!$F$3:$G$320,2,0)</f>
        <v>#N/A</v>
      </c>
      <c r="H3689" s="544"/>
    </row>
    <row r="3690" spans="3:8">
      <c r="C3690" s="545" t="e">
        <f>VLOOKUP(D3690,기본!$B$3:$C$90,2,0)</f>
        <v>#N/A</v>
      </c>
      <c r="G3690" t="e">
        <f>VLOOKUP(E3690,기본!$F$3:$G$320,2,0)</f>
        <v>#N/A</v>
      </c>
      <c r="H3690" s="544"/>
    </row>
    <row r="3691" spans="3:8">
      <c r="C3691" s="545" t="e">
        <f>VLOOKUP(D3691,기본!$B$3:$C$90,2,0)</f>
        <v>#N/A</v>
      </c>
      <c r="G3691" t="e">
        <f>VLOOKUP(E3691,기본!$F$3:$G$320,2,0)</f>
        <v>#N/A</v>
      </c>
      <c r="H3691" s="544"/>
    </row>
    <row r="3692" spans="3:8">
      <c r="C3692" s="545" t="e">
        <f>VLOOKUP(D3692,기본!$B$3:$C$90,2,0)</f>
        <v>#N/A</v>
      </c>
      <c r="G3692" t="e">
        <f>VLOOKUP(E3692,기본!$F$3:$G$320,2,0)</f>
        <v>#N/A</v>
      </c>
      <c r="H3692" s="544"/>
    </row>
    <row r="3693" spans="3:8">
      <c r="C3693" s="545" t="e">
        <f>VLOOKUP(D3693,기본!$B$3:$C$90,2,0)</f>
        <v>#N/A</v>
      </c>
      <c r="G3693" t="e">
        <f>VLOOKUP(E3693,기본!$F$3:$G$320,2,0)</f>
        <v>#N/A</v>
      </c>
      <c r="H3693" s="544"/>
    </row>
    <row r="3694" spans="3:8">
      <c r="C3694" s="545" t="e">
        <f>VLOOKUP(D3694,기본!$B$3:$C$90,2,0)</f>
        <v>#N/A</v>
      </c>
      <c r="G3694" t="e">
        <f>VLOOKUP(E3694,기본!$F$3:$G$320,2,0)</f>
        <v>#N/A</v>
      </c>
      <c r="H3694" s="544"/>
    </row>
    <row r="3695" spans="3:8">
      <c r="C3695" s="545" t="e">
        <f>VLOOKUP(D3695,기본!$B$3:$C$90,2,0)</f>
        <v>#N/A</v>
      </c>
      <c r="G3695" t="e">
        <f>VLOOKUP(E3695,기본!$F$3:$G$320,2,0)</f>
        <v>#N/A</v>
      </c>
      <c r="H3695" s="544"/>
    </row>
    <row r="3696" spans="3:8">
      <c r="C3696" s="545" t="e">
        <f>VLOOKUP(D3696,기본!$B$3:$C$90,2,0)</f>
        <v>#N/A</v>
      </c>
      <c r="G3696" t="e">
        <f>VLOOKUP(E3696,기본!$F$3:$G$320,2,0)</f>
        <v>#N/A</v>
      </c>
      <c r="H3696" s="544"/>
    </row>
    <row r="3697" spans="3:8">
      <c r="C3697" s="545" t="e">
        <f>VLOOKUP(D3697,기본!$B$3:$C$90,2,0)</f>
        <v>#N/A</v>
      </c>
      <c r="G3697" t="e">
        <f>VLOOKUP(E3697,기본!$F$3:$G$320,2,0)</f>
        <v>#N/A</v>
      </c>
      <c r="H3697" s="544"/>
    </row>
    <row r="3698" spans="3:8">
      <c r="C3698" s="545" t="e">
        <f>VLOOKUP(D3698,기본!$B$3:$C$90,2,0)</f>
        <v>#N/A</v>
      </c>
      <c r="G3698" t="e">
        <f>VLOOKUP(E3698,기본!$F$3:$G$320,2,0)</f>
        <v>#N/A</v>
      </c>
      <c r="H3698" s="544"/>
    </row>
    <row r="3699" spans="3:8">
      <c r="C3699" s="545" t="e">
        <f>VLOOKUP(D3699,기본!$B$3:$C$90,2,0)</f>
        <v>#N/A</v>
      </c>
      <c r="G3699" t="e">
        <f>VLOOKUP(E3699,기본!$F$3:$G$320,2,0)</f>
        <v>#N/A</v>
      </c>
      <c r="H3699" s="544"/>
    </row>
    <row r="3700" spans="3:8">
      <c r="C3700" s="545" t="e">
        <f>VLOOKUP(D3700,기본!$B$3:$C$90,2,0)</f>
        <v>#N/A</v>
      </c>
      <c r="G3700" t="e">
        <f>VLOOKUP(E3700,기본!$F$3:$G$320,2,0)</f>
        <v>#N/A</v>
      </c>
      <c r="H3700" s="544"/>
    </row>
    <row r="3701" spans="3:8">
      <c r="C3701" s="545" t="e">
        <f>VLOOKUP(D3701,기본!$B$3:$C$90,2,0)</f>
        <v>#N/A</v>
      </c>
      <c r="G3701" t="e">
        <f>VLOOKUP(E3701,기본!$F$3:$G$320,2,0)</f>
        <v>#N/A</v>
      </c>
      <c r="H3701" s="544"/>
    </row>
    <row r="3702" spans="3:8">
      <c r="C3702" s="545" t="e">
        <f>VLOOKUP(D3702,기본!$B$3:$C$90,2,0)</f>
        <v>#N/A</v>
      </c>
      <c r="G3702" t="e">
        <f>VLOOKUP(E3702,기본!$F$3:$G$320,2,0)</f>
        <v>#N/A</v>
      </c>
      <c r="H3702" s="544"/>
    </row>
    <row r="3703" spans="3:8">
      <c r="C3703" s="545" t="e">
        <f>VLOOKUP(D3703,기본!$B$3:$C$90,2,0)</f>
        <v>#N/A</v>
      </c>
      <c r="G3703" t="e">
        <f>VLOOKUP(E3703,기본!$F$3:$G$320,2,0)</f>
        <v>#N/A</v>
      </c>
      <c r="H3703" s="544"/>
    </row>
    <row r="3704" spans="3:8">
      <c r="C3704" s="545" t="e">
        <f>VLOOKUP(D3704,기본!$B$3:$C$90,2,0)</f>
        <v>#N/A</v>
      </c>
      <c r="G3704" t="e">
        <f>VLOOKUP(E3704,기본!$F$3:$G$320,2,0)</f>
        <v>#N/A</v>
      </c>
      <c r="H3704" s="544"/>
    </row>
    <row r="3705" spans="3:8">
      <c r="C3705" s="545" t="e">
        <f>VLOOKUP(D3705,기본!$B$3:$C$90,2,0)</f>
        <v>#N/A</v>
      </c>
      <c r="G3705" t="e">
        <f>VLOOKUP(E3705,기본!$F$3:$G$320,2,0)</f>
        <v>#N/A</v>
      </c>
      <c r="H3705" s="544"/>
    </row>
    <row r="3706" spans="3:8">
      <c r="C3706" s="545" t="e">
        <f>VLOOKUP(D3706,기본!$B$3:$C$90,2,0)</f>
        <v>#N/A</v>
      </c>
      <c r="G3706" t="e">
        <f>VLOOKUP(E3706,기본!$F$3:$G$320,2,0)</f>
        <v>#N/A</v>
      </c>
      <c r="H3706" s="544"/>
    </row>
    <row r="3707" spans="3:8">
      <c r="C3707" s="545" t="e">
        <f>VLOOKUP(D3707,기본!$B$3:$C$90,2,0)</f>
        <v>#N/A</v>
      </c>
      <c r="G3707" t="e">
        <f>VLOOKUP(E3707,기본!$F$3:$G$320,2,0)</f>
        <v>#N/A</v>
      </c>
      <c r="H3707" s="544"/>
    </row>
    <row r="3708" spans="3:8">
      <c r="C3708" s="545" t="e">
        <f>VLOOKUP(D3708,기본!$B$3:$C$90,2,0)</f>
        <v>#N/A</v>
      </c>
      <c r="G3708" t="e">
        <f>VLOOKUP(E3708,기본!$F$3:$G$320,2,0)</f>
        <v>#N/A</v>
      </c>
      <c r="H3708" s="544"/>
    </row>
    <row r="3709" spans="3:8">
      <c r="C3709" s="545" t="e">
        <f>VLOOKUP(D3709,기본!$B$3:$C$90,2,0)</f>
        <v>#N/A</v>
      </c>
      <c r="G3709" t="e">
        <f>VLOOKUP(E3709,기본!$F$3:$G$320,2,0)</f>
        <v>#N/A</v>
      </c>
      <c r="H3709" s="544"/>
    </row>
    <row r="3710" spans="3:8">
      <c r="C3710" s="545" t="e">
        <f>VLOOKUP(D3710,기본!$B$3:$C$90,2,0)</f>
        <v>#N/A</v>
      </c>
      <c r="G3710" t="e">
        <f>VLOOKUP(E3710,기본!$F$3:$G$320,2,0)</f>
        <v>#N/A</v>
      </c>
      <c r="H3710" s="544"/>
    </row>
    <row r="3711" spans="3:8">
      <c r="C3711" s="545" t="e">
        <f>VLOOKUP(D3711,기본!$B$3:$C$90,2,0)</f>
        <v>#N/A</v>
      </c>
      <c r="G3711" t="e">
        <f>VLOOKUP(E3711,기본!$F$3:$G$320,2,0)</f>
        <v>#N/A</v>
      </c>
      <c r="H3711" s="544"/>
    </row>
    <row r="3712" spans="3:8">
      <c r="C3712" s="545" t="e">
        <f>VLOOKUP(D3712,기본!$B$3:$C$90,2,0)</f>
        <v>#N/A</v>
      </c>
      <c r="G3712" t="e">
        <f>VLOOKUP(E3712,기본!$F$3:$G$320,2,0)</f>
        <v>#N/A</v>
      </c>
      <c r="H3712" s="544"/>
    </row>
    <row r="3713" spans="3:8">
      <c r="C3713" s="545" t="e">
        <f>VLOOKUP(D3713,기본!$B$3:$C$90,2,0)</f>
        <v>#N/A</v>
      </c>
      <c r="G3713" t="e">
        <f>VLOOKUP(E3713,기본!$F$3:$G$320,2,0)</f>
        <v>#N/A</v>
      </c>
      <c r="H3713" s="544"/>
    </row>
    <row r="3714" spans="3:8">
      <c r="C3714" s="545" t="e">
        <f>VLOOKUP(D3714,기본!$B$3:$C$90,2,0)</f>
        <v>#N/A</v>
      </c>
      <c r="G3714" t="e">
        <f>VLOOKUP(E3714,기본!$F$3:$G$320,2,0)</f>
        <v>#N/A</v>
      </c>
      <c r="H3714" s="544"/>
    </row>
    <row r="3715" spans="3:8">
      <c r="C3715" s="545" t="e">
        <f>VLOOKUP(D3715,기본!$B$3:$C$90,2,0)</f>
        <v>#N/A</v>
      </c>
      <c r="G3715" t="e">
        <f>VLOOKUP(E3715,기본!$F$3:$G$320,2,0)</f>
        <v>#N/A</v>
      </c>
      <c r="H3715" s="544"/>
    </row>
    <row r="3716" spans="3:8">
      <c r="C3716" s="545" t="e">
        <f>VLOOKUP(D3716,기본!$B$3:$C$90,2,0)</f>
        <v>#N/A</v>
      </c>
      <c r="G3716" t="e">
        <f>VLOOKUP(E3716,기본!$F$3:$G$320,2,0)</f>
        <v>#N/A</v>
      </c>
      <c r="H3716" s="544"/>
    </row>
    <row r="3717" spans="3:8">
      <c r="C3717" s="545" t="e">
        <f>VLOOKUP(D3717,기본!$B$3:$C$90,2,0)</f>
        <v>#N/A</v>
      </c>
      <c r="G3717" t="e">
        <f>VLOOKUP(E3717,기본!$F$3:$G$320,2,0)</f>
        <v>#N/A</v>
      </c>
      <c r="H3717" s="544"/>
    </row>
    <row r="3718" spans="3:8">
      <c r="C3718" s="545" t="e">
        <f>VLOOKUP(D3718,기본!$B$3:$C$90,2,0)</f>
        <v>#N/A</v>
      </c>
      <c r="G3718" t="e">
        <f>VLOOKUP(E3718,기본!$F$3:$G$320,2,0)</f>
        <v>#N/A</v>
      </c>
      <c r="H3718" s="544"/>
    </row>
    <row r="3719" spans="3:8">
      <c r="C3719" s="545" t="e">
        <f>VLOOKUP(D3719,기본!$B$3:$C$90,2,0)</f>
        <v>#N/A</v>
      </c>
      <c r="G3719" t="e">
        <f>VLOOKUP(E3719,기본!$F$3:$G$320,2,0)</f>
        <v>#N/A</v>
      </c>
      <c r="H3719" s="544"/>
    </row>
    <row r="3720" spans="3:8">
      <c r="C3720" s="545" t="e">
        <f>VLOOKUP(D3720,기본!$B$3:$C$90,2,0)</f>
        <v>#N/A</v>
      </c>
      <c r="G3720" t="e">
        <f>VLOOKUP(E3720,기본!$F$3:$G$320,2,0)</f>
        <v>#N/A</v>
      </c>
      <c r="H3720" s="544"/>
    </row>
    <row r="3721" spans="3:8">
      <c r="C3721" s="545" t="e">
        <f>VLOOKUP(D3721,기본!$B$3:$C$90,2,0)</f>
        <v>#N/A</v>
      </c>
      <c r="G3721" t="e">
        <f>VLOOKUP(E3721,기본!$F$3:$G$320,2,0)</f>
        <v>#N/A</v>
      </c>
      <c r="H3721" s="544"/>
    </row>
    <row r="3722" spans="3:8">
      <c r="C3722" s="545" t="e">
        <f>VLOOKUP(D3722,기본!$B$3:$C$90,2,0)</f>
        <v>#N/A</v>
      </c>
      <c r="G3722" t="e">
        <f>VLOOKUP(E3722,기본!$F$3:$G$320,2,0)</f>
        <v>#N/A</v>
      </c>
      <c r="H3722" s="544"/>
    </row>
    <row r="3723" spans="3:8">
      <c r="C3723" s="545" t="e">
        <f>VLOOKUP(D3723,기본!$B$3:$C$90,2,0)</f>
        <v>#N/A</v>
      </c>
      <c r="G3723" t="e">
        <f>VLOOKUP(E3723,기본!$F$3:$G$320,2,0)</f>
        <v>#N/A</v>
      </c>
      <c r="H3723" s="544"/>
    </row>
    <row r="3724" spans="3:8">
      <c r="C3724" s="545" t="e">
        <f>VLOOKUP(D3724,기본!$B$3:$C$90,2,0)</f>
        <v>#N/A</v>
      </c>
      <c r="G3724" t="e">
        <f>VLOOKUP(E3724,기본!$F$3:$G$320,2,0)</f>
        <v>#N/A</v>
      </c>
      <c r="H3724" s="544"/>
    </row>
    <row r="3725" spans="3:8">
      <c r="C3725" s="545" t="e">
        <f>VLOOKUP(D3725,기본!$B$3:$C$90,2,0)</f>
        <v>#N/A</v>
      </c>
      <c r="G3725" t="e">
        <f>VLOOKUP(E3725,기본!$F$3:$G$320,2,0)</f>
        <v>#N/A</v>
      </c>
      <c r="H3725" s="544"/>
    </row>
    <row r="3726" spans="3:8">
      <c r="C3726" s="545" t="e">
        <f>VLOOKUP(D3726,기본!$B$3:$C$90,2,0)</f>
        <v>#N/A</v>
      </c>
      <c r="G3726" t="e">
        <f>VLOOKUP(E3726,기본!$F$3:$G$320,2,0)</f>
        <v>#N/A</v>
      </c>
      <c r="H3726" s="544"/>
    </row>
    <row r="3727" spans="3:8">
      <c r="C3727" s="545" t="e">
        <f>VLOOKUP(D3727,기본!$B$3:$C$90,2,0)</f>
        <v>#N/A</v>
      </c>
      <c r="G3727" t="e">
        <f>VLOOKUP(E3727,기본!$F$3:$G$320,2,0)</f>
        <v>#N/A</v>
      </c>
      <c r="H3727" s="544"/>
    </row>
    <row r="3728" spans="3:8">
      <c r="C3728" s="545" t="e">
        <f>VLOOKUP(D3728,기본!$B$3:$C$90,2,0)</f>
        <v>#N/A</v>
      </c>
      <c r="G3728" t="e">
        <f>VLOOKUP(E3728,기본!$F$3:$G$320,2,0)</f>
        <v>#N/A</v>
      </c>
      <c r="H3728" s="544"/>
    </row>
    <row r="3729" spans="3:8">
      <c r="C3729" s="545" t="e">
        <f>VLOOKUP(D3729,기본!$B$3:$C$90,2,0)</f>
        <v>#N/A</v>
      </c>
      <c r="G3729" t="e">
        <f>VLOOKUP(E3729,기본!$F$3:$G$320,2,0)</f>
        <v>#N/A</v>
      </c>
      <c r="H3729" s="544"/>
    </row>
    <row r="3730" spans="3:8">
      <c r="C3730" s="545" t="e">
        <f>VLOOKUP(D3730,기본!$B$3:$C$90,2,0)</f>
        <v>#N/A</v>
      </c>
      <c r="G3730" t="e">
        <f>VLOOKUP(E3730,기본!$F$3:$G$320,2,0)</f>
        <v>#N/A</v>
      </c>
      <c r="H3730" s="544"/>
    </row>
    <row r="3731" spans="3:8">
      <c r="C3731" s="545" t="e">
        <f>VLOOKUP(D3731,기본!$B$3:$C$90,2,0)</f>
        <v>#N/A</v>
      </c>
      <c r="G3731" t="e">
        <f>VLOOKUP(E3731,기본!$F$3:$G$320,2,0)</f>
        <v>#N/A</v>
      </c>
      <c r="H3731" s="544"/>
    </row>
    <row r="3732" spans="3:8">
      <c r="C3732" s="545" t="e">
        <f>VLOOKUP(D3732,기본!$B$3:$C$90,2,0)</f>
        <v>#N/A</v>
      </c>
      <c r="G3732" t="e">
        <f>VLOOKUP(E3732,기본!$F$3:$G$320,2,0)</f>
        <v>#N/A</v>
      </c>
      <c r="H3732" s="544"/>
    </row>
    <row r="3733" spans="3:8">
      <c r="C3733" s="545" t="e">
        <f>VLOOKUP(D3733,기본!$B$3:$C$90,2,0)</f>
        <v>#N/A</v>
      </c>
      <c r="G3733" t="e">
        <f>VLOOKUP(E3733,기본!$F$3:$G$320,2,0)</f>
        <v>#N/A</v>
      </c>
      <c r="H3733" s="544"/>
    </row>
    <row r="3734" spans="3:8">
      <c r="C3734" s="545" t="e">
        <f>VLOOKUP(D3734,기본!$B$3:$C$90,2,0)</f>
        <v>#N/A</v>
      </c>
      <c r="G3734" t="e">
        <f>VLOOKUP(E3734,기본!$F$3:$G$320,2,0)</f>
        <v>#N/A</v>
      </c>
      <c r="H3734" s="544"/>
    </row>
    <row r="3735" spans="3:8">
      <c r="C3735" s="545" t="e">
        <f>VLOOKUP(D3735,기본!$B$3:$C$90,2,0)</f>
        <v>#N/A</v>
      </c>
      <c r="G3735" t="e">
        <f>VLOOKUP(E3735,기본!$F$3:$G$320,2,0)</f>
        <v>#N/A</v>
      </c>
      <c r="H3735" s="544"/>
    </row>
    <row r="3736" spans="3:8">
      <c r="C3736" s="545" t="e">
        <f>VLOOKUP(D3736,기본!$B$3:$C$90,2,0)</f>
        <v>#N/A</v>
      </c>
      <c r="G3736" t="e">
        <f>VLOOKUP(E3736,기본!$F$3:$G$320,2,0)</f>
        <v>#N/A</v>
      </c>
      <c r="H3736" s="544"/>
    </row>
    <row r="3737" spans="3:8">
      <c r="C3737" s="545" t="e">
        <f>VLOOKUP(D3737,기본!$B$3:$C$90,2,0)</f>
        <v>#N/A</v>
      </c>
      <c r="G3737" t="e">
        <f>VLOOKUP(E3737,기본!$F$3:$G$320,2,0)</f>
        <v>#N/A</v>
      </c>
      <c r="H3737" s="544"/>
    </row>
    <row r="3738" spans="3:8">
      <c r="C3738" s="545" t="e">
        <f>VLOOKUP(D3738,기본!$B$3:$C$90,2,0)</f>
        <v>#N/A</v>
      </c>
      <c r="G3738" t="e">
        <f>VLOOKUP(E3738,기본!$F$3:$G$320,2,0)</f>
        <v>#N/A</v>
      </c>
      <c r="H3738" s="544"/>
    </row>
    <row r="3739" spans="3:8">
      <c r="C3739" s="545" t="e">
        <f>VLOOKUP(D3739,기본!$B$3:$C$90,2,0)</f>
        <v>#N/A</v>
      </c>
      <c r="G3739" t="e">
        <f>VLOOKUP(E3739,기본!$F$3:$G$320,2,0)</f>
        <v>#N/A</v>
      </c>
      <c r="H3739" s="544"/>
    </row>
    <row r="3740" spans="3:8">
      <c r="C3740" s="545" t="e">
        <f>VLOOKUP(D3740,기본!$B$3:$C$90,2,0)</f>
        <v>#N/A</v>
      </c>
      <c r="G3740" t="e">
        <f>VLOOKUP(E3740,기본!$F$3:$G$320,2,0)</f>
        <v>#N/A</v>
      </c>
      <c r="H3740" s="544"/>
    </row>
    <row r="3741" spans="3:8">
      <c r="C3741" s="545" t="e">
        <f>VLOOKUP(D3741,기본!$B$3:$C$90,2,0)</f>
        <v>#N/A</v>
      </c>
      <c r="G3741" t="e">
        <f>VLOOKUP(E3741,기본!$F$3:$G$320,2,0)</f>
        <v>#N/A</v>
      </c>
      <c r="H3741" s="544"/>
    </row>
    <row r="3742" spans="3:8">
      <c r="C3742" s="545" t="e">
        <f>VLOOKUP(D3742,기본!$B$3:$C$90,2,0)</f>
        <v>#N/A</v>
      </c>
      <c r="G3742" t="e">
        <f>VLOOKUP(E3742,기본!$F$3:$G$320,2,0)</f>
        <v>#N/A</v>
      </c>
      <c r="H3742" s="544"/>
    </row>
    <row r="3743" spans="3:8">
      <c r="C3743" s="545" t="e">
        <f>VLOOKUP(D3743,기본!$B$3:$C$90,2,0)</f>
        <v>#N/A</v>
      </c>
      <c r="G3743" t="e">
        <f>VLOOKUP(E3743,기본!$F$3:$G$320,2,0)</f>
        <v>#N/A</v>
      </c>
      <c r="H3743" s="544"/>
    </row>
    <row r="3744" spans="3:8">
      <c r="C3744" s="545" t="e">
        <f>VLOOKUP(D3744,기본!$B$3:$C$90,2,0)</f>
        <v>#N/A</v>
      </c>
      <c r="G3744" t="e">
        <f>VLOOKUP(E3744,기본!$F$3:$G$320,2,0)</f>
        <v>#N/A</v>
      </c>
      <c r="H3744" s="544"/>
    </row>
    <row r="3745" spans="3:8">
      <c r="C3745" s="545" t="e">
        <f>VLOOKUP(D3745,기본!$B$3:$C$90,2,0)</f>
        <v>#N/A</v>
      </c>
      <c r="G3745" t="e">
        <f>VLOOKUP(E3745,기본!$F$3:$G$320,2,0)</f>
        <v>#N/A</v>
      </c>
      <c r="H3745" s="544"/>
    </row>
    <row r="3746" spans="3:8">
      <c r="C3746" s="545" t="e">
        <f>VLOOKUP(D3746,기본!$B$3:$C$90,2,0)</f>
        <v>#N/A</v>
      </c>
      <c r="G3746" t="e">
        <f>VLOOKUP(E3746,기본!$F$3:$G$320,2,0)</f>
        <v>#N/A</v>
      </c>
      <c r="H3746" s="544"/>
    </row>
    <row r="3747" spans="3:8">
      <c r="C3747" s="545" t="e">
        <f>VLOOKUP(D3747,기본!$B$3:$C$90,2,0)</f>
        <v>#N/A</v>
      </c>
      <c r="G3747" t="e">
        <f>VLOOKUP(E3747,기본!$F$3:$G$320,2,0)</f>
        <v>#N/A</v>
      </c>
      <c r="H3747" s="544"/>
    </row>
    <row r="3748" spans="3:8">
      <c r="C3748" s="545" t="e">
        <f>VLOOKUP(D3748,기본!$B$3:$C$90,2,0)</f>
        <v>#N/A</v>
      </c>
      <c r="G3748" t="e">
        <f>VLOOKUP(E3748,기본!$F$3:$G$320,2,0)</f>
        <v>#N/A</v>
      </c>
      <c r="H3748" s="544"/>
    </row>
    <row r="3749" spans="3:8">
      <c r="C3749" s="545" t="e">
        <f>VLOOKUP(D3749,기본!$B$3:$C$90,2,0)</f>
        <v>#N/A</v>
      </c>
      <c r="G3749" t="e">
        <f>VLOOKUP(E3749,기본!$F$3:$G$320,2,0)</f>
        <v>#N/A</v>
      </c>
      <c r="H3749" s="544"/>
    </row>
    <row r="3750" spans="3:8">
      <c r="C3750" s="545" t="e">
        <f>VLOOKUP(D3750,기본!$B$3:$C$90,2,0)</f>
        <v>#N/A</v>
      </c>
      <c r="G3750" t="e">
        <f>VLOOKUP(E3750,기본!$F$3:$G$320,2,0)</f>
        <v>#N/A</v>
      </c>
      <c r="H3750" s="544"/>
    </row>
    <row r="3751" spans="3:8">
      <c r="C3751" s="545" t="e">
        <f>VLOOKUP(D3751,기본!$B$3:$C$90,2,0)</f>
        <v>#N/A</v>
      </c>
      <c r="G3751" t="e">
        <f>VLOOKUP(E3751,기본!$F$3:$G$320,2,0)</f>
        <v>#N/A</v>
      </c>
      <c r="H3751" s="544"/>
    </row>
    <row r="3752" spans="3:8">
      <c r="C3752" s="545" t="e">
        <f>VLOOKUP(D3752,기본!$B$3:$C$90,2,0)</f>
        <v>#N/A</v>
      </c>
      <c r="G3752" t="e">
        <f>VLOOKUP(E3752,기본!$F$3:$G$320,2,0)</f>
        <v>#N/A</v>
      </c>
      <c r="H3752" s="544"/>
    </row>
    <row r="3753" spans="3:8">
      <c r="C3753" s="545" t="e">
        <f>VLOOKUP(D3753,기본!$B$3:$C$90,2,0)</f>
        <v>#N/A</v>
      </c>
      <c r="G3753" t="e">
        <f>VLOOKUP(E3753,기본!$F$3:$G$320,2,0)</f>
        <v>#N/A</v>
      </c>
      <c r="H3753" s="544"/>
    </row>
    <row r="3754" spans="3:8">
      <c r="C3754" s="545" t="e">
        <f>VLOOKUP(D3754,기본!$B$3:$C$90,2,0)</f>
        <v>#N/A</v>
      </c>
      <c r="G3754" t="e">
        <f>VLOOKUP(E3754,기본!$F$3:$G$320,2,0)</f>
        <v>#N/A</v>
      </c>
      <c r="H3754" s="544"/>
    </row>
    <row r="3755" spans="3:8">
      <c r="C3755" s="545" t="e">
        <f>VLOOKUP(D3755,기본!$B$3:$C$90,2,0)</f>
        <v>#N/A</v>
      </c>
      <c r="G3755" t="e">
        <f>VLOOKUP(E3755,기본!$F$3:$G$320,2,0)</f>
        <v>#N/A</v>
      </c>
      <c r="H3755" s="544"/>
    </row>
    <row r="3756" spans="3:8">
      <c r="C3756" s="545" t="e">
        <f>VLOOKUP(D3756,기본!$B$3:$C$90,2,0)</f>
        <v>#N/A</v>
      </c>
      <c r="G3756" t="e">
        <f>VLOOKUP(E3756,기본!$F$3:$G$320,2,0)</f>
        <v>#N/A</v>
      </c>
      <c r="H3756" s="544"/>
    </row>
    <row r="3757" spans="3:8">
      <c r="C3757" s="545" t="e">
        <f>VLOOKUP(D3757,기본!$B$3:$C$90,2,0)</f>
        <v>#N/A</v>
      </c>
      <c r="G3757" t="e">
        <f>VLOOKUP(E3757,기본!$F$3:$G$320,2,0)</f>
        <v>#N/A</v>
      </c>
      <c r="H3757" s="544"/>
    </row>
    <row r="3758" spans="3:8">
      <c r="C3758" s="545" t="e">
        <f>VLOOKUP(D3758,기본!$B$3:$C$90,2,0)</f>
        <v>#N/A</v>
      </c>
      <c r="G3758" t="e">
        <f>VLOOKUP(E3758,기본!$F$3:$G$320,2,0)</f>
        <v>#N/A</v>
      </c>
      <c r="H3758" s="544"/>
    </row>
    <row r="3759" spans="3:8">
      <c r="C3759" s="545" t="e">
        <f>VLOOKUP(D3759,기본!$B$3:$C$90,2,0)</f>
        <v>#N/A</v>
      </c>
      <c r="G3759" t="e">
        <f>VLOOKUP(E3759,기본!$F$3:$G$320,2,0)</f>
        <v>#N/A</v>
      </c>
      <c r="H3759" s="544"/>
    </row>
    <row r="3760" spans="3:8">
      <c r="C3760" s="545" t="e">
        <f>VLOOKUP(D3760,기본!$B$3:$C$90,2,0)</f>
        <v>#N/A</v>
      </c>
      <c r="G3760" t="e">
        <f>VLOOKUP(E3760,기본!$F$3:$G$320,2,0)</f>
        <v>#N/A</v>
      </c>
      <c r="H3760" s="544"/>
    </row>
    <row r="3761" spans="3:8">
      <c r="C3761" s="545" t="e">
        <f>VLOOKUP(D3761,기본!$B$3:$C$90,2,0)</f>
        <v>#N/A</v>
      </c>
      <c r="G3761" t="e">
        <f>VLOOKUP(E3761,기본!$F$3:$G$320,2,0)</f>
        <v>#N/A</v>
      </c>
      <c r="H3761" s="544"/>
    </row>
    <row r="3762" spans="3:8">
      <c r="C3762" s="545" t="e">
        <f>VLOOKUP(D3762,기본!$B$3:$C$90,2,0)</f>
        <v>#N/A</v>
      </c>
      <c r="G3762" t="e">
        <f>VLOOKUP(E3762,기본!$F$3:$G$320,2,0)</f>
        <v>#N/A</v>
      </c>
      <c r="H3762" s="544"/>
    </row>
    <row r="3763" spans="3:8">
      <c r="C3763" s="545" t="e">
        <f>VLOOKUP(D3763,기본!$B$3:$C$90,2,0)</f>
        <v>#N/A</v>
      </c>
      <c r="G3763" t="e">
        <f>VLOOKUP(E3763,기본!$F$3:$G$320,2,0)</f>
        <v>#N/A</v>
      </c>
      <c r="H3763" s="544"/>
    </row>
    <row r="3764" spans="3:8">
      <c r="C3764" s="545" t="e">
        <f>VLOOKUP(D3764,기본!$B$3:$C$90,2,0)</f>
        <v>#N/A</v>
      </c>
      <c r="G3764" t="e">
        <f>VLOOKUP(E3764,기본!$F$3:$G$320,2,0)</f>
        <v>#N/A</v>
      </c>
      <c r="H3764" s="544"/>
    </row>
    <row r="3765" spans="3:8">
      <c r="C3765" s="545" t="e">
        <f>VLOOKUP(D3765,기본!$B$3:$C$90,2,0)</f>
        <v>#N/A</v>
      </c>
      <c r="G3765" t="e">
        <f>VLOOKUP(E3765,기본!$F$3:$G$320,2,0)</f>
        <v>#N/A</v>
      </c>
      <c r="H3765" s="544"/>
    </row>
    <row r="3766" spans="3:8">
      <c r="C3766" s="545" t="e">
        <f>VLOOKUP(D3766,기본!$B$3:$C$90,2,0)</f>
        <v>#N/A</v>
      </c>
      <c r="G3766" t="e">
        <f>VLOOKUP(E3766,기본!$F$3:$G$320,2,0)</f>
        <v>#N/A</v>
      </c>
      <c r="H3766" s="544"/>
    </row>
    <row r="3767" spans="3:8">
      <c r="C3767" s="545" t="e">
        <f>VLOOKUP(D3767,기본!$B$3:$C$90,2,0)</f>
        <v>#N/A</v>
      </c>
      <c r="G3767" t="e">
        <f>VLOOKUP(E3767,기본!$F$3:$G$320,2,0)</f>
        <v>#N/A</v>
      </c>
      <c r="H3767" s="544"/>
    </row>
    <row r="3768" spans="3:8">
      <c r="C3768" s="545" t="e">
        <f>VLOOKUP(D3768,기본!$B$3:$C$90,2,0)</f>
        <v>#N/A</v>
      </c>
      <c r="G3768" t="e">
        <f>VLOOKUP(E3768,기본!$F$3:$G$320,2,0)</f>
        <v>#N/A</v>
      </c>
      <c r="H3768" s="544"/>
    </row>
    <row r="3769" spans="3:8">
      <c r="C3769" s="545" t="e">
        <f>VLOOKUP(D3769,기본!$B$3:$C$90,2,0)</f>
        <v>#N/A</v>
      </c>
      <c r="G3769" t="e">
        <f>VLOOKUP(E3769,기본!$F$3:$G$320,2,0)</f>
        <v>#N/A</v>
      </c>
      <c r="H3769" s="544"/>
    </row>
    <row r="3770" spans="3:8">
      <c r="C3770" s="545" t="e">
        <f>VLOOKUP(D3770,기본!$B$3:$C$90,2,0)</f>
        <v>#N/A</v>
      </c>
      <c r="G3770" t="e">
        <f>VLOOKUP(E3770,기본!$F$3:$G$320,2,0)</f>
        <v>#N/A</v>
      </c>
      <c r="H3770" s="544"/>
    </row>
    <row r="3771" spans="3:8">
      <c r="C3771" s="545" t="e">
        <f>VLOOKUP(D3771,기본!$B$3:$C$90,2,0)</f>
        <v>#N/A</v>
      </c>
      <c r="G3771" t="e">
        <f>VLOOKUP(E3771,기본!$F$3:$G$320,2,0)</f>
        <v>#N/A</v>
      </c>
      <c r="H3771" s="544"/>
    </row>
    <row r="3772" spans="3:8">
      <c r="C3772" s="545" t="e">
        <f>VLOOKUP(D3772,기본!$B$3:$C$90,2,0)</f>
        <v>#N/A</v>
      </c>
      <c r="G3772" t="e">
        <f>VLOOKUP(E3772,기본!$F$3:$G$320,2,0)</f>
        <v>#N/A</v>
      </c>
      <c r="H3772" s="544"/>
    </row>
    <row r="3773" spans="3:8">
      <c r="C3773" s="545" t="e">
        <f>VLOOKUP(D3773,기본!$B$3:$C$90,2,0)</f>
        <v>#N/A</v>
      </c>
      <c r="G3773" t="e">
        <f>VLOOKUP(E3773,기본!$F$3:$G$320,2,0)</f>
        <v>#N/A</v>
      </c>
      <c r="H3773" s="544"/>
    </row>
    <row r="3774" spans="3:8">
      <c r="C3774" s="545" t="e">
        <f>VLOOKUP(D3774,기본!$B$3:$C$90,2,0)</f>
        <v>#N/A</v>
      </c>
      <c r="G3774" t="e">
        <f>VLOOKUP(E3774,기본!$F$3:$G$320,2,0)</f>
        <v>#N/A</v>
      </c>
      <c r="H3774" s="544"/>
    </row>
    <row r="3775" spans="3:8">
      <c r="C3775" s="545" t="e">
        <f>VLOOKUP(D3775,기본!$B$3:$C$90,2,0)</f>
        <v>#N/A</v>
      </c>
      <c r="G3775" t="e">
        <f>VLOOKUP(E3775,기본!$F$3:$G$320,2,0)</f>
        <v>#N/A</v>
      </c>
      <c r="H3775" s="544"/>
    </row>
    <row r="3776" spans="3:8">
      <c r="C3776" s="545" t="e">
        <f>VLOOKUP(D3776,기본!$B$3:$C$90,2,0)</f>
        <v>#N/A</v>
      </c>
      <c r="G3776" t="e">
        <f>VLOOKUP(E3776,기본!$F$3:$G$320,2,0)</f>
        <v>#N/A</v>
      </c>
      <c r="H3776" s="544"/>
    </row>
    <row r="3777" spans="3:8">
      <c r="C3777" s="545" t="e">
        <f>VLOOKUP(D3777,기본!$B$3:$C$90,2,0)</f>
        <v>#N/A</v>
      </c>
      <c r="G3777" t="e">
        <f>VLOOKUP(E3777,기본!$F$3:$G$320,2,0)</f>
        <v>#N/A</v>
      </c>
      <c r="H3777" s="544"/>
    </row>
    <row r="3778" spans="3:8">
      <c r="C3778" s="545" t="e">
        <f>VLOOKUP(D3778,기본!$B$3:$C$90,2,0)</f>
        <v>#N/A</v>
      </c>
      <c r="G3778" t="e">
        <f>VLOOKUP(E3778,기본!$F$3:$G$320,2,0)</f>
        <v>#N/A</v>
      </c>
      <c r="H3778" s="544"/>
    </row>
    <row r="3779" spans="3:8">
      <c r="C3779" s="545" t="e">
        <f>VLOOKUP(D3779,기본!$B$3:$C$90,2,0)</f>
        <v>#N/A</v>
      </c>
      <c r="G3779" t="e">
        <f>VLOOKUP(E3779,기본!$F$3:$G$320,2,0)</f>
        <v>#N/A</v>
      </c>
      <c r="H3779" s="544"/>
    </row>
    <row r="3780" spans="3:8">
      <c r="C3780" s="545" t="e">
        <f>VLOOKUP(D3780,기본!$B$3:$C$90,2,0)</f>
        <v>#N/A</v>
      </c>
      <c r="G3780" t="e">
        <f>VLOOKUP(E3780,기본!$F$3:$G$320,2,0)</f>
        <v>#N/A</v>
      </c>
      <c r="H3780" s="544"/>
    </row>
    <row r="3781" spans="3:8">
      <c r="C3781" s="545" t="e">
        <f>VLOOKUP(D3781,기본!$B$3:$C$90,2,0)</f>
        <v>#N/A</v>
      </c>
      <c r="G3781" t="e">
        <f>VLOOKUP(E3781,기본!$F$3:$G$320,2,0)</f>
        <v>#N/A</v>
      </c>
      <c r="H3781" s="544"/>
    </row>
    <row r="3782" spans="3:8">
      <c r="C3782" s="545" t="e">
        <f>VLOOKUP(D3782,기본!$B$3:$C$90,2,0)</f>
        <v>#N/A</v>
      </c>
      <c r="G3782" t="e">
        <f>VLOOKUP(E3782,기본!$F$3:$G$320,2,0)</f>
        <v>#N/A</v>
      </c>
      <c r="H3782" s="544"/>
    </row>
    <row r="3783" spans="3:8">
      <c r="C3783" s="545" t="e">
        <f>VLOOKUP(D3783,기본!$B$3:$C$90,2,0)</f>
        <v>#N/A</v>
      </c>
      <c r="G3783" t="e">
        <f>VLOOKUP(E3783,기본!$F$3:$G$320,2,0)</f>
        <v>#N/A</v>
      </c>
      <c r="H3783" s="544"/>
    </row>
    <row r="3784" spans="3:8">
      <c r="C3784" s="545" t="e">
        <f>VLOOKUP(D3784,기본!$B$3:$C$90,2,0)</f>
        <v>#N/A</v>
      </c>
      <c r="G3784" t="e">
        <f>VLOOKUP(E3784,기본!$F$3:$G$320,2,0)</f>
        <v>#N/A</v>
      </c>
      <c r="H3784" s="544"/>
    </row>
    <row r="3785" spans="3:8">
      <c r="C3785" s="545" t="e">
        <f>VLOOKUP(D3785,기본!$B$3:$C$90,2,0)</f>
        <v>#N/A</v>
      </c>
      <c r="G3785" t="e">
        <f>VLOOKUP(E3785,기본!$F$3:$G$320,2,0)</f>
        <v>#N/A</v>
      </c>
      <c r="H3785" s="544"/>
    </row>
    <row r="3786" spans="3:8">
      <c r="C3786" s="545" t="e">
        <f>VLOOKUP(D3786,기본!$B$3:$C$90,2,0)</f>
        <v>#N/A</v>
      </c>
      <c r="G3786" t="e">
        <f>VLOOKUP(E3786,기본!$F$3:$G$320,2,0)</f>
        <v>#N/A</v>
      </c>
      <c r="H3786" s="544"/>
    </row>
    <row r="3787" spans="3:8">
      <c r="C3787" s="545" t="e">
        <f>VLOOKUP(D3787,기본!$B$3:$C$90,2,0)</f>
        <v>#N/A</v>
      </c>
      <c r="G3787" t="e">
        <f>VLOOKUP(E3787,기본!$F$3:$G$320,2,0)</f>
        <v>#N/A</v>
      </c>
      <c r="H3787" s="544"/>
    </row>
    <row r="3788" spans="3:8">
      <c r="C3788" s="545" t="e">
        <f>VLOOKUP(D3788,기본!$B$3:$C$90,2,0)</f>
        <v>#N/A</v>
      </c>
      <c r="G3788" t="e">
        <f>VLOOKUP(E3788,기본!$F$3:$G$320,2,0)</f>
        <v>#N/A</v>
      </c>
      <c r="H3788" s="544"/>
    </row>
    <row r="3789" spans="3:8">
      <c r="C3789" s="545" t="e">
        <f>VLOOKUP(D3789,기본!$B$3:$C$90,2,0)</f>
        <v>#N/A</v>
      </c>
      <c r="G3789" t="e">
        <f>VLOOKUP(E3789,기본!$F$3:$G$320,2,0)</f>
        <v>#N/A</v>
      </c>
      <c r="H3789" s="544"/>
    </row>
    <row r="3790" spans="3:8">
      <c r="C3790" s="545" t="e">
        <f>VLOOKUP(D3790,기본!$B$3:$C$90,2,0)</f>
        <v>#N/A</v>
      </c>
      <c r="G3790" t="e">
        <f>VLOOKUP(E3790,기본!$F$3:$G$320,2,0)</f>
        <v>#N/A</v>
      </c>
      <c r="H3790" s="544"/>
    </row>
    <row r="3791" spans="3:8">
      <c r="C3791" s="545" t="e">
        <f>VLOOKUP(D3791,기본!$B$3:$C$90,2,0)</f>
        <v>#N/A</v>
      </c>
      <c r="G3791" t="e">
        <f>VLOOKUP(E3791,기본!$F$3:$G$320,2,0)</f>
        <v>#N/A</v>
      </c>
      <c r="H3791" s="544"/>
    </row>
    <row r="3792" spans="3:8">
      <c r="C3792" s="545" t="e">
        <f>VLOOKUP(D3792,기본!$B$3:$C$90,2,0)</f>
        <v>#N/A</v>
      </c>
      <c r="G3792" t="e">
        <f>VLOOKUP(E3792,기본!$F$3:$G$320,2,0)</f>
        <v>#N/A</v>
      </c>
      <c r="H3792" s="544"/>
    </row>
    <row r="3793" spans="3:8">
      <c r="C3793" s="545" t="e">
        <f>VLOOKUP(D3793,기본!$B$3:$C$90,2,0)</f>
        <v>#N/A</v>
      </c>
      <c r="G3793" t="e">
        <f>VLOOKUP(E3793,기본!$F$3:$G$320,2,0)</f>
        <v>#N/A</v>
      </c>
      <c r="H3793" s="544"/>
    </row>
    <row r="3794" spans="3:8">
      <c r="C3794" s="545" t="e">
        <f>VLOOKUP(D3794,기본!$B$3:$C$90,2,0)</f>
        <v>#N/A</v>
      </c>
      <c r="G3794" t="e">
        <f>VLOOKUP(E3794,기본!$F$3:$G$320,2,0)</f>
        <v>#N/A</v>
      </c>
      <c r="H3794" s="544"/>
    </row>
    <row r="3795" spans="3:8">
      <c r="C3795" s="545" t="e">
        <f>VLOOKUP(D3795,기본!$B$3:$C$90,2,0)</f>
        <v>#N/A</v>
      </c>
      <c r="G3795" t="e">
        <f>VLOOKUP(E3795,기본!$F$3:$G$320,2,0)</f>
        <v>#N/A</v>
      </c>
      <c r="H3795" s="544"/>
    </row>
    <row r="3796" spans="3:8">
      <c r="C3796" s="545" t="e">
        <f>VLOOKUP(D3796,기본!$B$3:$C$90,2,0)</f>
        <v>#N/A</v>
      </c>
      <c r="G3796" t="e">
        <f>VLOOKUP(E3796,기본!$F$3:$G$320,2,0)</f>
        <v>#N/A</v>
      </c>
      <c r="H3796" s="544"/>
    </row>
    <row r="3797" spans="3:8">
      <c r="C3797" s="545" t="e">
        <f>VLOOKUP(D3797,기본!$B$3:$C$90,2,0)</f>
        <v>#N/A</v>
      </c>
      <c r="G3797" t="e">
        <f>VLOOKUP(E3797,기본!$F$3:$G$320,2,0)</f>
        <v>#N/A</v>
      </c>
      <c r="H3797" s="544"/>
    </row>
    <row r="3798" spans="3:8">
      <c r="C3798" s="545" t="e">
        <f>VLOOKUP(D3798,기본!$B$3:$C$90,2,0)</f>
        <v>#N/A</v>
      </c>
      <c r="G3798" t="e">
        <f>VLOOKUP(E3798,기본!$F$3:$G$320,2,0)</f>
        <v>#N/A</v>
      </c>
      <c r="H3798" s="544"/>
    </row>
    <row r="3799" spans="3:8">
      <c r="C3799" s="545" t="e">
        <f>VLOOKUP(D3799,기본!$B$3:$C$90,2,0)</f>
        <v>#N/A</v>
      </c>
      <c r="G3799" t="e">
        <f>VLOOKUP(E3799,기본!$F$3:$G$320,2,0)</f>
        <v>#N/A</v>
      </c>
      <c r="H3799" s="544"/>
    </row>
    <row r="3800" spans="3:8">
      <c r="C3800" s="545" t="e">
        <f>VLOOKUP(D3800,기본!$B$3:$C$90,2,0)</f>
        <v>#N/A</v>
      </c>
      <c r="G3800" t="e">
        <f>VLOOKUP(E3800,기본!$F$3:$G$320,2,0)</f>
        <v>#N/A</v>
      </c>
      <c r="H3800" s="544"/>
    </row>
    <row r="3801" spans="3:8">
      <c r="C3801" s="545" t="e">
        <f>VLOOKUP(D3801,기본!$B$3:$C$90,2,0)</f>
        <v>#N/A</v>
      </c>
      <c r="G3801" t="e">
        <f>VLOOKUP(E3801,기본!$F$3:$G$320,2,0)</f>
        <v>#N/A</v>
      </c>
      <c r="H3801" s="544"/>
    </row>
    <row r="3802" spans="3:8">
      <c r="C3802" s="545" t="e">
        <f>VLOOKUP(D3802,기본!$B$3:$C$90,2,0)</f>
        <v>#N/A</v>
      </c>
      <c r="G3802" t="e">
        <f>VLOOKUP(E3802,기본!$F$3:$G$320,2,0)</f>
        <v>#N/A</v>
      </c>
      <c r="H3802" s="544"/>
    </row>
    <row r="3803" spans="3:8">
      <c r="C3803" s="545" t="e">
        <f>VLOOKUP(D3803,기본!$B$3:$C$90,2,0)</f>
        <v>#N/A</v>
      </c>
      <c r="G3803" t="e">
        <f>VLOOKUP(E3803,기본!$F$3:$G$320,2,0)</f>
        <v>#N/A</v>
      </c>
      <c r="H3803" s="544"/>
    </row>
    <row r="3804" spans="3:8">
      <c r="C3804" s="545" t="e">
        <f>VLOOKUP(D3804,기본!$B$3:$C$90,2,0)</f>
        <v>#N/A</v>
      </c>
      <c r="G3804" t="e">
        <f>VLOOKUP(E3804,기본!$F$3:$G$320,2,0)</f>
        <v>#N/A</v>
      </c>
      <c r="H3804" s="544"/>
    </row>
    <row r="3805" spans="3:8">
      <c r="C3805" s="545" t="e">
        <f>VLOOKUP(D3805,기본!$B$3:$C$90,2,0)</f>
        <v>#N/A</v>
      </c>
      <c r="G3805" t="e">
        <f>VLOOKUP(E3805,기본!$F$3:$G$320,2,0)</f>
        <v>#N/A</v>
      </c>
      <c r="H3805" s="544"/>
    </row>
    <row r="3806" spans="3:8">
      <c r="C3806" s="545" t="e">
        <f>VLOOKUP(D3806,기본!$B$3:$C$90,2,0)</f>
        <v>#N/A</v>
      </c>
      <c r="G3806" t="e">
        <f>VLOOKUP(E3806,기본!$F$3:$G$320,2,0)</f>
        <v>#N/A</v>
      </c>
      <c r="H3806" s="544"/>
    </row>
    <row r="3807" spans="3:8">
      <c r="C3807" s="545" t="e">
        <f>VLOOKUP(D3807,기본!$B$3:$C$90,2,0)</f>
        <v>#N/A</v>
      </c>
      <c r="G3807" t="e">
        <f>VLOOKUP(E3807,기본!$F$3:$G$320,2,0)</f>
        <v>#N/A</v>
      </c>
      <c r="H3807" s="544"/>
    </row>
    <row r="3808" spans="3:8">
      <c r="C3808" s="545" t="e">
        <f>VLOOKUP(D3808,기본!$B$3:$C$90,2,0)</f>
        <v>#N/A</v>
      </c>
      <c r="G3808" t="e">
        <f>VLOOKUP(E3808,기본!$F$3:$G$320,2,0)</f>
        <v>#N/A</v>
      </c>
      <c r="H3808" s="544"/>
    </row>
    <row r="3809" spans="3:8">
      <c r="C3809" s="545" t="e">
        <f>VLOOKUP(D3809,기본!$B$3:$C$90,2,0)</f>
        <v>#N/A</v>
      </c>
      <c r="G3809" t="e">
        <f>VLOOKUP(E3809,기본!$F$3:$G$320,2,0)</f>
        <v>#N/A</v>
      </c>
      <c r="H3809" s="544"/>
    </row>
    <row r="3810" spans="3:8">
      <c r="C3810" s="545" t="e">
        <f>VLOOKUP(D3810,기본!$B$3:$C$90,2,0)</f>
        <v>#N/A</v>
      </c>
      <c r="G3810" t="e">
        <f>VLOOKUP(E3810,기본!$F$3:$G$320,2,0)</f>
        <v>#N/A</v>
      </c>
      <c r="H3810" s="544"/>
    </row>
    <row r="3811" spans="3:8">
      <c r="C3811" s="545" t="e">
        <f>VLOOKUP(D3811,기본!$B$3:$C$90,2,0)</f>
        <v>#N/A</v>
      </c>
      <c r="G3811" t="e">
        <f>VLOOKUP(E3811,기본!$F$3:$G$320,2,0)</f>
        <v>#N/A</v>
      </c>
      <c r="H3811" s="544"/>
    </row>
    <row r="3812" spans="3:8">
      <c r="C3812" s="545" t="e">
        <f>VLOOKUP(D3812,기본!$B$3:$C$90,2,0)</f>
        <v>#N/A</v>
      </c>
      <c r="G3812" t="e">
        <f>VLOOKUP(E3812,기본!$F$3:$G$320,2,0)</f>
        <v>#N/A</v>
      </c>
      <c r="H3812" s="544"/>
    </row>
    <row r="3813" spans="3:8">
      <c r="C3813" s="545" t="e">
        <f>VLOOKUP(D3813,기본!$B$3:$C$90,2,0)</f>
        <v>#N/A</v>
      </c>
      <c r="G3813" t="e">
        <f>VLOOKUP(E3813,기본!$F$3:$G$320,2,0)</f>
        <v>#N/A</v>
      </c>
      <c r="H3813" s="544"/>
    </row>
    <row r="3814" spans="3:8">
      <c r="C3814" s="545" t="e">
        <f>VLOOKUP(D3814,기본!$B$3:$C$90,2,0)</f>
        <v>#N/A</v>
      </c>
      <c r="G3814" t="e">
        <f>VLOOKUP(E3814,기본!$F$3:$G$320,2,0)</f>
        <v>#N/A</v>
      </c>
      <c r="H3814" s="544"/>
    </row>
    <row r="3815" spans="3:8">
      <c r="C3815" s="545" t="e">
        <f>VLOOKUP(D3815,기본!$B$3:$C$90,2,0)</f>
        <v>#N/A</v>
      </c>
      <c r="G3815" t="e">
        <f>VLOOKUP(E3815,기본!$F$3:$G$320,2,0)</f>
        <v>#N/A</v>
      </c>
      <c r="H3815" s="544"/>
    </row>
    <row r="3816" spans="3:8">
      <c r="C3816" s="545" t="e">
        <f>VLOOKUP(D3816,기본!$B$3:$C$90,2,0)</f>
        <v>#N/A</v>
      </c>
      <c r="G3816" t="e">
        <f>VLOOKUP(E3816,기본!$F$3:$G$320,2,0)</f>
        <v>#N/A</v>
      </c>
      <c r="H3816" s="544"/>
    </row>
    <row r="3817" spans="3:8">
      <c r="C3817" s="545" t="e">
        <f>VLOOKUP(D3817,기본!$B$3:$C$90,2,0)</f>
        <v>#N/A</v>
      </c>
      <c r="G3817" t="e">
        <f>VLOOKUP(E3817,기본!$F$3:$G$320,2,0)</f>
        <v>#N/A</v>
      </c>
      <c r="H3817" s="544"/>
    </row>
    <row r="3818" spans="3:8">
      <c r="C3818" s="545" t="e">
        <f>VLOOKUP(D3818,기본!$B$3:$C$90,2,0)</f>
        <v>#N/A</v>
      </c>
      <c r="G3818" t="e">
        <f>VLOOKUP(E3818,기본!$F$3:$G$320,2,0)</f>
        <v>#N/A</v>
      </c>
      <c r="H3818" s="544"/>
    </row>
    <row r="3819" spans="3:8">
      <c r="C3819" s="545" t="e">
        <f>VLOOKUP(D3819,기본!$B$3:$C$90,2,0)</f>
        <v>#N/A</v>
      </c>
      <c r="G3819" t="e">
        <f>VLOOKUP(E3819,기본!$F$3:$G$320,2,0)</f>
        <v>#N/A</v>
      </c>
      <c r="H3819" s="544"/>
    </row>
    <row r="3820" spans="3:8">
      <c r="C3820" s="545" t="e">
        <f>VLOOKUP(D3820,기본!$B$3:$C$90,2,0)</f>
        <v>#N/A</v>
      </c>
      <c r="G3820" t="e">
        <f>VLOOKUP(E3820,기본!$F$3:$G$320,2,0)</f>
        <v>#N/A</v>
      </c>
      <c r="H3820" s="544"/>
    </row>
    <row r="3821" spans="3:8">
      <c r="C3821" s="545" t="e">
        <f>VLOOKUP(D3821,기본!$B$3:$C$90,2,0)</f>
        <v>#N/A</v>
      </c>
      <c r="G3821" t="e">
        <f>VLOOKUP(E3821,기본!$F$3:$G$320,2,0)</f>
        <v>#N/A</v>
      </c>
      <c r="H3821" s="544"/>
    </row>
    <row r="3822" spans="3:8">
      <c r="C3822" s="545" t="e">
        <f>VLOOKUP(D3822,기본!$B$3:$C$90,2,0)</f>
        <v>#N/A</v>
      </c>
      <c r="G3822" t="e">
        <f>VLOOKUP(E3822,기본!$F$3:$G$320,2,0)</f>
        <v>#N/A</v>
      </c>
      <c r="H3822" s="544"/>
    </row>
    <row r="3823" spans="3:8">
      <c r="C3823" s="545" t="e">
        <f>VLOOKUP(D3823,기본!$B$3:$C$90,2,0)</f>
        <v>#N/A</v>
      </c>
      <c r="G3823" t="e">
        <f>VLOOKUP(E3823,기본!$F$3:$G$320,2,0)</f>
        <v>#N/A</v>
      </c>
      <c r="H3823" s="544"/>
    </row>
    <row r="3824" spans="3:8">
      <c r="C3824" s="545" t="e">
        <f>VLOOKUP(D3824,기본!$B$3:$C$90,2,0)</f>
        <v>#N/A</v>
      </c>
      <c r="G3824" t="e">
        <f>VLOOKUP(E3824,기본!$F$3:$G$320,2,0)</f>
        <v>#N/A</v>
      </c>
      <c r="H3824" s="544"/>
    </row>
    <row r="3825" spans="3:8">
      <c r="C3825" s="545" t="e">
        <f>VLOOKUP(D3825,기본!$B$3:$C$90,2,0)</f>
        <v>#N/A</v>
      </c>
      <c r="G3825" t="e">
        <f>VLOOKUP(E3825,기본!$F$3:$G$320,2,0)</f>
        <v>#N/A</v>
      </c>
      <c r="H3825" s="544"/>
    </row>
    <row r="3826" spans="3:8">
      <c r="C3826" s="545" t="e">
        <f>VLOOKUP(D3826,기본!$B$3:$C$90,2,0)</f>
        <v>#N/A</v>
      </c>
      <c r="G3826" t="e">
        <f>VLOOKUP(E3826,기본!$F$3:$G$320,2,0)</f>
        <v>#N/A</v>
      </c>
      <c r="H3826" s="544"/>
    </row>
    <row r="3827" spans="3:8">
      <c r="C3827" s="545" t="e">
        <f>VLOOKUP(D3827,기본!$B$3:$C$90,2,0)</f>
        <v>#N/A</v>
      </c>
      <c r="G3827" t="e">
        <f>VLOOKUP(E3827,기본!$F$3:$G$320,2,0)</f>
        <v>#N/A</v>
      </c>
      <c r="H3827" s="544"/>
    </row>
    <row r="3828" spans="3:8">
      <c r="C3828" s="545" t="e">
        <f>VLOOKUP(D3828,기본!$B$3:$C$90,2,0)</f>
        <v>#N/A</v>
      </c>
      <c r="G3828" t="e">
        <f>VLOOKUP(E3828,기본!$F$3:$G$320,2,0)</f>
        <v>#N/A</v>
      </c>
      <c r="H3828" s="544"/>
    </row>
    <row r="3829" spans="3:8">
      <c r="C3829" s="545" t="e">
        <f>VLOOKUP(D3829,기본!$B$3:$C$90,2,0)</f>
        <v>#N/A</v>
      </c>
      <c r="G3829" t="e">
        <f>VLOOKUP(E3829,기본!$F$3:$G$320,2,0)</f>
        <v>#N/A</v>
      </c>
      <c r="H3829" s="544"/>
    </row>
    <row r="3830" spans="3:8">
      <c r="C3830" s="545" t="e">
        <f>VLOOKUP(D3830,기본!$B$3:$C$90,2,0)</f>
        <v>#N/A</v>
      </c>
      <c r="G3830" t="e">
        <f>VLOOKUP(E3830,기본!$F$3:$G$320,2,0)</f>
        <v>#N/A</v>
      </c>
      <c r="H3830" s="544"/>
    </row>
    <row r="3831" spans="3:8">
      <c r="C3831" s="545" t="e">
        <f>VLOOKUP(D3831,기본!$B$3:$C$90,2,0)</f>
        <v>#N/A</v>
      </c>
      <c r="G3831" t="e">
        <f>VLOOKUP(E3831,기본!$F$3:$G$320,2,0)</f>
        <v>#N/A</v>
      </c>
      <c r="H3831" s="544"/>
    </row>
    <row r="3832" spans="3:8">
      <c r="C3832" s="545" t="e">
        <f>VLOOKUP(D3832,기본!$B$3:$C$90,2,0)</f>
        <v>#N/A</v>
      </c>
      <c r="G3832" t="e">
        <f>VLOOKUP(E3832,기본!$F$3:$G$320,2,0)</f>
        <v>#N/A</v>
      </c>
      <c r="H3832" s="544"/>
    </row>
    <row r="3833" spans="3:8">
      <c r="C3833" s="545" t="e">
        <f>VLOOKUP(D3833,기본!$B$3:$C$90,2,0)</f>
        <v>#N/A</v>
      </c>
      <c r="G3833" t="e">
        <f>VLOOKUP(E3833,기본!$F$3:$G$320,2,0)</f>
        <v>#N/A</v>
      </c>
      <c r="H3833" s="544"/>
    </row>
    <row r="3834" spans="3:8">
      <c r="C3834" s="545" t="e">
        <f>VLOOKUP(D3834,기본!$B$3:$C$90,2,0)</f>
        <v>#N/A</v>
      </c>
      <c r="G3834" t="e">
        <f>VLOOKUP(E3834,기본!$F$3:$G$320,2,0)</f>
        <v>#N/A</v>
      </c>
      <c r="H3834" s="544"/>
    </row>
    <row r="3835" spans="3:8">
      <c r="C3835" s="545" t="e">
        <f>VLOOKUP(D3835,기본!$B$3:$C$90,2,0)</f>
        <v>#N/A</v>
      </c>
      <c r="G3835" t="e">
        <f>VLOOKUP(E3835,기본!$F$3:$G$320,2,0)</f>
        <v>#N/A</v>
      </c>
      <c r="H3835" s="544"/>
    </row>
    <row r="3836" spans="3:8">
      <c r="C3836" s="545" t="e">
        <f>VLOOKUP(D3836,기본!$B$3:$C$90,2,0)</f>
        <v>#N/A</v>
      </c>
      <c r="G3836" t="e">
        <f>VLOOKUP(E3836,기본!$F$3:$G$320,2,0)</f>
        <v>#N/A</v>
      </c>
      <c r="H3836" s="544"/>
    </row>
    <row r="3837" spans="3:8">
      <c r="C3837" s="545" t="e">
        <f>VLOOKUP(D3837,기본!$B$3:$C$90,2,0)</f>
        <v>#N/A</v>
      </c>
      <c r="G3837" t="e">
        <f>VLOOKUP(E3837,기본!$F$3:$G$320,2,0)</f>
        <v>#N/A</v>
      </c>
      <c r="H3837" s="544"/>
    </row>
    <row r="3838" spans="3:8">
      <c r="C3838" s="545" t="e">
        <f>VLOOKUP(D3838,기본!$B$3:$C$90,2,0)</f>
        <v>#N/A</v>
      </c>
      <c r="G3838" t="e">
        <f>VLOOKUP(E3838,기본!$F$3:$G$320,2,0)</f>
        <v>#N/A</v>
      </c>
      <c r="H3838" s="544"/>
    </row>
    <row r="3839" spans="3:8">
      <c r="C3839" s="545" t="e">
        <f>VLOOKUP(D3839,기본!$B$3:$C$90,2,0)</f>
        <v>#N/A</v>
      </c>
      <c r="G3839" t="e">
        <f>VLOOKUP(E3839,기본!$F$3:$G$320,2,0)</f>
        <v>#N/A</v>
      </c>
      <c r="H3839" s="544"/>
    </row>
    <row r="3840" spans="3:8">
      <c r="C3840" s="545" t="e">
        <f>VLOOKUP(D3840,기본!$B$3:$C$90,2,0)</f>
        <v>#N/A</v>
      </c>
      <c r="G3840" t="e">
        <f>VLOOKUP(E3840,기본!$F$3:$G$320,2,0)</f>
        <v>#N/A</v>
      </c>
      <c r="H3840" s="544"/>
    </row>
    <row r="3841" spans="3:8">
      <c r="C3841" s="545" t="e">
        <f>VLOOKUP(D3841,기본!$B$3:$C$90,2,0)</f>
        <v>#N/A</v>
      </c>
      <c r="G3841" t="e">
        <f>VLOOKUP(E3841,기본!$F$3:$G$320,2,0)</f>
        <v>#N/A</v>
      </c>
      <c r="H3841" s="544"/>
    </row>
    <row r="3842" spans="3:8">
      <c r="C3842" s="545" t="e">
        <f>VLOOKUP(D3842,기본!$B$3:$C$90,2,0)</f>
        <v>#N/A</v>
      </c>
      <c r="G3842" t="e">
        <f>VLOOKUP(E3842,기본!$F$3:$G$320,2,0)</f>
        <v>#N/A</v>
      </c>
      <c r="H3842" s="544"/>
    </row>
    <row r="3843" spans="3:8">
      <c r="C3843" s="545" t="e">
        <f>VLOOKUP(D3843,기본!$B$3:$C$90,2,0)</f>
        <v>#N/A</v>
      </c>
      <c r="G3843" t="e">
        <f>VLOOKUP(E3843,기본!$F$3:$G$320,2,0)</f>
        <v>#N/A</v>
      </c>
      <c r="H3843" s="544"/>
    </row>
    <row r="3844" spans="3:8">
      <c r="C3844" s="545" t="e">
        <f>VLOOKUP(D3844,기본!$B$3:$C$90,2,0)</f>
        <v>#N/A</v>
      </c>
      <c r="G3844" t="e">
        <f>VLOOKUP(E3844,기본!$F$3:$G$320,2,0)</f>
        <v>#N/A</v>
      </c>
      <c r="H3844" s="544"/>
    </row>
    <row r="3845" spans="3:8">
      <c r="C3845" s="545" t="e">
        <f>VLOOKUP(D3845,기본!$B$3:$C$90,2,0)</f>
        <v>#N/A</v>
      </c>
      <c r="G3845" t="e">
        <f>VLOOKUP(E3845,기본!$F$3:$G$320,2,0)</f>
        <v>#N/A</v>
      </c>
      <c r="H3845" s="544"/>
    </row>
    <row r="3846" spans="3:8">
      <c r="C3846" s="545" t="e">
        <f>VLOOKUP(D3846,기본!$B$3:$C$90,2,0)</f>
        <v>#N/A</v>
      </c>
      <c r="G3846" t="e">
        <f>VLOOKUP(E3846,기본!$F$3:$G$320,2,0)</f>
        <v>#N/A</v>
      </c>
      <c r="H3846" s="544"/>
    </row>
    <row r="3847" spans="3:8">
      <c r="C3847" s="545" t="e">
        <f>VLOOKUP(D3847,기본!$B$3:$C$90,2,0)</f>
        <v>#N/A</v>
      </c>
      <c r="G3847" t="e">
        <f>VLOOKUP(E3847,기본!$F$3:$G$320,2,0)</f>
        <v>#N/A</v>
      </c>
      <c r="H3847" s="544"/>
    </row>
    <row r="3848" spans="3:8">
      <c r="C3848" s="545" t="e">
        <f>VLOOKUP(D3848,기본!$B$3:$C$90,2,0)</f>
        <v>#N/A</v>
      </c>
      <c r="G3848" t="e">
        <f>VLOOKUP(E3848,기본!$F$3:$G$320,2,0)</f>
        <v>#N/A</v>
      </c>
      <c r="H3848" s="544"/>
    </row>
    <row r="3849" spans="3:8">
      <c r="C3849" s="545" t="e">
        <f>VLOOKUP(D3849,기본!$B$3:$C$90,2,0)</f>
        <v>#N/A</v>
      </c>
      <c r="G3849" t="e">
        <f>VLOOKUP(E3849,기본!$F$3:$G$320,2,0)</f>
        <v>#N/A</v>
      </c>
      <c r="H3849" s="544"/>
    </row>
    <row r="3850" spans="3:8">
      <c r="C3850" s="545" t="e">
        <f>VLOOKUP(D3850,기본!$B$3:$C$90,2,0)</f>
        <v>#N/A</v>
      </c>
      <c r="G3850" t="e">
        <f>VLOOKUP(E3850,기본!$F$3:$G$320,2,0)</f>
        <v>#N/A</v>
      </c>
      <c r="H3850" s="544"/>
    </row>
    <row r="3851" spans="3:8">
      <c r="C3851" s="545" t="e">
        <f>VLOOKUP(D3851,기본!$B$3:$C$90,2,0)</f>
        <v>#N/A</v>
      </c>
      <c r="G3851" t="e">
        <f>VLOOKUP(E3851,기본!$F$3:$G$320,2,0)</f>
        <v>#N/A</v>
      </c>
      <c r="H3851" s="544"/>
    </row>
    <row r="3852" spans="3:8">
      <c r="C3852" s="545" t="e">
        <f>VLOOKUP(D3852,기본!$B$3:$C$90,2,0)</f>
        <v>#N/A</v>
      </c>
      <c r="G3852" t="e">
        <f>VLOOKUP(E3852,기본!$F$3:$G$320,2,0)</f>
        <v>#N/A</v>
      </c>
      <c r="H3852" s="544"/>
    </row>
    <row r="3853" spans="3:8">
      <c r="C3853" s="545" t="e">
        <f>VLOOKUP(D3853,기본!$B$3:$C$90,2,0)</f>
        <v>#N/A</v>
      </c>
      <c r="G3853" t="e">
        <f>VLOOKUP(E3853,기본!$F$3:$G$320,2,0)</f>
        <v>#N/A</v>
      </c>
      <c r="H3853" s="544"/>
    </row>
    <row r="3854" spans="3:8">
      <c r="C3854" s="545" t="e">
        <f>VLOOKUP(D3854,기본!$B$3:$C$90,2,0)</f>
        <v>#N/A</v>
      </c>
      <c r="G3854" t="e">
        <f>VLOOKUP(E3854,기본!$F$3:$G$320,2,0)</f>
        <v>#N/A</v>
      </c>
      <c r="H3854" s="544"/>
    </row>
    <row r="3855" spans="3:8">
      <c r="C3855" s="545" t="e">
        <f>VLOOKUP(D3855,기본!$B$3:$C$90,2,0)</f>
        <v>#N/A</v>
      </c>
      <c r="G3855" t="e">
        <f>VLOOKUP(E3855,기본!$F$3:$G$320,2,0)</f>
        <v>#N/A</v>
      </c>
      <c r="H3855" s="544"/>
    </row>
    <row r="3856" spans="3:8">
      <c r="C3856" s="545" t="e">
        <f>VLOOKUP(D3856,기본!$B$3:$C$90,2,0)</f>
        <v>#N/A</v>
      </c>
      <c r="G3856" t="e">
        <f>VLOOKUP(E3856,기본!$F$3:$G$320,2,0)</f>
        <v>#N/A</v>
      </c>
      <c r="H3856" s="544"/>
    </row>
    <row r="3857" spans="3:8">
      <c r="C3857" s="545" t="e">
        <f>VLOOKUP(D3857,기본!$B$3:$C$90,2,0)</f>
        <v>#N/A</v>
      </c>
      <c r="G3857" t="e">
        <f>VLOOKUP(E3857,기본!$F$3:$G$320,2,0)</f>
        <v>#N/A</v>
      </c>
      <c r="H3857" s="544"/>
    </row>
    <row r="3858" spans="3:8">
      <c r="C3858" s="545" t="e">
        <f>VLOOKUP(D3858,기본!$B$3:$C$90,2,0)</f>
        <v>#N/A</v>
      </c>
      <c r="G3858" t="e">
        <f>VLOOKUP(E3858,기본!$F$3:$G$320,2,0)</f>
        <v>#N/A</v>
      </c>
      <c r="H3858" s="544"/>
    </row>
    <row r="3859" spans="3:8">
      <c r="C3859" s="545" t="e">
        <f>VLOOKUP(D3859,기본!$B$3:$C$90,2,0)</f>
        <v>#N/A</v>
      </c>
      <c r="G3859" t="e">
        <f>VLOOKUP(E3859,기본!$F$3:$G$320,2,0)</f>
        <v>#N/A</v>
      </c>
      <c r="H3859" s="544"/>
    </row>
    <row r="3860" spans="3:8">
      <c r="C3860" s="545" t="e">
        <f>VLOOKUP(D3860,기본!$B$3:$C$90,2,0)</f>
        <v>#N/A</v>
      </c>
      <c r="G3860" t="e">
        <f>VLOOKUP(E3860,기본!$F$3:$G$320,2,0)</f>
        <v>#N/A</v>
      </c>
      <c r="H3860" s="544"/>
    </row>
    <row r="3861" spans="3:8">
      <c r="C3861" s="545" t="e">
        <f>VLOOKUP(D3861,기본!$B$3:$C$90,2,0)</f>
        <v>#N/A</v>
      </c>
      <c r="G3861" t="e">
        <f>VLOOKUP(E3861,기본!$F$3:$G$320,2,0)</f>
        <v>#N/A</v>
      </c>
      <c r="H3861" s="544"/>
    </row>
    <row r="3862" spans="3:8">
      <c r="C3862" s="545" t="e">
        <f>VLOOKUP(D3862,기본!$B$3:$C$90,2,0)</f>
        <v>#N/A</v>
      </c>
      <c r="G3862" t="e">
        <f>VLOOKUP(E3862,기본!$F$3:$G$320,2,0)</f>
        <v>#N/A</v>
      </c>
      <c r="H3862" s="544"/>
    </row>
    <row r="3863" spans="3:8">
      <c r="C3863" s="545" t="e">
        <f>VLOOKUP(D3863,기본!$B$3:$C$90,2,0)</f>
        <v>#N/A</v>
      </c>
      <c r="G3863" t="e">
        <f>VLOOKUP(E3863,기본!$F$3:$G$320,2,0)</f>
        <v>#N/A</v>
      </c>
      <c r="H3863" s="544"/>
    </row>
    <row r="3864" spans="3:8">
      <c r="C3864" s="545" t="e">
        <f>VLOOKUP(D3864,기본!$B$3:$C$90,2,0)</f>
        <v>#N/A</v>
      </c>
      <c r="G3864" t="e">
        <f>VLOOKUP(E3864,기본!$F$3:$G$320,2,0)</f>
        <v>#N/A</v>
      </c>
      <c r="H3864" s="544"/>
    </row>
    <row r="3865" spans="3:8">
      <c r="C3865" s="545" t="e">
        <f>VLOOKUP(D3865,기본!$B$3:$C$90,2,0)</f>
        <v>#N/A</v>
      </c>
      <c r="G3865" t="e">
        <f>VLOOKUP(E3865,기본!$F$3:$G$320,2,0)</f>
        <v>#N/A</v>
      </c>
      <c r="H3865" s="544"/>
    </row>
    <row r="3866" spans="3:8">
      <c r="C3866" s="545" t="e">
        <f>VLOOKUP(D3866,기본!$B$3:$C$90,2,0)</f>
        <v>#N/A</v>
      </c>
      <c r="G3866" t="e">
        <f>VLOOKUP(E3866,기본!$F$3:$G$320,2,0)</f>
        <v>#N/A</v>
      </c>
      <c r="H3866" s="544"/>
    </row>
    <row r="3867" spans="3:8">
      <c r="C3867" s="545" t="e">
        <f>VLOOKUP(D3867,기본!$B$3:$C$90,2,0)</f>
        <v>#N/A</v>
      </c>
      <c r="G3867" t="e">
        <f>VLOOKUP(E3867,기본!$F$3:$G$320,2,0)</f>
        <v>#N/A</v>
      </c>
      <c r="H3867" s="544"/>
    </row>
    <row r="3868" spans="3:8">
      <c r="C3868" s="545" t="e">
        <f>VLOOKUP(D3868,기본!$B$3:$C$90,2,0)</f>
        <v>#N/A</v>
      </c>
      <c r="G3868" t="e">
        <f>VLOOKUP(E3868,기본!$F$3:$G$320,2,0)</f>
        <v>#N/A</v>
      </c>
      <c r="H3868" s="544"/>
    </row>
    <row r="3869" spans="3:8">
      <c r="C3869" s="545" t="e">
        <f>VLOOKUP(D3869,기본!$B$3:$C$90,2,0)</f>
        <v>#N/A</v>
      </c>
      <c r="G3869" t="e">
        <f>VLOOKUP(E3869,기본!$F$3:$G$320,2,0)</f>
        <v>#N/A</v>
      </c>
      <c r="H3869" s="544"/>
    </row>
    <row r="3870" spans="3:8">
      <c r="C3870" s="545" t="e">
        <f>VLOOKUP(D3870,기본!$B$3:$C$90,2,0)</f>
        <v>#N/A</v>
      </c>
      <c r="G3870" t="e">
        <f>VLOOKUP(E3870,기본!$F$3:$G$320,2,0)</f>
        <v>#N/A</v>
      </c>
      <c r="H3870" s="544"/>
    </row>
    <row r="3871" spans="3:8">
      <c r="C3871" s="545" t="e">
        <f>VLOOKUP(D3871,기본!$B$3:$C$90,2,0)</f>
        <v>#N/A</v>
      </c>
      <c r="G3871" t="e">
        <f>VLOOKUP(E3871,기본!$F$3:$G$320,2,0)</f>
        <v>#N/A</v>
      </c>
      <c r="H3871" s="544"/>
    </row>
    <row r="3872" spans="3:8">
      <c r="C3872" s="545" t="e">
        <f>VLOOKUP(D3872,기본!$B$3:$C$90,2,0)</f>
        <v>#N/A</v>
      </c>
      <c r="G3872" t="e">
        <f>VLOOKUP(E3872,기본!$F$3:$G$320,2,0)</f>
        <v>#N/A</v>
      </c>
      <c r="H3872" s="544"/>
    </row>
    <row r="3873" spans="3:8">
      <c r="C3873" s="545" t="e">
        <f>VLOOKUP(D3873,기본!$B$3:$C$90,2,0)</f>
        <v>#N/A</v>
      </c>
      <c r="G3873" t="e">
        <f>VLOOKUP(E3873,기본!$F$3:$G$320,2,0)</f>
        <v>#N/A</v>
      </c>
      <c r="H3873" s="544"/>
    </row>
    <row r="3874" spans="3:8">
      <c r="C3874" s="545" t="e">
        <f>VLOOKUP(D3874,기본!$B$3:$C$90,2,0)</f>
        <v>#N/A</v>
      </c>
      <c r="G3874" t="e">
        <f>VLOOKUP(E3874,기본!$F$3:$G$320,2,0)</f>
        <v>#N/A</v>
      </c>
      <c r="H3874" s="544"/>
    </row>
    <row r="3875" spans="3:8">
      <c r="C3875" s="545" t="e">
        <f>VLOOKUP(D3875,기본!$B$3:$C$90,2,0)</f>
        <v>#N/A</v>
      </c>
      <c r="G3875" t="e">
        <f>VLOOKUP(E3875,기본!$F$3:$G$320,2,0)</f>
        <v>#N/A</v>
      </c>
      <c r="H3875" s="544"/>
    </row>
    <row r="3876" spans="3:8">
      <c r="C3876" s="545" t="e">
        <f>VLOOKUP(D3876,기본!$B$3:$C$90,2,0)</f>
        <v>#N/A</v>
      </c>
      <c r="G3876" t="e">
        <f>VLOOKUP(E3876,기본!$F$3:$G$320,2,0)</f>
        <v>#N/A</v>
      </c>
      <c r="H3876" s="544"/>
    </row>
    <row r="3877" spans="3:8">
      <c r="C3877" s="545" t="e">
        <f>VLOOKUP(D3877,기본!$B$3:$C$90,2,0)</f>
        <v>#N/A</v>
      </c>
      <c r="G3877" t="e">
        <f>VLOOKUP(E3877,기본!$F$3:$G$320,2,0)</f>
        <v>#N/A</v>
      </c>
      <c r="H3877" s="544"/>
    </row>
    <row r="3878" spans="3:8">
      <c r="C3878" s="545" t="e">
        <f>VLOOKUP(D3878,기본!$B$3:$C$90,2,0)</f>
        <v>#N/A</v>
      </c>
      <c r="G3878" t="e">
        <f>VLOOKUP(E3878,기본!$F$3:$G$320,2,0)</f>
        <v>#N/A</v>
      </c>
      <c r="H3878" s="544"/>
    </row>
    <row r="3879" spans="3:8">
      <c r="C3879" s="545" t="e">
        <f>VLOOKUP(D3879,기본!$B$3:$C$90,2,0)</f>
        <v>#N/A</v>
      </c>
      <c r="G3879" t="e">
        <f>VLOOKUP(E3879,기본!$F$3:$G$320,2,0)</f>
        <v>#N/A</v>
      </c>
      <c r="H3879" s="544"/>
    </row>
    <row r="3880" spans="3:8">
      <c r="C3880" s="545" t="e">
        <f>VLOOKUP(D3880,기본!$B$3:$C$90,2,0)</f>
        <v>#N/A</v>
      </c>
      <c r="G3880" t="e">
        <f>VLOOKUP(E3880,기본!$F$3:$G$320,2,0)</f>
        <v>#N/A</v>
      </c>
      <c r="H3880" s="544"/>
    </row>
    <row r="3881" spans="3:8">
      <c r="C3881" s="545" t="e">
        <f>VLOOKUP(D3881,기본!$B$3:$C$90,2,0)</f>
        <v>#N/A</v>
      </c>
      <c r="G3881" t="e">
        <f>VLOOKUP(E3881,기본!$F$3:$G$320,2,0)</f>
        <v>#N/A</v>
      </c>
      <c r="H3881" s="544"/>
    </row>
    <row r="3882" spans="3:8">
      <c r="C3882" s="545" t="e">
        <f>VLOOKUP(D3882,기본!$B$3:$C$90,2,0)</f>
        <v>#N/A</v>
      </c>
      <c r="G3882" t="e">
        <f>VLOOKUP(E3882,기본!$F$3:$G$320,2,0)</f>
        <v>#N/A</v>
      </c>
      <c r="H3882" s="544"/>
    </row>
    <row r="3883" spans="3:8">
      <c r="C3883" s="545" t="e">
        <f>VLOOKUP(D3883,기본!$B$3:$C$90,2,0)</f>
        <v>#N/A</v>
      </c>
      <c r="G3883" t="e">
        <f>VLOOKUP(E3883,기본!$F$3:$G$320,2,0)</f>
        <v>#N/A</v>
      </c>
      <c r="H3883" s="544"/>
    </row>
    <row r="3884" spans="3:8">
      <c r="C3884" s="545" t="e">
        <f>VLOOKUP(D3884,기본!$B$3:$C$90,2,0)</f>
        <v>#N/A</v>
      </c>
      <c r="G3884" t="e">
        <f>VLOOKUP(E3884,기본!$F$3:$G$320,2,0)</f>
        <v>#N/A</v>
      </c>
      <c r="H3884" s="544"/>
    </row>
    <row r="3885" spans="3:8">
      <c r="C3885" s="545" t="e">
        <f>VLOOKUP(D3885,기본!$B$3:$C$90,2,0)</f>
        <v>#N/A</v>
      </c>
      <c r="G3885" t="e">
        <f>VLOOKUP(E3885,기본!$F$3:$G$320,2,0)</f>
        <v>#N/A</v>
      </c>
      <c r="H3885" s="544"/>
    </row>
    <row r="3886" spans="3:8">
      <c r="C3886" s="545" t="e">
        <f>VLOOKUP(D3886,기본!$B$3:$C$90,2,0)</f>
        <v>#N/A</v>
      </c>
      <c r="G3886" t="e">
        <f>VLOOKUP(E3886,기본!$F$3:$G$320,2,0)</f>
        <v>#N/A</v>
      </c>
      <c r="H3886" s="544"/>
    </row>
    <row r="3887" spans="3:8">
      <c r="C3887" s="545" t="e">
        <f>VLOOKUP(D3887,기본!$B$3:$C$90,2,0)</f>
        <v>#N/A</v>
      </c>
      <c r="G3887" t="e">
        <f>VLOOKUP(E3887,기본!$F$3:$G$320,2,0)</f>
        <v>#N/A</v>
      </c>
      <c r="H3887" s="544"/>
    </row>
    <row r="3888" spans="3:8">
      <c r="C3888" s="545" t="e">
        <f>VLOOKUP(D3888,기본!$B$3:$C$90,2,0)</f>
        <v>#N/A</v>
      </c>
      <c r="G3888" t="e">
        <f>VLOOKUP(E3888,기본!$F$3:$G$320,2,0)</f>
        <v>#N/A</v>
      </c>
      <c r="H3888" s="544"/>
    </row>
    <row r="3889" spans="3:8">
      <c r="C3889" s="545" t="e">
        <f>VLOOKUP(D3889,기본!$B$3:$C$90,2,0)</f>
        <v>#N/A</v>
      </c>
      <c r="G3889" t="e">
        <f>VLOOKUP(E3889,기본!$F$3:$G$320,2,0)</f>
        <v>#N/A</v>
      </c>
      <c r="H3889" s="544"/>
    </row>
    <row r="3890" spans="3:8">
      <c r="C3890" s="545" t="e">
        <f>VLOOKUP(D3890,기본!$B$3:$C$90,2,0)</f>
        <v>#N/A</v>
      </c>
      <c r="G3890" t="e">
        <f>VLOOKUP(E3890,기본!$F$3:$G$320,2,0)</f>
        <v>#N/A</v>
      </c>
      <c r="H3890" s="544"/>
    </row>
    <row r="3891" spans="3:8">
      <c r="C3891" s="545" t="e">
        <f>VLOOKUP(D3891,기본!$B$3:$C$90,2,0)</f>
        <v>#N/A</v>
      </c>
      <c r="G3891" t="e">
        <f>VLOOKUP(E3891,기본!$F$3:$G$320,2,0)</f>
        <v>#N/A</v>
      </c>
      <c r="H3891" s="544"/>
    </row>
    <row r="3892" spans="3:8">
      <c r="C3892" s="545" t="e">
        <f>VLOOKUP(D3892,기본!$B$3:$C$90,2,0)</f>
        <v>#N/A</v>
      </c>
      <c r="G3892" t="e">
        <f>VLOOKUP(E3892,기본!$F$3:$G$320,2,0)</f>
        <v>#N/A</v>
      </c>
      <c r="H3892" s="544"/>
    </row>
    <row r="3893" spans="3:8">
      <c r="C3893" s="545" t="e">
        <f>VLOOKUP(D3893,기본!$B$3:$C$90,2,0)</f>
        <v>#N/A</v>
      </c>
      <c r="G3893" t="e">
        <f>VLOOKUP(E3893,기본!$F$3:$G$320,2,0)</f>
        <v>#N/A</v>
      </c>
      <c r="H3893" s="544"/>
    </row>
    <row r="3894" spans="3:8">
      <c r="C3894" s="545" t="e">
        <f>VLOOKUP(D3894,기본!$B$3:$C$90,2,0)</f>
        <v>#N/A</v>
      </c>
      <c r="G3894" t="e">
        <f>VLOOKUP(E3894,기본!$F$3:$G$320,2,0)</f>
        <v>#N/A</v>
      </c>
      <c r="H3894" s="544"/>
    </row>
    <row r="3895" spans="3:8">
      <c r="C3895" s="545" t="e">
        <f>VLOOKUP(D3895,기본!$B$3:$C$90,2,0)</f>
        <v>#N/A</v>
      </c>
      <c r="G3895" t="e">
        <f>VLOOKUP(E3895,기본!$F$3:$G$320,2,0)</f>
        <v>#N/A</v>
      </c>
      <c r="H3895" s="544"/>
    </row>
    <row r="3896" spans="3:8">
      <c r="C3896" s="545" t="e">
        <f>VLOOKUP(D3896,기본!$B$3:$C$90,2,0)</f>
        <v>#N/A</v>
      </c>
      <c r="G3896" t="e">
        <f>VLOOKUP(E3896,기본!$F$3:$G$320,2,0)</f>
        <v>#N/A</v>
      </c>
      <c r="H3896" s="544"/>
    </row>
    <row r="3897" spans="3:8">
      <c r="C3897" s="545" t="e">
        <f>VLOOKUP(D3897,기본!$B$3:$C$90,2,0)</f>
        <v>#N/A</v>
      </c>
      <c r="G3897" t="e">
        <f>VLOOKUP(E3897,기본!$F$3:$G$320,2,0)</f>
        <v>#N/A</v>
      </c>
      <c r="H3897" s="544"/>
    </row>
    <row r="3898" spans="3:8">
      <c r="C3898" s="545" t="e">
        <f>VLOOKUP(D3898,기본!$B$3:$C$90,2,0)</f>
        <v>#N/A</v>
      </c>
      <c r="G3898" t="e">
        <f>VLOOKUP(E3898,기본!$F$3:$G$320,2,0)</f>
        <v>#N/A</v>
      </c>
      <c r="H3898" s="544"/>
    </row>
    <row r="3899" spans="3:8">
      <c r="C3899" s="545" t="e">
        <f>VLOOKUP(D3899,기본!$B$3:$C$90,2,0)</f>
        <v>#N/A</v>
      </c>
      <c r="G3899" t="e">
        <f>VLOOKUP(E3899,기본!$F$3:$G$320,2,0)</f>
        <v>#N/A</v>
      </c>
      <c r="H3899" s="544"/>
    </row>
    <row r="3900" spans="3:8">
      <c r="C3900" s="545" t="e">
        <f>VLOOKUP(D3900,기본!$B$3:$C$90,2,0)</f>
        <v>#N/A</v>
      </c>
      <c r="G3900" t="e">
        <f>VLOOKUP(E3900,기본!$F$3:$G$320,2,0)</f>
        <v>#N/A</v>
      </c>
      <c r="H3900" s="544"/>
    </row>
    <row r="3901" spans="3:8">
      <c r="C3901" s="545" t="e">
        <f>VLOOKUP(D3901,기본!$B$3:$C$90,2,0)</f>
        <v>#N/A</v>
      </c>
      <c r="G3901" t="e">
        <f>VLOOKUP(E3901,기본!$F$3:$G$320,2,0)</f>
        <v>#N/A</v>
      </c>
      <c r="H3901" s="544"/>
    </row>
    <row r="3902" spans="3:8">
      <c r="C3902" s="545" t="e">
        <f>VLOOKUP(D3902,기본!$B$3:$C$90,2,0)</f>
        <v>#N/A</v>
      </c>
      <c r="G3902" t="e">
        <f>VLOOKUP(E3902,기본!$F$3:$G$320,2,0)</f>
        <v>#N/A</v>
      </c>
      <c r="H3902" s="544"/>
    </row>
    <row r="3903" spans="3:8">
      <c r="C3903" s="545" t="e">
        <f>VLOOKUP(D3903,기본!$B$3:$C$90,2,0)</f>
        <v>#N/A</v>
      </c>
      <c r="G3903" t="e">
        <f>VLOOKUP(E3903,기본!$F$3:$G$320,2,0)</f>
        <v>#N/A</v>
      </c>
      <c r="H3903" s="544"/>
    </row>
    <row r="3904" spans="3:8">
      <c r="C3904" s="545" t="e">
        <f>VLOOKUP(D3904,기본!$B$3:$C$90,2,0)</f>
        <v>#N/A</v>
      </c>
      <c r="G3904" t="e">
        <f>VLOOKUP(E3904,기본!$F$3:$G$320,2,0)</f>
        <v>#N/A</v>
      </c>
      <c r="H3904" s="544"/>
    </row>
    <row r="3905" spans="3:8">
      <c r="C3905" s="545" t="e">
        <f>VLOOKUP(D3905,기본!$B$3:$C$90,2,0)</f>
        <v>#N/A</v>
      </c>
      <c r="G3905" t="e">
        <f>VLOOKUP(E3905,기본!$F$3:$G$320,2,0)</f>
        <v>#N/A</v>
      </c>
      <c r="H3905" s="544"/>
    </row>
    <row r="3906" spans="3:8">
      <c r="C3906" s="545" t="e">
        <f>VLOOKUP(D3906,기본!$B$3:$C$90,2,0)</f>
        <v>#N/A</v>
      </c>
      <c r="G3906" t="e">
        <f>VLOOKUP(E3906,기본!$F$3:$G$320,2,0)</f>
        <v>#N/A</v>
      </c>
      <c r="H3906" s="544"/>
    </row>
    <row r="3907" spans="3:8">
      <c r="C3907" s="545" t="e">
        <f>VLOOKUP(D3907,기본!$B$3:$C$90,2,0)</f>
        <v>#N/A</v>
      </c>
      <c r="G3907" t="e">
        <f>VLOOKUP(E3907,기본!$F$3:$G$320,2,0)</f>
        <v>#N/A</v>
      </c>
      <c r="H3907" s="544"/>
    </row>
    <row r="3908" spans="3:8">
      <c r="C3908" s="545" t="e">
        <f>VLOOKUP(D3908,기본!$B$3:$C$90,2,0)</f>
        <v>#N/A</v>
      </c>
      <c r="G3908" t="e">
        <f>VLOOKUP(E3908,기본!$F$3:$G$320,2,0)</f>
        <v>#N/A</v>
      </c>
      <c r="H3908" s="544"/>
    </row>
    <row r="3909" spans="3:8">
      <c r="C3909" s="545" t="e">
        <f>VLOOKUP(D3909,기본!$B$3:$C$90,2,0)</f>
        <v>#N/A</v>
      </c>
      <c r="G3909" t="e">
        <f>VLOOKUP(E3909,기본!$F$3:$G$320,2,0)</f>
        <v>#N/A</v>
      </c>
      <c r="H3909" s="544"/>
    </row>
    <row r="3910" spans="3:8">
      <c r="C3910" s="545" t="e">
        <f>VLOOKUP(D3910,기본!$B$3:$C$90,2,0)</f>
        <v>#N/A</v>
      </c>
      <c r="G3910" t="e">
        <f>VLOOKUP(E3910,기본!$F$3:$G$320,2,0)</f>
        <v>#N/A</v>
      </c>
      <c r="H3910" s="544"/>
    </row>
    <row r="3911" spans="3:8">
      <c r="C3911" s="545" t="e">
        <f>VLOOKUP(D3911,기본!$B$3:$C$90,2,0)</f>
        <v>#N/A</v>
      </c>
      <c r="G3911" t="e">
        <f>VLOOKUP(E3911,기본!$F$3:$G$320,2,0)</f>
        <v>#N/A</v>
      </c>
      <c r="H3911" s="544"/>
    </row>
    <row r="3912" spans="3:8">
      <c r="C3912" s="545" t="e">
        <f>VLOOKUP(D3912,기본!$B$3:$C$90,2,0)</f>
        <v>#N/A</v>
      </c>
      <c r="G3912" t="e">
        <f>VLOOKUP(E3912,기본!$F$3:$G$320,2,0)</f>
        <v>#N/A</v>
      </c>
      <c r="H3912" s="544"/>
    </row>
    <row r="3913" spans="3:8">
      <c r="C3913" s="545" t="e">
        <f>VLOOKUP(D3913,기본!$B$3:$C$90,2,0)</f>
        <v>#N/A</v>
      </c>
      <c r="G3913" t="e">
        <f>VLOOKUP(E3913,기본!$F$3:$G$320,2,0)</f>
        <v>#N/A</v>
      </c>
      <c r="H3913" s="544"/>
    </row>
    <row r="3914" spans="3:8">
      <c r="C3914" s="545" t="e">
        <f>VLOOKUP(D3914,기본!$B$3:$C$90,2,0)</f>
        <v>#N/A</v>
      </c>
      <c r="G3914" t="e">
        <f>VLOOKUP(E3914,기본!$F$3:$G$320,2,0)</f>
        <v>#N/A</v>
      </c>
      <c r="H3914" s="544"/>
    </row>
    <row r="3915" spans="3:8">
      <c r="C3915" s="545" t="e">
        <f>VLOOKUP(D3915,기본!$B$3:$C$90,2,0)</f>
        <v>#N/A</v>
      </c>
      <c r="G3915" t="e">
        <f>VLOOKUP(E3915,기본!$F$3:$G$320,2,0)</f>
        <v>#N/A</v>
      </c>
      <c r="H3915" s="544"/>
    </row>
    <row r="3916" spans="3:8">
      <c r="C3916" s="545" t="e">
        <f>VLOOKUP(D3916,기본!$B$3:$C$90,2,0)</f>
        <v>#N/A</v>
      </c>
      <c r="G3916" t="e">
        <f>VLOOKUP(E3916,기본!$F$3:$G$320,2,0)</f>
        <v>#N/A</v>
      </c>
      <c r="H3916" s="544"/>
    </row>
    <row r="3917" spans="3:8">
      <c r="C3917" s="545" t="e">
        <f>VLOOKUP(D3917,기본!$B$3:$C$90,2,0)</f>
        <v>#N/A</v>
      </c>
      <c r="G3917" t="e">
        <f>VLOOKUP(E3917,기본!$F$3:$G$320,2,0)</f>
        <v>#N/A</v>
      </c>
      <c r="H3917" s="544"/>
    </row>
    <row r="3918" spans="3:8">
      <c r="C3918" s="545" t="e">
        <f>VLOOKUP(D3918,기본!$B$3:$C$90,2,0)</f>
        <v>#N/A</v>
      </c>
      <c r="G3918" t="e">
        <f>VLOOKUP(E3918,기본!$F$3:$G$320,2,0)</f>
        <v>#N/A</v>
      </c>
      <c r="H3918" s="544"/>
    </row>
    <row r="3919" spans="3:8">
      <c r="C3919" s="545" t="e">
        <f>VLOOKUP(D3919,기본!$B$3:$C$90,2,0)</f>
        <v>#N/A</v>
      </c>
      <c r="G3919" t="e">
        <f>VLOOKUP(E3919,기본!$F$3:$G$320,2,0)</f>
        <v>#N/A</v>
      </c>
      <c r="H3919" s="544"/>
    </row>
    <row r="3920" spans="3:8">
      <c r="C3920" s="545" t="e">
        <f>VLOOKUP(D3920,기본!$B$3:$C$90,2,0)</f>
        <v>#N/A</v>
      </c>
      <c r="G3920" t="e">
        <f>VLOOKUP(E3920,기본!$F$3:$G$320,2,0)</f>
        <v>#N/A</v>
      </c>
      <c r="H3920" s="544"/>
    </row>
    <row r="3921" spans="3:8">
      <c r="C3921" s="545" t="e">
        <f>VLOOKUP(D3921,기본!$B$3:$C$90,2,0)</f>
        <v>#N/A</v>
      </c>
      <c r="G3921" t="e">
        <f>VLOOKUP(E3921,기본!$F$3:$G$320,2,0)</f>
        <v>#N/A</v>
      </c>
      <c r="H3921" s="544"/>
    </row>
    <row r="3922" spans="3:8">
      <c r="C3922" s="545" t="e">
        <f>VLOOKUP(D3922,기본!$B$3:$C$90,2,0)</f>
        <v>#N/A</v>
      </c>
      <c r="G3922" t="e">
        <f>VLOOKUP(E3922,기본!$F$3:$G$320,2,0)</f>
        <v>#N/A</v>
      </c>
      <c r="H3922" s="544"/>
    </row>
    <row r="3923" spans="3:8">
      <c r="C3923" s="545" t="e">
        <f>VLOOKUP(D3923,기본!$B$3:$C$90,2,0)</f>
        <v>#N/A</v>
      </c>
      <c r="G3923" t="e">
        <f>VLOOKUP(E3923,기본!$F$3:$G$320,2,0)</f>
        <v>#N/A</v>
      </c>
      <c r="H3923" s="544"/>
    </row>
    <row r="3924" spans="3:8">
      <c r="C3924" s="545" t="e">
        <f>VLOOKUP(D3924,기본!$B$3:$C$90,2,0)</f>
        <v>#N/A</v>
      </c>
      <c r="G3924" t="e">
        <f>VLOOKUP(E3924,기본!$F$3:$G$320,2,0)</f>
        <v>#N/A</v>
      </c>
      <c r="H3924" s="544"/>
    </row>
    <row r="3925" spans="3:8">
      <c r="C3925" s="545" t="e">
        <f>VLOOKUP(D3925,기본!$B$3:$C$90,2,0)</f>
        <v>#N/A</v>
      </c>
      <c r="G3925" t="e">
        <f>VLOOKUP(E3925,기본!$F$3:$G$320,2,0)</f>
        <v>#N/A</v>
      </c>
      <c r="H3925" s="544"/>
    </row>
    <row r="3926" spans="3:8">
      <c r="C3926" s="545" t="e">
        <f>VLOOKUP(D3926,기본!$B$3:$C$90,2,0)</f>
        <v>#N/A</v>
      </c>
      <c r="G3926" t="e">
        <f>VLOOKUP(E3926,기본!$F$3:$G$320,2,0)</f>
        <v>#N/A</v>
      </c>
      <c r="H3926" s="544"/>
    </row>
    <row r="3927" spans="3:8">
      <c r="C3927" s="545" t="e">
        <f>VLOOKUP(D3927,기본!$B$3:$C$90,2,0)</f>
        <v>#N/A</v>
      </c>
      <c r="G3927" t="e">
        <f>VLOOKUP(E3927,기본!$F$3:$G$320,2,0)</f>
        <v>#N/A</v>
      </c>
      <c r="H3927" s="544"/>
    </row>
    <row r="3928" spans="3:8">
      <c r="C3928" s="545" t="e">
        <f>VLOOKUP(D3928,기본!$B$3:$C$90,2,0)</f>
        <v>#N/A</v>
      </c>
      <c r="G3928" t="e">
        <f>VLOOKUP(E3928,기본!$F$3:$G$320,2,0)</f>
        <v>#N/A</v>
      </c>
      <c r="H3928" s="544"/>
    </row>
    <row r="3929" spans="3:8">
      <c r="C3929" s="545" t="e">
        <f>VLOOKUP(D3929,기본!$B$3:$C$90,2,0)</f>
        <v>#N/A</v>
      </c>
      <c r="G3929" t="e">
        <f>VLOOKUP(E3929,기본!$F$3:$G$320,2,0)</f>
        <v>#N/A</v>
      </c>
      <c r="H3929" s="544"/>
    </row>
    <row r="3930" spans="3:8">
      <c r="C3930" s="545" t="e">
        <f>VLOOKUP(D3930,기본!$B$3:$C$90,2,0)</f>
        <v>#N/A</v>
      </c>
      <c r="G3930" t="e">
        <f>VLOOKUP(E3930,기본!$F$3:$G$320,2,0)</f>
        <v>#N/A</v>
      </c>
      <c r="H3930" s="544"/>
    </row>
    <row r="3931" spans="3:8">
      <c r="C3931" s="545" t="e">
        <f>VLOOKUP(D3931,기본!$B$3:$C$90,2,0)</f>
        <v>#N/A</v>
      </c>
      <c r="G3931" t="e">
        <f>VLOOKUP(E3931,기본!$F$3:$G$320,2,0)</f>
        <v>#N/A</v>
      </c>
      <c r="H3931" s="544"/>
    </row>
    <row r="3932" spans="3:8">
      <c r="C3932" s="545" t="e">
        <f>VLOOKUP(D3932,기본!$B$3:$C$90,2,0)</f>
        <v>#N/A</v>
      </c>
      <c r="G3932" t="e">
        <f>VLOOKUP(E3932,기본!$F$3:$G$320,2,0)</f>
        <v>#N/A</v>
      </c>
      <c r="H3932" s="544"/>
    </row>
    <row r="3933" spans="3:8">
      <c r="C3933" s="545" t="e">
        <f>VLOOKUP(D3933,기본!$B$3:$C$90,2,0)</f>
        <v>#N/A</v>
      </c>
      <c r="G3933" t="e">
        <f>VLOOKUP(E3933,기본!$F$3:$G$320,2,0)</f>
        <v>#N/A</v>
      </c>
      <c r="H3933" s="544"/>
    </row>
    <row r="3934" spans="3:8">
      <c r="C3934" s="545" t="e">
        <f>VLOOKUP(D3934,기본!$B$3:$C$90,2,0)</f>
        <v>#N/A</v>
      </c>
      <c r="G3934" t="e">
        <f>VLOOKUP(E3934,기본!$F$3:$G$320,2,0)</f>
        <v>#N/A</v>
      </c>
      <c r="H3934" s="544"/>
    </row>
    <row r="3935" spans="3:8">
      <c r="C3935" s="545" t="e">
        <f>VLOOKUP(D3935,기본!$B$3:$C$90,2,0)</f>
        <v>#N/A</v>
      </c>
      <c r="G3935" t="e">
        <f>VLOOKUP(E3935,기본!$F$3:$G$320,2,0)</f>
        <v>#N/A</v>
      </c>
      <c r="H3935" s="544"/>
    </row>
    <row r="3936" spans="3:8">
      <c r="C3936" s="545" t="e">
        <f>VLOOKUP(D3936,기본!$B$3:$C$90,2,0)</f>
        <v>#N/A</v>
      </c>
      <c r="G3936" t="e">
        <f>VLOOKUP(E3936,기본!$F$3:$G$320,2,0)</f>
        <v>#N/A</v>
      </c>
      <c r="H3936" s="544"/>
    </row>
    <row r="3937" spans="3:8">
      <c r="C3937" s="545" t="e">
        <f>VLOOKUP(D3937,기본!$B$3:$C$90,2,0)</f>
        <v>#N/A</v>
      </c>
      <c r="G3937" t="e">
        <f>VLOOKUP(E3937,기본!$F$3:$G$320,2,0)</f>
        <v>#N/A</v>
      </c>
      <c r="H3937" s="544"/>
    </row>
    <row r="3938" spans="3:8">
      <c r="C3938" s="545" t="e">
        <f>VLOOKUP(D3938,기본!$B$3:$C$90,2,0)</f>
        <v>#N/A</v>
      </c>
      <c r="G3938" t="e">
        <f>VLOOKUP(E3938,기본!$F$3:$G$320,2,0)</f>
        <v>#N/A</v>
      </c>
      <c r="H3938" s="544"/>
    </row>
    <row r="3939" spans="3:8">
      <c r="C3939" s="545" t="e">
        <f>VLOOKUP(D3939,기본!$B$3:$C$90,2,0)</f>
        <v>#N/A</v>
      </c>
      <c r="G3939" t="e">
        <f>VLOOKUP(E3939,기본!$F$3:$G$320,2,0)</f>
        <v>#N/A</v>
      </c>
      <c r="H3939" s="544"/>
    </row>
    <row r="3940" spans="3:8">
      <c r="C3940" s="545" t="e">
        <f>VLOOKUP(D3940,기본!$B$3:$C$90,2,0)</f>
        <v>#N/A</v>
      </c>
      <c r="G3940" t="e">
        <f>VLOOKUP(E3940,기본!$F$3:$G$320,2,0)</f>
        <v>#N/A</v>
      </c>
      <c r="H3940" s="544"/>
    </row>
    <row r="3941" spans="3:8">
      <c r="C3941" s="545" t="e">
        <f>VLOOKUP(D3941,기본!$B$3:$C$90,2,0)</f>
        <v>#N/A</v>
      </c>
      <c r="G3941" t="e">
        <f>VLOOKUP(E3941,기본!$F$3:$G$320,2,0)</f>
        <v>#N/A</v>
      </c>
      <c r="H3941" s="544"/>
    </row>
    <row r="3942" spans="3:8">
      <c r="C3942" s="545" t="e">
        <f>VLOOKUP(D3942,기본!$B$3:$C$90,2,0)</f>
        <v>#N/A</v>
      </c>
      <c r="G3942" t="e">
        <f>VLOOKUP(E3942,기본!$F$3:$G$320,2,0)</f>
        <v>#N/A</v>
      </c>
      <c r="H3942" s="544"/>
    </row>
    <row r="3943" spans="3:8">
      <c r="C3943" s="545" t="e">
        <f>VLOOKUP(D3943,기본!$B$3:$C$90,2,0)</f>
        <v>#N/A</v>
      </c>
      <c r="G3943" t="e">
        <f>VLOOKUP(E3943,기본!$F$3:$G$320,2,0)</f>
        <v>#N/A</v>
      </c>
      <c r="H3943" s="544"/>
    </row>
    <row r="3944" spans="3:8">
      <c r="C3944" s="545" t="e">
        <f>VLOOKUP(D3944,기본!$B$3:$C$90,2,0)</f>
        <v>#N/A</v>
      </c>
      <c r="G3944" t="e">
        <f>VLOOKUP(E3944,기본!$F$3:$G$320,2,0)</f>
        <v>#N/A</v>
      </c>
      <c r="H3944" s="544"/>
    </row>
    <row r="3945" spans="3:8">
      <c r="C3945" s="545" t="e">
        <f>VLOOKUP(D3945,기본!$B$3:$C$90,2,0)</f>
        <v>#N/A</v>
      </c>
      <c r="G3945" t="e">
        <f>VLOOKUP(E3945,기본!$F$3:$G$320,2,0)</f>
        <v>#N/A</v>
      </c>
      <c r="H3945" s="544"/>
    </row>
    <row r="3946" spans="3:8">
      <c r="C3946" s="545" t="e">
        <f>VLOOKUP(D3946,기본!$B$3:$C$90,2,0)</f>
        <v>#N/A</v>
      </c>
      <c r="G3946" t="e">
        <f>VLOOKUP(E3946,기본!$F$3:$G$320,2,0)</f>
        <v>#N/A</v>
      </c>
      <c r="H3946" s="544"/>
    </row>
    <row r="3947" spans="3:8">
      <c r="C3947" s="545" t="e">
        <f>VLOOKUP(D3947,기본!$B$3:$C$90,2,0)</f>
        <v>#N/A</v>
      </c>
      <c r="G3947" t="e">
        <f>VLOOKUP(E3947,기본!$F$3:$G$320,2,0)</f>
        <v>#N/A</v>
      </c>
      <c r="H3947" s="544"/>
    </row>
    <row r="3948" spans="3:8">
      <c r="C3948" s="545" t="e">
        <f>VLOOKUP(D3948,기본!$B$3:$C$90,2,0)</f>
        <v>#N/A</v>
      </c>
      <c r="G3948" t="e">
        <f>VLOOKUP(E3948,기본!$F$3:$G$320,2,0)</f>
        <v>#N/A</v>
      </c>
      <c r="H3948" s="544"/>
    </row>
    <row r="3949" spans="3:8">
      <c r="C3949" s="545" t="e">
        <f>VLOOKUP(D3949,기본!$B$3:$C$90,2,0)</f>
        <v>#N/A</v>
      </c>
      <c r="G3949" t="e">
        <f>VLOOKUP(E3949,기본!$F$3:$G$320,2,0)</f>
        <v>#N/A</v>
      </c>
      <c r="H3949" s="544"/>
    </row>
    <row r="3950" spans="3:8">
      <c r="C3950" s="545" t="e">
        <f>VLOOKUP(D3950,기본!$B$3:$C$90,2,0)</f>
        <v>#N/A</v>
      </c>
      <c r="G3950" t="e">
        <f>VLOOKUP(E3950,기본!$F$3:$G$320,2,0)</f>
        <v>#N/A</v>
      </c>
      <c r="H3950" s="544"/>
    </row>
    <row r="3951" spans="3:8">
      <c r="C3951" s="545" t="e">
        <f>VLOOKUP(D3951,기본!$B$3:$C$90,2,0)</f>
        <v>#N/A</v>
      </c>
      <c r="G3951" t="e">
        <f>VLOOKUP(E3951,기본!$F$3:$G$320,2,0)</f>
        <v>#N/A</v>
      </c>
      <c r="H3951" s="544"/>
    </row>
    <row r="3952" spans="3:8">
      <c r="C3952" s="545" t="e">
        <f>VLOOKUP(D3952,기본!$B$3:$C$90,2,0)</f>
        <v>#N/A</v>
      </c>
      <c r="G3952" t="e">
        <f>VLOOKUP(E3952,기본!$F$3:$G$320,2,0)</f>
        <v>#N/A</v>
      </c>
      <c r="H3952" s="544"/>
    </row>
    <row r="3953" spans="3:8">
      <c r="C3953" s="545" t="e">
        <f>VLOOKUP(D3953,기본!$B$3:$C$90,2,0)</f>
        <v>#N/A</v>
      </c>
      <c r="G3953" t="e">
        <f>VLOOKUP(E3953,기본!$F$3:$G$320,2,0)</f>
        <v>#N/A</v>
      </c>
      <c r="H3953" s="544"/>
    </row>
    <row r="3954" spans="3:8">
      <c r="C3954" s="545" t="e">
        <f>VLOOKUP(D3954,기본!$B$3:$C$90,2,0)</f>
        <v>#N/A</v>
      </c>
      <c r="G3954" t="e">
        <f>VLOOKUP(E3954,기본!$F$3:$G$320,2,0)</f>
        <v>#N/A</v>
      </c>
      <c r="H3954" s="544"/>
    </row>
    <row r="3955" spans="3:8">
      <c r="C3955" s="545" t="e">
        <f>VLOOKUP(D3955,기본!$B$3:$C$90,2,0)</f>
        <v>#N/A</v>
      </c>
      <c r="G3955" t="e">
        <f>VLOOKUP(E3955,기본!$F$3:$G$320,2,0)</f>
        <v>#N/A</v>
      </c>
      <c r="H3955" s="544"/>
    </row>
    <row r="3956" spans="3:8">
      <c r="C3956" s="545" t="e">
        <f>VLOOKUP(D3956,기본!$B$3:$C$90,2,0)</f>
        <v>#N/A</v>
      </c>
      <c r="G3956" t="e">
        <f>VLOOKUP(E3956,기본!$F$3:$G$320,2,0)</f>
        <v>#N/A</v>
      </c>
      <c r="H3956" s="544"/>
    </row>
    <row r="3957" spans="3:8">
      <c r="C3957" s="545" t="e">
        <f>VLOOKUP(D3957,기본!$B$3:$C$90,2,0)</f>
        <v>#N/A</v>
      </c>
      <c r="G3957" t="e">
        <f>VLOOKUP(E3957,기본!$F$3:$G$320,2,0)</f>
        <v>#N/A</v>
      </c>
      <c r="H3957" s="544"/>
    </row>
    <row r="3958" spans="3:8">
      <c r="C3958" s="545" t="e">
        <f>VLOOKUP(D3958,기본!$B$3:$C$90,2,0)</f>
        <v>#N/A</v>
      </c>
      <c r="G3958" t="e">
        <f>VLOOKUP(E3958,기본!$F$3:$G$320,2,0)</f>
        <v>#N/A</v>
      </c>
      <c r="H3958" s="544"/>
    </row>
    <row r="3959" spans="3:8">
      <c r="C3959" s="545" t="e">
        <f>VLOOKUP(D3959,기본!$B$3:$C$90,2,0)</f>
        <v>#N/A</v>
      </c>
      <c r="G3959" t="e">
        <f>VLOOKUP(E3959,기본!$F$3:$G$320,2,0)</f>
        <v>#N/A</v>
      </c>
      <c r="H3959" s="544"/>
    </row>
    <row r="3960" spans="3:8">
      <c r="C3960" s="545" t="e">
        <f>VLOOKUP(D3960,기본!$B$3:$C$90,2,0)</f>
        <v>#N/A</v>
      </c>
      <c r="G3960" t="e">
        <f>VLOOKUP(E3960,기본!$F$3:$G$320,2,0)</f>
        <v>#N/A</v>
      </c>
      <c r="H3960" s="544"/>
    </row>
    <row r="3961" spans="3:8">
      <c r="C3961" s="545" t="e">
        <f>VLOOKUP(D3961,기본!$B$3:$C$90,2,0)</f>
        <v>#N/A</v>
      </c>
      <c r="G3961" t="e">
        <f>VLOOKUP(E3961,기본!$F$3:$G$320,2,0)</f>
        <v>#N/A</v>
      </c>
      <c r="H3961" s="544"/>
    </row>
    <row r="3962" spans="3:8">
      <c r="C3962" s="545" t="e">
        <f>VLOOKUP(D3962,기본!$B$3:$C$90,2,0)</f>
        <v>#N/A</v>
      </c>
      <c r="G3962" t="e">
        <f>VLOOKUP(E3962,기본!$F$3:$G$320,2,0)</f>
        <v>#N/A</v>
      </c>
      <c r="H3962" s="544"/>
    </row>
    <row r="3963" spans="3:8">
      <c r="C3963" s="545" t="e">
        <f>VLOOKUP(D3963,기본!$B$3:$C$90,2,0)</f>
        <v>#N/A</v>
      </c>
      <c r="G3963" t="e">
        <f>VLOOKUP(E3963,기본!$F$3:$G$320,2,0)</f>
        <v>#N/A</v>
      </c>
      <c r="H3963" s="544"/>
    </row>
    <row r="3964" spans="3:8">
      <c r="C3964" s="545" t="e">
        <f>VLOOKUP(D3964,기본!$B$3:$C$90,2,0)</f>
        <v>#N/A</v>
      </c>
      <c r="G3964" t="e">
        <f>VLOOKUP(E3964,기본!$F$3:$G$320,2,0)</f>
        <v>#N/A</v>
      </c>
      <c r="H3964" s="544"/>
    </row>
    <row r="3965" spans="3:8">
      <c r="C3965" s="545" t="e">
        <f>VLOOKUP(D3965,기본!$B$3:$C$90,2,0)</f>
        <v>#N/A</v>
      </c>
      <c r="G3965" t="e">
        <f>VLOOKUP(E3965,기본!$F$3:$G$320,2,0)</f>
        <v>#N/A</v>
      </c>
      <c r="H3965" s="544"/>
    </row>
    <row r="3966" spans="3:8">
      <c r="C3966" s="545" t="e">
        <f>VLOOKUP(D3966,기본!$B$3:$C$90,2,0)</f>
        <v>#N/A</v>
      </c>
      <c r="G3966" t="e">
        <f>VLOOKUP(E3966,기본!$F$3:$G$320,2,0)</f>
        <v>#N/A</v>
      </c>
      <c r="H3966" s="544"/>
    </row>
    <row r="3967" spans="3:8">
      <c r="C3967" s="545" t="e">
        <f>VLOOKUP(D3967,기본!$B$3:$C$90,2,0)</f>
        <v>#N/A</v>
      </c>
      <c r="G3967" t="e">
        <f>VLOOKUP(E3967,기본!$F$3:$G$320,2,0)</f>
        <v>#N/A</v>
      </c>
      <c r="H3967" s="544"/>
    </row>
    <row r="3968" spans="3:8">
      <c r="C3968" s="545" t="e">
        <f>VLOOKUP(D3968,기본!$B$3:$C$90,2,0)</f>
        <v>#N/A</v>
      </c>
      <c r="G3968" t="e">
        <f>VLOOKUP(E3968,기본!$F$3:$G$320,2,0)</f>
        <v>#N/A</v>
      </c>
      <c r="H3968" s="544"/>
    </row>
    <row r="3969" spans="3:8">
      <c r="C3969" s="545" t="e">
        <f>VLOOKUP(D3969,기본!$B$3:$C$90,2,0)</f>
        <v>#N/A</v>
      </c>
      <c r="G3969" t="e">
        <f>VLOOKUP(E3969,기본!$F$3:$G$320,2,0)</f>
        <v>#N/A</v>
      </c>
      <c r="H3969" s="544"/>
    </row>
    <row r="3970" spans="3:8">
      <c r="C3970" s="545" t="e">
        <f>VLOOKUP(D3970,기본!$B$3:$C$90,2,0)</f>
        <v>#N/A</v>
      </c>
      <c r="G3970" t="e">
        <f>VLOOKUP(E3970,기본!$F$3:$G$320,2,0)</f>
        <v>#N/A</v>
      </c>
      <c r="H3970" s="544"/>
    </row>
    <row r="3971" spans="3:8">
      <c r="C3971" s="545" t="e">
        <f>VLOOKUP(D3971,기본!$B$3:$C$90,2,0)</f>
        <v>#N/A</v>
      </c>
      <c r="G3971" t="e">
        <f>VLOOKUP(E3971,기본!$F$3:$G$320,2,0)</f>
        <v>#N/A</v>
      </c>
      <c r="H3971" s="544"/>
    </row>
    <row r="3972" spans="3:8">
      <c r="C3972" s="545" t="e">
        <f>VLOOKUP(D3972,기본!$B$3:$C$90,2,0)</f>
        <v>#N/A</v>
      </c>
      <c r="G3972" t="e">
        <f>VLOOKUP(E3972,기본!$F$3:$G$320,2,0)</f>
        <v>#N/A</v>
      </c>
      <c r="H3972" s="544"/>
    </row>
    <row r="3973" spans="3:8">
      <c r="C3973" s="545" t="e">
        <f>VLOOKUP(D3973,기본!$B$3:$C$90,2,0)</f>
        <v>#N/A</v>
      </c>
      <c r="G3973" t="e">
        <f>VLOOKUP(E3973,기본!$F$3:$G$320,2,0)</f>
        <v>#N/A</v>
      </c>
      <c r="H3973" s="544"/>
    </row>
    <row r="3974" spans="3:8">
      <c r="C3974" s="545" t="e">
        <f>VLOOKUP(D3974,기본!$B$3:$C$90,2,0)</f>
        <v>#N/A</v>
      </c>
      <c r="G3974" t="e">
        <f>VLOOKUP(E3974,기본!$F$3:$G$320,2,0)</f>
        <v>#N/A</v>
      </c>
      <c r="H3974" s="544"/>
    </row>
    <row r="3975" spans="3:8">
      <c r="C3975" s="545" t="e">
        <f>VLOOKUP(D3975,기본!$B$3:$C$90,2,0)</f>
        <v>#N/A</v>
      </c>
      <c r="G3975" t="e">
        <f>VLOOKUP(E3975,기본!$F$3:$G$320,2,0)</f>
        <v>#N/A</v>
      </c>
      <c r="H3975" s="544"/>
    </row>
    <row r="3976" spans="3:8">
      <c r="C3976" s="545" t="e">
        <f>VLOOKUP(D3976,기본!$B$3:$C$90,2,0)</f>
        <v>#N/A</v>
      </c>
      <c r="G3976" t="e">
        <f>VLOOKUP(E3976,기본!$F$3:$G$320,2,0)</f>
        <v>#N/A</v>
      </c>
      <c r="H3976" s="544"/>
    </row>
    <row r="3977" spans="3:8">
      <c r="C3977" s="545" t="e">
        <f>VLOOKUP(D3977,기본!$B$3:$C$90,2,0)</f>
        <v>#N/A</v>
      </c>
      <c r="G3977" t="e">
        <f>VLOOKUP(E3977,기본!$F$3:$G$320,2,0)</f>
        <v>#N/A</v>
      </c>
      <c r="H3977" s="544"/>
    </row>
    <row r="3978" spans="3:8">
      <c r="C3978" s="545" t="e">
        <f>VLOOKUP(D3978,기본!$B$3:$C$90,2,0)</f>
        <v>#N/A</v>
      </c>
      <c r="G3978" t="e">
        <f>VLOOKUP(E3978,기본!$F$3:$G$320,2,0)</f>
        <v>#N/A</v>
      </c>
      <c r="H3978" s="544"/>
    </row>
    <row r="3979" spans="3:8">
      <c r="C3979" s="545" t="e">
        <f>VLOOKUP(D3979,기본!$B$3:$C$90,2,0)</f>
        <v>#N/A</v>
      </c>
      <c r="G3979" t="e">
        <f>VLOOKUP(E3979,기본!$F$3:$G$320,2,0)</f>
        <v>#N/A</v>
      </c>
      <c r="H3979" s="544"/>
    </row>
    <row r="3980" spans="3:8">
      <c r="C3980" s="545" t="e">
        <f>VLOOKUP(D3980,기본!$B$3:$C$90,2,0)</f>
        <v>#N/A</v>
      </c>
      <c r="G3980" t="e">
        <f>VLOOKUP(E3980,기본!$F$3:$G$320,2,0)</f>
        <v>#N/A</v>
      </c>
      <c r="H3980" s="544"/>
    </row>
    <row r="3981" spans="3:8">
      <c r="C3981" s="545" t="e">
        <f>VLOOKUP(D3981,기본!$B$3:$C$90,2,0)</f>
        <v>#N/A</v>
      </c>
      <c r="G3981" t="e">
        <f>VLOOKUP(E3981,기본!$F$3:$G$320,2,0)</f>
        <v>#N/A</v>
      </c>
      <c r="H3981" s="544"/>
    </row>
    <row r="3982" spans="3:8">
      <c r="C3982" s="545" t="e">
        <f>VLOOKUP(D3982,기본!$B$3:$C$90,2,0)</f>
        <v>#N/A</v>
      </c>
      <c r="G3982" t="e">
        <f>VLOOKUP(E3982,기본!$F$3:$G$320,2,0)</f>
        <v>#N/A</v>
      </c>
      <c r="H3982" s="544"/>
    </row>
    <row r="3983" spans="3:8">
      <c r="C3983" s="545" t="e">
        <f>VLOOKUP(D3983,기본!$B$3:$C$90,2,0)</f>
        <v>#N/A</v>
      </c>
      <c r="G3983" t="e">
        <f>VLOOKUP(E3983,기본!$F$3:$G$320,2,0)</f>
        <v>#N/A</v>
      </c>
      <c r="H3983" s="544"/>
    </row>
    <row r="3984" spans="3:8">
      <c r="C3984" s="545" t="e">
        <f>VLOOKUP(D3984,기본!$B$3:$C$90,2,0)</f>
        <v>#N/A</v>
      </c>
      <c r="G3984" t="e">
        <f>VLOOKUP(E3984,기본!$F$3:$G$320,2,0)</f>
        <v>#N/A</v>
      </c>
      <c r="H3984" s="544"/>
    </row>
    <row r="3985" spans="3:8">
      <c r="C3985" s="545" t="e">
        <f>VLOOKUP(D3985,기본!$B$3:$C$90,2,0)</f>
        <v>#N/A</v>
      </c>
      <c r="G3985" t="e">
        <f>VLOOKUP(E3985,기본!$F$3:$G$320,2,0)</f>
        <v>#N/A</v>
      </c>
      <c r="H3985" s="544"/>
    </row>
    <row r="3986" spans="3:8">
      <c r="C3986" s="545" t="e">
        <f>VLOOKUP(D3986,기본!$B$3:$C$90,2,0)</f>
        <v>#N/A</v>
      </c>
      <c r="G3986" t="e">
        <f>VLOOKUP(E3986,기본!$F$3:$G$320,2,0)</f>
        <v>#N/A</v>
      </c>
      <c r="H3986" s="544"/>
    </row>
    <row r="3987" spans="3:8">
      <c r="C3987" s="545" t="e">
        <f>VLOOKUP(D3987,기본!$B$3:$C$90,2,0)</f>
        <v>#N/A</v>
      </c>
      <c r="G3987" t="e">
        <f>VLOOKUP(E3987,기본!$F$3:$G$320,2,0)</f>
        <v>#N/A</v>
      </c>
      <c r="H3987" s="544"/>
    </row>
    <row r="3988" spans="3:8">
      <c r="C3988" s="545" t="e">
        <f>VLOOKUP(D3988,기본!$B$3:$C$90,2,0)</f>
        <v>#N/A</v>
      </c>
      <c r="G3988" t="e">
        <f>VLOOKUP(E3988,기본!$F$3:$G$320,2,0)</f>
        <v>#N/A</v>
      </c>
      <c r="H3988" s="544"/>
    </row>
    <row r="3989" spans="3:8">
      <c r="C3989" s="545" t="e">
        <f>VLOOKUP(D3989,기본!$B$3:$C$90,2,0)</f>
        <v>#N/A</v>
      </c>
      <c r="G3989" t="e">
        <f>VLOOKUP(E3989,기본!$F$3:$G$320,2,0)</f>
        <v>#N/A</v>
      </c>
      <c r="H3989" s="544"/>
    </row>
    <row r="3990" spans="3:8">
      <c r="C3990" s="545" t="e">
        <f>VLOOKUP(D3990,기본!$B$3:$C$90,2,0)</f>
        <v>#N/A</v>
      </c>
      <c r="G3990" t="e">
        <f>VLOOKUP(E3990,기본!$F$3:$G$320,2,0)</f>
        <v>#N/A</v>
      </c>
      <c r="H3990" s="544"/>
    </row>
    <row r="3991" spans="3:8">
      <c r="C3991" s="545" t="e">
        <f>VLOOKUP(D3991,기본!$B$3:$C$90,2,0)</f>
        <v>#N/A</v>
      </c>
      <c r="G3991" t="e">
        <f>VLOOKUP(E3991,기본!$F$3:$G$320,2,0)</f>
        <v>#N/A</v>
      </c>
      <c r="H3991" s="544"/>
    </row>
    <row r="3992" spans="3:8">
      <c r="C3992" s="545" t="e">
        <f>VLOOKUP(D3992,기본!$B$3:$C$90,2,0)</f>
        <v>#N/A</v>
      </c>
      <c r="G3992" t="e">
        <f>VLOOKUP(E3992,기본!$F$3:$G$320,2,0)</f>
        <v>#N/A</v>
      </c>
      <c r="H3992" s="544"/>
    </row>
    <row r="3993" spans="3:8">
      <c r="C3993" s="545" t="e">
        <f>VLOOKUP(D3993,기본!$B$3:$C$90,2,0)</f>
        <v>#N/A</v>
      </c>
      <c r="G3993" t="e">
        <f>VLOOKUP(E3993,기본!$F$3:$G$320,2,0)</f>
        <v>#N/A</v>
      </c>
      <c r="H3993" s="544"/>
    </row>
    <row r="3994" spans="3:8">
      <c r="C3994" s="545" t="e">
        <f>VLOOKUP(D3994,기본!$B$3:$C$90,2,0)</f>
        <v>#N/A</v>
      </c>
      <c r="G3994" t="e">
        <f>VLOOKUP(E3994,기본!$F$3:$G$320,2,0)</f>
        <v>#N/A</v>
      </c>
      <c r="H3994" s="544"/>
    </row>
    <row r="3995" spans="3:8">
      <c r="C3995" s="545" t="e">
        <f>VLOOKUP(D3995,기본!$B$3:$C$90,2,0)</f>
        <v>#N/A</v>
      </c>
      <c r="G3995" t="e">
        <f>VLOOKUP(E3995,기본!$F$3:$G$320,2,0)</f>
        <v>#N/A</v>
      </c>
      <c r="H3995" s="544"/>
    </row>
    <row r="3996" spans="3:8">
      <c r="C3996" s="545" t="e">
        <f>VLOOKUP(D3996,기본!$B$3:$C$90,2,0)</f>
        <v>#N/A</v>
      </c>
      <c r="G3996" t="e">
        <f>VLOOKUP(E3996,기본!$F$3:$G$320,2,0)</f>
        <v>#N/A</v>
      </c>
      <c r="H3996" s="544"/>
    </row>
    <row r="3997" spans="3:8">
      <c r="C3997" s="545" t="e">
        <f>VLOOKUP(D3997,기본!$B$3:$C$90,2,0)</f>
        <v>#N/A</v>
      </c>
      <c r="G3997" t="e">
        <f>VLOOKUP(E3997,기본!$F$3:$G$320,2,0)</f>
        <v>#N/A</v>
      </c>
      <c r="H3997" s="544"/>
    </row>
    <row r="3998" spans="3:8">
      <c r="C3998" s="545" t="e">
        <f>VLOOKUP(D3998,기본!$B$3:$C$90,2,0)</f>
        <v>#N/A</v>
      </c>
      <c r="G3998" t="e">
        <f>VLOOKUP(E3998,기본!$F$3:$G$320,2,0)</f>
        <v>#N/A</v>
      </c>
      <c r="H3998" s="544"/>
    </row>
    <row r="3999" spans="3:8">
      <c r="C3999" s="545" t="e">
        <f>VLOOKUP(D3999,기본!$B$3:$C$90,2,0)</f>
        <v>#N/A</v>
      </c>
      <c r="G3999" t="e">
        <f>VLOOKUP(E3999,기본!$F$3:$G$320,2,0)</f>
        <v>#N/A</v>
      </c>
      <c r="H3999" s="544"/>
    </row>
    <row r="4000" spans="3:8">
      <c r="C4000" s="545" t="e">
        <f>VLOOKUP(D4000,기본!$B$3:$C$90,2,0)</f>
        <v>#N/A</v>
      </c>
      <c r="G4000" t="e">
        <f>VLOOKUP(E4000,기본!$F$3:$G$320,2,0)</f>
        <v>#N/A</v>
      </c>
      <c r="H4000" s="544"/>
    </row>
    <row r="4001" spans="3:8">
      <c r="C4001" s="545" t="e">
        <f>VLOOKUP(D4001,기본!$B$3:$C$90,2,0)</f>
        <v>#N/A</v>
      </c>
      <c r="G4001" t="e">
        <f>VLOOKUP(E4001,기본!$F$3:$G$320,2,0)</f>
        <v>#N/A</v>
      </c>
      <c r="H4001" s="544"/>
    </row>
    <row r="4002" spans="3:8">
      <c r="C4002" s="545" t="e">
        <f>VLOOKUP(D4002,기본!$B$3:$C$90,2,0)</f>
        <v>#N/A</v>
      </c>
      <c r="G4002" t="e">
        <f>VLOOKUP(E4002,기본!$F$3:$G$320,2,0)</f>
        <v>#N/A</v>
      </c>
      <c r="H4002" s="544"/>
    </row>
    <row r="4003" spans="3:8">
      <c r="C4003" s="545" t="e">
        <f>VLOOKUP(D4003,기본!$B$3:$C$90,2,0)</f>
        <v>#N/A</v>
      </c>
      <c r="G4003" t="e">
        <f>VLOOKUP(E4003,기본!$F$3:$G$320,2,0)</f>
        <v>#N/A</v>
      </c>
      <c r="H4003" s="544"/>
    </row>
    <row r="4004" spans="3:8">
      <c r="C4004" s="545" t="e">
        <f>VLOOKUP(D4004,기본!$B$3:$C$90,2,0)</f>
        <v>#N/A</v>
      </c>
      <c r="G4004" t="e">
        <f>VLOOKUP(E4004,기본!$F$3:$G$320,2,0)</f>
        <v>#N/A</v>
      </c>
      <c r="H4004" s="544"/>
    </row>
    <row r="4005" spans="3:8">
      <c r="C4005" s="545" t="e">
        <f>VLOOKUP(D4005,기본!$B$3:$C$90,2,0)</f>
        <v>#N/A</v>
      </c>
      <c r="G4005" t="e">
        <f>VLOOKUP(E4005,기본!$F$3:$G$320,2,0)</f>
        <v>#N/A</v>
      </c>
      <c r="H4005" s="544"/>
    </row>
    <row r="4006" spans="3:8">
      <c r="C4006" s="545" t="e">
        <f>VLOOKUP(D4006,기본!$B$3:$C$90,2,0)</f>
        <v>#N/A</v>
      </c>
      <c r="G4006" t="e">
        <f>VLOOKUP(E4006,기본!$F$3:$G$320,2,0)</f>
        <v>#N/A</v>
      </c>
      <c r="H4006" s="544"/>
    </row>
    <row r="4007" spans="3:8">
      <c r="C4007" s="545" t="e">
        <f>VLOOKUP(D4007,기본!$B$3:$C$90,2,0)</f>
        <v>#N/A</v>
      </c>
      <c r="G4007" t="e">
        <f>VLOOKUP(E4007,기본!$F$3:$G$320,2,0)</f>
        <v>#N/A</v>
      </c>
      <c r="H4007" s="544"/>
    </row>
    <row r="4008" spans="3:8">
      <c r="C4008" s="545" t="e">
        <f>VLOOKUP(D4008,기본!$B$3:$C$90,2,0)</f>
        <v>#N/A</v>
      </c>
      <c r="G4008" t="e">
        <f>VLOOKUP(E4008,기본!$F$3:$G$320,2,0)</f>
        <v>#N/A</v>
      </c>
      <c r="H4008" s="544"/>
    </row>
    <row r="4009" spans="3:8">
      <c r="C4009" s="545" t="e">
        <f>VLOOKUP(D4009,기본!$B$3:$C$90,2,0)</f>
        <v>#N/A</v>
      </c>
      <c r="G4009" t="e">
        <f>VLOOKUP(E4009,기본!$F$3:$G$320,2,0)</f>
        <v>#N/A</v>
      </c>
      <c r="H4009" s="544"/>
    </row>
    <row r="4010" spans="3:8">
      <c r="C4010" s="545" t="e">
        <f>VLOOKUP(D4010,기본!$B$3:$C$90,2,0)</f>
        <v>#N/A</v>
      </c>
      <c r="G4010" t="e">
        <f>VLOOKUP(E4010,기본!$F$3:$G$320,2,0)</f>
        <v>#N/A</v>
      </c>
      <c r="H4010" s="544"/>
    </row>
    <row r="4011" spans="3:8">
      <c r="C4011" s="545" t="e">
        <f>VLOOKUP(D4011,기본!$B$3:$C$90,2,0)</f>
        <v>#N/A</v>
      </c>
      <c r="G4011" t="e">
        <f>VLOOKUP(E4011,기본!$F$3:$G$320,2,0)</f>
        <v>#N/A</v>
      </c>
      <c r="H4011" s="544"/>
    </row>
    <row r="4012" spans="3:8">
      <c r="C4012" s="545" t="e">
        <f>VLOOKUP(D4012,기본!$B$3:$C$90,2,0)</f>
        <v>#N/A</v>
      </c>
      <c r="G4012" t="e">
        <f>VLOOKUP(E4012,기본!$F$3:$G$320,2,0)</f>
        <v>#N/A</v>
      </c>
      <c r="H4012" s="544"/>
    </row>
    <row r="4013" spans="3:8">
      <c r="C4013" s="545" t="e">
        <f>VLOOKUP(D4013,기본!$B$3:$C$90,2,0)</f>
        <v>#N/A</v>
      </c>
      <c r="G4013" t="e">
        <f>VLOOKUP(E4013,기본!$F$3:$G$320,2,0)</f>
        <v>#N/A</v>
      </c>
      <c r="H4013" s="544"/>
    </row>
    <row r="4014" spans="3:8">
      <c r="C4014" s="545" t="e">
        <f>VLOOKUP(D4014,기본!$B$3:$C$90,2,0)</f>
        <v>#N/A</v>
      </c>
      <c r="G4014" t="e">
        <f>VLOOKUP(E4014,기본!$F$3:$G$320,2,0)</f>
        <v>#N/A</v>
      </c>
      <c r="H4014" s="544"/>
    </row>
    <row r="4015" spans="3:8">
      <c r="C4015" s="545" t="e">
        <f>VLOOKUP(D4015,기본!$B$3:$C$90,2,0)</f>
        <v>#N/A</v>
      </c>
      <c r="G4015" t="e">
        <f>VLOOKUP(E4015,기본!$F$3:$G$320,2,0)</f>
        <v>#N/A</v>
      </c>
      <c r="H4015" s="544"/>
    </row>
    <row r="4016" spans="3:8">
      <c r="C4016" s="545" t="e">
        <f>VLOOKUP(D4016,기본!$B$3:$C$90,2,0)</f>
        <v>#N/A</v>
      </c>
      <c r="G4016" t="e">
        <f>VLOOKUP(E4016,기본!$F$3:$G$320,2,0)</f>
        <v>#N/A</v>
      </c>
      <c r="H4016" s="544"/>
    </row>
    <row r="4017" spans="3:8">
      <c r="C4017" s="545" t="e">
        <f>VLOOKUP(D4017,기본!$B$3:$C$90,2,0)</f>
        <v>#N/A</v>
      </c>
      <c r="G4017" t="e">
        <f>VLOOKUP(E4017,기본!$F$3:$G$320,2,0)</f>
        <v>#N/A</v>
      </c>
      <c r="H4017" s="544"/>
    </row>
    <row r="4018" spans="3:8">
      <c r="C4018" s="545" t="e">
        <f>VLOOKUP(D4018,기본!$B$3:$C$90,2,0)</f>
        <v>#N/A</v>
      </c>
      <c r="G4018" t="e">
        <f>VLOOKUP(E4018,기본!$F$3:$G$320,2,0)</f>
        <v>#N/A</v>
      </c>
      <c r="H4018" s="544"/>
    </row>
    <row r="4019" spans="3:8">
      <c r="C4019" s="545" t="e">
        <f>VLOOKUP(D4019,기본!$B$3:$C$90,2,0)</f>
        <v>#N/A</v>
      </c>
      <c r="G4019" t="e">
        <f>VLOOKUP(E4019,기본!$F$3:$G$320,2,0)</f>
        <v>#N/A</v>
      </c>
      <c r="H4019" s="544"/>
    </row>
    <row r="4020" spans="3:8">
      <c r="C4020" s="545" t="e">
        <f>VLOOKUP(D4020,기본!$B$3:$C$90,2,0)</f>
        <v>#N/A</v>
      </c>
      <c r="G4020" t="e">
        <f>VLOOKUP(E4020,기본!$F$3:$G$320,2,0)</f>
        <v>#N/A</v>
      </c>
      <c r="H4020" s="544"/>
    </row>
    <row r="4021" spans="3:8">
      <c r="C4021" s="545" t="e">
        <f>VLOOKUP(D4021,기본!$B$3:$C$90,2,0)</f>
        <v>#N/A</v>
      </c>
      <c r="G4021" t="e">
        <f>VLOOKUP(E4021,기본!$F$3:$G$320,2,0)</f>
        <v>#N/A</v>
      </c>
      <c r="H4021" s="544"/>
    </row>
    <row r="4022" spans="3:8">
      <c r="C4022" s="545" t="e">
        <f>VLOOKUP(D4022,기본!$B$3:$C$90,2,0)</f>
        <v>#N/A</v>
      </c>
      <c r="G4022" t="e">
        <f>VLOOKUP(E4022,기본!$F$3:$G$320,2,0)</f>
        <v>#N/A</v>
      </c>
      <c r="H4022" s="544"/>
    </row>
    <row r="4023" spans="3:8">
      <c r="C4023" s="545" t="e">
        <f>VLOOKUP(D4023,기본!$B$3:$C$90,2,0)</f>
        <v>#N/A</v>
      </c>
      <c r="G4023" t="e">
        <f>VLOOKUP(E4023,기본!$F$3:$G$320,2,0)</f>
        <v>#N/A</v>
      </c>
      <c r="H4023" s="544"/>
    </row>
    <row r="4024" spans="3:8">
      <c r="C4024" s="545" t="e">
        <f>VLOOKUP(D4024,기본!$B$3:$C$90,2,0)</f>
        <v>#N/A</v>
      </c>
      <c r="G4024" t="e">
        <f>VLOOKUP(E4024,기본!$F$3:$G$320,2,0)</f>
        <v>#N/A</v>
      </c>
      <c r="H4024" s="544"/>
    </row>
    <row r="4025" spans="3:8">
      <c r="C4025" s="545" t="e">
        <f>VLOOKUP(D4025,기본!$B$3:$C$90,2,0)</f>
        <v>#N/A</v>
      </c>
      <c r="G4025" t="e">
        <f>VLOOKUP(E4025,기본!$F$3:$G$320,2,0)</f>
        <v>#N/A</v>
      </c>
      <c r="H4025" s="544"/>
    </row>
    <row r="4026" spans="3:8">
      <c r="C4026" s="545" t="e">
        <f>VLOOKUP(D4026,기본!$B$3:$C$90,2,0)</f>
        <v>#N/A</v>
      </c>
      <c r="G4026" t="e">
        <f>VLOOKUP(E4026,기본!$F$3:$G$320,2,0)</f>
        <v>#N/A</v>
      </c>
      <c r="H4026" s="544"/>
    </row>
    <row r="4027" spans="3:8">
      <c r="C4027" s="545" t="e">
        <f>VLOOKUP(D4027,기본!$B$3:$C$90,2,0)</f>
        <v>#N/A</v>
      </c>
      <c r="G4027" t="e">
        <f>VLOOKUP(E4027,기본!$F$3:$G$320,2,0)</f>
        <v>#N/A</v>
      </c>
      <c r="H4027" s="544"/>
    </row>
    <row r="4028" spans="3:8">
      <c r="C4028" s="545" t="e">
        <f>VLOOKUP(D4028,기본!$B$3:$C$90,2,0)</f>
        <v>#N/A</v>
      </c>
      <c r="G4028" t="e">
        <f>VLOOKUP(E4028,기본!$F$3:$G$320,2,0)</f>
        <v>#N/A</v>
      </c>
      <c r="H4028" s="544"/>
    </row>
    <row r="4029" spans="3:8">
      <c r="C4029" s="545" t="e">
        <f>VLOOKUP(D4029,기본!$B$3:$C$90,2,0)</f>
        <v>#N/A</v>
      </c>
      <c r="G4029" t="e">
        <f>VLOOKUP(E4029,기본!$F$3:$G$320,2,0)</f>
        <v>#N/A</v>
      </c>
      <c r="H4029" s="544"/>
    </row>
    <row r="4030" spans="3:8">
      <c r="C4030" s="545" t="e">
        <f>VLOOKUP(D4030,기본!$B$3:$C$90,2,0)</f>
        <v>#N/A</v>
      </c>
      <c r="G4030" t="e">
        <f>VLOOKUP(E4030,기본!$F$3:$G$320,2,0)</f>
        <v>#N/A</v>
      </c>
      <c r="H4030" s="544"/>
    </row>
    <row r="4031" spans="3:8">
      <c r="C4031" s="545" t="e">
        <f>VLOOKUP(D4031,기본!$B$3:$C$90,2,0)</f>
        <v>#N/A</v>
      </c>
      <c r="G4031" t="e">
        <f>VLOOKUP(E4031,기본!$F$3:$G$320,2,0)</f>
        <v>#N/A</v>
      </c>
      <c r="H4031" s="544"/>
    </row>
    <row r="4032" spans="3:8">
      <c r="C4032" s="545" t="e">
        <f>VLOOKUP(D4032,기본!$B$3:$C$90,2,0)</f>
        <v>#N/A</v>
      </c>
      <c r="G4032" t="e">
        <f>VLOOKUP(E4032,기본!$F$3:$G$320,2,0)</f>
        <v>#N/A</v>
      </c>
      <c r="H4032" s="544"/>
    </row>
    <row r="4033" spans="3:8">
      <c r="C4033" s="545" t="e">
        <f>VLOOKUP(D4033,기본!$B$3:$C$90,2,0)</f>
        <v>#N/A</v>
      </c>
      <c r="G4033" t="e">
        <f>VLOOKUP(E4033,기본!$F$3:$G$320,2,0)</f>
        <v>#N/A</v>
      </c>
      <c r="H4033" s="544"/>
    </row>
    <row r="4034" spans="3:8">
      <c r="C4034" s="545" t="e">
        <f>VLOOKUP(D4034,기본!$B$3:$C$90,2,0)</f>
        <v>#N/A</v>
      </c>
      <c r="G4034" t="e">
        <f>VLOOKUP(E4034,기본!$F$3:$G$320,2,0)</f>
        <v>#N/A</v>
      </c>
      <c r="H4034" s="544"/>
    </row>
    <row r="4035" spans="3:8">
      <c r="C4035" s="545" t="e">
        <f>VLOOKUP(D4035,기본!$B$3:$C$90,2,0)</f>
        <v>#N/A</v>
      </c>
      <c r="G4035" t="e">
        <f>VLOOKUP(E4035,기본!$F$3:$G$320,2,0)</f>
        <v>#N/A</v>
      </c>
      <c r="H4035" s="544"/>
    </row>
    <row r="4036" spans="3:8">
      <c r="C4036" s="545" t="e">
        <f>VLOOKUP(D4036,기본!$B$3:$C$90,2,0)</f>
        <v>#N/A</v>
      </c>
      <c r="G4036" t="e">
        <f>VLOOKUP(E4036,기본!$F$3:$G$320,2,0)</f>
        <v>#N/A</v>
      </c>
      <c r="H4036" s="544"/>
    </row>
    <row r="4037" spans="3:8">
      <c r="C4037" s="545" t="e">
        <f>VLOOKUP(D4037,기본!$B$3:$C$90,2,0)</f>
        <v>#N/A</v>
      </c>
      <c r="G4037" t="e">
        <f>VLOOKUP(E4037,기본!$F$3:$G$320,2,0)</f>
        <v>#N/A</v>
      </c>
      <c r="H4037" s="544"/>
    </row>
    <row r="4038" spans="3:8">
      <c r="C4038" s="545" t="e">
        <f>VLOOKUP(D4038,기본!$B$3:$C$90,2,0)</f>
        <v>#N/A</v>
      </c>
      <c r="G4038" t="e">
        <f>VLOOKUP(E4038,기본!$F$3:$G$320,2,0)</f>
        <v>#N/A</v>
      </c>
      <c r="H4038" s="544"/>
    </row>
    <row r="4039" spans="3:8">
      <c r="C4039" s="545" t="e">
        <f>VLOOKUP(D4039,기본!$B$3:$C$90,2,0)</f>
        <v>#N/A</v>
      </c>
      <c r="G4039" t="e">
        <f>VLOOKUP(E4039,기본!$F$3:$G$320,2,0)</f>
        <v>#N/A</v>
      </c>
      <c r="H4039" s="544"/>
    </row>
    <row r="4040" spans="3:8">
      <c r="C4040" s="545" t="e">
        <f>VLOOKUP(D4040,기본!$B$3:$C$90,2,0)</f>
        <v>#N/A</v>
      </c>
      <c r="G4040" t="e">
        <f>VLOOKUP(E4040,기본!$F$3:$G$320,2,0)</f>
        <v>#N/A</v>
      </c>
      <c r="H4040" s="544"/>
    </row>
    <row r="4041" spans="3:8">
      <c r="C4041" s="545" t="e">
        <f>VLOOKUP(D4041,기본!$B$3:$C$90,2,0)</f>
        <v>#N/A</v>
      </c>
      <c r="G4041" t="e">
        <f>VLOOKUP(E4041,기본!$F$3:$G$320,2,0)</f>
        <v>#N/A</v>
      </c>
      <c r="H4041" s="544"/>
    </row>
    <row r="4042" spans="3:8">
      <c r="C4042" s="545" t="e">
        <f>VLOOKUP(D4042,기본!$B$3:$C$90,2,0)</f>
        <v>#N/A</v>
      </c>
      <c r="G4042" t="e">
        <f>VLOOKUP(E4042,기본!$F$3:$G$320,2,0)</f>
        <v>#N/A</v>
      </c>
      <c r="H4042" s="544"/>
    </row>
    <row r="4043" spans="3:8">
      <c r="C4043" s="545" t="e">
        <f>VLOOKUP(D4043,기본!$B$3:$C$90,2,0)</f>
        <v>#N/A</v>
      </c>
      <c r="G4043" t="e">
        <f>VLOOKUP(E4043,기본!$F$3:$G$320,2,0)</f>
        <v>#N/A</v>
      </c>
      <c r="H4043" s="544"/>
    </row>
    <row r="4044" spans="3:8">
      <c r="C4044" s="545" t="e">
        <f>VLOOKUP(D4044,기본!$B$3:$C$90,2,0)</f>
        <v>#N/A</v>
      </c>
      <c r="G4044" t="e">
        <f>VLOOKUP(E4044,기본!$F$3:$G$320,2,0)</f>
        <v>#N/A</v>
      </c>
      <c r="H4044" s="544"/>
    </row>
    <row r="4045" spans="3:8">
      <c r="C4045" s="545" t="e">
        <f>VLOOKUP(D4045,기본!$B$3:$C$90,2,0)</f>
        <v>#N/A</v>
      </c>
      <c r="G4045" t="e">
        <f>VLOOKUP(E4045,기본!$F$3:$G$320,2,0)</f>
        <v>#N/A</v>
      </c>
      <c r="H4045" s="544"/>
    </row>
    <row r="4046" spans="3:8">
      <c r="C4046" s="545" t="e">
        <f>VLOOKUP(D4046,기본!$B$3:$C$90,2,0)</f>
        <v>#N/A</v>
      </c>
      <c r="G4046" t="e">
        <f>VLOOKUP(E4046,기본!$F$3:$G$320,2,0)</f>
        <v>#N/A</v>
      </c>
      <c r="H4046" s="544"/>
    </row>
    <row r="4047" spans="3:8">
      <c r="C4047" s="545" t="e">
        <f>VLOOKUP(D4047,기본!$B$3:$C$90,2,0)</f>
        <v>#N/A</v>
      </c>
      <c r="G4047" t="e">
        <f>VLOOKUP(E4047,기본!$F$3:$G$320,2,0)</f>
        <v>#N/A</v>
      </c>
      <c r="H4047" s="544"/>
    </row>
    <row r="4048" spans="3:8">
      <c r="C4048" s="545" t="e">
        <f>VLOOKUP(D4048,기본!$B$3:$C$90,2,0)</f>
        <v>#N/A</v>
      </c>
      <c r="G4048" t="e">
        <f>VLOOKUP(E4048,기본!$F$3:$G$320,2,0)</f>
        <v>#N/A</v>
      </c>
      <c r="H4048" s="544"/>
    </row>
    <row r="4049" spans="3:8">
      <c r="C4049" s="545" t="e">
        <f>VLOOKUP(D4049,기본!$B$3:$C$90,2,0)</f>
        <v>#N/A</v>
      </c>
      <c r="G4049" t="e">
        <f>VLOOKUP(E4049,기본!$F$3:$G$320,2,0)</f>
        <v>#N/A</v>
      </c>
      <c r="H4049" s="544"/>
    </row>
    <row r="4050" spans="3:8">
      <c r="C4050" s="545" t="e">
        <f>VLOOKUP(D4050,기본!$B$3:$C$90,2,0)</f>
        <v>#N/A</v>
      </c>
      <c r="G4050" t="e">
        <f>VLOOKUP(E4050,기본!$F$3:$G$320,2,0)</f>
        <v>#N/A</v>
      </c>
      <c r="H4050" s="544"/>
    </row>
    <row r="4051" spans="3:8">
      <c r="C4051" s="545" t="e">
        <f>VLOOKUP(D4051,기본!$B$3:$C$90,2,0)</f>
        <v>#N/A</v>
      </c>
      <c r="G4051" t="e">
        <f>VLOOKUP(E4051,기본!$F$3:$G$320,2,0)</f>
        <v>#N/A</v>
      </c>
      <c r="H4051" s="544"/>
    </row>
    <row r="4052" spans="3:8">
      <c r="C4052" s="545" t="e">
        <f>VLOOKUP(D4052,기본!$B$3:$C$90,2,0)</f>
        <v>#N/A</v>
      </c>
      <c r="G4052" t="e">
        <f>VLOOKUP(E4052,기본!$F$3:$G$320,2,0)</f>
        <v>#N/A</v>
      </c>
      <c r="H4052" s="544"/>
    </row>
    <row r="4053" spans="3:8">
      <c r="C4053" s="545" t="e">
        <f>VLOOKUP(D4053,기본!$B$3:$C$90,2,0)</f>
        <v>#N/A</v>
      </c>
      <c r="G4053" t="e">
        <f>VLOOKUP(E4053,기본!$F$3:$G$320,2,0)</f>
        <v>#N/A</v>
      </c>
      <c r="H4053" s="544"/>
    </row>
    <row r="4054" spans="3:8">
      <c r="C4054" s="545" t="e">
        <f>VLOOKUP(D4054,기본!$B$3:$C$90,2,0)</f>
        <v>#N/A</v>
      </c>
      <c r="G4054" t="e">
        <f>VLOOKUP(E4054,기본!$F$3:$G$320,2,0)</f>
        <v>#N/A</v>
      </c>
      <c r="H4054" s="544"/>
    </row>
    <row r="4055" spans="3:8">
      <c r="C4055" s="545" t="e">
        <f>VLOOKUP(D4055,기본!$B$3:$C$90,2,0)</f>
        <v>#N/A</v>
      </c>
      <c r="G4055" t="e">
        <f>VLOOKUP(E4055,기본!$F$3:$G$320,2,0)</f>
        <v>#N/A</v>
      </c>
      <c r="H4055" s="544"/>
    </row>
    <row r="4056" spans="3:8">
      <c r="C4056" s="545" t="e">
        <f>VLOOKUP(D4056,기본!$B$3:$C$90,2,0)</f>
        <v>#N/A</v>
      </c>
      <c r="G4056" t="e">
        <f>VLOOKUP(E4056,기본!$F$3:$G$320,2,0)</f>
        <v>#N/A</v>
      </c>
      <c r="H4056" s="544"/>
    </row>
    <row r="4057" spans="3:8">
      <c r="C4057" s="545" t="e">
        <f>VLOOKUP(D4057,기본!$B$3:$C$90,2,0)</f>
        <v>#N/A</v>
      </c>
      <c r="G4057" t="e">
        <f>VLOOKUP(E4057,기본!$F$3:$G$320,2,0)</f>
        <v>#N/A</v>
      </c>
      <c r="H4057" s="544"/>
    </row>
    <row r="4058" spans="3:8">
      <c r="C4058" s="545" t="e">
        <f>VLOOKUP(D4058,기본!$B$3:$C$90,2,0)</f>
        <v>#N/A</v>
      </c>
      <c r="G4058" t="e">
        <f>VLOOKUP(E4058,기본!$F$3:$G$320,2,0)</f>
        <v>#N/A</v>
      </c>
      <c r="H4058" s="544"/>
    </row>
    <row r="4059" spans="3:8">
      <c r="C4059" s="545" t="e">
        <f>VLOOKUP(D4059,기본!$B$3:$C$90,2,0)</f>
        <v>#N/A</v>
      </c>
      <c r="G4059" t="e">
        <f>VLOOKUP(E4059,기본!$F$3:$G$320,2,0)</f>
        <v>#N/A</v>
      </c>
      <c r="H4059" s="544"/>
    </row>
    <row r="4060" spans="3:8">
      <c r="C4060" s="545" t="e">
        <f>VLOOKUP(D4060,기본!$B$3:$C$90,2,0)</f>
        <v>#N/A</v>
      </c>
      <c r="G4060" t="e">
        <f>VLOOKUP(E4060,기본!$F$3:$G$320,2,0)</f>
        <v>#N/A</v>
      </c>
      <c r="H4060" s="544"/>
    </row>
    <row r="4061" spans="3:8">
      <c r="C4061" s="545" t="e">
        <f>VLOOKUP(D4061,기본!$B$3:$C$90,2,0)</f>
        <v>#N/A</v>
      </c>
      <c r="G4061" t="e">
        <f>VLOOKUP(E4061,기본!$F$3:$G$320,2,0)</f>
        <v>#N/A</v>
      </c>
      <c r="H4061" s="544"/>
    </row>
    <row r="4062" spans="3:8">
      <c r="C4062" s="545" t="e">
        <f>VLOOKUP(D4062,기본!$B$3:$C$90,2,0)</f>
        <v>#N/A</v>
      </c>
      <c r="G4062" t="e">
        <f>VLOOKUP(E4062,기본!$F$3:$G$320,2,0)</f>
        <v>#N/A</v>
      </c>
      <c r="H4062" s="544"/>
    </row>
    <row r="4063" spans="3:8">
      <c r="C4063" s="545" t="e">
        <f>VLOOKUP(D4063,기본!$B$3:$C$90,2,0)</f>
        <v>#N/A</v>
      </c>
      <c r="G4063" t="e">
        <f>VLOOKUP(E4063,기본!$F$3:$G$320,2,0)</f>
        <v>#N/A</v>
      </c>
      <c r="H4063" s="544"/>
    </row>
    <row r="4064" spans="3:8">
      <c r="C4064" s="545" t="e">
        <f>VLOOKUP(D4064,기본!$B$3:$C$90,2,0)</f>
        <v>#N/A</v>
      </c>
      <c r="G4064" t="e">
        <f>VLOOKUP(E4064,기본!$F$3:$G$320,2,0)</f>
        <v>#N/A</v>
      </c>
      <c r="H4064" s="544"/>
    </row>
    <row r="4065" spans="3:8">
      <c r="C4065" s="545" t="e">
        <f>VLOOKUP(D4065,기본!$B$3:$C$90,2,0)</f>
        <v>#N/A</v>
      </c>
      <c r="G4065" t="e">
        <f>VLOOKUP(E4065,기본!$F$3:$G$320,2,0)</f>
        <v>#N/A</v>
      </c>
      <c r="H4065" s="544"/>
    </row>
    <row r="4066" spans="3:8">
      <c r="C4066" s="545" t="e">
        <f>VLOOKUP(D4066,기본!$B$3:$C$90,2,0)</f>
        <v>#N/A</v>
      </c>
      <c r="G4066" t="e">
        <f>VLOOKUP(E4066,기본!$F$3:$G$320,2,0)</f>
        <v>#N/A</v>
      </c>
      <c r="H4066" s="544"/>
    </row>
    <row r="4067" spans="3:8">
      <c r="C4067" s="545" t="e">
        <f>VLOOKUP(D4067,기본!$B$3:$C$90,2,0)</f>
        <v>#N/A</v>
      </c>
      <c r="G4067" t="e">
        <f>VLOOKUP(E4067,기본!$F$3:$G$320,2,0)</f>
        <v>#N/A</v>
      </c>
      <c r="H4067" s="544"/>
    </row>
    <row r="4068" spans="3:8">
      <c r="C4068" s="545" t="e">
        <f>VLOOKUP(D4068,기본!$B$3:$C$90,2,0)</f>
        <v>#N/A</v>
      </c>
      <c r="G4068" t="e">
        <f>VLOOKUP(E4068,기본!$F$3:$G$320,2,0)</f>
        <v>#N/A</v>
      </c>
      <c r="H4068" s="544"/>
    </row>
    <row r="4069" spans="3:8">
      <c r="C4069" s="545" t="e">
        <f>VLOOKUP(D4069,기본!$B$3:$C$90,2,0)</f>
        <v>#N/A</v>
      </c>
      <c r="G4069" t="e">
        <f>VLOOKUP(E4069,기본!$F$3:$G$320,2,0)</f>
        <v>#N/A</v>
      </c>
      <c r="H4069" s="544"/>
    </row>
    <row r="4070" spans="3:8">
      <c r="C4070" s="545" t="e">
        <f>VLOOKUP(D4070,기본!$B$3:$C$90,2,0)</f>
        <v>#N/A</v>
      </c>
      <c r="G4070" t="e">
        <f>VLOOKUP(E4070,기본!$F$3:$G$320,2,0)</f>
        <v>#N/A</v>
      </c>
      <c r="H4070" s="544"/>
    </row>
    <row r="4071" spans="3:8">
      <c r="C4071" s="545" t="e">
        <f>VLOOKUP(D4071,기본!$B$3:$C$90,2,0)</f>
        <v>#N/A</v>
      </c>
      <c r="G4071" t="e">
        <f>VLOOKUP(E4071,기본!$F$3:$G$320,2,0)</f>
        <v>#N/A</v>
      </c>
      <c r="H4071" s="544"/>
    </row>
    <row r="4072" spans="3:8">
      <c r="C4072" s="545" t="e">
        <f>VLOOKUP(D4072,기본!$B$3:$C$90,2,0)</f>
        <v>#N/A</v>
      </c>
      <c r="G4072" t="e">
        <f>VLOOKUP(E4072,기본!$F$3:$G$320,2,0)</f>
        <v>#N/A</v>
      </c>
      <c r="H4072" s="544"/>
    </row>
    <row r="4073" spans="3:8">
      <c r="C4073" s="545" t="e">
        <f>VLOOKUP(D4073,기본!$B$3:$C$90,2,0)</f>
        <v>#N/A</v>
      </c>
      <c r="G4073" t="e">
        <f>VLOOKUP(E4073,기본!$F$3:$G$320,2,0)</f>
        <v>#N/A</v>
      </c>
      <c r="H4073" s="544"/>
    </row>
    <row r="4074" spans="3:8">
      <c r="C4074" s="545" t="e">
        <f>VLOOKUP(D4074,기본!$B$3:$C$90,2,0)</f>
        <v>#N/A</v>
      </c>
      <c r="G4074" t="e">
        <f>VLOOKUP(E4074,기본!$F$3:$G$320,2,0)</f>
        <v>#N/A</v>
      </c>
      <c r="H4074" s="544"/>
    </row>
    <row r="4075" spans="3:8">
      <c r="C4075" s="545" t="e">
        <f>VLOOKUP(D4075,기본!$B$3:$C$90,2,0)</f>
        <v>#N/A</v>
      </c>
      <c r="G4075" t="e">
        <f>VLOOKUP(E4075,기본!$F$3:$G$320,2,0)</f>
        <v>#N/A</v>
      </c>
      <c r="H4075" s="544"/>
    </row>
    <row r="4076" spans="3:8">
      <c r="C4076" s="545" t="e">
        <f>VLOOKUP(D4076,기본!$B$3:$C$90,2,0)</f>
        <v>#N/A</v>
      </c>
      <c r="G4076" t="e">
        <f>VLOOKUP(E4076,기본!$F$3:$G$320,2,0)</f>
        <v>#N/A</v>
      </c>
      <c r="H4076" s="544"/>
    </row>
    <row r="4077" spans="3:8">
      <c r="C4077" s="545" t="e">
        <f>VLOOKUP(D4077,기본!$B$3:$C$90,2,0)</f>
        <v>#N/A</v>
      </c>
      <c r="G4077" t="e">
        <f>VLOOKUP(E4077,기본!$F$3:$G$320,2,0)</f>
        <v>#N/A</v>
      </c>
      <c r="H4077" s="544"/>
    </row>
    <row r="4078" spans="3:8">
      <c r="C4078" s="545" t="e">
        <f>VLOOKUP(D4078,기본!$B$3:$C$90,2,0)</f>
        <v>#N/A</v>
      </c>
      <c r="G4078" t="e">
        <f>VLOOKUP(E4078,기본!$F$3:$G$320,2,0)</f>
        <v>#N/A</v>
      </c>
      <c r="H4078" s="544"/>
    </row>
    <row r="4079" spans="3:8">
      <c r="C4079" s="545" t="e">
        <f>VLOOKUP(D4079,기본!$B$3:$C$90,2,0)</f>
        <v>#N/A</v>
      </c>
      <c r="G4079" t="e">
        <f>VLOOKUP(E4079,기본!$F$3:$G$320,2,0)</f>
        <v>#N/A</v>
      </c>
      <c r="H4079" s="544"/>
    </row>
    <row r="4080" spans="3:8">
      <c r="C4080" s="545" t="e">
        <f>VLOOKUP(D4080,기본!$B$3:$C$90,2,0)</f>
        <v>#N/A</v>
      </c>
      <c r="G4080" t="e">
        <f>VLOOKUP(E4080,기본!$F$3:$G$320,2,0)</f>
        <v>#N/A</v>
      </c>
      <c r="H4080" s="544"/>
    </row>
    <row r="4081" spans="3:8">
      <c r="C4081" s="545" t="e">
        <f>VLOOKUP(D4081,기본!$B$3:$C$90,2,0)</f>
        <v>#N/A</v>
      </c>
      <c r="G4081" t="e">
        <f>VLOOKUP(E4081,기본!$F$3:$G$320,2,0)</f>
        <v>#N/A</v>
      </c>
      <c r="H4081" s="544"/>
    </row>
    <row r="4082" spans="3:8">
      <c r="C4082" s="545" t="e">
        <f>VLOOKUP(D4082,기본!$B$3:$C$90,2,0)</f>
        <v>#N/A</v>
      </c>
      <c r="G4082" t="e">
        <f>VLOOKUP(E4082,기본!$F$3:$G$320,2,0)</f>
        <v>#N/A</v>
      </c>
      <c r="H4082" s="544"/>
    </row>
    <row r="4083" spans="3:8">
      <c r="C4083" s="545" t="e">
        <f>VLOOKUP(D4083,기본!$B$3:$C$90,2,0)</f>
        <v>#N/A</v>
      </c>
      <c r="G4083" t="e">
        <f>VLOOKUP(E4083,기본!$F$3:$G$320,2,0)</f>
        <v>#N/A</v>
      </c>
      <c r="H4083" s="544"/>
    </row>
    <row r="4084" spans="3:8">
      <c r="C4084" s="545" t="e">
        <f>VLOOKUP(D4084,기본!$B$3:$C$90,2,0)</f>
        <v>#N/A</v>
      </c>
      <c r="G4084" t="e">
        <f>VLOOKUP(E4084,기본!$F$3:$G$320,2,0)</f>
        <v>#N/A</v>
      </c>
      <c r="H4084" s="544"/>
    </row>
    <row r="4085" spans="3:8">
      <c r="C4085" s="545" t="e">
        <f>VLOOKUP(D4085,기본!$B$3:$C$90,2,0)</f>
        <v>#N/A</v>
      </c>
      <c r="G4085" t="e">
        <f>VLOOKUP(E4085,기본!$F$3:$G$320,2,0)</f>
        <v>#N/A</v>
      </c>
      <c r="H4085" s="544"/>
    </row>
    <row r="4086" spans="3:8">
      <c r="C4086" s="545" t="e">
        <f>VLOOKUP(D4086,기본!$B$3:$C$90,2,0)</f>
        <v>#N/A</v>
      </c>
      <c r="G4086" t="e">
        <f>VLOOKUP(E4086,기본!$F$3:$G$320,2,0)</f>
        <v>#N/A</v>
      </c>
      <c r="H4086" s="544"/>
    </row>
    <row r="4087" spans="3:8">
      <c r="C4087" s="545" t="e">
        <f>VLOOKUP(D4087,기본!$B$3:$C$90,2,0)</f>
        <v>#N/A</v>
      </c>
      <c r="G4087" t="e">
        <f>VLOOKUP(E4087,기본!$F$3:$G$320,2,0)</f>
        <v>#N/A</v>
      </c>
      <c r="H4087" s="544"/>
    </row>
    <row r="4088" spans="3:8">
      <c r="C4088" s="545" t="e">
        <f>VLOOKUP(D4088,기본!$B$3:$C$90,2,0)</f>
        <v>#N/A</v>
      </c>
      <c r="G4088" t="e">
        <f>VLOOKUP(E4088,기본!$F$3:$G$320,2,0)</f>
        <v>#N/A</v>
      </c>
      <c r="H4088" s="544"/>
    </row>
    <row r="4089" spans="3:8">
      <c r="C4089" s="545" t="e">
        <f>VLOOKUP(D4089,기본!$B$3:$C$90,2,0)</f>
        <v>#N/A</v>
      </c>
      <c r="G4089" t="e">
        <f>VLOOKUP(E4089,기본!$F$3:$G$320,2,0)</f>
        <v>#N/A</v>
      </c>
      <c r="H4089" s="544"/>
    </row>
    <row r="4090" spans="3:8">
      <c r="C4090" s="545" t="e">
        <f>VLOOKUP(D4090,기본!$B$3:$C$90,2,0)</f>
        <v>#N/A</v>
      </c>
      <c r="G4090" t="e">
        <f>VLOOKUP(E4090,기본!$F$3:$G$320,2,0)</f>
        <v>#N/A</v>
      </c>
      <c r="H4090" s="544"/>
    </row>
    <row r="4091" spans="3:8">
      <c r="C4091" s="545" t="e">
        <f>VLOOKUP(D4091,기본!$B$3:$C$90,2,0)</f>
        <v>#N/A</v>
      </c>
      <c r="G4091" t="e">
        <f>VLOOKUP(E4091,기본!$F$3:$G$320,2,0)</f>
        <v>#N/A</v>
      </c>
      <c r="H4091" s="544"/>
    </row>
    <row r="4092" spans="3:8">
      <c r="C4092" s="545" t="e">
        <f>VLOOKUP(D4092,기본!$B$3:$C$90,2,0)</f>
        <v>#N/A</v>
      </c>
      <c r="G4092" t="e">
        <f>VLOOKUP(E4092,기본!$F$3:$G$320,2,0)</f>
        <v>#N/A</v>
      </c>
      <c r="H4092" s="544"/>
    </row>
    <row r="4093" spans="3:8">
      <c r="C4093" s="545" t="e">
        <f>VLOOKUP(D4093,기본!$B$3:$C$90,2,0)</f>
        <v>#N/A</v>
      </c>
      <c r="G4093" t="e">
        <f>VLOOKUP(E4093,기본!$F$3:$G$320,2,0)</f>
        <v>#N/A</v>
      </c>
      <c r="H4093" s="544"/>
    </row>
    <row r="4094" spans="3:8">
      <c r="C4094" s="545" t="e">
        <f>VLOOKUP(D4094,기본!$B$3:$C$90,2,0)</f>
        <v>#N/A</v>
      </c>
      <c r="G4094" t="e">
        <f>VLOOKUP(E4094,기본!$F$3:$G$320,2,0)</f>
        <v>#N/A</v>
      </c>
      <c r="H4094" s="544"/>
    </row>
    <row r="4095" spans="3:8">
      <c r="C4095" s="545" t="e">
        <f>VLOOKUP(D4095,기본!$B$3:$C$90,2,0)</f>
        <v>#N/A</v>
      </c>
      <c r="G4095" t="e">
        <f>VLOOKUP(E4095,기본!$F$3:$G$320,2,0)</f>
        <v>#N/A</v>
      </c>
      <c r="H4095" s="544"/>
    </row>
    <row r="4096" spans="3:8">
      <c r="C4096" s="545" t="e">
        <f>VLOOKUP(D4096,기본!$B$3:$C$90,2,0)</f>
        <v>#N/A</v>
      </c>
      <c r="G4096" t="e">
        <f>VLOOKUP(E4096,기본!$F$3:$G$320,2,0)</f>
        <v>#N/A</v>
      </c>
      <c r="H4096" s="544"/>
    </row>
    <row r="4097" spans="3:8">
      <c r="C4097" s="545" t="e">
        <f>VLOOKUP(D4097,기본!$B$3:$C$90,2,0)</f>
        <v>#N/A</v>
      </c>
      <c r="G4097" t="e">
        <f>VLOOKUP(E4097,기본!$F$3:$G$320,2,0)</f>
        <v>#N/A</v>
      </c>
      <c r="H4097" s="544"/>
    </row>
    <row r="4098" spans="3:8">
      <c r="C4098" s="545" t="e">
        <f>VLOOKUP(D4098,기본!$B$3:$C$90,2,0)</f>
        <v>#N/A</v>
      </c>
      <c r="G4098" t="e">
        <f>VLOOKUP(E4098,기본!$F$3:$G$320,2,0)</f>
        <v>#N/A</v>
      </c>
      <c r="H4098" s="544"/>
    </row>
    <row r="4099" spans="3:8">
      <c r="C4099" s="545" t="e">
        <f>VLOOKUP(D4099,기본!$B$3:$C$90,2,0)</f>
        <v>#N/A</v>
      </c>
      <c r="G4099" t="e">
        <f>VLOOKUP(E4099,기본!$F$3:$G$320,2,0)</f>
        <v>#N/A</v>
      </c>
      <c r="H4099" s="544"/>
    </row>
    <row r="4100" spans="3:8">
      <c r="C4100" s="545" t="e">
        <f>VLOOKUP(D4100,기본!$B$3:$C$90,2,0)</f>
        <v>#N/A</v>
      </c>
      <c r="G4100" t="e">
        <f>VLOOKUP(E4100,기본!$F$3:$G$320,2,0)</f>
        <v>#N/A</v>
      </c>
      <c r="H4100" s="544"/>
    </row>
    <row r="4101" spans="3:8">
      <c r="C4101" s="545" t="e">
        <f>VLOOKUP(D4101,기본!$B$3:$C$90,2,0)</f>
        <v>#N/A</v>
      </c>
      <c r="G4101" t="e">
        <f>VLOOKUP(E4101,기본!$F$3:$G$320,2,0)</f>
        <v>#N/A</v>
      </c>
      <c r="H4101" s="544"/>
    </row>
    <row r="4102" spans="3:8">
      <c r="C4102" s="545" t="e">
        <f>VLOOKUP(D4102,기본!$B$3:$C$90,2,0)</f>
        <v>#N/A</v>
      </c>
      <c r="G4102" t="e">
        <f>VLOOKUP(E4102,기본!$F$3:$G$320,2,0)</f>
        <v>#N/A</v>
      </c>
      <c r="H4102" s="544"/>
    </row>
    <row r="4103" spans="3:8">
      <c r="C4103" s="545" t="e">
        <f>VLOOKUP(D4103,기본!$B$3:$C$90,2,0)</f>
        <v>#N/A</v>
      </c>
      <c r="G4103" t="e">
        <f>VLOOKUP(E4103,기본!$F$3:$G$320,2,0)</f>
        <v>#N/A</v>
      </c>
      <c r="H4103" s="544"/>
    </row>
    <row r="4104" spans="3:8">
      <c r="C4104" s="545" t="e">
        <f>VLOOKUP(D4104,기본!$B$3:$C$90,2,0)</f>
        <v>#N/A</v>
      </c>
      <c r="G4104" t="e">
        <f>VLOOKUP(E4104,기본!$F$3:$G$320,2,0)</f>
        <v>#N/A</v>
      </c>
      <c r="H4104" s="544"/>
    </row>
    <row r="4105" spans="3:8">
      <c r="C4105" s="545" t="e">
        <f>VLOOKUP(D4105,기본!$B$3:$C$90,2,0)</f>
        <v>#N/A</v>
      </c>
      <c r="G4105" t="e">
        <f>VLOOKUP(E4105,기본!$F$3:$G$320,2,0)</f>
        <v>#N/A</v>
      </c>
      <c r="H4105" s="544"/>
    </row>
    <row r="4106" spans="3:8">
      <c r="C4106" s="545" t="e">
        <f>VLOOKUP(D4106,기본!$B$3:$C$90,2,0)</f>
        <v>#N/A</v>
      </c>
      <c r="G4106" t="e">
        <f>VLOOKUP(E4106,기본!$F$3:$G$320,2,0)</f>
        <v>#N/A</v>
      </c>
      <c r="H4106" s="544"/>
    </row>
    <row r="4107" spans="3:8">
      <c r="C4107" s="545" t="e">
        <f>VLOOKUP(D4107,기본!$B$3:$C$90,2,0)</f>
        <v>#N/A</v>
      </c>
      <c r="G4107" t="e">
        <f>VLOOKUP(E4107,기본!$F$3:$G$320,2,0)</f>
        <v>#N/A</v>
      </c>
      <c r="H4107" s="544"/>
    </row>
    <row r="4108" spans="3:8">
      <c r="C4108" s="545" t="e">
        <f>VLOOKUP(D4108,기본!$B$3:$C$90,2,0)</f>
        <v>#N/A</v>
      </c>
      <c r="G4108" t="e">
        <f>VLOOKUP(E4108,기본!$F$3:$G$320,2,0)</f>
        <v>#N/A</v>
      </c>
      <c r="H4108" s="544"/>
    </row>
    <row r="4109" spans="3:8">
      <c r="C4109" s="545" t="e">
        <f>VLOOKUP(D4109,기본!$B$3:$C$90,2,0)</f>
        <v>#N/A</v>
      </c>
      <c r="G4109" t="e">
        <f>VLOOKUP(E4109,기본!$F$3:$G$320,2,0)</f>
        <v>#N/A</v>
      </c>
      <c r="H4109" s="544"/>
    </row>
    <row r="4110" spans="3:8">
      <c r="C4110" s="545" t="e">
        <f>VLOOKUP(D4110,기본!$B$3:$C$90,2,0)</f>
        <v>#N/A</v>
      </c>
      <c r="G4110" t="e">
        <f>VLOOKUP(E4110,기본!$F$3:$G$320,2,0)</f>
        <v>#N/A</v>
      </c>
      <c r="H4110" s="544"/>
    </row>
    <row r="4111" spans="3:8">
      <c r="C4111" s="545" t="e">
        <f>VLOOKUP(D4111,기본!$B$3:$C$90,2,0)</f>
        <v>#N/A</v>
      </c>
      <c r="G4111" t="e">
        <f>VLOOKUP(E4111,기본!$F$3:$G$320,2,0)</f>
        <v>#N/A</v>
      </c>
      <c r="H4111" s="544"/>
    </row>
    <row r="4112" spans="3:8">
      <c r="C4112" s="545" t="e">
        <f>VLOOKUP(D4112,기본!$B$3:$C$90,2,0)</f>
        <v>#N/A</v>
      </c>
      <c r="G4112" t="e">
        <f>VLOOKUP(E4112,기본!$F$3:$G$320,2,0)</f>
        <v>#N/A</v>
      </c>
      <c r="H4112" s="544"/>
    </row>
    <row r="4113" spans="3:8">
      <c r="C4113" s="545" t="e">
        <f>VLOOKUP(D4113,기본!$B$3:$C$90,2,0)</f>
        <v>#N/A</v>
      </c>
      <c r="G4113" t="e">
        <f>VLOOKUP(E4113,기본!$F$3:$G$320,2,0)</f>
        <v>#N/A</v>
      </c>
      <c r="H4113" s="544"/>
    </row>
    <row r="4114" spans="3:8">
      <c r="C4114" s="545" t="e">
        <f>VLOOKUP(D4114,기본!$B$3:$C$90,2,0)</f>
        <v>#N/A</v>
      </c>
      <c r="G4114" t="e">
        <f>VLOOKUP(E4114,기본!$F$3:$G$320,2,0)</f>
        <v>#N/A</v>
      </c>
      <c r="H4114" s="544"/>
    </row>
    <row r="4115" spans="3:8">
      <c r="C4115" s="545" t="e">
        <f>VLOOKUP(D4115,기본!$B$3:$C$90,2,0)</f>
        <v>#N/A</v>
      </c>
      <c r="G4115" t="e">
        <f>VLOOKUP(E4115,기본!$F$3:$G$320,2,0)</f>
        <v>#N/A</v>
      </c>
      <c r="H4115" s="544"/>
    </row>
    <row r="4116" spans="3:8">
      <c r="C4116" s="545" t="e">
        <f>VLOOKUP(D4116,기본!$B$3:$C$90,2,0)</f>
        <v>#N/A</v>
      </c>
      <c r="G4116" t="e">
        <f>VLOOKUP(E4116,기본!$F$3:$G$320,2,0)</f>
        <v>#N/A</v>
      </c>
      <c r="H4116" s="544"/>
    </row>
    <row r="4117" spans="3:8">
      <c r="C4117" s="545" t="e">
        <f>VLOOKUP(D4117,기본!$B$3:$C$90,2,0)</f>
        <v>#N/A</v>
      </c>
      <c r="G4117" t="e">
        <f>VLOOKUP(E4117,기본!$F$3:$G$320,2,0)</f>
        <v>#N/A</v>
      </c>
      <c r="H4117" s="544"/>
    </row>
    <row r="4118" spans="3:8">
      <c r="C4118" s="545" t="e">
        <f>VLOOKUP(D4118,기본!$B$3:$C$90,2,0)</f>
        <v>#N/A</v>
      </c>
      <c r="G4118" t="e">
        <f>VLOOKUP(E4118,기본!$F$3:$G$320,2,0)</f>
        <v>#N/A</v>
      </c>
      <c r="H4118" s="544"/>
    </row>
    <row r="4119" spans="3:8">
      <c r="C4119" s="545" t="e">
        <f>VLOOKUP(D4119,기본!$B$3:$C$90,2,0)</f>
        <v>#N/A</v>
      </c>
      <c r="G4119" t="e">
        <f>VLOOKUP(E4119,기본!$F$3:$G$320,2,0)</f>
        <v>#N/A</v>
      </c>
      <c r="H4119" s="544"/>
    </row>
    <row r="4120" spans="3:8">
      <c r="C4120" s="545" t="e">
        <f>VLOOKUP(D4120,기본!$B$3:$C$90,2,0)</f>
        <v>#N/A</v>
      </c>
      <c r="G4120" t="e">
        <f>VLOOKUP(E4120,기본!$F$3:$G$320,2,0)</f>
        <v>#N/A</v>
      </c>
      <c r="H4120" s="544"/>
    </row>
    <row r="4121" spans="3:8">
      <c r="C4121" s="545" t="e">
        <f>VLOOKUP(D4121,기본!$B$3:$C$90,2,0)</f>
        <v>#N/A</v>
      </c>
      <c r="G4121" t="e">
        <f>VLOOKUP(E4121,기본!$F$3:$G$320,2,0)</f>
        <v>#N/A</v>
      </c>
      <c r="H4121" s="544"/>
    </row>
    <row r="4122" spans="3:8">
      <c r="C4122" s="545" t="e">
        <f>VLOOKUP(D4122,기본!$B$3:$C$90,2,0)</f>
        <v>#N/A</v>
      </c>
      <c r="G4122" t="e">
        <f>VLOOKUP(E4122,기본!$F$3:$G$320,2,0)</f>
        <v>#N/A</v>
      </c>
      <c r="H4122" s="544"/>
    </row>
    <row r="4123" spans="3:8">
      <c r="C4123" s="545" t="e">
        <f>VLOOKUP(D4123,기본!$B$3:$C$90,2,0)</f>
        <v>#N/A</v>
      </c>
      <c r="G4123" t="e">
        <f>VLOOKUP(E4123,기본!$F$3:$G$320,2,0)</f>
        <v>#N/A</v>
      </c>
      <c r="H4123" s="544"/>
    </row>
    <row r="4124" spans="3:8">
      <c r="C4124" s="545" t="e">
        <f>VLOOKUP(D4124,기본!$B$3:$C$90,2,0)</f>
        <v>#N/A</v>
      </c>
      <c r="G4124" t="e">
        <f>VLOOKUP(E4124,기본!$F$3:$G$320,2,0)</f>
        <v>#N/A</v>
      </c>
      <c r="H4124" s="544"/>
    </row>
    <row r="4125" spans="3:8">
      <c r="C4125" s="545" t="e">
        <f>VLOOKUP(D4125,기본!$B$3:$C$90,2,0)</f>
        <v>#N/A</v>
      </c>
      <c r="G4125" t="e">
        <f>VLOOKUP(E4125,기본!$F$3:$G$320,2,0)</f>
        <v>#N/A</v>
      </c>
      <c r="H4125" s="544"/>
    </row>
    <row r="4126" spans="3:8">
      <c r="C4126" s="545" t="e">
        <f>VLOOKUP(D4126,기본!$B$3:$C$90,2,0)</f>
        <v>#N/A</v>
      </c>
      <c r="G4126" t="e">
        <f>VLOOKUP(E4126,기본!$F$3:$G$320,2,0)</f>
        <v>#N/A</v>
      </c>
      <c r="H4126" s="544"/>
    </row>
    <row r="4127" spans="3:8">
      <c r="C4127" s="545" t="e">
        <f>VLOOKUP(D4127,기본!$B$3:$C$90,2,0)</f>
        <v>#N/A</v>
      </c>
      <c r="G4127" t="e">
        <f>VLOOKUP(E4127,기본!$F$3:$G$320,2,0)</f>
        <v>#N/A</v>
      </c>
      <c r="H4127" s="544"/>
    </row>
    <row r="4128" spans="3:8">
      <c r="C4128" s="545" t="e">
        <f>VLOOKUP(D4128,기본!$B$3:$C$90,2,0)</f>
        <v>#N/A</v>
      </c>
      <c r="G4128" t="e">
        <f>VLOOKUP(E4128,기본!$F$3:$G$320,2,0)</f>
        <v>#N/A</v>
      </c>
      <c r="H4128" s="544"/>
    </row>
    <row r="4129" spans="3:8">
      <c r="C4129" s="545" t="e">
        <f>VLOOKUP(D4129,기본!$B$3:$C$90,2,0)</f>
        <v>#N/A</v>
      </c>
      <c r="G4129" t="e">
        <f>VLOOKUP(E4129,기본!$F$3:$G$320,2,0)</f>
        <v>#N/A</v>
      </c>
      <c r="H4129" s="544"/>
    </row>
    <row r="4130" spans="3:8">
      <c r="C4130" s="545" t="e">
        <f>VLOOKUP(D4130,기본!$B$3:$C$90,2,0)</f>
        <v>#N/A</v>
      </c>
      <c r="G4130" t="e">
        <f>VLOOKUP(E4130,기본!$F$3:$G$320,2,0)</f>
        <v>#N/A</v>
      </c>
      <c r="H4130" s="544"/>
    </row>
    <row r="4131" spans="3:8">
      <c r="C4131" s="545" t="e">
        <f>VLOOKUP(D4131,기본!$B$3:$C$90,2,0)</f>
        <v>#N/A</v>
      </c>
      <c r="G4131" t="e">
        <f>VLOOKUP(E4131,기본!$F$3:$G$320,2,0)</f>
        <v>#N/A</v>
      </c>
      <c r="H4131" s="544"/>
    </row>
    <row r="4132" spans="3:8">
      <c r="C4132" s="545" t="e">
        <f>VLOOKUP(D4132,기본!$B$3:$C$90,2,0)</f>
        <v>#N/A</v>
      </c>
      <c r="G4132" t="e">
        <f>VLOOKUP(E4132,기본!$F$3:$G$320,2,0)</f>
        <v>#N/A</v>
      </c>
      <c r="H4132" s="544"/>
    </row>
    <row r="4133" spans="3:8">
      <c r="C4133" s="545" t="e">
        <f>VLOOKUP(D4133,기본!$B$3:$C$90,2,0)</f>
        <v>#N/A</v>
      </c>
      <c r="G4133" t="e">
        <f>VLOOKUP(E4133,기본!$F$3:$G$320,2,0)</f>
        <v>#N/A</v>
      </c>
      <c r="H4133" s="544"/>
    </row>
    <row r="4134" spans="3:8">
      <c r="C4134" s="545" t="e">
        <f>VLOOKUP(D4134,기본!$B$3:$C$90,2,0)</f>
        <v>#N/A</v>
      </c>
      <c r="G4134" t="e">
        <f>VLOOKUP(E4134,기본!$F$3:$G$320,2,0)</f>
        <v>#N/A</v>
      </c>
      <c r="H4134" s="544"/>
    </row>
    <row r="4135" spans="3:8">
      <c r="C4135" s="545" t="e">
        <f>VLOOKUP(D4135,기본!$B$3:$C$90,2,0)</f>
        <v>#N/A</v>
      </c>
      <c r="G4135" t="e">
        <f>VLOOKUP(E4135,기본!$F$3:$G$320,2,0)</f>
        <v>#N/A</v>
      </c>
      <c r="H4135" s="544"/>
    </row>
    <row r="4136" spans="3:8">
      <c r="C4136" s="545" t="e">
        <f>VLOOKUP(D4136,기본!$B$3:$C$90,2,0)</f>
        <v>#N/A</v>
      </c>
      <c r="G4136" t="e">
        <f>VLOOKUP(E4136,기본!$F$3:$G$320,2,0)</f>
        <v>#N/A</v>
      </c>
      <c r="H4136" s="544"/>
    </row>
    <row r="4137" spans="3:8">
      <c r="C4137" s="545" t="e">
        <f>VLOOKUP(D4137,기본!$B$3:$C$90,2,0)</f>
        <v>#N/A</v>
      </c>
      <c r="G4137" t="e">
        <f>VLOOKUP(E4137,기본!$F$3:$G$320,2,0)</f>
        <v>#N/A</v>
      </c>
      <c r="H4137" s="544"/>
    </row>
    <row r="4138" spans="3:8">
      <c r="C4138" s="545" t="e">
        <f>VLOOKUP(D4138,기본!$B$3:$C$90,2,0)</f>
        <v>#N/A</v>
      </c>
      <c r="G4138" t="e">
        <f>VLOOKUP(E4138,기본!$F$3:$G$320,2,0)</f>
        <v>#N/A</v>
      </c>
      <c r="H4138" s="544"/>
    </row>
    <row r="4139" spans="3:8">
      <c r="C4139" s="545" t="e">
        <f>VLOOKUP(D4139,기본!$B$3:$C$90,2,0)</f>
        <v>#N/A</v>
      </c>
      <c r="G4139" t="e">
        <f>VLOOKUP(E4139,기본!$F$3:$G$320,2,0)</f>
        <v>#N/A</v>
      </c>
      <c r="H4139" s="544"/>
    </row>
    <row r="4140" spans="3:8">
      <c r="C4140" s="545" t="e">
        <f>VLOOKUP(D4140,기본!$B$3:$C$90,2,0)</f>
        <v>#N/A</v>
      </c>
      <c r="G4140" t="e">
        <f>VLOOKUP(E4140,기본!$F$3:$G$320,2,0)</f>
        <v>#N/A</v>
      </c>
      <c r="H4140" s="544"/>
    </row>
    <row r="4141" spans="3:8">
      <c r="C4141" s="545" t="e">
        <f>VLOOKUP(D4141,기본!$B$3:$C$90,2,0)</f>
        <v>#N/A</v>
      </c>
      <c r="G4141" t="e">
        <f>VLOOKUP(E4141,기본!$F$3:$G$320,2,0)</f>
        <v>#N/A</v>
      </c>
      <c r="H4141" s="544"/>
    </row>
    <row r="4142" spans="3:8">
      <c r="C4142" s="545" t="e">
        <f>VLOOKUP(D4142,기본!$B$3:$C$90,2,0)</f>
        <v>#N/A</v>
      </c>
      <c r="G4142" t="e">
        <f>VLOOKUP(E4142,기본!$F$3:$G$320,2,0)</f>
        <v>#N/A</v>
      </c>
      <c r="H4142" s="544"/>
    </row>
    <row r="4143" spans="3:8">
      <c r="C4143" s="545" t="e">
        <f>VLOOKUP(D4143,기본!$B$3:$C$90,2,0)</f>
        <v>#N/A</v>
      </c>
      <c r="G4143" t="e">
        <f>VLOOKUP(E4143,기본!$F$3:$G$320,2,0)</f>
        <v>#N/A</v>
      </c>
      <c r="H4143" s="544"/>
    </row>
    <row r="4144" spans="3:8">
      <c r="C4144" s="545" t="e">
        <f>VLOOKUP(D4144,기본!$B$3:$C$90,2,0)</f>
        <v>#N/A</v>
      </c>
      <c r="G4144" t="e">
        <f>VLOOKUP(E4144,기본!$F$3:$G$320,2,0)</f>
        <v>#N/A</v>
      </c>
      <c r="H4144" s="544"/>
    </row>
    <row r="4145" spans="3:8">
      <c r="C4145" s="545" t="e">
        <f>VLOOKUP(D4145,기본!$B$3:$C$90,2,0)</f>
        <v>#N/A</v>
      </c>
      <c r="G4145" t="e">
        <f>VLOOKUP(E4145,기본!$F$3:$G$320,2,0)</f>
        <v>#N/A</v>
      </c>
      <c r="H4145" s="544"/>
    </row>
    <row r="4146" spans="3:8">
      <c r="C4146" s="545" t="e">
        <f>VLOOKUP(D4146,기본!$B$3:$C$90,2,0)</f>
        <v>#N/A</v>
      </c>
      <c r="G4146" t="e">
        <f>VLOOKUP(E4146,기본!$F$3:$G$320,2,0)</f>
        <v>#N/A</v>
      </c>
      <c r="H4146" s="544"/>
    </row>
    <row r="4147" spans="3:8">
      <c r="C4147" s="545" t="e">
        <f>VLOOKUP(D4147,기본!$B$3:$C$90,2,0)</f>
        <v>#N/A</v>
      </c>
      <c r="G4147" t="e">
        <f>VLOOKUP(E4147,기본!$F$3:$G$320,2,0)</f>
        <v>#N/A</v>
      </c>
      <c r="H4147" s="544"/>
    </row>
    <row r="4148" spans="3:8">
      <c r="C4148" s="545" t="e">
        <f>VLOOKUP(D4148,기본!$B$3:$C$90,2,0)</f>
        <v>#N/A</v>
      </c>
      <c r="G4148" t="e">
        <f>VLOOKUP(E4148,기본!$F$3:$G$320,2,0)</f>
        <v>#N/A</v>
      </c>
      <c r="H4148" s="544"/>
    </row>
    <row r="4149" spans="3:8">
      <c r="C4149" s="545" t="e">
        <f>VLOOKUP(D4149,기본!$B$3:$C$90,2,0)</f>
        <v>#N/A</v>
      </c>
      <c r="G4149" t="e">
        <f>VLOOKUP(E4149,기본!$F$3:$G$320,2,0)</f>
        <v>#N/A</v>
      </c>
      <c r="H4149" s="544"/>
    </row>
    <row r="4150" spans="3:8">
      <c r="C4150" s="545" t="e">
        <f>VLOOKUP(D4150,기본!$B$3:$C$90,2,0)</f>
        <v>#N/A</v>
      </c>
      <c r="G4150" t="e">
        <f>VLOOKUP(E4150,기본!$F$3:$G$320,2,0)</f>
        <v>#N/A</v>
      </c>
      <c r="H4150" s="544"/>
    </row>
    <row r="4151" spans="3:8">
      <c r="C4151" s="545" t="e">
        <f>VLOOKUP(D4151,기본!$B$3:$C$90,2,0)</f>
        <v>#N/A</v>
      </c>
      <c r="G4151" t="e">
        <f>VLOOKUP(E4151,기본!$F$3:$G$320,2,0)</f>
        <v>#N/A</v>
      </c>
      <c r="H4151" s="544"/>
    </row>
    <row r="4152" spans="3:8">
      <c r="C4152" s="545" t="e">
        <f>VLOOKUP(D4152,기본!$B$3:$C$90,2,0)</f>
        <v>#N/A</v>
      </c>
      <c r="G4152" t="e">
        <f>VLOOKUP(E4152,기본!$F$3:$G$320,2,0)</f>
        <v>#N/A</v>
      </c>
      <c r="H4152" s="544"/>
    </row>
    <row r="4153" spans="3:8">
      <c r="C4153" s="545" t="e">
        <f>VLOOKUP(D4153,기본!$B$3:$C$90,2,0)</f>
        <v>#N/A</v>
      </c>
      <c r="G4153" t="e">
        <f>VLOOKUP(E4153,기본!$F$3:$G$320,2,0)</f>
        <v>#N/A</v>
      </c>
      <c r="H4153" s="544"/>
    </row>
    <row r="4154" spans="3:8">
      <c r="C4154" s="545" t="e">
        <f>VLOOKUP(D4154,기본!$B$3:$C$90,2,0)</f>
        <v>#N/A</v>
      </c>
      <c r="G4154" t="e">
        <f>VLOOKUP(E4154,기본!$F$3:$G$320,2,0)</f>
        <v>#N/A</v>
      </c>
      <c r="H4154" s="544"/>
    </row>
    <row r="4155" spans="3:8">
      <c r="C4155" s="545" t="e">
        <f>VLOOKUP(D4155,기본!$B$3:$C$90,2,0)</f>
        <v>#N/A</v>
      </c>
      <c r="G4155" t="e">
        <f>VLOOKUP(E4155,기본!$F$3:$G$320,2,0)</f>
        <v>#N/A</v>
      </c>
      <c r="H4155" s="544"/>
    </row>
    <row r="4156" spans="3:8">
      <c r="C4156" s="545" t="e">
        <f>VLOOKUP(D4156,기본!$B$3:$C$90,2,0)</f>
        <v>#N/A</v>
      </c>
      <c r="G4156" t="e">
        <f>VLOOKUP(E4156,기본!$F$3:$G$320,2,0)</f>
        <v>#N/A</v>
      </c>
      <c r="H4156" s="544"/>
    </row>
    <row r="4157" spans="3:8">
      <c r="C4157" s="545" t="e">
        <f>VLOOKUP(D4157,기본!$B$3:$C$90,2,0)</f>
        <v>#N/A</v>
      </c>
      <c r="G4157" t="e">
        <f>VLOOKUP(E4157,기본!$F$3:$G$320,2,0)</f>
        <v>#N/A</v>
      </c>
      <c r="H4157" s="544"/>
    </row>
    <row r="4158" spans="3:8">
      <c r="C4158" s="545" t="e">
        <f>VLOOKUP(D4158,기본!$B$3:$C$90,2,0)</f>
        <v>#N/A</v>
      </c>
      <c r="G4158" t="e">
        <f>VLOOKUP(E4158,기본!$F$3:$G$320,2,0)</f>
        <v>#N/A</v>
      </c>
      <c r="H4158" s="544"/>
    </row>
    <row r="4159" spans="3:8">
      <c r="C4159" s="545" t="e">
        <f>VLOOKUP(D4159,기본!$B$3:$C$90,2,0)</f>
        <v>#N/A</v>
      </c>
      <c r="G4159" t="e">
        <f>VLOOKUP(E4159,기본!$F$3:$G$320,2,0)</f>
        <v>#N/A</v>
      </c>
      <c r="H4159" s="544"/>
    </row>
    <row r="4160" spans="3:8">
      <c r="C4160" s="545" t="e">
        <f>VLOOKUP(D4160,기본!$B$3:$C$90,2,0)</f>
        <v>#N/A</v>
      </c>
      <c r="G4160" t="e">
        <f>VLOOKUP(E4160,기본!$F$3:$G$320,2,0)</f>
        <v>#N/A</v>
      </c>
      <c r="H4160" s="544"/>
    </row>
    <row r="4161" spans="3:8">
      <c r="C4161" s="545" t="e">
        <f>VLOOKUP(D4161,기본!$B$3:$C$90,2,0)</f>
        <v>#N/A</v>
      </c>
      <c r="G4161" t="e">
        <f>VLOOKUP(E4161,기본!$F$3:$G$320,2,0)</f>
        <v>#N/A</v>
      </c>
      <c r="H4161" s="544"/>
    </row>
    <row r="4162" spans="3:8">
      <c r="C4162" s="545" t="e">
        <f>VLOOKUP(D4162,기본!$B$3:$C$90,2,0)</f>
        <v>#N/A</v>
      </c>
      <c r="G4162" t="e">
        <f>VLOOKUP(E4162,기본!$F$3:$G$320,2,0)</f>
        <v>#N/A</v>
      </c>
      <c r="H4162" s="544"/>
    </row>
    <row r="4163" spans="3:8">
      <c r="C4163" s="545" t="e">
        <f>VLOOKUP(D4163,기본!$B$3:$C$90,2,0)</f>
        <v>#N/A</v>
      </c>
      <c r="G4163" t="e">
        <f>VLOOKUP(E4163,기본!$F$3:$G$320,2,0)</f>
        <v>#N/A</v>
      </c>
      <c r="H4163" s="544"/>
    </row>
    <row r="4164" spans="3:8">
      <c r="C4164" s="545" t="e">
        <f>VLOOKUP(D4164,기본!$B$3:$C$90,2,0)</f>
        <v>#N/A</v>
      </c>
      <c r="G4164" t="e">
        <f>VLOOKUP(E4164,기본!$F$3:$G$320,2,0)</f>
        <v>#N/A</v>
      </c>
      <c r="H4164" s="544"/>
    </row>
    <row r="4165" spans="3:8">
      <c r="C4165" s="545" t="e">
        <f>VLOOKUP(D4165,기본!$B$3:$C$90,2,0)</f>
        <v>#N/A</v>
      </c>
      <c r="G4165" t="e">
        <f>VLOOKUP(E4165,기본!$F$3:$G$320,2,0)</f>
        <v>#N/A</v>
      </c>
      <c r="H4165" s="544"/>
    </row>
    <row r="4166" spans="3:8">
      <c r="C4166" s="545" t="e">
        <f>VLOOKUP(D4166,기본!$B$3:$C$90,2,0)</f>
        <v>#N/A</v>
      </c>
      <c r="G4166" t="e">
        <f>VLOOKUP(E4166,기본!$F$3:$G$320,2,0)</f>
        <v>#N/A</v>
      </c>
      <c r="H4166" s="544"/>
    </row>
    <row r="4167" spans="3:8">
      <c r="C4167" s="545" t="e">
        <f>VLOOKUP(D4167,기본!$B$3:$C$90,2,0)</f>
        <v>#N/A</v>
      </c>
      <c r="G4167" t="e">
        <f>VLOOKUP(E4167,기본!$F$3:$G$320,2,0)</f>
        <v>#N/A</v>
      </c>
      <c r="H4167" s="544"/>
    </row>
    <row r="4168" spans="3:8">
      <c r="C4168" s="545" t="e">
        <f>VLOOKUP(D4168,기본!$B$3:$C$90,2,0)</f>
        <v>#N/A</v>
      </c>
      <c r="G4168" t="e">
        <f>VLOOKUP(E4168,기본!$F$3:$G$320,2,0)</f>
        <v>#N/A</v>
      </c>
      <c r="H4168" s="544"/>
    </row>
    <row r="4169" spans="3:8">
      <c r="C4169" s="545" t="e">
        <f>VLOOKUP(D4169,기본!$B$3:$C$90,2,0)</f>
        <v>#N/A</v>
      </c>
      <c r="G4169" t="e">
        <f>VLOOKUP(E4169,기본!$F$3:$G$320,2,0)</f>
        <v>#N/A</v>
      </c>
      <c r="H4169" s="544"/>
    </row>
    <row r="4170" spans="3:8">
      <c r="C4170" s="545" t="e">
        <f>VLOOKUP(D4170,기본!$B$3:$C$90,2,0)</f>
        <v>#N/A</v>
      </c>
      <c r="G4170" t="e">
        <f>VLOOKUP(E4170,기본!$F$3:$G$320,2,0)</f>
        <v>#N/A</v>
      </c>
      <c r="H4170" s="544"/>
    </row>
    <row r="4171" spans="3:8">
      <c r="C4171" s="545" t="e">
        <f>VLOOKUP(D4171,기본!$B$3:$C$90,2,0)</f>
        <v>#N/A</v>
      </c>
      <c r="G4171" t="e">
        <f>VLOOKUP(E4171,기본!$F$3:$G$320,2,0)</f>
        <v>#N/A</v>
      </c>
      <c r="H4171" s="544"/>
    </row>
    <row r="4172" spans="3:8">
      <c r="C4172" s="545" t="e">
        <f>VLOOKUP(D4172,기본!$B$3:$C$90,2,0)</f>
        <v>#N/A</v>
      </c>
      <c r="G4172" t="e">
        <f>VLOOKUP(E4172,기본!$F$3:$G$320,2,0)</f>
        <v>#N/A</v>
      </c>
      <c r="H4172" s="544"/>
    </row>
    <row r="4173" spans="3:8">
      <c r="C4173" s="545" t="e">
        <f>VLOOKUP(D4173,기본!$B$3:$C$90,2,0)</f>
        <v>#N/A</v>
      </c>
      <c r="G4173" t="e">
        <f>VLOOKUP(E4173,기본!$F$3:$G$320,2,0)</f>
        <v>#N/A</v>
      </c>
      <c r="H4173" s="544"/>
    </row>
    <row r="4174" spans="3:8">
      <c r="C4174" s="545" t="e">
        <f>VLOOKUP(D4174,기본!$B$3:$C$90,2,0)</f>
        <v>#N/A</v>
      </c>
      <c r="G4174" t="e">
        <f>VLOOKUP(E4174,기본!$F$3:$G$320,2,0)</f>
        <v>#N/A</v>
      </c>
      <c r="H4174" s="544"/>
    </row>
    <row r="4175" spans="3:8">
      <c r="C4175" s="545" t="e">
        <f>VLOOKUP(D4175,기본!$B$3:$C$90,2,0)</f>
        <v>#N/A</v>
      </c>
      <c r="G4175" t="e">
        <f>VLOOKUP(E4175,기본!$F$3:$G$320,2,0)</f>
        <v>#N/A</v>
      </c>
      <c r="H4175" s="544"/>
    </row>
    <row r="4176" spans="3:8">
      <c r="C4176" s="545" t="e">
        <f>VLOOKUP(D4176,기본!$B$3:$C$90,2,0)</f>
        <v>#N/A</v>
      </c>
      <c r="G4176" t="e">
        <f>VLOOKUP(E4176,기본!$F$3:$G$320,2,0)</f>
        <v>#N/A</v>
      </c>
      <c r="H4176" s="544"/>
    </row>
    <row r="4177" spans="3:8">
      <c r="C4177" s="545" t="e">
        <f>VLOOKUP(D4177,기본!$B$3:$C$90,2,0)</f>
        <v>#N/A</v>
      </c>
      <c r="G4177" t="e">
        <f>VLOOKUP(E4177,기본!$F$3:$G$320,2,0)</f>
        <v>#N/A</v>
      </c>
      <c r="H4177" s="544"/>
    </row>
    <row r="4178" spans="3:8">
      <c r="C4178" s="545" t="e">
        <f>VLOOKUP(D4178,기본!$B$3:$C$90,2,0)</f>
        <v>#N/A</v>
      </c>
      <c r="G4178" t="e">
        <f>VLOOKUP(E4178,기본!$F$3:$G$320,2,0)</f>
        <v>#N/A</v>
      </c>
      <c r="H4178" s="544"/>
    </row>
    <row r="4179" spans="3:8">
      <c r="C4179" s="545" t="e">
        <f>VLOOKUP(D4179,기본!$B$3:$C$90,2,0)</f>
        <v>#N/A</v>
      </c>
      <c r="G4179" t="e">
        <f>VLOOKUP(E4179,기본!$F$3:$G$320,2,0)</f>
        <v>#N/A</v>
      </c>
      <c r="H4179" s="544"/>
    </row>
    <row r="4180" spans="3:8">
      <c r="C4180" s="545" t="e">
        <f>VLOOKUP(D4180,기본!$B$3:$C$90,2,0)</f>
        <v>#N/A</v>
      </c>
      <c r="G4180" t="e">
        <f>VLOOKUP(E4180,기본!$F$3:$G$320,2,0)</f>
        <v>#N/A</v>
      </c>
      <c r="H4180" s="544"/>
    </row>
    <row r="4181" spans="3:8">
      <c r="C4181" s="545" t="e">
        <f>VLOOKUP(D4181,기본!$B$3:$C$90,2,0)</f>
        <v>#N/A</v>
      </c>
      <c r="G4181" t="e">
        <f>VLOOKUP(E4181,기본!$F$3:$G$320,2,0)</f>
        <v>#N/A</v>
      </c>
      <c r="H4181" s="544"/>
    </row>
    <row r="4182" spans="3:8">
      <c r="C4182" s="545" t="e">
        <f>VLOOKUP(D4182,기본!$B$3:$C$90,2,0)</f>
        <v>#N/A</v>
      </c>
      <c r="G4182" t="e">
        <f>VLOOKUP(E4182,기본!$F$3:$G$320,2,0)</f>
        <v>#N/A</v>
      </c>
      <c r="H4182" s="544"/>
    </row>
    <row r="4183" spans="3:8">
      <c r="C4183" s="545" t="e">
        <f>VLOOKUP(D4183,기본!$B$3:$C$90,2,0)</f>
        <v>#N/A</v>
      </c>
      <c r="G4183" t="e">
        <f>VLOOKUP(E4183,기본!$F$3:$G$320,2,0)</f>
        <v>#N/A</v>
      </c>
      <c r="H4183" s="544"/>
    </row>
    <row r="4184" spans="3:8">
      <c r="C4184" s="545" t="e">
        <f>VLOOKUP(D4184,기본!$B$3:$C$90,2,0)</f>
        <v>#N/A</v>
      </c>
      <c r="G4184" t="e">
        <f>VLOOKUP(E4184,기본!$F$3:$G$320,2,0)</f>
        <v>#N/A</v>
      </c>
      <c r="H4184" s="544"/>
    </row>
    <row r="4185" spans="3:8">
      <c r="C4185" s="545" t="e">
        <f>VLOOKUP(D4185,기본!$B$3:$C$90,2,0)</f>
        <v>#N/A</v>
      </c>
      <c r="G4185" t="e">
        <f>VLOOKUP(E4185,기본!$F$3:$G$320,2,0)</f>
        <v>#N/A</v>
      </c>
      <c r="H4185" s="544"/>
    </row>
    <row r="4186" spans="3:8">
      <c r="C4186" s="545" t="e">
        <f>VLOOKUP(D4186,기본!$B$3:$C$90,2,0)</f>
        <v>#N/A</v>
      </c>
      <c r="G4186" t="e">
        <f>VLOOKUP(E4186,기본!$F$3:$G$320,2,0)</f>
        <v>#N/A</v>
      </c>
      <c r="H4186" s="544"/>
    </row>
    <row r="4187" spans="3:8">
      <c r="C4187" s="545" t="e">
        <f>VLOOKUP(D4187,기본!$B$3:$C$90,2,0)</f>
        <v>#N/A</v>
      </c>
      <c r="G4187" t="e">
        <f>VLOOKUP(E4187,기본!$F$3:$G$320,2,0)</f>
        <v>#N/A</v>
      </c>
      <c r="H4187" s="544"/>
    </row>
    <row r="4188" spans="3:8">
      <c r="C4188" s="545" t="e">
        <f>VLOOKUP(D4188,기본!$B$3:$C$90,2,0)</f>
        <v>#N/A</v>
      </c>
      <c r="G4188" t="e">
        <f>VLOOKUP(E4188,기본!$F$3:$G$320,2,0)</f>
        <v>#N/A</v>
      </c>
      <c r="H4188" s="544"/>
    </row>
    <row r="4189" spans="3:8">
      <c r="C4189" s="545" t="e">
        <f>VLOOKUP(D4189,기본!$B$3:$C$90,2,0)</f>
        <v>#N/A</v>
      </c>
      <c r="G4189" t="e">
        <f>VLOOKUP(E4189,기본!$F$3:$G$320,2,0)</f>
        <v>#N/A</v>
      </c>
      <c r="H4189" s="544"/>
    </row>
    <row r="4190" spans="3:8">
      <c r="C4190" s="545" t="e">
        <f>VLOOKUP(D4190,기본!$B$3:$C$90,2,0)</f>
        <v>#N/A</v>
      </c>
      <c r="G4190" t="e">
        <f>VLOOKUP(E4190,기본!$F$3:$G$320,2,0)</f>
        <v>#N/A</v>
      </c>
      <c r="H4190" s="544"/>
    </row>
    <row r="4191" spans="3:8">
      <c r="C4191" s="545" t="e">
        <f>VLOOKUP(D4191,기본!$B$3:$C$90,2,0)</f>
        <v>#N/A</v>
      </c>
      <c r="G4191" t="e">
        <f>VLOOKUP(E4191,기본!$F$3:$G$320,2,0)</f>
        <v>#N/A</v>
      </c>
      <c r="H4191" s="544"/>
    </row>
    <row r="4192" spans="3:8">
      <c r="C4192" s="545" t="e">
        <f>VLOOKUP(D4192,기본!$B$3:$C$90,2,0)</f>
        <v>#N/A</v>
      </c>
      <c r="G4192" t="e">
        <f>VLOOKUP(E4192,기본!$F$3:$G$320,2,0)</f>
        <v>#N/A</v>
      </c>
      <c r="H4192" s="544"/>
    </row>
    <row r="4193" spans="3:8">
      <c r="C4193" s="545" t="e">
        <f>VLOOKUP(D4193,기본!$B$3:$C$90,2,0)</f>
        <v>#N/A</v>
      </c>
      <c r="G4193" t="e">
        <f>VLOOKUP(E4193,기본!$F$3:$G$320,2,0)</f>
        <v>#N/A</v>
      </c>
      <c r="H4193" s="544"/>
    </row>
    <row r="4194" spans="3:8">
      <c r="C4194" s="545" t="e">
        <f>VLOOKUP(D4194,기본!$B$3:$C$90,2,0)</f>
        <v>#N/A</v>
      </c>
      <c r="G4194" t="e">
        <f>VLOOKUP(E4194,기본!$F$3:$G$320,2,0)</f>
        <v>#N/A</v>
      </c>
      <c r="H4194" s="544"/>
    </row>
    <row r="4195" spans="3:8">
      <c r="C4195" s="545" t="e">
        <f>VLOOKUP(D4195,기본!$B$3:$C$90,2,0)</f>
        <v>#N/A</v>
      </c>
      <c r="G4195" t="e">
        <f>VLOOKUP(E4195,기본!$F$3:$G$320,2,0)</f>
        <v>#N/A</v>
      </c>
      <c r="H4195" s="544"/>
    </row>
    <row r="4196" spans="3:8">
      <c r="C4196" s="545" t="e">
        <f>VLOOKUP(D4196,기본!$B$3:$C$90,2,0)</f>
        <v>#N/A</v>
      </c>
      <c r="G4196" t="e">
        <f>VLOOKUP(E4196,기본!$F$3:$G$320,2,0)</f>
        <v>#N/A</v>
      </c>
      <c r="H4196" s="544"/>
    </row>
    <row r="4197" spans="3:8">
      <c r="C4197" s="545" t="e">
        <f>VLOOKUP(D4197,기본!$B$3:$C$90,2,0)</f>
        <v>#N/A</v>
      </c>
      <c r="G4197" t="e">
        <f>VLOOKUP(E4197,기본!$F$3:$G$320,2,0)</f>
        <v>#N/A</v>
      </c>
      <c r="H4197" s="544"/>
    </row>
    <row r="4198" spans="3:8">
      <c r="C4198" s="545" t="e">
        <f>VLOOKUP(D4198,기본!$B$3:$C$90,2,0)</f>
        <v>#N/A</v>
      </c>
      <c r="G4198" t="e">
        <f>VLOOKUP(E4198,기본!$F$3:$G$320,2,0)</f>
        <v>#N/A</v>
      </c>
      <c r="H4198" s="544"/>
    </row>
    <row r="4199" spans="3:8">
      <c r="C4199" s="545" t="e">
        <f>VLOOKUP(D4199,기본!$B$3:$C$90,2,0)</f>
        <v>#N/A</v>
      </c>
      <c r="G4199" t="e">
        <f>VLOOKUP(E4199,기본!$F$3:$G$320,2,0)</f>
        <v>#N/A</v>
      </c>
      <c r="H4199" s="544"/>
    </row>
    <row r="4200" spans="3:8">
      <c r="C4200" s="545" t="e">
        <f>VLOOKUP(D4200,기본!$B$3:$C$90,2,0)</f>
        <v>#N/A</v>
      </c>
      <c r="G4200" t="e">
        <f>VLOOKUP(E4200,기본!$F$3:$G$320,2,0)</f>
        <v>#N/A</v>
      </c>
      <c r="H4200" s="544"/>
    </row>
    <row r="4201" spans="3:8">
      <c r="C4201" s="545" t="e">
        <f>VLOOKUP(D4201,기본!$B$3:$C$90,2,0)</f>
        <v>#N/A</v>
      </c>
      <c r="G4201" t="e">
        <f>VLOOKUP(E4201,기본!$F$3:$G$320,2,0)</f>
        <v>#N/A</v>
      </c>
      <c r="H4201" s="544"/>
    </row>
    <row r="4202" spans="3:8">
      <c r="C4202" s="545" t="e">
        <f>VLOOKUP(D4202,기본!$B$3:$C$90,2,0)</f>
        <v>#N/A</v>
      </c>
      <c r="G4202" t="e">
        <f>VLOOKUP(E4202,기본!$F$3:$G$320,2,0)</f>
        <v>#N/A</v>
      </c>
      <c r="H4202" s="544"/>
    </row>
    <row r="4203" spans="3:8">
      <c r="C4203" s="545" t="e">
        <f>VLOOKUP(D4203,기본!$B$3:$C$90,2,0)</f>
        <v>#N/A</v>
      </c>
      <c r="G4203" t="e">
        <f>VLOOKUP(E4203,기본!$F$3:$G$320,2,0)</f>
        <v>#N/A</v>
      </c>
      <c r="H4203" s="544"/>
    </row>
    <row r="4204" spans="3:8">
      <c r="C4204" s="545" t="e">
        <f>VLOOKUP(D4204,기본!$B$3:$C$90,2,0)</f>
        <v>#N/A</v>
      </c>
      <c r="G4204" t="e">
        <f>VLOOKUP(E4204,기본!$F$3:$G$320,2,0)</f>
        <v>#N/A</v>
      </c>
      <c r="H4204" s="544"/>
    </row>
    <row r="4205" spans="3:8">
      <c r="C4205" s="545" t="e">
        <f>VLOOKUP(D4205,기본!$B$3:$C$90,2,0)</f>
        <v>#N/A</v>
      </c>
      <c r="G4205" t="e">
        <f>VLOOKUP(E4205,기본!$F$3:$G$320,2,0)</f>
        <v>#N/A</v>
      </c>
      <c r="H4205" s="544"/>
    </row>
    <row r="4206" spans="3:8">
      <c r="C4206" s="545" t="e">
        <f>VLOOKUP(D4206,기본!$B$3:$C$90,2,0)</f>
        <v>#N/A</v>
      </c>
      <c r="G4206" t="e">
        <f>VLOOKUP(E4206,기본!$F$3:$G$320,2,0)</f>
        <v>#N/A</v>
      </c>
      <c r="H4206" s="544"/>
    </row>
    <row r="4207" spans="3:8">
      <c r="C4207" s="545" t="e">
        <f>VLOOKUP(D4207,기본!$B$3:$C$90,2,0)</f>
        <v>#N/A</v>
      </c>
      <c r="G4207" t="e">
        <f>VLOOKUP(E4207,기본!$F$3:$G$320,2,0)</f>
        <v>#N/A</v>
      </c>
      <c r="H4207" s="544"/>
    </row>
    <row r="4208" spans="3:8">
      <c r="C4208" s="545" t="e">
        <f>VLOOKUP(D4208,기본!$B$3:$C$90,2,0)</f>
        <v>#N/A</v>
      </c>
      <c r="G4208" t="e">
        <f>VLOOKUP(E4208,기본!$F$3:$G$320,2,0)</f>
        <v>#N/A</v>
      </c>
      <c r="H4208" s="544"/>
    </row>
    <row r="4209" spans="3:8">
      <c r="C4209" s="545" t="e">
        <f>VLOOKUP(D4209,기본!$B$3:$C$90,2,0)</f>
        <v>#N/A</v>
      </c>
      <c r="G4209" t="e">
        <f>VLOOKUP(E4209,기본!$F$3:$G$320,2,0)</f>
        <v>#N/A</v>
      </c>
      <c r="H4209" s="544"/>
    </row>
    <row r="4210" spans="3:8">
      <c r="C4210" s="545" t="e">
        <f>VLOOKUP(D4210,기본!$B$3:$C$90,2,0)</f>
        <v>#N/A</v>
      </c>
      <c r="G4210" t="e">
        <f>VLOOKUP(E4210,기본!$F$3:$G$320,2,0)</f>
        <v>#N/A</v>
      </c>
      <c r="H4210" s="544"/>
    </row>
    <row r="4211" spans="3:8">
      <c r="C4211" s="545" t="e">
        <f>VLOOKUP(D4211,기본!$B$3:$C$90,2,0)</f>
        <v>#N/A</v>
      </c>
      <c r="G4211" t="e">
        <f>VLOOKUP(E4211,기본!$F$3:$G$320,2,0)</f>
        <v>#N/A</v>
      </c>
      <c r="H4211" s="544"/>
    </row>
    <row r="4212" spans="3:8">
      <c r="C4212" s="545" t="e">
        <f>VLOOKUP(D4212,기본!$B$3:$C$90,2,0)</f>
        <v>#N/A</v>
      </c>
      <c r="G4212" t="e">
        <f>VLOOKUP(E4212,기본!$F$3:$G$320,2,0)</f>
        <v>#N/A</v>
      </c>
      <c r="H4212" s="544"/>
    </row>
    <row r="4213" spans="3:8">
      <c r="C4213" s="545" t="e">
        <f>VLOOKUP(D4213,기본!$B$3:$C$90,2,0)</f>
        <v>#N/A</v>
      </c>
      <c r="G4213" t="e">
        <f>VLOOKUP(E4213,기본!$F$3:$G$320,2,0)</f>
        <v>#N/A</v>
      </c>
      <c r="H4213" s="544"/>
    </row>
    <row r="4214" spans="3:8">
      <c r="C4214" s="545" t="e">
        <f>VLOOKUP(D4214,기본!$B$3:$C$90,2,0)</f>
        <v>#N/A</v>
      </c>
      <c r="G4214" t="e">
        <f>VLOOKUP(E4214,기본!$F$3:$G$320,2,0)</f>
        <v>#N/A</v>
      </c>
      <c r="H4214" s="544"/>
    </row>
    <row r="4215" spans="3:8">
      <c r="C4215" s="545" t="e">
        <f>VLOOKUP(D4215,기본!$B$3:$C$90,2,0)</f>
        <v>#N/A</v>
      </c>
      <c r="G4215" t="e">
        <f>VLOOKUP(E4215,기본!$F$3:$G$320,2,0)</f>
        <v>#N/A</v>
      </c>
      <c r="H4215" s="544"/>
    </row>
    <row r="4216" spans="3:8">
      <c r="C4216" s="545" t="e">
        <f>VLOOKUP(D4216,기본!$B$3:$C$90,2,0)</f>
        <v>#N/A</v>
      </c>
      <c r="G4216" t="e">
        <f>VLOOKUP(E4216,기본!$F$3:$G$320,2,0)</f>
        <v>#N/A</v>
      </c>
      <c r="H4216" s="544"/>
    </row>
    <row r="4217" spans="3:8">
      <c r="C4217" s="545" t="e">
        <f>VLOOKUP(D4217,기본!$B$3:$C$90,2,0)</f>
        <v>#N/A</v>
      </c>
      <c r="G4217" t="e">
        <f>VLOOKUP(E4217,기본!$F$3:$G$320,2,0)</f>
        <v>#N/A</v>
      </c>
      <c r="H4217" s="544"/>
    </row>
    <row r="4218" spans="3:8">
      <c r="C4218" s="545" t="e">
        <f>VLOOKUP(D4218,기본!$B$3:$C$90,2,0)</f>
        <v>#N/A</v>
      </c>
      <c r="G4218" t="e">
        <f>VLOOKUP(E4218,기본!$F$3:$G$320,2,0)</f>
        <v>#N/A</v>
      </c>
      <c r="H4218" s="544"/>
    </row>
    <row r="4219" spans="3:8">
      <c r="C4219" s="545" t="e">
        <f>VLOOKUP(D4219,기본!$B$3:$C$90,2,0)</f>
        <v>#N/A</v>
      </c>
      <c r="G4219" t="e">
        <f>VLOOKUP(E4219,기본!$F$3:$G$320,2,0)</f>
        <v>#N/A</v>
      </c>
      <c r="H4219" s="544"/>
    </row>
    <row r="4220" spans="3:8">
      <c r="C4220" s="545" t="e">
        <f>VLOOKUP(D4220,기본!$B$3:$C$90,2,0)</f>
        <v>#N/A</v>
      </c>
      <c r="G4220" t="e">
        <f>VLOOKUP(E4220,기본!$F$3:$G$320,2,0)</f>
        <v>#N/A</v>
      </c>
      <c r="H4220" s="544"/>
    </row>
    <row r="4221" spans="3:8">
      <c r="C4221" s="545" t="e">
        <f>VLOOKUP(D4221,기본!$B$3:$C$90,2,0)</f>
        <v>#N/A</v>
      </c>
      <c r="G4221" t="e">
        <f>VLOOKUP(E4221,기본!$F$3:$G$320,2,0)</f>
        <v>#N/A</v>
      </c>
      <c r="H4221" s="544"/>
    </row>
    <row r="4222" spans="3:8">
      <c r="C4222" s="545" t="e">
        <f>VLOOKUP(D4222,기본!$B$3:$C$90,2,0)</f>
        <v>#N/A</v>
      </c>
      <c r="G4222" t="e">
        <f>VLOOKUP(E4222,기본!$F$3:$G$320,2,0)</f>
        <v>#N/A</v>
      </c>
      <c r="H4222" s="544"/>
    </row>
    <row r="4223" spans="3:8">
      <c r="C4223" s="545" t="e">
        <f>VLOOKUP(D4223,기본!$B$3:$C$90,2,0)</f>
        <v>#N/A</v>
      </c>
      <c r="G4223" t="e">
        <f>VLOOKUP(E4223,기본!$F$3:$G$320,2,0)</f>
        <v>#N/A</v>
      </c>
      <c r="H4223" s="544"/>
    </row>
    <row r="4224" spans="3:8">
      <c r="C4224" s="545" t="e">
        <f>VLOOKUP(D4224,기본!$B$3:$C$90,2,0)</f>
        <v>#N/A</v>
      </c>
      <c r="G4224" t="e">
        <f>VLOOKUP(E4224,기본!$F$3:$G$320,2,0)</f>
        <v>#N/A</v>
      </c>
      <c r="H4224" s="544"/>
    </row>
    <row r="4225" spans="3:8">
      <c r="C4225" s="545" t="e">
        <f>VLOOKUP(D4225,기본!$B$3:$C$90,2,0)</f>
        <v>#N/A</v>
      </c>
      <c r="G4225" t="e">
        <f>VLOOKUP(E4225,기본!$F$3:$G$320,2,0)</f>
        <v>#N/A</v>
      </c>
      <c r="H4225" s="544"/>
    </row>
    <row r="4226" spans="3:8">
      <c r="C4226" s="545" t="e">
        <f>VLOOKUP(D4226,기본!$B$3:$C$90,2,0)</f>
        <v>#N/A</v>
      </c>
      <c r="G4226" t="e">
        <f>VLOOKUP(E4226,기본!$F$3:$G$320,2,0)</f>
        <v>#N/A</v>
      </c>
      <c r="H4226" s="544"/>
    </row>
    <row r="4227" spans="3:8">
      <c r="C4227" s="545" t="e">
        <f>VLOOKUP(D4227,기본!$B$3:$C$90,2,0)</f>
        <v>#N/A</v>
      </c>
      <c r="G4227" t="e">
        <f>VLOOKUP(E4227,기본!$F$3:$G$320,2,0)</f>
        <v>#N/A</v>
      </c>
      <c r="H4227" s="544"/>
    </row>
    <row r="4228" spans="3:8">
      <c r="C4228" s="545" t="e">
        <f>VLOOKUP(D4228,기본!$B$3:$C$90,2,0)</f>
        <v>#N/A</v>
      </c>
      <c r="G4228" t="e">
        <f>VLOOKUP(E4228,기본!$F$3:$G$320,2,0)</f>
        <v>#N/A</v>
      </c>
      <c r="H4228" s="544"/>
    </row>
    <row r="4229" spans="3:8">
      <c r="C4229" s="545" t="e">
        <f>VLOOKUP(D4229,기본!$B$3:$C$90,2,0)</f>
        <v>#N/A</v>
      </c>
      <c r="G4229" t="e">
        <f>VLOOKUP(E4229,기본!$F$3:$G$320,2,0)</f>
        <v>#N/A</v>
      </c>
      <c r="H4229" s="544"/>
    </row>
    <row r="4230" spans="3:8">
      <c r="C4230" s="545" t="e">
        <f>VLOOKUP(D4230,기본!$B$3:$C$90,2,0)</f>
        <v>#N/A</v>
      </c>
      <c r="G4230" t="e">
        <f>VLOOKUP(E4230,기본!$F$3:$G$320,2,0)</f>
        <v>#N/A</v>
      </c>
      <c r="H4230" s="544"/>
    </row>
    <row r="4231" spans="3:8">
      <c r="C4231" s="545" t="e">
        <f>VLOOKUP(D4231,기본!$B$3:$C$90,2,0)</f>
        <v>#N/A</v>
      </c>
      <c r="G4231" t="e">
        <f>VLOOKUP(E4231,기본!$F$3:$G$320,2,0)</f>
        <v>#N/A</v>
      </c>
      <c r="H4231" s="544"/>
    </row>
    <row r="4232" spans="3:8">
      <c r="C4232" s="545" t="e">
        <f>VLOOKUP(D4232,기본!$B$3:$C$90,2,0)</f>
        <v>#N/A</v>
      </c>
      <c r="G4232" t="e">
        <f>VLOOKUP(E4232,기본!$F$3:$G$320,2,0)</f>
        <v>#N/A</v>
      </c>
      <c r="H4232" s="544"/>
    </row>
    <row r="4233" spans="3:8">
      <c r="C4233" s="545" t="e">
        <f>VLOOKUP(D4233,기본!$B$3:$C$90,2,0)</f>
        <v>#N/A</v>
      </c>
      <c r="G4233" t="e">
        <f>VLOOKUP(E4233,기본!$F$3:$G$320,2,0)</f>
        <v>#N/A</v>
      </c>
      <c r="H4233" s="544"/>
    </row>
    <row r="4234" spans="3:8">
      <c r="C4234" s="545" t="e">
        <f>VLOOKUP(D4234,기본!$B$3:$C$90,2,0)</f>
        <v>#N/A</v>
      </c>
      <c r="G4234" t="e">
        <f>VLOOKUP(E4234,기본!$F$3:$G$320,2,0)</f>
        <v>#N/A</v>
      </c>
      <c r="H4234" s="544"/>
    </row>
    <row r="4235" spans="3:8">
      <c r="C4235" s="545" t="e">
        <f>VLOOKUP(D4235,기본!$B$3:$C$90,2,0)</f>
        <v>#N/A</v>
      </c>
      <c r="G4235" t="e">
        <f>VLOOKUP(E4235,기본!$F$3:$G$320,2,0)</f>
        <v>#N/A</v>
      </c>
      <c r="H4235" s="544"/>
    </row>
    <row r="4236" spans="3:8">
      <c r="C4236" s="545" t="e">
        <f>VLOOKUP(D4236,기본!$B$3:$C$90,2,0)</f>
        <v>#N/A</v>
      </c>
      <c r="G4236" t="e">
        <f>VLOOKUP(E4236,기본!$F$3:$G$320,2,0)</f>
        <v>#N/A</v>
      </c>
      <c r="H4236" s="544"/>
    </row>
    <row r="4237" spans="3:8">
      <c r="C4237" s="545" t="e">
        <f>VLOOKUP(D4237,기본!$B$3:$C$90,2,0)</f>
        <v>#N/A</v>
      </c>
      <c r="G4237" t="e">
        <f>VLOOKUP(E4237,기본!$F$3:$G$320,2,0)</f>
        <v>#N/A</v>
      </c>
      <c r="H4237" s="544"/>
    </row>
    <row r="4238" spans="3:8">
      <c r="C4238" s="545" t="e">
        <f>VLOOKUP(D4238,기본!$B$3:$C$90,2,0)</f>
        <v>#N/A</v>
      </c>
      <c r="G4238" t="e">
        <f>VLOOKUP(E4238,기본!$F$3:$G$320,2,0)</f>
        <v>#N/A</v>
      </c>
      <c r="H4238" s="544"/>
    </row>
    <row r="4239" spans="3:8">
      <c r="C4239" s="545" t="e">
        <f>VLOOKUP(D4239,기본!$B$3:$C$90,2,0)</f>
        <v>#N/A</v>
      </c>
      <c r="G4239" t="e">
        <f>VLOOKUP(E4239,기본!$F$3:$G$320,2,0)</f>
        <v>#N/A</v>
      </c>
      <c r="H4239" s="544"/>
    </row>
    <row r="4240" spans="3:8">
      <c r="C4240" s="545" t="e">
        <f>VLOOKUP(D4240,기본!$B$3:$C$90,2,0)</f>
        <v>#N/A</v>
      </c>
      <c r="G4240" t="e">
        <f>VLOOKUP(E4240,기본!$F$3:$G$320,2,0)</f>
        <v>#N/A</v>
      </c>
      <c r="H4240" s="544"/>
    </row>
    <row r="4241" spans="3:8">
      <c r="C4241" s="545" t="e">
        <f>VLOOKUP(D4241,기본!$B$3:$C$90,2,0)</f>
        <v>#N/A</v>
      </c>
      <c r="G4241" t="e">
        <f>VLOOKUP(E4241,기본!$F$3:$G$320,2,0)</f>
        <v>#N/A</v>
      </c>
      <c r="H4241" s="544"/>
    </row>
    <row r="4242" spans="3:8">
      <c r="C4242" s="545" t="e">
        <f>VLOOKUP(D4242,기본!$B$3:$C$90,2,0)</f>
        <v>#N/A</v>
      </c>
      <c r="G4242" t="e">
        <f>VLOOKUP(E4242,기본!$F$3:$G$320,2,0)</f>
        <v>#N/A</v>
      </c>
      <c r="H4242" s="544"/>
    </row>
    <row r="4243" spans="3:8">
      <c r="C4243" s="545" t="e">
        <f>VLOOKUP(D4243,기본!$B$3:$C$90,2,0)</f>
        <v>#N/A</v>
      </c>
      <c r="G4243" t="e">
        <f>VLOOKUP(E4243,기본!$F$3:$G$320,2,0)</f>
        <v>#N/A</v>
      </c>
      <c r="H4243" s="544"/>
    </row>
    <row r="4244" spans="3:8">
      <c r="C4244" s="545" t="e">
        <f>VLOOKUP(D4244,기본!$B$3:$C$90,2,0)</f>
        <v>#N/A</v>
      </c>
      <c r="G4244" t="e">
        <f>VLOOKUP(E4244,기본!$F$3:$G$320,2,0)</f>
        <v>#N/A</v>
      </c>
      <c r="H4244" s="544"/>
    </row>
    <row r="4245" spans="3:8">
      <c r="C4245" s="545" t="e">
        <f>VLOOKUP(D4245,기본!$B$3:$C$90,2,0)</f>
        <v>#N/A</v>
      </c>
      <c r="G4245" t="e">
        <f>VLOOKUP(E4245,기본!$F$3:$G$320,2,0)</f>
        <v>#N/A</v>
      </c>
      <c r="H4245" s="544"/>
    </row>
    <row r="4246" spans="3:8">
      <c r="C4246" s="545" t="e">
        <f>VLOOKUP(D4246,기본!$B$3:$C$90,2,0)</f>
        <v>#N/A</v>
      </c>
      <c r="G4246" t="e">
        <f>VLOOKUP(E4246,기본!$F$3:$G$320,2,0)</f>
        <v>#N/A</v>
      </c>
      <c r="H4246" s="544"/>
    </row>
    <row r="4247" spans="3:8">
      <c r="C4247" s="545" t="e">
        <f>VLOOKUP(D4247,기본!$B$3:$C$90,2,0)</f>
        <v>#N/A</v>
      </c>
      <c r="G4247" t="e">
        <f>VLOOKUP(E4247,기본!$F$3:$G$320,2,0)</f>
        <v>#N/A</v>
      </c>
      <c r="H4247" s="544"/>
    </row>
    <row r="4248" spans="3:8">
      <c r="C4248" s="545" t="e">
        <f>VLOOKUP(D4248,기본!$B$3:$C$90,2,0)</f>
        <v>#N/A</v>
      </c>
      <c r="G4248" t="e">
        <f>VLOOKUP(E4248,기본!$F$3:$G$320,2,0)</f>
        <v>#N/A</v>
      </c>
      <c r="H4248" s="544"/>
    </row>
    <row r="4249" spans="3:8">
      <c r="C4249" s="545" t="e">
        <f>VLOOKUP(D4249,기본!$B$3:$C$90,2,0)</f>
        <v>#N/A</v>
      </c>
      <c r="G4249" t="e">
        <f>VLOOKUP(E4249,기본!$F$3:$G$320,2,0)</f>
        <v>#N/A</v>
      </c>
      <c r="H4249" s="544"/>
    </row>
    <row r="4250" spans="3:8">
      <c r="C4250" s="545" t="e">
        <f>VLOOKUP(D4250,기본!$B$3:$C$90,2,0)</f>
        <v>#N/A</v>
      </c>
      <c r="G4250" t="e">
        <f>VLOOKUP(E4250,기본!$F$3:$G$320,2,0)</f>
        <v>#N/A</v>
      </c>
      <c r="H4250" s="544"/>
    </row>
    <row r="4251" spans="3:8">
      <c r="C4251" s="545" t="e">
        <f>VLOOKUP(D4251,기본!$B$3:$C$90,2,0)</f>
        <v>#N/A</v>
      </c>
      <c r="G4251" t="e">
        <f>VLOOKUP(E4251,기본!$F$3:$G$320,2,0)</f>
        <v>#N/A</v>
      </c>
      <c r="H4251" s="544"/>
    </row>
    <row r="4252" spans="3:8">
      <c r="C4252" s="545" t="e">
        <f>VLOOKUP(D4252,기본!$B$3:$C$90,2,0)</f>
        <v>#N/A</v>
      </c>
      <c r="G4252" t="e">
        <f>VLOOKUP(E4252,기본!$F$3:$G$320,2,0)</f>
        <v>#N/A</v>
      </c>
      <c r="H4252" s="544"/>
    </row>
    <row r="4253" spans="3:8">
      <c r="C4253" s="545" t="e">
        <f>VLOOKUP(D4253,기본!$B$3:$C$90,2,0)</f>
        <v>#N/A</v>
      </c>
      <c r="G4253" t="e">
        <f>VLOOKUP(E4253,기본!$F$3:$G$320,2,0)</f>
        <v>#N/A</v>
      </c>
      <c r="H4253" s="544"/>
    </row>
    <row r="4254" spans="3:8">
      <c r="C4254" s="545" t="e">
        <f>VLOOKUP(D4254,기본!$B$3:$C$90,2,0)</f>
        <v>#N/A</v>
      </c>
      <c r="G4254" t="e">
        <f>VLOOKUP(E4254,기본!$F$3:$G$320,2,0)</f>
        <v>#N/A</v>
      </c>
      <c r="H4254" s="544"/>
    </row>
    <row r="4255" spans="3:8">
      <c r="C4255" s="545" t="e">
        <f>VLOOKUP(D4255,기본!$B$3:$C$90,2,0)</f>
        <v>#N/A</v>
      </c>
      <c r="G4255" t="e">
        <f>VLOOKUP(E4255,기본!$F$3:$G$320,2,0)</f>
        <v>#N/A</v>
      </c>
      <c r="H4255" s="544"/>
    </row>
    <row r="4256" spans="3:8">
      <c r="C4256" s="545" t="e">
        <f>VLOOKUP(D4256,기본!$B$3:$C$90,2,0)</f>
        <v>#N/A</v>
      </c>
      <c r="G4256" t="e">
        <f>VLOOKUP(E4256,기본!$F$3:$G$320,2,0)</f>
        <v>#N/A</v>
      </c>
      <c r="H4256" s="544"/>
    </row>
    <row r="4257" spans="3:8">
      <c r="C4257" s="545" t="e">
        <f>VLOOKUP(D4257,기본!$B$3:$C$90,2,0)</f>
        <v>#N/A</v>
      </c>
      <c r="G4257" t="e">
        <f>VLOOKUP(E4257,기본!$F$3:$G$320,2,0)</f>
        <v>#N/A</v>
      </c>
      <c r="H4257" s="544"/>
    </row>
    <row r="4258" spans="3:8">
      <c r="C4258" s="545" t="e">
        <f>VLOOKUP(D4258,기본!$B$3:$C$90,2,0)</f>
        <v>#N/A</v>
      </c>
      <c r="G4258" t="e">
        <f>VLOOKUP(E4258,기본!$F$3:$G$320,2,0)</f>
        <v>#N/A</v>
      </c>
      <c r="H4258" s="544"/>
    </row>
    <row r="4259" spans="3:8">
      <c r="C4259" s="545" t="e">
        <f>VLOOKUP(D4259,기본!$B$3:$C$90,2,0)</f>
        <v>#N/A</v>
      </c>
      <c r="G4259" t="e">
        <f>VLOOKUP(E4259,기본!$F$3:$G$320,2,0)</f>
        <v>#N/A</v>
      </c>
      <c r="H4259" s="544"/>
    </row>
    <row r="4260" spans="3:8">
      <c r="C4260" s="545" t="e">
        <f>VLOOKUP(D4260,기본!$B$3:$C$90,2,0)</f>
        <v>#N/A</v>
      </c>
      <c r="G4260" t="e">
        <f>VLOOKUP(E4260,기본!$F$3:$G$320,2,0)</f>
        <v>#N/A</v>
      </c>
      <c r="H4260" s="544"/>
    </row>
    <row r="4261" spans="3:8">
      <c r="C4261" s="545" t="e">
        <f>VLOOKUP(D4261,기본!$B$3:$C$90,2,0)</f>
        <v>#N/A</v>
      </c>
      <c r="G4261" t="e">
        <f>VLOOKUP(E4261,기본!$F$3:$G$320,2,0)</f>
        <v>#N/A</v>
      </c>
      <c r="H4261" s="544"/>
    </row>
    <row r="4262" spans="3:8">
      <c r="C4262" s="545" t="e">
        <f>VLOOKUP(D4262,기본!$B$3:$C$90,2,0)</f>
        <v>#N/A</v>
      </c>
      <c r="G4262" t="e">
        <f>VLOOKUP(E4262,기본!$F$3:$G$320,2,0)</f>
        <v>#N/A</v>
      </c>
      <c r="H4262" s="544"/>
    </row>
    <row r="4263" spans="3:8">
      <c r="C4263" s="545" t="e">
        <f>VLOOKUP(D4263,기본!$B$3:$C$90,2,0)</f>
        <v>#N/A</v>
      </c>
      <c r="G4263" t="e">
        <f>VLOOKUP(E4263,기본!$F$3:$G$320,2,0)</f>
        <v>#N/A</v>
      </c>
      <c r="H4263" s="544"/>
    </row>
    <row r="4264" spans="3:8">
      <c r="C4264" s="545" t="e">
        <f>VLOOKUP(D4264,기본!$B$3:$C$90,2,0)</f>
        <v>#N/A</v>
      </c>
      <c r="G4264" t="e">
        <f>VLOOKUP(E4264,기본!$F$3:$G$320,2,0)</f>
        <v>#N/A</v>
      </c>
      <c r="H4264" s="544"/>
    </row>
    <row r="4265" spans="3:8">
      <c r="C4265" s="545" t="e">
        <f>VLOOKUP(D4265,기본!$B$3:$C$90,2,0)</f>
        <v>#N/A</v>
      </c>
      <c r="G4265" t="e">
        <f>VLOOKUP(E4265,기본!$F$3:$G$320,2,0)</f>
        <v>#N/A</v>
      </c>
      <c r="H4265" s="544"/>
    </row>
    <row r="4266" spans="3:8">
      <c r="C4266" s="545" t="e">
        <f>VLOOKUP(D4266,기본!$B$3:$C$90,2,0)</f>
        <v>#N/A</v>
      </c>
      <c r="G4266" t="e">
        <f>VLOOKUP(E4266,기본!$F$3:$G$320,2,0)</f>
        <v>#N/A</v>
      </c>
      <c r="H4266" s="544"/>
    </row>
    <row r="4267" spans="3:8">
      <c r="C4267" s="545" t="e">
        <f>VLOOKUP(D4267,기본!$B$3:$C$90,2,0)</f>
        <v>#N/A</v>
      </c>
      <c r="G4267" t="e">
        <f>VLOOKUP(E4267,기본!$F$3:$G$320,2,0)</f>
        <v>#N/A</v>
      </c>
      <c r="H4267" s="544"/>
    </row>
    <row r="4268" spans="3:8">
      <c r="C4268" s="545" t="e">
        <f>VLOOKUP(D4268,기본!$B$3:$C$90,2,0)</f>
        <v>#N/A</v>
      </c>
      <c r="G4268" t="e">
        <f>VLOOKUP(E4268,기본!$F$3:$G$320,2,0)</f>
        <v>#N/A</v>
      </c>
      <c r="H4268" s="544"/>
    </row>
    <row r="4269" spans="3:8">
      <c r="C4269" s="545" t="e">
        <f>VLOOKUP(D4269,기본!$B$3:$C$90,2,0)</f>
        <v>#N/A</v>
      </c>
      <c r="G4269" t="e">
        <f>VLOOKUP(E4269,기본!$F$3:$G$320,2,0)</f>
        <v>#N/A</v>
      </c>
      <c r="H4269" s="544"/>
    </row>
    <row r="4270" spans="3:8">
      <c r="C4270" s="545" t="e">
        <f>VLOOKUP(D4270,기본!$B$3:$C$90,2,0)</f>
        <v>#N/A</v>
      </c>
      <c r="G4270" t="e">
        <f>VLOOKUP(E4270,기본!$F$3:$G$320,2,0)</f>
        <v>#N/A</v>
      </c>
      <c r="H4270" s="544"/>
    </row>
    <row r="4271" spans="3:8">
      <c r="C4271" s="545" t="e">
        <f>VLOOKUP(D4271,기본!$B$3:$C$90,2,0)</f>
        <v>#N/A</v>
      </c>
      <c r="G4271" t="e">
        <f>VLOOKUP(E4271,기본!$F$3:$G$320,2,0)</f>
        <v>#N/A</v>
      </c>
      <c r="H4271" s="544"/>
    </row>
    <row r="4272" spans="3:8">
      <c r="C4272" s="545" t="e">
        <f>VLOOKUP(D4272,기본!$B$3:$C$90,2,0)</f>
        <v>#N/A</v>
      </c>
      <c r="G4272" t="e">
        <f>VLOOKUP(E4272,기본!$F$3:$G$320,2,0)</f>
        <v>#N/A</v>
      </c>
      <c r="H4272" s="544"/>
    </row>
    <row r="4273" spans="3:8">
      <c r="C4273" s="545" t="e">
        <f>VLOOKUP(D4273,기본!$B$3:$C$90,2,0)</f>
        <v>#N/A</v>
      </c>
      <c r="G4273" t="e">
        <f>VLOOKUP(E4273,기본!$F$3:$G$320,2,0)</f>
        <v>#N/A</v>
      </c>
      <c r="H4273" s="544"/>
    </row>
    <row r="4274" spans="3:8">
      <c r="C4274" s="545" t="e">
        <f>VLOOKUP(D4274,기본!$B$3:$C$90,2,0)</f>
        <v>#N/A</v>
      </c>
      <c r="G4274" t="e">
        <f>VLOOKUP(E4274,기본!$F$3:$G$320,2,0)</f>
        <v>#N/A</v>
      </c>
      <c r="H4274" s="544"/>
    </row>
    <row r="4275" spans="3:8">
      <c r="C4275" s="545" t="e">
        <f>VLOOKUP(D4275,기본!$B$3:$C$90,2,0)</f>
        <v>#N/A</v>
      </c>
      <c r="G4275" t="e">
        <f>VLOOKUP(E4275,기본!$F$3:$G$320,2,0)</f>
        <v>#N/A</v>
      </c>
      <c r="H4275" s="544"/>
    </row>
    <row r="4276" spans="3:8">
      <c r="C4276" s="545" t="e">
        <f>VLOOKUP(D4276,기본!$B$3:$C$90,2,0)</f>
        <v>#N/A</v>
      </c>
      <c r="G4276" t="e">
        <f>VLOOKUP(E4276,기본!$F$3:$G$320,2,0)</f>
        <v>#N/A</v>
      </c>
      <c r="H4276" s="544"/>
    </row>
    <row r="4277" spans="3:8">
      <c r="C4277" s="545" t="e">
        <f>VLOOKUP(D4277,기본!$B$3:$C$90,2,0)</f>
        <v>#N/A</v>
      </c>
      <c r="G4277" t="e">
        <f>VLOOKUP(E4277,기본!$F$3:$G$320,2,0)</f>
        <v>#N/A</v>
      </c>
      <c r="H4277" s="544"/>
    </row>
    <row r="4278" spans="3:8">
      <c r="C4278" s="545" t="e">
        <f>VLOOKUP(D4278,기본!$B$3:$C$90,2,0)</f>
        <v>#N/A</v>
      </c>
      <c r="G4278" t="e">
        <f>VLOOKUP(E4278,기본!$F$3:$G$320,2,0)</f>
        <v>#N/A</v>
      </c>
      <c r="H4278" s="544"/>
    </row>
    <row r="4279" spans="3:8">
      <c r="C4279" s="545" t="e">
        <f>VLOOKUP(D4279,기본!$B$3:$C$90,2,0)</f>
        <v>#N/A</v>
      </c>
      <c r="G4279" t="e">
        <f>VLOOKUP(E4279,기본!$F$3:$G$320,2,0)</f>
        <v>#N/A</v>
      </c>
      <c r="H4279" s="544"/>
    </row>
    <row r="4280" spans="3:8">
      <c r="C4280" s="545" t="e">
        <f>VLOOKUP(D4280,기본!$B$3:$C$90,2,0)</f>
        <v>#N/A</v>
      </c>
      <c r="G4280" t="e">
        <f>VLOOKUP(E4280,기본!$F$3:$G$320,2,0)</f>
        <v>#N/A</v>
      </c>
      <c r="H4280" s="544"/>
    </row>
    <row r="4281" spans="3:8">
      <c r="C4281" s="545" t="e">
        <f>VLOOKUP(D4281,기본!$B$3:$C$90,2,0)</f>
        <v>#N/A</v>
      </c>
      <c r="G4281" t="e">
        <f>VLOOKUP(E4281,기본!$F$3:$G$320,2,0)</f>
        <v>#N/A</v>
      </c>
      <c r="H4281" s="544"/>
    </row>
    <row r="4282" spans="3:8">
      <c r="C4282" s="545" t="e">
        <f>VLOOKUP(D4282,기본!$B$3:$C$90,2,0)</f>
        <v>#N/A</v>
      </c>
      <c r="G4282" t="e">
        <f>VLOOKUP(E4282,기본!$F$3:$G$320,2,0)</f>
        <v>#N/A</v>
      </c>
      <c r="H4282" s="544"/>
    </row>
    <row r="4283" spans="3:8">
      <c r="C4283" s="545" t="e">
        <f>VLOOKUP(D4283,기본!$B$3:$C$90,2,0)</f>
        <v>#N/A</v>
      </c>
      <c r="G4283" t="e">
        <f>VLOOKUP(E4283,기본!$F$3:$G$320,2,0)</f>
        <v>#N/A</v>
      </c>
      <c r="H4283" s="544"/>
    </row>
    <row r="4284" spans="3:8">
      <c r="C4284" s="545" t="e">
        <f>VLOOKUP(D4284,기본!$B$3:$C$90,2,0)</f>
        <v>#N/A</v>
      </c>
      <c r="G4284" t="e">
        <f>VLOOKUP(E4284,기본!$F$3:$G$320,2,0)</f>
        <v>#N/A</v>
      </c>
      <c r="H4284" s="544"/>
    </row>
    <row r="4285" spans="3:8">
      <c r="C4285" s="545" t="e">
        <f>VLOOKUP(D4285,기본!$B$3:$C$90,2,0)</f>
        <v>#N/A</v>
      </c>
      <c r="G4285" t="e">
        <f>VLOOKUP(E4285,기본!$F$3:$G$320,2,0)</f>
        <v>#N/A</v>
      </c>
      <c r="H4285" s="544"/>
    </row>
    <row r="4286" spans="3:8">
      <c r="C4286" s="545" t="e">
        <f>VLOOKUP(D4286,기본!$B$3:$C$90,2,0)</f>
        <v>#N/A</v>
      </c>
      <c r="G4286" t="e">
        <f>VLOOKUP(E4286,기본!$F$3:$G$320,2,0)</f>
        <v>#N/A</v>
      </c>
      <c r="H4286" s="544"/>
    </row>
    <row r="4287" spans="3:8">
      <c r="C4287" s="545" t="e">
        <f>VLOOKUP(D4287,기본!$B$3:$C$90,2,0)</f>
        <v>#N/A</v>
      </c>
      <c r="G4287" t="e">
        <f>VLOOKUP(E4287,기본!$F$3:$G$320,2,0)</f>
        <v>#N/A</v>
      </c>
      <c r="H4287" s="544"/>
    </row>
    <row r="4288" spans="3:8">
      <c r="C4288" s="545" t="e">
        <f>VLOOKUP(D4288,기본!$B$3:$C$90,2,0)</f>
        <v>#N/A</v>
      </c>
      <c r="G4288" t="e">
        <f>VLOOKUP(E4288,기본!$F$3:$G$320,2,0)</f>
        <v>#N/A</v>
      </c>
      <c r="H4288" s="544"/>
    </row>
    <row r="4289" spans="3:8">
      <c r="C4289" s="545" t="e">
        <f>VLOOKUP(D4289,기본!$B$3:$C$90,2,0)</f>
        <v>#N/A</v>
      </c>
      <c r="G4289" t="e">
        <f>VLOOKUP(E4289,기본!$F$3:$G$320,2,0)</f>
        <v>#N/A</v>
      </c>
      <c r="H4289" s="544"/>
    </row>
    <row r="4290" spans="3:8">
      <c r="C4290" s="545" t="e">
        <f>VLOOKUP(D4290,기본!$B$3:$C$90,2,0)</f>
        <v>#N/A</v>
      </c>
      <c r="G4290" t="e">
        <f>VLOOKUP(E4290,기본!$F$3:$G$320,2,0)</f>
        <v>#N/A</v>
      </c>
      <c r="H4290" s="544"/>
    </row>
    <row r="4291" spans="3:8">
      <c r="C4291" s="545" t="e">
        <f>VLOOKUP(D4291,기본!$B$3:$C$90,2,0)</f>
        <v>#N/A</v>
      </c>
      <c r="G4291" t="e">
        <f>VLOOKUP(E4291,기본!$F$3:$G$320,2,0)</f>
        <v>#N/A</v>
      </c>
    </row>
    <row r="4292" spans="3:8">
      <c r="C4292" s="545" t="e">
        <f>VLOOKUP(D4292,기본!$B$3:$C$90,2,0)</f>
        <v>#N/A</v>
      </c>
      <c r="G4292" t="e">
        <f>VLOOKUP(E4292,기본!$F$3:$G$320,2,0)</f>
        <v>#N/A</v>
      </c>
    </row>
    <row r="4293" spans="3:8">
      <c r="C4293" s="545" t="e">
        <f>VLOOKUP(D4293,기본!$B$3:$C$90,2,0)</f>
        <v>#N/A</v>
      </c>
      <c r="G4293" t="e">
        <f>VLOOKUP(E4293,기본!$F$3:$G$320,2,0)</f>
        <v>#N/A</v>
      </c>
    </row>
    <row r="4294" spans="3:8">
      <c r="C4294" s="545" t="e">
        <f>VLOOKUP(D4294,기본!$B$3:$C$90,2,0)</f>
        <v>#N/A</v>
      </c>
      <c r="G4294" t="e">
        <f>VLOOKUP(E4294,기본!$F$3:$G$320,2,0)</f>
        <v>#N/A</v>
      </c>
    </row>
    <row r="4295" spans="3:8">
      <c r="C4295" s="545" t="e">
        <f>VLOOKUP(D4295,기본!$B$3:$C$90,2,0)</f>
        <v>#N/A</v>
      </c>
      <c r="G4295" t="e">
        <f>VLOOKUP(E4295,기본!$F$3:$G$320,2,0)</f>
        <v>#N/A</v>
      </c>
    </row>
    <row r="4296" spans="3:8">
      <c r="C4296" s="545" t="e">
        <f>VLOOKUP(D4296,기본!$B$3:$C$90,2,0)</f>
        <v>#N/A</v>
      </c>
      <c r="G4296" t="e">
        <f>VLOOKUP(E4296,기본!$F$3:$G$320,2,0)</f>
        <v>#N/A</v>
      </c>
    </row>
    <row r="4297" spans="3:8">
      <c r="C4297" s="545" t="e">
        <f>VLOOKUP(D4297,기본!$B$3:$C$90,2,0)</f>
        <v>#N/A</v>
      </c>
      <c r="G4297" t="e">
        <f>VLOOKUP(E4297,기본!$F$3:$G$320,2,0)</f>
        <v>#N/A</v>
      </c>
    </row>
    <row r="4298" spans="3:8">
      <c r="C4298" s="545" t="e">
        <f>VLOOKUP(D4298,기본!$B$3:$C$90,2,0)</f>
        <v>#N/A</v>
      </c>
      <c r="G4298" t="e">
        <f>VLOOKUP(E4298,기본!$F$3:$G$320,2,0)</f>
        <v>#N/A</v>
      </c>
    </row>
    <row r="4299" spans="3:8">
      <c r="C4299" s="545" t="e">
        <f>VLOOKUP(D4299,기본!$B$3:$C$90,2,0)</f>
        <v>#N/A</v>
      </c>
      <c r="G4299" t="e">
        <f>VLOOKUP(E4299,기본!$F$3:$G$320,2,0)</f>
        <v>#N/A</v>
      </c>
    </row>
    <row r="4300" spans="3:8">
      <c r="C4300" s="545" t="e">
        <f>VLOOKUP(D4300,기본!$B$3:$C$90,2,0)</f>
        <v>#N/A</v>
      </c>
      <c r="G4300" t="e">
        <f>VLOOKUP(E4300,기본!$F$3:$G$320,2,0)</f>
        <v>#N/A</v>
      </c>
    </row>
    <row r="4301" spans="3:8">
      <c r="C4301" s="545" t="e">
        <f>VLOOKUP(D4301,기본!$B$3:$C$90,2,0)</f>
        <v>#N/A</v>
      </c>
      <c r="G4301" t="e">
        <f>VLOOKUP(E4301,기본!$F$3:$G$320,2,0)</f>
        <v>#N/A</v>
      </c>
    </row>
    <row r="4302" spans="3:8">
      <c r="C4302" s="545" t="e">
        <f>VLOOKUP(D4302,기본!$B$3:$C$90,2,0)</f>
        <v>#N/A</v>
      </c>
      <c r="G4302" t="e">
        <f>VLOOKUP(E4302,기본!$F$3:$G$320,2,0)</f>
        <v>#N/A</v>
      </c>
    </row>
    <row r="4303" spans="3:8">
      <c r="C4303" s="545" t="e">
        <f>VLOOKUP(D4303,기본!$B$3:$C$90,2,0)</f>
        <v>#N/A</v>
      </c>
      <c r="G4303" t="e">
        <f>VLOOKUP(E4303,기본!$F$3:$G$320,2,0)</f>
        <v>#N/A</v>
      </c>
    </row>
    <row r="4304" spans="3:8">
      <c r="C4304" s="545" t="e">
        <f>VLOOKUP(D4304,기본!$B$3:$C$90,2,0)</f>
        <v>#N/A</v>
      </c>
      <c r="G4304" t="e">
        <f>VLOOKUP(E4304,기본!$F$3:$G$320,2,0)</f>
        <v>#N/A</v>
      </c>
    </row>
    <row r="4305" spans="3:7">
      <c r="C4305" s="545" t="e">
        <f>VLOOKUP(D4305,기본!$B$3:$C$90,2,0)</f>
        <v>#N/A</v>
      </c>
      <c r="G4305" t="e">
        <f>VLOOKUP(E4305,기본!$F$3:$G$320,2,0)</f>
        <v>#N/A</v>
      </c>
    </row>
    <row r="4306" spans="3:7">
      <c r="C4306" s="545" t="e">
        <f>VLOOKUP(D4306,기본!$B$3:$C$90,2,0)</f>
        <v>#N/A</v>
      </c>
      <c r="G4306" t="e">
        <f>VLOOKUP(E4306,기본!$F$3:$G$320,2,0)</f>
        <v>#N/A</v>
      </c>
    </row>
    <row r="4307" spans="3:7">
      <c r="C4307" s="545" t="e">
        <f>VLOOKUP(D4307,기본!$B$3:$C$90,2,0)</f>
        <v>#N/A</v>
      </c>
      <c r="G4307" t="e">
        <f>VLOOKUP(E4307,기본!$F$3:$G$320,2,0)</f>
        <v>#N/A</v>
      </c>
    </row>
    <row r="4308" spans="3:7">
      <c r="C4308" s="545" t="e">
        <f>VLOOKUP(D4308,기본!$B$3:$C$90,2,0)</f>
        <v>#N/A</v>
      </c>
      <c r="G4308" t="e">
        <f>VLOOKUP(E4308,기본!$F$3:$G$320,2,0)</f>
        <v>#N/A</v>
      </c>
    </row>
    <row r="4309" spans="3:7">
      <c r="C4309" s="545" t="e">
        <f>VLOOKUP(D4309,기본!$B$3:$C$90,2,0)</f>
        <v>#N/A</v>
      </c>
      <c r="G4309" t="e">
        <f>VLOOKUP(E4309,기본!$F$3:$G$320,2,0)</f>
        <v>#N/A</v>
      </c>
    </row>
    <row r="4310" spans="3:7">
      <c r="C4310" s="545" t="e">
        <f>VLOOKUP(D4310,기본!$B$3:$C$90,2,0)</f>
        <v>#N/A</v>
      </c>
      <c r="G4310" t="e">
        <f>VLOOKUP(E4310,기본!$F$3:$G$320,2,0)</f>
        <v>#N/A</v>
      </c>
    </row>
    <row r="4311" spans="3:7">
      <c r="C4311" s="545" t="e">
        <f>VLOOKUP(D4311,기본!$B$3:$C$90,2,0)</f>
        <v>#N/A</v>
      </c>
      <c r="G4311" t="e">
        <f>VLOOKUP(E4311,기본!$F$3:$G$320,2,0)</f>
        <v>#N/A</v>
      </c>
    </row>
    <row r="4312" spans="3:7">
      <c r="C4312" s="545" t="e">
        <f>VLOOKUP(D4312,기본!$B$3:$C$90,2,0)</f>
        <v>#N/A</v>
      </c>
      <c r="G4312" t="e">
        <f>VLOOKUP(E4312,기본!$F$3:$G$320,2,0)</f>
        <v>#N/A</v>
      </c>
    </row>
    <row r="4313" spans="3:7">
      <c r="C4313" s="545" t="e">
        <f>VLOOKUP(D4313,기본!$B$3:$C$90,2,0)</f>
        <v>#N/A</v>
      </c>
      <c r="G4313" t="e">
        <f>VLOOKUP(E4313,기본!$F$3:$G$320,2,0)</f>
        <v>#N/A</v>
      </c>
    </row>
    <row r="4314" spans="3:7">
      <c r="C4314" s="545" t="e">
        <f>VLOOKUP(D4314,기본!$B$3:$C$90,2,0)</f>
        <v>#N/A</v>
      </c>
      <c r="G4314" t="e">
        <f>VLOOKUP(E4314,기본!$F$3:$G$320,2,0)</f>
        <v>#N/A</v>
      </c>
    </row>
    <row r="4315" spans="3:7">
      <c r="C4315" s="545" t="e">
        <f>VLOOKUP(D4315,기본!$B$3:$C$90,2,0)</f>
        <v>#N/A</v>
      </c>
      <c r="G4315" t="e">
        <f>VLOOKUP(E4315,기본!$F$3:$G$320,2,0)</f>
        <v>#N/A</v>
      </c>
    </row>
    <row r="4316" spans="3:7">
      <c r="C4316" s="545" t="e">
        <f>VLOOKUP(D4316,기본!$B$3:$C$90,2,0)</f>
        <v>#N/A</v>
      </c>
      <c r="G4316" t="e">
        <f>VLOOKUP(E4316,기본!$F$3:$G$320,2,0)</f>
        <v>#N/A</v>
      </c>
    </row>
    <row r="4317" spans="3:7">
      <c r="C4317" s="545" t="e">
        <f>VLOOKUP(D4317,기본!$B$3:$C$90,2,0)</f>
        <v>#N/A</v>
      </c>
      <c r="G4317" t="e">
        <f>VLOOKUP(E4317,기본!$F$3:$G$320,2,0)</f>
        <v>#N/A</v>
      </c>
    </row>
    <row r="4318" spans="3:7">
      <c r="C4318" s="545" t="e">
        <f>VLOOKUP(D4318,기본!$B$3:$C$90,2,0)</f>
        <v>#N/A</v>
      </c>
      <c r="G4318" t="e">
        <f>VLOOKUP(E4318,기본!$F$3:$G$320,2,0)</f>
        <v>#N/A</v>
      </c>
    </row>
    <row r="4319" spans="3:7">
      <c r="C4319" s="545" t="e">
        <f>VLOOKUP(D4319,기본!$B$3:$C$90,2,0)</f>
        <v>#N/A</v>
      </c>
      <c r="G4319" t="e">
        <f>VLOOKUP(E4319,기본!$F$3:$G$320,2,0)</f>
        <v>#N/A</v>
      </c>
    </row>
    <row r="4320" spans="3:7">
      <c r="C4320" s="545" t="e">
        <f>VLOOKUP(D4320,기본!$B$3:$C$90,2,0)</f>
        <v>#N/A</v>
      </c>
      <c r="G4320" t="e">
        <f>VLOOKUP(E4320,기본!$F$3:$G$320,2,0)</f>
        <v>#N/A</v>
      </c>
    </row>
    <row r="4321" spans="3:7">
      <c r="C4321" s="545" t="e">
        <f>VLOOKUP(D4321,기본!$B$3:$C$90,2,0)</f>
        <v>#N/A</v>
      </c>
      <c r="G4321" t="e">
        <f>VLOOKUP(E4321,기본!$F$3:$G$320,2,0)</f>
        <v>#N/A</v>
      </c>
    </row>
    <row r="4322" spans="3:7">
      <c r="C4322" s="545" t="e">
        <f>VLOOKUP(D4322,기본!$B$3:$C$90,2,0)</f>
        <v>#N/A</v>
      </c>
      <c r="G4322" t="e">
        <f>VLOOKUP(E4322,기본!$F$3:$G$320,2,0)</f>
        <v>#N/A</v>
      </c>
    </row>
    <row r="4323" spans="3:7">
      <c r="C4323" s="545" t="e">
        <f>VLOOKUP(D4323,기본!$B$3:$C$90,2,0)</f>
        <v>#N/A</v>
      </c>
      <c r="G4323" t="e">
        <f>VLOOKUP(E4323,기본!$F$3:$G$320,2,0)</f>
        <v>#N/A</v>
      </c>
    </row>
    <row r="4324" spans="3:7">
      <c r="C4324" s="545" t="e">
        <f>VLOOKUP(D4324,기본!$B$3:$C$90,2,0)</f>
        <v>#N/A</v>
      </c>
      <c r="G4324" t="e">
        <f>VLOOKUP(E4324,기본!$F$3:$G$320,2,0)</f>
        <v>#N/A</v>
      </c>
    </row>
    <row r="4325" spans="3:7">
      <c r="C4325" s="545" t="e">
        <f>VLOOKUP(D4325,기본!$B$3:$C$90,2,0)</f>
        <v>#N/A</v>
      </c>
      <c r="G4325" t="e">
        <f>VLOOKUP(E4325,기본!$F$3:$G$320,2,0)</f>
        <v>#N/A</v>
      </c>
    </row>
    <row r="4326" spans="3:7">
      <c r="C4326" s="545" t="e">
        <f>VLOOKUP(D4326,기본!$B$3:$C$90,2,0)</f>
        <v>#N/A</v>
      </c>
      <c r="G4326" t="e">
        <f>VLOOKUP(E4326,기본!$F$3:$G$320,2,0)</f>
        <v>#N/A</v>
      </c>
    </row>
    <row r="4327" spans="3:7">
      <c r="C4327" s="545" t="e">
        <f>VLOOKUP(D4327,기본!$B$3:$C$90,2,0)</f>
        <v>#N/A</v>
      </c>
      <c r="G4327" t="e">
        <f>VLOOKUP(E4327,기본!$F$3:$G$320,2,0)</f>
        <v>#N/A</v>
      </c>
    </row>
    <row r="4328" spans="3:7">
      <c r="C4328" s="545" t="e">
        <f>VLOOKUP(D4328,기본!$B$3:$C$90,2,0)</f>
        <v>#N/A</v>
      </c>
      <c r="G4328" t="e">
        <f>VLOOKUP(E4328,기본!$F$3:$G$320,2,0)</f>
        <v>#N/A</v>
      </c>
    </row>
    <row r="4329" spans="3:7">
      <c r="C4329" s="545" t="e">
        <f>VLOOKUP(D4329,기본!$B$3:$C$90,2,0)</f>
        <v>#N/A</v>
      </c>
      <c r="G4329" t="e">
        <f>VLOOKUP(E4329,기본!$F$3:$G$320,2,0)</f>
        <v>#N/A</v>
      </c>
    </row>
    <row r="4330" spans="3:7">
      <c r="C4330" s="545" t="e">
        <f>VLOOKUP(D4330,기본!$B$3:$C$90,2,0)</f>
        <v>#N/A</v>
      </c>
      <c r="G4330" t="e">
        <f>VLOOKUP(E4330,기본!$F$3:$G$320,2,0)</f>
        <v>#N/A</v>
      </c>
    </row>
    <row r="4331" spans="3:7">
      <c r="C4331" s="545" t="e">
        <f>VLOOKUP(D4331,기본!$B$3:$C$90,2,0)</f>
        <v>#N/A</v>
      </c>
      <c r="G4331" t="e">
        <f>VLOOKUP(E4331,기본!$F$3:$G$320,2,0)</f>
        <v>#N/A</v>
      </c>
    </row>
    <row r="4332" spans="3:7">
      <c r="C4332" s="545" t="e">
        <f>VLOOKUP(D4332,기본!$B$3:$C$90,2,0)</f>
        <v>#N/A</v>
      </c>
      <c r="G4332" t="e">
        <f>VLOOKUP(E4332,기본!$F$3:$G$320,2,0)</f>
        <v>#N/A</v>
      </c>
    </row>
    <row r="4333" spans="3:7">
      <c r="C4333" s="545" t="e">
        <f>VLOOKUP(D4333,기본!$B$3:$C$90,2,0)</f>
        <v>#N/A</v>
      </c>
      <c r="G4333" t="e">
        <f>VLOOKUP(E4333,기본!$F$3:$G$320,2,0)</f>
        <v>#N/A</v>
      </c>
    </row>
    <row r="4334" spans="3:7">
      <c r="C4334" s="545" t="e">
        <f>VLOOKUP(D4334,기본!$B$3:$C$90,2,0)</f>
        <v>#N/A</v>
      </c>
      <c r="G4334" t="e">
        <f>VLOOKUP(E4334,기본!$F$3:$G$320,2,0)</f>
        <v>#N/A</v>
      </c>
    </row>
    <row r="4335" spans="3:7">
      <c r="C4335" s="545" t="e">
        <f>VLOOKUP(D4335,기본!$B$3:$C$90,2,0)</f>
        <v>#N/A</v>
      </c>
      <c r="G4335" t="e">
        <f>VLOOKUP(E4335,기본!$F$3:$G$320,2,0)</f>
        <v>#N/A</v>
      </c>
    </row>
    <row r="4336" spans="3:7">
      <c r="C4336" s="545" t="e">
        <f>VLOOKUP(D4336,기본!$B$3:$C$90,2,0)</f>
        <v>#N/A</v>
      </c>
      <c r="G4336" t="e">
        <f>VLOOKUP(E4336,기본!$F$3:$G$320,2,0)</f>
        <v>#N/A</v>
      </c>
    </row>
    <row r="4337" spans="3:7">
      <c r="C4337" s="545" t="e">
        <f>VLOOKUP(D4337,기본!$B$3:$C$90,2,0)</f>
        <v>#N/A</v>
      </c>
      <c r="G4337" t="e">
        <f>VLOOKUP(E4337,기본!$F$3:$G$320,2,0)</f>
        <v>#N/A</v>
      </c>
    </row>
    <row r="4338" spans="3:7">
      <c r="C4338" s="545" t="e">
        <f>VLOOKUP(D4338,기본!$B$3:$C$90,2,0)</f>
        <v>#N/A</v>
      </c>
      <c r="G4338" t="e">
        <f>VLOOKUP(E4338,기본!$F$3:$G$320,2,0)</f>
        <v>#N/A</v>
      </c>
    </row>
    <row r="4339" spans="3:7">
      <c r="C4339" s="545" t="e">
        <f>VLOOKUP(D4339,기본!$B$3:$C$90,2,0)</f>
        <v>#N/A</v>
      </c>
      <c r="G4339" t="e">
        <f>VLOOKUP(E4339,기본!$F$3:$G$320,2,0)</f>
        <v>#N/A</v>
      </c>
    </row>
    <row r="4340" spans="3:7">
      <c r="C4340" s="545" t="e">
        <f>VLOOKUP(D4340,기본!$B$3:$C$90,2,0)</f>
        <v>#N/A</v>
      </c>
      <c r="G4340" t="e">
        <f>VLOOKUP(E4340,기본!$F$3:$G$320,2,0)</f>
        <v>#N/A</v>
      </c>
    </row>
    <row r="4341" spans="3:7">
      <c r="C4341" s="545" t="e">
        <f>VLOOKUP(D4341,기본!$B$3:$C$90,2,0)</f>
        <v>#N/A</v>
      </c>
      <c r="G4341" t="e">
        <f>VLOOKUP(E4341,기본!$F$3:$G$320,2,0)</f>
        <v>#N/A</v>
      </c>
    </row>
    <row r="4342" spans="3:7">
      <c r="C4342" s="545" t="e">
        <f>VLOOKUP(D4342,기본!$B$3:$C$90,2,0)</f>
        <v>#N/A</v>
      </c>
      <c r="G4342" t="e">
        <f>VLOOKUP(E4342,기본!$F$3:$G$320,2,0)</f>
        <v>#N/A</v>
      </c>
    </row>
    <row r="4343" spans="3:7">
      <c r="C4343" s="545" t="e">
        <f>VLOOKUP(D4343,기본!$B$3:$C$90,2,0)</f>
        <v>#N/A</v>
      </c>
      <c r="G4343" t="e">
        <f>VLOOKUP(E4343,기본!$F$3:$G$320,2,0)</f>
        <v>#N/A</v>
      </c>
    </row>
    <row r="4344" spans="3:7">
      <c r="C4344" s="545" t="e">
        <f>VLOOKUP(D4344,기본!$B$3:$C$90,2,0)</f>
        <v>#N/A</v>
      </c>
      <c r="G4344" t="e">
        <f>VLOOKUP(E4344,기본!$F$3:$G$320,2,0)</f>
        <v>#N/A</v>
      </c>
    </row>
    <row r="4345" spans="3:7">
      <c r="C4345" s="545" t="e">
        <f>VLOOKUP(D4345,기본!$B$3:$C$90,2,0)</f>
        <v>#N/A</v>
      </c>
      <c r="G4345" t="e">
        <f>VLOOKUP(E4345,기본!$F$3:$G$320,2,0)</f>
        <v>#N/A</v>
      </c>
    </row>
    <row r="4346" spans="3:7">
      <c r="C4346" s="545" t="e">
        <f>VLOOKUP(D4346,기본!$B$3:$C$90,2,0)</f>
        <v>#N/A</v>
      </c>
      <c r="G4346" t="e">
        <f>VLOOKUP(E4346,기본!$F$3:$G$320,2,0)</f>
        <v>#N/A</v>
      </c>
    </row>
    <row r="4347" spans="3:7">
      <c r="C4347" s="545" t="e">
        <f>VLOOKUP(D4347,기본!$B$3:$C$90,2,0)</f>
        <v>#N/A</v>
      </c>
      <c r="G4347" t="e">
        <f>VLOOKUP(E4347,기본!$F$3:$G$320,2,0)</f>
        <v>#N/A</v>
      </c>
    </row>
    <row r="4348" spans="3:7">
      <c r="C4348" s="545" t="e">
        <f>VLOOKUP(D4348,기본!$B$3:$C$90,2,0)</f>
        <v>#N/A</v>
      </c>
      <c r="G4348" t="e">
        <f>VLOOKUP(E4348,기본!$F$3:$G$320,2,0)</f>
        <v>#N/A</v>
      </c>
    </row>
    <row r="4349" spans="3:7">
      <c r="C4349" s="545" t="e">
        <f>VLOOKUP(D4349,기본!$B$3:$C$90,2,0)</f>
        <v>#N/A</v>
      </c>
      <c r="G4349" t="e">
        <f>VLOOKUP(E4349,기본!$F$3:$G$320,2,0)</f>
        <v>#N/A</v>
      </c>
    </row>
    <row r="4350" spans="3:7">
      <c r="C4350" s="545" t="e">
        <f>VLOOKUP(D4350,기본!$B$3:$C$90,2,0)</f>
        <v>#N/A</v>
      </c>
      <c r="G4350" t="e">
        <f>VLOOKUP(E4350,기본!$F$3:$G$320,2,0)</f>
        <v>#N/A</v>
      </c>
    </row>
    <row r="4351" spans="3:7">
      <c r="C4351" s="545" t="e">
        <f>VLOOKUP(D4351,기본!$B$3:$C$90,2,0)</f>
        <v>#N/A</v>
      </c>
      <c r="G4351" t="e">
        <f>VLOOKUP(E4351,기본!$F$3:$G$320,2,0)</f>
        <v>#N/A</v>
      </c>
    </row>
    <row r="4352" spans="3:7">
      <c r="C4352" s="545" t="e">
        <f>VLOOKUP(D4352,기본!$B$3:$C$90,2,0)</f>
        <v>#N/A</v>
      </c>
      <c r="G4352" t="e">
        <f>VLOOKUP(E4352,기본!$F$3:$G$320,2,0)</f>
        <v>#N/A</v>
      </c>
    </row>
    <row r="4353" spans="3:7">
      <c r="C4353" s="545" t="e">
        <f>VLOOKUP(D4353,기본!$B$3:$C$90,2,0)</f>
        <v>#N/A</v>
      </c>
      <c r="G4353" t="e">
        <f>VLOOKUP(E4353,기본!$F$3:$G$320,2,0)</f>
        <v>#N/A</v>
      </c>
    </row>
    <row r="4354" spans="3:7">
      <c r="C4354" s="545" t="e">
        <f>VLOOKUP(D4354,기본!$B$3:$C$90,2,0)</f>
        <v>#N/A</v>
      </c>
      <c r="G4354" t="e">
        <f>VLOOKUP(E4354,기본!$F$3:$G$320,2,0)</f>
        <v>#N/A</v>
      </c>
    </row>
    <row r="4355" spans="3:7">
      <c r="C4355" s="545" t="e">
        <f>VLOOKUP(D4355,기본!$B$3:$C$90,2,0)</f>
        <v>#N/A</v>
      </c>
      <c r="G4355" t="e">
        <f>VLOOKUP(E4355,기본!$F$3:$G$320,2,0)</f>
        <v>#N/A</v>
      </c>
    </row>
    <row r="4356" spans="3:7">
      <c r="C4356" s="545" t="e">
        <f>VLOOKUP(D4356,기본!$B$3:$C$90,2,0)</f>
        <v>#N/A</v>
      </c>
      <c r="G4356" t="e">
        <f>VLOOKUP(E4356,기본!$F$3:$G$320,2,0)</f>
        <v>#N/A</v>
      </c>
    </row>
    <row r="4357" spans="3:7">
      <c r="C4357" s="545" t="e">
        <f>VLOOKUP(D4357,기본!$B$3:$C$90,2,0)</f>
        <v>#N/A</v>
      </c>
      <c r="G4357" t="e">
        <f>VLOOKUP(E4357,기본!$F$3:$G$320,2,0)</f>
        <v>#N/A</v>
      </c>
    </row>
    <row r="4358" spans="3:7">
      <c r="C4358" s="545" t="e">
        <f>VLOOKUP(D4358,기본!$B$3:$C$90,2,0)</f>
        <v>#N/A</v>
      </c>
      <c r="G4358" t="e">
        <f>VLOOKUP(E4358,기본!$F$3:$G$320,2,0)</f>
        <v>#N/A</v>
      </c>
    </row>
    <row r="4359" spans="3:7">
      <c r="C4359" s="545" t="e">
        <f>VLOOKUP(D4359,기본!$B$3:$C$90,2,0)</f>
        <v>#N/A</v>
      </c>
      <c r="G4359" t="e">
        <f>VLOOKUP(E4359,기본!$F$3:$G$320,2,0)</f>
        <v>#N/A</v>
      </c>
    </row>
    <row r="4360" spans="3:7">
      <c r="C4360" s="545" t="e">
        <f>VLOOKUP(D4360,기본!$B$3:$C$90,2,0)</f>
        <v>#N/A</v>
      </c>
      <c r="G4360" t="e">
        <f>VLOOKUP(E4360,기본!$F$3:$G$320,2,0)</f>
        <v>#N/A</v>
      </c>
    </row>
    <row r="4361" spans="3:7">
      <c r="C4361" s="545" t="e">
        <f>VLOOKUP(D4361,기본!$B$3:$C$90,2,0)</f>
        <v>#N/A</v>
      </c>
      <c r="G4361" t="e">
        <f>VLOOKUP(E4361,기본!$F$3:$G$320,2,0)</f>
        <v>#N/A</v>
      </c>
    </row>
    <row r="4362" spans="3:7">
      <c r="C4362" s="545" t="e">
        <f>VLOOKUP(D4362,기본!$B$3:$C$90,2,0)</f>
        <v>#N/A</v>
      </c>
      <c r="G4362" t="e">
        <f>VLOOKUP(E4362,기본!$F$3:$G$320,2,0)</f>
        <v>#N/A</v>
      </c>
    </row>
    <row r="4363" spans="3:7">
      <c r="C4363" s="545" t="e">
        <f>VLOOKUP(D4363,기본!$B$3:$C$90,2,0)</f>
        <v>#N/A</v>
      </c>
      <c r="G4363" t="e">
        <f>VLOOKUP(E4363,기본!$F$3:$G$320,2,0)</f>
        <v>#N/A</v>
      </c>
    </row>
    <row r="4364" spans="3:7">
      <c r="C4364" s="545" t="e">
        <f>VLOOKUP(D4364,기본!$B$3:$C$90,2,0)</f>
        <v>#N/A</v>
      </c>
      <c r="G4364" t="e">
        <f>VLOOKUP(E4364,기본!$F$3:$G$320,2,0)</f>
        <v>#N/A</v>
      </c>
    </row>
    <row r="4365" spans="3:7">
      <c r="C4365" s="545" t="e">
        <f>VLOOKUP(D4365,기본!$B$3:$C$90,2,0)</f>
        <v>#N/A</v>
      </c>
      <c r="G4365" t="e">
        <f>VLOOKUP(E4365,기본!$F$3:$G$320,2,0)</f>
        <v>#N/A</v>
      </c>
    </row>
    <row r="4366" spans="3:7">
      <c r="C4366" s="545" t="e">
        <f>VLOOKUP(D4366,기본!$B$3:$C$90,2,0)</f>
        <v>#N/A</v>
      </c>
      <c r="G4366" t="e">
        <f>VLOOKUP(E4366,기본!$F$3:$G$320,2,0)</f>
        <v>#N/A</v>
      </c>
    </row>
    <row r="4367" spans="3:7">
      <c r="C4367" s="545" t="e">
        <f>VLOOKUP(D4367,기본!$B$3:$C$90,2,0)</f>
        <v>#N/A</v>
      </c>
      <c r="G4367" t="e">
        <f>VLOOKUP(E4367,기본!$F$3:$G$320,2,0)</f>
        <v>#N/A</v>
      </c>
    </row>
    <row r="4368" spans="3:7">
      <c r="C4368" s="545" t="e">
        <f>VLOOKUP(D4368,기본!$B$3:$C$90,2,0)</f>
        <v>#N/A</v>
      </c>
      <c r="G4368" t="e">
        <f>VLOOKUP(E4368,기본!$F$3:$G$320,2,0)</f>
        <v>#N/A</v>
      </c>
    </row>
    <row r="4369" spans="3:7">
      <c r="C4369" s="545" t="e">
        <f>VLOOKUP(D4369,기본!$B$3:$C$90,2,0)</f>
        <v>#N/A</v>
      </c>
      <c r="G4369" t="e">
        <f>VLOOKUP(E4369,기본!$F$3:$G$320,2,0)</f>
        <v>#N/A</v>
      </c>
    </row>
    <row r="4370" spans="3:7">
      <c r="C4370" s="545" t="e">
        <f>VLOOKUP(D4370,기본!$B$3:$C$90,2,0)</f>
        <v>#N/A</v>
      </c>
      <c r="G4370" t="e">
        <f>VLOOKUP(E4370,기본!$F$3:$G$320,2,0)</f>
        <v>#N/A</v>
      </c>
    </row>
    <row r="4371" spans="3:7">
      <c r="C4371" s="545" t="e">
        <f>VLOOKUP(D4371,기본!$B$3:$C$90,2,0)</f>
        <v>#N/A</v>
      </c>
      <c r="G4371" t="e">
        <f>VLOOKUP(E4371,기본!$F$3:$G$320,2,0)</f>
        <v>#N/A</v>
      </c>
    </row>
    <row r="4372" spans="3:7">
      <c r="C4372" s="545" t="e">
        <f>VLOOKUP(D4372,기본!$B$3:$C$90,2,0)</f>
        <v>#N/A</v>
      </c>
      <c r="G4372" t="e">
        <f>VLOOKUP(E4372,기본!$F$3:$G$320,2,0)</f>
        <v>#N/A</v>
      </c>
    </row>
    <row r="4373" spans="3:7">
      <c r="C4373" s="545" t="e">
        <f>VLOOKUP(D4373,기본!$B$3:$C$90,2,0)</f>
        <v>#N/A</v>
      </c>
      <c r="G4373" t="e">
        <f>VLOOKUP(E4373,기본!$F$3:$G$320,2,0)</f>
        <v>#N/A</v>
      </c>
    </row>
    <row r="4374" spans="3:7">
      <c r="C4374" s="545" t="e">
        <f>VLOOKUP(D4374,기본!$B$3:$C$90,2,0)</f>
        <v>#N/A</v>
      </c>
      <c r="G4374" t="e">
        <f>VLOOKUP(E4374,기본!$F$3:$G$320,2,0)</f>
        <v>#N/A</v>
      </c>
    </row>
    <row r="4375" spans="3:7">
      <c r="C4375" s="545" t="e">
        <f>VLOOKUP(D4375,기본!$B$3:$C$90,2,0)</f>
        <v>#N/A</v>
      </c>
      <c r="G4375" t="e">
        <f>VLOOKUP(E4375,기본!$F$3:$G$320,2,0)</f>
        <v>#N/A</v>
      </c>
    </row>
    <row r="4376" spans="3:7">
      <c r="C4376" s="545" t="e">
        <f>VLOOKUP(D4376,기본!$B$3:$C$90,2,0)</f>
        <v>#N/A</v>
      </c>
      <c r="G4376" t="e">
        <f>VLOOKUP(E4376,기본!$F$3:$G$320,2,0)</f>
        <v>#N/A</v>
      </c>
    </row>
    <row r="4377" spans="3:7">
      <c r="C4377" s="545" t="e">
        <f>VLOOKUP(D4377,기본!$B$3:$C$90,2,0)</f>
        <v>#N/A</v>
      </c>
      <c r="G4377" t="e">
        <f>VLOOKUP(E4377,기본!$F$3:$G$320,2,0)</f>
        <v>#N/A</v>
      </c>
    </row>
    <row r="4378" spans="3:7">
      <c r="C4378" s="545" t="e">
        <f>VLOOKUP(D4378,기본!$B$3:$C$90,2,0)</f>
        <v>#N/A</v>
      </c>
      <c r="G4378" t="e">
        <f>VLOOKUP(E4378,기본!$F$3:$G$320,2,0)</f>
        <v>#N/A</v>
      </c>
    </row>
    <row r="4379" spans="3:7">
      <c r="C4379" s="545" t="e">
        <f>VLOOKUP(D4379,기본!$B$3:$C$90,2,0)</f>
        <v>#N/A</v>
      </c>
      <c r="G4379" t="e">
        <f>VLOOKUP(E4379,기본!$F$3:$G$320,2,0)</f>
        <v>#N/A</v>
      </c>
    </row>
    <row r="4380" spans="3:7">
      <c r="C4380" s="545" t="e">
        <f>VLOOKUP(D4380,기본!$B$3:$C$90,2,0)</f>
        <v>#N/A</v>
      </c>
      <c r="G4380" t="e">
        <f>VLOOKUP(E4380,기본!$F$3:$G$320,2,0)</f>
        <v>#N/A</v>
      </c>
    </row>
    <row r="4381" spans="3:7">
      <c r="C4381" s="545" t="e">
        <f>VLOOKUP(D4381,기본!$B$3:$C$90,2,0)</f>
        <v>#N/A</v>
      </c>
      <c r="G4381" t="e">
        <f>VLOOKUP(E4381,기본!$F$3:$G$320,2,0)</f>
        <v>#N/A</v>
      </c>
    </row>
    <row r="4382" spans="3:7">
      <c r="C4382" s="545" t="e">
        <f>VLOOKUP(D4382,기본!$B$3:$C$90,2,0)</f>
        <v>#N/A</v>
      </c>
      <c r="G4382" t="e">
        <f>VLOOKUP(E4382,기본!$F$3:$G$320,2,0)</f>
        <v>#N/A</v>
      </c>
    </row>
    <row r="4383" spans="3:7">
      <c r="C4383" s="545" t="e">
        <f>VLOOKUP(D4383,기본!$B$3:$C$90,2,0)</f>
        <v>#N/A</v>
      </c>
      <c r="G4383" t="e">
        <f>VLOOKUP(E4383,기본!$F$3:$G$320,2,0)</f>
        <v>#N/A</v>
      </c>
    </row>
    <row r="4384" spans="3:7">
      <c r="C4384" s="545" t="e">
        <f>VLOOKUP(D4384,기본!$B$3:$C$90,2,0)</f>
        <v>#N/A</v>
      </c>
      <c r="G4384" t="e">
        <f>VLOOKUP(E4384,기본!$F$3:$G$320,2,0)</f>
        <v>#N/A</v>
      </c>
    </row>
    <row r="4385" spans="3:7">
      <c r="C4385" s="545" t="e">
        <f>VLOOKUP(D4385,기본!$B$3:$C$90,2,0)</f>
        <v>#N/A</v>
      </c>
      <c r="G4385" t="e">
        <f>VLOOKUP(E4385,기본!$F$3:$G$320,2,0)</f>
        <v>#N/A</v>
      </c>
    </row>
    <row r="4386" spans="3:7">
      <c r="C4386" s="545" t="e">
        <f>VLOOKUP(D4386,기본!$B$3:$C$90,2,0)</f>
        <v>#N/A</v>
      </c>
      <c r="G4386" t="e">
        <f>VLOOKUP(E4386,기본!$F$3:$G$320,2,0)</f>
        <v>#N/A</v>
      </c>
    </row>
    <row r="4387" spans="3:7">
      <c r="C4387" s="545" t="e">
        <f>VLOOKUP(D4387,기본!$B$3:$C$90,2,0)</f>
        <v>#N/A</v>
      </c>
      <c r="G4387" t="e">
        <f>VLOOKUP(E4387,기본!$F$3:$G$320,2,0)</f>
        <v>#N/A</v>
      </c>
    </row>
    <row r="4388" spans="3:7">
      <c r="C4388" s="545" t="e">
        <f>VLOOKUP(D4388,기본!$B$3:$C$90,2,0)</f>
        <v>#N/A</v>
      </c>
      <c r="G4388" t="e">
        <f>VLOOKUP(E4388,기본!$F$3:$G$320,2,0)</f>
        <v>#N/A</v>
      </c>
    </row>
    <row r="4389" spans="3:7">
      <c r="C4389" s="545" t="e">
        <f>VLOOKUP(D4389,기본!$B$3:$C$90,2,0)</f>
        <v>#N/A</v>
      </c>
      <c r="G4389" t="e">
        <f>VLOOKUP(E4389,기본!$F$3:$G$320,2,0)</f>
        <v>#N/A</v>
      </c>
    </row>
    <row r="4390" spans="3:7">
      <c r="C4390" s="545" t="e">
        <f>VLOOKUP(D4390,기본!$B$3:$C$90,2,0)</f>
        <v>#N/A</v>
      </c>
      <c r="G4390" t="e">
        <f>VLOOKUP(E4390,기본!$F$3:$G$320,2,0)</f>
        <v>#N/A</v>
      </c>
    </row>
    <row r="4391" spans="3:7">
      <c r="C4391" s="545" t="e">
        <f>VLOOKUP(D4391,기본!$B$3:$C$90,2,0)</f>
        <v>#N/A</v>
      </c>
      <c r="G4391" t="e">
        <f>VLOOKUP(E4391,기본!$F$3:$G$320,2,0)</f>
        <v>#N/A</v>
      </c>
    </row>
    <row r="4392" spans="3:7">
      <c r="C4392" s="545" t="e">
        <f>VLOOKUP(D4392,기본!$B$3:$C$90,2,0)</f>
        <v>#N/A</v>
      </c>
      <c r="G4392" t="e">
        <f>VLOOKUP(E4392,기본!$F$3:$G$320,2,0)</f>
        <v>#N/A</v>
      </c>
    </row>
    <row r="4393" spans="3:7">
      <c r="C4393" s="545" t="e">
        <f>VLOOKUP(D4393,기본!$B$3:$C$90,2,0)</f>
        <v>#N/A</v>
      </c>
      <c r="G4393" t="e">
        <f>VLOOKUP(E4393,기본!$F$3:$G$320,2,0)</f>
        <v>#N/A</v>
      </c>
    </row>
    <row r="4394" spans="3:7">
      <c r="C4394" s="545" t="e">
        <f>VLOOKUP(D4394,기본!$B$3:$C$90,2,0)</f>
        <v>#N/A</v>
      </c>
      <c r="G4394" t="e">
        <f>VLOOKUP(E4394,기본!$F$3:$G$320,2,0)</f>
        <v>#N/A</v>
      </c>
    </row>
    <row r="4395" spans="3:7">
      <c r="C4395" s="545" t="e">
        <f>VLOOKUP(D4395,기본!$B$3:$C$90,2,0)</f>
        <v>#N/A</v>
      </c>
      <c r="G4395" t="e">
        <f>VLOOKUP(E4395,기본!$F$3:$G$320,2,0)</f>
        <v>#N/A</v>
      </c>
    </row>
    <row r="4396" spans="3:7">
      <c r="C4396" s="545" t="e">
        <f>VLOOKUP(D4396,기본!$B$3:$C$90,2,0)</f>
        <v>#N/A</v>
      </c>
      <c r="G4396" t="e">
        <f>VLOOKUP(E4396,기본!$F$3:$G$320,2,0)</f>
        <v>#N/A</v>
      </c>
    </row>
    <row r="4397" spans="3:7">
      <c r="C4397" s="545" t="e">
        <f>VLOOKUP(D4397,기본!$B$3:$C$90,2,0)</f>
        <v>#N/A</v>
      </c>
      <c r="G4397" t="e">
        <f>VLOOKUP(E4397,기본!$F$3:$G$320,2,0)</f>
        <v>#N/A</v>
      </c>
    </row>
    <row r="4398" spans="3:7">
      <c r="C4398" s="545" t="e">
        <f>VLOOKUP(D4398,기본!$B$3:$C$90,2,0)</f>
        <v>#N/A</v>
      </c>
      <c r="G4398" t="e">
        <f>VLOOKUP(E4398,기본!$F$3:$G$320,2,0)</f>
        <v>#N/A</v>
      </c>
    </row>
    <row r="4399" spans="3:7">
      <c r="C4399" s="545" t="e">
        <f>VLOOKUP(D4399,기본!$B$3:$C$90,2,0)</f>
        <v>#N/A</v>
      </c>
      <c r="G4399" t="e">
        <f>VLOOKUP(E4399,기본!$F$3:$G$320,2,0)</f>
        <v>#N/A</v>
      </c>
    </row>
    <row r="4400" spans="3:7">
      <c r="C4400" s="545" t="e">
        <f>VLOOKUP(D4400,기본!$B$3:$C$90,2,0)</f>
        <v>#N/A</v>
      </c>
      <c r="G4400" t="e">
        <f>VLOOKUP(E4400,기본!$F$3:$G$320,2,0)</f>
        <v>#N/A</v>
      </c>
    </row>
    <row r="4401" spans="3:7">
      <c r="C4401" s="545" t="e">
        <f>VLOOKUP(D4401,기본!$B$3:$C$90,2,0)</f>
        <v>#N/A</v>
      </c>
      <c r="G4401" t="e">
        <f>VLOOKUP(E4401,기본!$F$3:$G$320,2,0)</f>
        <v>#N/A</v>
      </c>
    </row>
    <row r="4402" spans="3:7">
      <c r="C4402" s="545" t="e">
        <f>VLOOKUP(D4402,기본!$B$3:$C$90,2,0)</f>
        <v>#N/A</v>
      </c>
      <c r="G4402" t="e">
        <f>VLOOKUP(E4402,기본!$F$3:$G$320,2,0)</f>
        <v>#N/A</v>
      </c>
    </row>
    <row r="4403" spans="3:7">
      <c r="C4403" s="545" t="e">
        <f>VLOOKUP(D4403,기본!$B$3:$C$90,2,0)</f>
        <v>#N/A</v>
      </c>
      <c r="G4403" t="e">
        <f>VLOOKUP(E4403,기본!$F$3:$G$320,2,0)</f>
        <v>#N/A</v>
      </c>
    </row>
    <row r="4404" spans="3:7">
      <c r="C4404" s="545" t="e">
        <f>VLOOKUP(D4404,기본!$B$3:$C$90,2,0)</f>
        <v>#N/A</v>
      </c>
      <c r="G4404" t="e">
        <f>VLOOKUP(E4404,기본!$F$3:$G$320,2,0)</f>
        <v>#N/A</v>
      </c>
    </row>
    <row r="4405" spans="3:7">
      <c r="C4405" s="545" t="e">
        <f>VLOOKUP(D4405,기본!$B$3:$C$90,2,0)</f>
        <v>#N/A</v>
      </c>
      <c r="G4405" t="e">
        <f>VLOOKUP(E4405,기본!$F$3:$G$320,2,0)</f>
        <v>#N/A</v>
      </c>
    </row>
    <row r="4406" spans="3:7">
      <c r="C4406" s="545" t="e">
        <f>VLOOKUP(D4406,기본!$B$3:$C$90,2,0)</f>
        <v>#N/A</v>
      </c>
      <c r="G4406" t="e">
        <f>VLOOKUP(E4406,기본!$F$3:$G$320,2,0)</f>
        <v>#N/A</v>
      </c>
    </row>
    <row r="4407" spans="3:7">
      <c r="C4407" s="545" t="e">
        <f>VLOOKUP(D4407,기본!$B$3:$C$90,2,0)</f>
        <v>#N/A</v>
      </c>
      <c r="G4407" t="e">
        <f>VLOOKUP(E4407,기본!$F$3:$G$320,2,0)</f>
        <v>#N/A</v>
      </c>
    </row>
    <row r="4408" spans="3:7">
      <c r="C4408" s="545" t="e">
        <f>VLOOKUP(D4408,기본!$B$3:$C$90,2,0)</f>
        <v>#N/A</v>
      </c>
      <c r="G4408" t="e">
        <f>VLOOKUP(E4408,기본!$F$3:$G$320,2,0)</f>
        <v>#N/A</v>
      </c>
    </row>
    <row r="4409" spans="3:7">
      <c r="C4409" s="545" t="e">
        <f>VLOOKUP(D4409,기본!$B$3:$C$90,2,0)</f>
        <v>#N/A</v>
      </c>
      <c r="G4409" t="e">
        <f>VLOOKUP(E4409,기본!$F$3:$G$320,2,0)</f>
        <v>#N/A</v>
      </c>
    </row>
    <row r="4410" spans="3:7">
      <c r="C4410" s="545" t="e">
        <f>VLOOKUP(D4410,기본!$B$3:$C$90,2,0)</f>
        <v>#N/A</v>
      </c>
      <c r="G4410" t="e">
        <f>VLOOKUP(E4410,기본!$F$3:$G$320,2,0)</f>
        <v>#N/A</v>
      </c>
    </row>
    <row r="4411" spans="3:7">
      <c r="C4411" s="545" t="e">
        <f>VLOOKUP(D4411,기본!$B$3:$C$90,2,0)</f>
        <v>#N/A</v>
      </c>
      <c r="G4411" t="e">
        <f>VLOOKUP(E4411,기본!$F$3:$G$320,2,0)</f>
        <v>#N/A</v>
      </c>
    </row>
    <row r="4412" spans="3:7">
      <c r="C4412" s="545" t="e">
        <f>VLOOKUP(D4412,기본!$B$3:$C$90,2,0)</f>
        <v>#N/A</v>
      </c>
      <c r="G4412" t="e">
        <f>VLOOKUP(E4412,기본!$F$3:$G$320,2,0)</f>
        <v>#N/A</v>
      </c>
    </row>
    <row r="4413" spans="3:7">
      <c r="C4413" s="545" t="e">
        <f>VLOOKUP(D4413,기본!$B$3:$C$90,2,0)</f>
        <v>#N/A</v>
      </c>
      <c r="G4413" t="e">
        <f>VLOOKUP(E4413,기본!$F$3:$G$320,2,0)</f>
        <v>#N/A</v>
      </c>
    </row>
    <row r="4414" spans="3:7">
      <c r="C4414" s="545" t="e">
        <f>VLOOKUP(D4414,기본!$B$3:$C$90,2,0)</f>
        <v>#N/A</v>
      </c>
      <c r="G4414" t="e">
        <f>VLOOKUP(E4414,기본!$F$3:$G$320,2,0)</f>
        <v>#N/A</v>
      </c>
    </row>
    <row r="4415" spans="3:7">
      <c r="C4415" s="545" t="e">
        <f>VLOOKUP(D4415,기본!$B$3:$C$90,2,0)</f>
        <v>#N/A</v>
      </c>
      <c r="G4415" t="e">
        <f>VLOOKUP(E4415,기본!$F$3:$G$320,2,0)</f>
        <v>#N/A</v>
      </c>
    </row>
    <row r="4416" spans="3:7">
      <c r="C4416" s="545" t="e">
        <f>VLOOKUP(D4416,기본!$B$3:$C$90,2,0)</f>
        <v>#N/A</v>
      </c>
      <c r="G4416" t="e">
        <f>VLOOKUP(E4416,기본!$F$3:$G$320,2,0)</f>
        <v>#N/A</v>
      </c>
    </row>
    <row r="4417" spans="3:7">
      <c r="C4417" s="545" t="e">
        <f>VLOOKUP(D4417,기본!$B$3:$C$90,2,0)</f>
        <v>#N/A</v>
      </c>
      <c r="G4417" t="e">
        <f>VLOOKUP(E4417,기본!$F$3:$G$320,2,0)</f>
        <v>#N/A</v>
      </c>
    </row>
    <row r="4418" spans="3:7">
      <c r="C4418" s="545" t="e">
        <f>VLOOKUP(D4418,기본!$B$3:$C$90,2,0)</f>
        <v>#N/A</v>
      </c>
      <c r="G4418" t="e">
        <f>VLOOKUP(E4418,기본!$F$3:$G$320,2,0)</f>
        <v>#N/A</v>
      </c>
    </row>
    <row r="4419" spans="3:7">
      <c r="C4419" s="545" t="e">
        <f>VLOOKUP(D4419,기본!$B$3:$C$90,2,0)</f>
        <v>#N/A</v>
      </c>
      <c r="G4419" t="e">
        <f>VLOOKUP(E4419,기본!$F$3:$G$320,2,0)</f>
        <v>#N/A</v>
      </c>
    </row>
    <row r="4420" spans="3:7">
      <c r="C4420" s="545" t="e">
        <f>VLOOKUP(D4420,기본!$B$3:$C$90,2,0)</f>
        <v>#N/A</v>
      </c>
      <c r="G4420" t="e">
        <f>VLOOKUP(E4420,기본!$F$3:$G$320,2,0)</f>
        <v>#N/A</v>
      </c>
    </row>
    <row r="4421" spans="3:7">
      <c r="C4421" s="545" t="e">
        <f>VLOOKUP(D4421,기본!$B$3:$C$90,2,0)</f>
        <v>#N/A</v>
      </c>
      <c r="G4421" t="e">
        <f>VLOOKUP(E4421,기본!$F$3:$G$320,2,0)</f>
        <v>#N/A</v>
      </c>
    </row>
    <row r="4422" spans="3:7">
      <c r="C4422" s="545" t="e">
        <f>VLOOKUP(D4422,기본!$B$3:$C$90,2,0)</f>
        <v>#N/A</v>
      </c>
      <c r="G4422" t="e">
        <f>VLOOKUP(E4422,기본!$F$3:$G$320,2,0)</f>
        <v>#N/A</v>
      </c>
    </row>
    <row r="4423" spans="3:7">
      <c r="C4423" s="545" t="e">
        <f>VLOOKUP(D4423,기본!$B$3:$C$90,2,0)</f>
        <v>#N/A</v>
      </c>
      <c r="G4423" t="e">
        <f>VLOOKUP(E4423,기본!$F$3:$G$320,2,0)</f>
        <v>#N/A</v>
      </c>
    </row>
    <row r="4424" spans="3:7">
      <c r="C4424" s="545" t="e">
        <f>VLOOKUP(D4424,기본!$B$3:$C$90,2,0)</f>
        <v>#N/A</v>
      </c>
      <c r="G4424" t="e">
        <f>VLOOKUP(E4424,기본!$F$3:$G$320,2,0)</f>
        <v>#N/A</v>
      </c>
    </row>
    <row r="4425" spans="3:7">
      <c r="C4425" s="545" t="e">
        <f>VLOOKUP(D4425,기본!$B$3:$C$90,2,0)</f>
        <v>#N/A</v>
      </c>
      <c r="G4425" t="e">
        <f>VLOOKUP(E4425,기본!$F$3:$G$320,2,0)</f>
        <v>#N/A</v>
      </c>
    </row>
    <row r="4426" spans="3:7">
      <c r="C4426" s="545" t="e">
        <f>VLOOKUP(D4426,기본!$B$3:$C$90,2,0)</f>
        <v>#N/A</v>
      </c>
      <c r="G4426" t="e">
        <f>VLOOKUP(E4426,기본!$F$3:$G$320,2,0)</f>
        <v>#N/A</v>
      </c>
    </row>
    <row r="4427" spans="3:7">
      <c r="C4427" s="545" t="e">
        <f>VLOOKUP(D4427,기본!$B$3:$C$90,2,0)</f>
        <v>#N/A</v>
      </c>
      <c r="G4427" t="e">
        <f>VLOOKUP(E4427,기본!$F$3:$G$320,2,0)</f>
        <v>#N/A</v>
      </c>
    </row>
    <row r="4428" spans="3:7">
      <c r="C4428" s="545" t="e">
        <f>VLOOKUP(D4428,기본!$B$3:$C$90,2,0)</f>
        <v>#N/A</v>
      </c>
      <c r="G4428" t="e">
        <f>VLOOKUP(E4428,기본!$F$3:$G$320,2,0)</f>
        <v>#N/A</v>
      </c>
    </row>
    <row r="4429" spans="3:7">
      <c r="C4429" s="545" t="e">
        <f>VLOOKUP(D4429,기본!$B$3:$C$90,2,0)</f>
        <v>#N/A</v>
      </c>
      <c r="G4429" t="e">
        <f>VLOOKUP(E4429,기본!$F$3:$G$320,2,0)</f>
        <v>#N/A</v>
      </c>
    </row>
    <row r="4430" spans="3:7">
      <c r="C4430" s="545" t="e">
        <f>VLOOKUP(D4430,기본!$B$3:$C$90,2,0)</f>
        <v>#N/A</v>
      </c>
      <c r="G4430" t="e">
        <f>VLOOKUP(E4430,기본!$F$3:$G$320,2,0)</f>
        <v>#N/A</v>
      </c>
    </row>
    <row r="4431" spans="3:7">
      <c r="C4431" s="545" t="e">
        <f>VLOOKUP(D4431,기본!$B$3:$C$90,2,0)</f>
        <v>#N/A</v>
      </c>
      <c r="G4431" t="e">
        <f>VLOOKUP(E4431,기본!$F$3:$G$320,2,0)</f>
        <v>#N/A</v>
      </c>
    </row>
    <row r="4432" spans="3:7">
      <c r="C4432" s="545" t="e">
        <f>VLOOKUP(D4432,기본!$B$3:$C$90,2,0)</f>
        <v>#N/A</v>
      </c>
      <c r="G4432" t="e">
        <f>VLOOKUP(E4432,기본!$F$3:$G$320,2,0)</f>
        <v>#N/A</v>
      </c>
    </row>
    <row r="4433" spans="3:7">
      <c r="C4433" s="545" t="e">
        <f>VLOOKUP(D4433,기본!$B$3:$C$90,2,0)</f>
        <v>#N/A</v>
      </c>
      <c r="G4433" t="e">
        <f>VLOOKUP(E4433,기본!$F$3:$G$320,2,0)</f>
        <v>#N/A</v>
      </c>
    </row>
    <row r="4434" spans="3:7">
      <c r="C4434" s="545" t="e">
        <f>VLOOKUP(D4434,기본!$B$3:$C$90,2,0)</f>
        <v>#N/A</v>
      </c>
      <c r="G4434" t="e">
        <f>VLOOKUP(E4434,기본!$F$3:$G$320,2,0)</f>
        <v>#N/A</v>
      </c>
    </row>
    <row r="4435" spans="3:7">
      <c r="C4435" s="545" t="e">
        <f>VLOOKUP(D4435,기본!$B$3:$C$90,2,0)</f>
        <v>#N/A</v>
      </c>
      <c r="G4435" t="e">
        <f>VLOOKUP(E4435,기본!$F$3:$G$320,2,0)</f>
        <v>#N/A</v>
      </c>
    </row>
    <row r="4436" spans="3:7">
      <c r="C4436" s="545" t="e">
        <f>VLOOKUP(D4436,기본!$B$3:$C$90,2,0)</f>
        <v>#N/A</v>
      </c>
      <c r="G4436" t="e">
        <f>VLOOKUP(E4436,기본!$F$3:$G$320,2,0)</f>
        <v>#N/A</v>
      </c>
    </row>
    <row r="4437" spans="3:7">
      <c r="C4437" s="545" t="e">
        <f>VLOOKUP(D4437,기본!$B$3:$C$90,2,0)</f>
        <v>#N/A</v>
      </c>
      <c r="G4437" t="e">
        <f>VLOOKUP(E4437,기본!$F$3:$G$320,2,0)</f>
        <v>#N/A</v>
      </c>
    </row>
    <row r="4438" spans="3:7">
      <c r="C4438" s="545" t="e">
        <f>VLOOKUP(D4438,기본!$B$3:$C$90,2,0)</f>
        <v>#N/A</v>
      </c>
      <c r="G4438" t="e">
        <f>VLOOKUP(E4438,기본!$F$3:$G$320,2,0)</f>
        <v>#N/A</v>
      </c>
    </row>
    <row r="4439" spans="3:7">
      <c r="C4439" s="545" t="e">
        <f>VLOOKUP(D4439,기본!$B$3:$C$90,2,0)</f>
        <v>#N/A</v>
      </c>
      <c r="G4439" t="e">
        <f>VLOOKUP(E4439,기본!$F$3:$G$320,2,0)</f>
        <v>#N/A</v>
      </c>
    </row>
    <row r="4440" spans="3:7">
      <c r="C4440" s="545" t="e">
        <f>VLOOKUP(D4440,기본!$B$3:$C$90,2,0)</f>
        <v>#N/A</v>
      </c>
      <c r="G4440" t="e">
        <f>VLOOKUP(E4440,기본!$F$3:$G$320,2,0)</f>
        <v>#N/A</v>
      </c>
    </row>
    <row r="4441" spans="3:7">
      <c r="C4441" s="545" t="e">
        <f>VLOOKUP(D4441,기본!$B$3:$C$90,2,0)</f>
        <v>#N/A</v>
      </c>
      <c r="G4441" t="e">
        <f>VLOOKUP(E4441,기본!$F$3:$G$320,2,0)</f>
        <v>#N/A</v>
      </c>
    </row>
    <row r="4442" spans="3:7">
      <c r="C4442" s="545" t="e">
        <f>VLOOKUP(D4442,기본!$B$3:$C$90,2,0)</f>
        <v>#N/A</v>
      </c>
      <c r="G4442" t="e">
        <f>VLOOKUP(E4442,기본!$F$3:$G$320,2,0)</f>
        <v>#N/A</v>
      </c>
    </row>
    <row r="4443" spans="3:7">
      <c r="C4443" s="545" t="e">
        <f>VLOOKUP(D4443,기본!$B$3:$C$90,2,0)</f>
        <v>#N/A</v>
      </c>
      <c r="G4443" t="e">
        <f>VLOOKUP(E4443,기본!$F$3:$G$320,2,0)</f>
        <v>#N/A</v>
      </c>
    </row>
    <row r="4444" spans="3:7">
      <c r="C4444" s="545" t="e">
        <f>VLOOKUP(D4444,기본!$B$3:$C$90,2,0)</f>
        <v>#N/A</v>
      </c>
      <c r="G4444" t="e">
        <f>VLOOKUP(E4444,기본!$F$3:$G$320,2,0)</f>
        <v>#N/A</v>
      </c>
    </row>
    <row r="4445" spans="3:7">
      <c r="C4445" s="545" t="e">
        <f>VLOOKUP(D4445,기본!$B$3:$C$90,2,0)</f>
        <v>#N/A</v>
      </c>
      <c r="G4445" t="e">
        <f>VLOOKUP(E4445,기본!$F$3:$G$320,2,0)</f>
        <v>#N/A</v>
      </c>
    </row>
    <row r="4446" spans="3:7">
      <c r="C4446" s="545" t="e">
        <f>VLOOKUP(D4446,기본!$B$3:$C$90,2,0)</f>
        <v>#N/A</v>
      </c>
      <c r="G4446" t="e">
        <f>VLOOKUP(E4446,기본!$F$3:$G$320,2,0)</f>
        <v>#N/A</v>
      </c>
    </row>
    <row r="4447" spans="3:7">
      <c r="C4447" s="545" t="e">
        <f>VLOOKUP(D4447,기본!$B$3:$C$90,2,0)</f>
        <v>#N/A</v>
      </c>
      <c r="G4447" t="e">
        <f>VLOOKUP(E4447,기본!$F$3:$G$320,2,0)</f>
        <v>#N/A</v>
      </c>
    </row>
    <row r="4448" spans="3:7">
      <c r="C4448" s="545" t="e">
        <f>VLOOKUP(D4448,기본!$B$3:$C$90,2,0)</f>
        <v>#N/A</v>
      </c>
      <c r="G4448" t="e">
        <f>VLOOKUP(E4448,기본!$F$3:$G$320,2,0)</f>
        <v>#N/A</v>
      </c>
    </row>
    <row r="4449" spans="3:7">
      <c r="C4449" s="545" t="e">
        <f>VLOOKUP(D4449,기본!$B$3:$C$90,2,0)</f>
        <v>#N/A</v>
      </c>
      <c r="G4449" t="e">
        <f>VLOOKUP(E4449,기본!$F$3:$G$320,2,0)</f>
        <v>#N/A</v>
      </c>
    </row>
    <row r="4450" spans="3:7">
      <c r="C4450" s="545" t="e">
        <f>VLOOKUP(D4450,기본!$B$3:$C$90,2,0)</f>
        <v>#N/A</v>
      </c>
      <c r="G4450" t="e">
        <f>VLOOKUP(E4450,기본!$F$3:$G$320,2,0)</f>
        <v>#N/A</v>
      </c>
    </row>
    <row r="4451" spans="3:7">
      <c r="C4451" s="545" t="e">
        <f>VLOOKUP(D4451,기본!$B$3:$C$90,2,0)</f>
        <v>#N/A</v>
      </c>
      <c r="G4451" t="e">
        <f>VLOOKUP(E4451,기본!$F$3:$G$320,2,0)</f>
        <v>#N/A</v>
      </c>
    </row>
    <row r="4452" spans="3:7">
      <c r="C4452" s="545" t="e">
        <f>VLOOKUP(D4452,기본!$B$3:$C$90,2,0)</f>
        <v>#N/A</v>
      </c>
      <c r="G4452" t="e">
        <f>VLOOKUP(E4452,기본!$F$3:$G$320,2,0)</f>
        <v>#N/A</v>
      </c>
    </row>
    <row r="4453" spans="3:7">
      <c r="C4453" s="545" t="e">
        <f>VLOOKUP(D4453,기본!$B$3:$C$90,2,0)</f>
        <v>#N/A</v>
      </c>
      <c r="G4453" t="e">
        <f>VLOOKUP(E4453,기본!$F$3:$G$320,2,0)</f>
        <v>#N/A</v>
      </c>
    </row>
    <row r="4454" spans="3:7">
      <c r="C4454" s="545" t="e">
        <f>VLOOKUP(D4454,기본!$B$3:$C$90,2,0)</f>
        <v>#N/A</v>
      </c>
      <c r="G4454" t="e">
        <f>VLOOKUP(E4454,기본!$F$3:$G$320,2,0)</f>
        <v>#N/A</v>
      </c>
    </row>
    <row r="4455" spans="3:7">
      <c r="C4455" s="545" t="e">
        <f>VLOOKUP(D4455,기본!$B$3:$C$90,2,0)</f>
        <v>#N/A</v>
      </c>
      <c r="G4455" t="e">
        <f>VLOOKUP(E4455,기본!$F$3:$G$320,2,0)</f>
        <v>#N/A</v>
      </c>
    </row>
    <row r="4456" spans="3:7">
      <c r="C4456" s="545" t="e">
        <f>VLOOKUP(D4456,기본!$B$3:$C$90,2,0)</f>
        <v>#N/A</v>
      </c>
      <c r="G4456" t="e">
        <f>VLOOKUP(E4456,기본!$F$3:$G$320,2,0)</f>
        <v>#N/A</v>
      </c>
    </row>
    <row r="4457" spans="3:7">
      <c r="C4457" s="545" t="e">
        <f>VLOOKUP(D4457,기본!$B$3:$C$90,2,0)</f>
        <v>#N/A</v>
      </c>
      <c r="G4457" t="e">
        <f>VLOOKUP(E4457,기본!$F$3:$G$320,2,0)</f>
        <v>#N/A</v>
      </c>
    </row>
    <row r="4458" spans="3:7">
      <c r="C4458" s="545" t="e">
        <f>VLOOKUP(D4458,기본!$B$3:$C$90,2,0)</f>
        <v>#N/A</v>
      </c>
      <c r="G4458" t="e">
        <f>VLOOKUP(E4458,기본!$F$3:$G$320,2,0)</f>
        <v>#N/A</v>
      </c>
    </row>
    <row r="4459" spans="3:7">
      <c r="C4459" s="545" t="e">
        <f>VLOOKUP(D4459,기본!$B$3:$C$90,2,0)</f>
        <v>#N/A</v>
      </c>
      <c r="G4459" t="e">
        <f>VLOOKUP(E4459,기본!$F$3:$G$320,2,0)</f>
        <v>#N/A</v>
      </c>
    </row>
    <row r="4460" spans="3:7">
      <c r="C4460" s="545" t="e">
        <f>VLOOKUP(D4460,기본!$B$3:$C$90,2,0)</f>
        <v>#N/A</v>
      </c>
      <c r="G4460" t="e">
        <f>VLOOKUP(E4460,기본!$F$3:$G$320,2,0)</f>
        <v>#N/A</v>
      </c>
    </row>
    <row r="4461" spans="3:7">
      <c r="C4461" s="545" t="e">
        <f>VLOOKUP(D4461,기본!$B$3:$C$90,2,0)</f>
        <v>#N/A</v>
      </c>
      <c r="G4461" t="e">
        <f>VLOOKUP(E4461,기본!$F$3:$G$320,2,0)</f>
        <v>#N/A</v>
      </c>
    </row>
    <row r="4462" spans="3:7">
      <c r="C4462" s="545" t="e">
        <f>VLOOKUP(D4462,기본!$B$3:$C$90,2,0)</f>
        <v>#N/A</v>
      </c>
      <c r="G4462" t="e">
        <f>VLOOKUP(E4462,기본!$F$3:$G$320,2,0)</f>
        <v>#N/A</v>
      </c>
    </row>
    <row r="4463" spans="3:7">
      <c r="C4463" s="545" t="e">
        <f>VLOOKUP(D4463,기본!$B$3:$C$90,2,0)</f>
        <v>#N/A</v>
      </c>
      <c r="G4463" t="e">
        <f>VLOOKUP(E4463,기본!$F$3:$G$320,2,0)</f>
        <v>#N/A</v>
      </c>
    </row>
    <row r="4464" spans="3:7">
      <c r="C4464" s="545" t="e">
        <f>VLOOKUP(D4464,기본!$B$3:$C$90,2,0)</f>
        <v>#N/A</v>
      </c>
      <c r="G4464" t="e">
        <f>VLOOKUP(E4464,기본!$F$3:$G$320,2,0)</f>
        <v>#N/A</v>
      </c>
    </row>
    <row r="4465" spans="3:7">
      <c r="C4465" s="545" t="e">
        <f>VLOOKUP(D4465,기본!$B$3:$C$90,2,0)</f>
        <v>#N/A</v>
      </c>
      <c r="G4465" t="e">
        <f>VLOOKUP(E4465,기본!$F$3:$G$320,2,0)</f>
        <v>#N/A</v>
      </c>
    </row>
    <row r="4466" spans="3:7">
      <c r="C4466" s="545" t="e">
        <f>VLOOKUP(D4466,기본!$B$3:$C$90,2,0)</f>
        <v>#N/A</v>
      </c>
      <c r="G4466" t="e">
        <f>VLOOKUP(E4466,기본!$F$3:$G$320,2,0)</f>
        <v>#N/A</v>
      </c>
    </row>
    <row r="4467" spans="3:7">
      <c r="C4467" s="545" t="e">
        <f>VLOOKUP(D4467,기본!$B$3:$C$90,2,0)</f>
        <v>#N/A</v>
      </c>
      <c r="G4467" t="e">
        <f>VLOOKUP(E4467,기본!$F$3:$G$320,2,0)</f>
        <v>#N/A</v>
      </c>
    </row>
    <row r="4468" spans="3:7">
      <c r="C4468" s="545" t="e">
        <f>VLOOKUP(D4468,기본!$B$3:$C$90,2,0)</f>
        <v>#N/A</v>
      </c>
      <c r="G4468" t="e">
        <f>VLOOKUP(E4468,기본!$F$3:$G$320,2,0)</f>
        <v>#N/A</v>
      </c>
    </row>
    <row r="4469" spans="3:7">
      <c r="C4469" s="545" t="e">
        <f>VLOOKUP(D4469,기본!$B$3:$C$90,2,0)</f>
        <v>#N/A</v>
      </c>
      <c r="G4469" t="e">
        <f>VLOOKUP(E4469,기본!$F$3:$G$320,2,0)</f>
        <v>#N/A</v>
      </c>
    </row>
    <row r="4470" spans="3:7">
      <c r="C4470" s="545" t="e">
        <f>VLOOKUP(D4470,기본!$B$3:$C$90,2,0)</f>
        <v>#N/A</v>
      </c>
      <c r="G4470" t="e">
        <f>VLOOKUP(E4470,기본!$F$3:$G$320,2,0)</f>
        <v>#N/A</v>
      </c>
    </row>
    <row r="4471" spans="3:7">
      <c r="C4471" s="545" t="e">
        <f>VLOOKUP(D4471,기본!$B$3:$C$90,2,0)</f>
        <v>#N/A</v>
      </c>
      <c r="G4471" t="e">
        <f>VLOOKUP(E4471,기본!$F$3:$G$320,2,0)</f>
        <v>#N/A</v>
      </c>
    </row>
    <row r="4472" spans="3:7">
      <c r="C4472" s="545" t="e">
        <f>VLOOKUP(D4472,기본!$B$3:$C$90,2,0)</f>
        <v>#N/A</v>
      </c>
      <c r="G4472" t="e">
        <f>VLOOKUP(E4472,기본!$F$3:$G$320,2,0)</f>
        <v>#N/A</v>
      </c>
    </row>
    <row r="4473" spans="3:7">
      <c r="C4473" s="545" t="e">
        <f>VLOOKUP(D4473,기본!$B$3:$C$90,2,0)</f>
        <v>#N/A</v>
      </c>
      <c r="G4473" t="e">
        <f>VLOOKUP(E4473,기본!$F$3:$G$320,2,0)</f>
        <v>#N/A</v>
      </c>
    </row>
    <row r="4474" spans="3:7">
      <c r="C4474" s="545" t="e">
        <f>VLOOKUP(D4474,기본!$B$3:$C$90,2,0)</f>
        <v>#N/A</v>
      </c>
      <c r="G4474" t="e">
        <f>VLOOKUP(E4474,기본!$F$3:$G$320,2,0)</f>
        <v>#N/A</v>
      </c>
    </row>
    <row r="4475" spans="3:7">
      <c r="C4475" s="545" t="e">
        <f>VLOOKUP(D4475,기본!$B$3:$C$90,2,0)</f>
        <v>#N/A</v>
      </c>
      <c r="G4475" t="e">
        <f>VLOOKUP(E4475,기본!$F$3:$G$320,2,0)</f>
        <v>#N/A</v>
      </c>
    </row>
    <row r="4476" spans="3:7">
      <c r="C4476" s="545" t="e">
        <f>VLOOKUP(D4476,기본!$B$3:$C$90,2,0)</f>
        <v>#N/A</v>
      </c>
      <c r="G4476" t="e">
        <f>VLOOKUP(E4476,기본!$F$3:$G$320,2,0)</f>
        <v>#N/A</v>
      </c>
    </row>
    <row r="4477" spans="3:7">
      <c r="C4477" s="545" t="e">
        <f>VLOOKUP(D4477,기본!$B$3:$C$90,2,0)</f>
        <v>#N/A</v>
      </c>
      <c r="G4477" t="e">
        <f>VLOOKUP(E4477,기본!$F$3:$G$320,2,0)</f>
        <v>#N/A</v>
      </c>
    </row>
    <row r="4478" spans="3:7">
      <c r="C4478" s="545" t="e">
        <f>VLOOKUP(D4478,기본!$B$3:$C$90,2,0)</f>
        <v>#N/A</v>
      </c>
      <c r="G4478" t="e">
        <f>VLOOKUP(E4478,기본!$F$3:$G$320,2,0)</f>
        <v>#N/A</v>
      </c>
    </row>
    <row r="4479" spans="3:7">
      <c r="C4479" s="545" t="e">
        <f>VLOOKUP(D4479,기본!$B$3:$C$90,2,0)</f>
        <v>#N/A</v>
      </c>
      <c r="G4479" t="e">
        <f>VLOOKUP(E4479,기본!$F$3:$G$320,2,0)</f>
        <v>#N/A</v>
      </c>
    </row>
    <row r="4480" spans="3:7">
      <c r="C4480" s="545" t="e">
        <f>VLOOKUP(D4480,기본!$B$3:$C$90,2,0)</f>
        <v>#N/A</v>
      </c>
      <c r="G4480" t="e">
        <f>VLOOKUP(E4480,기본!$F$3:$G$320,2,0)</f>
        <v>#N/A</v>
      </c>
    </row>
    <row r="4481" spans="3:7">
      <c r="C4481" s="545" t="e">
        <f>VLOOKUP(D4481,기본!$B$3:$C$90,2,0)</f>
        <v>#N/A</v>
      </c>
      <c r="G4481" t="e">
        <f>VLOOKUP(E4481,기본!$F$3:$G$320,2,0)</f>
        <v>#N/A</v>
      </c>
    </row>
    <row r="4482" spans="3:7">
      <c r="C4482" s="545" t="e">
        <f>VLOOKUP(D4482,기본!$B$3:$C$90,2,0)</f>
        <v>#N/A</v>
      </c>
      <c r="G4482" t="e">
        <f>VLOOKUP(E4482,기본!$F$3:$G$320,2,0)</f>
        <v>#N/A</v>
      </c>
    </row>
    <row r="4483" spans="3:7">
      <c r="C4483" s="545" t="e">
        <f>VLOOKUP(D4483,기본!$B$3:$C$90,2,0)</f>
        <v>#N/A</v>
      </c>
      <c r="G4483" t="e">
        <f>VLOOKUP(E4483,기본!$F$3:$G$320,2,0)</f>
        <v>#N/A</v>
      </c>
    </row>
    <row r="4484" spans="3:7">
      <c r="C4484" s="545" t="e">
        <f>VLOOKUP(D4484,기본!$B$3:$C$90,2,0)</f>
        <v>#N/A</v>
      </c>
      <c r="G4484" t="e">
        <f>VLOOKUP(E4484,기본!$F$3:$G$320,2,0)</f>
        <v>#N/A</v>
      </c>
    </row>
    <row r="4485" spans="3:7">
      <c r="C4485" s="545" t="e">
        <f>VLOOKUP(D4485,기본!$B$3:$C$90,2,0)</f>
        <v>#N/A</v>
      </c>
      <c r="G4485" t="e">
        <f>VLOOKUP(E4485,기본!$F$3:$G$320,2,0)</f>
        <v>#N/A</v>
      </c>
    </row>
    <row r="4486" spans="3:7">
      <c r="C4486" s="545" t="e">
        <f>VLOOKUP(D4486,기본!$B$3:$C$90,2,0)</f>
        <v>#N/A</v>
      </c>
      <c r="G4486" t="e">
        <f>VLOOKUP(E4486,기본!$F$3:$G$320,2,0)</f>
        <v>#N/A</v>
      </c>
    </row>
    <row r="4487" spans="3:7">
      <c r="C4487" s="545" t="e">
        <f>VLOOKUP(D4487,기본!$B$3:$C$90,2,0)</f>
        <v>#N/A</v>
      </c>
      <c r="G4487" t="e">
        <f>VLOOKUP(E4487,기본!$F$3:$G$320,2,0)</f>
        <v>#N/A</v>
      </c>
    </row>
    <row r="4488" spans="3:7">
      <c r="C4488" s="545" t="e">
        <f>VLOOKUP(D4488,기본!$B$3:$C$90,2,0)</f>
        <v>#N/A</v>
      </c>
      <c r="G4488" t="e">
        <f>VLOOKUP(E4488,기본!$F$3:$G$320,2,0)</f>
        <v>#N/A</v>
      </c>
    </row>
    <row r="4489" spans="3:7">
      <c r="C4489" s="545" t="e">
        <f>VLOOKUP(D4489,기본!$B$3:$C$90,2,0)</f>
        <v>#N/A</v>
      </c>
      <c r="G4489" t="e">
        <f>VLOOKUP(E4489,기본!$F$3:$G$320,2,0)</f>
        <v>#N/A</v>
      </c>
    </row>
    <row r="4490" spans="3:7">
      <c r="C4490" s="545" t="e">
        <f>VLOOKUP(D4490,기본!$B$3:$C$90,2,0)</f>
        <v>#N/A</v>
      </c>
      <c r="G4490" t="e">
        <f>VLOOKUP(E4490,기본!$F$3:$G$320,2,0)</f>
        <v>#N/A</v>
      </c>
    </row>
    <row r="4491" spans="3:7">
      <c r="C4491" s="545" t="e">
        <f>VLOOKUP(D4491,기본!$B$3:$C$90,2,0)</f>
        <v>#N/A</v>
      </c>
      <c r="G4491" t="e">
        <f>VLOOKUP(E4491,기본!$F$3:$G$320,2,0)</f>
        <v>#N/A</v>
      </c>
    </row>
    <row r="4492" spans="3:7">
      <c r="C4492" s="545" t="e">
        <f>VLOOKUP(D4492,기본!$B$3:$C$90,2,0)</f>
        <v>#N/A</v>
      </c>
      <c r="G4492" t="e">
        <f>VLOOKUP(E4492,기본!$F$3:$G$320,2,0)</f>
        <v>#N/A</v>
      </c>
    </row>
    <row r="4493" spans="3:7">
      <c r="C4493" s="545" t="e">
        <f>VLOOKUP(D4493,기본!$B$3:$C$90,2,0)</f>
        <v>#N/A</v>
      </c>
      <c r="G4493" t="e">
        <f>VLOOKUP(E4493,기본!$F$3:$G$320,2,0)</f>
        <v>#N/A</v>
      </c>
    </row>
    <row r="4494" spans="3:7">
      <c r="C4494" s="545" t="e">
        <f>VLOOKUP(D4494,기본!$B$3:$C$90,2,0)</f>
        <v>#N/A</v>
      </c>
      <c r="G4494" t="e">
        <f>VLOOKUP(E4494,기본!$F$3:$G$320,2,0)</f>
        <v>#N/A</v>
      </c>
    </row>
    <row r="4495" spans="3:7">
      <c r="C4495" s="545" t="e">
        <f>VLOOKUP(D4495,기본!$B$3:$C$90,2,0)</f>
        <v>#N/A</v>
      </c>
      <c r="G4495" t="e">
        <f>VLOOKUP(E4495,기본!$F$3:$G$320,2,0)</f>
        <v>#N/A</v>
      </c>
    </row>
    <row r="4496" spans="3:7">
      <c r="C4496" s="545" t="e">
        <f>VLOOKUP(D4496,기본!$B$3:$C$90,2,0)</f>
        <v>#N/A</v>
      </c>
      <c r="G4496" t="e">
        <f>VLOOKUP(E4496,기본!$F$3:$G$320,2,0)</f>
        <v>#N/A</v>
      </c>
    </row>
    <row r="4497" spans="3:7">
      <c r="C4497" s="545" t="e">
        <f>VLOOKUP(D4497,기본!$B$3:$C$90,2,0)</f>
        <v>#N/A</v>
      </c>
      <c r="G4497" t="e">
        <f>VLOOKUP(E4497,기본!$F$3:$G$320,2,0)</f>
        <v>#N/A</v>
      </c>
    </row>
    <row r="4498" spans="3:7">
      <c r="C4498" s="545" t="e">
        <f>VLOOKUP(D4498,기본!$B$3:$C$90,2,0)</f>
        <v>#N/A</v>
      </c>
      <c r="G4498" t="e">
        <f>VLOOKUP(E4498,기본!$F$3:$G$320,2,0)</f>
        <v>#N/A</v>
      </c>
    </row>
    <row r="4499" spans="3:7">
      <c r="C4499" s="545" t="e">
        <f>VLOOKUP(D4499,기본!$B$3:$C$90,2,0)</f>
        <v>#N/A</v>
      </c>
      <c r="G4499" t="e">
        <f>VLOOKUP(E4499,기본!$F$3:$G$320,2,0)</f>
        <v>#N/A</v>
      </c>
    </row>
    <row r="4500" spans="3:7">
      <c r="C4500" s="545" t="e">
        <f>VLOOKUP(D4500,기본!$B$3:$C$90,2,0)</f>
        <v>#N/A</v>
      </c>
      <c r="G4500" t="e">
        <f>VLOOKUP(E4500,기본!$F$3:$G$320,2,0)</f>
        <v>#N/A</v>
      </c>
    </row>
    <row r="4501" spans="3:7">
      <c r="C4501" s="545" t="e">
        <f>VLOOKUP(D4501,기본!$B$3:$C$90,2,0)</f>
        <v>#N/A</v>
      </c>
      <c r="G4501" t="e">
        <f>VLOOKUP(E4501,기본!$F$3:$G$320,2,0)</f>
        <v>#N/A</v>
      </c>
    </row>
    <row r="4502" spans="3:7">
      <c r="C4502" s="545" t="e">
        <f>VLOOKUP(D4502,기본!$B$3:$C$90,2,0)</f>
        <v>#N/A</v>
      </c>
      <c r="G4502" t="e">
        <f>VLOOKUP(E4502,기본!$F$3:$G$320,2,0)</f>
        <v>#N/A</v>
      </c>
    </row>
    <row r="4503" spans="3:7">
      <c r="C4503" s="545" t="e">
        <f>VLOOKUP(D4503,기본!$B$3:$C$90,2,0)</f>
        <v>#N/A</v>
      </c>
      <c r="G4503" t="e">
        <f>VLOOKUP(E4503,기본!$F$3:$G$320,2,0)</f>
        <v>#N/A</v>
      </c>
    </row>
    <row r="4504" spans="3:7">
      <c r="C4504" s="545" t="e">
        <f>VLOOKUP(D4504,기본!$B$3:$C$90,2,0)</f>
        <v>#N/A</v>
      </c>
      <c r="G4504" t="e">
        <f>VLOOKUP(E4504,기본!$F$3:$G$320,2,0)</f>
        <v>#N/A</v>
      </c>
    </row>
    <row r="4505" spans="3:7">
      <c r="C4505" s="545" t="e">
        <f>VLOOKUP(D4505,기본!$B$3:$C$90,2,0)</f>
        <v>#N/A</v>
      </c>
      <c r="G4505" t="e">
        <f>VLOOKUP(E4505,기본!$F$3:$G$320,2,0)</f>
        <v>#N/A</v>
      </c>
    </row>
    <row r="4506" spans="3:7">
      <c r="C4506" s="545" t="e">
        <f>VLOOKUP(D4506,기본!$B$3:$C$90,2,0)</f>
        <v>#N/A</v>
      </c>
      <c r="G4506" t="e">
        <f>VLOOKUP(E4506,기본!$F$3:$G$320,2,0)</f>
        <v>#N/A</v>
      </c>
    </row>
    <row r="4507" spans="3:7">
      <c r="C4507" s="545" t="e">
        <f>VLOOKUP(D4507,기본!$B$3:$C$90,2,0)</f>
        <v>#N/A</v>
      </c>
      <c r="G4507" t="e">
        <f>VLOOKUP(E4507,기본!$F$3:$G$320,2,0)</f>
        <v>#N/A</v>
      </c>
    </row>
    <row r="4508" spans="3:7">
      <c r="C4508" s="545" t="e">
        <f>VLOOKUP(D4508,기본!$B$3:$C$90,2,0)</f>
        <v>#N/A</v>
      </c>
      <c r="G4508" t="e">
        <f>VLOOKUP(E4508,기본!$F$3:$G$320,2,0)</f>
        <v>#N/A</v>
      </c>
    </row>
    <row r="4509" spans="3:7">
      <c r="C4509" s="545" t="e">
        <f>VLOOKUP(D4509,기본!$B$3:$C$90,2,0)</f>
        <v>#N/A</v>
      </c>
      <c r="G4509" t="e">
        <f>VLOOKUP(E4509,기본!$F$3:$G$320,2,0)</f>
        <v>#N/A</v>
      </c>
    </row>
    <row r="4510" spans="3:7">
      <c r="C4510" s="545" t="e">
        <f>VLOOKUP(D4510,기본!$B$3:$C$90,2,0)</f>
        <v>#N/A</v>
      </c>
      <c r="G4510" t="e">
        <f>VLOOKUP(E4510,기본!$F$3:$G$320,2,0)</f>
        <v>#N/A</v>
      </c>
    </row>
    <row r="4511" spans="3:7">
      <c r="C4511" s="545" t="e">
        <f>VLOOKUP(D4511,기본!$B$3:$C$90,2,0)</f>
        <v>#N/A</v>
      </c>
      <c r="G4511" t="e">
        <f>VLOOKUP(E4511,기본!$F$3:$G$320,2,0)</f>
        <v>#N/A</v>
      </c>
    </row>
    <row r="4512" spans="3:7">
      <c r="C4512" s="545" t="e">
        <f>VLOOKUP(D4512,기본!$B$3:$C$90,2,0)</f>
        <v>#N/A</v>
      </c>
      <c r="G4512" t="e">
        <f>VLOOKUP(E4512,기본!$F$3:$G$320,2,0)</f>
        <v>#N/A</v>
      </c>
    </row>
    <row r="4513" spans="3:7">
      <c r="C4513" s="545" t="e">
        <f>VLOOKUP(D4513,기본!$B$3:$C$90,2,0)</f>
        <v>#N/A</v>
      </c>
      <c r="G4513" t="e">
        <f>VLOOKUP(E4513,기본!$F$3:$G$320,2,0)</f>
        <v>#N/A</v>
      </c>
    </row>
    <row r="4514" spans="3:7">
      <c r="C4514" s="545" t="e">
        <f>VLOOKUP(D4514,기본!$B$3:$C$90,2,0)</f>
        <v>#N/A</v>
      </c>
      <c r="G4514" t="e">
        <f>VLOOKUP(E4514,기본!$F$3:$G$320,2,0)</f>
        <v>#N/A</v>
      </c>
    </row>
    <row r="4515" spans="3:7">
      <c r="C4515" s="545" t="e">
        <f>VLOOKUP(D4515,기본!$B$3:$C$90,2,0)</f>
        <v>#N/A</v>
      </c>
      <c r="G4515" t="e">
        <f>VLOOKUP(E4515,기본!$F$3:$G$320,2,0)</f>
        <v>#N/A</v>
      </c>
    </row>
    <row r="4516" spans="3:7">
      <c r="C4516" s="545" t="e">
        <f>VLOOKUP(D4516,기본!$B$3:$C$90,2,0)</f>
        <v>#N/A</v>
      </c>
      <c r="G4516" t="e">
        <f>VLOOKUP(E4516,기본!$F$3:$G$320,2,0)</f>
        <v>#N/A</v>
      </c>
    </row>
    <row r="4517" spans="3:7">
      <c r="C4517" s="545" t="e">
        <f>VLOOKUP(D4517,기본!$B$3:$C$90,2,0)</f>
        <v>#N/A</v>
      </c>
      <c r="G4517" t="e">
        <f>VLOOKUP(E4517,기본!$F$3:$G$320,2,0)</f>
        <v>#N/A</v>
      </c>
    </row>
    <row r="4518" spans="3:7">
      <c r="C4518" s="545" t="e">
        <f>VLOOKUP(D4518,기본!$B$3:$C$90,2,0)</f>
        <v>#N/A</v>
      </c>
      <c r="G4518" t="e">
        <f>VLOOKUP(E4518,기본!$F$3:$G$320,2,0)</f>
        <v>#N/A</v>
      </c>
    </row>
    <row r="4519" spans="3:7">
      <c r="C4519" s="545" t="e">
        <f>VLOOKUP(D4519,기본!$B$3:$C$90,2,0)</f>
        <v>#N/A</v>
      </c>
      <c r="G4519" t="e">
        <f>VLOOKUP(E4519,기본!$F$3:$G$320,2,0)</f>
        <v>#N/A</v>
      </c>
    </row>
    <row r="4520" spans="3:7">
      <c r="C4520" s="545" t="e">
        <f>VLOOKUP(D4520,기본!$B$3:$C$90,2,0)</f>
        <v>#N/A</v>
      </c>
      <c r="G4520" t="e">
        <f>VLOOKUP(E4520,기본!$F$3:$G$320,2,0)</f>
        <v>#N/A</v>
      </c>
    </row>
    <row r="4521" spans="3:7">
      <c r="C4521" s="545" t="e">
        <f>VLOOKUP(D4521,기본!$B$3:$C$90,2,0)</f>
        <v>#N/A</v>
      </c>
      <c r="G4521" t="e">
        <f>VLOOKUP(E4521,기본!$F$3:$G$320,2,0)</f>
        <v>#N/A</v>
      </c>
    </row>
    <row r="4522" spans="3:7">
      <c r="C4522" s="545" t="e">
        <f>VLOOKUP(D4522,기본!$B$3:$C$90,2,0)</f>
        <v>#N/A</v>
      </c>
      <c r="G4522" t="e">
        <f>VLOOKUP(E4522,기본!$F$3:$G$320,2,0)</f>
        <v>#N/A</v>
      </c>
    </row>
    <row r="4523" spans="3:7">
      <c r="C4523" s="545" t="e">
        <f>VLOOKUP(D4523,기본!$B$3:$C$90,2,0)</f>
        <v>#N/A</v>
      </c>
      <c r="G4523" t="e">
        <f>VLOOKUP(E4523,기본!$F$3:$G$320,2,0)</f>
        <v>#N/A</v>
      </c>
    </row>
    <row r="4524" spans="3:7">
      <c r="C4524" s="545" t="e">
        <f>VLOOKUP(D4524,기본!$B$3:$C$90,2,0)</f>
        <v>#N/A</v>
      </c>
      <c r="G4524" t="e">
        <f>VLOOKUP(E4524,기본!$F$3:$G$320,2,0)</f>
        <v>#N/A</v>
      </c>
    </row>
    <row r="4525" spans="3:7">
      <c r="C4525" s="545" t="e">
        <f>VLOOKUP(D4525,기본!$B$3:$C$90,2,0)</f>
        <v>#N/A</v>
      </c>
      <c r="G4525" t="e">
        <f>VLOOKUP(E4525,기본!$F$3:$G$320,2,0)</f>
        <v>#N/A</v>
      </c>
    </row>
    <row r="4526" spans="3:7">
      <c r="C4526" s="545" t="e">
        <f>VLOOKUP(D4526,기본!$B$3:$C$90,2,0)</f>
        <v>#N/A</v>
      </c>
      <c r="G4526" t="e">
        <f>VLOOKUP(E4526,기본!$F$3:$G$320,2,0)</f>
        <v>#N/A</v>
      </c>
    </row>
    <row r="4527" spans="3:7">
      <c r="C4527" s="545" t="e">
        <f>VLOOKUP(D4527,기본!$B$3:$C$90,2,0)</f>
        <v>#N/A</v>
      </c>
      <c r="G4527" t="e">
        <f>VLOOKUP(E4527,기본!$F$3:$G$320,2,0)</f>
        <v>#N/A</v>
      </c>
    </row>
    <row r="4528" spans="3:7">
      <c r="C4528" s="545" t="e">
        <f>VLOOKUP(D4528,기본!$B$3:$C$90,2,0)</f>
        <v>#N/A</v>
      </c>
      <c r="G4528" t="e">
        <f>VLOOKUP(E4528,기본!$F$3:$G$320,2,0)</f>
        <v>#N/A</v>
      </c>
    </row>
    <row r="4529" spans="3:7">
      <c r="C4529" s="545" t="e">
        <f>VLOOKUP(D4529,기본!$B$3:$C$90,2,0)</f>
        <v>#N/A</v>
      </c>
      <c r="G4529" t="e">
        <f>VLOOKUP(E4529,기본!$F$3:$G$320,2,0)</f>
        <v>#N/A</v>
      </c>
    </row>
    <row r="4530" spans="3:7">
      <c r="C4530" s="545" t="e">
        <f>VLOOKUP(D4530,기본!$B$3:$C$90,2,0)</f>
        <v>#N/A</v>
      </c>
      <c r="G4530" t="e">
        <f>VLOOKUP(E4530,기본!$F$3:$G$320,2,0)</f>
        <v>#N/A</v>
      </c>
    </row>
    <row r="4531" spans="3:7">
      <c r="C4531" s="545" t="e">
        <f>VLOOKUP(D4531,기본!$B$3:$C$90,2,0)</f>
        <v>#N/A</v>
      </c>
      <c r="G4531" t="e">
        <f>VLOOKUP(E4531,기본!$F$3:$G$320,2,0)</f>
        <v>#N/A</v>
      </c>
    </row>
    <row r="4532" spans="3:7">
      <c r="C4532" s="545" t="e">
        <f>VLOOKUP(D4532,기본!$B$3:$C$90,2,0)</f>
        <v>#N/A</v>
      </c>
      <c r="G4532" t="e">
        <f>VLOOKUP(E4532,기본!$F$3:$G$320,2,0)</f>
        <v>#N/A</v>
      </c>
    </row>
    <row r="4533" spans="3:7">
      <c r="C4533" s="545" t="e">
        <f>VLOOKUP(D4533,기본!$B$3:$C$90,2,0)</f>
        <v>#N/A</v>
      </c>
      <c r="G4533" t="e">
        <f>VLOOKUP(E4533,기본!$F$3:$G$320,2,0)</f>
        <v>#N/A</v>
      </c>
    </row>
    <row r="4534" spans="3:7">
      <c r="C4534" s="545" t="e">
        <f>VLOOKUP(D4534,기본!$B$3:$C$90,2,0)</f>
        <v>#N/A</v>
      </c>
      <c r="G4534" t="e">
        <f>VLOOKUP(E4534,기본!$F$3:$G$320,2,0)</f>
        <v>#N/A</v>
      </c>
    </row>
    <row r="4535" spans="3:7">
      <c r="C4535" s="545" t="e">
        <f>VLOOKUP(D4535,기본!$B$3:$C$90,2,0)</f>
        <v>#N/A</v>
      </c>
      <c r="G4535" t="e">
        <f>VLOOKUP(E4535,기본!$F$3:$G$320,2,0)</f>
        <v>#N/A</v>
      </c>
    </row>
    <row r="4536" spans="3:7">
      <c r="C4536" s="545" t="e">
        <f>VLOOKUP(D4536,기본!$B$3:$C$90,2,0)</f>
        <v>#N/A</v>
      </c>
      <c r="G4536" t="e">
        <f>VLOOKUP(E4536,기본!$F$3:$G$320,2,0)</f>
        <v>#N/A</v>
      </c>
    </row>
    <row r="4537" spans="3:7">
      <c r="C4537" s="545" t="e">
        <f>VLOOKUP(D4537,기본!$B$3:$C$90,2,0)</f>
        <v>#N/A</v>
      </c>
      <c r="G4537" t="e">
        <f>VLOOKUP(E4537,기본!$F$3:$G$320,2,0)</f>
        <v>#N/A</v>
      </c>
    </row>
    <row r="4538" spans="3:7">
      <c r="C4538" s="545" t="e">
        <f>VLOOKUP(D4538,기본!$B$3:$C$90,2,0)</f>
        <v>#N/A</v>
      </c>
      <c r="G4538" t="e">
        <f>VLOOKUP(E4538,기본!$F$3:$G$320,2,0)</f>
        <v>#N/A</v>
      </c>
    </row>
    <row r="4539" spans="3:7">
      <c r="C4539" s="545" t="e">
        <f>VLOOKUP(D4539,기본!$B$3:$C$90,2,0)</f>
        <v>#N/A</v>
      </c>
      <c r="G4539" t="e">
        <f>VLOOKUP(E4539,기본!$F$3:$G$320,2,0)</f>
        <v>#N/A</v>
      </c>
    </row>
    <row r="4540" spans="3:7">
      <c r="C4540" s="545" t="e">
        <f>VLOOKUP(D4540,기본!$B$3:$C$90,2,0)</f>
        <v>#N/A</v>
      </c>
      <c r="G4540" t="e">
        <f>VLOOKUP(E4540,기본!$F$3:$G$320,2,0)</f>
        <v>#N/A</v>
      </c>
    </row>
    <row r="4541" spans="3:7">
      <c r="C4541" s="545" t="e">
        <f>VLOOKUP(D4541,기본!$B$3:$C$90,2,0)</f>
        <v>#N/A</v>
      </c>
      <c r="G4541" t="e">
        <f>VLOOKUP(E4541,기본!$F$3:$G$320,2,0)</f>
        <v>#N/A</v>
      </c>
    </row>
    <row r="4542" spans="3:7">
      <c r="C4542" s="545" t="e">
        <f>VLOOKUP(D4542,기본!$B$3:$C$90,2,0)</f>
        <v>#N/A</v>
      </c>
      <c r="G4542" t="e">
        <f>VLOOKUP(E4542,기본!$F$3:$G$320,2,0)</f>
        <v>#N/A</v>
      </c>
    </row>
    <row r="4543" spans="3:7">
      <c r="C4543" s="545" t="e">
        <f>VLOOKUP(D4543,기본!$B$3:$C$90,2,0)</f>
        <v>#N/A</v>
      </c>
      <c r="G4543" t="e">
        <f>VLOOKUP(E4543,기본!$F$3:$G$320,2,0)</f>
        <v>#N/A</v>
      </c>
    </row>
    <row r="4544" spans="3:7">
      <c r="C4544" s="545" t="e">
        <f>VLOOKUP(D4544,기본!$B$3:$C$90,2,0)</f>
        <v>#N/A</v>
      </c>
      <c r="G4544" t="e">
        <f>VLOOKUP(E4544,기본!$F$3:$G$320,2,0)</f>
        <v>#N/A</v>
      </c>
    </row>
    <row r="4545" spans="3:7">
      <c r="C4545" s="545" t="e">
        <f>VLOOKUP(D4545,기본!$B$3:$C$90,2,0)</f>
        <v>#N/A</v>
      </c>
      <c r="G4545" t="e">
        <f>VLOOKUP(E4545,기본!$F$3:$G$320,2,0)</f>
        <v>#N/A</v>
      </c>
    </row>
    <row r="4546" spans="3:7">
      <c r="C4546" s="545" t="e">
        <f>VLOOKUP(D4546,기본!$B$3:$C$90,2,0)</f>
        <v>#N/A</v>
      </c>
      <c r="G4546" t="e">
        <f>VLOOKUP(E4546,기본!$F$3:$G$320,2,0)</f>
        <v>#N/A</v>
      </c>
    </row>
    <row r="4547" spans="3:7">
      <c r="C4547" s="545" t="e">
        <f>VLOOKUP(D4547,기본!$B$3:$C$90,2,0)</f>
        <v>#N/A</v>
      </c>
      <c r="G4547" t="e">
        <f>VLOOKUP(E4547,기본!$F$3:$G$320,2,0)</f>
        <v>#N/A</v>
      </c>
    </row>
    <row r="4548" spans="3:7">
      <c r="C4548" s="545" t="e">
        <f>VLOOKUP(D4548,기본!$B$3:$C$90,2,0)</f>
        <v>#N/A</v>
      </c>
      <c r="G4548" t="e">
        <f>VLOOKUP(E4548,기본!$F$3:$G$320,2,0)</f>
        <v>#N/A</v>
      </c>
    </row>
    <row r="4549" spans="3:7">
      <c r="C4549" s="545" t="e">
        <f>VLOOKUP(D4549,기본!$B$3:$C$90,2,0)</f>
        <v>#N/A</v>
      </c>
      <c r="G4549" t="e">
        <f>VLOOKUP(E4549,기본!$F$3:$G$320,2,0)</f>
        <v>#N/A</v>
      </c>
    </row>
    <row r="4550" spans="3:7">
      <c r="C4550" s="545" t="e">
        <f>VLOOKUP(D4550,기본!$B$3:$C$90,2,0)</f>
        <v>#N/A</v>
      </c>
      <c r="G4550" t="e">
        <f>VLOOKUP(E4550,기본!$F$3:$G$320,2,0)</f>
        <v>#N/A</v>
      </c>
    </row>
    <row r="4551" spans="3:7">
      <c r="C4551" s="545" t="e">
        <f>VLOOKUP(D4551,기본!$B$3:$C$90,2,0)</f>
        <v>#N/A</v>
      </c>
      <c r="G4551" t="e">
        <f>VLOOKUP(E4551,기본!$F$3:$G$320,2,0)</f>
        <v>#N/A</v>
      </c>
    </row>
    <row r="4552" spans="3:7">
      <c r="C4552" s="545" t="e">
        <f>VLOOKUP(D4552,기본!$B$3:$C$90,2,0)</f>
        <v>#N/A</v>
      </c>
      <c r="G4552" t="e">
        <f>VLOOKUP(E4552,기본!$F$3:$G$320,2,0)</f>
        <v>#N/A</v>
      </c>
    </row>
    <row r="4553" spans="3:7">
      <c r="C4553" s="545" t="e">
        <f>VLOOKUP(D4553,기본!$B$3:$C$90,2,0)</f>
        <v>#N/A</v>
      </c>
      <c r="G4553" t="e">
        <f>VLOOKUP(E4553,기본!$F$3:$G$320,2,0)</f>
        <v>#N/A</v>
      </c>
    </row>
    <row r="4554" spans="3:7">
      <c r="C4554" s="545" t="e">
        <f>VLOOKUP(D4554,기본!$B$3:$C$90,2,0)</f>
        <v>#N/A</v>
      </c>
      <c r="G4554" t="e">
        <f>VLOOKUP(E4554,기본!$F$3:$G$320,2,0)</f>
        <v>#N/A</v>
      </c>
    </row>
    <row r="4555" spans="3:7">
      <c r="C4555" s="545" t="e">
        <f>VLOOKUP(D4555,기본!$B$3:$C$90,2,0)</f>
        <v>#N/A</v>
      </c>
      <c r="G4555" t="e">
        <f>VLOOKUP(E4555,기본!$F$3:$G$320,2,0)</f>
        <v>#N/A</v>
      </c>
    </row>
    <row r="4556" spans="3:7">
      <c r="C4556" s="545" t="e">
        <f>VLOOKUP(D4556,기본!$B$3:$C$90,2,0)</f>
        <v>#N/A</v>
      </c>
      <c r="G4556" t="e">
        <f>VLOOKUP(E4556,기본!$F$3:$G$320,2,0)</f>
        <v>#N/A</v>
      </c>
    </row>
    <row r="4557" spans="3:7">
      <c r="C4557" s="545" t="e">
        <f>VLOOKUP(D4557,기본!$B$3:$C$90,2,0)</f>
        <v>#N/A</v>
      </c>
      <c r="G4557" t="e">
        <f>VLOOKUP(E4557,기본!$F$3:$G$320,2,0)</f>
        <v>#N/A</v>
      </c>
    </row>
    <row r="4558" spans="3:7">
      <c r="C4558" s="545" t="e">
        <f>VLOOKUP(D4558,기본!$B$3:$C$90,2,0)</f>
        <v>#N/A</v>
      </c>
      <c r="G4558" t="e">
        <f>VLOOKUP(E4558,기본!$F$3:$G$320,2,0)</f>
        <v>#N/A</v>
      </c>
    </row>
    <row r="4559" spans="3:7">
      <c r="C4559" s="545" t="e">
        <f>VLOOKUP(D4559,기본!$B$3:$C$90,2,0)</f>
        <v>#N/A</v>
      </c>
      <c r="G4559" t="e">
        <f>VLOOKUP(E4559,기본!$F$3:$G$320,2,0)</f>
        <v>#N/A</v>
      </c>
    </row>
    <row r="4560" spans="3:7">
      <c r="C4560" s="545" t="e">
        <f>VLOOKUP(D4560,기본!$B$3:$C$90,2,0)</f>
        <v>#N/A</v>
      </c>
      <c r="G4560" t="e">
        <f>VLOOKUP(E4560,기본!$F$3:$G$320,2,0)</f>
        <v>#N/A</v>
      </c>
    </row>
    <row r="4561" spans="3:7">
      <c r="C4561" s="545" t="e">
        <f>VLOOKUP(D4561,기본!$B$3:$C$90,2,0)</f>
        <v>#N/A</v>
      </c>
      <c r="G4561" t="e">
        <f>VLOOKUP(E4561,기본!$F$3:$G$320,2,0)</f>
        <v>#N/A</v>
      </c>
    </row>
    <row r="4562" spans="3:7">
      <c r="C4562" s="545" t="e">
        <f>VLOOKUP(D4562,기본!$B$3:$C$90,2,0)</f>
        <v>#N/A</v>
      </c>
      <c r="G4562" t="e">
        <f>VLOOKUP(E4562,기본!$F$3:$G$320,2,0)</f>
        <v>#N/A</v>
      </c>
    </row>
    <row r="4563" spans="3:7">
      <c r="C4563" s="545" t="e">
        <f>VLOOKUP(D4563,기본!$B$3:$C$90,2,0)</f>
        <v>#N/A</v>
      </c>
      <c r="G4563" t="e">
        <f>VLOOKUP(E4563,기본!$F$3:$G$320,2,0)</f>
        <v>#N/A</v>
      </c>
    </row>
    <row r="4564" spans="3:7">
      <c r="C4564" s="545" t="e">
        <f>VLOOKUP(D4564,기본!$B$3:$C$90,2,0)</f>
        <v>#N/A</v>
      </c>
      <c r="G4564" t="e">
        <f>VLOOKUP(E4564,기본!$F$3:$G$320,2,0)</f>
        <v>#N/A</v>
      </c>
    </row>
    <row r="4565" spans="3:7">
      <c r="C4565" s="545" t="e">
        <f>VLOOKUP(D4565,기본!$B$3:$C$90,2,0)</f>
        <v>#N/A</v>
      </c>
      <c r="G4565" t="e">
        <f>VLOOKUP(E4565,기본!$F$3:$G$320,2,0)</f>
        <v>#N/A</v>
      </c>
    </row>
    <row r="4566" spans="3:7">
      <c r="C4566" s="545" t="e">
        <f>VLOOKUP(D4566,기본!$B$3:$C$90,2,0)</f>
        <v>#N/A</v>
      </c>
      <c r="G4566" t="e">
        <f>VLOOKUP(E4566,기본!$F$3:$G$320,2,0)</f>
        <v>#N/A</v>
      </c>
    </row>
    <row r="4567" spans="3:7">
      <c r="C4567" s="545" t="e">
        <f>VLOOKUP(D4567,기본!$B$3:$C$90,2,0)</f>
        <v>#N/A</v>
      </c>
      <c r="G4567" t="e">
        <f>VLOOKUP(E4567,기본!$F$3:$G$320,2,0)</f>
        <v>#N/A</v>
      </c>
    </row>
    <row r="4568" spans="3:7">
      <c r="C4568" s="545" t="e">
        <f>VLOOKUP(D4568,기본!$B$3:$C$90,2,0)</f>
        <v>#N/A</v>
      </c>
      <c r="G4568" t="e">
        <f>VLOOKUP(E4568,기본!$F$3:$G$320,2,0)</f>
        <v>#N/A</v>
      </c>
    </row>
    <row r="4569" spans="3:7">
      <c r="C4569" s="545" t="e">
        <f>VLOOKUP(D4569,기본!$B$3:$C$90,2,0)</f>
        <v>#N/A</v>
      </c>
      <c r="G4569" t="e">
        <f>VLOOKUP(E4569,기본!$F$3:$G$320,2,0)</f>
        <v>#N/A</v>
      </c>
    </row>
    <row r="4570" spans="3:7">
      <c r="C4570" s="545" t="e">
        <f>VLOOKUP(D4570,기본!$B$3:$C$90,2,0)</f>
        <v>#N/A</v>
      </c>
      <c r="G4570" t="e">
        <f>VLOOKUP(E4570,기본!$F$3:$G$320,2,0)</f>
        <v>#N/A</v>
      </c>
    </row>
    <row r="4571" spans="3:7">
      <c r="C4571" s="545" t="e">
        <f>VLOOKUP(D4571,기본!$B$3:$C$90,2,0)</f>
        <v>#N/A</v>
      </c>
      <c r="G4571" t="e">
        <f>VLOOKUP(E4571,기본!$F$3:$G$320,2,0)</f>
        <v>#N/A</v>
      </c>
    </row>
    <row r="4572" spans="3:7">
      <c r="C4572" s="545" t="e">
        <f>VLOOKUP(D4572,기본!$B$3:$C$90,2,0)</f>
        <v>#N/A</v>
      </c>
      <c r="G4572" t="e">
        <f>VLOOKUP(E4572,기본!$F$3:$G$320,2,0)</f>
        <v>#N/A</v>
      </c>
    </row>
    <row r="4573" spans="3:7">
      <c r="C4573" s="545" t="e">
        <f>VLOOKUP(D4573,기본!$B$3:$C$90,2,0)</f>
        <v>#N/A</v>
      </c>
      <c r="G4573" t="e">
        <f>VLOOKUP(E4573,기본!$F$3:$G$320,2,0)</f>
        <v>#N/A</v>
      </c>
    </row>
    <row r="4574" spans="3:7">
      <c r="C4574" s="545" t="e">
        <f>VLOOKUP(D4574,기본!$B$3:$C$90,2,0)</f>
        <v>#N/A</v>
      </c>
      <c r="G4574" t="e">
        <f>VLOOKUP(E4574,기본!$F$3:$G$320,2,0)</f>
        <v>#N/A</v>
      </c>
    </row>
    <row r="4575" spans="3:7">
      <c r="C4575" s="545" t="e">
        <f>VLOOKUP(D4575,기본!$B$3:$C$90,2,0)</f>
        <v>#N/A</v>
      </c>
      <c r="G4575" t="e">
        <f>VLOOKUP(E4575,기본!$F$3:$G$320,2,0)</f>
        <v>#N/A</v>
      </c>
    </row>
    <row r="4576" spans="3:7">
      <c r="C4576" s="545" t="e">
        <f>VLOOKUP(D4576,기본!$B$3:$C$90,2,0)</f>
        <v>#N/A</v>
      </c>
      <c r="G4576" t="e">
        <f>VLOOKUP(E4576,기본!$F$3:$G$320,2,0)</f>
        <v>#N/A</v>
      </c>
    </row>
    <row r="4577" spans="3:7">
      <c r="C4577" s="545" t="e">
        <f>VLOOKUP(D4577,기본!$B$3:$C$90,2,0)</f>
        <v>#N/A</v>
      </c>
      <c r="G4577" t="e">
        <f>VLOOKUP(E4577,기본!$F$3:$G$320,2,0)</f>
        <v>#N/A</v>
      </c>
    </row>
    <row r="4578" spans="3:7">
      <c r="C4578" s="545" t="e">
        <f>VLOOKUP(D4578,기본!$B$3:$C$90,2,0)</f>
        <v>#N/A</v>
      </c>
      <c r="G4578" t="e">
        <f>VLOOKUP(E4578,기본!$F$3:$G$320,2,0)</f>
        <v>#N/A</v>
      </c>
    </row>
    <row r="4579" spans="3:7">
      <c r="C4579" s="545" t="e">
        <f>VLOOKUP(D4579,기본!$B$3:$C$90,2,0)</f>
        <v>#N/A</v>
      </c>
      <c r="G4579" t="e">
        <f>VLOOKUP(E4579,기본!$F$3:$G$320,2,0)</f>
        <v>#N/A</v>
      </c>
    </row>
  </sheetData>
  <autoFilter ref="B2:L4579" xr:uid="{E8D3D2EB-6E79-400A-967A-D5169B1A7B1F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4C19-0836-4FCD-8438-D9BD654238D9}">
  <dimension ref="B2:G140"/>
  <sheetViews>
    <sheetView topLeftCell="A127" workbookViewId="0">
      <selection activeCell="G141" sqref="G141"/>
    </sheetView>
  </sheetViews>
  <sheetFormatPr defaultRowHeight="16.5"/>
  <cols>
    <col min="2" max="2" width="21.125" bestFit="1" customWidth="1"/>
    <col min="3" max="3" width="13" style="545" bestFit="1" customWidth="1"/>
    <col min="6" max="6" width="24.875" bestFit="1" customWidth="1"/>
  </cols>
  <sheetData>
    <row r="2" spans="2:7">
      <c r="B2" t="s">
        <v>1951</v>
      </c>
      <c r="C2" s="545" t="s">
        <v>761</v>
      </c>
      <c r="F2" t="s">
        <v>2198</v>
      </c>
      <c r="G2" t="s">
        <v>2197</v>
      </c>
    </row>
    <row r="3" spans="2:7">
      <c r="B3" t="s">
        <v>1774</v>
      </c>
      <c r="C3" s="545" t="s">
        <v>1952</v>
      </c>
      <c r="F3" t="s">
        <v>1968</v>
      </c>
      <c r="G3" t="s">
        <v>2195</v>
      </c>
    </row>
    <row r="4" spans="2:7">
      <c r="B4" t="s">
        <v>1778</v>
      </c>
      <c r="C4" t="s">
        <v>1873</v>
      </c>
      <c r="F4" t="s">
        <v>1970</v>
      </c>
      <c r="G4" t="s">
        <v>2195</v>
      </c>
    </row>
    <row r="5" spans="2:7">
      <c r="B5" t="s">
        <v>1791</v>
      </c>
      <c r="C5" t="s">
        <v>1873</v>
      </c>
      <c r="F5" t="s">
        <v>1119</v>
      </c>
      <c r="G5" t="s">
        <v>2194</v>
      </c>
    </row>
    <row r="6" spans="2:7">
      <c r="B6" t="s">
        <v>1796</v>
      </c>
      <c r="C6" t="s">
        <v>1873</v>
      </c>
      <c r="F6" t="s">
        <v>1118</v>
      </c>
      <c r="G6" t="s">
        <v>2194</v>
      </c>
    </row>
    <row r="7" spans="2:7">
      <c r="B7" t="s">
        <v>1797</v>
      </c>
      <c r="C7" t="s">
        <v>1873</v>
      </c>
      <c r="F7" t="s">
        <v>1780</v>
      </c>
      <c r="G7" t="s">
        <v>2195</v>
      </c>
    </row>
    <row r="8" spans="2:7">
      <c r="B8" t="s">
        <v>1799</v>
      </c>
      <c r="C8" s="545" t="s">
        <v>1953</v>
      </c>
      <c r="F8" t="s">
        <v>1825</v>
      </c>
      <c r="G8" t="s">
        <v>2195</v>
      </c>
    </row>
    <row r="9" spans="2:7">
      <c r="B9" t="s">
        <v>1800</v>
      </c>
      <c r="C9" s="545" t="s">
        <v>1954</v>
      </c>
      <c r="F9" t="s">
        <v>1781</v>
      </c>
      <c r="G9" t="s">
        <v>2194</v>
      </c>
    </row>
    <row r="10" spans="2:7">
      <c r="B10" t="s">
        <v>154</v>
      </c>
      <c r="C10" s="545" t="s">
        <v>1954</v>
      </c>
      <c r="F10" t="s">
        <v>1783</v>
      </c>
      <c r="G10" t="s">
        <v>2194</v>
      </c>
    </row>
    <row r="11" spans="2:7">
      <c r="B11" t="s">
        <v>2037</v>
      </c>
      <c r="C11" t="s">
        <v>1873</v>
      </c>
      <c r="F11" t="s">
        <v>1792</v>
      </c>
      <c r="G11" t="s">
        <v>2194</v>
      </c>
    </row>
    <row r="12" spans="2:7">
      <c r="B12" t="s">
        <v>1802</v>
      </c>
      <c r="C12" s="545" t="s">
        <v>1952</v>
      </c>
      <c r="F12" t="s">
        <v>1834</v>
      </c>
      <c r="G12" t="s">
        <v>2195</v>
      </c>
    </row>
    <row r="13" spans="2:7">
      <c r="B13" t="s">
        <v>1806</v>
      </c>
      <c r="C13" s="545" t="s">
        <v>1955</v>
      </c>
      <c r="F13" t="s">
        <v>993</v>
      </c>
      <c r="G13" t="s">
        <v>2195</v>
      </c>
    </row>
    <row r="14" spans="2:7">
      <c r="B14" t="s">
        <v>1808</v>
      </c>
      <c r="C14" s="545" t="s">
        <v>1954</v>
      </c>
      <c r="F14" t="s">
        <v>1785</v>
      </c>
      <c r="G14" t="s">
        <v>2195</v>
      </c>
    </row>
    <row r="15" spans="2:7">
      <c r="B15" t="s">
        <v>1809</v>
      </c>
      <c r="C15" s="545" t="s">
        <v>1952</v>
      </c>
      <c r="F15" t="s">
        <v>1836</v>
      </c>
      <c r="G15" t="s">
        <v>2195</v>
      </c>
    </row>
    <row r="16" spans="2:7">
      <c r="B16" t="s">
        <v>1810</v>
      </c>
      <c r="C16" s="545" t="s">
        <v>1954</v>
      </c>
      <c r="F16" t="s">
        <v>1258</v>
      </c>
      <c r="G16" t="s">
        <v>2195</v>
      </c>
    </row>
    <row r="17" spans="2:7">
      <c r="B17" t="s">
        <v>1811</v>
      </c>
      <c r="C17" s="545" t="s">
        <v>1956</v>
      </c>
      <c r="F17" t="s">
        <v>1260</v>
      </c>
      <c r="G17" t="s">
        <v>2195</v>
      </c>
    </row>
    <row r="18" spans="2:7">
      <c r="B18" t="s">
        <v>1814</v>
      </c>
      <c r="C18" s="545" t="s">
        <v>1954</v>
      </c>
      <c r="F18" t="s">
        <v>1262</v>
      </c>
      <c r="G18" t="s">
        <v>2195</v>
      </c>
    </row>
    <row r="19" spans="2:7">
      <c r="B19" t="s">
        <v>1815</v>
      </c>
      <c r="C19" s="545" t="s">
        <v>736</v>
      </c>
      <c r="F19" t="s">
        <v>1787</v>
      </c>
      <c r="G19" t="s">
        <v>2195</v>
      </c>
    </row>
    <row r="20" spans="2:7">
      <c r="B20" t="s">
        <v>1820</v>
      </c>
      <c r="C20" t="s">
        <v>1873</v>
      </c>
      <c r="F20" t="s">
        <v>1837</v>
      </c>
      <c r="G20" t="s">
        <v>2195</v>
      </c>
    </row>
    <row r="21" spans="2:7">
      <c r="B21" t="s">
        <v>1824</v>
      </c>
      <c r="C21" t="s">
        <v>1873</v>
      </c>
      <c r="F21" t="s">
        <v>1721</v>
      </c>
      <c r="G21" t="s">
        <v>2194</v>
      </c>
    </row>
    <row r="22" spans="2:7">
      <c r="B22" t="s">
        <v>1833</v>
      </c>
      <c r="C22" t="s">
        <v>1873</v>
      </c>
      <c r="F22" t="s">
        <v>2022</v>
      </c>
      <c r="G22" t="s">
        <v>2194</v>
      </c>
    </row>
    <row r="23" spans="2:7">
      <c r="B23" t="s">
        <v>1843</v>
      </c>
      <c r="C23" t="s">
        <v>2044</v>
      </c>
      <c r="F23" t="s">
        <v>1712</v>
      </c>
      <c r="G23" t="s">
        <v>2194</v>
      </c>
    </row>
    <row r="24" spans="2:7">
      <c r="B24" t="s">
        <v>1847</v>
      </c>
      <c r="C24" t="s">
        <v>1873</v>
      </c>
      <c r="F24" t="s">
        <v>2017</v>
      </c>
      <c r="G24" t="s">
        <v>2194</v>
      </c>
    </row>
    <row r="25" spans="2:7">
      <c r="B25" t="s">
        <v>1849</v>
      </c>
      <c r="C25" t="s">
        <v>2044</v>
      </c>
      <c r="F25" t="s">
        <v>1723</v>
      </c>
      <c r="G25" t="s">
        <v>2194</v>
      </c>
    </row>
    <row r="26" spans="2:7">
      <c r="B26" t="s">
        <v>1850</v>
      </c>
      <c r="C26" s="545" t="s">
        <v>1952</v>
      </c>
      <c r="F26" t="s">
        <v>1713</v>
      </c>
      <c r="G26" t="s">
        <v>2194</v>
      </c>
    </row>
    <row r="27" spans="2:7">
      <c r="B27" t="s">
        <v>1851</v>
      </c>
      <c r="C27" s="545" t="s">
        <v>1954</v>
      </c>
      <c r="F27" t="s">
        <v>1725</v>
      </c>
      <c r="G27" t="s">
        <v>2194</v>
      </c>
    </row>
    <row r="28" spans="2:7">
      <c r="B28" t="s">
        <v>1852</v>
      </c>
      <c r="C28" s="545" t="s">
        <v>732</v>
      </c>
      <c r="F28" t="s">
        <v>1714</v>
      </c>
      <c r="G28" t="s">
        <v>2194</v>
      </c>
    </row>
    <row r="29" spans="2:7">
      <c r="B29" t="s">
        <v>1864</v>
      </c>
      <c r="C29" s="545" t="s">
        <v>1952</v>
      </c>
      <c r="F29" t="s">
        <v>1727</v>
      </c>
      <c r="G29" t="s">
        <v>2194</v>
      </c>
    </row>
    <row r="30" spans="2:7">
      <c r="B30" t="s">
        <v>1963</v>
      </c>
      <c r="C30" s="545" t="s">
        <v>1954</v>
      </c>
      <c r="F30" t="s">
        <v>1829</v>
      </c>
      <c r="G30" t="s">
        <v>2194</v>
      </c>
    </row>
    <row r="31" spans="2:7">
      <c r="B31" t="s">
        <v>1993</v>
      </c>
      <c r="C31" s="545" t="s">
        <v>736</v>
      </c>
      <c r="F31" t="s">
        <v>2051</v>
      </c>
      <c r="G31" t="s">
        <v>2195</v>
      </c>
    </row>
    <row r="32" spans="2:7">
      <c r="B32" t="s">
        <v>1995</v>
      </c>
      <c r="C32" s="545" t="s">
        <v>736</v>
      </c>
      <c r="F32" t="s">
        <v>2182</v>
      </c>
      <c r="G32" t="s">
        <v>2195</v>
      </c>
    </row>
    <row r="33" spans="2:7">
      <c r="B33" t="s">
        <v>2036</v>
      </c>
      <c r="C33" s="545" t="s">
        <v>732</v>
      </c>
      <c r="F33" t="s">
        <v>2184</v>
      </c>
      <c r="G33" t="s">
        <v>2195</v>
      </c>
    </row>
    <row r="34" spans="2:7">
      <c r="B34" t="s">
        <v>2016</v>
      </c>
      <c r="C34" s="545" t="s">
        <v>1954</v>
      </c>
      <c r="F34" t="s">
        <v>2054</v>
      </c>
      <c r="G34" t="s">
        <v>2195</v>
      </c>
    </row>
    <row r="35" spans="2:7">
      <c r="B35" t="s">
        <v>1982</v>
      </c>
      <c r="C35" s="545" t="s">
        <v>732</v>
      </c>
      <c r="F35" t="s">
        <v>2112</v>
      </c>
      <c r="G35" t="s">
        <v>2195</v>
      </c>
    </row>
    <row r="36" spans="2:7">
      <c r="B36" t="s">
        <v>1977</v>
      </c>
      <c r="C36" s="545" t="s">
        <v>736</v>
      </c>
      <c r="F36" t="s">
        <v>2120</v>
      </c>
      <c r="G36" t="s">
        <v>2195</v>
      </c>
    </row>
    <row r="37" spans="2:7">
      <c r="B37" t="s">
        <v>1979</v>
      </c>
      <c r="C37" s="545" t="s">
        <v>736</v>
      </c>
      <c r="F37" t="s">
        <v>2185</v>
      </c>
      <c r="G37" t="s">
        <v>2195</v>
      </c>
    </row>
    <row r="38" spans="2:7">
      <c r="B38" t="s">
        <v>1981</v>
      </c>
      <c r="C38" t="s">
        <v>2044</v>
      </c>
      <c r="F38" t="s">
        <v>1794</v>
      </c>
      <c r="G38" t="s">
        <v>2194</v>
      </c>
    </row>
    <row r="39" spans="2:7">
      <c r="B39" t="s">
        <v>1991</v>
      </c>
      <c r="C39" s="545" t="s">
        <v>2044</v>
      </c>
      <c r="F39" t="s">
        <v>1795</v>
      </c>
      <c r="G39" t="s">
        <v>2194</v>
      </c>
    </row>
    <row r="40" spans="2:7">
      <c r="B40" t="s">
        <v>1992</v>
      </c>
      <c r="C40" s="545" t="s">
        <v>2044</v>
      </c>
      <c r="F40" t="s">
        <v>1839</v>
      </c>
      <c r="G40" t="s">
        <v>2195</v>
      </c>
    </row>
    <row r="41" spans="2:7">
      <c r="B41" t="s">
        <v>1994</v>
      </c>
      <c r="C41" s="545" t="s">
        <v>736</v>
      </c>
      <c r="F41" t="s">
        <v>1831</v>
      </c>
      <c r="G41" t="s">
        <v>2195</v>
      </c>
    </row>
    <row r="42" spans="2:7">
      <c r="B42" t="s">
        <v>2004</v>
      </c>
      <c r="C42" s="545" t="s">
        <v>736</v>
      </c>
      <c r="F42" t="s">
        <v>1840</v>
      </c>
      <c r="G42" t="s">
        <v>2195</v>
      </c>
    </row>
    <row r="43" spans="2:7">
      <c r="B43" t="s">
        <v>2028</v>
      </c>
      <c r="C43" s="545" t="s">
        <v>736</v>
      </c>
      <c r="F43" t="s">
        <v>1841</v>
      </c>
      <c r="G43" t="s">
        <v>2195</v>
      </c>
    </row>
    <row r="44" spans="2:7">
      <c r="B44" t="s">
        <v>2040</v>
      </c>
      <c r="C44" s="545" t="s">
        <v>2042</v>
      </c>
      <c r="F44" t="s">
        <v>1789</v>
      </c>
      <c r="G44" t="s">
        <v>2195</v>
      </c>
    </row>
    <row r="45" spans="2:7">
      <c r="B45" t="s">
        <v>2041</v>
      </c>
      <c r="C45" s="545" t="s">
        <v>2042</v>
      </c>
      <c r="F45" t="s">
        <v>1832</v>
      </c>
      <c r="G45" t="s">
        <v>2195</v>
      </c>
    </row>
    <row r="46" spans="2:7">
      <c r="B46" t="s">
        <v>2015</v>
      </c>
      <c r="C46" s="545" t="s">
        <v>1953</v>
      </c>
      <c r="F46" t="s">
        <v>676</v>
      </c>
      <c r="G46" t="s">
        <v>2195</v>
      </c>
    </row>
    <row r="47" spans="2:7">
      <c r="B47" t="s">
        <v>1865</v>
      </c>
      <c r="C47" s="545" t="s">
        <v>1957</v>
      </c>
      <c r="F47" t="s">
        <v>2038</v>
      </c>
      <c r="G47" t="s">
        <v>224</v>
      </c>
    </row>
    <row r="48" spans="2:7">
      <c r="B48" t="s">
        <v>1866</v>
      </c>
      <c r="C48" s="545" t="s">
        <v>2044</v>
      </c>
      <c r="F48" t="s">
        <v>677</v>
      </c>
      <c r="G48" t="s">
        <v>2195</v>
      </c>
    </row>
    <row r="49" spans="2:7">
      <c r="B49" t="s">
        <v>1868</v>
      </c>
      <c r="C49" s="545" t="s">
        <v>1958</v>
      </c>
      <c r="F49" t="s">
        <v>1110</v>
      </c>
      <c r="G49" t="s">
        <v>2195</v>
      </c>
    </row>
    <row r="50" spans="2:7">
      <c r="B50" t="s">
        <v>1870</v>
      </c>
      <c r="C50" s="545" t="s">
        <v>1958</v>
      </c>
      <c r="F50" t="s">
        <v>1111</v>
      </c>
      <c r="G50" t="s">
        <v>2195</v>
      </c>
    </row>
    <row r="51" spans="2:7">
      <c r="B51" t="s">
        <v>1871</v>
      </c>
      <c r="C51" s="545" t="s">
        <v>2044</v>
      </c>
      <c r="F51" t="s">
        <v>2010</v>
      </c>
      <c r="G51" t="s">
        <v>2195</v>
      </c>
    </row>
    <row r="52" spans="2:7">
      <c r="B52" t="s">
        <v>1872</v>
      </c>
      <c r="C52" s="545" t="s">
        <v>1959</v>
      </c>
      <c r="F52" t="s">
        <v>2186</v>
      </c>
      <c r="G52" t="s">
        <v>2195</v>
      </c>
    </row>
    <row r="53" spans="2:7">
      <c r="B53" t="s">
        <v>1873</v>
      </c>
      <c r="C53" t="s">
        <v>2043</v>
      </c>
      <c r="F53" t="s">
        <v>1599</v>
      </c>
      <c r="G53" t="s">
        <v>2195</v>
      </c>
    </row>
    <row r="54" spans="2:7">
      <c r="B54" t="s">
        <v>1874</v>
      </c>
      <c r="C54" s="545" t="s">
        <v>2044</v>
      </c>
      <c r="F54" t="s">
        <v>2106</v>
      </c>
      <c r="G54" t="s">
        <v>753</v>
      </c>
    </row>
    <row r="55" spans="2:7">
      <c r="B55" t="s">
        <v>1884</v>
      </c>
      <c r="C55" s="545" t="s">
        <v>2044</v>
      </c>
      <c r="F55" t="s">
        <v>2118</v>
      </c>
      <c r="G55" t="s">
        <v>753</v>
      </c>
    </row>
    <row r="56" spans="2:7">
      <c r="B56" t="s">
        <v>1885</v>
      </c>
      <c r="C56" s="545" t="s">
        <v>736</v>
      </c>
      <c r="F56" t="s">
        <v>2229</v>
      </c>
      <c r="G56" t="s">
        <v>753</v>
      </c>
    </row>
    <row r="57" spans="2:7">
      <c r="B57" t="s">
        <v>1886</v>
      </c>
      <c r="C57" s="545" t="s">
        <v>736</v>
      </c>
      <c r="F57" t="s">
        <v>2106</v>
      </c>
      <c r="G57" t="s">
        <v>753</v>
      </c>
    </row>
    <row r="58" spans="2:7">
      <c r="B58" t="s">
        <v>1888</v>
      </c>
      <c r="C58" s="545" t="s">
        <v>736</v>
      </c>
      <c r="F58" t="s">
        <v>2110</v>
      </c>
      <c r="G58" t="s">
        <v>753</v>
      </c>
    </row>
    <row r="59" spans="2:7">
      <c r="B59" t="s">
        <v>1929</v>
      </c>
      <c r="C59" s="545" t="s">
        <v>736</v>
      </c>
      <c r="F59" t="s">
        <v>2114</v>
      </c>
      <c r="G59" t="s">
        <v>753</v>
      </c>
    </row>
    <row r="60" spans="2:7">
      <c r="B60" t="s">
        <v>1941</v>
      </c>
      <c r="C60" s="545" t="s">
        <v>736</v>
      </c>
      <c r="F60" t="s">
        <v>2118</v>
      </c>
      <c r="G60" t="s">
        <v>753</v>
      </c>
    </row>
    <row r="61" spans="2:7">
      <c r="B61" t="s">
        <v>1943</v>
      </c>
      <c r="C61" s="545" t="s">
        <v>736</v>
      </c>
      <c r="F61" t="s">
        <v>2122</v>
      </c>
      <c r="G61" t="s">
        <v>753</v>
      </c>
    </row>
    <row r="62" spans="2:7">
      <c r="B62" t="s">
        <v>1945</v>
      </c>
      <c r="C62" s="545" t="s">
        <v>2044</v>
      </c>
      <c r="F62" t="s">
        <v>2088</v>
      </c>
      <c r="G62" t="s">
        <v>753</v>
      </c>
    </row>
    <row r="63" spans="2:7">
      <c r="B63" t="s">
        <v>1948</v>
      </c>
      <c r="C63" s="545" t="s">
        <v>2044</v>
      </c>
      <c r="F63" t="s">
        <v>2092</v>
      </c>
      <c r="G63" t="s">
        <v>753</v>
      </c>
    </row>
    <row r="64" spans="2:7">
      <c r="B64" t="s">
        <v>1949</v>
      </c>
      <c r="C64" s="545" t="s">
        <v>1956</v>
      </c>
      <c r="F64" t="s">
        <v>2094</v>
      </c>
      <c r="G64" t="s">
        <v>2195</v>
      </c>
    </row>
    <row r="65" spans="2:7">
      <c r="B65" t="s">
        <v>2161</v>
      </c>
      <c r="C65" s="545" t="s">
        <v>2044</v>
      </c>
      <c r="F65" t="s">
        <v>2114</v>
      </c>
      <c r="G65" t="s">
        <v>753</v>
      </c>
    </row>
    <row r="66" spans="2:7">
      <c r="B66" t="s">
        <v>2193</v>
      </c>
      <c r="C66" s="545" t="s">
        <v>1952</v>
      </c>
      <c r="F66" t="s">
        <v>1597</v>
      </c>
      <c r="G66" t="s">
        <v>753</v>
      </c>
    </row>
    <row r="67" spans="2:7">
      <c r="B67" t="s">
        <v>2178</v>
      </c>
      <c r="C67" s="545" t="s">
        <v>736</v>
      </c>
      <c r="F67" t="s">
        <v>2181</v>
      </c>
      <c r="G67" t="s">
        <v>2237</v>
      </c>
    </row>
    <row r="68" spans="2:7">
      <c r="B68" t="s">
        <v>2192</v>
      </c>
      <c r="C68" s="545" t="s">
        <v>736</v>
      </c>
      <c r="F68" t="s">
        <v>2238</v>
      </c>
      <c r="G68" t="s">
        <v>2195</v>
      </c>
    </row>
    <row r="69" spans="2:7">
      <c r="B69" t="s">
        <v>2259</v>
      </c>
      <c r="C69" s="545" t="s">
        <v>1955</v>
      </c>
      <c r="F69" t="s">
        <v>2157</v>
      </c>
      <c r="G69" t="s">
        <v>753</v>
      </c>
    </row>
    <row r="70" spans="2:7">
      <c r="B70" t="s">
        <v>2260</v>
      </c>
      <c r="C70" s="545" t="s">
        <v>736</v>
      </c>
      <c r="F70" t="s">
        <v>2156</v>
      </c>
      <c r="G70" t="s">
        <v>2195</v>
      </c>
    </row>
    <row r="71" spans="2:7">
      <c r="B71" t="s">
        <v>2301</v>
      </c>
      <c r="C71" s="545" t="s">
        <v>2306</v>
      </c>
      <c r="F71" t="s">
        <v>2158</v>
      </c>
      <c r="G71" t="s">
        <v>2195</v>
      </c>
    </row>
    <row r="72" spans="2:7">
      <c r="B72" t="s">
        <v>2303</v>
      </c>
      <c r="C72" s="545" t="s">
        <v>2306</v>
      </c>
      <c r="F72" t="s">
        <v>2159</v>
      </c>
      <c r="G72" t="s">
        <v>2195</v>
      </c>
    </row>
    <row r="73" spans="2:7">
      <c r="B73" t="s">
        <v>2303</v>
      </c>
      <c r="C73" s="545" t="s">
        <v>2306</v>
      </c>
      <c r="F73" t="s">
        <v>2160</v>
      </c>
      <c r="G73" t="s">
        <v>2195</v>
      </c>
    </row>
    <row r="74" spans="2:7">
      <c r="B74" t="s">
        <v>2296</v>
      </c>
      <c r="C74" s="545" t="s">
        <v>2306</v>
      </c>
      <c r="F74" t="s">
        <v>2169</v>
      </c>
      <c r="G74" t="s">
        <v>2195</v>
      </c>
    </row>
    <row r="75" spans="2:7">
      <c r="B75" t="s">
        <v>2327</v>
      </c>
      <c r="C75" s="545" t="s">
        <v>1952</v>
      </c>
      <c r="F75" t="s">
        <v>2170</v>
      </c>
      <c r="G75" t="s">
        <v>2195</v>
      </c>
    </row>
    <row r="76" spans="2:7">
      <c r="B76" t="s">
        <v>2335</v>
      </c>
      <c r="C76" s="545" t="s">
        <v>1952</v>
      </c>
      <c r="F76" t="s">
        <v>2171</v>
      </c>
      <c r="G76" t="s">
        <v>2195</v>
      </c>
    </row>
    <row r="77" spans="2:7">
      <c r="B77" t="s">
        <v>2332</v>
      </c>
      <c r="C77" s="545" t="s">
        <v>2044</v>
      </c>
      <c r="F77" t="s">
        <v>2172</v>
      </c>
      <c r="G77" t="s">
        <v>2195</v>
      </c>
    </row>
    <row r="78" spans="2:7">
      <c r="B78" t="s">
        <v>2395</v>
      </c>
      <c r="C78" s="545" t="s">
        <v>2400</v>
      </c>
      <c r="F78" t="s">
        <v>2173</v>
      </c>
      <c r="G78" t="s">
        <v>2195</v>
      </c>
    </row>
    <row r="79" spans="2:7">
      <c r="B79" t="s">
        <v>2397</v>
      </c>
      <c r="C79" s="545" t="s">
        <v>2044</v>
      </c>
      <c r="F79" t="s">
        <v>2164</v>
      </c>
      <c r="G79" t="s">
        <v>2195</v>
      </c>
    </row>
    <row r="80" spans="2:7">
      <c r="B80" t="s">
        <v>2404</v>
      </c>
      <c r="C80" s="545" t="s">
        <v>2044</v>
      </c>
      <c r="F80" t="s">
        <v>2164</v>
      </c>
      <c r="G80" t="s">
        <v>2195</v>
      </c>
    </row>
    <row r="81" spans="2:7">
      <c r="B81" t="s">
        <v>2405</v>
      </c>
      <c r="C81" s="545" t="s">
        <v>2409</v>
      </c>
      <c r="F81" t="s">
        <v>2164</v>
      </c>
      <c r="G81" t="s">
        <v>2195</v>
      </c>
    </row>
    <row r="82" spans="2:7">
      <c r="B82" t="s">
        <v>2498</v>
      </c>
      <c r="C82" s="545" t="s">
        <v>2306</v>
      </c>
      <c r="F82" t="s">
        <v>2174</v>
      </c>
      <c r="G82" t="s">
        <v>2195</v>
      </c>
    </row>
    <row r="83" spans="2:7">
      <c r="B83" t="s">
        <v>2498</v>
      </c>
      <c r="C83" s="545" t="s">
        <v>2306</v>
      </c>
      <c r="F83" t="s">
        <v>2029</v>
      </c>
      <c r="G83" t="s">
        <v>1953</v>
      </c>
    </row>
    <row r="84" spans="2:7">
      <c r="F84" t="s">
        <v>2030</v>
      </c>
      <c r="G84" t="s">
        <v>1953</v>
      </c>
    </row>
    <row r="85" spans="2:7">
      <c r="F85" t="s">
        <v>2031</v>
      </c>
      <c r="G85" t="s">
        <v>1953</v>
      </c>
    </row>
    <row r="86" spans="2:7">
      <c r="F86" t="s">
        <v>2032</v>
      </c>
      <c r="G86" t="s">
        <v>1953</v>
      </c>
    </row>
    <row r="87" spans="2:7">
      <c r="F87" t="s">
        <v>2030</v>
      </c>
      <c r="G87" t="s">
        <v>1953</v>
      </c>
    </row>
    <row r="88" spans="2:7">
      <c r="F88" t="s">
        <v>2031</v>
      </c>
      <c r="G88" t="s">
        <v>1953</v>
      </c>
    </row>
    <row r="89" spans="2:7">
      <c r="F89" t="s">
        <v>2226</v>
      </c>
      <c r="G89" t="s">
        <v>1953</v>
      </c>
    </row>
    <row r="90" spans="2:7">
      <c r="F90" t="s">
        <v>2227</v>
      </c>
      <c r="G90" t="s">
        <v>1953</v>
      </c>
    </row>
    <row r="91" spans="2:7">
      <c r="F91" t="s">
        <v>2228</v>
      </c>
      <c r="G91" t="s">
        <v>2199</v>
      </c>
    </row>
    <row r="92" spans="2:7">
      <c r="F92" t="s">
        <v>2026</v>
      </c>
      <c r="G92" t="s">
        <v>2200</v>
      </c>
    </row>
    <row r="93" spans="2:7">
      <c r="F93" t="s">
        <v>2027</v>
      </c>
      <c r="G93" t="s">
        <v>2200</v>
      </c>
    </row>
    <row r="94" spans="2:7">
      <c r="F94" t="s">
        <v>224</v>
      </c>
      <c r="G94" t="s">
        <v>2199</v>
      </c>
    </row>
    <row r="95" spans="2:7">
      <c r="F95" t="s">
        <v>2251</v>
      </c>
      <c r="G95" t="s">
        <v>1953</v>
      </c>
    </row>
    <row r="96" spans="2:7">
      <c r="F96" t="s">
        <v>2090</v>
      </c>
      <c r="G96" t="s">
        <v>753</v>
      </c>
    </row>
    <row r="97" spans="6:7">
      <c r="F97" t="s">
        <v>2241</v>
      </c>
      <c r="G97" t="s">
        <v>753</v>
      </c>
    </row>
    <row r="98" spans="6:7">
      <c r="F98" t="s">
        <v>2102</v>
      </c>
      <c r="G98" t="s">
        <v>753</v>
      </c>
    </row>
    <row r="99" spans="6:7">
      <c r="F99" t="s">
        <v>2252</v>
      </c>
      <c r="G99" t="s">
        <v>753</v>
      </c>
    </row>
    <row r="100" spans="6:7">
      <c r="F100" t="s">
        <v>1601</v>
      </c>
      <c r="G100" t="s">
        <v>753</v>
      </c>
    </row>
    <row r="101" spans="6:7">
      <c r="F101" t="s">
        <v>2262</v>
      </c>
      <c r="G101" t="s">
        <v>1953</v>
      </c>
    </row>
    <row r="102" spans="6:7">
      <c r="F102" t="s">
        <v>2263</v>
      </c>
      <c r="G102" t="s">
        <v>1953</v>
      </c>
    </row>
    <row r="103" spans="6:7">
      <c r="F103" t="s">
        <v>2096</v>
      </c>
      <c r="G103" t="s">
        <v>753</v>
      </c>
    </row>
    <row r="104" spans="6:7">
      <c r="F104" t="s">
        <v>2104</v>
      </c>
      <c r="G104" t="s">
        <v>753</v>
      </c>
    </row>
    <row r="105" spans="6:7">
      <c r="F105" t="s">
        <v>2265</v>
      </c>
      <c r="G105" t="s">
        <v>753</v>
      </c>
    </row>
    <row r="106" spans="6:7">
      <c r="F106" t="s">
        <v>2267</v>
      </c>
      <c r="G106" t="s">
        <v>753</v>
      </c>
    </row>
    <row r="107" spans="6:7">
      <c r="F107" t="s">
        <v>1117</v>
      </c>
      <c r="G107" t="s">
        <v>2276</v>
      </c>
    </row>
    <row r="108" spans="6:7">
      <c r="F108" t="s">
        <v>2078</v>
      </c>
      <c r="G108" t="s">
        <v>2277</v>
      </c>
    </row>
    <row r="109" spans="6:7">
      <c r="F109" t="s">
        <v>2267</v>
      </c>
      <c r="G109" t="s">
        <v>753</v>
      </c>
    </row>
    <row r="110" spans="6:7">
      <c r="F110" t="s">
        <v>2270</v>
      </c>
      <c r="G110" t="s">
        <v>753</v>
      </c>
    </row>
    <row r="111" spans="6:7">
      <c r="F111" t="s">
        <v>2271</v>
      </c>
      <c r="G111" t="s">
        <v>2277</v>
      </c>
    </row>
    <row r="112" spans="6:7">
      <c r="F112" t="s">
        <v>2261</v>
      </c>
      <c r="G112" t="s">
        <v>2277</v>
      </c>
    </row>
    <row r="113" spans="6:7">
      <c r="F113" t="s">
        <v>2175</v>
      </c>
      <c r="G113" t="s">
        <v>2278</v>
      </c>
    </row>
    <row r="114" spans="6:7">
      <c r="F114" t="s">
        <v>2298</v>
      </c>
      <c r="G114" t="s">
        <v>2307</v>
      </c>
    </row>
    <row r="115" spans="6:7">
      <c r="F115" t="s">
        <v>2098</v>
      </c>
      <c r="G115" t="s">
        <v>753</v>
      </c>
    </row>
    <row r="116" spans="6:7">
      <c r="F116" t="s">
        <v>2108</v>
      </c>
      <c r="G116" t="s">
        <v>753</v>
      </c>
    </row>
    <row r="117" spans="6:7">
      <c r="F117" t="s">
        <v>2317</v>
      </c>
      <c r="G117" t="s">
        <v>753</v>
      </c>
    </row>
    <row r="118" spans="6:7">
      <c r="F118" t="s">
        <v>2116</v>
      </c>
      <c r="G118" t="s">
        <v>753</v>
      </c>
    </row>
    <row r="119" spans="6:7">
      <c r="F119" t="s">
        <v>2080</v>
      </c>
      <c r="G119" t="s">
        <v>753</v>
      </c>
    </row>
    <row r="120" spans="6:7">
      <c r="F120" t="s">
        <v>2318</v>
      </c>
      <c r="G120" t="s">
        <v>1953</v>
      </c>
    </row>
    <row r="121" spans="6:7">
      <c r="F121" t="s">
        <v>2086</v>
      </c>
      <c r="G121" t="s">
        <v>753</v>
      </c>
    </row>
    <row r="122" spans="6:7">
      <c r="F122" t="s">
        <v>2084</v>
      </c>
      <c r="G122" t="s">
        <v>753</v>
      </c>
    </row>
    <row r="123" spans="6:7">
      <c r="F123" t="s">
        <v>2082</v>
      </c>
      <c r="G123" t="s">
        <v>753</v>
      </c>
    </row>
    <row r="124" spans="6:7">
      <c r="F124" t="s">
        <v>2076</v>
      </c>
      <c r="G124" t="s">
        <v>753</v>
      </c>
    </row>
    <row r="125" spans="6:7">
      <c r="F125" t="s">
        <v>2074</v>
      </c>
      <c r="G125" t="s">
        <v>753</v>
      </c>
    </row>
    <row r="126" spans="6:7">
      <c r="F126" t="s">
        <v>2331</v>
      </c>
      <c r="G126" t="s">
        <v>753</v>
      </c>
    </row>
    <row r="127" spans="6:7">
      <c r="F127" t="s">
        <v>2072</v>
      </c>
      <c r="G127" t="s">
        <v>753</v>
      </c>
    </row>
    <row r="128" spans="6:7">
      <c r="F128" t="s">
        <v>2070</v>
      </c>
      <c r="G128" t="s">
        <v>753</v>
      </c>
    </row>
    <row r="129" spans="6:7">
      <c r="F129" t="s">
        <v>652</v>
      </c>
      <c r="G129" t="s">
        <v>753</v>
      </c>
    </row>
    <row r="130" spans="6:7">
      <c r="F130" t="s">
        <v>2414</v>
      </c>
      <c r="G130" t="s">
        <v>749</v>
      </c>
    </row>
    <row r="131" spans="6:7">
      <c r="F131" t="s">
        <v>2420</v>
      </c>
      <c r="G131" t="s">
        <v>753</v>
      </c>
    </row>
    <row r="132" spans="6:7">
      <c r="F132" t="s">
        <v>2422</v>
      </c>
      <c r="G132" t="s">
        <v>753</v>
      </c>
    </row>
    <row r="133" spans="6:7">
      <c r="F133" t="s">
        <v>2458</v>
      </c>
      <c r="G133" t="s">
        <v>749</v>
      </c>
    </row>
    <row r="134" spans="6:7">
      <c r="F134" t="s">
        <v>2441</v>
      </c>
      <c r="G134" t="s">
        <v>749</v>
      </c>
    </row>
    <row r="135" spans="6:7">
      <c r="F135" t="s">
        <v>2442</v>
      </c>
      <c r="G135" t="s">
        <v>749</v>
      </c>
    </row>
    <row r="136" spans="6:7">
      <c r="F136" t="s">
        <v>1996</v>
      </c>
      <c r="G136" t="s">
        <v>2469</v>
      </c>
    </row>
    <row r="137" spans="6:7">
      <c r="F137" t="s">
        <v>2443</v>
      </c>
      <c r="G137" t="s">
        <v>749</v>
      </c>
    </row>
    <row r="138" spans="6:7">
      <c r="F138" t="s">
        <v>2402</v>
      </c>
      <c r="G138" t="s">
        <v>2520</v>
      </c>
    </row>
    <row r="139" spans="6:7">
      <c r="F139" t="s">
        <v>2456</v>
      </c>
      <c r="G139" t="s">
        <v>2520</v>
      </c>
    </row>
    <row r="140" spans="6:7">
      <c r="F140" t="s">
        <v>2457</v>
      </c>
      <c r="G140" t="s">
        <v>2520</v>
      </c>
    </row>
  </sheetData>
  <autoFilter ref="B2:G68" xr:uid="{CFB64C19-0836-4FCD-8438-D9BD654238D9}"/>
  <sortState xmlns:xlrd2="http://schemas.microsoft.com/office/spreadsheetml/2017/richdata2" ref="F3:G92">
    <sortCondition ref="F3:F9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26년(세부_실적)</vt:lpstr>
      <vt:lpstr>매출내역</vt:lpstr>
      <vt:lpstr>기본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</dc:creator>
  <cp:lastModifiedBy>민 지홍</cp:lastModifiedBy>
  <cp:lastPrinted>2016-10-11T01:08:21Z</cp:lastPrinted>
  <dcterms:created xsi:type="dcterms:W3CDTF">2015-02-23T06:50:02Z</dcterms:created>
  <dcterms:modified xsi:type="dcterms:W3CDTF">2026-06-08T00:47:27Z</dcterms:modified>
</cp:coreProperties>
</file>